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46E48E3E-DBED-4961-B729-285C4F1725DF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April 2026" sheetId="27" r:id="rId1"/>
    <sheet name="Utility Analysis April 2026" sheetId="23" r:id="rId2"/>
    <sheet name="Steam Mass Flow " sheetId="113" r:id="rId3"/>
    <sheet name="Fuel " sheetId="29" r:id="rId4"/>
    <sheet name="Water " sheetId="31" r:id="rId5"/>
    <sheet name="Elec.April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'Elec.April 2026'!$B$7:$B$37</definedName>
    <definedName name="_2__123Graph_CCHART_8" localSheetId="5" hidden="1">'Elec.April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April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9" i="110" l="1"/>
  <c r="AH8" i="110"/>
  <c r="AH90" i="110"/>
  <c r="AH74" i="110"/>
  <c r="J14" i="110"/>
  <c r="AH14" i="110"/>
  <c r="AB9" i="110"/>
  <c r="AA90" i="110"/>
  <c r="AA92" i="110"/>
  <c r="AA93" i="110"/>
  <c r="AA94" i="110"/>
  <c r="AA96" i="110"/>
  <c r="AA54" i="110"/>
  <c r="AA56" i="110"/>
  <c r="AA57" i="110"/>
  <c r="AA58" i="110"/>
  <c r="AA59" i="110"/>
  <c r="AA60" i="110"/>
  <c r="AA61" i="110"/>
  <c r="AA62" i="110"/>
  <c r="AA63" i="110"/>
  <c r="AA65" i="110"/>
  <c r="AA69" i="110"/>
  <c r="AF8" i="110"/>
  <c r="AF9" i="110" s="1"/>
  <c r="X8" i="110"/>
  <c r="R8" i="110"/>
  <c r="O8" i="110"/>
  <c r="B8" i="110"/>
  <c r="AD74" i="110"/>
  <c r="AE8" i="110"/>
  <c r="AE9" i="110" s="1"/>
  <c r="AD14" i="110"/>
  <c r="AD8" i="110"/>
  <c r="AA68" i="110" l="1"/>
  <c r="AD9" i="110"/>
  <c r="AC14" i="110"/>
  <c r="AC74" i="110"/>
  <c r="AC9" i="110"/>
  <c r="W8" i="110"/>
  <c r="Y8" i="110"/>
  <c r="Z14" i="110"/>
  <c r="Y9" i="110"/>
  <c r="X74" i="110"/>
  <c r="X9" i="110"/>
  <c r="V14" i="110" l="1"/>
  <c r="W74" i="110" l="1"/>
  <c r="W9" i="110"/>
  <c r="V8" i="110"/>
  <c r="V9" i="110" s="1"/>
  <c r="U8" i="110"/>
  <c r="U9" i="110" s="1"/>
  <c r="D26" i="30"/>
  <c r="D27" i="30"/>
  <c r="D28" i="30"/>
  <c r="D29" i="30"/>
  <c r="D30" i="30"/>
  <c r="D31" i="30"/>
  <c r="D32" i="30"/>
  <c r="D33" i="30"/>
  <c r="D34" i="30"/>
  <c r="D35" i="30"/>
  <c r="D36" i="30"/>
  <c r="D3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8" i="30"/>
  <c r="D7" i="30"/>
  <c r="R9" i="110"/>
  <c r="D38" i="30" l="1"/>
  <c r="Q8" i="110"/>
  <c r="Q9" i="110" s="1"/>
  <c r="P74" i="110"/>
  <c r="P8" i="110"/>
  <c r="P9" i="110" s="1"/>
  <c r="O9" i="110"/>
  <c r="L9" i="110"/>
  <c r="M9" i="110"/>
  <c r="N8" i="110"/>
  <c r="N9" i="110" s="1"/>
  <c r="I74" i="110"/>
  <c r="K9" i="110" l="1"/>
  <c r="K92" i="110" s="1"/>
  <c r="J8" i="110" l="1"/>
  <c r="J9" i="110" s="1"/>
  <c r="I8" i="110"/>
  <c r="I9" i="110" s="1"/>
  <c r="H9" i="110"/>
  <c r="C8" i="110"/>
  <c r="C9" i="110" s="1"/>
  <c r="B9" i="110"/>
  <c r="E43" i="23" l="1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B8" i="29" l="1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B11" i="23"/>
  <c r="B12" i="23"/>
  <c r="B13" i="23"/>
  <c r="B14" i="23"/>
  <c r="B15" i="23"/>
  <c r="B16" i="23"/>
  <c r="B17" i="23"/>
  <c r="B18" i="23"/>
  <c r="B19" i="23"/>
  <c r="B20" i="23"/>
  <c r="B21" i="23"/>
  <c r="B8" i="28" l="1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H78" i="110" l="1"/>
  <c r="B83" i="110" l="1" a="1"/>
  <c r="B83" i="110" s="1"/>
  <c r="C11" i="23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22" i="23"/>
  <c r="B23" i="23"/>
  <c r="B24" i="23"/>
  <c r="B25" i="23"/>
  <c r="B26" i="23"/>
  <c r="B27" i="23"/>
  <c r="B28" i="23"/>
  <c r="D28" i="23" s="1"/>
  <c r="B29" i="23"/>
  <c r="B30" i="23"/>
  <c r="B31" i="23"/>
  <c r="B32" i="23"/>
  <c r="B33" i="23"/>
  <c r="B34" i="23"/>
  <c r="B35" i="23"/>
  <c r="B36" i="23"/>
  <c r="B37" i="23"/>
  <c r="B38" i="23"/>
  <c r="B39" i="23"/>
  <c r="B40" i="23"/>
  <c r="D27" i="23" l="1"/>
  <c r="AH83" i="110"/>
  <c r="D26" i="23"/>
  <c r="D23" i="23"/>
  <c r="D30" i="23"/>
  <c r="D37" i="23"/>
  <c r="D33" i="23"/>
  <c r="D32" i="23"/>
  <c r="D31" i="23"/>
  <c r="D29" i="23"/>
  <c r="D34" i="23"/>
  <c r="D20" i="23"/>
  <c r="D19" i="23"/>
  <c r="D17" i="23"/>
  <c r="D25" i="23"/>
  <c r="D11" i="23"/>
  <c r="D18" i="23"/>
  <c r="D24" i="23"/>
  <c r="D22" i="23"/>
  <c r="D36" i="23"/>
  <c r="D35" i="23"/>
  <c r="D21" i="23"/>
  <c r="O8" i="28" l="1"/>
  <c r="O9" i="28"/>
  <c r="F92" i="110" l="1"/>
  <c r="K37" i="29" l="1"/>
  <c r="E37" i="29"/>
  <c r="I37" i="29" s="1"/>
  <c r="J37" i="29"/>
  <c r="H37" i="29" l="1"/>
  <c r="D92" i="110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2" i="110" l="1"/>
  <c r="G11" i="23" l="1"/>
  <c r="H11" i="23" s="1"/>
  <c r="G12" i="23"/>
  <c r="H12" i="23" s="1"/>
  <c r="G13" i="23"/>
  <c r="H13" i="23" s="1"/>
  <c r="G14" i="23"/>
  <c r="H14" i="23" s="1"/>
  <c r="G15" i="23"/>
  <c r="H15" i="23" s="1"/>
  <c r="G16" i="23"/>
  <c r="H16" i="23" s="1"/>
  <c r="G17" i="23"/>
  <c r="H17" i="23" s="1"/>
  <c r="G18" i="23"/>
  <c r="H18" i="23" s="1"/>
  <c r="G19" i="23"/>
  <c r="H19" i="23" s="1"/>
  <c r="G20" i="23"/>
  <c r="H20" i="23" s="1"/>
  <c r="G21" i="23"/>
  <c r="H21" i="23" s="1"/>
  <c r="G22" i="23"/>
  <c r="H22" i="23" s="1"/>
  <c r="G23" i="23"/>
  <c r="H23" i="23" s="1"/>
  <c r="G24" i="23"/>
  <c r="H24" i="23" s="1"/>
  <c r="G25" i="23"/>
  <c r="H25" i="23" s="1"/>
  <c r="G26" i="23"/>
  <c r="H26" i="23" s="1"/>
  <c r="G27" i="23"/>
  <c r="H27" i="23" s="1"/>
  <c r="G28" i="23"/>
  <c r="H28" i="23" s="1"/>
  <c r="G29" i="23"/>
  <c r="H29" i="23" s="1"/>
  <c r="G30" i="23"/>
  <c r="H30" i="23" s="1"/>
  <c r="G31" i="23"/>
  <c r="H31" i="23" s="1"/>
  <c r="G32" i="23"/>
  <c r="H32" i="23" s="1"/>
  <c r="G33" i="23"/>
  <c r="H33" i="23" s="1"/>
  <c r="G34" i="23"/>
  <c r="H34" i="23" s="1"/>
  <c r="G35" i="23"/>
  <c r="H35" i="23" s="1"/>
  <c r="G36" i="23"/>
  <c r="H36" i="23" s="1"/>
  <c r="G37" i="23"/>
  <c r="H37" i="23" s="1"/>
  <c r="G38" i="23"/>
  <c r="G39" i="23"/>
  <c r="G40" i="23"/>
  <c r="G10" i="23"/>
  <c r="C10" i="23"/>
  <c r="B10" i="23"/>
  <c r="D10" i="23" l="1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H10" i="23" l="1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B77" i="110" s="1"/>
  <c r="AH77" i="110" l="1"/>
  <c r="D24" i="31"/>
  <c r="D7" i="28" l="1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S38" i="28" a="1"/>
  <c r="S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38" i="28" l="1"/>
  <c r="W37" i="28"/>
  <c r="W10" i="28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B75" i="110" l="1" a="1"/>
  <c r="X27" i="28"/>
  <c r="X38" i="28"/>
  <c r="X35" i="28"/>
  <c r="B92" i="110"/>
  <c r="D38" i="28"/>
  <c r="B75" i="110" l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H75" i="110" l="1"/>
  <c r="E7" i="28" a="1"/>
  <c r="X40" i="28"/>
  <c r="E7" i="28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31" i="23"/>
  <c r="K19" i="23"/>
  <c r="K38" i="23"/>
  <c r="AI68" i="110"/>
  <c r="H7" i="31"/>
  <c r="K10" i="23" l="1"/>
  <c r="E38" i="28"/>
  <c r="C7" i="29"/>
  <c r="C38" i="29" s="1"/>
  <c r="D40" i="23" l="1"/>
  <c r="H40" i="23" l="1"/>
  <c r="F40" i="23"/>
  <c r="F28" i="23" l="1"/>
  <c r="F27" i="23" l="1"/>
  <c r="F26" i="23"/>
  <c r="F25" i="23" l="1"/>
  <c r="F22" i="23" l="1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D39" i="23"/>
  <c r="D38" i="23"/>
  <c r="H38" i="23" l="1"/>
  <c r="H39" i="23"/>
  <c r="F29" i="23"/>
  <c r="F30" i="23"/>
  <c r="F31" i="23"/>
  <c r="F32" i="23"/>
  <c r="F39" i="23"/>
  <c r="F38" i="23"/>
  <c r="F37" i="23"/>
  <c r="F36" i="23"/>
  <c r="F35" i="23"/>
  <c r="F34" i="23"/>
  <c r="F33" i="23"/>
  <c r="B29" i="30"/>
  <c r="E29" i="30" s="1"/>
  <c r="B32" i="30"/>
  <c r="E32" i="30" s="1"/>
  <c r="B26" i="30"/>
  <c r="E26" i="30" s="1"/>
  <c r="B33" i="30"/>
  <c r="E33" i="30" s="1"/>
  <c r="B35" i="30"/>
  <c r="B27" i="30"/>
  <c r="E27" i="30" s="1"/>
  <c r="B30" i="30"/>
  <c r="B34" i="30"/>
  <c r="E34" i="30" s="1"/>
  <c r="B37" i="30"/>
  <c r="E37" i="30" s="1"/>
  <c r="B36" i="30"/>
  <c r="B28" i="30"/>
  <c r="E28" i="30" s="1"/>
  <c r="B31" i="30"/>
  <c r="E31" i="30" s="1"/>
  <c r="AF19" i="110"/>
  <c r="AF39" i="110"/>
  <c r="AF57" i="110" s="1"/>
  <c r="AF40" i="110"/>
  <c r="AF58" i="110" s="1"/>
  <c r="AF46" i="110"/>
  <c r="AF65" i="110" s="1"/>
  <c r="AF47" i="110"/>
  <c r="AF56" i="110"/>
  <c r="AF79" i="110"/>
  <c r="AF85" i="110"/>
  <c r="AF92" i="110"/>
  <c r="AF100" i="110"/>
  <c r="AF103" i="110"/>
  <c r="AF105" i="110" s="1"/>
  <c r="AF106" i="110"/>
  <c r="E30" i="30" l="1"/>
  <c r="C15" i="30"/>
  <c r="C8" i="30"/>
  <c r="C9" i="30"/>
  <c r="C10" i="30"/>
  <c r="C12" i="30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E35" i="30" s="1"/>
  <c r="C36" i="30"/>
  <c r="E36" i="30" s="1"/>
  <c r="C7" i="30"/>
  <c r="B19" i="30"/>
  <c r="E19" i="30" s="1"/>
  <c r="B22" i="30"/>
  <c r="E22" i="30" s="1"/>
  <c r="B24" i="30"/>
  <c r="E24" i="30" s="1"/>
  <c r="B25" i="30"/>
  <c r="E25" i="30" s="1"/>
  <c r="F21" i="23" l="1"/>
  <c r="F24" i="23"/>
  <c r="F19" i="23"/>
  <c r="F16" i="23"/>
  <c r="F23" i="23"/>
  <c r="F20" i="23"/>
  <c r="F18" i="23"/>
  <c r="F17" i="23"/>
  <c r="F13" i="23"/>
  <c r="B15" i="30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C32" i="30"/>
  <c r="C30" i="30"/>
  <c r="C13" i="30"/>
  <c r="C31" i="30"/>
  <c r="C28" i="30"/>
  <c r="AH25" i="110"/>
  <c r="C38" i="30" l="1"/>
  <c r="E10" i="30"/>
  <c r="F10" i="23"/>
  <c r="F15" i="23"/>
  <c r="F12" i="23"/>
  <c r="F11" i="23"/>
  <c r="F14" i="23"/>
  <c r="D43" i="23"/>
  <c r="F43" i="23" s="1"/>
  <c r="B12" i="30"/>
  <c r="E12" i="30" s="1"/>
  <c r="B9" i="30"/>
  <c r="E9" i="30" s="1"/>
  <c r="B11" i="30"/>
  <c r="E11" i="30" s="1"/>
  <c r="B8" i="30"/>
  <c r="E8" i="30" s="1"/>
  <c r="B7" i="30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B38" i="30" l="1"/>
  <c r="E7" i="30"/>
  <c r="E38" i="30" s="1"/>
  <c r="B80" i="110" a="1"/>
  <c r="AD94" i="110" s="1"/>
  <c r="E44" i="23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V94" i="110" l="1"/>
  <c r="W94" i="110"/>
  <c r="O94" i="110"/>
  <c r="P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R94" i="110"/>
  <c r="N94" i="110"/>
  <c r="M94" i="110"/>
  <c r="L94" i="110"/>
  <c r="X94" i="110"/>
  <c r="U94" i="110"/>
  <c r="Q94" i="110"/>
  <c r="J94" i="110"/>
  <c r="F94" i="110"/>
  <c r="E94" i="110"/>
  <c r="G94" i="110"/>
  <c r="B80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AH80" i="110" l="1"/>
  <c r="AH140" i="110" s="1"/>
  <c r="B94" i="110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H94" i="110" l="1"/>
  <c r="AD79" i="111"/>
  <c r="AE79" i="111"/>
  <c r="E8" i="29" l="1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K35" i="29"/>
  <c r="K36" i="29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15" i="110" s="1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H8" i="29" l="1"/>
  <c r="Z35" i="31"/>
  <c r="I38" i="23" s="1"/>
  <c r="H29" i="29"/>
  <c r="H28" i="29"/>
  <c r="H15" i="29"/>
  <c r="H12" i="29"/>
  <c r="AF31" i="110"/>
  <c r="AF63" i="110"/>
  <c r="AF30" i="110"/>
  <c r="AF54" i="110"/>
  <c r="H35" i="29"/>
  <c r="H27" i="29"/>
  <c r="C39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B81" i="110" l="1"/>
  <c r="AH81" i="110" s="1"/>
  <c r="K17" i="23"/>
  <c r="B82" i="110" a="1"/>
  <c r="B82" i="110" s="1"/>
  <c r="AH82" i="110" s="1"/>
  <c r="AF32" i="110"/>
  <c r="AF116" i="110"/>
  <c r="I32" i="23"/>
  <c r="B7" i="28"/>
  <c r="B36" i="113"/>
  <c r="B7" i="29"/>
  <c r="B38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9" i="29" l="1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B76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AH76" i="110" l="1"/>
  <c r="K12" i="23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L92" i="110" l="1"/>
  <c r="L56" i="110"/>
  <c r="G93" i="111"/>
  <c r="I56" i="110"/>
  <c r="C56" i="110"/>
  <c r="J93" i="110"/>
  <c r="O92" i="110"/>
  <c r="S56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E7" i="29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F38" i="31" l="1"/>
  <c r="B71" i="110"/>
  <c r="I7" i="29"/>
  <c r="K13" i="29"/>
  <c r="H54" i="111" s="1"/>
  <c r="H84" i="111" s="1"/>
  <c r="I13" i="29"/>
  <c r="K11" i="29"/>
  <c r="F54" i="111" s="1"/>
  <c r="F84" i="111" s="1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H84" i="110"/>
  <c r="H96" i="110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S58" i="110"/>
  <c r="Z58" i="110"/>
  <c r="Y58" i="110"/>
  <c r="W58" i="110"/>
  <c r="K58" i="110"/>
  <c r="T58" i="110"/>
  <c r="O58" i="110"/>
  <c r="G58" i="110"/>
  <c r="R58" i="110"/>
  <c r="P58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F84" i="110"/>
  <c r="F96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I54" i="111" l="1"/>
  <c r="I84" i="111" s="1"/>
  <c r="AD59" i="110"/>
  <c r="AD50" i="110"/>
  <c r="AH85" i="110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AH19" i="110"/>
  <c r="C54" i="111"/>
  <c r="AC62" i="111"/>
  <c r="Y62" i="111"/>
  <c r="Y78" i="111" s="1"/>
  <c r="C54" i="110"/>
  <c r="C68" i="110" s="1"/>
  <c r="C84" i="110"/>
  <c r="C96" i="110" s="1"/>
  <c r="B22" i="110"/>
  <c r="B90" i="110" s="1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H90" i="110" s="1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O32" i="110" l="1"/>
  <c r="AG54" i="111"/>
  <c r="F68" i="110"/>
  <c r="AH84" i="110"/>
  <c r="AH50" i="110"/>
  <c r="C84" i="111"/>
  <c r="AH22" i="110"/>
  <c r="I43" i="23"/>
  <c r="AH31" i="110"/>
  <c r="B68" i="110"/>
  <c r="AH30" i="110"/>
  <c r="AH26" i="110"/>
  <c r="D38" i="109"/>
  <c r="AE68" i="110"/>
  <c r="AC32" i="110"/>
  <c r="B32" i="110"/>
  <c r="AH116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Q9" i="111"/>
  <c r="Q74" i="111" s="1"/>
  <c r="Q61" i="110"/>
  <c r="Q59" i="110"/>
  <c r="Q62" i="110"/>
  <c r="Q54" i="110"/>
  <c r="Q93" i="110"/>
  <c r="K29" i="23" s="1"/>
  <c r="K43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AJ94" i="110" l="1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61" i="110"/>
  <c r="AJ61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P10" i="23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AH93" i="110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F7" i="28"/>
  <c r="F38" i="28" s="1"/>
  <c r="G38" i="28" s="1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L7" i="29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H96" i="110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AA7" i="3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H5" i="32"/>
  <c r="Q69" i="111"/>
  <c r="AH92" i="110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H68" i="110" l="1"/>
  <c r="AK94" i="110"/>
  <c r="AG67" i="11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G7" i="28"/>
  <c r="AG75" i="111"/>
  <c r="AI75" i="111" s="1"/>
  <c r="AG81" i="111"/>
  <c r="AI81" i="111" s="1"/>
  <c r="AG68" i="111"/>
  <c r="AI68" i="111" s="1"/>
  <c r="AG69" i="111"/>
  <c r="AG82" i="111"/>
  <c r="AI82" i="111" s="1"/>
  <c r="AG73" i="111"/>
  <c r="AI73" i="111" s="1"/>
  <c r="AG80" i="111"/>
  <c r="AI80" i="111" s="1"/>
  <c r="AJ69" i="110"/>
  <c r="AH69" i="110"/>
  <c r="P43" i="23"/>
  <c r="Q44" i="23" s="1"/>
  <c r="R44" i="23" s="1"/>
  <c r="S44" i="23" s="1"/>
  <c r="T44" i="23" s="1"/>
  <c r="Q10" i="23"/>
  <c r="R10" i="23" s="1"/>
  <c r="S10" i="23" s="1"/>
  <c r="T10" i="23" s="1"/>
  <c r="AK93" i="110"/>
  <c r="AJ93" i="110"/>
  <c r="Q79" i="111"/>
  <c r="AA38" i="31"/>
  <c r="AB38" i="31" s="1"/>
  <c r="AD38" i="31" s="1"/>
  <c r="AB7" i="31"/>
  <c r="AJ90" i="110"/>
  <c r="AK90" i="110"/>
  <c r="Q78" i="111"/>
  <c r="M7" i="29"/>
  <c r="M38" i="29"/>
  <c r="O38" i="29" s="1"/>
  <c r="AK92" i="110"/>
  <c r="AJ92" i="110"/>
  <c r="AK96" i="110"/>
  <c r="AJ96" i="110"/>
  <c r="AD42" i="111"/>
  <c r="AG29" i="111"/>
  <c r="AG64" i="111" s="1"/>
  <c r="AJ54" i="110"/>
  <c r="AJ68" i="110" s="1"/>
  <c r="H36" i="32"/>
  <c r="F7" i="30"/>
  <c r="AG42" i="111" l="1"/>
  <c r="AG79" i="111"/>
  <c r="AI69" i="111"/>
  <c r="AI79" i="111" s="1"/>
  <c r="F38" i="30"/>
  <c r="G38" i="30" s="1"/>
  <c r="I38" i="30" s="1"/>
  <c r="G7" i="30"/>
  <c r="AI64" i="11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E23" authorId="0" shapeId="0" xr:uid="{1D51734D-670E-47B5-8FE1-E55FDB84CDCC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Cloudy and rainy day</t>
        </r>
      </text>
    </comment>
    <comment ref="B25" authorId="0" shapeId="0" xr:uid="{2492DEDD-226B-43B0-9624-484550D9CFD4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Glycol Pump OFF </t>
        </r>
      </text>
    </comment>
    <comment ref="B26" authorId="0" shapeId="0" xr:uid="{3ED1DE33-520A-4AFD-93DF-244D2478745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Glycol Pump OFF + RU System Off</t>
        </r>
      </text>
    </comment>
    <comment ref="E31" authorId="0" shapeId="0" xr:uid="{F51E3D1A-10D4-4C31-83C3-C11C5E79744D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Cloudy and rainy 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  <author>Anthony Foresyth</author>
    <author>Delano Pasea</author>
  </authors>
  <commentList>
    <comment ref="X42" authorId="0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A9E446E9-41C9-4E8B-8480-1E1A6C31BDA5}">
      <text>
        <r>
          <rPr>
            <sz val="12"/>
            <color indexed="81"/>
            <rFont val="Tahoma"/>
            <family val="2"/>
          </rPr>
          <t xml:space="preserve">Tank A 5800 kgs
Tank B 0kgs
Tank C 17,505 Kgs
mobile approx 16900Kgs 
</t>
        </r>
      </text>
    </comment>
    <comment ref="C74" authorId="2" shapeId="0" xr:uid="{80D58E25-809E-45BF-ABFF-143E7CE8AD7F}">
      <text>
        <r>
          <rPr>
            <sz val="12"/>
            <color indexed="81"/>
            <rFont val="Tahoma"/>
            <family val="2"/>
          </rPr>
          <t xml:space="preserve">Tank A 4600 kgs
Tank B 0kgs
Tank C 17,505 Kgs
mobile approx 16900Kgs 
</t>
        </r>
      </text>
    </comment>
    <comment ref="D74" authorId="2" shapeId="0" xr:uid="{EDBBD292-DEF7-4F02-8B85-DDE523504437}">
      <text>
        <r>
          <rPr>
            <sz val="12"/>
            <color indexed="81"/>
            <rFont val="Tahoma"/>
            <family val="2"/>
          </rPr>
          <t xml:space="preserve">Tank A 3200 kgs
Tank B 0kgs
Tank C 17,505 Kgs
mobile approx 16900Kgs 
</t>
        </r>
      </text>
    </comment>
    <comment ref="H74" authorId="2" shapeId="0" xr:uid="{217A7F8D-20A3-4B9B-B2E5-77CA303ECAD9}">
      <text>
        <r>
          <rPr>
            <sz val="12"/>
            <color indexed="81"/>
            <rFont val="Tahoma"/>
            <family val="2"/>
          </rPr>
          <t xml:space="preserve">Tank A 2600 kgs
Tank B 0kgs
Tank C 17,505 Kgs
mobile approx 16900Kgs 
</t>
        </r>
      </text>
    </comment>
    <comment ref="I74" authorId="2" shapeId="0" xr:uid="{E8781EB0-6BD6-445C-96FE-2CAFFACE7F72}">
      <text>
        <r>
          <rPr>
            <sz val="12"/>
            <color indexed="81"/>
            <rFont val="Tahoma"/>
            <family val="2"/>
          </rPr>
          <t xml:space="preserve">Tank A 1900 kgs
Tank B 0kgs
Tank C 17,505 Kgs
mobile approx 16900Kgs 
Tank A mt'd and refilled to 11500Kgs
4100 Kgs transferred into Tank C
1300 Kgs from mobile used on line
Mobile Mt'd
</t>
        </r>
      </text>
    </comment>
    <comment ref="J74" authorId="2" shapeId="0" xr:uid="{586330C0-BB79-4DC2-BFD9-3925F413F21D}">
      <text>
        <r>
          <rPr>
            <sz val="12"/>
            <color indexed="81"/>
            <rFont val="Tahoma"/>
            <family val="2"/>
          </rPr>
          <t xml:space="preserve">Tank A 10800kgs
Tank B 0kgs
Tank C 21600Kgs
mobile approx 0Kgs 
</t>
        </r>
      </text>
    </comment>
    <comment ref="K74" authorId="2" shapeId="0" xr:uid="{36895F66-9A14-41EE-A872-94A23E5CB58D}">
      <text>
        <r>
          <rPr>
            <sz val="12"/>
            <color indexed="81"/>
            <rFont val="Tahoma"/>
            <family val="2"/>
          </rPr>
          <t xml:space="preserve">Tank A 6800kgs
Tank B 0kgs
Tank C 21600Kgs
mobile approx 0Kgs 
</t>
        </r>
      </text>
    </comment>
    <comment ref="L74" authorId="2" shapeId="0" xr:uid="{641B9B81-2EE3-4481-B282-C21CB4BB9DBA}">
      <text>
        <r>
          <rPr>
            <sz val="12"/>
            <color indexed="81"/>
            <rFont val="Tahoma"/>
            <family val="2"/>
          </rPr>
          <t xml:space="preserve">Tank A 6800kgs
Tank B 0kgs
Tank C 21600Kgs
mobile approx 0Kgs 
</t>
        </r>
      </text>
    </comment>
    <comment ref="M74" authorId="2" shapeId="0" xr:uid="{D4522E95-F0C2-4840-82CF-FC5FFC7D4A62}">
      <text>
        <r>
          <rPr>
            <sz val="12"/>
            <color indexed="81"/>
            <rFont val="Tahoma"/>
            <family val="2"/>
          </rPr>
          <t xml:space="preserve">Tank A 6800kgs
Tank B 0kgs
Tank C 21600Kgs
mobile approx 0Kgs 
</t>
        </r>
      </text>
    </comment>
    <comment ref="N74" authorId="2" shapeId="0" xr:uid="{46BA635C-488D-4001-AB57-F3E2504B7414}">
      <text>
        <r>
          <rPr>
            <sz val="12"/>
            <color indexed="81"/>
            <rFont val="Tahoma"/>
            <family val="2"/>
          </rPr>
          <t xml:space="preserve">Tank A 6800kgs
Tank B 0kgs
Tank C 21600Kgs
mobile approx 0Kgs 
</t>
        </r>
      </text>
    </comment>
    <comment ref="O74" authorId="2" shapeId="0" xr:uid="{52E5FDBF-D15A-460C-9DCE-A83BC3494836}">
      <text>
        <r>
          <rPr>
            <sz val="12"/>
            <color indexed="81"/>
            <rFont val="Tahoma"/>
            <family val="2"/>
          </rPr>
          <t xml:space="preserve">Tank A 4200kgs
Tank B 0kgs
Tank C 21600Kgs
mobile approx 0Kgs 
</t>
        </r>
      </text>
    </comment>
    <comment ref="P74" authorId="2" shapeId="0" xr:uid="{E652D74E-1F25-4A63-8892-C9E4105A2543}">
      <text>
        <r>
          <rPr>
            <sz val="12"/>
            <color indexed="81"/>
            <rFont val="Tahoma"/>
            <family val="2"/>
          </rPr>
          <t xml:space="preserve">Tank A 2200kgs
Tank B 0kgs
Tank C 21600Kgs
mobile approx 0Kgs 
</t>
        </r>
      </text>
    </comment>
    <comment ref="Q74" authorId="2" shapeId="0" xr:uid="{BF66C3D8-6478-4021-B5B1-905FC139B825}">
      <text>
        <r>
          <rPr>
            <sz val="12"/>
            <color indexed="81"/>
            <rFont val="Tahoma"/>
            <family val="2"/>
          </rPr>
          <t xml:space="preserve">Tank A 0kgs
Tank B 0kgs
Tank C 21200Kgs
mobile approx 0Kgs 
</t>
        </r>
      </text>
    </comment>
    <comment ref="R74" authorId="2" shapeId="0" xr:uid="{1217F531-1F93-4A8E-B4D7-C674EF57DEB9}">
      <text>
        <r>
          <rPr>
            <sz val="12"/>
            <color indexed="81"/>
            <rFont val="Tahoma"/>
            <family val="2"/>
          </rPr>
          <t xml:space="preserve">Tank A 0kgs
Tank B 0kgs
Tank C 19100Kgs
mobile approx 0Kgs 
</t>
        </r>
      </text>
    </comment>
    <comment ref="S74" authorId="2" shapeId="0" xr:uid="{80A75092-EA4B-4596-B170-752251A1C0FF}">
      <text>
        <r>
          <rPr>
            <sz val="12"/>
            <color indexed="81"/>
            <rFont val="Tahoma"/>
            <family val="2"/>
          </rPr>
          <t xml:space="preserve">Tank A 0kgs
Tank B 0kgs
Tank C 17500Kgs
mobile approx 20000Kgs 
</t>
        </r>
      </text>
    </comment>
    <comment ref="T74" authorId="2" shapeId="0" xr:uid="{D3F7BF2E-8E52-42F0-88A2-BA62ABDB6973}">
      <text>
        <r>
          <rPr>
            <sz val="12"/>
            <color indexed="81"/>
            <rFont val="Tahoma"/>
            <family val="2"/>
          </rPr>
          <t xml:space="preserve">unaccounted from NMHU0000509 
</t>
        </r>
      </text>
    </comment>
    <comment ref="U74" authorId="2" shapeId="0" xr:uid="{BD0CC2BD-FF51-4A8F-BF0A-6CC0714DE8F8}">
      <text>
        <r>
          <rPr>
            <sz val="12"/>
            <color indexed="81"/>
            <rFont val="Tahoma"/>
            <family val="2"/>
          </rPr>
          <t xml:space="preserve">Tank A 0kgs
Tank B 0kgs
Tank C 17500Kgs
mobile approx 19300Kgs 
</t>
        </r>
      </text>
    </comment>
    <comment ref="V74" authorId="2" shapeId="0" xr:uid="{48D6EEAD-6F58-4DAD-9024-E85209FDD1BC}">
      <text>
        <r>
          <rPr>
            <sz val="12"/>
            <color indexed="81"/>
            <rFont val="Tahoma"/>
            <family val="2"/>
          </rPr>
          <t xml:space="preserve">Tank A 0kgs
Tank B 0kgs
Tank C15900Kgs
mobile approx 19300Kgs 
</t>
        </r>
      </text>
    </comment>
    <comment ref="W74" authorId="2" shapeId="0" xr:uid="{31A309C2-BC6F-4DB0-B15A-4760DF121B60}">
      <text>
        <r>
          <rPr>
            <sz val="12"/>
            <color indexed="81"/>
            <rFont val="Tahoma"/>
            <family val="2"/>
          </rPr>
          <t xml:space="preserve">Tank A 0kgs
Tank B 0kgs
Tank C14200Kgs
mobile approx 20000Kgs 
</t>
        </r>
      </text>
    </comment>
    <comment ref="X74" authorId="2" shapeId="0" xr:uid="{C060E910-CD24-4A4A-B2EB-FB5FA422152A}">
      <text>
        <r>
          <rPr>
            <sz val="12"/>
            <color indexed="81"/>
            <rFont val="Tahoma"/>
            <family val="2"/>
          </rPr>
          <t>Tank A 0kgs
Tank B 0kgs
Tank C12600Kgs
mobile approx 17900Kgs 
Tank A filled to 11900
Tank C - 4100 Kgs added
Mobile emptied</t>
        </r>
      </text>
    </comment>
    <comment ref="Y74" authorId="2" shapeId="0" xr:uid="{0AC11FAA-A1CA-486A-B055-9899C60C1792}">
      <text>
        <r>
          <rPr>
            <sz val="12"/>
            <color indexed="81"/>
            <rFont val="Tahoma"/>
            <family val="2"/>
          </rPr>
          <t xml:space="preserve">Tank A 11900kgs
Tank B 0kgs
Tank C15100Kgs
mobile approx 0Kgs 
</t>
        </r>
      </text>
    </comment>
    <comment ref="Z74" authorId="2" shapeId="0" xr:uid="{E5E196EC-B1ED-4F81-8E13-7A2F5D35C609}">
      <text>
        <r>
          <rPr>
            <sz val="12"/>
            <color indexed="81"/>
            <rFont val="Tahoma"/>
            <family val="2"/>
          </rPr>
          <t xml:space="preserve">Tank A 10100kgs
Tank B 0kgs
Tank C15100Kgs
mobile approx 0Kgs 
</t>
        </r>
      </text>
    </comment>
    <comment ref="AA74" authorId="2" shapeId="0" xr:uid="{9DE17C20-7B28-4BF6-A59F-F96613A5AF74}">
      <text>
        <r>
          <rPr>
            <sz val="12"/>
            <color indexed="81"/>
            <rFont val="Tahoma"/>
            <family val="2"/>
          </rPr>
          <t xml:space="preserve">Tank A 10100kgs
Tank B 0kgs
Tank C15100Kgs
mobile approx 0Kgs 
</t>
        </r>
      </text>
    </comment>
    <comment ref="AB74" authorId="2" shapeId="0" xr:uid="{4AC51EB1-4E4A-4752-977C-4E89AAD1E060}">
      <text>
        <r>
          <rPr>
            <sz val="12"/>
            <color indexed="81"/>
            <rFont val="Tahoma"/>
            <family val="2"/>
          </rPr>
          <t xml:space="preserve">Tank A 10100kgs
Tank B 0kgs
Tank C15100Kgs
mobile approx 0Kgs 
</t>
        </r>
      </text>
    </comment>
    <comment ref="AC74" authorId="2" shapeId="0" xr:uid="{1CB271D8-047C-4AC4-9B82-E46DBEA37B6A}">
      <text>
        <r>
          <rPr>
            <sz val="12"/>
            <color indexed="81"/>
            <rFont val="Tahoma"/>
            <family val="2"/>
          </rPr>
          <t xml:space="preserve">Tank A 8500kgs
Tank B 0kgs
Tank C15100Kgs
mobile approx 18000Kgs 
</t>
        </r>
      </text>
    </comment>
    <comment ref="AD74" authorId="2" shapeId="0" xr:uid="{9D8F4D0D-15FE-4B84-9A09-638F3BF75039}">
      <text>
        <r>
          <rPr>
            <sz val="12"/>
            <color indexed="81"/>
            <rFont val="Tahoma"/>
            <family val="2"/>
          </rPr>
          <t xml:space="preserve">Tank A 6900kgs
Tank B 0kgs
Tank C15100Kgs
mobile approx 15800Kgs 
</t>
        </r>
      </text>
    </comment>
    <comment ref="AE74" authorId="2" shapeId="0" xr:uid="{8C91AFDC-1793-4B22-AD50-64A2FE700C4C}">
      <text>
        <r>
          <rPr>
            <sz val="12"/>
            <color indexed="81"/>
            <rFont val="Tahoma"/>
            <family val="2"/>
          </rPr>
          <t xml:space="preserve">Tank A 5000kgs
Tank B 0kgs
Tank C15100Kgs
mobile approx 15800Kgs 
</t>
        </r>
      </text>
    </comment>
    <comment ref="AF74" authorId="2" shapeId="0" xr:uid="{AD5031CB-935E-4788-8AB6-C8138AA9B526}">
      <text>
        <r>
          <rPr>
            <sz val="12"/>
            <color indexed="81"/>
            <rFont val="Tahoma"/>
            <family val="2"/>
          </rPr>
          <t xml:space="preserve">Tank A 3000kgs
Tank B 0kgs
Tank C15100Kgs
mobile approx 15800Kgs 
</t>
        </r>
      </text>
    </comment>
    <comment ref="K75" authorId="0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0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L80" authorId="0" shapeId="0" xr:uid="{B0250DD2-493F-4236-BB48-D902450D067E}">
      <text>
        <r>
          <rPr>
            <b/>
            <sz val="16"/>
            <color indexed="81"/>
            <rFont val="Tahoma"/>
            <family val="2"/>
          </rPr>
          <t>Alexander Dominguez-Ramon:
Yesterday 2/11/2026 the Setpoint of the RU2 Hanbell Screw Compressor was setted at -2 °C at 8:30 am.
Temperature On: 0 °C
Temperature Off: -2 °C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<sst xmlns="http://schemas.openxmlformats.org/spreadsheetml/2006/main" count="630" uniqueCount="323">
  <si>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</si>
  <si>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</si>
  <si>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</si>
  <si>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</si>
  <si>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</si>
  <si>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</si>
  <si>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</si>
  <si>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</si>
  <si>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</si>
  <si>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</si>
  <si>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</si>
  <si>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</si>
  <si>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</si>
  <si>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</si>
  <si>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</si>
  <si>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</si>
  <si>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</si>
  <si>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</si>
  <si>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</si>
  <si>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</si>
  <si>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</si>
  <si>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</si>
  <si>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</si>
  <si>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</si>
  <si>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</si>
  <si>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</si>
  <si>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</si>
  <si>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</si>
  <si>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</si>
  <si>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</si>
  <si>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</si>
  <si>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</si>
  <si>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</si>
  <si>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</si>
  <si>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</si>
  <si>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</si>
  <si>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</si>
  <si>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</si>
  <si>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</si>
  <si>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</si>
  <si>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</si>
  <si>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</si>
  <si>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</si>
  <si>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</si>
  <si>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</si>
  <si>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</si>
  <si>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</si>
  <si>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</si>
  <si>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</si>
  <si>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</si>
  <si>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</si>
  <si>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</si>
  <si>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</si>
  <si>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</si>
  <si>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</si>
  <si>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</si>
  <si>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</si>
  <si>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</si>
  <si>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</si>
  <si>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</si>
  <si>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</si>
  <si>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</si>
  <si>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</si>
  <si>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</si>
  <si>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</si>
  <si>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</si>
  <si>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</si>
  <si>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</si>
  <si>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</si>
  <si>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</si>
  <si>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</si>
  <si>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</si>
  <si>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</si>
  <si>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</si>
  <si>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</si>
  <si>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</si>
  <si>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</si>
  <si>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</si>
  <si>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</si>
  <si>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</si>
  <si>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</si>
  <si>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</si>
  <si>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</si>
  <si>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</si>
  <si>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</si>
  <si>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</si>
  <si>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</si>
  <si>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</si>
  <si>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</si>
  <si>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</si>
  <si>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</si>
  <si>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</si>
  <si>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</si>
  <si>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</si>
  <si>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</si>
  <si>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</si>
  <si>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</si>
  <si>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</si>
  <si>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</si>
  <si>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</si>
  <si>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</si>
  <si>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</si>
  <si>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</si>
  <si>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</si>
  <si>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</si>
  <si>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</si>
  <si>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</si>
  <si>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</si>
  <si>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</si>
  <si>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</si>
  <si>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</si>
  <si>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</si>
  <si>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</si>
  <si>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</si>
  <si>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</si>
  <si>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</si>
  <si>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</si>
  <si>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</si>
  <si>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</si>
  <si>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</si>
  <si>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</si>
  <si>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</si>
  <si>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</si>
  <si>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</si>
  <si>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</si>
  <si>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</si>
  <si>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</si>
  <si>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</si>
  <si>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</si>
  <si>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</si>
  <si>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</si>
  <si>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</si>
  <si>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</si>
  <si>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</si>
  <si>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</si>
  <si>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</si>
  <si>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</si>
  <si>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</si>
  <si>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</si>
  <si>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</si>
  <si>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</si>
  <si>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</si>
  <si>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</si>
  <si>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</si>
  <si>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</si>
  <si>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</si>
  <si>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</si>
  <si>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</si>
  <si>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</si>
  <si>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</si>
  <si>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</si>
  <si>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</si>
  <si>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</si>
  <si>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</si>
  <si>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</si>
  <si>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</si>
  <si>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</si>
  <si>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</si>
  <si>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</si>
  <si>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</si>
  <si>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</si>
  <si>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</si>
  <si>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</si>
  <si>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</si>
  <si>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</si>
  <si>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</si>
  <si>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</si>
  <si>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</si>
  <si>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</si>
  <si>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</si>
  <si>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</si>
  <si>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</si>
  <si>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</si>
  <si>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</si>
  <si>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</si>
  <si>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</si>
  <si>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</si>
  <si>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</si>
  <si>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</si>
  <si>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</si>
  <si>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</si>
  <si>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</si>
  <si>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</si>
  <si>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</si>
  <si>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</si>
  <si>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</si>
  <si>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</si>
  <si>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</si>
  <si>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</si>
  <si>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</si>
  <si>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</si>
  <si>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</si>
  <si>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</si>
  <si>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</si>
  <si>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</si>
  <si>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</si>
  <si>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</si>
  <si>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</si>
  <si>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</si>
  <si>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</si>
  <si>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</si>
  <si>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</si>
  <si>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</si>
  <si>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</si>
  <si>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</si>
  <si>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</si>
  <si>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</si>
  <si>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</si>
  <si>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</si>
  <si>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</si>
  <si>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</si>
  <si>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</si>
  <si>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</si>
  <si>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</si>
  <si>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</si>
  <si>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</si>
  <si>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</si>
  <si>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</si>
  <si>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</si>
  <si>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</si>
  <si>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</si>
  <si>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</si>
  <si>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</si>
  <si>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</si>
  <si>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</si>
  <si>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</si>
  <si>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</si>
  <si>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</si>
  <si>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</si>
  <si>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</si>
  <si>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</si>
  <si>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</si>
  <si>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</si>
  <si>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</si>
  <si>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</si>
  <si>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</si>
  <si>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</si>
  <si>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</si>
  <si>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</si>
  <si>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</si>
  <si>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</si>
  <si>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</si>
  <si>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</si>
  <si>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</si>
  <si>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</si>
  <si>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</si>
  <si>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</si>
  <si>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</si>
  <si>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</si>
  <si>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</si>
  <si>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</si>
  <si>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</si>
  <si>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</si>
  <si>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</si>
  <si>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</si>
  <si>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</si>
  <si>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</si>
  <si>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</si>
  <si>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</si>
  <si>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</si>
  <si>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</si>
  <si>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</si>
  <si>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</si>
  <si>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</si>
  <si>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</si>
  <si>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</si>
  <si>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</si>
  <si>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</si>
  <si>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</si>
  <si>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</si>
  <si>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</si>
  <si>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</si>
  <si>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</si>
  <si>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</si>
  <si>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</si>
  <si>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</si>
  <si>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</si>
  <si>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</si>
  <si>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</si>
  <si>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</si>
  <si>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</si>
  <si>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</si>
  <si>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</si>
  <si>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</si>
  <si>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</si>
  <si>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</si>
  <si>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</si>
  <si>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</si>
  <si>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</si>
  <si>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</si>
  <si>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CO2 Totalizer</t>
  </si>
  <si>
    <t>Solar System</t>
  </si>
  <si>
    <t xml:space="preserve">Solar System CARIB </t>
  </si>
  <si>
    <t>% (Solar/Total Usage)</t>
  </si>
  <si>
    <t>DAILY WATER CONSUMPTION FOR JANUARY 2026</t>
  </si>
  <si>
    <t>Electricity GRENLEC (Kwh.)</t>
  </si>
  <si>
    <t>DAILY FUEL CONSUMPTION FOR  APRIL 2026</t>
  </si>
  <si>
    <t>DAILY  ELECTRICITY  CONSUMPTION FOR  APRIL 2026</t>
  </si>
  <si>
    <t>PRODUCTION FOR APRIL 2026</t>
  </si>
  <si>
    <t>CO2 Daily Consumption for APRIL 2026</t>
  </si>
  <si>
    <t>VM/ VM Gin</t>
  </si>
  <si>
    <t>Psecco/CB</t>
  </si>
  <si>
    <t>CB</t>
  </si>
  <si>
    <t>GU</t>
  </si>
  <si>
    <t>Psecco</t>
  </si>
  <si>
    <r>
      <t>CB/</t>
    </r>
    <r>
      <rPr>
        <b/>
        <sz val="20"/>
        <color rgb="FF00A44A"/>
        <rFont val="Arial"/>
        <family val="2"/>
      </rPr>
      <t>ST</t>
    </r>
  </si>
  <si>
    <t>Electricity PV System Target=1405 (Kwh)</t>
  </si>
  <si>
    <t>ST</t>
  </si>
  <si>
    <r>
      <rPr>
        <b/>
        <sz val="20"/>
        <color rgb="FFFF00FF"/>
        <rFont val="Arial"/>
        <family val="2"/>
      </rPr>
      <t>Rose</t>
    </r>
    <r>
      <rPr>
        <b/>
        <sz val="20"/>
        <color rgb="FF0000FF"/>
        <rFont val="Arial"/>
        <family val="2"/>
      </rPr>
      <t>/CB</t>
    </r>
  </si>
  <si>
    <r>
      <t>CB/</t>
    </r>
    <r>
      <rPr>
        <b/>
        <sz val="20"/>
        <color rgb="FF92D050"/>
        <rFont val="Arial"/>
        <family val="2"/>
      </rPr>
      <t>SL</t>
    </r>
    <r>
      <rPr>
        <b/>
        <sz val="20"/>
        <color rgb="FF0000FF"/>
        <rFont val="Arial"/>
        <family val="2"/>
      </rPr>
      <t>/</t>
    </r>
    <r>
      <rPr>
        <b/>
        <sz val="20"/>
        <color rgb="FFFF0000"/>
        <rFont val="Arial"/>
        <family val="2"/>
      </rPr>
      <t>SS</t>
    </r>
  </si>
  <si>
    <r>
      <t>SS/</t>
    </r>
    <r>
      <rPr>
        <b/>
        <sz val="20"/>
        <color rgb="FF00B050"/>
        <rFont val="Arial"/>
        <family val="2"/>
      </rPr>
      <t>ST</t>
    </r>
  </si>
  <si>
    <r>
      <t>ST/</t>
    </r>
    <r>
      <rPr>
        <b/>
        <sz val="20"/>
        <color rgb="FF0000FF"/>
        <rFont val="Arial"/>
        <family val="2"/>
      </rPr>
      <t>CB</t>
    </r>
  </si>
  <si>
    <r>
      <t>CB/</t>
    </r>
    <r>
      <rPr>
        <b/>
        <sz val="20"/>
        <color rgb="FF92D050"/>
        <rFont val="Arial"/>
        <family val="2"/>
      </rPr>
      <t>GA</t>
    </r>
  </si>
  <si>
    <r>
      <rPr>
        <b/>
        <sz val="20"/>
        <color rgb="FF92D050"/>
        <rFont val="Arial"/>
        <family val="2"/>
      </rPr>
      <t>GA/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</si>
  <si>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A44A"/>
        <rFont val="Arial"/>
        <family val="2"/>
      </rPr>
      <t>ST/</t>
    </r>
    <r>
      <rPr>
        <b/>
        <sz val="20"/>
        <color rgb="FFFF0000"/>
        <rFont val="Arial"/>
        <family val="2"/>
      </rPr>
      <t>GN</t>
    </r>
  </si>
  <si>
    <t>SM</t>
  </si>
  <si>
    <r>
      <t>SM/</t>
    </r>
    <r>
      <rPr>
        <b/>
        <sz val="20"/>
        <color rgb="FF0000FF"/>
        <rFont val="Arial"/>
        <family val="2"/>
      </rPr>
      <t>CB</t>
    </r>
  </si>
  <si>
    <t>CB/GU</t>
  </si>
  <si>
    <r>
      <rPr>
        <b/>
        <sz val="20"/>
        <color rgb="FF0000FF"/>
        <rFont val="Arial"/>
        <family val="2"/>
      </rPr>
      <t>CB</t>
    </r>
    <r>
      <rPr>
        <b/>
        <sz val="20"/>
        <color rgb="FFC09200"/>
        <rFont val="Arial"/>
        <family val="2"/>
      </rPr>
      <t>/</t>
    </r>
    <r>
      <rPr>
        <b/>
        <sz val="20"/>
        <color rgb="FF00A44A"/>
        <rFont val="Arial"/>
        <family val="2"/>
      </rPr>
      <t>ST</t>
    </r>
  </si>
  <si>
    <t>GU/VM</t>
  </si>
  <si>
    <r>
      <rPr>
        <b/>
        <sz val="20"/>
        <color rgb="FF00A44A"/>
        <rFont val="Arial"/>
        <family val="2"/>
      </rPr>
      <t>ST</t>
    </r>
    <r>
      <rPr>
        <b/>
        <sz val="20"/>
        <color rgb="FF0000FF"/>
        <rFont val="Arial"/>
        <family val="2"/>
      </rPr>
      <t>/</t>
    </r>
    <r>
      <rPr>
        <b/>
        <sz val="20"/>
        <color rgb="FFFF0000"/>
        <rFont val="Arial"/>
        <family val="2"/>
      </rPr>
      <t>GO</t>
    </r>
  </si>
  <si>
    <t>kegs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</si>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</sst>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C000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6"/>
      <color indexed="81"/>
      <name val="Tahoma"/>
      <family val="2"/>
    </font>
    <font>
      <b/>
      <sz val="20"/>
      <color rgb="FFFF3300"/>
      <name val="Arial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b/>
      <sz val="20"/>
      <color rgb="FF92D050"/>
      <name val="Arial"/>
      <family val="2"/>
    </font>
    <font>
      <b/>
      <sz val="20"/>
      <color rgb="FFFF00FF"/>
      <name val="Arial"/>
      <family val="2"/>
    </font>
    <font>
      <b/>
      <sz val="20"/>
      <color theme="5" tint="-0.249977111117893"/>
      <name val="Arial"/>
      <family val="2"/>
    </font>
    <font>
      <b/>
      <sz val="20"/>
      <color rgb="FFC092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32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67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37" fontId="28" fillId="0" borderId="6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1" fontId="107" fillId="16" borderId="62" xfId="3" applyNumberFormat="1" applyFont="1" applyFill="1" applyBorder="1" applyAlignment="1">
      <alignment horizontal="center"/>
    </xf>
    <xf numFmtId="4" fontId="107" fillId="18" borderId="63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7" fontId="109" fillId="16" borderId="61" xfId="3" applyNumberFormat="1" applyFont="1" applyFill="1" applyBorder="1" applyAlignment="1">
      <alignment horizontal="center"/>
    </xf>
    <xf numFmtId="37" fontId="109" fillId="16" borderId="62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0" fillId="16" borderId="86" xfId="0" applyNumberFormat="1" applyFont="1" applyFill="1" applyBorder="1" applyAlignment="1">
      <alignment horizontal="center" vertical="center"/>
    </xf>
    <xf numFmtId="3" fontId="125" fillId="16" borderId="86" xfId="0" applyNumberFormat="1" applyFont="1" applyFill="1" applyBorder="1" applyAlignment="1">
      <alignment horizontal="center" vertical="center"/>
    </xf>
    <xf numFmtId="0" fontId="122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28" fillId="31" borderId="57" xfId="0" applyNumberFormat="1" applyFont="1" applyFill="1" applyBorder="1" applyAlignment="1">
      <alignment horizontal="center" vertical="center" wrapText="1"/>
    </xf>
    <xf numFmtId="37" fontId="128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7" xfId="0" applyFont="1" applyFill="1" applyBorder="1" applyAlignment="1">
      <alignment horizontal="center" vertical="center" wrapText="1"/>
    </xf>
    <xf numFmtId="1" fontId="122" fillId="22" borderId="89" xfId="0" applyNumberFormat="1" applyFont="1" applyFill="1" applyBorder="1" applyAlignment="1">
      <alignment horizontal="center" vertical="center" wrapText="1"/>
    </xf>
    <xf numFmtId="1" fontId="126" fillId="22" borderId="58" xfId="0" applyNumberFormat="1" applyFont="1" applyFill="1" applyBorder="1" applyAlignment="1">
      <alignment horizontal="center" vertical="center"/>
    </xf>
    <xf numFmtId="1" fontId="126" fillId="22" borderId="66" xfId="0" applyNumberFormat="1" applyFont="1" applyFill="1" applyBorder="1" applyAlignment="1">
      <alignment horizontal="center" vertical="center"/>
    </xf>
    <xf numFmtId="37" fontId="128" fillId="13" borderId="57" xfId="0" applyNumberFormat="1" applyFont="1" applyFill="1" applyBorder="1" applyAlignment="1">
      <alignment horizontal="center" vertical="center" wrapText="1"/>
    </xf>
    <xf numFmtId="0" fontId="123" fillId="36" borderId="97" xfId="0" applyFont="1" applyFill="1" applyBorder="1" applyAlignment="1">
      <alignment horizontal="center" vertical="center"/>
    </xf>
    <xf numFmtId="0" fontId="122" fillId="36" borderId="76" xfId="0" applyFont="1" applyFill="1" applyBorder="1" applyAlignment="1">
      <alignment horizontal="center" vertical="center" wrapText="1"/>
    </xf>
    <xf numFmtId="37" fontId="128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4" fontId="15" fillId="0" borderId="60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33" fillId="31" borderId="5" xfId="0" applyNumberFormat="1" applyFont="1" applyFill="1" applyBorder="1" applyAlignment="1">
      <alignment horizontal="center"/>
    </xf>
    <xf numFmtId="167" fontId="93" fillId="34" borderId="106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3" fontId="75" fillId="25" borderId="0" xfId="0" applyNumberFormat="1" applyFont="1" applyFill="1"/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5" fillId="38" borderId="37" xfId="3" applyNumberFormat="1" applyFont="1" applyFill="1" applyBorder="1" applyAlignment="1">
      <alignment horizontal="center" vertic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2" xfId="3" applyFont="1" applyFill="1" applyBorder="1" applyAlignment="1">
      <alignment horizontal="center"/>
    </xf>
    <xf numFmtId="37" fontId="28" fillId="31" borderId="122" xfId="3" applyNumberFormat="1" applyFont="1" applyFill="1" applyBorder="1" applyAlignment="1">
      <alignment horizontal="center"/>
    </xf>
    <xf numFmtId="3" fontId="7" fillId="31" borderId="122" xfId="3" applyNumberFormat="1" applyFill="1" applyBorder="1" applyAlignment="1">
      <alignment horizontal="center"/>
    </xf>
    <xf numFmtId="3" fontId="28" fillId="31" borderId="122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20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9" xfId="0" applyNumberFormat="1" applyFont="1" applyFill="1" applyBorder="1" applyAlignment="1">
      <alignment horizontal="center"/>
    </xf>
    <xf numFmtId="1" fontId="7" fillId="31" borderId="60" xfId="0" applyNumberFormat="1" applyFont="1" applyFill="1" applyBorder="1" applyAlignment="1">
      <alignment horizontal="center"/>
    </xf>
    <xf numFmtId="167" fontId="93" fillId="31" borderId="106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8" fillId="0" borderId="0" xfId="0" applyFont="1" applyAlignment="1">
      <alignment horizontal="right"/>
    </xf>
    <xf numFmtId="3" fontId="138" fillId="0" borderId="0" xfId="0" applyNumberFormat="1" applyFont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9" fontId="7" fillId="31" borderId="0" xfId="0" applyNumberFormat="1" applyFont="1" applyFill="1" applyAlignment="1">
      <alignment horizontal="center"/>
    </xf>
    <xf numFmtId="167" fontId="101" fillId="34" borderId="106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4" xfId="3" applyNumberFormat="1" applyFont="1" applyFill="1" applyBorder="1" applyAlignment="1">
      <alignment horizontal="center"/>
    </xf>
    <xf numFmtId="3" fontId="7" fillId="31" borderId="115" xfId="0" applyNumberFormat="1" applyFont="1" applyFill="1" applyBorder="1" applyAlignment="1">
      <alignment horizontal="center"/>
    </xf>
    <xf numFmtId="9" fontId="7" fillId="31" borderId="125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3" fontId="7" fillId="31" borderId="62" xfId="0" applyNumberFormat="1" applyFont="1" applyFill="1" applyBorder="1" applyAlignment="1">
      <alignment horizontal="center"/>
    </xf>
    <xf numFmtId="1" fontId="7" fillId="31" borderId="63" xfId="0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1" fontId="95" fillId="31" borderId="0" xfId="1" applyNumberFormat="1" applyFont="1" applyFill="1" applyAlignment="1">
      <alignment horizontal="center" vertical="center"/>
    </xf>
    <xf numFmtId="167" fontId="136" fillId="31" borderId="0" xfId="1" applyNumberFormat="1" applyFont="1" applyFill="1" applyAlignment="1">
      <alignment horizontal="center" vertic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7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140" fillId="31" borderId="0" xfId="1" applyNumberFormat="1" applyFont="1" applyFill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1" fontId="136" fillId="31" borderId="0" xfId="1" applyNumberFormat="1" applyFont="1" applyFill="1" applyAlignment="1">
      <alignment horizontal="center" vertic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3" fillId="16" borderId="0" xfId="1" applyNumberFormat="1" applyFont="1" applyFill="1" applyAlignment="1">
      <alignment horizontal="center" vertical="center"/>
    </xf>
    <xf numFmtId="37" fontId="28" fillId="31" borderId="59" xfId="3" applyNumberFormat="1" applyFont="1" applyFill="1" applyBorder="1" applyAlignment="1">
      <alignment horizontal="center"/>
    </xf>
    <xf numFmtId="1" fontId="15" fillId="31" borderId="5" xfId="3" applyNumberFormat="1" applyFont="1" applyFill="1" applyBorder="1" applyAlignment="1">
      <alignment horizontal="center"/>
    </xf>
    <xf numFmtId="0" fontId="28" fillId="15" borderId="72" xfId="3" applyFont="1" applyFill="1" applyBorder="1" applyAlignment="1">
      <alignment horizontal="center"/>
    </xf>
    <xf numFmtId="37" fontId="28" fillId="15" borderId="59" xfId="3" applyNumberFormat="1" applyFont="1" applyFill="1" applyBorder="1" applyAlignment="1">
      <alignment horizontal="center"/>
    </xf>
    <xf numFmtId="37" fontId="28" fillId="15" borderId="5" xfId="3" applyNumberFormat="1" applyFont="1" applyFill="1" applyBorder="1" applyAlignment="1">
      <alignment horizontal="center"/>
    </xf>
    <xf numFmtId="39" fontId="28" fillId="15" borderId="5" xfId="3" applyNumberFormat="1" applyFont="1" applyFill="1" applyBorder="1" applyAlignment="1">
      <alignment horizontal="center"/>
    </xf>
    <xf numFmtId="1" fontId="28" fillId="15" borderId="5" xfId="3" applyNumberFormat="1" applyFont="1" applyFill="1" applyBorder="1" applyAlignment="1">
      <alignment horizontal="center"/>
    </xf>
    <xf numFmtId="0" fontId="116" fillId="15" borderId="72" xfId="3" applyFont="1" applyFill="1" applyBorder="1" applyAlignment="1">
      <alignment horizontal="center"/>
    </xf>
    <xf numFmtId="0" fontId="7" fillId="15" borderId="59" xfId="3" applyFill="1" applyBorder="1"/>
    <xf numFmtId="0" fontId="15" fillId="15" borderId="5" xfId="3" applyFont="1" applyFill="1" applyBorder="1" applyAlignment="1">
      <alignment horizontal="center"/>
    </xf>
    <xf numFmtId="164" fontId="105" fillId="15" borderId="5" xfId="0" applyNumberFormat="1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center"/>
    </xf>
    <xf numFmtId="164" fontId="15" fillId="15" borderId="5" xfId="3" applyNumberFormat="1" applyFont="1" applyFill="1" applyBorder="1" applyAlignment="1">
      <alignment horizontal="center"/>
    </xf>
    <xf numFmtId="3" fontId="15" fillId="15" borderId="60" xfId="3" applyNumberFormat="1" applyFont="1" applyFill="1" applyBorder="1" applyAlignment="1">
      <alignment horizontal="center"/>
    </xf>
    <xf numFmtId="1" fontId="103" fillId="31" borderId="0" xfId="1" applyNumberFormat="1" applyFont="1" applyFill="1" applyBorder="1" applyAlignment="1">
      <alignment horizontal="center" vertical="center"/>
    </xf>
    <xf numFmtId="1" fontId="143" fillId="31" borderId="0" xfId="1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/>
    </xf>
    <xf numFmtId="3" fontId="95" fillId="25" borderId="0" xfId="0" applyNumberFormat="1" applyFont="1" applyFill="1" applyAlignment="1">
      <alignment horizontal="center"/>
    </xf>
    <xf numFmtId="3" fontId="75" fillId="39" borderId="0" xfId="0" applyNumberFormat="1" applyFont="1" applyFill="1" applyAlignment="1">
      <alignment horizontal="center"/>
    </xf>
    <xf numFmtId="3" fontId="75" fillId="26" borderId="0" xfId="0" applyNumberFormat="1" applyFont="1" applyFill="1" applyAlignment="1">
      <alignment horizontal="center"/>
    </xf>
    <xf numFmtId="3" fontId="114" fillId="0" borderId="0" xfId="3" applyNumberFormat="1" applyFont="1" applyAlignment="1">
      <alignment horizontal="center" vertical="center"/>
    </xf>
    <xf numFmtId="3" fontId="75" fillId="13" borderId="0" xfId="0" applyNumberFormat="1" applyFont="1" applyFill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167" fontId="96" fillId="31" borderId="0" xfId="1" applyNumberFormat="1" applyFont="1" applyFill="1" applyBorder="1" applyAlignment="1">
      <alignment horizontal="center" vertical="center"/>
    </xf>
    <xf numFmtId="10" fontId="9" fillId="26" borderId="3" xfId="0" applyNumberFormat="1" applyFont="1" applyFill="1" applyBorder="1" applyAlignment="1">
      <alignment horizontal="center"/>
    </xf>
    <xf numFmtId="3" fontId="7" fillId="31" borderId="126" xfId="0" applyNumberFormat="1" applyFont="1" applyFill="1" applyBorder="1" applyAlignment="1">
      <alignment horizontal="center"/>
    </xf>
    <xf numFmtId="3" fontId="7" fillId="15" borderId="126" xfId="0" applyNumberFormat="1" applyFont="1" applyFill="1" applyBorder="1" applyAlignment="1">
      <alignment horizontal="center"/>
    </xf>
    <xf numFmtId="1" fontId="145" fillId="31" borderId="0" xfId="1" applyNumberFormat="1" applyFont="1" applyFill="1" applyAlignment="1">
      <alignment horizontal="center" vertical="center"/>
    </xf>
    <xf numFmtId="1" fontId="146" fillId="31" borderId="0" xfId="1" applyNumberFormat="1" applyFont="1" applyFill="1" applyAlignment="1">
      <alignment horizontal="center" vertical="center"/>
    </xf>
    <xf numFmtId="0" fontId="7" fillId="15" borderId="5" xfId="0" applyFont="1" applyFill="1" applyBorder="1" applyAlignment="1">
      <alignment horizontal="center"/>
    </xf>
    <xf numFmtId="3" fontId="7" fillId="15" borderId="5" xfId="0" applyNumberFormat="1" applyFont="1" applyFill="1" applyBorder="1" applyAlignment="1">
      <alignment horizontal="center"/>
    </xf>
    <xf numFmtId="9" fontId="7" fillId="15" borderId="120" xfId="0" applyNumberFormat="1" applyFont="1" applyFill="1" applyBorder="1" applyAlignment="1">
      <alignment horizontal="center"/>
    </xf>
    <xf numFmtId="3" fontId="15" fillId="16" borderId="85" xfId="3" applyNumberFormat="1" applyFont="1" applyFill="1" applyBorder="1" applyAlignment="1">
      <alignment horizontal="center" vertical="center"/>
    </xf>
    <xf numFmtId="0" fontId="129" fillId="31" borderId="126" xfId="3" applyFont="1" applyFill="1" applyBorder="1" applyAlignment="1">
      <alignment horizontal="center" vertical="center"/>
    </xf>
    <xf numFmtId="0" fontId="7" fillId="31" borderId="126" xfId="3" applyFill="1" applyBorder="1" applyAlignment="1">
      <alignment horizontal="center" vertical="center"/>
    </xf>
    <xf numFmtId="3" fontId="15" fillId="0" borderId="127" xfId="3" applyNumberFormat="1" applyFont="1" applyBorder="1" applyAlignment="1">
      <alignment horizontal="center" vertical="center"/>
    </xf>
    <xf numFmtId="3" fontId="15" fillId="0" borderId="128" xfId="3" applyNumberFormat="1" applyFont="1" applyBorder="1" applyAlignment="1">
      <alignment horizontal="center" vertical="center"/>
    </xf>
    <xf numFmtId="3" fontId="15" fillId="17" borderId="128" xfId="3" applyNumberFormat="1" applyFont="1" applyFill="1" applyBorder="1" applyAlignment="1">
      <alignment horizontal="center" vertical="center"/>
    </xf>
    <xf numFmtId="3" fontId="15" fillId="16" borderId="128" xfId="3" applyNumberFormat="1" applyFont="1" applyFill="1" applyBorder="1" applyAlignment="1">
      <alignment horizontal="center" vertical="center"/>
    </xf>
    <xf numFmtId="3" fontId="15" fillId="38" borderId="128" xfId="3" applyNumberFormat="1" applyFont="1" applyFill="1" applyBorder="1" applyAlignment="1">
      <alignment horizontal="center" vertical="center"/>
    </xf>
    <xf numFmtId="3" fontId="15" fillId="30" borderId="128" xfId="3" applyNumberFormat="1" applyFont="1" applyFill="1" applyBorder="1" applyAlignment="1">
      <alignment horizontal="center" vertical="center"/>
    </xf>
    <xf numFmtId="3" fontId="7" fillId="0" borderId="128" xfId="3" applyNumberFormat="1" applyBorder="1" applyAlignment="1">
      <alignment horizontal="center" vertical="center"/>
    </xf>
    <xf numFmtId="3" fontId="15" fillId="28" borderId="128" xfId="3" applyNumberFormat="1" applyFont="1" applyFill="1" applyBorder="1" applyAlignment="1">
      <alignment horizontal="center" vertical="center"/>
    </xf>
    <xf numFmtId="3" fontId="15" fillId="20" borderId="128" xfId="3" applyNumberFormat="1" applyFont="1" applyFill="1" applyBorder="1" applyAlignment="1">
      <alignment horizontal="center" vertical="center"/>
    </xf>
    <xf numFmtId="3" fontId="15" fillId="23" borderId="128" xfId="3" applyNumberFormat="1" applyFont="1" applyFill="1" applyBorder="1" applyAlignment="1">
      <alignment horizontal="center" vertical="center"/>
    </xf>
    <xf numFmtId="3" fontId="15" fillId="0" borderId="129" xfId="3" applyNumberFormat="1" applyFont="1" applyBorder="1" applyAlignment="1">
      <alignment horizontal="center" vertical="center"/>
    </xf>
    <xf numFmtId="3" fontId="15" fillId="16" borderId="130" xfId="3" applyNumberFormat="1" applyFont="1" applyFill="1" applyBorder="1" applyAlignment="1">
      <alignment horizontal="center" vertical="center"/>
    </xf>
    <xf numFmtId="3" fontId="129" fillId="31" borderId="128" xfId="3" applyNumberFormat="1" applyFont="1" applyFill="1" applyBorder="1" applyAlignment="1">
      <alignment horizontal="center" vertical="center"/>
    </xf>
    <xf numFmtId="3" fontId="15" fillId="31" borderId="128" xfId="3" applyNumberFormat="1" applyFont="1" applyFill="1" applyBorder="1" applyAlignment="1">
      <alignment horizontal="center" vertical="center"/>
    </xf>
    <xf numFmtId="3" fontId="114" fillId="16" borderId="128" xfId="3" applyNumberFormat="1" applyFont="1" applyFill="1" applyBorder="1" applyAlignment="1">
      <alignment horizontal="center" vertical="center"/>
    </xf>
    <xf numFmtId="3" fontId="135" fillId="38" borderId="128" xfId="3" applyNumberFormat="1" applyFont="1" applyFill="1" applyBorder="1" applyAlignment="1">
      <alignment horizontal="center" vertical="center"/>
    </xf>
    <xf numFmtId="3" fontId="114" fillId="0" borderId="128" xfId="3" applyNumberFormat="1" applyFont="1" applyBorder="1" applyAlignment="1">
      <alignment horizontal="center" vertical="center"/>
    </xf>
    <xf numFmtId="0" fontId="7" fillId="31" borderId="130" xfId="3" applyFill="1" applyBorder="1" applyAlignment="1">
      <alignment horizontal="center" vertical="center"/>
    </xf>
    <xf numFmtId="37" fontId="15" fillId="31" borderId="131" xfId="3" applyNumberFormat="1" applyFont="1" applyFill="1" applyBorder="1" applyAlignment="1">
      <alignment horizontal="center" vertical="center"/>
    </xf>
    <xf numFmtId="37" fontId="15" fillId="31" borderId="127" xfId="3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124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8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21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2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21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7" fillId="18" borderId="73" xfId="3" applyFill="1" applyBorder="1" applyAlignment="1">
      <alignment horizontal="center"/>
    </xf>
    <xf numFmtId="0" fontId="7" fillId="18" borderId="74" xfId="3" applyFill="1" applyBorder="1" applyAlignment="1">
      <alignment horizontal="center"/>
    </xf>
    <xf numFmtId="0" fontId="7" fillId="18" borderId="75" xfId="3" applyFill="1" applyBorder="1" applyAlignment="1">
      <alignment horizont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2" fillId="16" borderId="57" xfId="0" applyFont="1" applyFill="1" applyBorder="1" applyAlignment="1">
      <alignment horizontal="center" vertical="center" wrapText="1"/>
    </xf>
    <xf numFmtId="0" fontId="122" fillId="16" borderId="88" xfId="0" applyFont="1" applyFill="1" applyBorder="1" applyAlignment="1">
      <alignment horizontal="center" vertical="center" wrapText="1"/>
    </xf>
    <xf numFmtId="0" fontId="124" fillId="16" borderId="58" xfId="0" applyFont="1" applyFill="1" applyBorder="1" applyAlignment="1">
      <alignment horizontal="center" vertical="center" wrapText="1"/>
    </xf>
    <xf numFmtId="0" fontId="124" fillId="16" borderId="89" xfId="0" applyFont="1" applyFill="1" applyBorder="1" applyAlignment="1">
      <alignment horizontal="center" vertical="center" wrapText="1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27" fillId="16" borderId="82" xfId="0" applyFont="1" applyFill="1" applyBorder="1" applyAlignment="1">
      <alignment horizontal="center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0" fontId="119" fillId="16" borderId="82" xfId="0" applyFont="1" applyFill="1" applyBorder="1" applyAlignment="1">
      <alignment horizontal="center" vertical="center" wrapText="1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0" fontId="122" fillId="16" borderId="73" xfId="0" applyFont="1" applyFill="1" applyBorder="1" applyAlignment="1">
      <alignment horizontal="center" vertical="center"/>
    </xf>
    <xf numFmtId="0" fontId="122" fillId="16" borderId="96" xfId="0" applyFont="1" applyFill="1" applyBorder="1" applyAlignment="1">
      <alignment horizontal="center" vertical="center"/>
    </xf>
    <xf numFmtId="0" fontId="123" fillId="22" borderId="56" xfId="0" applyFont="1" applyFill="1" applyBorder="1" applyAlignment="1">
      <alignment horizontal="center" vertical="center"/>
    </xf>
    <xf numFmtId="0" fontId="123" fillId="22" borderId="58" xfId="0" applyFont="1" applyFill="1" applyBorder="1" applyAlignment="1">
      <alignment horizontal="center" vertical="center"/>
    </xf>
    <xf numFmtId="3" fontId="122" fillId="16" borderId="57" xfId="0" applyNumberFormat="1" applyFont="1" applyFill="1" applyBorder="1" applyAlignment="1">
      <alignment horizontal="center" vertical="center" wrapText="1"/>
    </xf>
    <xf numFmtId="3" fontId="122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3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6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99CC00"/>
      <color rgb="FF00A44A"/>
      <color rgb="FFFF00FF"/>
      <color rgb="FFFF3300"/>
      <color rgb="FF170EC2"/>
      <color rgb="FFC09200"/>
      <color rgb="FFD43ABE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APRIL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April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April 2026'!$D$10:$D$39</c:f>
              <c:numCache>
                <c:formatCode>#,##0</c:formatCode>
                <c:ptCount val="30"/>
                <c:pt idx="0">
                  <c:v>5927</c:v>
                </c:pt>
                <c:pt idx="1">
                  <c:v>5832</c:v>
                </c:pt>
                <c:pt idx="2">
                  <c:v>2694</c:v>
                </c:pt>
                <c:pt idx="3">
                  <c:v>2971</c:v>
                </c:pt>
                <c:pt idx="4">
                  <c:v>2911</c:v>
                </c:pt>
                <c:pt idx="5">
                  <c:v>2599</c:v>
                </c:pt>
                <c:pt idx="6">
                  <c:v>5214</c:v>
                </c:pt>
                <c:pt idx="7">
                  <c:v>5850</c:v>
                </c:pt>
                <c:pt idx="8">
                  <c:v>6901</c:v>
                </c:pt>
                <c:pt idx="9">
                  <c:v>6846</c:v>
                </c:pt>
                <c:pt idx="10">
                  <c:v>2983</c:v>
                </c:pt>
                <c:pt idx="11">
                  <c:v>1952</c:v>
                </c:pt>
                <c:pt idx="12">
                  <c:v>6237</c:v>
                </c:pt>
                <c:pt idx="13">
                  <c:v>7380</c:v>
                </c:pt>
                <c:pt idx="14">
                  <c:v>6949</c:v>
                </c:pt>
                <c:pt idx="15">
                  <c:v>6258</c:v>
                </c:pt>
                <c:pt idx="16">
                  <c:v>5872</c:v>
                </c:pt>
                <c:pt idx="17">
                  <c:v>3482</c:v>
                </c:pt>
                <c:pt idx="18">
                  <c:v>1989</c:v>
                </c:pt>
                <c:pt idx="19">
                  <c:v>5497</c:v>
                </c:pt>
                <c:pt idx="20">
                  <c:v>5959</c:v>
                </c:pt>
                <c:pt idx="21">
                  <c:v>7375</c:v>
                </c:pt>
                <c:pt idx="22">
                  <c:v>7064</c:v>
                </c:pt>
                <c:pt idx="23">
                  <c:v>4121</c:v>
                </c:pt>
                <c:pt idx="24">
                  <c:v>3680</c:v>
                </c:pt>
                <c:pt idx="25">
                  <c:v>3443</c:v>
                </c:pt>
                <c:pt idx="26">
                  <c:v>6546</c:v>
                </c:pt>
                <c:pt idx="27">
                  <c:v>5953</c:v>
                </c:pt>
                <c:pt idx="28">
                  <c:v>6553</c:v>
                </c:pt>
                <c:pt idx="29">
                  <c:v>6457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April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April 2026'!$E$10:$E$39</c:f>
              <c:numCache>
                <c:formatCode>#,##0</c:formatCode>
                <c:ptCount val="30"/>
                <c:pt idx="0">
                  <c:v>1739.4</c:v>
                </c:pt>
                <c:pt idx="1">
                  <c:v>1604.4</c:v>
                </c:pt>
                <c:pt idx="2">
                  <c:v>1730.6</c:v>
                </c:pt>
                <c:pt idx="3">
                  <c:v>1214.2</c:v>
                </c:pt>
                <c:pt idx="4">
                  <c:v>1085.9000000000001</c:v>
                </c:pt>
                <c:pt idx="5">
                  <c:v>1238.7</c:v>
                </c:pt>
                <c:pt idx="6">
                  <c:v>1488</c:v>
                </c:pt>
                <c:pt idx="7">
                  <c:v>1547.2</c:v>
                </c:pt>
                <c:pt idx="8">
                  <c:v>1598.2</c:v>
                </c:pt>
                <c:pt idx="9">
                  <c:v>1712.9</c:v>
                </c:pt>
                <c:pt idx="10">
                  <c:v>1617.5</c:v>
                </c:pt>
                <c:pt idx="11">
                  <c:v>1489.4</c:v>
                </c:pt>
                <c:pt idx="12">
                  <c:v>1655.2</c:v>
                </c:pt>
                <c:pt idx="13">
                  <c:v>900.9</c:v>
                </c:pt>
                <c:pt idx="14">
                  <c:v>1412.9</c:v>
                </c:pt>
                <c:pt idx="15">
                  <c:v>1321</c:v>
                </c:pt>
                <c:pt idx="16">
                  <c:v>1285.2</c:v>
                </c:pt>
                <c:pt idx="17">
                  <c:v>1350.9</c:v>
                </c:pt>
                <c:pt idx="18">
                  <c:v>1597.3</c:v>
                </c:pt>
                <c:pt idx="19">
                  <c:v>1315.8</c:v>
                </c:pt>
                <c:pt idx="20">
                  <c:v>1431.7</c:v>
                </c:pt>
                <c:pt idx="21">
                  <c:v>847.7</c:v>
                </c:pt>
                <c:pt idx="22">
                  <c:v>1078.7</c:v>
                </c:pt>
                <c:pt idx="23">
                  <c:v>1685.9</c:v>
                </c:pt>
                <c:pt idx="24">
                  <c:v>1377</c:v>
                </c:pt>
                <c:pt idx="25">
                  <c:v>1331.8</c:v>
                </c:pt>
                <c:pt idx="26">
                  <c:v>1482.7</c:v>
                </c:pt>
                <c:pt idx="27">
                  <c:v>1388.9</c:v>
                </c:pt>
                <c:pt idx="28">
                  <c:v>1613.3</c:v>
                </c:pt>
                <c:pt idx="29">
                  <c:v>1713.9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April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April 2026'!$F$10:$F$39</c:f>
              <c:numCache>
                <c:formatCode>0%</c:formatCode>
                <c:ptCount val="30"/>
                <c:pt idx="0">
                  <c:v>0.22688615256182826</c:v>
                </c:pt>
                <c:pt idx="1">
                  <c:v>0.21574955623688885</c:v>
                </c:pt>
                <c:pt idx="2">
                  <c:v>0.39113140170862898</c:v>
                </c:pt>
                <c:pt idx="3">
                  <c:v>0.29011755710599257</c:v>
                </c:pt>
                <c:pt idx="4">
                  <c:v>0.27168555630613728</c:v>
                </c:pt>
                <c:pt idx="5">
                  <c:v>0.32277145165072835</c:v>
                </c:pt>
                <c:pt idx="6">
                  <c:v>0.22202327663384064</c:v>
                </c:pt>
                <c:pt idx="7">
                  <c:v>0.2091602227870005</c:v>
                </c:pt>
                <c:pt idx="8">
                  <c:v>0.18804122740963855</c:v>
                </c:pt>
                <c:pt idx="9">
                  <c:v>0.20013085793735177</c:v>
                </c:pt>
                <c:pt idx="10">
                  <c:v>0.35159221823714815</c:v>
                </c:pt>
                <c:pt idx="11">
                  <c:v>0.43278898122856979</c:v>
                </c:pt>
                <c:pt idx="12">
                  <c:v>0.20972605864017638</c:v>
                </c:pt>
                <c:pt idx="13">
                  <c:v>0.10879252255189653</c:v>
                </c:pt>
                <c:pt idx="14">
                  <c:v>0.16896877503916577</c:v>
                </c:pt>
                <c:pt idx="15">
                  <c:v>0.17429740071249505</c:v>
                </c:pt>
                <c:pt idx="16">
                  <c:v>0.17956742860336444</c:v>
                </c:pt>
                <c:pt idx="17">
                  <c:v>0.27952161228248051</c:v>
                </c:pt>
                <c:pt idx="18">
                  <c:v>0.44538939854446086</c:v>
                </c:pt>
                <c:pt idx="19">
                  <c:v>0.19313644903710661</c:v>
                </c:pt>
                <c:pt idx="20">
                  <c:v>0.19371642740200523</c:v>
                </c:pt>
                <c:pt idx="21">
                  <c:v>0.10309265812932492</c:v>
                </c:pt>
                <c:pt idx="22">
                  <c:v>0.13247448634973658</c:v>
                </c:pt>
                <c:pt idx="23">
                  <c:v>0.29032702474642241</c:v>
                </c:pt>
                <c:pt idx="24">
                  <c:v>0.27229582756575044</c:v>
                </c:pt>
                <c:pt idx="25">
                  <c:v>0.27892267738962889</c:v>
                </c:pt>
                <c:pt idx="26">
                  <c:v>0.18467497851457895</c:v>
                </c:pt>
                <c:pt idx="27">
                  <c:v>0.18917446437570659</c:v>
                </c:pt>
                <c:pt idx="28">
                  <c:v>0.19755580862814248</c:v>
                </c:pt>
                <c:pt idx="29">
                  <c:v>0.20975657516307875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44</xdr:row>
      <xdr:rowOff>27223</xdr:rowOff>
    </xdr:from>
    <xdr:to>
      <xdr:col>28</xdr:col>
      <xdr:colOff>108856</xdr:colOff>
      <xdr:row>90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S414"/>
  <sheetViews>
    <sheetView showGridLines="0" defaultGridColor="0" topLeftCell="L23" colorId="22" zoomScale="110" zoomScaleNormal="110" zoomScaleSheetLayoutView="80" workbookViewId="0">
      <selection activeCell="S36" sqref="S36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92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5" ht="18" x14ac:dyDescent="0.2">
      <c r="B1" s="847" t="s">
        <v>212</v>
      </c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372"/>
      <c r="O1" s="848" t="str">
        <f>B1</f>
        <v>ENTRIES FOR DAILY CONS. MONITOR</v>
      </c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</row>
    <row r="2" spans="1:45" ht="16.5" thickBot="1" x14ac:dyDescent="0.25">
      <c r="C2" s="373"/>
      <c r="F2" s="374"/>
      <c r="G2" s="375"/>
      <c r="O2" s="856" t="s">
        <v>234</v>
      </c>
      <c r="P2" s="856"/>
      <c r="Q2" s="856"/>
      <c r="R2" s="856"/>
      <c r="S2" s="856"/>
      <c r="T2" s="856"/>
      <c r="U2" s="856"/>
      <c r="V2" s="856"/>
    </row>
    <row r="3" spans="1:45" ht="20.100000000000001" customHeight="1" x14ac:dyDescent="0.2">
      <c r="A3" s="376"/>
      <c r="B3" s="377"/>
      <c r="C3" s="378"/>
      <c r="D3" s="378" t="s">
        <v>4</v>
      </c>
      <c r="E3" s="378"/>
      <c r="F3" s="379"/>
      <c r="G3" s="379"/>
      <c r="H3" s="380"/>
      <c r="I3" s="377"/>
      <c r="J3" s="378" t="s">
        <v>22</v>
      </c>
      <c r="K3" s="379"/>
      <c r="L3" s="861" t="s">
        <v>56</v>
      </c>
      <c r="M3" s="862"/>
      <c r="N3" s="863"/>
      <c r="O3" s="849" t="s">
        <v>3</v>
      </c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382"/>
      <c r="AE3" s="383"/>
      <c r="AF3" s="382"/>
      <c r="AG3" s="869" t="s">
        <v>209</v>
      </c>
      <c r="AH3" s="867" t="s">
        <v>207</v>
      </c>
      <c r="AI3" s="867" t="s">
        <v>208</v>
      </c>
      <c r="AJ3" s="870" t="s">
        <v>236</v>
      </c>
      <c r="AK3" s="428"/>
      <c r="AL3" s="871" t="s">
        <v>181</v>
      </c>
      <c r="AM3" s="871"/>
      <c r="AN3" s="871"/>
      <c r="AO3" s="871"/>
    </row>
    <row r="4" spans="1:45" ht="20.100000000000001" customHeight="1" x14ac:dyDescent="0.2">
      <c r="A4" s="384"/>
      <c r="B4" s="381" t="s">
        <v>23</v>
      </c>
      <c r="C4" s="382" t="s">
        <v>27</v>
      </c>
      <c r="D4" s="382" t="s">
        <v>25</v>
      </c>
      <c r="E4" s="382" t="s">
        <v>26</v>
      </c>
      <c r="F4" s="382" t="s">
        <v>27</v>
      </c>
      <c r="G4" s="382" t="s">
        <v>24</v>
      </c>
      <c r="H4" s="385" t="s">
        <v>28</v>
      </c>
      <c r="I4" s="381" t="s">
        <v>29</v>
      </c>
      <c r="J4" s="382" t="s">
        <v>30</v>
      </c>
      <c r="K4" s="382" t="s">
        <v>31</v>
      </c>
      <c r="L4" s="857" t="s">
        <v>289</v>
      </c>
      <c r="M4" s="386" t="s">
        <v>263</v>
      </c>
      <c r="N4" s="864" t="s">
        <v>170</v>
      </c>
      <c r="O4" s="845" t="s">
        <v>103</v>
      </c>
      <c r="P4" s="845" t="s">
        <v>104</v>
      </c>
      <c r="Q4" s="845" t="s">
        <v>163</v>
      </c>
      <c r="R4" s="845" t="s">
        <v>174</v>
      </c>
      <c r="S4" s="845" t="s">
        <v>105</v>
      </c>
      <c r="T4" s="845" t="s">
        <v>175</v>
      </c>
      <c r="U4" s="845" t="s">
        <v>106</v>
      </c>
      <c r="V4" s="854" t="s">
        <v>239</v>
      </c>
      <c r="W4" s="845" t="s">
        <v>180</v>
      </c>
      <c r="X4" s="382" t="s">
        <v>99</v>
      </c>
      <c r="Y4" s="382" t="s">
        <v>100</v>
      </c>
      <c r="Z4" s="382" t="s">
        <v>101</v>
      </c>
      <c r="AA4" s="849" t="s">
        <v>71</v>
      </c>
      <c r="AB4" s="851" t="s">
        <v>72</v>
      </c>
      <c r="AC4" s="855" t="s">
        <v>154</v>
      </c>
      <c r="AD4" s="845" t="s">
        <v>157</v>
      </c>
      <c r="AE4" s="845" t="s">
        <v>158</v>
      </c>
      <c r="AF4" s="845" t="s">
        <v>162</v>
      </c>
      <c r="AG4" s="869"/>
      <c r="AH4" s="868"/>
      <c r="AI4" s="868"/>
      <c r="AJ4" s="870"/>
      <c r="AK4" s="428"/>
      <c r="AL4" s="388" t="s">
        <v>279</v>
      </c>
      <c r="AM4" s="388" t="s">
        <v>182</v>
      </c>
      <c r="AN4" s="388" t="s">
        <v>183</v>
      </c>
      <c r="AO4" s="388" t="s">
        <v>184</v>
      </c>
    </row>
    <row r="5" spans="1:45" ht="20.100000000000001" customHeight="1" thickBot="1" x14ac:dyDescent="0.25">
      <c r="A5" s="387" t="s">
        <v>7</v>
      </c>
      <c r="B5" s="381" t="s">
        <v>255</v>
      </c>
      <c r="C5" s="382" t="s">
        <v>255</v>
      </c>
      <c r="D5" s="382" t="s">
        <v>32</v>
      </c>
      <c r="E5" s="382" t="s">
        <v>33</v>
      </c>
      <c r="F5" s="382" t="s">
        <v>34</v>
      </c>
      <c r="G5" s="382" t="s">
        <v>34</v>
      </c>
      <c r="H5" s="385" t="s">
        <v>35</v>
      </c>
      <c r="I5" s="472" t="s">
        <v>36</v>
      </c>
      <c r="J5" s="473" t="s">
        <v>36</v>
      </c>
      <c r="K5" s="473" t="s">
        <v>36</v>
      </c>
      <c r="L5" s="858"/>
      <c r="M5" s="474" t="s">
        <v>264</v>
      </c>
      <c r="N5" s="865"/>
      <c r="O5" s="853"/>
      <c r="P5" s="845"/>
      <c r="Q5" s="845"/>
      <c r="R5" s="845"/>
      <c r="S5" s="853"/>
      <c r="T5" s="853"/>
      <c r="U5" s="853"/>
      <c r="V5" s="854"/>
      <c r="W5" s="866"/>
      <c r="X5" s="382" t="s">
        <v>107</v>
      </c>
      <c r="Y5" s="382" t="s">
        <v>107</v>
      </c>
      <c r="Z5" s="382" t="s">
        <v>107</v>
      </c>
      <c r="AA5" s="850"/>
      <c r="AB5" s="852"/>
      <c r="AC5" s="855"/>
      <c r="AD5" s="845"/>
      <c r="AE5" s="845"/>
      <c r="AF5" s="846"/>
      <c r="AG5" s="869"/>
      <c r="AH5" s="868"/>
      <c r="AI5" s="868"/>
      <c r="AJ5" s="870"/>
      <c r="AK5" s="428"/>
      <c r="AL5" s="388" t="s">
        <v>266</v>
      </c>
      <c r="AM5" s="388" t="s">
        <v>185</v>
      </c>
      <c r="AN5" s="388" t="s">
        <v>185</v>
      </c>
      <c r="AO5" s="388" t="s">
        <v>281</v>
      </c>
    </row>
    <row r="6" spans="1:45" ht="26.1" customHeight="1" x14ac:dyDescent="0.2">
      <c r="A6" s="388">
        <v>1</v>
      </c>
      <c r="B6" s="822">
        <v>8119100</v>
      </c>
      <c r="C6" s="823"/>
      <c r="D6" s="823"/>
      <c r="E6" s="823">
        <v>64</v>
      </c>
      <c r="F6" s="823">
        <v>8658.6</v>
      </c>
      <c r="G6" s="823">
        <v>68225</v>
      </c>
      <c r="H6" s="824"/>
      <c r="I6" s="825">
        <v>825474</v>
      </c>
      <c r="J6" s="826"/>
      <c r="K6" s="824">
        <v>468000</v>
      </c>
      <c r="L6" s="823">
        <v>19274.650000000001</v>
      </c>
      <c r="M6" s="827">
        <v>377633.25</v>
      </c>
      <c r="N6" s="825">
        <v>58084.65</v>
      </c>
      <c r="O6" s="828">
        <v>227533</v>
      </c>
      <c r="P6" s="829">
        <v>61994</v>
      </c>
      <c r="Q6" s="823">
        <v>959930</v>
      </c>
      <c r="R6" s="823"/>
      <c r="S6" s="823">
        <v>78247</v>
      </c>
      <c r="T6" s="823"/>
      <c r="U6" s="823">
        <v>22559</v>
      </c>
      <c r="V6" s="830">
        <v>1341402</v>
      </c>
      <c r="W6" s="823"/>
      <c r="X6" s="831">
        <v>43639</v>
      </c>
      <c r="Y6" s="823">
        <v>59389</v>
      </c>
      <c r="Z6" s="823">
        <v>13039</v>
      </c>
      <c r="AA6" s="823">
        <v>97122</v>
      </c>
      <c r="AB6" s="823"/>
      <c r="AC6" s="823">
        <v>4267</v>
      </c>
      <c r="AD6" s="823">
        <v>262820</v>
      </c>
      <c r="AE6" s="823"/>
      <c r="AF6" s="825"/>
      <c r="AG6" s="823"/>
      <c r="AH6" s="823"/>
      <c r="AI6" s="832"/>
      <c r="AJ6" s="823">
        <v>7360518.2649999997</v>
      </c>
      <c r="AK6" s="819"/>
      <c r="AL6" s="820"/>
      <c r="AM6" s="821"/>
      <c r="AN6" s="821"/>
      <c r="AO6" s="821"/>
    </row>
    <row r="7" spans="1:45" ht="26.1" customHeight="1" x14ac:dyDescent="0.2">
      <c r="A7" s="388">
        <v>2</v>
      </c>
      <c r="B7" s="822">
        <v>8121800</v>
      </c>
      <c r="C7" s="823"/>
      <c r="D7" s="823"/>
      <c r="E7" s="823">
        <v>64</v>
      </c>
      <c r="F7" s="823">
        <v>8675.7999999999993</v>
      </c>
      <c r="G7" s="823">
        <v>68225</v>
      </c>
      <c r="H7" s="824"/>
      <c r="I7" s="825">
        <v>831401</v>
      </c>
      <c r="J7" s="826"/>
      <c r="K7" s="824">
        <v>468000</v>
      </c>
      <c r="L7" s="823">
        <v>19386.46</v>
      </c>
      <c r="M7" s="827">
        <v>379260.63</v>
      </c>
      <c r="N7" s="825">
        <v>58202.47</v>
      </c>
      <c r="O7" s="828">
        <v>227740</v>
      </c>
      <c r="P7" s="829">
        <v>62150</v>
      </c>
      <c r="Q7" s="823">
        <v>960141</v>
      </c>
      <c r="R7" s="823"/>
      <c r="S7" s="823">
        <v>78343</v>
      </c>
      <c r="T7" s="823"/>
      <c r="U7" s="823">
        <v>22561</v>
      </c>
      <c r="V7" s="830">
        <v>1341566</v>
      </c>
      <c r="W7" s="823"/>
      <c r="X7" s="831">
        <v>43707</v>
      </c>
      <c r="Y7" s="823">
        <v>59449</v>
      </c>
      <c r="Z7" s="823">
        <v>13052</v>
      </c>
      <c r="AA7" s="823">
        <v>97122</v>
      </c>
      <c r="AB7" s="823"/>
      <c r="AC7" s="823">
        <v>4280</v>
      </c>
      <c r="AD7" s="823">
        <v>262846</v>
      </c>
      <c r="AE7" s="823"/>
      <c r="AF7" s="825"/>
      <c r="AG7" s="823"/>
      <c r="AH7" s="823"/>
      <c r="AI7" s="832"/>
      <c r="AJ7" s="823">
        <v>7361047.3729999997</v>
      </c>
      <c r="AK7" s="833"/>
      <c r="AL7" s="820"/>
      <c r="AM7" s="821"/>
      <c r="AN7" s="821"/>
      <c r="AO7" s="821"/>
    </row>
    <row r="8" spans="1:45" ht="26.1" customHeight="1" x14ac:dyDescent="0.2">
      <c r="A8" s="388">
        <v>3</v>
      </c>
      <c r="B8" s="822">
        <v>8124250</v>
      </c>
      <c r="C8" s="823"/>
      <c r="D8" s="823"/>
      <c r="E8" s="823">
        <v>64</v>
      </c>
      <c r="F8" s="823">
        <v>8693.4</v>
      </c>
      <c r="G8" s="823">
        <v>68225</v>
      </c>
      <c r="H8" s="824"/>
      <c r="I8" s="825">
        <v>837233</v>
      </c>
      <c r="J8" s="826"/>
      <c r="K8" s="824">
        <v>468000</v>
      </c>
      <c r="L8" s="823">
        <v>19624.64</v>
      </c>
      <c r="M8" s="827">
        <v>381077.13</v>
      </c>
      <c r="N8" s="825">
        <v>58342.52</v>
      </c>
      <c r="O8" s="828">
        <v>227864</v>
      </c>
      <c r="P8" s="829">
        <v>62318</v>
      </c>
      <c r="Q8" s="823">
        <v>960307</v>
      </c>
      <c r="R8" s="823"/>
      <c r="S8" s="823">
        <v>78419</v>
      </c>
      <c r="T8" s="823"/>
      <c r="U8" s="823">
        <v>22563</v>
      </c>
      <c r="V8" s="830">
        <v>1341743</v>
      </c>
      <c r="W8" s="823"/>
      <c r="X8" s="831">
        <v>43730</v>
      </c>
      <c r="Y8" s="823">
        <v>59506</v>
      </c>
      <c r="Z8" s="823">
        <v>13056</v>
      </c>
      <c r="AA8" s="823">
        <v>97122</v>
      </c>
      <c r="AB8" s="823"/>
      <c r="AC8" s="823">
        <v>4301</v>
      </c>
      <c r="AD8" s="823">
        <v>262846</v>
      </c>
      <c r="AE8" s="823"/>
      <c r="AF8" s="825"/>
      <c r="AG8" s="823"/>
      <c r="AH8" s="823"/>
      <c r="AI8" s="832"/>
      <c r="AJ8" s="823">
        <v>7361047.3729999997</v>
      </c>
      <c r="AK8" s="454"/>
      <c r="AL8" s="834"/>
      <c r="AM8" s="821"/>
      <c r="AN8" s="821"/>
      <c r="AO8" s="835"/>
    </row>
    <row r="9" spans="1:45" ht="26.1" customHeight="1" x14ac:dyDescent="0.2">
      <c r="A9" s="388">
        <v>4</v>
      </c>
      <c r="B9" s="822">
        <v>8124400</v>
      </c>
      <c r="C9" s="823"/>
      <c r="D9" s="823"/>
      <c r="E9" s="823">
        <v>64</v>
      </c>
      <c r="F9" s="823">
        <v>8695.1</v>
      </c>
      <c r="G9" s="823">
        <v>68225</v>
      </c>
      <c r="H9" s="824"/>
      <c r="I9" s="825">
        <v>839927</v>
      </c>
      <c r="J9" s="826"/>
      <c r="K9" s="824">
        <v>468000</v>
      </c>
      <c r="L9" s="823">
        <v>19624.64</v>
      </c>
      <c r="M9" s="827">
        <v>381077.13</v>
      </c>
      <c r="N9" s="825">
        <v>58342.52</v>
      </c>
      <c r="O9" s="828">
        <v>227864</v>
      </c>
      <c r="P9" s="829">
        <v>62318</v>
      </c>
      <c r="Q9" s="823">
        <v>960320</v>
      </c>
      <c r="R9" s="823"/>
      <c r="S9" s="823">
        <v>78419</v>
      </c>
      <c r="T9" s="823"/>
      <c r="U9" s="823">
        <v>22563</v>
      </c>
      <c r="V9" s="830">
        <v>1341743</v>
      </c>
      <c r="W9" s="823"/>
      <c r="X9" s="831">
        <v>43730</v>
      </c>
      <c r="Y9" s="823">
        <v>59506</v>
      </c>
      <c r="Z9" s="823">
        <v>13073</v>
      </c>
      <c r="AA9" s="823">
        <v>97122</v>
      </c>
      <c r="AB9" s="823"/>
      <c r="AC9" s="823">
        <v>4301</v>
      </c>
      <c r="AD9" s="823">
        <v>262846</v>
      </c>
      <c r="AE9" s="823"/>
      <c r="AF9" s="825"/>
      <c r="AG9" s="823"/>
      <c r="AH9" s="823"/>
      <c r="AI9" s="823"/>
      <c r="AJ9" s="823">
        <v>7361047.3729999997</v>
      </c>
      <c r="AK9" s="454"/>
      <c r="AL9" s="834"/>
      <c r="AM9" s="821"/>
      <c r="AN9" s="821"/>
      <c r="AO9" s="835"/>
    </row>
    <row r="10" spans="1:45" ht="26.1" customHeight="1" x14ac:dyDescent="0.2">
      <c r="A10" s="388">
        <v>5</v>
      </c>
      <c r="B10" s="822">
        <v>8124760</v>
      </c>
      <c r="C10" s="823"/>
      <c r="D10" s="823"/>
      <c r="E10" s="823">
        <v>64</v>
      </c>
      <c r="F10" s="823">
        <v>8697.6</v>
      </c>
      <c r="G10" s="823">
        <v>68225</v>
      </c>
      <c r="H10" s="824"/>
      <c r="I10" s="825">
        <v>842898</v>
      </c>
      <c r="J10" s="826"/>
      <c r="K10" s="824">
        <v>468000</v>
      </c>
      <c r="L10" s="823">
        <v>19624.64</v>
      </c>
      <c r="M10" s="827">
        <v>381077.13</v>
      </c>
      <c r="N10" s="825">
        <v>58342.52</v>
      </c>
      <c r="O10" s="828">
        <v>227891</v>
      </c>
      <c r="P10" s="829">
        <v>62438</v>
      </c>
      <c r="Q10" s="823">
        <v>960378</v>
      </c>
      <c r="R10" s="823"/>
      <c r="S10" s="823">
        <v>78419</v>
      </c>
      <c r="T10" s="823"/>
      <c r="U10" s="823">
        <v>22563</v>
      </c>
      <c r="V10" s="830">
        <v>1341869</v>
      </c>
      <c r="W10" s="823"/>
      <c r="X10" s="831">
        <v>43730</v>
      </c>
      <c r="Y10" s="823">
        <v>59540</v>
      </c>
      <c r="Z10" s="823">
        <v>13075</v>
      </c>
      <c r="AA10" s="823">
        <v>97122</v>
      </c>
      <c r="AB10" s="823"/>
      <c r="AC10" s="823">
        <v>4301</v>
      </c>
      <c r="AD10" s="823">
        <v>262846</v>
      </c>
      <c r="AE10" s="823"/>
      <c r="AF10" s="825"/>
      <c r="AG10" s="823"/>
      <c r="AH10" s="823"/>
      <c r="AI10" s="823"/>
      <c r="AJ10" s="823">
        <v>7361047.3729999997</v>
      </c>
      <c r="AK10" s="454"/>
      <c r="AL10" s="834"/>
      <c r="AM10" s="821"/>
      <c r="AN10" s="821"/>
      <c r="AO10" s="835"/>
    </row>
    <row r="11" spans="1:45" ht="25.15" customHeight="1" x14ac:dyDescent="0.2">
      <c r="A11" s="388">
        <v>6</v>
      </c>
      <c r="B11" s="823">
        <v>8124760</v>
      </c>
      <c r="C11" s="823"/>
      <c r="D11" s="823"/>
      <c r="E11" s="823">
        <v>64</v>
      </c>
      <c r="F11" s="823">
        <v>8697.6</v>
      </c>
      <c r="G11" s="823">
        <v>68225</v>
      </c>
      <c r="H11" s="824"/>
      <c r="I11" s="825">
        <v>845809</v>
      </c>
      <c r="J11" s="826"/>
      <c r="K11" s="824">
        <v>468000</v>
      </c>
      <c r="L11" s="823">
        <v>19624.64</v>
      </c>
      <c r="M11" s="827">
        <v>381077.13</v>
      </c>
      <c r="N11" s="825">
        <v>58342.52</v>
      </c>
      <c r="O11" s="828">
        <v>227891</v>
      </c>
      <c r="P11" s="829">
        <v>62438</v>
      </c>
      <c r="Q11" s="823">
        <v>960386</v>
      </c>
      <c r="R11" s="823"/>
      <c r="S11" s="823">
        <v>78419</v>
      </c>
      <c r="T11" s="823"/>
      <c r="U11" s="823">
        <v>22563</v>
      </c>
      <c r="V11" s="830">
        <v>1341869</v>
      </c>
      <c r="W11" s="823"/>
      <c r="X11" s="831">
        <v>43730</v>
      </c>
      <c r="Y11" s="823">
        <v>59540</v>
      </c>
      <c r="Z11" s="823">
        <v>13075</v>
      </c>
      <c r="AA11" s="823">
        <v>97122</v>
      </c>
      <c r="AB11" s="823"/>
      <c r="AC11" s="823">
        <v>4301</v>
      </c>
      <c r="AD11" s="823">
        <v>262846</v>
      </c>
      <c r="AE11" s="823"/>
      <c r="AF11" s="825"/>
      <c r="AG11" s="823"/>
      <c r="AH11" s="823"/>
      <c r="AI11" s="823"/>
      <c r="AJ11" s="823">
        <v>7361047.3729999997</v>
      </c>
      <c r="AK11" s="454"/>
      <c r="AL11" s="834"/>
      <c r="AM11" s="821"/>
      <c r="AN11" s="821"/>
      <c r="AO11" s="835"/>
    </row>
    <row r="12" spans="1:45" ht="26.25" customHeight="1" x14ac:dyDescent="0.2">
      <c r="A12" s="388">
        <v>7</v>
      </c>
      <c r="B12" s="822">
        <v>8125540</v>
      </c>
      <c r="C12" s="823"/>
      <c r="D12" s="823"/>
      <c r="E12" s="823">
        <v>64</v>
      </c>
      <c r="F12" s="823">
        <v>8702.2000000000007</v>
      </c>
      <c r="G12" s="823">
        <v>68225</v>
      </c>
      <c r="H12" s="824"/>
      <c r="I12" s="825">
        <v>848408</v>
      </c>
      <c r="J12" s="826"/>
      <c r="K12" s="824">
        <v>468000</v>
      </c>
      <c r="L12" s="823">
        <v>19624.64</v>
      </c>
      <c r="M12" s="827">
        <v>381077.13</v>
      </c>
      <c r="N12" s="825">
        <v>58342.52</v>
      </c>
      <c r="O12" s="828">
        <v>227891</v>
      </c>
      <c r="P12" s="829">
        <v>62438</v>
      </c>
      <c r="Q12" s="823">
        <v>960392</v>
      </c>
      <c r="R12" s="823"/>
      <c r="S12" s="823">
        <v>78419</v>
      </c>
      <c r="T12" s="823"/>
      <c r="U12" s="823">
        <v>22563</v>
      </c>
      <c r="V12" s="830">
        <v>1341869</v>
      </c>
      <c r="W12" s="823"/>
      <c r="X12" s="831">
        <v>43730</v>
      </c>
      <c r="Y12" s="823">
        <v>59540</v>
      </c>
      <c r="Z12" s="823">
        <v>13079</v>
      </c>
      <c r="AA12" s="823">
        <v>97122</v>
      </c>
      <c r="AB12" s="823"/>
      <c r="AC12" s="823">
        <v>4301</v>
      </c>
      <c r="AD12" s="823">
        <v>262846</v>
      </c>
      <c r="AE12" s="823"/>
      <c r="AF12" s="825"/>
      <c r="AG12" s="823"/>
      <c r="AH12" s="823"/>
      <c r="AI12" s="823"/>
      <c r="AJ12" s="823">
        <v>7361047.3729999997</v>
      </c>
      <c r="AK12" s="823"/>
      <c r="AL12" s="834"/>
      <c r="AM12" s="821"/>
      <c r="AN12" s="821"/>
      <c r="AO12" s="835"/>
    </row>
    <row r="13" spans="1:45" ht="27" customHeight="1" x14ac:dyDescent="0.2">
      <c r="A13" s="388">
        <v>8</v>
      </c>
      <c r="B13" s="822">
        <v>8128770</v>
      </c>
      <c r="C13" s="823"/>
      <c r="D13" s="823"/>
      <c r="E13" s="823">
        <v>64</v>
      </c>
      <c r="F13" s="823">
        <v>8723.1</v>
      </c>
      <c r="G13" s="823">
        <v>68225</v>
      </c>
      <c r="H13" s="824"/>
      <c r="I13" s="825">
        <v>853622</v>
      </c>
      <c r="J13" s="826"/>
      <c r="K13" s="824">
        <v>468000</v>
      </c>
      <c r="L13" s="823">
        <v>19652.22</v>
      </c>
      <c r="M13" s="827">
        <v>381750.11</v>
      </c>
      <c r="N13" s="825">
        <v>58478.74</v>
      </c>
      <c r="O13" s="828">
        <v>227925</v>
      </c>
      <c r="P13" s="829">
        <v>62622</v>
      </c>
      <c r="Q13" s="823">
        <v>960544</v>
      </c>
      <c r="R13" s="823"/>
      <c r="S13" s="823">
        <v>78559</v>
      </c>
      <c r="T13" s="823"/>
      <c r="U13" s="823">
        <v>22566</v>
      </c>
      <c r="V13" s="830">
        <v>1342062</v>
      </c>
      <c r="W13" s="823"/>
      <c r="X13" s="831">
        <v>43772</v>
      </c>
      <c r="Y13" s="823">
        <v>59578</v>
      </c>
      <c r="Z13" s="823">
        <v>13094</v>
      </c>
      <c r="AA13" s="823">
        <v>97122</v>
      </c>
      <c r="AB13" s="823"/>
      <c r="AC13" s="823">
        <v>4318</v>
      </c>
      <c r="AD13" s="823">
        <v>262846</v>
      </c>
      <c r="AE13" s="823"/>
      <c r="AF13" s="825"/>
      <c r="AG13" s="823"/>
      <c r="AH13" s="823"/>
      <c r="AI13" s="823"/>
      <c r="AJ13" s="823">
        <v>7361475.0389999999</v>
      </c>
      <c r="AK13" s="823"/>
      <c r="AL13" s="834"/>
      <c r="AM13" s="821"/>
      <c r="AN13" s="821"/>
      <c r="AO13" s="835"/>
      <c r="AS13" s="389"/>
    </row>
    <row r="14" spans="1:45" s="389" customFormat="1" ht="26.1" customHeight="1" x14ac:dyDescent="0.2">
      <c r="A14" s="388">
        <v>9</v>
      </c>
      <c r="B14" s="822">
        <v>8131570</v>
      </c>
      <c r="C14" s="823"/>
      <c r="D14" s="823"/>
      <c r="E14" s="823">
        <v>64</v>
      </c>
      <c r="F14" s="823">
        <v>8742</v>
      </c>
      <c r="G14" s="823">
        <v>68225</v>
      </c>
      <c r="H14" s="824"/>
      <c r="I14" s="825">
        <v>859472</v>
      </c>
      <c r="J14" s="826"/>
      <c r="K14" s="824">
        <v>468000</v>
      </c>
      <c r="L14" s="823">
        <v>19811.830000000002</v>
      </c>
      <c r="M14" s="827">
        <v>384862.26</v>
      </c>
      <c r="N14" s="825">
        <v>58796.08</v>
      </c>
      <c r="O14" s="828">
        <v>228097</v>
      </c>
      <c r="P14" s="829">
        <v>62769</v>
      </c>
      <c r="Q14" s="823">
        <v>960807</v>
      </c>
      <c r="R14" s="823"/>
      <c r="S14" s="823">
        <v>78612</v>
      </c>
      <c r="T14" s="823"/>
      <c r="U14" s="823">
        <v>22567</v>
      </c>
      <c r="V14" s="830">
        <v>1342217</v>
      </c>
      <c r="W14" s="823"/>
      <c r="X14" s="831">
        <v>43820</v>
      </c>
      <c r="Y14" s="823">
        <v>59698</v>
      </c>
      <c r="Z14" s="823">
        <v>13109</v>
      </c>
      <c r="AA14" s="823">
        <v>97122</v>
      </c>
      <c r="AB14" s="823"/>
      <c r="AC14" s="823">
        <v>4350</v>
      </c>
      <c r="AD14" s="823">
        <v>262857</v>
      </c>
      <c r="AE14" s="823"/>
      <c r="AF14" s="825"/>
      <c r="AG14" s="823"/>
      <c r="AH14" s="823"/>
      <c r="AI14" s="823"/>
      <c r="AJ14" s="823">
        <v>7361475.0389999999</v>
      </c>
      <c r="AK14" s="823"/>
      <c r="AL14" s="834"/>
      <c r="AM14" s="835"/>
      <c r="AN14" s="835"/>
      <c r="AO14" s="835"/>
      <c r="AP14" s="189"/>
      <c r="AQ14" s="189"/>
      <c r="AR14" s="189"/>
      <c r="AS14" s="189"/>
    </row>
    <row r="15" spans="1:45" ht="26.1" customHeight="1" x14ac:dyDescent="0.2">
      <c r="A15" s="388">
        <v>10</v>
      </c>
      <c r="B15" s="822">
        <v>8135360</v>
      </c>
      <c r="C15" s="823"/>
      <c r="D15" s="823"/>
      <c r="E15" s="823">
        <v>64</v>
      </c>
      <c r="F15" s="823">
        <v>8762.4</v>
      </c>
      <c r="G15" s="823">
        <v>68225</v>
      </c>
      <c r="H15" s="824"/>
      <c r="I15" s="836">
        <v>866373</v>
      </c>
      <c r="J15" s="837"/>
      <c r="K15" s="824">
        <v>468000</v>
      </c>
      <c r="L15" s="823">
        <v>20086.560000000001</v>
      </c>
      <c r="M15" s="827">
        <v>388373.94</v>
      </c>
      <c r="N15" s="825">
        <v>59204.72</v>
      </c>
      <c r="O15" s="828">
        <v>228334</v>
      </c>
      <c r="P15" s="829">
        <v>62907</v>
      </c>
      <c r="Q15" s="823">
        <v>961065</v>
      </c>
      <c r="R15" s="823"/>
      <c r="S15" s="823">
        <v>78779</v>
      </c>
      <c r="T15" s="823"/>
      <c r="U15" s="823">
        <v>22568</v>
      </c>
      <c r="V15" s="830">
        <v>1342361</v>
      </c>
      <c r="W15" s="823"/>
      <c r="X15" s="831">
        <v>43851</v>
      </c>
      <c r="Y15" s="823">
        <v>59834</v>
      </c>
      <c r="Z15" s="823">
        <v>13126</v>
      </c>
      <c r="AA15" s="823">
        <v>97122</v>
      </c>
      <c r="AB15" s="823"/>
      <c r="AC15" s="823">
        <v>4383</v>
      </c>
      <c r="AD15" s="823">
        <v>262878</v>
      </c>
      <c r="AE15" s="823"/>
      <c r="AF15" s="825"/>
      <c r="AG15" s="823"/>
      <c r="AH15" s="823"/>
      <c r="AI15" s="823"/>
      <c r="AJ15" s="823">
        <v>7361475.0389999999</v>
      </c>
      <c r="AK15" s="823"/>
      <c r="AL15" s="834"/>
      <c r="AM15" s="835"/>
      <c r="AN15" s="835"/>
      <c r="AO15" s="835"/>
    </row>
    <row r="16" spans="1:45" ht="26.1" customHeight="1" x14ac:dyDescent="0.2">
      <c r="A16" s="388">
        <v>11</v>
      </c>
      <c r="B16" s="822">
        <v>8137760</v>
      </c>
      <c r="C16" s="823"/>
      <c r="D16" s="823"/>
      <c r="E16" s="823">
        <v>64</v>
      </c>
      <c r="F16" s="823">
        <v>8779.7999999999993</v>
      </c>
      <c r="G16" s="823">
        <v>68225</v>
      </c>
      <c r="H16" s="824"/>
      <c r="I16" s="825">
        <v>873219</v>
      </c>
      <c r="J16" s="837"/>
      <c r="K16" s="824">
        <v>468000</v>
      </c>
      <c r="L16" s="823">
        <v>20422.05</v>
      </c>
      <c r="M16" s="827">
        <v>391468.13</v>
      </c>
      <c r="N16" s="825">
        <v>59491.199999999997</v>
      </c>
      <c r="O16" s="828">
        <v>228545</v>
      </c>
      <c r="P16" s="829">
        <v>63073</v>
      </c>
      <c r="Q16" s="823">
        <v>961269</v>
      </c>
      <c r="R16" s="823"/>
      <c r="S16" s="823">
        <v>78891</v>
      </c>
      <c r="T16" s="823"/>
      <c r="U16" s="823">
        <v>22568</v>
      </c>
      <c r="V16" s="830">
        <v>1342535</v>
      </c>
      <c r="W16" s="823"/>
      <c r="X16" s="831">
        <v>43881</v>
      </c>
      <c r="Y16" s="823">
        <v>59913</v>
      </c>
      <c r="Z16" s="823">
        <v>13142</v>
      </c>
      <c r="AA16" s="823">
        <v>97122</v>
      </c>
      <c r="AB16" s="823"/>
      <c r="AC16" s="823">
        <v>4408</v>
      </c>
      <c r="AD16" s="823">
        <v>262902</v>
      </c>
      <c r="AE16" s="823"/>
      <c r="AF16" s="825"/>
      <c r="AG16" s="823"/>
      <c r="AH16" s="823"/>
      <c r="AI16" s="823"/>
      <c r="AJ16" s="823">
        <v>7361475.0389999999</v>
      </c>
      <c r="AK16" s="823"/>
      <c r="AL16" s="834"/>
      <c r="AM16" s="835"/>
      <c r="AN16" s="835"/>
      <c r="AO16" s="835"/>
    </row>
    <row r="17" spans="1:41" ht="26.1" customHeight="1" x14ac:dyDescent="0.2">
      <c r="A17" s="388">
        <v>12</v>
      </c>
      <c r="B17" s="822">
        <v>8137760</v>
      </c>
      <c r="C17" s="823"/>
      <c r="D17" s="823"/>
      <c r="E17" s="823">
        <v>64</v>
      </c>
      <c r="F17" s="823">
        <v>8779.7999999999993</v>
      </c>
      <c r="G17" s="823">
        <v>68225</v>
      </c>
      <c r="H17" s="824"/>
      <c r="I17" s="825">
        <v>876202</v>
      </c>
      <c r="J17" s="837"/>
      <c r="K17" s="824">
        <v>468000</v>
      </c>
      <c r="L17" s="823">
        <v>20422.05</v>
      </c>
      <c r="M17" s="827">
        <v>391468.13</v>
      </c>
      <c r="N17" s="825">
        <v>59491.199999999997</v>
      </c>
      <c r="O17" s="828">
        <v>228576</v>
      </c>
      <c r="P17" s="829">
        <v>63105</v>
      </c>
      <c r="Q17" s="823">
        <v>961320</v>
      </c>
      <c r="R17" s="823"/>
      <c r="S17" s="823">
        <v>78891</v>
      </c>
      <c r="T17" s="823"/>
      <c r="U17" s="823">
        <v>22568</v>
      </c>
      <c r="V17" s="830">
        <v>1342569</v>
      </c>
      <c r="W17" s="823"/>
      <c r="X17" s="831">
        <v>43881</v>
      </c>
      <c r="Y17" s="823">
        <v>59939</v>
      </c>
      <c r="Z17" s="823">
        <v>13143</v>
      </c>
      <c r="AA17" s="823">
        <v>97122</v>
      </c>
      <c r="AB17" s="823"/>
      <c r="AC17" s="823">
        <v>4408</v>
      </c>
      <c r="AD17" s="823">
        <v>262902</v>
      </c>
      <c r="AE17" s="823"/>
      <c r="AF17" s="825"/>
      <c r="AG17" s="823"/>
      <c r="AH17" s="823"/>
      <c r="AI17" s="823"/>
      <c r="AJ17" s="823">
        <v>7361475.0389999999</v>
      </c>
      <c r="AK17" s="823"/>
      <c r="AL17" s="834"/>
      <c r="AM17" s="835"/>
      <c r="AN17" s="835"/>
      <c r="AO17" s="835"/>
    </row>
    <row r="18" spans="1:41" ht="26.1" customHeight="1" x14ac:dyDescent="0.2">
      <c r="A18" s="388">
        <v>13</v>
      </c>
      <c r="B18" s="822">
        <v>8138460</v>
      </c>
      <c r="C18" s="823"/>
      <c r="D18" s="823"/>
      <c r="E18" s="823">
        <v>64</v>
      </c>
      <c r="F18" s="823">
        <v>8783.7999999999993</v>
      </c>
      <c r="G18" s="823">
        <v>68225</v>
      </c>
      <c r="H18" s="824"/>
      <c r="I18" s="825">
        <v>878154</v>
      </c>
      <c r="J18" s="837"/>
      <c r="K18" s="824">
        <v>468000</v>
      </c>
      <c r="L18" s="823">
        <v>20422.05</v>
      </c>
      <c r="M18" s="827">
        <v>391468.13</v>
      </c>
      <c r="N18" s="825">
        <v>59491.199999999997</v>
      </c>
      <c r="O18" s="828">
        <v>228578</v>
      </c>
      <c r="P18" s="829">
        <v>63105</v>
      </c>
      <c r="Q18" s="823">
        <v>961329</v>
      </c>
      <c r="R18" s="823"/>
      <c r="S18" s="823">
        <v>78891</v>
      </c>
      <c r="T18" s="823"/>
      <c r="U18" s="823">
        <v>22568</v>
      </c>
      <c r="V18" s="830">
        <v>1342569</v>
      </c>
      <c r="W18" s="823"/>
      <c r="X18" s="831">
        <v>43881</v>
      </c>
      <c r="Y18" s="823">
        <v>59939</v>
      </c>
      <c r="Z18" s="823">
        <v>13145</v>
      </c>
      <c r="AA18" s="823">
        <v>97122</v>
      </c>
      <c r="AB18" s="823"/>
      <c r="AC18" s="823">
        <v>4408</v>
      </c>
      <c r="AD18" s="823">
        <v>262902</v>
      </c>
      <c r="AE18" s="823"/>
      <c r="AF18" s="825"/>
      <c r="AG18" s="823"/>
      <c r="AH18" s="823"/>
      <c r="AI18" s="823"/>
      <c r="AJ18" s="823">
        <v>7361475.0389999999</v>
      </c>
      <c r="AK18" s="823"/>
      <c r="AL18" s="835"/>
      <c r="AM18" s="835"/>
      <c r="AN18" s="835"/>
      <c r="AO18" s="835"/>
    </row>
    <row r="19" spans="1:41" ht="26.1" customHeight="1" x14ac:dyDescent="0.2">
      <c r="A19" s="388">
        <v>14</v>
      </c>
      <c r="B19" s="822">
        <v>8141980</v>
      </c>
      <c r="C19" s="823"/>
      <c r="D19" s="823"/>
      <c r="E19" s="823">
        <v>64</v>
      </c>
      <c r="F19" s="805">
        <v>8804.7999999999993</v>
      </c>
      <c r="G19" s="823">
        <v>68225</v>
      </c>
      <c r="H19" s="824"/>
      <c r="I19" s="825">
        <v>884391</v>
      </c>
      <c r="J19" s="837"/>
      <c r="K19" s="824">
        <v>468000</v>
      </c>
      <c r="L19" s="823">
        <v>20533.080000000002</v>
      </c>
      <c r="M19" s="827">
        <v>393561.44</v>
      </c>
      <c r="N19" s="825">
        <v>59763.87</v>
      </c>
      <c r="O19" s="828">
        <v>228818</v>
      </c>
      <c r="P19" s="829">
        <v>63255</v>
      </c>
      <c r="Q19" s="823">
        <v>961600</v>
      </c>
      <c r="R19" s="823"/>
      <c r="S19" s="823">
        <v>79049</v>
      </c>
      <c r="T19" s="823"/>
      <c r="U19" s="823">
        <v>22570</v>
      </c>
      <c r="V19" s="830">
        <v>1342727</v>
      </c>
      <c r="W19" s="823"/>
      <c r="X19" s="831">
        <v>43953</v>
      </c>
      <c r="Y19" s="823">
        <v>60042</v>
      </c>
      <c r="Z19" s="823">
        <v>13164</v>
      </c>
      <c r="AA19" s="823">
        <v>97122</v>
      </c>
      <c r="AB19" s="823"/>
      <c r="AC19" s="823">
        <v>4436</v>
      </c>
      <c r="AD19" s="823">
        <v>262902</v>
      </c>
      <c r="AE19" s="823"/>
      <c r="AF19" s="825"/>
      <c r="AG19" s="823"/>
      <c r="AH19" s="823"/>
      <c r="AI19" s="823"/>
      <c r="AJ19" s="823">
        <v>7361475.0389999999</v>
      </c>
      <c r="AK19" s="823"/>
      <c r="AL19" s="835"/>
      <c r="AM19" s="835"/>
      <c r="AN19" s="835"/>
      <c r="AO19" s="835"/>
    </row>
    <row r="20" spans="1:41" ht="26.1" customHeight="1" x14ac:dyDescent="0.2">
      <c r="A20" s="388">
        <v>15</v>
      </c>
      <c r="B20" s="822">
        <v>8145070</v>
      </c>
      <c r="C20" s="823"/>
      <c r="D20" s="823"/>
      <c r="E20" s="823">
        <v>64</v>
      </c>
      <c r="F20" s="823">
        <v>8824.2999999999993</v>
      </c>
      <c r="G20" s="823">
        <v>68225</v>
      </c>
      <c r="H20" s="824"/>
      <c r="I20" s="825">
        <v>891771</v>
      </c>
      <c r="J20" s="837"/>
      <c r="K20" s="824">
        <v>468000</v>
      </c>
      <c r="L20" s="823">
        <v>20637.37</v>
      </c>
      <c r="M20" s="827">
        <v>395684.94</v>
      </c>
      <c r="N20" s="825">
        <v>60021.52</v>
      </c>
      <c r="O20" s="828">
        <v>229130</v>
      </c>
      <c r="P20" s="829">
        <v>63400</v>
      </c>
      <c r="Q20" s="823">
        <v>961853</v>
      </c>
      <c r="R20" s="823"/>
      <c r="S20" s="823">
        <v>79206</v>
      </c>
      <c r="T20" s="823"/>
      <c r="U20" s="823">
        <v>22570</v>
      </c>
      <c r="V20" s="830">
        <v>1342878</v>
      </c>
      <c r="W20" s="823"/>
      <c r="X20" s="831">
        <v>44018</v>
      </c>
      <c r="Y20" s="823">
        <v>60136</v>
      </c>
      <c r="Z20" s="823">
        <v>13182</v>
      </c>
      <c r="AA20" s="823">
        <v>97122</v>
      </c>
      <c r="AB20" s="823"/>
      <c r="AC20" s="823">
        <v>4465</v>
      </c>
      <c r="AD20" s="823">
        <v>262932</v>
      </c>
      <c r="AE20" s="823"/>
      <c r="AF20" s="825"/>
      <c r="AG20" s="823"/>
      <c r="AH20" s="823"/>
      <c r="AI20" s="823"/>
      <c r="AJ20" s="823">
        <v>7361736.4780000001</v>
      </c>
      <c r="AK20" s="823"/>
      <c r="AL20" s="835"/>
      <c r="AM20" s="835"/>
      <c r="AN20" s="835"/>
      <c r="AO20" s="835"/>
    </row>
    <row r="21" spans="1:41" ht="26.1" customHeight="1" x14ac:dyDescent="0.2">
      <c r="A21" s="388">
        <v>16</v>
      </c>
      <c r="B21" s="822">
        <v>8148440</v>
      </c>
      <c r="C21" s="823"/>
      <c r="D21" s="823"/>
      <c r="E21" s="823">
        <v>64</v>
      </c>
      <c r="F21" s="823">
        <v>8844.2000000000007</v>
      </c>
      <c r="G21" s="823">
        <v>68225</v>
      </c>
      <c r="H21" s="824"/>
      <c r="I21" s="825">
        <v>898720</v>
      </c>
      <c r="J21" s="837"/>
      <c r="K21" s="824">
        <v>468000</v>
      </c>
      <c r="L21" s="823">
        <v>20801.62</v>
      </c>
      <c r="M21" s="827">
        <v>398028.86</v>
      </c>
      <c r="N21" s="825">
        <v>60352.800000000003</v>
      </c>
      <c r="O21" s="828">
        <v>229418</v>
      </c>
      <c r="P21" s="829">
        <v>63499</v>
      </c>
      <c r="Q21" s="823">
        <v>962140</v>
      </c>
      <c r="R21" s="823"/>
      <c r="S21" s="823">
        <v>79383</v>
      </c>
      <c r="T21" s="823"/>
      <c r="U21" s="823">
        <v>22570</v>
      </c>
      <c r="V21" s="830">
        <v>1343050</v>
      </c>
      <c r="W21" s="823"/>
      <c r="X21" s="831">
        <v>44097</v>
      </c>
      <c r="Y21" s="823">
        <v>60269</v>
      </c>
      <c r="Z21" s="823">
        <v>13205</v>
      </c>
      <c r="AA21" s="823">
        <v>97122</v>
      </c>
      <c r="AB21" s="823"/>
      <c r="AC21" s="823">
        <v>4499</v>
      </c>
      <c r="AD21" s="823">
        <v>262932</v>
      </c>
      <c r="AE21" s="823"/>
      <c r="AF21" s="825"/>
      <c r="AG21" s="823"/>
      <c r="AH21" s="823"/>
      <c r="AI21" s="823"/>
      <c r="AJ21" s="823">
        <v>7361736.4780000001</v>
      </c>
      <c r="AK21" s="823"/>
      <c r="AL21" s="835"/>
      <c r="AM21" s="835"/>
      <c r="AN21" s="835"/>
      <c r="AO21" s="835"/>
    </row>
    <row r="22" spans="1:41" ht="26.1" customHeight="1" x14ac:dyDescent="0.2">
      <c r="A22" s="388">
        <v>17</v>
      </c>
      <c r="B22" s="822">
        <v>8151780</v>
      </c>
      <c r="C22" s="823"/>
      <c r="D22" s="823"/>
      <c r="E22" s="823">
        <v>64</v>
      </c>
      <c r="F22" s="823">
        <v>8864.7000000000007</v>
      </c>
      <c r="G22" s="823">
        <v>68225</v>
      </c>
      <c r="H22" s="824"/>
      <c r="I22" s="825">
        <v>904978</v>
      </c>
      <c r="J22" s="837"/>
      <c r="K22" s="824">
        <v>468000</v>
      </c>
      <c r="L22" s="823">
        <v>21005</v>
      </c>
      <c r="M22" s="827">
        <v>400521.59</v>
      </c>
      <c r="N22" s="825">
        <v>60709.63</v>
      </c>
      <c r="O22" s="828">
        <v>229565</v>
      </c>
      <c r="P22" s="829">
        <v>63674</v>
      </c>
      <c r="Q22" s="823">
        <v>962400</v>
      </c>
      <c r="R22" s="823"/>
      <c r="S22" s="823">
        <v>79544</v>
      </c>
      <c r="T22" s="823"/>
      <c r="U22" s="823">
        <v>22570</v>
      </c>
      <c r="V22" s="830">
        <v>1343165</v>
      </c>
      <c r="W22" s="823"/>
      <c r="X22" s="831">
        <v>44117</v>
      </c>
      <c r="Y22" s="823">
        <v>60382</v>
      </c>
      <c r="Z22" s="823">
        <v>13217</v>
      </c>
      <c r="AA22" s="823">
        <v>97122</v>
      </c>
      <c r="AB22" s="823"/>
      <c r="AC22" s="823">
        <v>4530</v>
      </c>
      <c r="AD22" s="823">
        <v>263038</v>
      </c>
      <c r="AE22" s="823"/>
      <c r="AF22" s="825"/>
      <c r="AG22" s="823"/>
      <c r="AH22" s="823"/>
      <c r="AI22" s="823"/>
      <c r="AJ22" s="823">
        <v>7361761.4939999999</v>
      </c>
      <c r="AK22" s="823"/>
      <c r="AL22" s="835"/>
      <c r="AM22" s="835"/>
      <c r="AN22" s="835"/>
      <c r="AO22" s="835"/>
    </row>
    <row r="23" spans="1:41" ht="26.1" customHeight="1" x14ac:dyDescent="0.2">
      <c r="A23" s="388">
        <v>18</v>
      </c>
      <c r="B23" s="822">
        <v>8153970</v>
      </c>
      <c r="C23" s="823"/>
      <c r="D23" s="823"/>
      <c r="E23" s="823">
        <v>64</v>
      </c>
      <c r="F23" s="823">
        <v>8879.2000000000007</v>
      </c>
      <c r="G23" s="823">
        <v>68225</v>
      </c>
      <c r="H23" s="824"/>
      <c r="I23" s="825">
        <v>910850</v>
      </c>
      <c r="J23" s="837"/>
      <c r="K23" s="824">
        <v>468000</v>
      </c>
      <c r="L23" s="823">
        <v>21037.7</v>
      </c>
      <c r="M23" s="827">
        <v>402453.44</v>
      </c>
      <c r="N23" s="825">
        <v>60908.84</v>
      </c>
      <c r="O23" s="828">
        <v>229747</v>
      </c>
      <c r="P23" s="829">
        <v>63854</v>
      </c>
      <c r="Q23" s="823">
        <v>962569</v>
      </c>
      <c r="R23" s="823"/>
      <c r="S23" s="823">
        <v>79601</v>
      </c>
      <c r="T23" s="823"/>
      <c r="U23" s="823">
        <v>22570</v>
      </c>
      <c r="V23" s="830">
        <v>1343351</v>
      </c>
      <c r="W23" s="823"/>
      <c r="X23" s="831">
        <v>44133</v>
      </c>
      <c r="Y23" s="823">
        <v>60464</v>
      </c>
      <c r="Z23" s="823">
        <v>13232</v>
      </c>
      <c r="AA23" s="823">
        <v>97122</v>
      </c>
      <c r="AB23" s="823"/>
      <c r="AC23" s="823">
        <v>4552</v>
      </c>
      <c r="AD23" s="823">
        <v>263099</v>
      </c>
      <c r="AE23" s="823"/>
      <c r="AF23" s="825"/>
      <c r="AG23" s="823"/>
      <c r="AH23" s="823"/>
      <c r="AI23" s="823"/>
      <c r="AJ23" s="823">
        <v>7361798.1679999996</v>
      </c>
      <c r="AK23" s="823"/>
      <c r="AL23" s="835"/>
      <c r="AM23" s="835"/>
      <c r="AN23" s="835"/>
      <c r="AO23" s="835"/>
    </row>
    <row r="24" spans="1:41" ht="26.1" customHeight="1" x14ac:dyDescent="0.2">
      <c r="A24" s="388">
        <v>19</v>
      </c>
      <c r="B24" s="822">
        <v>8153970</v>
      </c>
      <c r="C24" s="823"/>
      <c r="D24" s="823"/>
      <c r="E24" s="823">
        <v>64</v>
      </c>
      <c r="F24" s="823">
        <v>8879.2000000000007</v>
      </c>
      <c r="G24" s="823">
        <v>68225</v>
      </c>
      <c r="H24" s="824"/>
      <c r="I24" s="825">
        <v>914332</v>
      </c>
      <c r="J24" s="837"/>
      <c r="K24" s="824">
        <v>468000</v>
      </c>
      <c r="L24" s="823">
        <v>21037.7</v>
      </c>
      <c r="M24" s="827">
        <v>402453.44</v>
      </c>
      <c r="N24" s="825">
        <v>60908.84</v>
      </c>
      <c r="O24" s="828">
        <v>229747</v>
      </c>
      <c r="P24" s="829">
        <v>63886</v>
      </c>
      <c r="Q24" s="823">
        <v>962621</v>
      </c>
      <c r="R24" s="823"/>
      <c r="S24" s="823">
        <v>79601</v>
      </c>
      <c r="T24" s="823"/>
      <c r="U24" s="823">
        <v>22570</v>
      </c>
      <c r="V24" s="830">
        <v>1343386</v>
      </c>
      <c r="W24" s="823"/>
      <c r="X24" s="831">
        <v>44133</v>
      </c>
      <c r="Y24" s="823">
        <v>60468</v>
      </c>
      <c r="Z24" s="823">
        <v>13232</v>
      </c>
      <c r="AA24" s="823">
        <v>97122</v>
      </c>
      <c r="AB24" s="823"/>
      <c r="AC24" s="823">
        <v>4552</v>
      </c>
      <c r="AD24" s="823">
        <v>263099</v>
      </c>
      <c r="AE24" s="823"/>
      <c r="AF24" s="825"/>
      <c r="AG24" s="823"/>
      <c r="AH24" s="823"/>
      <c r="AI24" s="823"/>
      <c r="AJ24" s="823">
        <v>7361798.1679999996</v>
      </c>
      <c r="AK24" s="823"/>
      <c r="AL24" s="835"/>
      <c r="AM24" s="835"/>
      <c r="AN24" s="835"/>
      <c r="AO24" s="835"/>
    </row>
    <row r="25" spans="1:41" ht="26.1" customHeight="1" x14ac:dyDescent="0.2">
      <c r="A25" s="388">
        <v>20</v>
      </c>
      <c r="B25" s="822">
        <v>8155150</v>
      </c>
      <c r="C25" s="823"/>
      <c r="D25" s="823"/>
      <c r="E25" s="823">
        <v>64</v>
      </c>
      <c r="F25" s="823">
        <v>8886.2999999999993</v>
      </c>
      <c r="G25" s="823">
        <v>68225</v>
      </c>
      <c r="H25" s="824"/>
      <c r="I25" s="825">
        <v>916321</v>
      </c>
      <c r="J25" s="837"/>
      <c r="K25" s="824">
        <v>468000</v>
      </c>
      <c r="L25" s="823">
        <v>21037.7</v>
      </c>
      <c r="M25" s="827">
        <v>402453.44</v>
      </c>
      <c r="N25" s="825">
        <v>60908.84</v>
      </c>
      <c r="O25" s="828">
        <v>229853</v>
      </c>
      <c r="P25" s="829">
        <v>63955</v>
      </c>
      <c r="Q25" s="838">
        <v>962681</v>
      </c>
      <c r="R25" s="823"/>
      <c r="S25" s="823">
        <v>79602</v>
      </c>
      <c r="T25" s="823"/>
      <c r="U25" s="823">
        <v>22570</v>
      </c>
      <c r="V25" s="830">
        <v>1343459</v>
      </c>
      <c r="W25" s="823"/>
      <c r="X25" s="831">
        <v>44138</v>
      </c>
      <c r="Y25" s="823">
        <v>60501</v>
      </c>
      <c r="Z25" s="823">
        <v>13244</v>
      </c>
      <c r="AA25" s="823">
        <v>97122</v>
      </c>
      <c r="AB25" s="823"/>
      <c r="AC25" s="823">
        <v>4552</v>
      </c>
      <c r="AD25" s="823">
        <v>263099</v>
      </c>
      <c r="AE25" s="823"/>
      <c r="AF25" s="825"/>
      <c r="AG25" s="823"/>
      <c r="AH25" s="823"/>
      <c r="AI25" s="823"/>
      <c r="AJ25" s="823">
        <v>7361798.1679999996</v>
      </c>
      <c r="AK25" s="823"/>
      <c r="AL25" s="835"/>
      <c r="AM25" s="835"/>
      <c r="AN25" s="835"/>
      <c r="AO25" s="835"/>
    </row>
    <row r="26" spans="1:41" ht="26.1" customHeight="1" x14ac:dyDescent="0.2">
      <c r="A26" s="388">
        <v>21</v>
      </c>
      <c r="B26" s="822">
        <v>8158220</v>
      </c>
      <c r="C26" s="823"/>
      <c r="D26" s="823"/>
      <c r="E26" s="823">
        <v>64</v>
      </c>
      <c r="F26" s="823">
        <v>8905.9</v>
      </c>
      <c r="G26" s="823">
        <v>68225</v>
      </c>
      <c r="H26" s="824"/>
      <c r="I26" s="825">
        <v>921818</v>
      </c>
      <c r="J26" s="837"/>
      <c r="K26" s="824">
        <v>468000</v>
      </c>
      <c r="L26" s="823">
        <v>21147.42</v>
      </c>
      <c r="M26" s="827">
        <v>404060.42</v>
      </c>
      <c r="N26" s="825">
        <v>61063.13</v>
      </c>
      <c r="O26" s="828">
        <v>230055</v>
      </c>
      <c r="P26" s="829">
        <v>64063</v>
      </c>
      <c r="Q26" s="838">
        <v>962925</v>
      </c>
      <c r="R26" s="823"/>
      <c r="S26" s="823">
        <v>79732</v>
      </c>
      <c r="T26" s="823"/>
      <c r="U26" s="823">
        <v>22576</v>
      </c>
      <c r="V26" s="830">
        <v>1343572</v>
      </c>
      <c r="W26" s="823"/>
      <c r="X26" s="831">
        <v>44202</v>
      </c>
      <c r="Y26" s="823">
        <v>60571</v>
      </c>
      <c r="Z26" s="823">
        <v>13260</v>
      </c>
      <c r="AA26" s="823">
        <v>97122</v>
      </c>
      <c r="AB26" s="823"/>
      <c r="AC26" s="823">
        <v>4578</v>
      </c>
      <c r="AD26" s="823">
        <v>263099</v>
      </c>
      <c r="AE26" s="823"/>
      <c r="AF26" s="825"/>
      <c r="AG26" s="823"/>
      <c r="AH26" s="823"/>
      <c r="AI26" s="823"/>
      <c r="AJ26" s="823">
        <v>7361798.1679999996</v>
      </c>
      <c r="AK26" s="823"/>
      <c r="AL26" s="835"/>
      <c r="AM26" s="835"/>
      <c r="AN26" s="835"/>
      <c r="AO26" s="835"/>
    </row>
    <row r="27" spans="1:41" ht="26.1" customHeight="1" x14ac:dyDescent="0.2">
      <c r="A27" s="388">
        <v>22</v>
      </c>
      <c r="B27" s="822">
        <v>8161800</v>
      </c>
      <c r="C27" s="823"/>
      <c r="D27" s="823"/>
      <c r="E27" s="823">
        <v>64</v>
      </c>
      <c r="F27" s="823">
        <v>8926.7000000000007</v>
      </c>
      <c r="G27" s="823">
        <v>68225</v>
      </c>
      <c r="H27" s="824"/>
      <c r="I27" s="825">
        <v>927777</v>
      </c>
      <c r="J27" s="837"/>
      <c r="K27" s="824">
        <v>468000</v>
      </c>
      <c r="L27" s="823">
        <v>21266.400000000001</v>
      </c>
      <c r="M27" s="827">
        <v>406021.44</v>
      </c>
      <c r="N27" s="825">
        <v>61374.81</v>
      </c>
      <c r="O27" s="828">
        <v>230244</v>
      </c>
      <c r="P27" s="829">
        <v>64188</v>
      </c>
      <c r="Q27" s="823">
        <v>963144</v>
      </c>
      <c r="R27" s="823"/>
      <c r="S27" s="823">
        <v>79918</v>
      </c>
      <c r="T27" s="823"/>
      <c r="U27" s="823">
        <v>22576</v>
      </c>
      <c r="V27" s="830">
        <v>1343704</v>
      </c>
      <c r="W27" s="823"/>
      <c r="X27" s="831">
        <v>44232</v>
      </c>
      <c r="Y27" s="823">
        <v>60680</v>
      </c>
      <c r="Z27" s="823">
        <v>13286</v>
      </c>
      <c r="AA27" s="823">
        <v>97122</v>
      </c>
      <c r="AB27" s="823"/>
      <c r="AC27" s="823">
        <v>4610</v>
      </c>
      <c r="AD27" s="823">
        <v>263099</v>
      </c>
      <c r="AE27" s="823"/>
      <c r="AF27" s="825"/>
      <c r="AG27" s="823"/>
      <c r="AH27" s="823"/>
      <c r="AI27" s="823"/>
      <c r="AJ27" s="823">
        <v>7362227.4340000004</v>
      </c>
      <c r="AK27" s="823"/>
      <c r="AL27" s="835"/>
      <c r="AM27" s="835"/>
      <c r="AN27" s="835"/>
      <c r="AO27" s="835"/>
    </row>
    <row r="28" spans="1:41" ht="26.1" customHeight="1" x14ac:dyDescent="0.2">
      <c r="A28" s="388">
        <v>23</v>
      </c>
      <c r="B28" s="822">
        <v>8165350</v>
      </c>
      <c r="C28" s="823"/>
      <c r="D28" s="823"/>
      <c r="E28" s="823">
        <v>64</v>
      </c>
      <c r="F28" s="823">
        <v>8948.2000000000007</v>
      </c>
      <c r="G28" s="823">
        <v>68225</v>
      </c>
      <c r="H28" s="824"/>
      <c r="I28" s="825">
        <v>935152</v>
      </c>
      <c r="J28" s="837"/>
      <c r="K28" s="824">
        <v>468000</v>
      </c>
      <c r="L28" s="823">
        <v>22025.599999999999</v>
      </c>
      <c r="M28" s="827">
        <v>409313.53</v>
      </c>
      <c r="N28" s="825">
        <v>61678.41</v>
      </c>
      <c r="O28" s="828">
        <v>230515</v>
      </c>
      <c r="P28" s="829">
        <v>64359</v>
      </c>
      <c r="Q28" s="823">
        <v>963428</v>
      </c>
      <c r="R28" s="823"/>
      <c r="S28" s="823">
        <v>80008</v>
      </c>
      <c r="T28" s="823"/>
      <c r="U28" s="823">
        <v>22576</v>
      </c>
      <c r="V28" s="830">
        <v>1343884</v>
      </c>
      <c r="W28" s="823"/>
      <c r="X28" s="831">
        <v>44277</v>
      </c>
      <c r="Y28" s="823">
        <v>60806</v>
      </c>
      <c r="Z28" s="823">
        <v>13313</v>
      </c>
      <c r="AA28" s="823">
        <v>97122</v>
      </c>
      <c r="AB28" s="823"/>
      <c r="AC28" s="823">
        <v>4643</v>
      </c>
      <c r="AD28" s="823">
        <v>263099</v>
      </c>
      <c r="AE28" s="823"/>
      <c r="AF28" s="825"/>
      <c r="AG28" s="823"/>
      <c r="AH28" s="823"/>
      <c r="AI28" s="823"/>
      <c r="AJ28" s="823">
        <v>7362227.4340000004</v>
      </c>
      <c r="AK28" s="823"/>
      <c r="AL28" s="835"/>
      <c r="AM28" s="835"/>
      <c r="AN28" s="835"/>
      <c r="AO28" s="835"/>
    </row>
    <row r="29" spans="1:41" ht="26.1" customHeight="1" x14ac:dyDescent="0.2">
      <c r="A29" s="388">
        <v>24</v>
      </c>
      <c r="B29" s="822">
        <v>8167930</v>
      </c>
      <c r="C29" s="823"/>
      <c r="D29" s="823"/>
      <c r="E29" s="823">
        <v>64</v>
      </c>
      <c r="F29" s="823">
        <v>8965.2999999999993</v>
      </c>
      <c r="G29" s="823">
        <v>68225</v>
      </c>
      <c r="H29" s="824"/>
      <c r="I29" s="825">
        <v>942216</v>
      </c>
      <c r="J29" s="837"/>
      <c r="K29" s="824">
        <v>468000</v>
      </c>
      <c r="L29" s="823">
        <v>22195.61</v>
      </c>
      <c r="M29" s="827">
        <v>410663.41</v>
      </c>
      <c r="N29" s="825">
        <v>61820.2</v>
      </c>
      <c r="O29" s="828">
        <v>230655</v>
      </c>
      <c r="P29" s="829">
        <v>64504</v>
      </c>
      <c r="Q29" s="823">
        <v>963609</v>
      </c>
      <c r="R29" s="823"/>
      <c r="S29" s="823">
        <v>80155</v>
      </c>
      <c r="T29" s="823"/>
      <c r="U29" s="823">
        <v>22580</v>
      </c>
      <c r="V29" s="830">
        <v>1344036</v>
      </c>
      <c r="W29" s="823"/>
      <c r="X29" s="831">
        <v>44312</v>
      </c>
      <c r="Y29" s="823">
        <v>60890</v>
      </c>
      <c r="Z29" s="823">
        <v>13340</v>
      </c>
      <c r="AA29" s="823">
        <v>97122</v>
      </c>
      <c r="AB29" s="823"/>
      <c r="AC29" s="823">
        <v>4671</v>
      </c>
      <c r="AD29" s="823">
        <v>263099</v>
      </c>
      <c r="AE29" s="823"/>
      <c r="AF29" s="825"/>
      <c r="AG29" s="823"/>
      <c r="AH29" s="823"/>
      <c r="AI29" s="823"/>
      <c r="AJ29" s="823">
        <v>7362227.4340000004</v>
      </c>
      <c r="AK29" s="823"/>
      <c r="AL29" s="835"/>
      <c r="AM29" s="835"/>
      <c r="AN29" s="835"/>
      <c r="AO29" s="835"/>
    </row>
    <row r="30" spans="1:41" ht="26.1" customHeight="1" x14ac:dyDescent="0.2">
      <c r="A30" s="388">
        <v>25</v>
      </c>
      <c r="B30" s="822">
        <v>8170450</v>
      </c>
      <c r="C30" s="823"/>
      <c r="D30" s="823"/>
      <c r="E30" s="823">
        <v>64</v>
      </c>
      <c r="F30" s="823">
        <v>8981.1</v>
      </c>
      <c r="G30" s="823">
        <v>68225</v>
      </c>
      <c r="H30" s="824"/>
      <c r="I30" s="825">
        <v>946337</v>
      </c>
      <c r="J30" s="837"/>
      <c r="K30" s="824">
        <v>468000</v>
      </c>
      <c r="L30" s="823">
        <v>22676.93</v>
      </c>
      <c r="M30" s="827">
        <v>412653.91</v>
      </c>
      <c r="N30" s="825">
        <v>61954.65</v>
      </c>
      <c r="O30" s="828">
        <v>230786</v>
      </c>
      <c r="P30" s="829">
        <v>64665</v>
      </c>
      <c r="Q30" s="823">
        <v>963779</v>
      </c>
      <c r="R30" s="823"/>
      <c r="S30" s="823">
        <v>80295</v>
      </c>
      <c r="T30" s="823"/>
      <c r="U30" s="823">
        <v>22580</v>
      </c>
      <c r="V30" s="830">
        <v>1344205</v>
      </c>
      <c r="W30" s="823"/>
      <c r="X30" s="831">
        <v>44351</v>
      </c>
      <c r="Y30" s="823">
        <v>60926</v>
      </c>
      <c r="Z30" s="823">
        <v>13365</v>
      </c>
      <c r="AA30" s="823">
        <v>97122</v>
      </c>
      <c r="AB30" s="823"/>
      <c r="AC30" s="823">
        <v>4687</v>
      </c>
      <c r="AD30" s="823">
        <v>263111</v>
      </c>
      <c r="AE30" s="823"/>
      <c r="AF30" s="825"/>
      <c r="AG30" s="823"/>
      <c r="AH30" s="823"/>
      <c r="AI30" s="823"/>
      <c r="AJ30" s="823">
        <v>7362269.3499999996</v>
      </c>
      <c r="AK30" s="823"/>
      <c r="AL30" s="835"/>
      <c r="AM30" s="835"/>
      <c r="AN30" s="835"/>
      <c r="AO30" s="835"/>
    </row>
    <row r="31" spans="1:41" ht="26.1" customHeight="1" x14ac:dyDescent="0.2">
      <c r="A31" s="388">
        <v>26</v>
      </c>
      <c r="B31" s="822">
        <v>8171740</v>
      </c>
      <c r="C31" s="823"/>
      <c r="D31" s="823"/>
      <c r="E31" s="823">
        <v>64</v>
      </c>
      <c r="F31" s="823">
        <v>8991.6</v>
      </c>
      <c r="G31" s="823">
        <v>68225</v>
      </c>
      <c r="H31" s="824"/>
      <c r="I31" s="825">
        <v>950017</v>
      </c>
      <c r="J31" s="837"/>
      <c r="K31" s="824">
        <v>468000</v>
      </c>
      <c r="L31" s="823">
        <v>22676.93</v>
      </c>
      <c r="M31" s="827">
        <v>412662.22</v>
      </c>
      <c r="N31" s="825">
        <v>61954.65</v>
      </c>
      <c r="O31" s="828">
        <v>230863</v>
      </c>
      <c r="P31" s="829">
        <v>64704</v>
      </c>
      <c r="Q31" s="823">
        <v>963876</v>
      </c>
      <c r="R31" s="823"/>
      <c r="S31" s="823">
        <v>80418</v>
      </c>
      <c r="T31" s="823"/>
      <c r="U31" s="823">
        <v>22580</v>
      </c>
      <c r="V31" s="830">
        <v>1344246</v>
      </c>
      <c r="W31" s="823"/>
      <c r="X31" s="831">
        <v>44374</v>
      </c>
      <c r="Y31" s="823">
        <v>60950</v>
      </c>
      <c r="Z31" s="823">
        <v>13371</v>
      </c>
      <c r="AA31" s="823">
        <v>97122</v>
      </c>
      <c r="AB31" s="823"/>
      <c r="AC31" s="823">
        <v>4690</v>
      </c>
      <c r="AD31" s="823">
        <v>263111</v>
      </c>
      <c r="AE31" s="823"/>
      <c r="AF31" s="825"/>
      <c r="AG31" s="823"/>
      <c r="AH31" s="823"/>
      <c r="AI31" s="823"/>
      <c r="AJ31" s="823">
        <v>7362269.3499999996</v>
      </c>
      <c r="AK31" s="823"/>
      <c r="AL31" s="835"/>
      <c r="AM31" s="835"/>
      <c r="AN31" s="835"/>
      <c r="AO31" s="835"/>
    </row>
    <row r="32" spans="1:41" ht="26.1" customHeight="1" x14ac:dyDescent="0.2">
      <c r="A32" s="388">
        <v>27</v>
      </c>
      <c r="B32" s="822">
        <v>8172940</v>
      </c>
      <c r="C32" s="823"/>
      <c r="D32" s="823"/>
      <c r="E32" s="823">
        <v>64</v>
      </c>
      <c r="F32" s="823">
        <v>8999.9</v>
      </c>
      <c r="G32" s="823">
        <v>68225</v>
      </c>
      <c r="H32" s="824"/>
      <c r="I32" s="825">
        <v>953460</v>
      </c>
      <c r="J32" s="837"/>
      <c r="K32" s="824">
        <v>468000</v>
      </c>
      <c r="L32" s="823">
        <v>22676.93</v>
      </c>
      <c r="M32" s="827">
        <v>412662.22</v>
      </c>
      <c r="N32" s="825">
        <v>61954.65</v>
      </c>
      <c r="O32" s="828">
        <v>230958</v>
      </c>
      <c r="P32" s="829">
        <v>64792</v>
      </c>
      <c r="Q32" s="823">
        <v>963927</v>
      </c>
      <c r="R32" s="823"/>
      <c r="S32" s="835">
        <v>80499</v>
      </c>
      <c r="T32" s="823"/>
      <c r="U32" s="823">
        <v>22580</v>
      </c>
      <c r="V32" s="830">
        <v>1344323</v>
      </c>
      <c r="W32" s="823"/>
      <c r="X32" s="831">
        <v>44386</v>
      </c>
      <c r="Y32" s="823">
        <v>60975</v>
      </c>
      <c r="Z32" s="823">
        <v>13376</v>
      </c>
      <c r="AA32" s="823">
        <v>97122</v>
      </c>
      <c r="AB32" s="823"/>
      <c r="AC32" s="823">
        <v>4690</v>
      </c>
      <c r="AD32" s="823">
        <v>263111</v>
      </c>
      <c r="AE32" s="823"/>
      <c r="AF32" s="825"/>
      <c r="AG32" s="823"/>
      <c r="AH32" s="823"/>
      <c r="AI32" s="823"/>
      <c r="AJ32" s="823">
        <v>7362269.3499999996</v>
      </c>
      <c r="AK32" s="823"/>
      <c r="AL32" s="835"/>
      <c r="AM32" s="835"/>
      <c r="AN32" s="835"/>
      <c r="AO32" s="835"/>
    </row>
    <row r="33" spans="1:41" ht="26.1" customHeight="1" x14ac:dyDescent="0.2">
      <c r="A33" s="388">
        <v>28</v>
      </c>
      <c r="B33" s="822">
        <v>8176230</v>
      </c>
      <c r="C33" s="823"/>
      <c r="D33" s="823"/>
      <c r="E33" s="823">
        <v>64</v>
      </c>
      <c r="F33" s="823">
        <v>9020.6</v>
      </c>
      <c r="G33" s="823">
        <v>68225</v>
      </c>
      <c r="H33" s="824"/>
      <c r="I33" s="825">
        <v>960006</v>
      </c>
      <c r="J33" s="837"/>
      <c r="K33" s="824">
        <v>468000</v>
      </c>
      <c r="L33" s="823">
        <v>23229.09</v>
      </c>
      <c r="M33" s="827">
        <v>414575.35</v>
      </c>
      <c r="N33" s="825">
        <v>62230.8</v>
      </c>
      <c r="O33" s="828">
        <v>231218</v>
      </c>
      <c r="P33" s="829">
        <v>64894</v>
      </c>
      <c r="Q33" s="823">
        <v>964140</v>
      </c>
      <c r="R33" s="823"/>
      <c r="S33" s="835">
        <v>80695</v>
      </c>
      <c r="T33" s="823"/>
      <c r="U33" s="823">
        <v>22584</v>
      </c>
      <c r="V33" s="830">
        <v>1344445</v>
      </c>
      <c r="W33" s="823"/>
      <c r="X33" s="831">
        <v>44418</v>
      </c>
      <c r="Y33" s="823">
        <v>61083</v>
      </c>
      <c r="Z33" s="823">
        <v>13394</v>
      </c>
      <c r="AA33" s="823">
        <v>97122</v>
      </c>
      <c r="AB33" s="823"/>
      <c r="AC33" s="823">
        <v>4718</v>
      </c>
      <c r="AD33" s="823">
        <v>263111</v>
      </c>
      <c r="AE33" s="823"/>
      <c r="AF33" s="825"/>
      <c r="AG33" s="823"/>
      <c r="AH33" s="823"/>
      <c r="AI33" s="823"/>
      <c r="AJ33" s="823">
        <v>7362269.3499999996</v>
      </c>
      <c r="AK33" s="823"/>
      <c r="AL33" s="835"/>
      <c r="AM33" s="835"/>
      <c r="AN33" s="835"/>
      <c r="AO33" s="835"/>
    </row>
    <row r="34" spans="1:41" ht="26.1" customHeight="1" x14ac:dyDescent="0.2">
      <c r="A34" s="388">
        <v>29</v>
      </c>
      <c r="B34" s="822">
        <v>8179280</v>
      </c>
      <c r="C34" s="823"/>
      <c r="D34" s="823"/>
      <c r="E34" s="823">
        <v>64</v>
      </c>
      <c r="F34" s="823">
        <v>9039.9</v>
      </c>
      <c r="G34" s="823">
        <v>68225</v>
      </c>
      <c r="H34" s="824"/>
      <c r="I34" s="825">
        <v>965959</v>
      </c>
      <c r="J34" s="837"/>
      <c r="K34" s="824">
        <v>468000</v>
      </c>
      <c r="L34" s="823">
        <v>23609.54</v>
      </c>
      <c r="M34" s="827">
        <v>417774.54</v>
      </c>
      <c r="N34" s="825">
        <v>62475.55</v>
      </c>
      <c r="O34" s="828">
        <v>231416</v>
      </c>
      <c r="P34" s="829">
        <v>65028</v>
      </c>
      <c r="Q34" s="823">
        <v>964374</v>
      </c>
      <c r="R34" s="823"/>
      <c r="S34" s="823">
        <v>80856</v>
      </c>
      <c r="T34" s="823"/>
      <c r="U34" s="823">
        <v>22585</v>
      </c>
      <c r="V34" s="830">
        <v>1344586</v>
      </c>
      <c r="W34" s="823"/>
      <c r="X34" s="831">
        <v>44448</v>
      </c>
      <c r="Y34" s="823">
        <v>61180</v>
      </c>
      <c r="Z34" s="823">
        <v>13407</v>
      </c>
      <c r="AA34" s="823">
        <v>97122</v>
      </c>
      <c r="AB34" s="823"/>
      <c r="AC34" s="823">
        <v>4743</v>
      </c>
      <c r="AD34" s="823">
        <v>263111</v>
      </c>
      <c r="AE34" s="823"/>
      <c r="AF34" s="825"/>
      <c r="AG34" s="823"/>
      <c r="AH34" s="823"/>
      <c r="AI34" s="823"/>
      <c r="AJ34" s="823">
        <v>7362269.3499999996</v>
      </c>
      <c r="AK34" s="324"/>
      <c r="AL34" s="821"/>
      <c r="AM34" s="839"/>
      <c r="AN34" s="821"/>
      <c r="AO34" s="821"/>
    </row>
    <row r="35" spans="1:41" ht="26.1" customHeight="1" x14ac:dyDescent="0.2">
      <c r="A35" s="388">
        <v>30</v>
      </c>
      <c r="B35" s="822">
        <v>8182420</v>
      </c>
      <c r="C35" s="823"/>
      <c r="D35" s="823"/>
      <c r="E35" s="823">
        <v>64</v>
      </c>
      <c r="F35" s="823">
        <v>9060.6</v>
      </c>
      <c r="G35" s="823">
        <v>68225</v>
      </c>
      <c r="H35" s="824"/>
      <c r="I35" s="825">
        <v>972512</v>
      </c>
      <c r="J35" s="837"/>
      <c r="K35" s="824">
        <v>468000</v>
      </c>
      <c r="L35" s="823">
        <v>23965.65</v>
      </c>
      <c r="M35" s="827">
        <v>420795.6</v>
      </c>
      <c r="N35" s="825">
        <v>62838.57</v>
      </c>
      <c r="O35" s="828">
        <v>231643</v>
      </c>
      <c r="P35" s="829">
        <v>65154</v>
      </c>
      <c r="Q35" s="823">
        <v>964633</v>
      </c>
      <c r="R35" s="823"/>
      <c r="S35" s="823">
        <v>80990</v>
      </c>
      <c r="T35" s="823"/>
      <c r="U35" s="823">
        <v>22585</v>
      </c>
      <c r="V35" s="830">
        <v>1344718</v>
      </c>
      <c r="W35" s="823"/>
      <c r="X35" s="831">
        <v>44498</v>
      </c>
      <c r="Y35" s="823">
        <v>61295</v>
      </c>
      <c r="Z35" s="823">
        <v>13424</v>
      </c>
      <c r="AA35" s="823">
        <v>97122</v>
      </c>
      <c r="AB35" s="823"/>
      <c r="AC35" s="823">
        <v>4775</v>
      </c>
      <c r="AD35" s="823">
        <v>263138</v>
      </c>
      <c r="AE35" s="823"/>
      <c r="AF35" s="825"/>
      <c r="AG35" s="823"/>
      <c r="AH35" s="823"/>
      <c r="AI35" s="832"/>
      <c r="AJ35" s="823">
        <v>7362269.3499999996</v>
      </c>
      <c r="AK35" s="454"/>
      <c r="AL35" s="840"/>
      <c r="AM35" s="841"/>
      <c r="AN35" s="840"/>
      <c r="AO35" s="840"/>
    </row>
    <row r="36" spans="1:41" ht="26.1" customHeight="1" x14ac:dyDescent="0.2">
      <c r="A36" s="388">
        <v>1</v>
      </c>
      <c r="B36" s="822">
        <v>8185550</v>
      </c>
      <c r="C36" s="823"/>
      <c r="D36" s="823"/>
      <c r="E36" s="823">
        <v>64</v>
      </c>
      <c r="F36" s="823">
        <v>9079.9</v>
      </c>
      <c r="G36" s="823">
        <v>68225</v>
      </c>
      <c r="H36" s="824"/>
      <c r="I36" s="825">
        <v>978969</v>
      </c>
      <c r="J36" s="837"/>
      <c r="K36" s="824">
        <v>468000</v>
      </c>
      <c r="L36" s="823">
        <v>23965.65</v>
      </c>
      <c r="M36" s="827">
        <v>423063.03</v>
      </c>
      <c r="N36" s="825">
        <v>63182.720000000001</v>
      </c>
      <c r="O36" s="828">
        <v>231941</v>
      </c>
      <c r="P36" s="829">
        <v>65287</v>
      </c>
      <c r="Q36" s="823">
        <v>964847</v>
      </c>
      <c r="R36" s="823"/>
      <c r="S36" s="835">
        <v>80995</v>
      </c>
      <c r="T36" s="823"/>
      <c r="U36" s="823">
        <v>22587</v>
      </c>
      <c r="V36" s="830">
        <v>1344858</v>
      </c>
      <c r="W36" s="823"/>
      <c r="X36" s="831">
        <v>44524</v>
      </c>
      <c r="Y36" s="823">
        <v>61386</v>
      </c>
      <c r="Z36" s="823">
        <v>13446</v>
      </c>
      <c r="AA36" s="823">
        <v>97122</v>
      </c>
      <c r="AB36" s="823"/>
      <c r="AC36" s="823">
        <v>4803</v>
      </c>
      <c r="AD36" s="823">
        <v>263138</v>
      </c>
      <c r="AE36" s="823"/>
      <c r="AF36" s="825"/>
      <c r="AG36" s="823"/>
      <c r="AH36" s="823"/>
      <c r="AI36" s="832"/>
      <c r="AJ36" s="823">
        <v>7362269.3499999996</v>
      </c>
      <c r="AK36" s="454"/>
      <c r="AL36" s="469"/>
      <c r="AM36" s="470"/>
      <c r="AN36" s="469"/>
      <c r="AO36" s="469"/>
    </row>
    <row r="37" spans="1:41" ht="26.1" customHeight="1" x14ac:dyDescent="0.2">
      <c r="A37" s="388"/>
      <c r="B37" s="353"/>
      <c r="C37" s="192"/>
      <c r="D37" s="192"/>
      <c r="E37" s="192"/>
      <c r="F37" s="192"/>
      <c r="G37" s="192"/>
      <c r="H37" s="193"/>
      <c r="I37" s="194"/>
      <c r="J37" s="733"/>
      <c r="K37" s="193"/>
      <c r="L37" s="192"/>
      <c r="M37" s="195"/>
      <c r="N37" s="194"/>
      <c r="O37" s="196"/>
      <c r="P37" s="197"/>
      <c r="Q37" s="192"/>
      <c r="R37" s="192"/>
      <c r="S37" s="192"/>
      <c r="T37" s="192"/>
      <c r="U37" s="192"/>
      <c r="V37" s="198"/>
      <c r="W37" s="192"/>
      <c r="X37" s="199"/>
      <c r="Y37" s="192"/>
      <c r="Z37" s="192"/>
      <c r="AA37" s="192"/>
      <c r="AB37" s="192"/>
      <c r="AC37" s="192"/>
      <c r="AD37" s="192"/>
      <c r="AE37" s="192"/>
      <c r="AF37" s="194"/>
      <c r="AG37" s="192"/>
      <c r="AH37" s="192"/>
      <c r="AI37" s="200"/>
      <c r="AJ37" s="728"/>
      <c r="AK37" s="454"/>
      <c r="AL37" s="469"/>
      <c r="AM37" s="470"/>
      <c r="AN37" s="469"/>
      <c r="AO37" s="469"/>
    </row>
    <row r="38" spans="1:41" x14ac:dyDescent="0.2">
      <c r="B38" s="190"/>
      <c r="C38" s="190"/>
      <c r="G38" s="190"/>
      <c r="I38" s="859"/>
      <c r="J38" s="859"/>
      <c r="R38" s="190"/>
      <c r="S38" s="190"/>
      <c r="T38" s="190"/>
      <c r="U38" s="190"/>
      <c r="V38" s="190"/>
      <c r="W38" s="190"/>
      <c r="Z38" s="190"/>
      <c r="AA38" s="860"/>
      <c r="AB38" s="860"/>
      <c r="AC38" s="190"/>
      <c r="AD38" s="190"/>
      <c r="AI38" s="390"/>
      <c r="AJ38" s="324"/>
      <c r="AK38" s="324"/>
      <c r="AL38" s="471"/>
      <c r="AM38" s="471"/>
      <c r="AN38" s="471"/>
      <c r="AO38" s="471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71"/>
      <c r="AM39" s="471"/>
      <c r="AN39" s="471"/>
      <c r="AO39" s="471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71"/>
      <c r="AM40" s="471"/>
      <c r="AN40" s="471"/>
      <c r="AO40" s="471"/>
    </row>
    <row r="41" spans="1:41" x14ac:dyDescent="0.2">
      <c r="B41" s="190"/>
      <c r="V41" s="189"/>
      <c r="AL41" s="471"/>
      <c r="AM41" s="471"/>
      <c r="AN41" s="471"/>
      <c r="AO41" s="471"/>
    </row>
    <row r="42" spans="1:41" x14ac:dyDescent="0.2">
      <c r="B42" s="190"/>
      <c r="J42" s="391"/>
      <c r="V42" s="189"/>
      <c r="AG42" s="189" t="s">
        <v>58</v>
      </c>
      <c r="AL42" s="471"/>
      <c r="AM42" s="471"/>
      <c r="AN42" s="471"/>
      <c r="AO42" s="471"/>
    </row>
    <row r="43" spans="1:41" x14ac:dyDescent="0.2">
      <c r="H43" s="391"/>
      <c r="J43" s="391"/>
      <c r="V43" s="189"/>
      <c r="AL43" s="471"/>
      <c r="AM43" s="471"/>
      <c r="AN43" s="471"/>
      <c r="AO43" s="471"/>
    </row>
    <row r="44" spans="1:41" x14ac:dyDescent="0.2">
      <c r="C44" s="189" t="s">
        <v>58</v>
      </c>
      <c r="V44" s="189"/>
      <c r="AL44" s="471"/>
      <c r="AM44" s="471"/>
      <c r="AN44" s="471"/>
      <c r="AO44" s="471"/>
    </row>
    <row r="45" spans="1:41" x14ac:dyDescent="0.2">
      <c r="I45" s="190"/>
      <c r="J45" s="190"/>
      <c r="V45" s="189"/>
      <c r="AL45" s="471"/>
      <c r="AM45" s="471"/>
      <c r="AN45" s="471"/>
      <c r="AO45" s="471"/>
    </row>
    <row r="46" spans="1:41" x14ac:dyDescent="0.2">
      <c r="V46" s="189"/>
      <c r="AL46" s="471"/>
      <c r="AM46" s="471"/>
      <c r="AN46" s="471"/>
      <c r="AO46" s="471"/>
    </row>
    <row r="47" spans="1:41" x14ac:dyDescent="0.2">
      <c r="V47" s="189"/>
      <c r="AL47" s="471"/>
      <c r="AM47" s="471"/>
      <c r="AN47" s="471"/>
      <c r="AO47" s="471"/>
    </row>
    <row r="48" spans="1:41" x14ac:dyDescent="0.2">
      <c r="V48" s="189"/>
      <c r="AL48" s="471"/>
      <c r="AM48" s="471"/>
      <c r="AN48" s="471"/>
      <c r="AO48" s="471"/>
    </row>
    <row r="49" spans="22:41" x14ac:dyDescent="0.2">
      <c r="V49" s="189"/>
      <c r="AL49" s="471"/>
      <c r="AM49" s="471"/>
      <c r="AN49" s="471"/>
      <c r="AO49" s="471"/>
    </row>
    <row r="50" spans="22:41" x14ac:dyDescent="0.2">
      <c r="V50" s="189"/>
      <c r="AL50" s="471"/>
      <c r="AM50" s="471"/>
      <c r="AN50" s="471"/>
      <c r="AO50" s="471"/>
    </row>
    <row r="51" spans="22:41" x14ac:dyDescent="0.2">
      <c r="V51" s="189"/>
      <c r="AL51" s="471"/>
      <c r="AM51" s="471"/>
      <c r="AN51" s="471"/>
      <c r="AO51" s="471"/>
    </row>
    <row r="52" spans="22:41" x14ac:dyDescent="0.2">
      <c r="V52" s="189"/>
      <c r="AL52" s="471"/>
      <c r="AM52" s="471"/>
      <c r="AN52" s="471"/>
      <c r="AO52" s="471"/>
    </row>
    <row r="53" spans="22:41" x14ac:dyDescent="0.2">
      <c r="V53" s="189"/>
      <c r="AL53" s="471"/>
      <c r="AM53" s="471"/>
      <c r="AN53" s="471"/>
      <c r="AO53" s="471"/>
    </row>
    <row r="54" spans="22:41" x14ac:dyDescent="0.2">
      <c r="V54" s="189"/>
      <c r="AL54" s="471"/>
      <c r="AM54" s="471"/>
      <c r="AN54" s="471"/>
      <c r="AO54" s="471"/>
    </row>
    <row r="55" spans="22:41" x14ac:dyDescent="0.2">
      <c r="V55" s="189"/>
      <c r="AL55" s="471"/>
      <c r="AM55" s="471"/>
      <c r="AN55" s="471"/>
      <c r="AO55" s="471"/>
    </row>
    <row r="56" spans="22:41" x14ac:dyDescent="0.2">
      <c r="V56" s="189"/>
      <c r="AL56" s="471"/>
      <c r="AM56" s="471"/>
      <c r="AN56" s="471"/>
      <c r="AO56" s="471"/>
    </row>
    <row r="57" spans="22:41" x14ac:dyDescent="0.2">
      <c r="V57" s="189"/>
      <c r="AL57" s="471"/>
      <c r="AM57" s="471"/>
      <c r="AN57" s="471"/>
      <c r="AO57" s="471"/>
    </row>
    <row r="58" spans="22:41" x14ac:dyDescent="0.2">
      <c r="V58" s="189"/>
      <c r="AL58" s="471"/>
      <c r="AM58" s="471"/>
      <c r="AN58" s="471"/>
      <c r="AO58" s="471"/>
    </row>
    <row r="59" spans="22:41" x14ac:dyDescent="0.2">
      <c r="V59" s="189"/>
      <c r="AL59" s="471"/>
      <c r="AM59" s="471"/>
      <c r="AN59" s="471"/>
      <c r="AO59" s="471"/>
    </row>
    <row r="60" spans="22:41" x14ac:dyDescent="0.2">
      <c r="V60" s="189"/>
      <c r="AL60" s="471"/>
      <c r="AM60" s="471"/>
      <c r="AN60" s="471"/>
      <c r="AO60" s="471"/>
    </row>
    <row r="61" spans="22:41" x14ac:dyDescent="0.2">
      <c r="V61" s="189"/>
      <c r="AL61" s="471"/>
      <c r="AM61" s="471"/>
      <c r="AN61" s="471"/>
      <c r="AO61" s="471"/>
    </row>
    <row r="62" spans="22:41" x14ac:dyDescent="0.2">
      <c r="V62" s="189"/>
      <c r="AL62" s="471"/>
      <c r="AM62" s="471"/>
      <c r="AN62" s="471"/>
      <c r="AO62" s="471"/>
    </row>
    <row r="63" spans="22:41" x14ac:dyDescent="0.2">
      <c r="V63" s="189"/>
      <c r="AL63" s="471"/>
      <c r="AM63" s="471"/>
      <c r="AN63" s="471"/>
      <c r="AO63" s="471"/>
    </row>
    <row r="64" spans="22:41" x14ac:dyDescent="0.2">
      <c r="V64" s="189"/>
      <c r="AL64" s="471"/>
      <c r="AM64" s="471"/>
      <c r="AN64" s="471"/>
      <c r="AO64" s="471"/>
    </row>
    <row r="65" spans="22:41" x14ac:dyDescent="0.2">
      <c r="V65" s="189"/>
      <c r="AL65" s="471"/>
      <c r="AM65" s="471"/>
      <c r="AN65" s="471"/>
      <c r="AO65" s="471"/>
    </row>
    <row r="66" spans="22:41" x14ac:dyDescent="0.2">
      <c r="V66" s="189"/>
      <c r="AL66" s="471"/>
      <c r="AM66" s="471"/>
      <c r="AN66" s="471"/>
      <c r="AO66" s="471"/>
    </row>
    <row r="67" spans="22:41" x14ac:dyDescent="0.2">
      <c r="V67" s="189"/>
      <c r="AL67" s="471"/>
      <c r="AM67" s="471"/>
      <c r="AN67" s="471"/>
      <c r="AO67" s="471"/>
    </row>
    <row r="68" spans="22:41" x14ac:dyDescent="0.2">
      <c r="V68" s="189"/>
      <c r="AL68" s="471"/>
      <c r="AM68" s="471"/>
      <c r="AN68" s="471"/>
      <c r="AO68" s="471"/>
    </row>
    <row r="69" spans="22:41" x14ac:dyDescent="0.2">
      <c r="V69" s="189"/>
      <c r="AL69" s="471"/>
      <c r="AM69" s="471"/>
      <c r="AN69" s="471"/>
      <c r="AO69" s="471"/>
    </row>
    <row r="70" spans="22:41" x14ac:dyDescent="0.2">
      <c r="V70" s="189"/>
      <c r="AL70" s="471"/>
      <c r="AM70" s="471"/>
      <c r="AN70" s="471"/>
      <c r="AO70" s="471"/>
    </row>
    <row r="71" spans="22:41" x14ac:dyDescent="0.2">
      <c r="V71" s="189"/>
      <c r="AL71" s="471"/>
      <c r="AM71" s="471"/>
      <c r="AN71" s="471"/>
      <c r="AO71" s="471"/>
    </row>
    <row r="72" spans="22:41" x14ac:dyDescent="0.2">
      <c r="V72" s="189"/>
      <c r="AL72" s="471"/>
      <c r="AM72" s="471"/>
      <c r="AN72" s="471"/>
      <c r="AO72" s="471"/>
    </row>
    <row r="73" spans="22:41" x14ac:dyDescent="0.2">
      <c r="V73" s="189"/>
      <c r="AL73" s="471"/>
      <c r="AM73" s="471"/>
      <c r="AN73" s="471"/>
      <c r="AO73" s="471"/>
    </row>
    <row r="74" spans="22:41" x14ac:dyDescent="0.2">
      <c r="V74" s="189"/>
      <c r="AL74" s="471"/>
      <c r="AM74" s="471"/>
      <c r="AN74" s="471"/>
      <c r="AO74" s="471"/>
    </row>
    <row r="75" spans="22:41" x14ac:dyDescent="0.2">
      <c r="V75" s="189"/>
      <c r="AL75" s="471"/>
      <c r="AM75" s="471"/>
      <c r="AN75" s="471"/>
      <c r="AO75" s="471"/>
    </row>
    <row r="76" spans="22:41" x14ac:dyDescent="0.2">
      <c r="V76" s="189"/>
      <c r="AL76" s="471"/>
      <c r="AM76" s="471"/>
      <c r="AN76" s="471"/>
      <c r="AO76" s="471"/>
    </row>
    <row r="77" spans="22:41" x14ac:dyDescent="0.2">
      <c r="V77" s="189"/>
      <c r="AL77" s="471"/>
      <c r="AM77" s="471"/>
      <c r="AN77" s="471"/>
      <c r="AO77" s="471"/>
    </row>
    <row r="78" spans="22:41" x14ac:dyDescent="0.2">
      <c r="V78" s="189"/>
      <c r="AL78" s="471"/>
      <c r="AM78" s="471"/>
      <c r="AN78" s="471"/>
      <c r="AO78" s="471"/>
    </row>
    <row r="79" spans="22:41" x14ac:dyDescent="0.2">
      <c r="V79" s="189"/>
      <c r="AL79" s="471"/>
      <c r="AM79" s="471"/>
      <c r="AN79" s="471"/>
      <c r="AO79" s="471"/>
    </row>
    <row r="80" spans="22:41" x14ac:dyDescent="0.2">
      <c r="V80" s="189"/>
      <c r="AL80" s="471"/>
      <c r="AM80" s="471"/>
      <c r="AN80" s="471"/>
      <c r="AO80" s="471"/>
    </row>
    <row r="81" spans="22:41" x14ac:dyDescent="0.2">
      <c r="V81" s="189"/>
      <c r="AL81" s="471"/>
      <c r="AM81" s="471"/>
      <c r="AN81" s="471"/>
      <c r="AO81" s="471"/>
    </row>
    <row r="82" spans="22:41" x14ac:dyDescent="0.2">
      <c r="V82" s="189"/>
      <c r="AL82" s="471"/>
      <c r="AM82" s="471"/>
      <c r="AN82" s="471"/>
      <c r="AO82" s="471"/>
    </row>
    <row r="83" spans="22:41" x14ac:dyDescent="0.2">
      <c r="V83" s="189"/>
      <c r="AL83" s="471"/>
      <c r="AM83" s="471"/>
      <c r="AN83" s="471"/>
      <c r="AO83" s="471"/>
    </row>
    <row r="84" spans="22:41" x14ac:dyDescent="0.2">
      <c r="V84" s="189"/>
      <c r="AL84" s="471"/>
      <c r="AM84" s="471"/>
      <c r="AN84" s="471"/>
      <c r="AO84" s="471"/>
    </row>
    <row r="85" spans="22:41" x14ac:dyDescent="0.2">
      <c r="V85" s="189"/>
      <c r="AL85" s="471"/>
      <c r="AM85" s="471"/>
      <c r="AN85" s="471"/>
      <c r="AO85" s="471"/>
    </row>
    <row r="86" spans="22:41" x14ac:dyDescent="0.2">
      <c r="V86" s="189"/>
      <c r="AL86" s="471"/>
      <c r="AM86" s="471"/>
      <c r="AN86" s="471"/>
      <c r="AO86" s="471"/>
    </row>
    <row r="87" spans="22:41" x14ac:dyDescent="0.2">
      <c r="V87" s="189"/>
      <c r="AL87" s="471"/>
      <c r="AM87" s="471"/>
      <c r="AN87" s="471"/>
      <c r="AO87" s="471"/>
    </row>
    <row r="88" spans="22:41" x14ac:dyDescent="0.2">
      <c r="V88" s="189"/>
      <c r="AL88" s="471"/>
      <c r="AM88" s="471"/>
      <c r="AN88" s="471"/>
      <c r="AO88" s="471"/>
    </row>
    <row r="89" spans="22:41" x14ac:dyDescent="0.2">
      <c r="V89" s="189"/>
      <c r="AL89" s="471"/>
      <c r="AM89" s="471"/>
      <c r="AN89" s="471"/>
      <c r="AO89" s="471"/>
    </row>
    <row r="90" spans="22:41" x14ac:dyDescent="0.2">
      <c r="V90" s="189"/>
      <c r="AL90" s="471"/>
      <c r="AM90" s="471"/>
      <c r="AN90" s="471"/>
      <c r="AO90" s="471"/>
    </row>
    <row r="91" spans="22:41" x14ac:dyDescent="0.2">
      <c r="V91" s="189"/>
      <c r="AL91" s="471"/>
      <c r="AM91" s="471"/>
      <c r="AN91" s="471"/>
      <c r="AO91" s="471"/>
    </row>
    <row r="92" spans="22:41" x14ac:dyDescent="0.2">
      <c r="V92" s="189"/>
      <c r="AL92" s="471"/>
      <c r="AM92" s="471"/>
      <c r="AN92" s="471"/>
      <c r="AO92" s="471"/>
    </row>
    <row r="93" spans="22:41" x14ac:dyDescent="0.2">
      <c r="V93" s="189"/>
      <c r="AL93" s="471"/>
      <c r="AM93" s="471"/>
      <c r="AN93" s="471"/>
      <c r="AO93" s="471"/>
    </row>
    <row r="94" spans="22:41" x14ac:dyDescent="0.2">
      <c r="V94" s="189"/>
      <c r="AL94" s="471"/>
      <c r="AM94" s="471"/>
      <c r="AN94" s="471"/>
      <c r="AO94" s="471"/>
    </row>
    <row r="95" spans="22:41" x14ac:dyDescent="0.2">
      <c r="V95" s="189"/>
      <c r="AL95" s="471"/>
      <c r="AM95" s="471"/>
      <c r="AN95" s="471"/>
      <c r="AO95" s="471"/>
    </row>
    <row r="96" spans="22:41" x14ac:dyDescent="0.2">
      <c r="V96" s="189"/>
      <c r="AL96" s="471"/>
      <c r="AM96" s="471"/>
      <c r="AN96" s="471"/>
      <c r="AO96" s="471"/>
    </row>
    <row r="97" spans="22:41" x14ac:dyDescent="0.2">
      <c r="V97" s="189"/>
      <c r="AL97" s="471"/>
      <c r="AM97" s="471"/>
      <c r="AN97" s="471"/>
      <c r="AO97" s="471"/>
    </row>
    <row r="98" spans="22:41" x14ac:dyDescent="0.2">
      <c r="V98" s="189"/>
      <c r="AL98" s="471"/>
      <c r="AM98" s="471"/>
      <c r="AN98" s="471"/>
      <c r="AO98" s="471"/>
    </row>
    <row r="99" spans="22:41" x14ac:dyDescent="0.2">
      <c r="V99" s="189"/>
      <c r="AL99" s="471"/>
      <c r="AM99" s="471"/>
      <c r="AN99" s="471"/>
      <c r="AO99" s="471"/>
    </row>
    <row r="100" spans="22:41" x14ac:dyDescent="0.2">
      <c r="V100" s="189"/>
      <c r="AL100" s="471"/>
      <c r="AM100" s="471"/>
      <c r="AN100" s="471"/>
      <c r="AO100" s="471"/>
    </row>
    <row r="101" spans="22:41" x14ac:dyDescent="0.2">
      <c r="V101" s="189"/>
      <c r="AL101" s="471"/>
      <c r="AM101" s="471"/>
      <c r="AN101" s="471"/>
      <c r="AO101" s="471"/>
    </row>
    <row r="102" spans="22:41" x14ac:dyDescent="0.2">
      <c r="V102" s="189"/>
      <c r="AL102" s="471"/>
      <c r="AM102" s="471"/>
      <c r="AN102" s="471"/>
      <c r="AO102" s="471"/>
    </row>
    <row r="103" spans="22:41" x14ac:dyDescent="0.2">
      <c r="V103" s="189"/>
      <c r="AL103" s="471"/>
      <c r="AM103" s="471"/>
      <c r="AN103" s="471"/>
      <c r="AO103" s="471"/>
    </row>
    <row r="104" spans="22:41" x14ac:dyDescent="0.2">
      <c r="V104" s="189"/>
      <c r="AL104" s="471"/>
      <c r="AM104" s="471"/>
      <c r="AN104" s="471"/>
      <c r="AO104" s="471"/>
    </row>
    <row r="105" spans="22:41" x14ac:dyDescent="0.2">
      <c r="V105" s="189"/>
      <c r="AL105" s="471"/>
      <c r="AM105" s="471"/>
      <c r="AN105" s="471"/>
      <c r="AO105" s="471"/>
    </row>
    <row r="106" spans="22:41" x14ac:dyDescent="0.2">
      <c r="V106" s="189"/>
      <c r="AL106" s="471"/>
      <c r="AM106" s="471"/>
      <c r="AN106" s="471"/>
      <c r="AO106" s="471"/>
    </row>
    <row r="107" spans="22:41" x14ac:dyDescent="0.2">
      <c r="V107" s="189"/>
      <c r="AL107" s="471"/>
      <c r="AM107" s="471"/>
      <c r="AN107" s="471"/>
      <c r="AO107" s="471"/>
    </row>
    <row r="108" spans="22:41" x14ac:dyDescent="0.2">
      <c r="V108" s="189"/>
      <c r="AL108" s="471"/>
      <c r="AM108" s="471"/>
      <c r="AN108" s="471"/>
      <c r="AO108" s="471"/>
    </row>
    <row r="109" spans="22:41" x14ac:dyDescent="0.2">
      <c r="V109" s="189"/>
      <c r="AL109" s="471"/>
      <c r="AM109" s="471"/>
      <c r="AN109" s="471"/>
      <c r="AO109" s="471"/>
    </row>
    <row r="110" spans="22:41" x14ac:dyDescent="0.2">
      <c r="V110" s="189"/>
      <c r="AL110" s="471"/>
      <c r="AM110" s="471"/>
      <c r="AN110" s="471"/>
      <c r="AO110" s="471"/>
    </row>
    <row r="111" spans="22:41" x14ac:dyDescent="0.2">
      <c r="V111" s="189"/>
      <c r="AL111" s="471"/>
      <c r="AM111" s="471"/>
      <c r="AN111" s="471"/>
      <c r="AO111" s="471"/>
    </row>
    <row r="112" spans="22:41" x14ac:dyDescent="0.2">
      <c r="V112" s="189"/>
      <c r="AL112" s="471"/>
      <c r="AM112" s="471"/>
      <c r="AN112" s="471"/>
      <c r="AO112" s="471"/>
    </row>
    <row r="113" spans="22:41" x14ac:dyDescent="0.2">
      <c r="V113" s="189"/>
      <c r="AL113" s="471"/>
      <c r="AM113" s="471"/>
      <c r="AN113" s="471"/>
      <c r="AO113" s="471"/>
    </row>
    <row r="114" spans="22:41" x14ac:dyDescent="0.2">
      <c r="V114" s="189"/>
      <c r="AL114" s="471"/>
      <c r="AM114" s="471"/>
      <c r="AN114" s="471"/>
      <c r="AO114" s="471"/>
    </row>
    <row r="115" spans="22:41" x14ac:dyDescent="0.2">
      <c r="V115" s="189"/>
      <c r="AL115" s="471"/>
      <c r="AM115" s="471"/>
      <c r="AN115" s="471"/>
      <c r="AO115" s="471"/>
    </row>
    <row r="116" spans="22:41" x14ac:dyDescent="0.2">
      <c r="V116" s="189"/>
      <c r="AL116" s="471"/>
      <c r="AM116" s="471"/>
      <c r="AN116" s="471"/>
      <c r="AO116" s="471"/>
    </row>
    <row r="117" spans="22:41" x14ac:dyDescent="0.2">
      <c r="V117" s="189"/>
      <c r="AL117" s="471"/>
      <c r="AM117" s="471"/>
      <c r="AN117" s="471"/>
      <c r="AO117" s="471"/>
    </row>
    <row r="118" spans="22:41" x14ac:dyDescent="0.2">
      <c r="V118" s="189"/>
      <c r="AL118" s="471"/>
      <c r="AM118" s="471"/>
      <c r="AN118" s="471"/>
      <c r="AO118" s="471"/>
    </row>
    <row r="119" spans="22:41" x14ac:dyDescent="0.2">
      <c r="V119" s="189"/>
      <c r="AL119" s="471"/>
      <c r="AM119" s="471"/>
      <c r="AN119" s="471"/>
      <c r="AO119" s="471"/>
    </row>
    <row r="120" spans="22:41" x14ac:dyDescent="0.2">
      <c r="V120" s="189"/>
      <c r="AL120" s="471"/>
      <c r="AM120" s="471"/>
      <c r="AN120" s="471"/>
      <c r="AO120" s="471"/>
    </row>
    <row r="121" spans="22:41" x14ac:dyDescent="0.2">
      <c r="V121" s="189"/>
      <c r="AL121" s="471"/>
      <c r="AM121" s="471"/>
      <c r="AN121" s="471"/>
      <c r="AO121" s="471"/>
    </row>
    <row r="122" spans="22:41" x14ac:dyDescent="0.2">
      <c r="V122" s="189"/>
      <c r="AL122" s="471"/>
      <c r="AM122" s="471"/>
      <c r="AN122" s="471"/>
      <c r="AO122" s="471"/>
    </row>
    <row r="123" spans="22:41" x14ac:dyDescent="0.2">
      <c r="V123" s="189"/>
      <c r="AL123" s="471"/>
      <c r="AM123" s="471"/>
      <c r="AN123" s="471"/>
      <c r="AO123" s="471"/>
    </row>
    <row r="124" spans="22:41" x14ac:dyDescent="0.2">
      <c r="V124" s="189"/>
      <c r="AL124" s="471"/>
      <c r="AM124" s="471"/>
      <c r="AN124" s="471"/>
      <c r="AO124" s="471"/>
    </row>
    <row r="125" spans="22:41" x14ac:dyDescent="0.2">
      <c r="V125" s="189"/>
      <c r="AL125" s="471"/>
      <c r="AM125" s="471"/>
      <c r="AN125" s="471"/>
      <c r="AO125" s="471"/>
    </row>
    <row r="126" spans="22:41" x14ac:dyDescent="0.2">
      <c r="V126" s="189"/>
      <c r="AL126" s="471"/>
      <c r="AM126" s="471"/>
      <c r="AN126" s="471"/>
      <c r="AO126" s="471"/>
    </row>
    <row r="127" spans="22:41" x14ac:dyDescent="0.2">
      <c r="V127" s="189"/>
      <c r="AL127" s="471"/>
      <c r="AM127" s="471"/>
      <c r="AN127" s="471"/>
      <c r="AO127" s="471"/>
    </row>
    <row r="128" spans="22:41" x14ac:dyDescent="0.2">
      <c r="V128" s="189"/>
      <c r="AL128" s="471"/>
      <c r="AM128" s="471"/>
      <c r="AN128" s="471"/>
      <c r="AO128" s="471"/>
    </row>
    <row r="129" spans="22:41" x14ac:dyDescent="0.2">
      <c r="V129" s="189"/>
      <c r="AL129" s="471"/>
      <c r="AM129" s="471"/>
      <c r="AN129" s="471"/>
      <c r="AO129" s="471"/>
    </row>
    <row r="130" spans="22:41" x14ac:dyDescent="0.2">
      <c r="V130" s="189"/>
      <c r="AL130" s="471"/>
      <c r="AM130" s="471"/>
      <c r="AN130" s="471"/>
      <c r="AO130" s="471"/>
    </row>
    <row r="131" spans="22:41" x14ac:dyDescent="0.2">
      <c r="V131" s="189"/>
      <c r="AL131" s="471"/>
      <c r="AM131" s="471"/>
      <c r="AN131" s="471"/>
      <c r="AO131" s="471"/>
    </row>
    <row r="132" spans="22:41" x14ac:dyDescent="0.2">
      <c r="V132" s="189"/>
      <c r="AL132" s="471"/>
      <c r="AM132" s="471"/>
      <c r="AN132" s="471"/>
      <c r="AO132" s="471"/>
    </row>
    <row r="133" spans="22:41" x14ac:dyDescent="0.2">
      <c r="V133" s="189"/>
      <c r="AL133" s="471"/>
      <c r="AM133" s="471"/>
      <c r="AN133" s="471"/>
      <c r="AO133" s="471"/>
    </row>
    <row r="134" spans="22:41" x14ac:dyDescent="0.2">
      <c r="V134" s="189"/>
      <c r="AL134" s="471"/>
      <c r="AM134" s="471"/>
      <c r="AN134" s="471"/>
      <c r="AO134" s="471"/>
    </row>
    <row r="135" spans="22:41" x14ac:dyDescent="0.2">
      <c r="V135" s="189"/>
      <c r="AL135" s="471"/>
      <c r="AM135" s="471"/>
      <c r="AN135" s="471"/>
      <c r="AO135" s="471"/>
    </row>
    <row r="136" spans="22:41" x14ac:dyDescent="0.2">
      <c r="V136" s="189"/>
      <c r="AL136" s="471"/>
      <c r="AM136" s="471"/>
      <c r="AN136" s="471"/>
      <c r="AO136" s="471"/>
    </row>
    <row r="137" spans="22:41" x14ac:dyDescent="0.2">
      <c r="V137" s="189"/>
      <c r="AL137" s="471"/>
      <c r="AM137" s="471"/>
      <c r="AN137" s="471"/>
      <c r="AO137" s="471"/>
    </row>
    <row r="138" spans="22:41" x14ac:dyDescent="0.2">
      <c r="V138" s="189"/>
      <c r="AL138" s="471"/>
      <c r="AM138" s="471"/>
      <c r="AN138" s="471"/>
      <c r="AO138" s="471"/>
    </row>
    <row r="139" spans="22:41" x14ac:dyDescent="0.2">
      <c r="V139" s="189"/>
      <c r="AL139" s="471"/>
      <c r="AM139" s="471"/>
      <c r="AN139" s="471"/>
      <c r="AO139" s="471"/>
    </row>
    <row r="140" spans="22:41" x14ac:dyDescent="0.2">
      <c r="V140" s="189"/>
      <c r="AL140" s="471"/>
      <c r="AM140" s="471"/>
      <c r="AN140" s="471"/>
      <c r="AO140" s="471"/>
    </row>
    <row r="141" spans="22:41" x14ac:dyDescent="0.2">
      <c r="V141" s="189"/>
      <c r="AL141" s="471"/>
      <c r="AM141" s="471"/>
      <c r="AN141" s="471"/>
      <c r="AO141" s="471"/>
    </row>
    <row r="142" spans="22:41" x14ac:dyDescent="0.2">
      <c r="V142" s="189"/>
      <c r="AL142" s="471"/>
      <c r="AM142" s="471"/>
      <c r="AN142" s="471"/>
      <c r="AO142" s="471"/>
    </row>
    <row r="143" spans="22:41" x14ac:dyDescent="0.2">
      <c r="V143" s="189"/>
      <c r="AL143" s="471"/>
      <c r="AM143" s="471"/>
      <c r="AN143" s="471"/>
      <c r="AO143" s="471"/>
    </row>
    <row r="144" spans="22:41" x14ac:dyDescent="0.2">
      <c r="V144" s="189"/>
      <c r="AL144" s="471"/>
      <c r="AM144" s="471"/>
      <c r="AN144" s="471"/>
      <c r="AO144" s="471"/>
    </row>
    <row r="145" spans="22:41" x14ac:dyDescent="0.2">
      <c r="V145" s="189"/>
      <c r="AL145" s="471"/>
      <c r="AM145" s="471"/>
      <c r="AN145" s="471"/>
      <c r="AO145" s="471"/>
    </row>
    <row r="146" spans="22:41" x14ac:dyDescent="0.2">
      <c r="V146" s="189"/>
      <c r="AL146" s="471"/>
      <c r="AM146" s="471"/>
      <c r="AN146" s="471"/>
      <c r="AO146" s="471"/>
    </row>
    <row r="147" spans="22:41" x14ac:dyDescent="0.2">
      <c r="V147" s="189"/>
      <c r="AL147" s="471"/>
      <c r="AM147" s="471"/>
      <c r="AN147" s="471"/>
      <c r="AO147" s="471"/>
    </row>
    <row r="148" spans="22:41" x14ac:dyDescent="0.2">
      <c r="V148" s="189"/>
      <c r="AL148" s="471"/>
      <c r="AM148" s="471"/>
      <c r="AN148" s="471"/>
      <c r="AO148" s="471"/>
    </row>
    <row r="149" spans="22:41" x14ac:dyDescent="0.2">
      <c r="V149" s="189"/>
      <c r="AL149" s="471"/>
      <c r="AM149" s="471"/>
      <c r="AN149" s="471"/>
      <c r="AO149" s="471"/>
    </row>
    <row r="150" spans="22:41" x14ac:dyDescent="0.2">
      <c r="V150" s="189"/>
      <c r="AL150" s="471"/>
      <c r="AM150" s="471"/>
      <c r="AN150" s="471"/>
      <c r="AO150" s="471"/>
    </row>
    <row r="151" spans="22:41" x14ac:dyDescent="0.2">
      <c r="V151" s="189"/>
      <c r="AL151" s="471"/>
      <c r="AM151" s="471"/>
      <c r="AN151" s="471"/>
      <c r="AO151" s="471"/>
    </row>
    <row r="152" spans="22:41" x14ac:dyDescent="0.2">
      <c r="V152" s="189"/>
      <c r="AL152" s="471"/>
      <c r="AM152" s="471"/>
      <c r="AN152" s="471"/>
      <c r="AO152" s="471"/>
    </row>
    <row r="153" spans="22:41" x14ac:dyDescent="0.2">
      <c r="V153" s="189"/>
      <c r="AL153" s="471"/>
      <c r="AM153" s="471"/>
      <c r="AN153" s="471"/>
      <c r="AO153" s="471"/>
    </row>
    <row r="154" spans="22:41" x14ac:dyDescent="0.2">
      <c r="V154" s="189"/>
      <c r="AL154" s="471"/>
      <c r="AM154" s="471"/>
      <c r="AN154" s="471"/>
      <c r="AO154" s="471"/>
    </row>
    <row r="155" spans="22:41" x14ac:dyDescent="0.2">
      <c r="V155" s="189"/>
      <c r="AL155" s="471"/>
      <c r="AM155" s="471"/>
      <c r="AN155" s="471"/>
      <c r="AO155" s="471"/>
    </row>
    <row r="156" spans="22:41" x14ac:dyDescent="0.2">
      <c r="V156" s="189"/>
      <c r="AL156" s="471"/>
      <c r="AM156" s="471"/>
      <c r="AN156" s="471"/>
      <c r="AO156" s="471"/>
    </row>
    <row r="157" spans="22:41" x14ac:dyDescent="0.2">
      <c r="V157" s="189"/>
      <c r="AL157" s="471"/>
      <c r="AM157" s="471"/>
      <c r="AN157" s="471"/>
      <c r="AO157" s="471"/>
    </row>
    <row r="158" spans="22:41" x14ac:dyDescent="0.2">
      <c r="V158" s="189"/>
      <c r="AL158" s="471"/>
      <c r="AM158" s="471"/>
      <c r="AN158" s="471"/>
      <c r="AO158" s="471"/>
    </row>
    <row r="159" spans="22:41" x14ac:dyDescent="0.2">
      <c r="V159" s="189"/>
      <c r="AL159" s="471"/>
      <c r="AM159" s="471"/>
      <c r="AN159" s="471"/>
      <c r="AO159" s="471"/>
    </row>
    <row r="160" spans="22:41" x14ac:dyDescent="0.2">
      <c r="V160" s="189"/>
      <c r="AL160" s="471"/>
      <c r="AM160" s="471"/>
      <c r="AN160" s="471"/>
      <c r="AO160" s="471"/>
    </row>
    <row r="161" spans="22:41" x14ac:dyDescent="0.2">
      <c r="V161" s="189"/>
      <c r="AL161" s="471"/>
      <c r="AM161" s="471"/>
      <c r="AN161" s="471"/>
      <c r="AO161" s="471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7:B11 E7:E11 AB8:AC14 AE8:AI14 C12:E33 N13:Z14 K13:L23 B13:B34 M15:AI23 K24:AI24 L25:AI28 K25:K35 AA29:AA37 C34:D34 E34:E35">
    <cfRule type="expression" dxfId="95" priority="14">
      <formula>B7&lt;B6</formula>
    </cfRule>
  </conditionalFormatting>
  <conditionalFormatting sqref="B6:E6">
    <cfRule type="expression" dxfId="94" priority="7">
      <formula>B6&lt;B5</formula>
    </cfRule>
  </conditionalFormatting>
  <conditionalFormatting sqref="B36:E37">
    <cfRule type="expression" dxfId="93" priority="28">
      <formula>B36&lt;B35</formula>
    </cfRule>
  </conditionalFormatting>
  <conditionalFormatting sqref="C7:D7 H7:J7 R7 T7 W7 AB7 AE7:AI7 P8:P9 V8:V9 AD13:AD14">
    <cfRule type="expression" dxfId="92" priority="22">
      <formula>C7&lt;#REF!</formula>
    </cfRule>
  </conditionalFormatting>
  <conditionalFormatting sqref="C8:D11">
    <cfRule type="expression" dxfId="91" priority="20">
      <formula>C8&lt;C7</formula>
    </cfRule>
  </conditionalFormatting>
  <conditionalFormatting sqref="F6:F18 B11:B12 F20:F37 B35:D35">
    <cfRule type="expression" dxfId="90" priority="26">
      <formula>B6&lt;#REF!</formula>
    </cfRule>
  </conditionalFormatting>
  <conditionalFormatting sqref="H35:I35 P35:T35 W35:Y35 AB35 AE35:AI35 M36:M37 S36:S37 X36:X37 AD36:AD37">
    <cfRule type="expression" dxfId="89" priority="25">
      <formula>H35&lt;#REF!</formula>
    </cfRule>
  </conditionalFormatting>
  <conditionalFormatting sqref="H8:J18 H19:I24 J19:J35 G25:I25 H26:I34 G26:G37 V29:AI29 L29:T33 U29:U37 Y30:AC30 V30:X31 AE30:AI34 AD30:AD35 Y31 Z31:AB34 AC31:AC37 V32:Y34 O34:T34 L34:N35 H36:L37">
    <cfRule type="expression" dxfId="88" priority="17">
      <formula>G8&lt;G7</formula>
    </cfRule>
  </conditionalFormatting>
  <conditionalFormatting sqref="H6:L6">
    <cfRule type="expression" dxfId="87" priority="4">
      <formula>H6&lt;H5</formula>
    </cfRule>
  </conditionalFormatting>
  <conditionalFormatting sqref="K7:K12">
    <cfRule type="expression" dxfId="86" priority="8">
      <formula>K7&lt;K6</formula>
    </cfRule>
  </conditionalFormatting>
  <conditionalFormatting sqref="L8:L12">
    <cfRule type="expression" dxfId="85" priority="11">
      <formula>L8&lt;L7</formula>
    </cfRule>
  </conditionalFormatting>
  <conditionalFormatting sqref="L7:Q7 AC7:AD7">
    <cfRule type="expression" dxfId="84" priority="9">
      <formula>L7&lt;L6</formula>
    </cfRule>
  </conditionalFormatting>
  <conditionalFormatting sqref="M6 AD6 S6:S8 X6:X12">
    <cfRule type="expression" dxfId="83" priority="6">
      <formula>M6&lt;#REF!</formula>
    </cfRule>
  </conditionalFormatting>
  <conditionalFormatting sqref="M8:M14">
    <cfRule type="expression" dxfId="82" priority="13">
      <formula>M8&lt;#REF!</formula>
    </cfRule>
  </conditionalFormatting>
  <conditionalFormatting sqref="N8:O9 N10:W12">
    <cfRule type="expression" dxfId="81" priority="12">
      <formula>N8&lt;N7</formula>
    </cfRule>
  </conditionalFormatting>
  <conditionalFormatting sqref="N6:R6 AE6:AI6 Y6:Z12">
    <cfRule type="expression" dxfId="80" priority="5">
      <formula>N6&lt;N5</formula>
    </cfRule>
  </conditionalFormatting>
  <conditionalFormatting sqref="N37:R37">
    <cfRule type="expression" dxfId="79" priority="610">
      <formula>N37&lt;N36</formula>
    </cfRule>
  </conditionalFormatting>
  <conditionalFormatting sqref="O35 U35:V35 Z35 N36:P36">
    <cfRule type="expression" dxfId="78" priority="24">
      <formula>N35&lt;N34</formula>
    </cfRule>
  </conditionalFormatting>
  <conditionalFormatting sqref="Q36">
    <cfRule type="expression" dxfId="77" priority="29">
      <formula>Q36&lt;#REF!</formula>
    </cfRule>
  </conditionalFormatting>
  <conditionalFormatting sqref="Q8:R8">
    <cfRule type="expression" dxfId="76" priority="21">
      <formula>Q8&lt;Q7</formula>
    </cfRule>
  </conditionalFormatting>
  <conditionalFormatting sqref="R36">
    <cfRule type="expression" dxfId="75" priority="27">
      <formula>R36&lt;R35</formula>
    </cfRule>
  </conditionalFormatting>
  <conditionalFormatting sqref="T36:T37 V36:W37 Y36:Z37 AB36:AB37 AE36:AI37">
    <cfRule type="expression" dxfId="74" priority="23">
      <formula>T36&lt;T35</formula>
    </cfRule>
  </conditionalFormatting>
  <conditionalFormatting sqref="T8:U8 Q9:U9">
    <cfRule type="expression" dxfId="73" priority="16">
      <formula>Q8&lt;Q7</formula>
    </cfRule>
  </conditionalFormatting>
  <conditionalFormatting sqref="T6:W6 AB6:AC6 G6:G24">
    <cfRule type="expression" dxfId="72" priority="2">
      <formula>G6&lt;G5</formula>
    </cfRule>
  </conditionalFormatting>
  <conditionalFormatting sqref="U7:V7">
    <cfRule type="expression" dxfId="71" priority="10">
      <formula>U7&lt;U6</formula>
    </cfRule>
  </conditionalFormatting>
  <conditionalFormatting sqref="W8:W9 AD8:AD12">
    <cfRule type="expression" dxfId="70" priority="18">
      <formula>W8&lt;W7</formula>
    </cfRule>
  </conditionalFormatting>
  <conditionalFormatting sqref="AA6:AA8">
    <cfRule type="expression" dxfId="69" priority="3">
      <formula>AA6&lt;#REF!</formula>
    </cfRule>
  </conditionalFormatting>
  <conditionalFormatting sqref="AA6:AA14">
    <cfRule type="expression" dxfId="68" priority="1">
      <formula>AA6&lt;AA5</formula>
    </cfRule>
  </conditionalFormatting>
  <conditionalFormatting sqref="AA15:AA37">
    <cfRule type="expression" dxfId="67" priority="19">
      <formula>AA15&lt;#REF!</formula>
    </cfRule>
  </conditionalFormatting>
  <conditionalFormatting sqref="AJ6:AJ37">
    <cfRule type="expression" dxfId="66" priority="15">
      <formula>AJ6&lt;AJ5</formula>
    </cfRule>
  </conditionalFormatting>
  <conditionalFormatting sqref="AK6:AK11">
    <cfRule type="expression" dxfId="65" priority="50">
      <formula>AK6&lt;AK5</formula>
    </cfRule>
  </conditionalFormatting>
  <conditionalFormatting sqref="AK12:AL14">
    <cfRule type="expression" dxfId="64" priority="54">
      <formula>AK12&lt;#REF!</formula>
    </cfRule>
  </conditionalFormatting>
  <conditionalFormatting sqref="AL8:AL13 AL14:AN33 AK15:AK37">
    <cfRule type="expression" dxfId="63" priority="51">
      <formula>AK8&lt;AK7</formula>
    </cfRule>
  </conditionalFormatting>
  <conditionalFormatting sqref="AO8:AO33">
    <cfRule type="expression" dxfId="62" priority="53">
      <formula>AO8&lt;#REF!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AB37" sqref="AB37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22" customWidth="1"/>
    <col min="6" max="6" width="15.5703125" style="729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3"/>
    <col min="17" max="17" width="9.140625" style="355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72" t="s">
        <v>7</v>
      </c>
      <c r="B7" s="393"/>
      <c r="C7" s="393"/>
      <c r="D7" s="885" t="s">
        <v>257</v>
      </c>
      <c r="E7" s="888" t="s">
        <v>292</v>
      </c>
      <c r="F7" s="882" t="s">
        <v>293</v>
      </c>
      <c r="G7" s="878" t="s">
        <v>258</v>
      </c>
      <c r="H7" s="878" t="s">
        <v>259</v>
      </c>
      <c r="I7" s="393" t="s">
        <v>3</v>
      </c>
      <c r="J7" s="393" t="s">
        <v>4</v>
      </c>
      <c r="K7" s="402" t="s">
        <v>56</v>
      </c>
      <c r="L7" s="879" t="s">
        <v>17</v>
      </c>
      <c r="M7" s="880"/>
      <c r="N7" s="880"/>
      <c r="O7" s="880"/>
      <c r="P7" s="881"/>
      <c r="Q7" s="876" t="s">
        <v>11</v>
      </c>
      <c r="R7" s="877"/>
      <c r="S7" s="877"/>
      <c r="T7" s="877"/>
    </row>
    <row r="8" spans="1:20" x14ac:dyDescent="0.2">
      <c r="A8" s="873"/>
      <c r="B8" s="394" t="s">
        <v>260</v>
      </c>
      <c r="C8" s="394" t="s">
        <v>261</v>
      </c>
      <c r="D8" s="886"/>
      <c r="E8" s="889"/>
      <c r="F8" s="883"/>
      <c r="G8" s="878"/>
      <c r="H8" s="878"/>
      <c r="I8" s="393"/>
      <c r="J8" s="393"/>
      <c r="K8" s="402"/>
      <c r="L8" s="403"/>
      <c r="M8" s="393"/>
      <c r="N8" s="393"/>
      <c r="O8" s="393"/>
      <c r="P8" s="412"/>
      <c r="Q8" s="404" t="s">
        <v>14</v>
      </c>
      <c r="R8" s="393" t="s">
        <v>15</v>
      </c>
      <c r="S8" s="393" t="s">
        <v>9</v>
      </c>
      <c r="T8" s="393" t="s">
        <v>66</v>
      </c>
    </row>
    <row r="9" spans="1:20" x14ac:dyDescent="0.2">
      <c r="A9" s="874"/>
      <c r="B9" s="395"/>
      <c r="C9" s="395"/>
      <c r="D9" s="887"/>
      <c r="E9" s="890"/>
      <c r="F9" s="884"/>
      <c r="G9" s="393" t="s">
        <v>59</v>
      </c>
      <c r="H9" s="393" t="s">
        <v>59</v>
      </c>
      <c r="I9" s="393" t="s">
        <v>60</v>
      </c>
      <c r="J9" s="393" t="s">
        <v>61</v>
      </c>
      <c r="K9" s="402" t="s">
        <v>65</v>
      </c>
      <c r="L9" s="403" t="s">
        <v>5</v>
      </c>
      <c r="M9" s="393" t="s">
        <v>6</v>
      </c>
      <c r="N9" s="393" t="s">
        <v>8</v>
      </c>
      <c r="O9" s="393" t="s">
        <v>10</v>
      </c>
      <c r="P9" s="412" t="s">
        <v>12</v>
      </c>
      <c r="Q9" s="404" t="s">
        <v>13</v>
      </c>
      <c r="R9" s="393" t="s">
        <v>64</v>
      </c>
      <c r="S9" s="393" t="s">
        <v>16</v>
      </c>
      <c r="T9" s="393" t="s">
        <v>67</v>
      </c>
    </row>
    <row r="10" spans="1:20" s="35" customFormat="1" ht="15" x14ac:dyDescent="0.2">
      <c r="A10" s="742">
        <v>1</v>
      </c>
      <c r="B10" s="742">
        <f>IF('Entries April 2026'!I7&lt;'Entries April 2026'!I6,"0",(IF('Entries April 2026'!I7&gt;='Entries April 2026'!I6,'Entries April 2026'!I7-'Entries April 2026'!I6,(999999-'Entries April 2026'!I6)+'Entries April 2026'!I7+1)))</f>
        <v>5927</v>
      </c>
      <c r="C10" s="742" t="str">
        <f>IF('Entries April 2026'!J7&lt;='Entries April 2026'!J6,"0",IF('Entries April 2026'!J7&gt;='Entries April 2026'!J6,'Entries April 2026'!J7-'Entries April 2026'!J6,(999999-'Entries April 2026'!J6)+'Entries April 2026'!J7+1))</f>
        <v>0</v>
      </c>
      <c r="D10" s="743">
        <f>B10+C10</f>
        <v>5927</v>
      </c>
      <c r="E10" s="812">
        <v>1739.4</v>
      </c>
      <c r="F10" s="744">
        <f>IF((E10+D10)=0,"0",E10/(D10+E10))</f>
        <v>0.22688615256182826</v>
      </c>
      <c r="G10" s="766">
        <f>IF('Entries April 2026'!K7&lt;'Entries April 2026'!K6,"0",IF('Entries April 2026'!K7&gt;='Entries April 2026'!K6,'Entries April 2026'!K7-'Entries April 2026'!K6,(999999-'Entries April 2026'!K6)+'Entries April 2026'!K7+1))</f>
        <v>0</v>
      </c>
      <c r="H10" s="743">
        <f>D10+G10+E10</f>
        <v>7666.4</v>
      </c>
      <c r="I10" s="766">
        <f>'Water '!Z7*10</f>
        <v>3630</v>
      </c>
      <c r="J10" s="743">
        <f>IF('Entries April 2026'!B7-'Entries April 2026'!B6&lt;1,"0",'Entries April 2026'!B7-'Entries April 2026'!B6)</f>
        <v>2700</v>
      </c>
      <c r="K10" s="745">
        <f>'CO2'!E7</f>
        <v>1200</v>
      </c>
      <c r="L10" s="746">
        <f>+'PROD.FIG. '!F5</f>
        <v>0</v>
      </c>
      <c r="M10" s="743">
        <f>+'PROD.FIG. '!C5</f>
        <v>0</v>
      </c>
      <c r="N10" s="743">
        <f>+'PROD.FIG. '!D5</f>
        <v>0</v>
      </c>
      <c r="O10" s="743">
        <f>+'PROD.FIG. '!E5</f>
        <v>0</v>
      </c>
      <c r="P10" s="747" cm="1">
        <f t="array" ref="P10:P39">TRANSPOSE('Daily KPIs'!B9:AE9)</f>
        <v>209.55</v>
      </c>
      <c r="Q10" s="405">
        <f>IF(P10=0,0,H10/P10)</f>
        <v>36.585063230732516</v>
      </c>
      <c r="R10" s="405">
        <f>IF(Q10=0,0,I10/P10)</f>
        <v>17.322834645669289</v>
      </c>
      <c r="S10" s="405">
        <f>IF(R10=0,0,J10/P10)</f>
        <v>12.884753042233356</v>
      </c>
      <c r="T10" s="405">
        <f>IF(S10=0,0,K10/P10)</f>
        <v>5.7265569076592699</v>
      </c>
    </row>
    <row r="11" spans="1:20" ht="15" x14ac:dyDescent="0.2">
      <c r="A11" s="742">
        <v>2</v>
      </c>
      <c r="B11" s="742">
        <f>IF('Entries April 2026'!I8&lt;'Entries April 2026'!I7,"0",(IF('Entries April 2026'!I8&gt;='Entries April 2026'!I7,'Entries April 2026'!I8-'Entries April 2026'!I7,(999999-'Entries April 2026'!I7)+'Entries April 2026'!I8+1)))</f>
        <v>5832</v>
      </c>
      <c r="C11" s="742" t="str">
        <f>IF('Entries April 2026'!J8&lt;='Entries April 2026'!J7,"0",IF('Entries April 2026'!J8&gt;='Entries April 2026'!J7,'Entries April 2026'!J8-'Entries April 2026'!J7,(999999-'Entries April 2026'!J7)+'Entries April 2026'!J8+1))</f>
        <v>0</v>
      </c>
      <c r="D11" s="743">
        <f t="shared" ref="D11:D37" si="0">B11+C11</f>
        <v>5832</v>
      </c>
      <c r="E11" s="812">
        <v>1604.4</v>
      </c>
      <c r="F11" s="744">
        <f t="shared" ref="F11:F39" si="1">IF((E11+D11)=0,"0",E11/(D11+E11))</f>
        <v>0.21574955623688885</v>
      </c>
      <c r="G11" s="766">
        <f>IF('Entries April 2026'!K8&lt;'Entries April 2026'!K7,"0",IF('Entries April 2026'!K8&gt;='Entries April 2026'!K7,'Entries April 2026'!K8-'Entries April 2026'!K7,(999999-'Entries April 2026'!K7)+'Entries April 2026'!K8+1))</f>
        <v>0</v>
      </c>
      <c r="H11" s="743">
        <f t="shared" ref="H11:H40" si="2">D11+G11+E11</f>
        <v>7436.4</v>
      </c>
      <c r="I11" s="766">
        <f>'Water '!Z8*10</f>
        <v>2920</v>
      </c>
      <c r="J11" s="743">
        <f>IF('Entries April 2026'!B8-'Entries April 2026'!B7&lt;1,"0",'Entries April 2026'!B8-'Entries April 2026'!B7)</f>
        <v>2450</v>
      </c>
      <c r="K11" s="745">
        <f>'CO2'!E8</f>
        <v>1400</v>
      </c>
      <c r="L11" s="746">
        <f>+'PROD.FIG. '!F6</f>
        <v>0</v>
      </c>
      <c r="M11" s="743">
        <f>+'PROD.FIG. '!C6</f>
        <v>0</v>
      </c>
      <c r="N11" s="743">
        <f>+'PROD.FIG. '!D6</f>
        <v>0</v>
      </c>
      <c r="O11" s="743">
        <f>+'PROD.FIG. '!E6</f>
        <v>0</v>
      </c>
      <c r="P11" s="747">
        <v>189.28800000000001</v>
      </c>
      <c r="Q11" s="405">
        <f t="shared" ref="Q11:Q40" si="3">IF(P11=0,0,H11/P11)</f>
        <v>39.286167110434889</v>
      </c>
      <c r="R11" s="405">
        <f t="shared" ref="R11:R40" si="4">IF(Q11=0,0,I11/P11)</f>
        <v>15.426228815350154</v>
      </c>
      <c r="S11" s="405">
        <f t="shared" ref="S11:S40" si="5">IF(R11=0,0,J11/P11)</f>
        <v>12.943239930687628</v>
      </c>
      <c r="T11" s="405">
        <f t="shared" ref="T11:T40" si="6">IF(S11=0,0,K11/P11)</f>
        <v>7.3961371032500738</v>
      </c>
    </row>
    <row r="12" spans="1:20" s="35" customFormat="1" ht="15" x14ac:dyDescent="0.2">
      <c r="A12" s="742">
        <v>3</v>
      </c>
      <c r="B12" s="742">
        <f>IF('Entries April 2026'!I9&lt;'Entries April 2026'!I8,"0",(IF('Entries April 2026'!I9&gt;='Entries April 2026'!I8,'Entries April 2026'!I9-'Entries April 2026'!I8,(999999-'Entries April 2026'!I8)+'Entries April 2026'!I9+1)))</f>
        <v>2694</v>
      </c>
      <c r="C12" s="742" t="str">
        <f>IF('Entries April 2026'!J9&lt;='Entries April 2026'!J8,"0",IF('Entries April 2026'!J9&gt;='Entries April 2026'!J8,'Entries April 2026'!J9-'Entries April 2026'!J8,(999999-'Entries April 2026'!J8)+'Entries April 2026'!J9+1))</f>
        <v>0</v>
      </c>
      <c r="D12" s="743">
        <f t="shared" si="0"/>
        <v>2694</v>
      </c>
      <c r="E12" s="812">
        <v>1730.6</v>
      </c>
      <c r="F12" s="744">
        <f t="shared" si="1"/>
        <v>0.39113140170862898</v>
      </c>
      <c r="G12" s="766">
        <f>IF('Entries April 2026'!K9&lt;'Entries April 2026'!K8,"0",IF('Entries April 2026'!K9&gt;='Entries April 2026'!K8,'Entries April 2026'!K9-'Entries April 2026'!K8,(999999-'Entries April 2026'!K8)+'Entries April 2026'!K9+1))</f>
        <v>0</v>
      </c>
      <c r="H12" s="743">
        <f t="shared" si="2"/>
        <v>4424.6000000000004</v>
      </c>
      <c r="I12" s="766">
        <f>'Water '!Z9*10</f>
        <v>0</v>
      </c>
      <c r="J12" s="743">
        <f>IF('Entries April 2026'!B9-'Entries April 2026'!B8&lt;1,"0",'Entries April 2026'!B9-'Entries April 2026'!B8)</f>
        <v>150</v>
      </c>
      <c r="K12" s="745">
        <f>'CO2'!E9</f>
        <v>0</v>
      </c>
      <c r="L12" s="746">
        <f>+'PROD.FIG. '!F7</f>
        <v>0</v>
      </c>
      <c r="M12" s="743">
        <f>+'PROD.FIG. '!C7</f>
        <v>0</v>
      </c>
      <c r="N12" s="743">
        <f>+'PROD.FIG. '!D7</f>
        <v>0</v>
      </c>
      <c r="O12" s="743">
        <f>+'PROD.FIG. '!E7</f>
        <v>0</v>
      </c>
      <c r="P12" s="747">
        <v>0</v>
      </c>
      <c r="Q12" s="405">
        <f t="shared" si="3"/>
        <v>0</v>
      </c>
      <c r="R12" s="405">
        <f t="shared" si="4"/>
        <v>0</v>
      </c>
      <c r="S12" s="405">
        <f t="shared" si="5"/>
        <v>0</v>
      </c>
      <c r="T12" s="405">
        <f t="shared" si="6"/>
        <v>0</v>
      </c>
    </row>
    <row r="13" spans="1:20" ht="15" x14ac:dyDescent="0.2">
      <c r="A13" s="816">
        <v>4</v>
      </c>
      <c r="B13" s="816">
        <f>IF('Entries April 2026'!I10&lt;'Entries April 2026'!I9,"0",(IF('Entries April 2026'!I10&gt;='Entries April 2026'!I9,'Entries April 2026'!I10-'Entries April 2026'!I9,(999999-'Entries April 2026'!I9)+'Entries April 2026'!I10+1)))</f>
        <v>2971</v>
      </c>
      <c r="C13" s="816" t="str">
        <f>IF('Entries April 2026'!J10&lt;='Entries April 2026'!J9,"0",IF('Entries April 2026'!J10&gt;='Entries April 2026'!J9,'Entries April 2026'!J10-'Entries April 2026'!J9,(999999-'Entries April 2026'!J9)+'Entries April 2026'!J10+1))</f>
        <v>0</v>
      </c>
      <c r="D13" s="817">
        <f t="shared" si="0"/>
        <v>2971</v>
      </c>
      <c r="E13" s="813">
        <v>1214.2</v>
      </c>
      <c r="F13" s="744">
        <f t="shared" si="1"/>
        <v>0.29011755710599257</v>
      </c>
      <c r="G13" s="766">
        <f>IF('Entries April 2026'!K10&lt;'Entries April 2026'!K9,"0",IF('Entries April 2026'!K10&gt;='Entries April 2026'!K9,'Entries April 2026'!K10-'Entries April 2026'!K9,(999999-'Entries April 2026'!K9)+'Entries April 2026'!K10+1))</f>
        <v>0</v>
      </c>
      <c r="H13" s="743">
        <f t="shared" si="2"/>
        <v>4185.2</v>
      </c>
      <c r="I13" s="766">
        <f>'Water '!Z10*10</f>
        <v>1470</v>
      </c>
      <c r="J13" s="743">
        <f>IF('Entries April 2026'!B10-'Entries April 2026'!B9&lt;1,"0",'Entries April 2026'!B10-'Entries April 2026'!B9)</f>
        <v>360</v>
      </c>
      <c r="K13" s="745">
        <f>'CO2'!E10</f>
        <v>0</v>
      </c>
      <c r="L13" s="746">
        <f>+'PROD.FIG. '!F8</f>
        <v>0</v>
      </c>
      <c r="M13" s="743">
        <f>+'PROD.FIG. '!C8</f>
        <v>0</v>
      </c>
      <c r="N13" s="743">
        <f>+'PROD.FIG. '!D8</f>
        <v>0</v>
      </c>
      <c r="O13" s="743">
        <f>+'PROD.FIG. '!E8</f>
        <v>0</v>
      </c>
      <c r="P13" s="747">
        <v>0</v>
      </c>
      <c r="Q13" s="405">
        <f t="shared" si="3"/>
        <v>0</v>
      </c>
      <c r="R13" s="405">
        <f t="shared" si="4"/>
        <v>0</v>
      </c>
      <c r="S13" s="405">
        <f t="shared" si="5"/>
        <v>0</v>
      </c>
      <c r="T13" s="405">
        <f t="shared" si="6"/>
        <v>0</v>
      </c>
    </row>
    <row r="14" spans="1:20" s="35" customFormat="1" ht="15" x14ac:dyDescent="0.2">
      <c r="A14" s="816">
        <v>5</v>
      </c>
      <c r="B14" s="816">
        <f>IF('Entries April 2026'!I11&lt;'Entries April 2026'!I10,"0",(IF('Entries April 2026'!I11&gt;='Entries April 2026'!I10,'Entries April 2026'!I11-'Entries April 2026'!I10,(999999-'Entries April 2026'!I10)+'Entries April 2026'!I11+1)))</f>
        <v>2911</v>
      </c>
      <c r="C14" s="816" t="str">
        <f>IF('Entries April 2026'!J11&lt;='Entries April 2026'!J10,"0",IF('Entries April 2026'!J11&gt;='Entries April 2026'!J10,'Entries April 2026'!J11-'Entries April 2026'!J10,(999999-'Entries April 2026'!J10)+'Entries April 2026'!J11+1))</f>
        <v>0</v>
      </c>
      <c r="D14" s="817">
        <f t="shared" si="0"/>
        <v>2911</v>
      </c>
      <c r="E14" s="813">
        <v>1085.9000000000001</v>
      </c>
      <c r="F14" s="744">
        <f t="shared" si="1"/>
        <v>0.27168555630613728</v>
      </c>
      <c r="G14" s="766">
        <f>IF('Entries April 2026'!K11&lt;'Entries April 2026'!K10,"0",IF('Entries April 2026'!K11&gt;='Entries April 2026'!K10,'Entries April 2026'!K11-'Entries April 2026'!K10,(999999-'Entries April 2026'!K10)+'Entries April 2026'!K11+1))</f>
        <v>0</v>
      </c>
      <c r="H14" s="743">
        <f t="shared" si="2"/>
        <v>3996.9</v>
      </c>
      <c r="I14" s="766">
        <f>'Water '!Z11*10</f>
        <v>0</v>
      </c>
      <c r="J14" s="743" t="str">
        <f>IF('Entries April 2026'!B11-'Entries April 2026'!B10&lt;1,"0",'Entries April 2026'!B11-'Entries April 2026'!B10)</f>
        <v>0</v>
      </c>
      <c r="K14" s="745">
        <f>'CO2'!E11</f>
        <v>0</v>
      </c>
      <c r="L14" s="746">
        <f>+'PROD.FIG. '!F9</f>
        <v>0</v>
      </c>
      <c r="M14" s="743">
        <f>+'PROD.FIG. '!C9</f>
        <v>0</v>
      </c>
      <c r="N14" s="743">
        <f>+'PROD.FIG. '!D9</f>
        <v>0</v>
      </c>
      <c r="O14" s="743">
        <f>+'PROD.FIG. '!E9</f>
        <v>0</v>
      </c>
      <c r="P14" s="747">
        <v>0</v>
      </c>
      <c r="Q14" s="405">
        <f t="shared" si="3"/>
        <v>0</v>
      </c>
      <c r="R14" s="405">
        <f t="shared" si="4"/>
        <v>0</v>
      </c>
      <c r="S14" s="405">
        <f t="shared" si="5"/>
        <v>0</v>
      </c>
      <c r="T14" s="405">
        <f t="shared" si="6"/>
        <v>0</v>
      </c>
    </row>
    <row r="15" spans="1:20" ht="15" x14ac:dyDescent="0.2">
      <c r="A15" s="742">
        <v>6</v>
      </c>
      <c r="B15" s="742">
        <f>IF('Entries April 2026'!I12&lt;'Entries April 2026'!I11,"0",(IF('Entries April 2026'!I12&gt;='Entries April 2026'!I11,'Entries April 2026'!I12-'Entries April 2026'!I11,(999999-'Entries April 2026'!I11)+'Entries April 2026'!I12+1)))</f>
        <v>2599</v>
      </c>
      <c r="C15" s="742" t="str">
        <f>IF('Entries April 2026'!J12&lt;='Entries April 2026'!J11,"0",IF('Entries April 2026'!J12&gt;='Entries April 2026'!J11,'Entries April 2026'!J12-'Entries April 2026'!J11,(999999-'Entries April 2026'!J11)+'Entries April 2026'!J12+1))</f>
        <v>0</v>
      </c>
      <c r="D15" s="743">
        <f t="shared" si="0"/>
        <v>2599</v>
      </c>
      <c r="E15" s="812">
        <v>1238.7</v>
      </c>
      <c r="F15" s="744">
        <f t="shared" si="1"/>
        <v>0.32277145165072835</v>
      </c>
      <c r="G15" s="766">
        <f>IF('Entries April 2026'!K12&lt;'Entries April 2026'!K11,"0",IF('Entries April 2026'!K12&gt;='Entries April 2026'!K11,'Entries April 2026'!K12-'Entries April 2026'!K11,(999999-'Entries April 2026'!K11)+'Entries April 2026'!K12+1))</f>
        <v>0</v>
      </c>
      <c r="H15" s="743">
        <f t="shared" si="2"/>
        <v>3837.7</v>
      </c>
      <c r="I15" s="766">
        <f>'Water '!Z12*10</f>
        <v>0</v>
      </c>
      <c r="J15" s="743">
        <f>IF('Entries April 2026'!B12-'Entries April 2026'!B11&lt;1,"0",'Entries April 2026'!B12-'Entries April 2026'!B11)</f>
        <v>780</v>
      </c>
      <c r="K15" s="745">
        <f>'CO2'!E12</f>
        <v>600</v>
      </c>
      <c r="L15" s="746">
        <f>+'PROD.FIG. '!F10</f>
        <v>0</v>
      </c>
      <c r="M15" s="743">
        <f>+'PROD.FIG. '!C10</f>
        <v>0</v>
      </c>
      <c r="N15" s="743">
        <f>+'PROD.FIG. '!D10</f>
        <v>0</v>
      </c>
      <c r="O15" s="743">
        <f>+'PROD.FIG. '!E10</f>
        <v>0</v>
      </c>
      <c r="P15" s="747">
        <v>0</v>
      </c>
      <c r="Q15" s="405">
        <f t="shared" si="3"/>
        <v>0</v>
      </c>
      <c r="R15" s="405">
        <f t="shared" si="4"/>
        <v>0</v>
      </c>
      <c r="S15" s="405">
        <f t="shared" si="5"/>
        <v>0</v>
      </c>
      <c r="T15" s="405">
        <f t="shared" si="6"/>
        <v>0</v>
      </c>
    </row>
    <row r="16" spans="1:20" s="35" customFormat="1" ht="15" x14ac:dyDescent="0.2">
      <c r="A16" s="742">
        <v>7</v>
      </c>
      <c r="B16" s="742">
        <f>IF('Entries April 2026'!I13&lt;'Entries April 2026'!I12,"0",(IF('Entries April 2026'!I13&gt;='Entries April 2026'!I12,'Entries April 2026'!I13-'Entries April 2026'!I12,(999999-'Entries April 2026'!I12)+'Entries April 2026'!I13+1)))</f>
        <v>5214</v>
      </c>
      <c r="C16" s="742" t="str">
        <f>IF('Entries April 2026'!J13&lt;='Entries April 2026'!J12,"0",IF('Entries April 2026'!J13&gt;='Entries April 2026'!J12,'Entries April 2026'!J13-'Entries April 2026'!J12,(999999-'Entries April 2026'!J12)+'Entries April 2026'!J13+1))</f>
        <v>0</v>
      </c>
      <c r="D16" s="743">
        <f t="shared" si="0"/>
        <v>5214</v>
      </c>
      <c r="E16" s="812">
        <v>1488</v>
      </c>
      <c r="F16" s="744">
        <f t="shared" si="1"/>
        <v>0.22202327663384064</v>
      </c>
      <c r="G16" s="766">
        <f>IF('Entries April 2026'!K13&lt;'Entries April 2026'!K12,"0",IF('Entries April 2026'!K13&gt;='Entries April 2026'!K12,'Entries April 2026'!K13-'Entries April 2026'!K12,(999999-'Entries April 2026'!K12)+'Entries April 2026'!K13+1))</f>
        <v>0</v>
      </c>
      <c r="H16" s="743">
        <f t="shared" si="2"/>
        <v>6702</v>
      </c>
      <c r="I16" s="766">
        <f>'Water '!Z13*10</f>
        <v>2180</v>
      </c>
      <c r="J16" s="743">
        <f>IF('Entries April 2026'!B13-'Entries April 2026'!B12&lt;1,"0",'Entries April 2026'!B13-'Entries April 2026'!B12)</f>
        <v>3230</v>
      </c>
      <c r="K16" s="745">
        <f>'CO2'!E13</f>
        <v>700</v>
      </c>
      <c r="L16" s="746">
        <f>+'PROD.FIG. '!F11</f>
        <v>0</v>
      </c>
      <c r="M16" s="743">
        <f>+'PROD.FIG. '!C11</f>
        <v>0</v>
      </c>
      <c r="N16" s="743">
        <f>+'PROD.FIG. '!D11</f>
        <v>0</v>
      </c>
      <c r="O16" s="743">
        <f>+'PROD.FIG. '!E11</f>
        <v>0</v>
      </c>
      <c r="P16" s="747">
        <v>71.14800000000001</v>
      </c>
      <c r="Q16" s="405">
        <f t="shared" si="3"/>
        <v>94.198009782425359</v>
      </c>
      <c r="R16" s="405">
        <f t="shared" si="4"/>
        <v>30.640355315679987</v>
      </c>
      <c r="S16" s="405">
        <f t="shared" si="5"/>
        <v>45.398324619103832</v>
      </c>
      <c r="T16" s="405">
        <f t="shared" si="6"/>
        <v>9.8386462022825647</v>
      </c>
    </row>
    <row r="17" spans="1:20" ht="15" x14ac:dyDescent="0.2">
      <c r="A17" s="742">
        <v>8</v>
      </c>
      <c r="B17" s="742">
        <f>IF('Entries April 2026'!I14&lt;'Entries April 2026'!I13,"0",(IF('Entries April 2026'!I14&gt;='Entries April 2026'!I13,'Entries April 2026'!I14-'Entries April 2026'!I13,(999999-'Entries April 2026'!I13)+'Entries April 2026'!I14+1)))</f>
        <v>5850</v>
      </c>
      <c r="C17" s="742" t="str">
        <f>IF('Entries April 2026'!J14&lt;='Entries April 2026'!J13,"0",IF('Entries April 2026'!J14&gt;='Entries April 2026'!J13,'Entries April 2026'!J14-'Entries April 2026'!J13,(999999-'Entries April 2026'!J13)+'Entries April 2026'!J14+1))</f>
        <v>0</v>
      </c>
      <c r="D17" s="743">
        <f t="shared" si="0"/>
        <v>5850</v>
      </c>
      <c r="E17" s="812">
        <v>1547.2</v>
      </c>
      <c r="F17" s="744">
        <f t="shared" si="1"/>
        <v>0.2091602227870005</v>
      </c>
      <c r="G17" s="766">
        <f>IF('Entries April 2026'!K14&lt;'Entries April 2026'!K13,"0",IF('Entries April 2026'!K14&gt;='Entries April 2026'!K13,'Entries April 2026'!K14-'Entries April 2026'!K13,(999999-'Entries April 2026'!K13)+'Entries April 2026'!K14+1))</f>
        <v>0</v>
      </c>
      <c r="H17" s="743">
        <f t="shared" si="2"/>
        <v>7397.2</v>
      </c>
      <c r="I17" s="766">
        <f>'Water '!Z14*10</f>
        <v>3190</v>
      </c>
      <c r="J17" s="743">
        <f>IF('Entries April 2026'!B14-'Entries April 2026'!B13&lt;1,"0",'Entries April 2026'!B14-'Entries April 2026'!B13)</f>
        <v>2800</v>
      </c>
      <c r="K17" s="745">
        <f>'CO2'!E14</f>
        <v>3700</v>
      </c>
      <c r="L17" s="746">
        <f>+'PROD.FIG. '!F12</f>
        <v>0</v>
      </c>
      <c r="M17" s="743">
        <f>+'PROD.FIG. '!C12</f>
        <v>0</v>
      </c>
      <c r="N17" s="743">
        <f>+'PROD.FIG. '!D12</f>
        <v>0</v>
      </c>
      <c r="O17" s="743">
        <f>+'PROD.FIG. '!E12</f>
        <v>0</v>
      </c>
      <c r="P17" s="747">
        <v>602.77800000000002</v>
      </c>
      <c r="Q17" s="405">
        <f t="shared" si="3"/>
        <v>12.271848010378614</v>
      </c>
      <c r="R17" s="405">
        <f>IF(Q17=0,0,I17/P17)</f>
        <v>5.2921639475893283</v>
      </c>
      <c r="S17" s="405">
        <f t="shared" si="5"/>
        <v>4.6451595778213539</v>
      </c>
      <c r="T17" s="405">
        <f t="shared" si="6"/>
        <v>6.1382465849782175</v>
      </c>
    </row>
    <row r="18" spans="1:20" s="35" customFormat="1" ht="15" x14ac:dyDescent="0.2">
      <c r="A18" s="742">
        <v>9</v>
      </c>
      <c r="B18" s="742">
        <f>IF('Entries April 2026'!I15&lt;'Entries April 2026'!I14,"0",(IF('Entries April 2026'!I15&gt;='Entries April 2026'!I14,'Entries April 2026'!I15-'Entries April 2026'!I14,(999999-'Entries April 2026'!I14)+'Entries April 2026'!I15+1)))</f>
        <v>6901</v>
      </c>
      <c r="C18" s="742" t="str">
        <f>IF('Entries April 2026'!J15&lt;='Entries April 2026'!J14,"0",IF('Entries April 2026'!J15&gt;='Entries April 2026'!J14,'Entries April 2026'!J15-'Entries April 2026'!J14,(999999-'Entries April 2026'!J14)+'Entries April 2026'!J15+1))</f>
        <v>0</v>
      </c>
      <c r="D18" s="743">
        <f t="shared" si="0"/>
        <v>6901</v>
      </c>
      <c r="E18" s="812">
        <v>1598.2</v>
      </c>
      <c r="F18" s="744">
        <f t="shared" si="1"/>
        <v>0.18804122740963855</v>
      </c>
      <c r="G18" s="766">
        <f>IF('Entries April 2026'!K15&lt;'Entries April 2026'!K14,"0",IF('Entries April 2026'!K15&gt;='Entries April 2026'!K14,'Entries April 2026'!K15-'Entries April 2026'!K14,(999999-'Entries April 2026'!K14)+'Entries April 2026'!K15+1))</f>
        <v>0</v>
      </c>
      <c r="H18" s="743">
        <f t="shared" si="2"/>
        <v>8499.2000000000007</v>
      </c>
      <c r="I18" s="766">
        <f>'Water '!Z15*10</f>
        <v>3750</v>
      </c>
      <c r="J18" s="743">
        <f>IF('Entries April 2026'!B15-'Entries April 2026'!B14&lt;1,"0",'Entries April 2026'!B15-'Entries April 2026'!B14)</f>
        <v>3790</v>
      </c>
      <c r="K18" s="745">
        <f>'CO2'!E15</f>
        <v>4000</v>
      </c>
      <c r="L18" s="746">
        <f>+'PROD.FIG. '!F13</f>
        <v>0</v>
      </c>
      <c r="M18" s="743">
        <f>+'PROD.FIG. '!C13</f>
        <v>0</v>
      </c>
      <c r="N18" s="743">
        <f>+'PROD.FIG. '!D13</f>
        <v>0</v>
      </c>
      <c r="O18" s="743">
        <f>+'PROD.FIG. '!E13</f>
        <v>0</v>
      </c>
      <c r="P18" s="747">
        <v>651.42000000000007</v>
      </c>
      <c r="Q18" s="405">
        <f t="shared" si="3"/>
        <v>13.047189217401984</v>
      </c>
      <c r="R18" s="405">
        <f t="shared" si="4"/>
        <v>5.7566546928249052</v>
      </c>
      <c r="S18" s="405">
        <f t="shared" si="5"/>
        <v>5.8180590095483709</v>
      </c>
      <c r="T18" s="405">
        <f t="shared" si="6"/>
        <v>6.1404316723465655</v>
      </c>
    </row>
    <row r="19" spans="1:20" ht="15" x14ac:dyDescent="0.2">
      <c r="A19" s="742">
        <v>10</v>
      </c>
      <c r="B19" s="742">
        <f>IF('Entries April 2026'!I16&lt;'Entries April 2026'!I15,"0",(IF('Entries April 2026'!I16&gt;='Entries April 2026'!I15,'Entries April 2026'!I16-'Entries April 2026'!I15,(999999-'Entries April 2026'!I15)+'Entries April 2026'!I16+1)))</f>
        <v>6846</v>
      </c>
      <c r="C19" s="742" t="str">
        <f>IF('Entries April 2026'!J16&lt;='Entries April 2026'!J15,"0",IF('Entries April 2026'!J16&gt;='Entries April 2026'!J15,'Entries April 2026'!J16-'Entries April 2026'!J15,(999999-'Entries April 2026'!J15)+'Entries April 2026'!J16+1))</f>
        <v>0</v>
      </c>
      <c r="D19" s="743">
        <f t="shared" si="0"/>
        <v>6846</v>
      </c>
      <c r="E19" s="812">
        <v>1712.9</v>
      </c>
      <c r="F19" s="744">
        <f t="shared" si="1"/>
        <v>0.20013085793735177</v>
      </c>
      <c r="G19" s="766">
        <f>IF('Entries April 2026'!K16&lt;'Entries April 2026'!K15,"0",IF('Entries April 2026'!K16&gt;='Entries April 2026'!K15,'Entries April 2026'!K16-'Entries April 2026'!K15,(999999-'Entries April 2026'!K15)+'Entries April 2026'!K16+1))</f>
        <v>0</v>
      </c>
      <c r="H19" s="743">
        <f t="shared" si="2"/>
        <v>8558.9</v>
      </c>
      <c r="I19" s="766">
        <f>'Water '!Z16*10</f>
        <v>3770</v>
      </c>
      <c r="J19" s="743">
        <f>IF('Entries April 2026'!B16-'Entries April 2026'!B15&lt;1,"0",'Entries April 2026'!B16-'Entries April 2026'!B15)</f>
        <v>2400</v>
      </c>
      <c r="K19" s="745">
        <f>'CO2'!E16</f>
        <v>0</v>
      </c>
      <c r="L19" s="746">
        <f>+'PROD.FIG. '!F14</f>
        <v>0</v>
      </c>
      <c r="M19" s="743">
        <f>+'PROD.FIG. '!C14</f>
        <v>0</v>
      </c>
      <c r="N19" s="743">
        <f>+'PROD.FIG. '!D14</f>
        <v>0</v>
      </c>
      <c r="O19" s="743">
        <f>+'PROD.FIG. '!E14</f>
        <v>0</v>
      </c>
      <c r="P19" s="747">
        <v>427.48200000000003</v>
      </c>
      <c r="Q19" s="405">
        <f t="shared" si="3"/>
        <v>20.021661730786324</v>
      </c>
      <c r="R19" s="405">
        <f t="shared" si="4"/>
        <v>8.819084780177878</v>
      </c>
      <c r="S19" s="405">
        <f t="shared" si="5"/>
        <v>5.6142714780973231</v>
      </c>
      <c r="T19" s="405">
        <f t="shared" si="6"/>
        <v>0</v>
      </c>
    </row>
    <row r="20" spans="1:20" s="35" customFormat="1" ht="15" x14ac:dyDescent="0.2">
      <c r="A20" s="816">
        <v>11</v>
      </c>
      <c r="B20" s="816">
        <f>IF('Entries April 2026'!I17&lt;'Entries April 2026'!I16,"0",(IF('Entries April 2026'!I17&gt;='Entries April 2026'!I16,'Entries April 2026'!I17-'Entries April 2026'!I16,(999999-'Entries April 2026'!I16)+'Entries April 2026'!I17+1)))</f>
        <v>2983</v>
      </c>
      <c r="C20" s="816" t="str">
        <f>IF('Entries April 2026'!J17&lt;='Entries April 2026'!J16,"0",IF('Entries April 2026'!J17&gt;='Entries April 2026'!J16,'Entries April 2026'!J17-'Entries April 2026'!J16,(999999-'Entries April 2026'!J16)+'Entries April 2026'!J17+1))</f>
        <v>0</v>
      </c>
      <c r="D20" s="817">
        <f t="shared" si="0"/>
        <v>2983</v>
      </c>
      <c r="E20" s="813">
        <v>1617.5</v>
      </c>
      <c r="F20" s="744">
        <f t="shared" si="1"/>
        <v>0.35159221823714815</v>
      </c>
      <c r="G20" s="766">
        <f>IF('Entries April 2026'!K17&lt;'Entries April 2026'!K16,"0",IF('Entries April 2026'!K17&gt;='Entries April 2026'!K16,'Entries April 2026'!K17-'Entries April 2026'!K16,(999999-'Entries April 2026'!K16)+'Entries April 2026'!K17+1))</f>
        <v>0</v>
      </c>
      <c r="H20" s="743">
        <f t="shared" si="2"/>
        <v>4600.5</v>
      </c>
      <c r="I20" s="766">
        <f>'Water '!Z17*10</f>
        <v>630</v>
      </c>
      <c r="J20" s="743" t="str">
        <f>IF('Entries April 2026'!B17-'Entries April 2026'!B16&lt;1,"0",'Entries April 2026'!B17-'Entries April 2026'!B16)</f>
        <v>0</v>
      </c>
      <c r="K20" s="745">
        <f>'CO2'!E17</f>
        <v>0</v>
      </c>
      <c r="L20" s="746">
        <f>+'PROD.FIG. '!F15</f>
        <v>0</v>
      </c>
      <c r="M20" s="743">
        <f>+'PROD.FIG. '!C15</f>
        <v>0</v>
      </c>
      <c r="N20" s="743">
        <f>+'PROD.FIG. '!D15</f>
        <v>0</v>
      </c>
      <c r="O20" s="743">
        <f>+'PROD.FIG. '!E15</f>
        <v>0</v>
      </c>
      <c r="P20" s="747">
        <v>0</v>
      </c>
      <c r="Q20" s="405">
        <f t="shared" si="3"/>
        <v>0</v>
      </c>
      <c r="R20" s="405">
        <f t="shared" si="4"/>
        <v>0</v>
      </c>
      <c r="S20" s="405">
        <f t="shared" si="5"/>
        <v>0</v>
      </c>
      <c r="T20" s="405">
        <f t="shared" si="6"/>
        <v>0</v>
      </c>
    </row>
    <row r="21" spans="1:20" ht="15" x14ac:dyDescent="0.2">
      <c r="A21" s="816">
        <v>12</v>
      </c>
      <c r="B21" s="816">
        <f>IF('Entries April 2026'!I18&lt;'Entries April 2026'!I17,"0",(IF('Entries April 2026'!I18&gt;='Entries April 2026'!I17,'Entries April 2026'!I18-'Entries April 2026'!I17,(999999-'Entries April 2026'!I17)+'Entries April 2026'!I18+1)))</f>
        <v>1952</v>
      </c>
      <c r="C21" s="816" t="str">
        <f>IF('Entries April 2026'!J18&lt;='Entries April 2026'!J17,"0",IF('Entries April 2026'!J18&gt;='Entries April 2026'!J17,'Entries April 2026'!J18-'Entries April 2026'!J17,(999999-'Entries April 2026'!J17)+'Entries April 2026'!J18+1))</f>
        <v>0</v>
      </c>
      <c r="D21" s="817">
        <f t="shared" si="0"/>
        <v>1952</v>
      </c>
      <c r="E21" s="813">
        <v>1489.4</v>
      </c>
      <c r="F21" s="744">
        <f t="shared" si="1"/>
        <v>0.43278898122856979</v>
      </c>
      <c r="G21" s="766">
        <f>IF('Entries April 2026'!K18&lt;'Entries April 2026'!K17,"0",IF('Entries April 2026'!K18&gt;='Entries April 2026'!K17,'Entries April 2026'!K18-'Entries April 2026'!K17,(999999-'Entries April 2026'!K17)+'Entries April 2026'!K18+1))</f>
        <v>0</v>
      </c>
      <c r="H21" s="743">
        <f t="shared" si="2"/>
        <v>3441.4</v>
      </c>
      <c r="I21" s="766">
        <f>'Water '!Z18*10</f>
        <v>20</v>
      </c>
      <c r="J21" s="743">
        <f>IF('Entries April 2026'!B18-'Entries April 2026'!B17&lt;1,"0",'Entries April 2026'!B18-'Entries April 2026'!B17)</f>
        <v>700</v>
      </c>
      <c r="K21" s="745">
        <f>'CO2'!E18</f>
        <v>0</v>
      </c>
      <c r="L21" s="746">
        <f>+'PROD.FIG. '!F16</f>
        <v>0</v>
      </c>
      <c r="M21" s="743">
        <f>+'PROD.FIG. '!C16</f>
        <v>0</v>
      </c>
      <c r="N21" s="743">
        <f>+'PROD.FIG. '!D16</f>
        <v>0</v>
      </c>
      <c r="O21" s="743">
        <f>+'PROD.FIG. '!E16</f>
        <v>0</v>
      </c>
      <c r="P21" s="747">
        <v>0</v>
      </c>
      <c r="Q21" s="405">
        <f t="shared" si="3"/>
        <v>0</v>
      </c>
      <c r="R21" s="405">
        <f t="shared" si="4"/>
        <v>0</v>
      </c>
      <c r="S21" s="405">
        <f t="shared" si="5"/>
        <v>0</v>
      </c>
      <c r="T21" s="405">
        <f t="shared" si="6"/>
        <v>0</v>
      </c>
    </row>
    <row r="22" spans="1:20" s="35" customFormat="1" ht="15" x14ac:dyDescent="0.2">
      <c r="A22" s="742">
        <v>13</v>
      </c>
      <c r="B22" s="742">
        <f>IF('Entries April 2026'!I19&lt;'Entries April 2026'!I18,"0",(IF('Entries April 2026'!I19&gt;='Entries April 2026'!I18,'Entries April 2026'!I19-'Entries April 2026'!I18,(999999-'Entries April 2026'!I18)+'Entries April 2026'!I19+1)))</f>
        <v>6237</v>
      </c>
      <c r="C22" s="742" t="str">
        <f>IF('Entries April 2026'!J19&lt;='Entries April 2026'!J18,"0",IF('Entries April 2026'!J19&gt;='Entries April 2026'!J18,'Entries April 2026'!J19-'Entries April 2026'!J18,(999999-'Entries April 2026'!J18)+'Entries April 2026'!J19+1))</f>
        <v>0</v>
      </c>
      <c r="D22" s="743">
        <f t="shared" si="0"/>
        <v>6237</v>
      </c>
      <c r="E22" s="812">
        <v>1655.2</v>
      </c>
      <c r="F22" s="744">
        <f t="shared" si="1"/>
        <v>0.20972605864017638</v>
      </c>
      <c r="G22" s="766">
        <f>IF('Entries April 2026'!K19&lt;'Entries April 2026'!K18,"0",IF('Entries April 2026'!K19&gt;='Entries April 2026'!K18,'Entries April 2026'!K19-'Entries April 2026'!K18,(999999-'Entries April 2026'!K18)+'Entries April 2026'!K19+1))</f>
        <v>0</v>
      </c>
      <c r="H22" s="743">
        <f t="shared" si="2"/>
        <v>7892.2</v>
      </c>
      <c r="I22" s="766">
        <f>'Water '!Z19*10</f>
        <v>3900</v>
      </c>
      <c r="J22" s="743">
        <f>IF('Entries April 2026'!B19-'Entries April 2026'!B18&lt;1,"0",'Entries April 2026'!B19-'Entries April 2026'!B18)</f>
        <v>3520</v>
      </c>
      <c r="K22" s="745">
        <f>'CO2'!E19</f>
        <v>2600</v>
      </c>
      <c r="L22" s="746">
        <f>+'PROD.FIG. '!F17</f>
        <v>0</v>
      </c>
      <c r="M22" s="743">
        <f>+'PROD.FIG. '!C17</f>
        <v>0</v>
      </c>
      <c r="N22" s="743">
        <f>+'PROD.FIG. '!D17</f>
        <v>0</v>
      </c>
      <c r="O22" s="743">
        <f>+'PROD.FIG. '!E17</f>
        <v>0</v>
      </c>
      <c r="P22" s="747">
        <v>418.04400000000004</v>
      </c>
      <c r="Q22" s="405">
        <f>IF(P22=0,0,H22/P22)</f>
        <v>18.878873994125019</v>
      </c>
      <c r="R22" s="405">
        <f>IF(Q22=0,0,I22/P22)</f>
        <v>9.3291615236673646</v>
      </c>
      <c r="S22" s="405">
        <f>IF(R22=0,0,J22/P22)</f>
        <v>8.420166298284391</v>
      </c>
      <c r="T22" s="405">
        <f>IF(S22=0,0,K22/P22)</f>
        <v>6.2194410157782425</v>
      </c>
    </row>
    <row r="23" spans="1:20" ht="15" x14ac:dyDescent="0.2">
      <c r="A23" s="742">
        <v>14</v>
      </c>
      <c r="B23" s="742">
        <f>IF('Entries April 2026'!I20&lt;'Entries April 2026'!I19,"0",(IF('Entries April 2026'!I20&gt;='Entries April 2026'!I19,'Entries April 2026'!I20-'Entries April 2026'!I19,(999999-'Entries April 2026'!I19)+'Entries April 2026'!I20+1)))</f>
        <v>7380</v>
      </c>
      <c r="C23" s="742" t="str">
        <f>IF('Entries April 2026'!J20&lt;='Entries April 2026'!J19,"0",IF('Entries April 2026'!J20&gt;='Entries April 2026'!J19,'Entries April 2026'!J20-'Entries April 2026'!J19,(999999-'Entries April 2026'!J19)+'Entries April 2026'!J20+1))</f>
        <v>0</v>
      </c>
      <c r="D23" s="743">
        <f t="shared" si="0"/>
        <v>7380</v>
      </c>
      <c r="E23" s="812">
        <v>900.9</v>
      </c>
      <c r="F23" s="744">
        <f t="shared" si="1"/>
        <v>0.10879252255189653</v>
      </c>
      <c r="G23" s="766">
        <f>IF('Entries April 2026'!K20&lt;'Entries April 2026'!K19,"0",IF('Entries April 2026'!K20&gt;='Entries April 2026'!K19,'Entries April 2026'!K20-'Entries April 2026'!K19,(999999-'Entries April 2026'!K19)+'Entries April 2026'!K20+1))</f>
        <v>0</v>
      </c>
      <c r="H23" s="743">
        <f t="shared" si="2"/>
        <v>8280.9</v>
      </c>
      <c r="I23" s="766">
        <f>'Water '!Z20*10</f>
        <v>4570</v>
      </c>
      <c r="J23" s="743">
        <f>IF('Entries April 2026'!B20-'Entries April 2026'!B19&lt;1,"0",'Entries April 2026'!B20-'Entries April 2026'!B19)</f>
        <v>3090</v>
      </c>
      <c r="K23" s="745">
        <f>'CO2'!E20</f>
        <v>2000</v>
      </c>
      <c r="L23" s="746">
        <f>+'PROD.FIG. '!F18</f>
        <v>0</v>
      </c>
      <c r="M23" s="743">
        <f>+'PROD.FIG. '!C18</f>
        <v>0</v>
      </c>
      <c r="N23" s="743">
        <f>+'PROD.FIG. '!D18</f>
        <v>0</v>
      </c>
      <c r="O23" s="743">
        <f>+'PROD.FIG. '!E18</f>
        <v>0</v>
      </c>
      <c r="P23" s="747">
        <v>398.178</v>
      </c>
      <c r="Q23" s="405">
        <f t="shared" si="3"/>
        <v>20.796980245016048</v>
      </c>
      <c r="R23" s="405">
        <f t="shared" si="4"/>
        <v>11.477279005871745</v>
      </c>
      <c r="S23" s="405">
        <f t="shared" si="5"/>
        <v>7.76034838690234</v>
      </c>
      <c r="T23" s="405">
        <f t="shared" si="6"/>
        <v>5.0228792148235213</v>
      </c>
    </row>
    <row r="24" spans="1:20" s="35" customFormat="1" ht="15" x14ac:dyDescent="0.2">
      <c r="A24" s="742">
        <v>15</v>
      </c>
      <c r="B24" s="742">
        <f>IF('Entries April 2026'!I21&lt;'Entries April 2026'!I20,"0",(IF('Entries April 2026'!I21&gt;='Entries April 2026'!I20,'Entries April 2026'!I21-'Entries April 2026'!I20,(999999-'Entries April 2026'!I20)+'Entries April 2026'!I21+1)))</f>
        <v>6949</v>
      </c>
      <c r="C24" s="742" t="str">
        <f>IF('Entries April 2026'!J21&lt;='Entries April 2026'!J20,"0",IF('Entries April 2026'!J21&gt;='Entries April 2026'!J20,'Entries April 2026'!J21-'Entries April 2026'!J20,(999999-'Entries April 2026'!J20)+'Entries April 2026'!J21+1))</f>
        <v>0</v>
      </c>
      <c r="D24" s="743">
        <f t="shared" si="0"/>
        <v>6949</v>
      </c>
      <c r="E24" s="812">
        <v>1412.9</v>
      </c>
      <c r="F24" s="744">
        <f t="shared" si="1"/>
        <v>0.16896877503916577</v>
      </c>
      <c r="G24" s="766">
        <f>IF('Entries April 2026'!K21&lt;'Entries April 2026'!K20,"0",IF('Entries April 2026'!K21&gt;='Entries April 2026'!K20,'Entries April 2026'!K21-'Entries April 2026'!K20,(999999-'Entries April 2026'!K20)+'Entries April 2026'!K21+1))</f>
        <v>0</v>
      </c>
      <c r="H24" s="743">
        <f t="shared" si="2"/>
        <v>8361.9</v>
      </c>
      <c r="I24" s="766">
        <f>'Water '!Z21*10</f>
        <v>3870</v>
      </c>
      <c r="J24" s="743">
        <f>IF('Entries April 2026'!B21-'Entries April 2026'!B20&lt;1,"0",'Entries April 2026'!B21-'Entries April 2026'!B20)</f>
        <v>3370</v>
      </c>
      <c r="K24" s="745">
        <f>'CO2'!E21</f>
        <v>2600</v>
      </c>
      <c r="L24" s="746">
        <f>+'PROD.FIG. '!F19</f>
        <v>0</v>
      </c>
      <c r="M24" s="743">
        <f>+'PROD.FIG. '!C19</f>
        <v>0</v>
      </c>
      <c r="N24" s="743">
        <f>+'PROD.FIG. '!D19</f>
        <v>0</v>
      </c>
      <c r="O24" s="743">
        <f>+'PROD.FIG. '!E19</f>
        <v>0</v>
      </c>
      <c r="P24" s="747">
        <v>489.786</v>
      </c>
      <c r="Q24" s="405">
        <f t="shared" si="3"/>
        <v>17.072558219303939</v>
      </c>
      <c r="R24" s="405">
        <f t="shared" si="4"/>
        <v>7.9014100035525718</v>
      </c>
      <c r="S24" s="405">
        <f t="shared" si="5"/>
        <v>6.880555997925625</v>
      </c>
      <c r="T24" s="405">
        <f t="shared" si="6"/>
        <v>5.3084408292601255</v>
      </c>
    </row>
    <row r="25" spans="1:20" ht="15" x14ac:dyDescent="0.2">
      <c r="A25" s="742">
        <v>16</v>
      </c>
      <c r="B25" s="742">
        <f>IF('Entries April 2026'!I22&lt;'Entries April 2026'!I21,"0",(IF('Entries April 2026'!I22&gt;='Entries April 2026'!I21,'Entries April 2026'!I22-'Entries April 2026'!I21,(999999-'Entries April 2026'!I21)+'Entries April 2026'!I22+1)))</f>
        <v>6258</v>
      </c>
      <c r="C25" s="742" t="str">
        <f>IF('Entries April 2026'!J22&lt;='Entries April 2026'!J21,"0",IF('Entries April 2026'!J22&gt;='Entries April 2026'!J21,'Entries April 2026'!J22-'Entries April 2026'!J21,(999999-'Entries April 2026'!J21)+'Entries April 2026'!J22+1))</f>
        <v>0</v>
      </c>
      <c r="D25" s="743">
        <f t="shared" si="0"/>
        <v>6258</v>
      </c>
      <c r="E25" s="812">
        <v>1321</v>
      </c>
      <c r="F25" s="744">
        <f t="shared" si="1"/>
        <v>0.17429740071249505</v>
      </c>
      <c r="G25" s="766">
        <f>IF('Entries April 2026'!K22&lt;'Entries April 2026'!K21,"0",IF('Entries April 2026'!K22&gt;='Entries April 2026'!K21,'Entries April 2026'!K22-'Entries April 2026'!K21,(999999-'Entries April 2026'!K21)+'Entries April 2026'!K22+1))</f>
        <v>0</v>
      </c>
      <c r="H25" s="743">
        <f t="shared" si="2"/>
        <v>7579</v>
      </c>
      <c r="I25" s="766">
        <f>'Water '!Z22*10</f>
        <v>3220</v>
      </c>
      <c r="J25" s="743">
        <f>IF('Entries April 2026'!B22-'Entries April 2026'!B21&lt;1,"0",'Entries April 2026'!B22-'Entries April 2026'!B21)</f>
        <v>3340</v>
      </c>
      <c r="K25" s="745">
        <f>'CO2'!E22</f>
        <v>2100</v>
      </c>
      <c r="L25" s="746">
        <f>+'PROD.FIG. '!F20</f>
        <v>0</v>
      </c>
      <c r="M25" s="743">
        <f>+'PROD.FIG. '!C20</f>
        <v>0</v>
      </c>
      <c r="N25" s="743">
        <f>+'PROD.FIG. '!D20</f>
        <v>0</v>
      </c>
      <c r="O25" s="743">
        <f>+'PROD.FIG. '!E20</f>
        <v>0</v>
      </c>
      <c r="P25" s="747">
        <v>622.51200000000006</v>
      </c>
      <c r="Q25" s="405">
        <f t="shared" si="3"/>
        <v>12.174865705400055</v>
      </c>
      <c r="R25" s="405">
        <f t="shared" si="4"/>
        <v>5.1725910504536454</v>
      </c>
      <c r="S25" s="405">
        <f t="shared" si="5"/>
        <v>5.3653584187935328</v>
      </c>
      <c r="T25" s="405">
        <f t="shared" si="6"/>
        <v>3.3734289459480298</v>
      </c>
    </row>
    <row r="26" spans="1:20" s="35" customFormat="1" ht="15" x14ac:dyDescent="0.2">
      <c r="A26" s="742">
        <v>17</v>
      </c>
      <c r="B26" s="742">
        <f>IF('Entries April 2026'!I23&lt;'Entries April 2026'!I22,"0",(IF('Entries April 2026'!I23&gt;='Entries April 2026'!I22,'Entries April 2026'!I23-'Entries April 2026'!I22,(999999-'Entries April 2026'!I22)+'Entries April 2026'!I23+1)))</f>
        <v>5872</v>
      </c>
      <c r="C26" s="742" t="str">
        <f>IF('Entries April 2026'!J23&lt;='Entries April 2026'!J22,"0",IF('Entries April 2026'!J23&gt;='Entries April 2026'!J22,'Entries April 2026'!J23-'Entries April 2026'!J22,(999999-'Entries April 2026'!J22)+'Entries April 2026'!J23+1))</f>
        <v>0</v>
      </c>
      <c r="D26" s="743">
        <f t="shared" si="0"/>
        <v>5872</v>
      </c>
      <c r="E26" s="812">
        <v>1285.2</v>
      </c>
      <c r="F26" s="744">
        <f t="shared" si="1"/>
        <v>0.17956742860336444</v>
      </c>
      <c r="G26" s="766">
        <f>IF('Entries April 2026'!K23&lt;'Entries April 2026'!K22,"0",IF('Entries April 2026'!K23&gt;='Entries April 2026'!K22,'Entries April 2026'!K23-'Entries April 2026'!K22,(999999-'Entries April 2026'!K22)+'Entries April 2026'!K23+1))</f>
        <v>0</v>
      </c>
      <c r="H26" s="743">
        <f t="shared" si="2"/>
        <v>7157.2</v>
      </c>
      <c r="I26" s="766">
        <f>'Water '!Z23*10</f>
        <v>3620</v>
      </c>
      <c r="J26" s="743">
        <f>IF('Entries April 2026'!B23-'Entries April 2026'!B22&lt;1,"0",'Entries April 2026'!B23-'Entries April 2026'!B22)</f>
        <v>2190</v>
      </c>
      <c r="K26" s="745">
        <f>'CO2'!E23</f>
        <v>1600</v>
      </c>
      <c r="L26" s="746">
        <f>+'PROD.FIG. '!F21</f>
        <v>0</v>
      </c>
      <c r="M26" s="743">
        <f>+'PROD.FIG. '!C21</f>
        <v>0</v>
      </c>
      <c r="N26" s="743">
        <f>+'PROD.FIG. '!D21</f>
        <v>0</v>
      </c>
      <c r="O26" s="743">
        <f>+'PROD.FIG. '!E21</f>
        <v>0</v>
      </c>
      <c r="P26" s="747">
        <v>330.59399999999999</v>
      </c>
      <c r="Q26" s="405">
        <f t="shared" si="3"/>
        <v>21.649515720188511</v>
      </c>
      <c r="R26" s="405">
        <f t="shared" si="4"/>
        <v>10.949986993109373</v>
      </c>
      <c r="S26" s="405">
        <f t="shared" si="5"/>
        <v>6.6244396450026315</v>
      </c>
      <c r="T26" s="405">
        <f t="shared" si="6"/>
        <v>4.8397732566229275</v>
      </c>
    </row>
    <row r="27" spans="1:20" ht="15" x14ac:dyDescent="0.2">
      <c r="A27" s="816">
        <v>18</v>
      </c>
      <c r="B27" s="816">
        <f>IF('Entries April 2026'!I24&lt;'Entries April 2026'!I23,"0",(IF('Entries April 2026'!I24&gt;='Entries April 2026'!I23,'Entries April 2026'!I24-'Entries April 2026'!I23,(999999-'Entries April 2026'!I23)+'Entries April 2026'!I24+1)))</f>
        <v>3482</v>
      </c>
      <c r="C27" s="816" t="str">
        <f>IF('Entries April 2026'!J24&lt;='Entries April 2026'!J23,"0",IF('Entries April 2026'!J24&gt;='Entries April 2026'!J23,'Entries April 2026'!J24-'Entries April 2026'!J23,(999999-'Entries April 2026'!J23)+'Entries April 2026'!J24+1))</f>
        <v>0</v>
      </c>
      <c r="D27" s="817">
        <f t="shared" si="0"/>
        <v>3482</v>
      </c>
      <c r="E27" s="813">
        <v>1350.9</v>
      </c>
      <c r="F27" s="818">
        <f t="shared" si="1"/>
        <v>0.27952161228248051</v>
      </c>
      <c r="G27" s="766">
        <f>IF('Entries April 2026'!K24&lt;'Entries April 2026'!K23,"0",IF('Entries April 2026'!K24&gt;='Entries April 2026'!K23,'Entries April 2026'!K24-'Entries April 2026'!K23,(999999-'Entries April 2026'!K23)+'Entries April 2026'!K24+1))</f>
        <v>0</v>
      </c>
      <c r="H27" s="743">
        <f t="shared" si="2"/>
        <v>4832.8999999999996</v>
      </c>
      <c r="I27" s="766">
        <f>'Water '!Z24*10</f>
        <v>320</v>
      </c>
      <c r="J27" s="743" t="str">
        <f>IF('Entries April 2026'!B24-'Entries April 2026'!B23&lt;1,"0",'Entries April 2026'!B24-'Entries April 2026'!B23)</f>
        <v>0</v>
      </c>
      <c r="K27" s="745">
        <f>'CO2'!E24</f>
        <v>0</v>
      </c>
      <c r="L27" s="746">
        <f>+'PROD.FIG. '!F22</f>
        <v>0</v>
      </c>
      <c r="M27" s="743">
        <f>+'PROD.FIG. '!C22</f>
        <v>0</v>
      </c>
      <c r="N27" s="743">
        <f>+'PROD.FIG. '!D22</f>
        <v>0</v>
      </c>
      <c r="O27" s="743">
        <f>+'PROD.FIG. '!E22</f>
        <v>0</v>
      </c>
      <c r="P27" s="747">
        <v>0</v>
      </c>
      <c r="Q27" s="405">
        <f t="shared" si="3"/>
        <v>0</v>
      </c>
      <c r="R27" s="405">
        <f t="shared" si="4"/>
        <v>0</v>
      </c>
      <c r="S27" s="405">
        <f t="shared" si="5"/>
        <v>0</v>
      </c>
      <c r="T27" s="405">
        <f t="shared" si="6"/>
        <v>0</v>
      </c>
    </row>
    <row r="28" spans="1:20" s="35" customFormat="1" ht="15" x14ac:dyDescent="0.2">
      <c r="A28" s="816">
        <v>19</v>
      </c>
      <c r="B28" s="816">
        <f>IF('Entries April 2026'!I25&lt;'Entries April 2026'!I24,"0",(IF('Entries April 2026'!I25&gt;='Entries April 2026'!I24,'Entries April 2026'!I25-'Entries April 2026'!I24,(999999-'Entries April 2026'!I24)+'Entries April 2026'!I25+1)))</f>
        <v>1989</v>
      </c>
      <c r="C28" s="816" t="str">
        <f>IF('Entries April 2026'!J25&lt;='Entries April 2026'!J24,"0",IF('Entries April 2026'!J25&gt;='Entries April 2026'!J24,'Entries April 2026'!J25-'Entries April 2026'!J24,(999999-'Entries April 2026'!J24)+'Entries April 2026'!J25+1))</f>
        <v>0</v>
      </c>
      <c r="D28" s="817">
        <f t="shared" si="0"/>
        <v>1989</v>
      </c>
      <c r="E28" s="813">
        <v>1597.3</v>
      </c>
      <c r="F28" s="818">
        <f t="shared" si="1"/>
        <v>0.44538939854446086</v>
      </c>
      <c r="G28" s="766">
        <f>IF('Entries April 2026'!K25&lt;'Entries April 2026'!K24,"0",IF('Entries April 2026'!K25&gt;='Entries April 2026'!K24,'Entries April 2026'!K25-'Entries April 2026'!K24,(999999-'Entries April 2026'!K24)+'Entries April 2026'!K25+1))</f>
        <v>0</v>
      </c>
      <c r="H28" s="743">
        <f t="shared" si="2"/>
        <v>3586.3</v>
      </c>
      <c r="I28" s="766">
        <f>'Water '!Z25*10</f>
        <v>1750</v>
      </c>
      <c r="J28" s="743">
        <f>IF('Entries April 2026'!B25-'Entries April 2026'!B24&lt;1,"0",'Entries April 2026'!B25-'Entries April 2026'!B24)</f>
        <v>1180</v>
      </c>
      <c r="K28" s="745">
        <f>'CO2'!E25</f>
        <v>1600</v>
      </c>
      <c r="L28" s="746">
        <f>+'PROD.FIG. '!F23</f>
        <v>0</v>
      </c>
      <c r="M28" s="743">
        <f>+'PROD.FIG. '!C23</f>
        <v>0</v>
      </c>
      <c r="N28" s="743">
        <f>+'PROD.FIG. '!D23</f>
        <v>0</v>
      </c>
      <c r="O28" s="743">
        <f>+'PROD.FIG. '!E23</f>
        <v>0</v>
      </c>
      <c r="P28" s="747">
        <v>0</v>
      </c>
      <c r="Q28" s="405">
        <f t="shared" si="3"/>
        <v>0</v>
      </c>
      <c r="R28" s="405">
        <f t="shared" si="4"/>
        <v>0</v>
      </c>
      <c r="S28" s="405">
        <f t="shared" si="5"/>
        <v>0</v>
      </c>
      <c r="T28" s="405">
        <f t="shared" si="6"/>
        <v>0</v>
      </c>
    </row>
    <row r="29" spans="1:20" ht="15" x14ac:dyDescent="0.2">
      <c r="A29" s="742">
        <v>20</v>
      </c>
      <c r="B29" s="742">
        <f>IF('Entries April 2026'!I26&lt;'Entries April 2026'!I25,"0",(IF('Entries April 2026'!I26&gt;='Entries April 2026'!I25,'Entries April 2026'!I26-'Entries April 2026'!I25,(999999-'Entries April 2026'!I25)+'Entries April 2026'!I26+1)))</f>
        <v>5497</v>
      </c>
      <c r="C29" s="742" t="str">
        <f>IF('Entries April 2026'!J26&lt;='Entries April 2026'!J25,"0",IF('Entries April 2026'!J26&gt;='Entries April 2026'!J25,'Entries April 2026'!J26-'Entries April 2026'!J25,(999999-'Entries April 2026'!J25)+'Entries April 2026'!J26+1))</f>
        <v>0</v>
      </c>
      <c r="D29" s="743">
        <f t="shared" si="0"/>
        <v>5497</v>
      </c>
      <c r="E29" s="812">
        <v>1315.8</v>
      </c>
      <c r="F29" s="744">
        <f t="shared" si="1"/>
        <v>0.19313644903710661</v>
      </c>
      <c r="G29" s="766">
        <f>IF('Entries April 2026'!K26&lt;'Entries April 2026'!K25,"0",IF('Entries April 2026'!K26&gt;='Entries April 2026'!K25,'Entries April 2026'!K26-'Entries April 2026'!K25,(999999-'Entries April 2026'!K25)+'Entries April 2026'!K26+1))</f>
        <v>0</v>
      </c>
      <c r="H29" s="743">
        <f t="shared" si="2"/>
        <v>6812.8</v>
      </c>
      <c r="I29" s="766">
        <f>'Water '!Z26*10</f>
        <v>3100</v>
      </c>
      <c r="J29" s="743">
        <f>IF('Entries April 2026'!B26-'Entries April 2026'!B25&lt;1,"0",'Entries April 2026'!B26-'Entries April 2026'!B25)</f>
        <v>3070</v>
      </c>
      <c r="K29" s="745">
        <f>'CO2'!E26</f>
        <v>1600</v>
      </c>
      <c r="L29" s="746">
        <f>+'PROD.FIG. '!F24</f>
        <v>0</v>
      </c>
      <c r="M29" s="743">
        <f>+'PROD.FIG. '!C24</f>
        <v>0</v>
      </c>
      <c r="N29" s="743">
        <f>+'PROD.FIG. '!D24</f>
        <v>0</v>
      </c>
      <c r="O29" s="743">
        <f>+'PROD.FIG. '!E24</f>
        <v>0</v>
      </c>
      <c r="P29" s="747">
        <v>256.41000000000003</v>
      </c>
      <c r="Q29" s="405">
        <f t="shared" si="3"/>
        <v>26.56994656994657</v>
      </c>
      <c r="R29" s="405">
        <f t="shared" si="4"/>
        <v>12.090012090012088</v>
      </c>
      <c r="S29" s="405">
        <f t="shared" si="5"/>
        <v>11.973011973011971</v>
      </c>
      <c r="T29" s="405">
        <f t="shared" si="6"/>
        <v>6.240006240006239</v>
      </c>
    </row>
    <row r="30" spans="1:20" s="35" customFormat="1" ht="15" x14ac:dyDescent="0.2">
      <c r="A30" s="742">
        <v>21</v>
      </c>
      <c r="B30" s="742">
        <f>IF('Entries April 2026'!I27&lt;'Entries April 2026'!I26,"0",(IF('Entries April 2026'!I27&gt;='Entries April 2026'!I26,'Entries April 2026'!I27-'Entries April 2026'!I26,(999999-'Entries April 2026'!I26)+'Entries April 2026'!I27+1)))</f>
        <v>5959</v>
      </c>
      <c r="C30" s="742" t="str">
        <f>IF('Entries April 2026'!J27&lt;='Entries April 2026'!J26,"0",IF('Entries April 2026'!J27&gt;='Entries April 2026'!J26,'Entries April 2026'!J27-'Entries April 2026'!J26,(999999-'Entries April 2026'!J26)+'Entries April 2026'!J27+1))</f>
        <v>0</v>
      </c>
      <c r="D30" s="743">
        <f t="shared" si="0"/>
        <v>5959</v>
      </c>
      <c r="E30" s="812">
        <v>1431.7</v>
      </c>
      <c r="F30" s="744">
        <f t="shared" si="1"/>
        <v>0.19371642740200523</v>
      </c>
      <c r="G30" s="766">
        <f>IF('Entries April 2026'!K27&lt;'Entries April 2026'!K26,"0",IF('Entries April 2026'!K27&gt;='Entries April 2026'!K26,'Entries April 2026'!K27-'Entries April 2026'!K26,(999999-'Entries April 2026'!K26)+'Entries April 2026'!K27+1))</f>
        <v>0</v>
      </c>
      <c r="H30" s="743">
        <f t="shared" si="2"/>
        <v>7390.7</v>
      </c>
      <c r="I30" s="766">
        <f>'Water '!Z27*10</f>
        <v>3140</v>
      </c>
      <c r="J30" s="743">
        <f>IF('Entries April 2026'!B27-'Entries April 2026'!B26&lt;1,"0",'Entries April 2026'!B27-'Entries April 2026'!B26)</f>
        <v>3580</v>
      </c>
      <c r="K30" s="745">
        <f>'CO2'!E27</f>
        <v>1700</v>
      </c>
      <c r="L30" s="746">
        <f>+'PROD.FIG. '!F25</f>
        <v>0</v>
      </c>
      <c r="M30" s="743">
        <f>+'PROD.FIG. '!C25</f>
        <v>0</v>
      </c>
      <c r="N30" s="743">
        <f>+'PROD.FIG. '!D25</f>
        <v>0</v>
      </c>
      <c r="O30" s="743">
        <f>+'PROD.FIG. '!E25</f>
        <v>0</v>
      </c>
      <c r="P30" s="747">
        <v>521.46600000000001</v>
      </c>
      <c r="Q30" s="405">
        <f t="shared" si="3"/>
        <v>14.172927861068603</v>
      </c>
      <c r="R30" s="405">
        <f t="shared" si="4"/>
        <v>6.0214855810350052</v>
      </c>
      <c r="S30" s="405">
        <f t="shared" si="5"/>
        <v>6.8652606306067891</v>
      </c>
      <c r="T30" s="405">
        <f t="shared" si="6"/>
        <v>3.2600399642546205</v>
      </c>
    </row>
    <row r="31" spans="1:20" ht="15" x14ac:dyDescent="0.2">
      <c r="A31" s="742">
        <v>22</v>
      </c>
      <c r="B31" s="742">
        <f>IF('Entries April 2026'!I28&lt;'Entries April 2026'!I27,"0",(IF('Entries April 2026'!I28&gt;='Entries April 2026'!I27,'Entries April 2026'!I28-'Entries April 2026'!I27,(999999-'Entries April 2026'!I27)+'Entries April 2026'!I28+1)))</f>
        <v>7375</v>
      </c>
      <c r="C31" s="742" t="str">
        <f>IF('Entries April 2026'!J28&lt;='Entries April 2026'!J27,"0",IF('Entries April 2026'!J28&gt;='Entries April 2026'!J27,'Entries April 2026'!J28-'Entries April 2026'!J27,(999999-'Entries April 2026'!J27)+'Entries April 2026'!J28+1))</f>
        <v>0</v>
      </c>
      <c r="D31" s="743">
        <f t="shared" si="0"/>
        <v>7375</v>
      </c>
      <c r="E31" s="812">
        <v>847.7</v>
      </c>
      <c r="F31" s="744">
        <f t="shared" si="1"/>
        <v>0.10309265812932492</v>
      </c>
      <c r="G31" s="766">
        <f>IF('Entries April 2026'!K28&lt;'Entries April 2026'!K27,"0",IF('Entries April 2026'!K28&gt;='Entries April 2026'!K27,'Entries April 2026'!K28-'Entries April 2026'!K27,(999999-'Entries April 2026'!K27)+'Entries April 2026'!K28+1))</f>
        <v>0</v>
      </c>
      <c r="H31" s="743">
        <f t="shared" si="2"/>
        <v>8222.7000000000007</v>
      </c>
      <c r="I31" s="766">
        <f>'Water '!Z28*10</f>
        <v>4420</v>
      </c>
      <c r="J31" s="743">
        <f>IF('Entries April 2026'!B28-'Entries April 2026'!B27&lt;1,"0",'Entries April 2026'!B28-'Entries April 2026'!B27)</f>
        <v>3550</v>
      </c>
      <c r="K31" s="745">
        <f>'CO2'!E28</f>
        <v>3000</v>
      </c>
      <c r="L31" s="746">
        <f>+'PROD.FIG. '!F26</f>
        <v>0</v>
      </c>
      <c r="M31" s="743">
        <f>+'PROD.FIG. '!C26</f>
        <v>0</v>
      </c>
      <c r="N31" s="743">
        <f>+'PROD.FIG. '!D26</f>
        <v>0</v>
      </c>
      <c r="O31" s="743">
        <f>+'PROD.FIG. '!E26</f>
        <v>0</v>
      </c>
      <c r="P31" s="747">
        <v>517.30799999999999</v>
      </c>
      <c r="Q31" s="405">
        <f>IF(P31=0,0,H31/P31)</f>
        <v>15.895172701756016</v>
      </c>
      <c r="R31" s="405">
        <f>IF(Q31=0,0,I31/P31)</f>
        <v>8.5442328361440385</v>
      </c>
      <c r="S31" s="405">
        <f>IF(R31=0,0,J31/P31)</f>
        <v>6.8624494498441937</v>
      </c>
      <c r="T31" s="405">
        <f>IF(S31=0,0,K31/P31)</f>
        <v>5.7992530562063607</v>
      </c>
    </row>
    <row r="32" spans="1:20" s="35" customFormat="1" ht="15" x14ac:dyDescent="0.2">
      <c r="A32" s="742">
        <v>23</v>
      </c>
      <c r="B32" s="742">
        <f>IF('Entries April 2026'!I29&lt;'Entries April 2026'!I28,"0",(IF('Entries April 2026'!I29&gt;='Entries April 2026'!I28,'Entries April 2026'!I29-'Entries April 2026'!I28,(999999-'Entries April 2026'!I28)+'Entries April 2026'!I29+1)))</f>
        <v>7064</v>
      </c>
      <c r="C32" s="742" t="str">
        <f>IF('Entries April 2026'!J29&lt;='Entries April 2026'!J28,"0",IF('Entries April 2026'!J29&gt;='Entries April 2026'!J28,'Entries April 2026'!J29-'Entries April 2026'!J28,(999999-'Entries April 2026'!J28)+'Entries April 2026'!J29+1))</f>
        <v>0</v>
      </c>
      <c r="D32" s="743">
        <f t="shared" si="0"/>
        <v>7064</v>
      </c>
      <c r="E32" s="812">
        <v>1078.7</v>
      </c>
      <c r="F32" s="744">
        <f>IF((E32+D32)=0,"0",E32/(D32+E32))</f>
        <v>0.13247448634973658</v>
      </c>
      <c r="G32" s="766">
        <f>IF('Entries April 2026'!K29&lt;'Entries April 2026'!K28,"0",IF('Entries April 2026'!K29&gt;='Entries April 2026'!K28,'Entries April 2026'!K29-'Entries April 2026'!K28,(999999-'Entries April 2026'!K28)+'Entries April 2026'!K29+1))</f>
        <v>0</v>
      </c>
      <c r="H32" s="743">
        <f t="shared" si="2"/>
        <v>8142.7</v>
      </c>
      <c r="I32" s="766">
        <f>'Water '!Z29*10</f>
        <v>2850</v>
      </c>
      <c r="J32" s="743">
        <f>IF('Entries April 2026'!B29-'Entries April 2026'!B28&lt;1,"0",'Entries April 2026'!B29-'Entries April 2026'!B28)</f>
        <v>2580</v>
      </c>
      <c r="K32" s="745">
        <f>'CO2'!E29</f>
        <v>1600</v>
      </c>
      <c r="L32" s="746">
        <f>+'PROD.FIG. '!F27</f>
        <v>0</v>
      </c>
      <c r="M32" s="743">
        <f>+'PROD.FIG. '!C27</f>
        <v>0</v>
      </c>
      <c r="N32" s="743">
        <f>+'PROD.FIG. '!D27</f>
        <v>0</v>
      </c>
      <c r="O32" s="743">
        <f>+'PROD.FIG. '!E27</f>
        <v>0</v>
      </c>
      <c r="P32" s="747">
        <v>241.69200000000001</v>
      </c>
      <c r="Q32" s="405">
        <f t="shared" si="3"/>
        <v>33.690399351240423</v>
      </c>
      <c r="R32" s="405">
        <f t="shared" si="4"/>
        <v>11.791867335286232</v>
      </c>
      <c r="S32" s="405">
        <f t="shared" si="5"/>
        <v>10.67474306141701</v>
      </c>
      <c r="T32" s="405">
        <f t="shared" si="6"/>
        <v>6.6199956970027971</v>
      </c>
    </row>
    <row r="33" spans="1:32" ht="15" x14ac:dyDescent="0.2">
      <c r="A33" s="742">
        <v>24</v>
      </c>
      <c r="B33" s="742">
        <f>IF('Entries April 2026'!I30&lt;'Entries April 2026'!I29,"0",(IF('Entries April 2026'!I30&gt;='Entries April 2026'!I29,'Entries April 2026'!I30-'Entries April 2026'!I29,(999999-'Entries April 2026'!I29)+'Entries April 2026'!I30+1)))</f>
        <v>4121</v>
      </c>
      <c r="C33" s="742" t="str">
        <f>IF('Entries April 2026'!J30&lt;='Entries April 2026'!J29,"0",IF('Entries April 2026'!J30&gt;='Entries April 2026'!J29,'Entries April 2026'!J30-'Entries April 2026'!J29,(999999-'Entries April 2026'!J29)+'Entries April 2026'!J30+1))</f>
        <v>0</v>
      </c>
      <c r="D33" s="743">
        <f t="shared" si="0"/>
        <v>4121</v>
      </c>
      <c r="E33" s="812">
        <v>1685.9</v>
      </c>
      <c r="F33" s="744">
        <f t="shared" si="1"/>
        <v>0.29032702474642241</v>
      </c>
      <c r="G33" s="766">
        <f>IF('Entries April 2026'!K30&lt;'Entries April 2026'!K29,"0",IF('Entries April 2026'!K30&gt;='Entries April 2026'!K29,'Entries April 2026'!K30-'Entries April 2026'!K29,(999999-'Entries April 2026'!K29)+'Entries April 2026'!K30+1))</f>
        <v>0</v>
      </c>
      <c r="H33" s="743">
        <f t="shared" si="2"/>
        <v>5806.9</v>
      </c>
      <c r="I33" s="766">
        <f>'Water '!Z30*10</f>
        <v>2920</v>
      </c>
      <c r="J33" s="743">
        <f>IF('Entries April 2026'!B30-'Entries April 2026'!B29&lt;1,"0",'Entries April 2026'!B30-'Entries April 2026'!B29)</f>
        <v>2520</v>
      </c>
      <c r="K33" s="745">
        <f>'CO2'!E30</f>
        <v>1800</v>
      </c>
      <c r="L33" s="746">
        <f>+'PROD.FIG. '!F28</f>
        <v>0</v>
      </c>
      <c r="M33" s="743">
        <f>+'PROD.FIG. '!C28</f>
        <v>0</v>
      </c>
      <c r="N33" s="743">
        <f>+'PROD.FIG. '!D28</f>
        <v>0</v>
      </c>
      <c r="O33" s="743">
        <f>+'PROD.FIG. '!E28</f>
        <v>0</v>
      </c>
      <c r="P33" s="747">
        <v>224.334</v>
      </c>
      <c r="Q33" s="405">
        <f>IF(P33=0,0,H33/P33)</f>
        <v>25.885064234578795</v>
      </c>
      <c r="R33" s="405">
        <f>IF(Q33=0,0,I33/P33)</f>
        <v>13.016306043667033</v>
      </c>
      <c r="S33" s="405">
        <f>IF(R33=0,0,J33/P33)</f>
        <v>11.23325042124689</v>
      </c>
      <c r="T33" s="405">
        <f>IF(S33=0,0,K33/P33)</f>
        <v>8.0237503008906366</v>
      </c>
    </row>
    <row r="34" spans="1:32" s="35" customFormat="1" ht="15" x14ac:dyDescent="0.2">
      <c r="A34" s="816">
        <v>25</v>
      </c>
      <c r="B34" s="816">
        <f>IF('Entries April 2026'!I31&lt;'Entries April 2026'!I30,"0",(IF('Entries April 2026'!I31&gt;='Entries April 2026'!I30,'Entries April 2026'!I31-'Entries April 2026'!I30,(999999-'Entries April 2026'!I30)+'Entries April 2026'!I31+1)))</f>
        <v>3680</v>
      </c>
      <c r="C34" s="816" t="str">
        <f>IF('Entries April 2026'!J31&lt;='Entries April 2026'!J30,"0",IF('Entries April 2026'!J31&gt;='Entries April 2026'!J30,'Entries April 2026'!J31-'Entries April 2026'!J30,(999999-'Entries April 2026'!J30)+'Entries April 2026'!J31+1))</f>
        <v>0</v>
      </c>
      <c r="D34" s="817">
        <f t="shared" si="0"/>
        <v>3680</v>
      </c>
      <c r="E34" s="813">
        <v>1377</v>
      </c>
      <c r="F34" s="818">
        <f t="shared" si="1"/>
        <v>0.27229582756575044</v>
      </c>
      <c r="G34" s="766">
        <f>IF('Entries April 2026'!K31&lt;'Entries April 2026'!K30,"0",IF('Entries April 2026'!K31&gt;='Entries April 2026'!K30,'Entries April 2026'!K31-'Entries April 2026'!K30,(999999-'Entries April 2026'!K30)+'Entries April 2026'!K31+1))</f>
        <v>0</v>
      </c>
      <c r="H34" s="743">
        <f t="shared" si="2"/>
        <v>5057</v>
      </c>
      <c r="I34" s="766">
        <f>'Water '!Z31*10</f>
        <v>1160</v>
      </c>
      <c r="J34" s="743">
        <f>IF('Entries April 2026'!B31-'Entries April 2026'!B30&lt;1,"0",'Entries April 2026'!B31-'Entries April 2026'!B30)</f>
        <v>1290</v>
      </c>
      <c r="K34" s="745">
        <f>'CO2'!E31</f>
        <v>0</v>
      </c>
      <c r="L34" s="746">
        <f>+'PROD.FIG. '!F29</f>
        <v>0</v>
      </c>
      <c r="M34" s="743">
        <f>+'PROD.FIG. '!C29</f>
        <v>0</v>
      </c>
      <c r="N34" s="743">
        <f>+'PROD.FIG. '!D29</f>
        <v>0</v>
      </c>
      <c r="O34" s="743">
        <f>+'PROD.FIG. '!E29</f>
        <v>0</v>
      </c>
      <c r="P34" s="747">
        <v>0</v>
      </c>
      <c r="Q34" s="405">
        <f t="shared" si="3"/>
        <v>0</v>
      </c>
      <c r="R34" s="405">
        <f t="shared" si="4"/>
        <v>0</v>
      </c>
      <c r="S34" s="405">
        <f t="shared" si="5"/>
        <v>0</v>
      </c>
      <c r="T34" s="405">
        <f t="shared" si="6"/>
        <v>0</v>
      </c>
    </row>
    <row r="35" spans="1:32" ht="15" x14ac:dyDescent="0.2">
      <c r="A35" s="816">
        <v>26</v>
      </c>
      <c r="B35" s="816">
        <f>IF('Entries April 2026'!I32&lt;'Entries April 2026'!I31,"0",(IF('Entries April 2026'!I32&gt;='Entries April 2026'!I31,'Entries April 2026'!I32-'Entries April 2026'!I31,(999999-'Entries April 2026'!I31)+'Entries April 2026'!I32+1)))</f>
        <v>3443</v>
      </c>
      <c r="C35" s="816" t="str">
        <f>IF('Entries April 2026'!J32&lt;='Entries April 2026'!J31,"0",IF('Entries April 2026'!J32&gt;='Entries April 2026'!J31,'Entries April 2026'!J32-'Entries April 2026'!J31,(999999-'Entries April 2026'!J31)+'Entries April 2026'!J32+1))</f>
        <v>0</v>
      </c>
      <c r="D35" s="817">
        <f t="shared" si="0"/>
        <v>3443</v>
      </c>
      <c r="E35" s="813">
        <v>1331.8</v>
      </c>
      <c r="F35" s="818">
        <f t="shared" si="1"/>
        <v>0.27892267738962889</v>
      </c>
      <c r="G35" s="766">
        <f>IF('Entries April 2026'!K32&lt;'Entries April 2026'!K31,"0",IF('Entries April 2026'!K32&gt;='Entries April 2026'!K31,'Entries April 2026'!K32-'Entries April 2026'!K31,(999999-'Entries April 2026'!K31)+'Entries April 2026'!K32+1))</f>
        <v>0</v>
      </c>
      <c r="H35" s="743">
        <f t="shared" si="2"/>
        <v>4774.8</v>
      </c>
      <c r="I35" s="766">
        <f>'Water '!Z32*10</f>
        <v>1830</v>
      </c>
      <c r="J35" s="743">
        <f>IF('Entries April 2026'!B32-'Entries April 2026'!B31&lt;1,"0",'Entries April 2026'!B32-'Entries April 2026'!B31)</f>
        <v>1200</v>
      </c>
      <c r="K35" s="745">
        <f>'CO2'!E32</f>
        <v>0</v>
      </c>
      <c r="L35" s="746">
        <f>+'PROD.FIG. '!F30</f>
        <v>0</v>
      </c>
      <c r="M35" s="743">
        <f>+'PROD.FIG. '!C30</f>
        <v>0</v>
      </c>
      <c r="N35" s="743">
        <f>+'PROD.FIG. '!D30</f>
        <v>0</v>
      </c>
      <c r="O35" s="743">
        <f>+'PROD.FIG. '!E30</f>
        <v>0</v>
      </c>
      <c r="P35" s="747">
        <v>0</v>
      </c>
      <c r="Q35" s="405">
        <f t="shared" si="3"/>
        <v>0</v>
      </c>
      <c r="R35" s="405">
        <f t="shared" si="4"/>
        <v>0</v>
      </c>
      <c r="S35" s="405">
        <f t="shared" si="5"/>
        <v>0</v>
      </c>
      <c r="T35" s="405">
        <f t="shared" si="6"/>
        <v>0</v>
      </c>
    </row>
    <row r="36" spans="1:32" s="35" customFormat="1" ht="15" x14ac:dyDescent="0.2">
      <c r="A36" s="742">
        <v>27</v>
      </c>
      <c r="B36" s="742">
        <f>IF('Entries April 2026'!I33&lt;'Entries April 2026'!I32,"0",(IF('Entries April 2026'!I33&gt;='Entries April 2026'!I32,'Entries April 2026'!I33-'Entries April 2026'!I32,(999999-'Entries April 2026'!I32)+'Entries April 2026'!I33+1)))</f>
        <v>6546</v>
      </c>
      <c r="C36" s="742" t="str">
        <f>IF('Entries April 2026'!J33&lt;='Entries April 2026'!J32,"0",IF('Entries April 2026'!J33&gt;='Entries April 2026'!J32,'Entries April 2026'!J33-'Entries April 2026'!J32,(999999-'Entries April 2026'!J32)+'Entries April 2026'!J33+1))</f>
        <v>0</v>
      </c>
      <c r="D36" s="743">
        <f t="shared" si="0"/>
        <v>6546</v>
      </c>
      <c r="E36" s="812">
        <v>1482.7</v>
      </c>
      <c r="F36" s="744">
        <f t="shared" si="1"/>
        <v>0.18467497851457895</v>
      </c>
      <c r="G36" s="766">
        <f>IF('Entries April 2026'!K33&lt;'Entries April 2026'!K32,"0",IF('Entries April 2026'!K33&gt;='Entries April 2026'!K32,'Entries April 2026'!K33-'Entries April 2026'!K32,(999999-'Entries April 2026'!K32)+'Entries April 2026'!K33+1))</f>
        <v>0</v>
      </c>
      <c r="H36" s="743">
        <f t="shared" si="2"/>
        <v>8028.7</v>
      </c>
      <c r="I36" s="766">
        <f>'Water '!Z33*10</f>
        <v>3620</v>
      </c>
      <c r="J36" s="743">
        <f>IF('Entries April 2026'!B33-'Entries April 2026'!B32&lt;1,"0",'Entries April 2026'!B33-'Entries April 2026'!B32)</f>
        <v>3290</v>
      </c>
      <c r="K36" s="745">
        <f>'CO2'!E33</f>
        <v>1600</v>
      </c>
      <c r="L36" s="746">
        <f>+'PROD.FIG. '!F31</f>
        <v>0</v>
      </c>
      <c r="M36" s="743">
        <f>+'PROD.FIG. '!C31</f>
        <v>0</v>
      </c>
      <c r="N36" s="743">
        <f>+'PROD.FIG. '!D31</f>
        <v>0</v>
      </c>
      <c r="O36" s="743">
        <f>+'PROD.FIG. '!E31</f>
        <v>0</v>
      </c>
      <c r="P36" s="747">
        <v>390.45600000000002</v>
      </c>
      <c r="Q36" s="405">
        <f t="shared" si="3"/>
        <v>20.562368102936052</v>
      </c>
      <c r="R36" s="405">
        <f t="shared" si="4"/>
        <v>9.271211096768905</v>
      </c>
      <c r="S36" s="405">
        <f t="shared" si="5"/>
        <v>8.4260454443010229</v>
      </c>
      <c r="T36" s="405">
        <f t="shared" si="6"/>
        <v>4.0977728604503447</v>
      </c>
    </row>
    <row r="37" spans="1:32" ht="15" x14ac:dyDescent="0.2">
      <c r="A37" s="742">
        <v>28</v>
      </c>
      <c r="B37" s="742">
        <f>IF('Entries April 2026'!I34&lt;'Entries April 2026'!I33,"0",(IF('Entries April 2026'!I34&gt;='Entries April 2026'!I33,'Entries April 2026'!I34-'Entries April 2026'!I33,(999999-'Entries April 2026'!I33)+'Entries April 2026'!I34+1)))</f>
        <v>5953</v>
      </c>
      <c r="C37" s="742" t="str">
        <f>IF('Entries April 2026'!J34&lt;='Entries April 2026'!J33,"0",IF('Entries April 2026'!J34&gt;='Entries April 2026'!J33,'Entries April 2026'!J34-'Entries April 2026'!J33,(999999-'Entries April 2026'!J33)+'Entries April 2026'!J34+1))</f>
        <v>0</v>
      </c>
      <c r="D37" s="743">
        <f t="shared" si="0"/>
        <v>5953</v>
      </c>
      <c r="E37" s="812">
        <v>1388.9</v>
      </c>
      <c r="F37" s="744">
        <f t="shared" si="1"/>
        <v>0.18917446437570659</v>
      </c>
      <c r="G37" s="766">
        <f>IF('Entries April 2026'!K34&lt;'Entries April 2026'!K33,"0",IF('Entries April 2026'!K34&gt;='Entries April 2026'!K33,'Entries April 2026'!K34-'Entries April 2026'!K33,(999999-'Entries April 2026'!K33)+'Entries April 2026'!K34+1))</f>
        <v>0</v>
      </c>
      <c r="H37" s="743">
        <f t="shared" si="2"/>
        <v>7341.9</v>
      </c>
      <c r="I37" s="766">
        <f>'Water '!Z34*10</f>
        <v>3320</v>
      </c>
      <c r="J37" s="743">
        <f>IF('Entries April 2026'!B34-'Entries April 2026'!B33&lt;1,"0",'Entries April 2026'!B34-'Entries April 2026'!B33)</f>
        <v>3050</v>
      </c>
      <c r="K37" s="745">
        <f>'CO2'!E34</f>
        <v>2900</v>
      </c>
      <c r="L37" s="746">
        <f>+'PROD.FIG. '!F32</f>
        <v>0</v>
      </c>
      <c r="M37" s="743">
        <f>+'PROD.FIG. '!C32</f>
        <v>0</v>
      </c>
      <c r="N37" s="743">
        <f>+'PROD.FIG. '!D32</f>
        <v>0</v>
      </c>
      <c r="O37" s="743">
        <f>+'PROD.FIG. '!E32</f>
        <v>0</v>
      </c>
      <c r="P37" s="747">
        <v>452.49600000000004</v>
      </c>
      <c r="Q37" s="405">
        <f t="shared" si="3"/>
        <v>16.225336798557333</v>
      </c>
      <c r="R37" s="405">
        <f t="shared" si="4"/>
        <v>7.3370814327640463</v>
      </c>
      <c r="S37" s="405">
        <f t="shared" si="5"/>
        <v>6.7403910752802227</v>
      </c>
      <c r="T37" s="405">
        <f t="shared" si="6"/>
        <v>6.4088964322336546</v>
      </c>
    </row>
    <row r="38" spans="1:32" s="35" customFormat="1" ht="15" x14ac:dyDescent="0.2">
      <c r="A38" s="742">
        <v>29</v>
      </c>
      <c r="B38" s="742">
        <f>IF('Entries April 2026'!I35&lt;'Entries April 2026'!I34,"0",(IF('Entries April 2026'!I35&gt;='Entries April 2026'!I34,'Entries April 2026'!I35-'Entries April 2026'!I34,(999999-'Entries April 2026'!I34)+'Entries April 2026'!I35+1)))</f>
        <v>6553</v>
      </c>
      <c r="C38" s="742" t="str">
        <f>IF('Entries April 2026'!J35&lt;='Entries April 2026'!J34,"0",IF('Entries April 2026'!J35&gt;='Entries April 2026'!J34,'Entries April 2026'!J35-'Entries April 2026'!J34,(999999-'Entries April 2026'!J34)+'Entries April 2026'!J35+1))</f>
        <v>0</v>
      </c>
      <c r="D38" s="743">
        <f t="shared" ref="D38:D40" si="7">B38+C38</f>
        <v>6553</v>
      </c>
      <c r="E38" s="812">
        <v>1613.3</v>
      </c>
      <c r="F38" s="744">
        <f t="shared" si="1"/>
        <v>0.19755580862814248</v>
      </c>
      <c r="G38" s="766">
        <f>IF('Entries April 2026'!K35&lt;'Entries April 2026'!K34,"0",IF('Entries April 2026'!K35&gt;='Entries April 2026'!K34,'Entries April 2026'!K35-'Entries April 2026'!K34,(999999-'Entries April 2026'!K34)+'Entries April 2026'!K35+1))</f>
        <v>0</v>
      </c>
      <c r="H38" s="743">
        <f t="shared" si="2"/>
        <v>8166.3</v>
      </c>
      <c r="I38" s="766">
        <f>'Water '!Z35*10</f>
        <v>3530</v>
      </c>
      <c r="J38" s="743">
        <f>IF('Entries April 2026'!B35-'Entries April 2026'!B34&lt;1,"0",'Entries April 2026'!B35-'Entries April 2026'!B34)</f>
        <v>3140</v>
      </c>
      <c r="K38" s="745">
        <f>'CO2'!E35</f>
        <v>2800</v>
      </c>
      <c r="L38" s="746">
        <f>+'PROD.FIG. '!F33</f>
        <v>0</v>
      </c>
      <c r="M38" s="743">
        <f>+'PROD.FIG. '!C33</f>
        <v>0</v>
      </c>
      <c r="N38" s="743">
        <f>+'PROD.FIG. '!D33</f>
        <v>0</v>
      </c>
      <c r="O38" s="743">
        <f>+'PROD.FIG. '!E33</f>
        <v>0</v>
      </c>
      <c r="P38" s="747">
        <v>570.17399999999998</v>
      </c>
      <c r="Q38" s="405">
        <f t="shared" si="3"/>
        <v>14.322469982847343</v>
      </c>
      <c r="R38" s="405">
        <f t="shared" si="4"/>
        <v>6.1910925436796491</v>
      </c>
      <c r="S38" s="405">
        <f t="shared" si="5"/>
        <v>5.5070908178906794</v>
      </c>
      <c r="T38" s="405">
        <f t="shared" si="6"/>
        <v>4.9107816210490132</v>
      </c>
    </row>
    <row r="39" spans="1:32" ht="15" x14ac:dyDescent="0.2">
      <c r="A39" s="742">
        <v>30</v>
      </c>
      <c r="B39" s="742">
        <f>IF('Entries April 2026'!I36&lt;'Entries April 2026'!I35,"0",(IF('Entries April 2026'!I36&gt;='Entries April 2026'!I35,'Entries April 2026'!I36-'Entries April 2026'!I35,(999999-'Entries April 2026'!I35)+'Entries April 2026'!I36+1)))</f>
        <v>6457</v>
      </c>
      <c r="C39" s="742" t="str">
        <f>IF('Entries April 2026'!J36&lt;='Entries April 2026'!J35,"0",IF('Entries April 2026'!J36&gt;='Entries April 2026'!J35,'Entries April 2026'!J36-'Entries April 2026'!J35,(999999-'Entries April 2026'!J35)+'Entries April 2026'!J36+1))</f>
        <v>0</v>
      </c>
      <c r="D39" s="743">
        <f t="shared" si="7"/>
        <v>6457</v>
      </c>
      <c r="E39" s="812">
        <v>1713.9</v>
      </c>
      <c r="F39" s="744">
        <f t="shared" si="1"/>
        <v>0.20975657516307875</v>
      </c>
      <c r="G39" s="766">
        <f>IF('Entries April 2026'!K36&lt;'Entries April 2026'!K35,"0",IF('Entries April 2026'!K36&gt;='Entries April 2026'!K35,'Entries April 2026'!K36-'Entries April 2026'!K35,(999999-'Entries April 2026'!K35)+'Entries April 2026'!K36+1))</f>
        <v>0</v>
      </c>
      <c r="H39" s="743">
        <f t="shared" si="2"/>
        <v>8170.9</v>
      </c>
      <c r="I39" s="766">
        <f>'Water '!Z36*10</f>
        <v>4310</v>
      </c>
      <c r="J39" s="743">
        <f>IF('Entries April 2026'!B36-'Entries April 2026'!B35&lt;1,"0",'Entries April 2026'!B36-'Entries April 2026'!B35)</f>
        <v>3130</v>
      </c>
      <c r="K39" s="745">
        <f>'CO2'!E36</f>
        <v>2000</v>
      </c>
      <c r="L39" s="746">
        <f>+'PROD.FIG. '!F34</f>
        <v>0</v>
      </c>
      <c r="M39" s="743">
        <f>+'PROD.FIG. '!C34</f>
        <v>0</v>
      </c>
      <c r="N39" s="743">
        <f>+'PROD.FIG. '!D34</f>
        <v>0</v>
      </c>
      <c r="O39" s="743">
        <f>+'PROD.FIG. '!E34</f>
        <v>0</v>
      </c>
      <c r="P39" s="747">
        <v>407.74800000000005</v>
      </c>
      <c r="Q39" s="405">
        <f t="shared" si="3"/>
        <v>20.039092772987235</v>
      </c>
      <c r="R39" s="405">
        <f t="shared" si="4"/>
        <v>10.570254176599271</v>
      </c>
      <c r="S39" s="405">
        <f t="shared" si="5"/>
        <v>7.6763098776695404</v>
      </c>
      <c r="T39" s="405">
        <f t="shared" si="6"/>
        <v>4.9049903371690355</v>
      </c>
    </row>
    <row r="40" spans="1:32" s="35" customFormat="1" ht="15.75" thickBot="1" x14ac:dyDescent="0.25">
      <c r="A40" s="742"/>
      <c r="B40" s="742" t="str">
        <f>IF('Entries April 2026'!I37&lt;'Entries April 2026'!I36,"0",(IF('Entries April 2026'!I37&gt;='Entries April 2026'!I36,'Entries April 2026'!I37-'Entries April 2026'!I36,(999999-'Entries April 2026'!I36)+'Entries April 2026'!I37+1)))</f>
        <v>0</v>
      </c>
      <c r="C40" s="742" t="str">
        <f>IF('Entries April 2026'!J37&lt;='Entries April 2026'!J36,"0",IF('Entries April 2026'!J37&gt;='Entries April 2026'!J36,'Entries April 2026'!J37-'Entries April 2026'!J36,(999999-'Entries April 2026'!J36)+'Entries April 2026'!J37+1))</f>
        <v>0</v>
      </c>
      <c r="D40" s="743">
        <f t="shared" si="7"/>
        <v>0</v>
      </c>
      <c r="E40" s="761"/>
      <c r="F40" s="762" t="str">
        <f>IF((E40+D40)=0,"0",E40/(D40+E40))</f>
        <v>0</v>
      </c>
      <c r="G40" s="766" t="str">
        <f>IF('Entries April 2026'!K37&lt;'Entries April 2026'!K36,"0",IF('Entries April 2026'!K37&gt;='Entries April 2026'!K36,'Entries April 2026'!K37-'Entries April 2026'!K36,(999999-'Entries April 2026'!K36)+'Entries April 2026'!K37+1))</f>
        <v>0</v>
      </c>
      <c r="H40" s="743">
        <f t="shared" si="2"/>
        <v>0</v>
      </c>
      <c r="I40" s="766">
        <f>'Water '!Z37*10</f>
        <v>0</v>
      </c>
      <c r="J40" s="743" t="str">
        <f>IF('Entries April 2026'!B37-'Entries April 2026'!B36&lt;1,"0",'Entries April 2026'!B37-'Entries April 2026'!B36)</f>
        <v>0</v>
      </c>
      <c r="K40" s="745">
        <f>'CO2'!E37</f>
        <v>0</v>
      </c>
      <c r="L40" s="763"/>
      <c r="M40" s="764"/>
      <c r="N40" s="764"/>
      <c r="O40" s="764"/>
      <c r="P40" s="765"/>
      <c r="Q40" s="406">
        <f t="shared" si="3"/>
        <v>0</v>
      </c>
      <c r="R40" s="405">
        <f t="shared" si="4"/>
        <v>0</v>
      </c>
      <c r="S40" s="405">
        <f t="shared" si="5"/>
        <v>0</v>
      </c>
      <c r="T40" s="405">
        <f t="shared" si="6"/>
        <v>0</v>
      </c>
    </row>
    <row r="41" spans="1:32" ht="15.75" thickBot="1" x14ac:dyDescent="0.25">
      <c r="A41" s="25"/>
      <c r="B41" s="396"/>
      <c r="C41" s="396"/>
      <c r="D41" s="5"/>
      <c r="E41" s="723"/>
      <c r="F41" s="753"/>
      <c r="G41" s="5"/>
      <c r="H41" s="5"/>
      <c r="I41" s="6"/>
      <c r="J41" s="6"/>
      <c r="K41" s="6"/>
      <c r="L41" s="6"/>
      <c r="M41" s="6"/>
      <c r="N41" s="6"/>
      <c r="O41" s="6"/>
      <c r="P41" s="413"/>
      <c r="Q41" s="425" t="s">
        <v>85</v>
      </c>
      <c r="R41" s="426"/>
      <c r="S41" s="426"/>
      <c r="T41" s="427"/>
    </row>
    <row r="42" spans="1:32" ht="15.75" x14ac:dyDescent="0.25">
      <c r="A42" s="6"/>
      <c r="B42" s="6"/>
      <c r="C42" s="6"/>
      <c r="D42" s="27" t="s">
        <v>21</v>
      </c>
      <c r="E42" s="724"/>
      <c r="F42" s="753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14" t="s">
        <v>20</v>
      </c>
      <c r="Q42" s="417" t="s">
        <v>14</v>
      </c>
      <c r="R42" s="418" t="s">
        <v>15</v>
      </c>
      <c r="S42" s="418" t="s">
        <v>9</v>
      </c>
      <c r="T42" s="419" t="s">
        <v>66</v>
      </c>
    </row>
    <row r="43" spans="1:32" ht="15.75" x14ac:dyDescent="0.25">
      <c r="A43" s="19" t="s">
        <v>19</v>
      </c>
      <c r="B43" s="19"/>
      <c r="C43" s="19"/>
      <c r="D43" s="20">
        <f>SUM(D10:D40)</f>
        <v>153495</v>
      </c>
      <c r="E43" s="771">
        <f>SUM(E10:E40)</f>
        <v>42857.200000000012</v>
      </c>
      <c r="F43" s="811">
        <f>IF((E43+D43)=0,"0",E43/(D43+E43))</f>
        <v>0.21826697128934644</v>
      </c>
      <c r="G43" s="20">
        <f t="shared" ref="G43:P43" si="8">SUM(G10:G40)</f>
        <v>0</v>
      </c>
      <c r="H43" s="20">
        <f t="shared" si="8"/>
        <v>196352.19999999998</v>
      </c>
      <c r="I43" s="20">
        <f t="shared" si="8"/>
        <v>77010</v>
      </c>
      <c r="J43" s="20">
        <f t="shared" si="8"/>
        <v>66450</v>
      </c>
      <c r="K43" s="20">
        <f t="shared" si="8"/>
        <v>43100</v>
      </c>
      <c r="L43" s="20">
        <f t="shared" si="8"/>
        <v>0</v>
      </c>
      <c r="M43" s="20">
        <f t="shared" si="8"/>
        <v>0</v>
      </c>
      <c r="N43" s="20">
        <f t="shared" si="8"/>
        <v>0</v>
      </c>
      <c r="O43" s="20">
        <f t="shared" si="8"/>
        <v>0</v>
      </c>
      <c r="P43" s="415">
        <f t="shared" si="8"/>
        <v>7992.8639999999996</v>
      </c>
      <c r="Q43" s="420" t="s">
        <v>13</v>
      </c>
      <c r="R43" s="421" t="s">
        <v>64</v>
      </c>
      <c r="S43" s="421" t="s">
        <v>16</v>
      </c>
      <c r="T43" s="422" t="s">
        <v>67</v>
      </c>
    </row>
    <row r="44" spans="1:32" ht="17.25" thickBot="1" x14ac:dyDescent="0.3">
      <c r="A44" s="4"/>
      <c r="B44" s="4"/>
      <c r="C44" s="4"/>
      <c r="D44" s="750" t="s">
        <v>244</v>
      </c>
      <c r="E44" s="751">
        <f>D43+E43</f>
        <v>196352.2</v>
      </c>
      <c r="F44" s="730"/>
      <c r="G44" s="7"/>
      <c r="H44" s="407"/>
      <c r="I44" s="6"/>
      <c r="J44" s="6"/>
      <c r="K44" s="6"/>
      <c r="L44" s="6"/>
      <c r="M44" s="6"/>
      <c r="N44" s="6"/>
      <c r="O44" s="6"/>
      <c r="P44" s="413"/>
      <c r="Q44" s="409">
        <f>IF(P43=0,0,H43/P43)</f>
        <v>24.565937816532347</v>
      </c>
      <c r="R44" s="410">
        <f>IF(Q44=0,0,I43/P43)</f>
        <v>9.63484428109874</v>
      </c>
      <c r="S44" s="410">
        <f>IF(R44=0,0,J43/P43)</f>
        <v>8.3136657898845776</v>
      </c>
      <c r="T44" s="411">
        <f>IF(S44=0,0,K43/P43)</f>
        <v>5.3923099404668964</v>
      </c>
    </row>
    <row r="45" spans="1:32" ht="15" x14ac:dyDescent="0.2">
      <c r="A45" s="2"/>
      <c r="B45" s="2"/>
      <c r="C45" s="2"/>
      <c r="D45" s="2"/>
      <c r="E45" s="725"/>
      <c r="F45" s="731"/>
      <c r="G45" s="2"/>
      <c r="H45" s="408"/>
      <c r="I45" s="2"/>
      <c r="J45" s="2"/>
      <c r="K45" s="2"/>
      <c r="L45" s="2"/>
      <c r="M45" s="2"/>
      <c r="N45" s="2"/>
      <c r="O45" s="2"/>
      <c r="P45" s="416"/>
      <c r="Q45" s="423"/>
      <c r="R45" s="6"/>
      <c r="S45" s="6"/>
      <c r="T45" s="2"/>
    </row>
    <row r="46" spans="1:32" ht="15" x14ac:dyDescent="0.2">
      <c r="H46" s="408"/>
      <c r="Q46" s="424"/>
      <c r="R46" s="2"/>
      <c r="S46" s="2"/>
      <c r="T46" s="2"/>
    </row>
    <row r="47" spans="1:32" x14ac:dyDescent="0.2">
      <c r="D47" s="875"/>
      <c r="E47" s="875"/>
      <c r="F47" s="875"/>
      <c r="G47" s="875"/>
      <c r="H47" s="875"/>
      <c r="I47" s="875"/>
      <c r="AF47" t="s">
        <v>58</v>
      </c>
    </row>
    <row r="49" spans="4:32" x14ac:dyDescent="0.2">
      <c r="G49" t="s">
        <v>58</v>
      </c>
    </row>
    <row r="50" spans="4:32" x14ac:dyDescent="0.2">
      <c r="D50" s="81" t="s">
        <v>58</v>
      </c>
      <c r="E50" s="726"/>
      <c r="F50" s="732"/>
      <c r="AF50" s="81" t="s">
        <v>58</v>
      </c>
    </row>
    <row r="54" spans="4:32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A35" sqref="A35:B35"/>
    </sheetView>
  </sheetViews>
  <sheetFormatPr defaultRowHeight="12.75" x14ac:dyDescent="0.2"/>
  <cols>
    <col min="2" max="2" width="13.28515625" customWidth="1"/>
    <col min="3" max="3" width="9.140625" style="344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91" t="s">
        <v>7</v>
      </c>
      <c r="B3" s="893" t="s">
        <v>238</v>
      </c>
    </row>
    <row r="4" spans="1:4" ht="15" customHeight="1" x14ac:dyDescent="0.2">
      <c r="A4" s="892"/>
      <c r="B4" s="894"/>
    </row>
    <row r="5" spans="1:4" ht="15" x14ac:dyDescent="0.2">
      <c r="A5" s="36">
        <v>1</v>
      </c>
      <c r="B5" s="44">
        <f>IF('Entries April 2026'!AJ7-'Entries April 2026'!AJ6&lt;1,"0",'Entries April 2026'!AJ7-'Entries April 2026'!AJ6)</f>
        <v>529.10800000000745</v>
      </c>
      <c r="D5" s="345"/>
    </row>
    <row r="6" spans="1:4" ht="15" x14ac:dyDescent="0.2">
      <c r="A6" s="36">
        <v>2</v>
      </c>
      <c r="B6" s="44" t="str">
        <f>IF('Entries April 2026'!AJ8-'Entries April 2026'!AJ7&lt;1,"0",'Entries April 2026'!AJ8-'Entries April 2026'!AJ7)</f>
        <v>0</v>
      </c>
      <c r="D6" s="345"/>
    </row>
    <row r="7" spans="1:4" ht="15" x14ac:dyDescent="0.2">
      <c r="A7" s="36">
        <v>3</v>
      </c>
      <c r="B7" s="44" t="str">
        <f>IF('Entries April 2026'!AJ9-'Entries April 2026'!AJ8&lt;1,"0",'Entries April 2026'!AJ9-'Entries April 2026'!AJ8)</f>
        <v>0</v>
      </c>
      <c r="D7" s="345"/>
    </row>
    <row r="8" spans="1:4" ht="15" x14ac:dyDescent="0.2">
      <c r="A8" s="36">
        <v>4</v>
      </c>
      <c r="B8" s="44" t="str">
        <f>IF('Entries April 2026'!AJ10-'Entries April 2026'!AJ9&lt;1,"0",'Entries April 2026'!AJ10-'Entries April 2026'!AJ9)</f>
        <v>0</v>
      </c>
      <c r="D8" s="345"/>
    </row>
    <row r="9" spans="1:4" ht="15" customHeight="1" x14ac:dyDescent="0.2">
      <c r="A9" s="36">
        <v>5</v>
      </c>
      <c r="B9" s="44" t="str">
        <f>IF('Entries April 2026'!AJ11-'Entries April 2026'!AJ10&lt;1,"0",'Entries April 2026'!AJ11-'Entries April 2026'!AJ10)</f>
        <v>0</v>
      </c>
      <c r="D9" s="345"/>
    </row>
    <row r="10" spans="1:4" ht="15" x14ac:dyDescent="0.2">
      <c r="A10" s="36">
        <v>6</v>
      </c>
      <c r="B10" s="44" t="str">
        <f>IF('Entries April 2026'!AJ12-'Entries April 2026'!AJ11&lt;1,"0",'Entries April 2026'!AJ12-'Entries April 2026'!AJ11)</f>
        <v>0</v>
      </c>
      <c r="D10" s="345"/>
    </row>
    <row r="11" spans="1:4" ht="15" x14ac:dyDescent="0.2">
      <c r="A11" s="36">
        <v>7</v>
      </c>
      <c r="B11" s="44">
        <f>IF('Entries April 2026'!AJ13-'Entries April 2026'!AJ12&lt;1,"0",'Entries April 2026'!AJ13-'Entries April 2026'!AJ12)</f>
        <v>427.66600000020117</v>
      </c>
      <c r="D11" s="345"/>
    </row>
    <row r="12" spans="1:4" ht="15" x14ac:dyDescent="0.2">
      <c r="A12" s="36">
        <v>8</v>
      </c>
      <c r="B12" s="44" t="str">
        <f>IF('Entries April 2026'!AJ14-'Entries April 2026'!AJ13&lt;1,"0",'Entries April 2026'!AJ14-'Entries April 2026'!AJ13)</f>
        <v>0</v>
      </c>
      <c r="D12" s="345"/>
    </row>
    <row r="13" spans="1:4" ht="15" x14ac:dyDescent="0.2">
      <c r="A13" s="36">
        <v>9</v>
      </c>
      <c r="B13" s="44" t="str">
        <f>IF('Entries April 2026'!AJ15-'Entries April 2026'!AJ14&lt;1,"0",'Entries April 2026'!AJ15-'Entries April 2026'!AJ14)</f>
        <v>0</v>
      </c>
      <c r="D13" s="345"/>
    </row>
    <row r="14" spans="1:4" ht="15" x14ac:dyDescent="0.2">
      <c r="A14" s="36">
        <v>10</v>
      </c>
      <c r="B14" s="44" t="str">
        <f>IF('Entries April 2026'!AJ16-'Entries April 2026'!AJ15&lt;1,"0",'Entries April 2026'!AJ16-'Entries April 2026'!AJ15)</f>
        <v>0</v>
      </c>
      <c r="D14" s="345"/>
    </row>
    <row r="15" spans="1:4" ht="15" x14ac:dyDescent="0.2">
      <c r="A15" s="36">
        <v>11</v>
      </c>
      <c r="B15" s="44" t="str">
        <f>IF('Entries April 2026'!AJ17-'Entries April 2026'!AJ16&lt;1,"0",'Entries April 2026'!AJ17-'Entries April 2026'!AJ16)</f>
        <v>0</v>
      </c>
      <c r="D15" s="345"/>
    </row>
    <row r="16" spans="1:4" ht="15" x14ac:dyDescent="0.2">
      <c r="A16" s="36">
        <v>12</v>
      </c>
      <c r="B16" s="44" t="str">
        <f>IF('Entries April 2026'!AJ18-'Entries April 2026'!AJ17&lt;1,"0",'Entries April 2026'!AJ18-'Entries April 2026'!AJ17)</f>
        <v>0</v>
      </c>
      <c r="D16" s="345"/>
    </row>
    <row r="17" spans="1:4" ht="15" x14ac:dyDescent="0.2">
      <c r="A17" s="36">
        <v>13</v>
      </c>
      <c r="B17" s="44" t="str">
        <f>IF('Entries April 2026'!AJ19-'Entries April 2026'!AJ18&lt;1,"0",'Entries April 2026'!AJ19-'Entries April 2026'!AJ18)</f>
        <v>0</v>
      </c>
      <c r="D17" s="345"/>
    </row>
    <row r="18" spans="1:4" ht="15" x14ac:dyDescent="0.2">
      <c r="A18" s="36">
        <v>14</v>
      </c>
      <c r="B18" s="44">
        <f>IF('Entries April 2026'!AJ20-'Entries April 2026'!AJ19&lt;1,"0",'Entries April 2026'!AJ20-'Entries April 2026'!AJ19)</f>
        <v>261.43900000024587</v>
      </c>
      <c r="D18" s="345"/>
    </row>
    <row r="19" spans="1:4" ht="15" x14ac:dyDescent="0.2">
      <c r="A19" s="36">
        <v>15</v>
      </c>
      <c r="B19" s="44" t="str">
        <f>IF('Entries April 2026'!AJ21-'Entries April 2026'!AJ20&lt;1,"0",'Entries April 2026'!AJ21-'Entries April 2026'!AJ20)</f>
        <v>0</v>
      </c>
      <c r="D19" s="345"/>
    </row>
    <row r="20" spans="1:4" ht="15" x14ac:dyDescent="0.2">
      <c r="A20" s="36">
        <v>16</v>
      </c>
      <c r="B20" s="44">
        <f>IF('Entries April 2026'!AJ22-'Entries April 2026'!AJ21&lt;1,"0",'Entries April 2026'!AJ22-'Entries April 2026'!AJ21)</f>
        <v>25.015999999828637</v>
      </c>
      <c r="D20" s="345"/>
    </row>
    <row r="21" spans="1:4" ht="15" x14ac:dyDescent="0.2">
      <c r="A21" s="36">
        <v>17</v>
      </c>
      <c r="B21" s="44">
        <f>IF('Entries April 2026'!AJ23-'Entries April 2026'!AJ22&lt;1,"0",'Entries April 2026'!AJ23-'Entries April 2026'!AJ22)</f>
        <v>36.673999999649823</v>
      </c>
      <c r="D21" s="345"/>
    </row>
    <row r="22" spans="1:4" ht="15" x14ac:dyDescent="0.2">
      <c r="A22" s="36">
        <v>18</v>
      </c>
      <c r="B22" s="44" t="str">
        <f>IF('Entries April 2026'!AJ24-'Entries April 2026'!AJ23&lt;1,"0",'Entries April 2026'!AJ24-'Entries April 2026'!AJ23)</f>
        <v>0</v>
      </c>
      <c r="D22" s="345"/>
    </row>
    <row r="23" spans="1:4" ht="15" x14ac:dyDescent="0.2">
      <c r="A23" s="36">
        <v>19</v>
      </c>
      <c r="B23" s="44" t="str">
        <f>IF('Entries April 2026'!AJ25-'Entries April 2026'!AJ24&lt;1,"0",'Entries April 2026'!AJ25-'Entries April 2026'!AJ24)</f>
        <v>0</v>
      </c>
      <c r="D23" s="345"/>
    </row>
    <row r="24" spans="1:4" ht="15" x14ac:dyDescent="0.2">
      <c r="A24" s="36">
        <v>20</v>
      </c>
      <c r="B24" s="44" t="str">
        <f>IF('Entries April 2026'!AJ26-'Entries April 2026'!AJ25&lt;1,"0",'Entries April 2026'!AJ26-'Entries April 2026'!AJ25)</f>
        <v>0</v>
      </c>
      <c r="D24" s="345"/>
    </row>
    <row r="25" spans="1:4" ht="15" x14ac:dyDescent="0.2">
      <c r="A25" s="36">
        <v>21</v>
      </c>
      <c r="B25" s="44">
        <f>IF('Entries April 2026'!AJ27-'Entries April 2026'!AJ26&lt;1,"0",'Entries April 2026'!AJ27-'Entries April 2026'!AJ26)</f>
        <v>429.26600000075996</v>
      </c>
      <c r="D25" s="345"/>
    </row>
    <row r="26" spans="1:4" ht="15" x14ac:dyDescent="0.2">
      <c r="A26" s="36">
        <v>22</v>
      </c>
      <c r="B26" s="44" t="str">
        <f>IF('Entries April 2026'!AJ28-'Entries April 2026'!AJ27&lt;1,"0",'Entries April 2026'!AJ28-'Entries April 2026'!AJ27)</f>
        <v>0</v>
      </c>
      <c r="D26" s="345"/>
    </row>
    <row r="27" spans="1:4" ht="15" x14ac:dyDescent="0.2">
      <c r="A27" s="36">
        <v>23</v>
      </c>
      <c r="B27" s="44" t="str">
        <f>IF('Entries April 2026'!AJ29-'Entries April 2026'!AJ28&lt;1,"0",'Entries April 2026'!AJ29-'Entries April 2026'!AJ28)</f>
        <v>0</v>
      </c>
      <c r="D27" s="345"/>
    </row>
    <row r="28" spans="1:4" ht="15" x14ac:dyDescent="0.2">
      <c r="A28" s="36">
        <v>24</v>
      </c>
      <c r="B28" s="44">
        <f>IF('Entries April 2026'!AJ30-'Entries April 2026'!AJ29&lt;1,"0",'Entries April 2026'!AJ30-'Entries April 2026'!AJ29)</f>
        <v>41.915999999269843</v>
      </c>
      <c r="D28" s="345"/>
    </row>
    <row r="29" spans="1:4" ht="15" x14ac:dyDescent="0.2">
      <c r="A29" s="36">
        <v>25</v>
      </c>
      <c r="B29" s="44" t="str">
        <f>IF('Entries April 2026'!AJ31-'Entries April 2026'!AJ30&lt;1,"0",'Entries April 2026'!AJ31-'Entries April 2026'!AJ30)</f>
        <v>0</v>
      </c>
      <c r="D29" s="345"/>
    </row>
    <row r="30" spans="1:4" ht="15" x14ac:dyDescent="0.2">
      <c r="A30" s="36">
        <v>26</v>
      </c>
      <c r="B30" s="44" t="str">
        <f>IF('Entries April 2026'!AJ32-'Entries April 2026'!AJ31&lt;1,"0",'Entries April 2026'!AJ32-'Entries April 2026'!AJ31)</f>
        <v>0</v>
      </c>
      <c r="D30" s="345"/>
    </row>
    <row r="31" spans="1:4" ht="15" x14ac:dyDescent="0.2">
      <c r="A31" s="36">
        <v>27</v>
      </c>
      <c r="B31" s="44" t="str">
        <f>IF('Entries April 2026'!AJ33-'Entries April 2026'!AJ32&lt;1,"0",'Entries April 2026'!AJ33-'Entries April 2026'!AJ32)</f>
        <v>0</v>
      </c>
      <c r="D31" s="345"/>
    </row>
    <row r="32" spans="1:4" ht="15" x14ac:dyDescent="0.2">
      <c r="A32" s="36">
        <v>28</v>
      </c>
      <c r="B32" s="44" t="str">
        <f>IF('Entries April 2026'!AJ34-'Entries April 2026'!AJ33&lt;1,"0",'Entries April 2026'!AJ34-'Entries April 2026'!AJ33)</f>
        <v>0</v>
      </c>
      <c r="D32" s="345"/>
    </row>
    <row r="33" spans="1:2" ht="15" x14ac:dyDescent="0.2">
      <c r="A33" s="36">
        <v>29</v>
      </c>
      <c r="B33" s="44" t="str">
        <f>IF('Entries April 2026'!AJ35-'Entries April 2026'!AJ34&lt;1,"0",'Entries April 2026'!AJ35-'Entries April 2026'!AJ34)</f>
        <v>0</v>
      </c>
    </row>
    <row r="34" spans="1:2" ht="15" x14ac:dyDescent="0.2">
      <c r="A34" s="36">
        <v>30</v>
      </c>
      <c r="B34" s="44" t="str">
        <f>IF('Entries April 2026'!AJ36-'Entries April 2026'!AJ35&lt;1,"0",'Entries April 2026'!AJ36-'Entries April 2026'!AJ35)</f>
        <v>0</v>
      </c>
    </row>
    <row r="35" spans="1:2" ht="15" x14ac:dyDescent="0.2">
      <c r="A35" s="36"/>
      <c r="B35" s="44"/>
    </row>
    <row r="36" spans="1:2" ht="15.75" x14ac:dyDescent="0.25">
      <c r="A36" s="41"/>
      <c r="B36" s="354">
        <f>SUM(B5:B35)</f>
        <v>1751.0849999999627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4" colorId="22" zoomScaleNormal="100" workbookViewId="0">
      <selection activeCell="B38" sqref="B38:C38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56" customWidth="1"/>
    <col min="13" max="13" width="15.5703125" style="8" bestFit="1" customWidth="1"/>
    <col min="14" max="14" width="12.5703125" style="189"/>
    <col min="15" max="15" width="12.5703125" style="8"/>
    <col min="16" max="16" width="12.5703125" style="351"/>
    <col min="17" max="16384" width="12.5703125" style="8"/>
  </cols>
  <sheetData>
    <row r="1" spans="1:16" ht="15.75" x14ac:dyDescent="0.25">
      <c r="A1" s="895" t="s">
        <v>296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01" t="s">
        <v>7</v>
      </c>
      <c r="B4" s="357" t="s">
        <v>27</v>
      </c>
      <c r="C4" s="358" t="s">
        <v>27</v>
      </c>
      <c r="D4" s="358" t="s">
        <v>24</v>
      </c>
      <c r="E4" s="358" t="s">
        <v>24</v>
      </c>
      <c r="F4" s="358" t="s">
        <v>38</v>
      </c>
      <c r="G4" s="358" t="s">
        <v>39</v>
      </c>
      <c r="H4" s="358" t="s">
        <v>40</v>
      </c>
      <c r="I4" s="358" t="s">
        <v>41</v>
      </c>
      <c r="J4" s="358" t="s">
        <v>42</v>
      </c>
      <c r="K4" s="358" t="s">
        <v>43</v>
      </c>
      <c r="L4" s="897" t="s">
        <v>246</v>
      </c>
      <c r="M4" s="899" t="s">
        <v>249</v>
      </c>
      <c r="N4" s="340"/>
      <c r="O4" s="340"/>
      <c r="P4" s="352"/>
    </row>
    <row r="5" spans="1:16" s="73" customFormat="1" ht="16.5" thickBot="1" x14ac:dyDescent="0.3">
      <c r="A5" s="902"/>
      <c r="B5" s="364" t="s">
        <v>44</v>
      </c>
      <c r="C5" s="365" t="s">
        <v>34</v>
      </c>
      <c r="D5" s="365" t="s">
        <v>44</v>
      </c>
      <c r="E5" s="365" t="s">
        <v>34</v>
      </c>
      <c r="F5" s="365" t="s">
        <v>44</v>
      </c>
      <c r="G5" s="365" t="s">
        <v>34</v>
      </c>
      <c r="H5" s="365" t="s">
        <v>45</v>
      </c>
      <c r="I5" s="365" t="s">
        <v>45</v>
      </c>
      <c r="J5" s="365" t="s">
        <v>46</v>
      </c>
      <c r="K5" s="365" t="s">
        <v>47</v>
      </c>
      <c r="L5" s="898"/>
      <c r="M5" s="900"/>
      <c r="N5" s="340"/>
      <c r="O5" s="340"/>
      <c r="P5" s="352"/>
    </row>
    <row r="6" spans="1:16" x14ac:dyDescent="0.2">
      <c r="A6" s="903"/>
      <c r="B6" s="904"/>
      <c r="C6" s="904"/>
      <c r="D6" s="904"/>
      <c r="E6" s="904"/>
      <c r="F6" s="904"/>
      <c r="G6" s="904"/>
      <c r="H6" s="904"/>
      <c r="I6" s="904"/>
      <c r="J6" s="904"/>
      <c r="K6" s="904"/>
      <c r="L6" s="904"/>
      <c r="M6" s="905"/>
      <c r="O6" s="189"/>
      <c r="P6" s="336"/>
    </row>
    <row r="7" spans="1:16" x14ac:dyDescent="0.2">
      <c r="A7" s="767">
        <v>1</v>
      </c>
      <c r="B7" s="785">
        <f>IF('Entries April 2026'!B7-'Entries April 2026'!B6&lt;1,"0",'Entries April 2026'!B7-'Entries April 2026'!B6)</f>
        <v>2700</v>
      </c>
      <c r="C7" s="768">
        <f>IF('Entries April 2026'!F7-'Entries April 2026'!F6&lt;1,"0",'Entries April 2026'!F7-'Entries April 2026'!F6)</f>
        <v>17.199999999998909</v>
      </c>
      <c r="D7" s="768">
        <f>IF('Entries April 2026'!C6=0,0,+'Entries April 2026'!C6-'Entries April 2026'!#REF!)</f>
        <v>0</v>
      </c>
      <c r="E7" s="768" t="str">
        <f>IF('Entries April 2026'!G7-'Entries April 2026'!G6&lt;1,"0",'Entries April 2026'!G7-'Entries April 2026'!G6)</f>
        <v>0</v>
      </c>
      <c r="F7" s="768"/>
      <c r="G7" s="768"/>
      <c r="H7" s="769">
        <f>IF(C7+E7=0,"0", B7/(C7+E7))</f>
        <v>156.97674418605646</v>
      </c>
      <c r="I7" s="769" t="str">
        <f>IF(E7=0,"0", D7/E7)</f>
        <v>0</v>
      </c>
      <c r="J7" s="769" t="str">
        <f>IF(G7=0,"0", F7/G7)</f>
        <v>0</v>
      </c>
      <c r="K7" s="768">
        <f>B7+D7+F7</f>
        <v>2700</v>
      </c>
      <c r="L7" s="786" cm="1">
        <f t="array" ref="L7:L36">IF(TRANSPOSE('Daily KPIs'!B9:AE9)=0,"0",TRANSPOSE('Daily KPIs'!B9:AE9))</f>
        <v>209.55</v>
      </c>
      <c r="M7" s="359">
        <f>IF(L7=0,"0",(K7/L7))</f>
        <v>12.884753042233356</v>
      </c>
      <c r="O7" s="335"/>
      <c r="P7" s="335"/>
    </row>
    <row r="8" spans="1:16" x14ac:dyDescent="0.2">
      <c r="A8" s="767">
        <v>2</v>
      </c>
      <c r="B8" s="785">
        <f>IF('Entries April 2026'!B8-'Entries April 2026'!B7&lt;1,"0",'Entries April 2026'!B8-'Entries April 2026'!B7)</f>
        <v>2450</v>
      </c>
      <c r="C8" s="768">
        <f>IF('Entries April 2026'!F8-'Entries April 2026'!F7&lt;1,"0",'Entries April 2026'!F8-'Entries April 2026'!F7)</f>
        <v>17.600000000000364</v>
      </c>
      <c r="D8" s="768">
        <f>IF('Entries April 2026'!C7=0,0,+'Entries April 2026'!C7-'Entries April 2026'!C6)</f>
        <v>0</v>
      </c>
      <c r="E8" s="768" t="str">
        <f>IF('Entries April 2026'!G8-'Entries April 2026'!G7&lt;1,"0",'Entries April 2026'!G8-'Entries April 2026'!G7)</f>
        <v>0</v>
      </c>
      <c r="F8" s="768"/>
      <c r="G8" s="768"/>
      <c r="H8" s="769">
        <f>IF(C8+E8=0,"0", B8/(C8+E8))</f>
        <v>139.20454545454257</v>
      </c>
      <c r="I8" s="769" t="str">
        <f t="shared" ref="I8:I36" si="0">IF(E8=0,"0", D8/E8)</f>
        <v>0</v>
      </c>
      <c r="J8" s="769" t="str">
        <f t="shared" ref="J8:J36" si="1">IF(G8=0,"0", F8/G8)</f>
        <v>0</v>
      </c>
      <c r="K8" s="768">
        <f t="shared" ref="K8:K36" si="2">B8+D8+F8</f>
        <v>2450</v>
      </c>
      <c r="L8" s="770">
        <v>189.28800000000001</v>
      </c>
      <c r="M8" s="359">
        <f t="shared" ref="M8:M36" si="3">IF(L8=0,"0",(K8/L8))</f>
        <v>12.943239930687628</v>
      </c>
      <c r="O8" s="335"/>
      <c r="P8" s="335"/>
    </row>
    <row r="9" spans="1:16" x14ac:dyDescent="0.2">
      <c r="A9" s="767">
        <v>3</v>
      </c>
      <c r="B9" s="785">
        <f>IF('Entries April 2026'!B9-'Entries April 2026'!B8&lt;1,"0",'Entries April 2026'!B9-'Entries April 2026'!B8)</f>
        <v>150</v>
      </c>
      <c r="C9" s="768">
        <f>IF('Entries April 2026'!F9-'Entries April 2026'!F8&lt;1,"0",'Entries April 2026'!F9-'Entries April 2026'!F8)</f>
        <v>1.7000000000007276</v>
      </c>
      <c r="D9" s="768">
        <f>IF('Entries April 2026'!C8=0,0,+'Entries April 2026'!C8-'Entries April 2026'!C7)</f>
        <v>0</v>
      </c>
      <c r="E9" s="768" t="str">
        <f>IF('Entries April 2026'!G9-'Entries April 2026'!G8&lt;1,"0",'Entries April 2026'!G9-'Entries April 2026'!G8)</f>
        <v>0</v>
      </c>
      <c r="F9" s="768"/>
      <c r="G9" s="768"/>
      <c r="H9" s="769">
        <f t="shared" ref="H9:H37" si="4">IF(C9+E9=0,"0", B9/(C9+E9))</f>
        <v>88.2352941176093</v>
      </c>
      <c r="I9" s="769" t="str">
        <f t="shared" si="0"/>
        <v>0</v>
      </c>
      <c r="J9" s="769" t="str">
        <f t="shared" si="1"/>
        <v>0</v>
      </c>
      <c r="K9" s="768">
        <f t="shared" si="2"/>
        <v>150</v>
      </c>
      <c r="L9" s="770" t="str">
        <v>0</v>
      </c>
      <c r="M9" s="359" t="str">
        <f t="shared" si="3"/>
        <v>0</v>
      </c>
      <c r="O9" s="335"/>
      <c r="P9" s="335"/>
    </row>
    <row r="10" spans="1:16" x14ac:dyDescent="0.2">
      <c r="A10" s="787">
        <v>4</v>
      </c>
      <c r="B10" s="788">
        <f>IF('Entries April 2026'!B10-'Entries April 2026'!B9&lt;1,"0",'Entries April 2026'!B10-'Entries April 2026'!B9)</f>
        <v>360</v>
      </c>
      <c r="C10" s="789">
        <f>IF('Entries April 2026'!F10-'Entries April 2026'!F9&lt;1,"0",'Entries April 2026'!F10-'Entries April 2026'!F9)</f>
        <v>2.5</v>
      </c>
      <c r="D10" s="789">
        <f>IF('Entries April 2026'!C11=0,0,+'Entries April 2026'!C11-'Entries April 2026'!C8)</f>
        <v>0</v>
      </c>
      <c r="E10" s="789" t="str">
        <f>IF('Entries April 2026'!G10-'Entries April 2026'!G9&lt;1,"0",'Entries April 2026'!G10-'Entries April 2026'!G9)</f>
        <v>0</v>
      </c>
      <c r="F10" s="789"/>
      <c r="G10" s="789"/>
      <c r="H10" s="790">
        <f t="shared" si="4"/>
        <v>144</v>
      </c>
      <c r="I10" s="790" t="str">
        <f t="shared" si="0"/>
        <v>0</v>
      </c>
      <c r="J10" s="790" t="str">
        <f t="shared" si="1"/>
        <v>0</v>
      </c>
      <c r="K10" s="789">
        <f t="shared" si="2"/>
        <v>360</v>
      </c>
      <c r="L10" s="791" t="str">
        <v>0</v>
      </c>
      <c r="M10" s="359" t="str">
        <f t="shared" si="3"/>
        <v>0</v>
      </c>
      <c r="O10" s="335"/>
      <c r="P10" s="335"/>
    </row>
    <row r="11" spans="1:16" x14ac:dyDescent="0.2">
      <c r="A11" s="792">
        <v>5</v>
      </c>
      <c r="B11" s="788" t="str">
        <f>IF('Entries April 2026'!B11-'Entries April 2026'!B10&lt;1,"0",'Entries April 2026'!B11-'Entries April 2026'!B10)</f>
        <v>0</v>
      </c>
      <c r="C11" s="789" t="str">
        <f>IF('Entries April 2026'!F11-'Entries April 2026'!F10&lt;1,"0",'Entries April 2026'!F11-'Entries April 2026'!F10)</f>
        <v>0</v>
      </c>
      <c r="D11" s="789">
        <f>IF('Entries April 2026'!C10=0,0,+'Entries April 2026'!C10-'Entries April 2026'!C11)</f>
        <v>0</v>
      </c>
      <c r="E11" s="789" t="str">
        <f>IF('Entries April 2026'!G11-'Entries April 2026'!G10&lt;1,"0",'Entries April 2026'!G11-'Entries April 2026'!G10)</f>
        <v>0</v>
      </c>
      <c r="F11" s="789"/>
      <c r="G11" s="789"/>
      <c r="H11" s="790" t="str">
        <f t="shared" si="4"/>
        <v>0</v>
      </c>
      <c r="I11" s="790" t="str">
        <f t="shared" si="0"/>
        <v>0</v>
      </c>
      <c r="J11" s="790" t="str">
        <f t="shared" si="1"/>
        <v>0</v>
      </c>
      <c r="K11" s="789">
        <f t="shared" si="2"/>
        <v>0</v>
      </c>
      <c r="L11" s="791" t="str">
        <v>0</v>
      </c>
      <c r="M11" s="698" t="str">
        <f t="shared" si="3"/>
        <v>0</v>
      </c>
      <c r="O11" s="335"/>
      <c r="P11" s="335"/>
    </row>
    <row r="12" spans="1:16" x14ac:dyDescent="0.2">
      <c r="A12" s="767">
        <v>6</v>
      </c>
      <c r="B12" s="785">
        <f>IF('Entries April 2026'!B12-'Entries April 2026'!B11&lt;1,"0",'Entries April 2026'!B12-'Entries April 2026'!B11)</f>
        <v>780</v>
      </c>
      <c r="C12" s="768">
        <f>IF('Entries April 2026'!F12-'Entries April 2026'!F11&lt;1,"0",'Entries April 2026'!F12-'Entries April 2026'!F11)</f>
        <v>4.6000000000003638</v>
      </c>
      <c r="D12" s="768">
        <f>IF('Entries April 2026'!C12=0,0,+'Entries April 2026'!C12-'Entries April 2026'!C10)</f>
        <v>0</v>
      </c>
      <c r="E12" s="768" t="str">
        <f>IF('Entries April 2026'!G12-'Entries April 2026'!G11&lt;1,"0",'Entries April 2026'!G12-'Entries April 2026'!G11)</f>
        <v>0</v>
      </c>
      <c r="F12" s="768"/>
      <c r="G12" s="768"/>
      <c r="H12" s="769">
        <f t="shared" si="4"/>
        <v>169.56521739129093</v>
      </c>
      <c r="I12" s="769" t="str">
        <f t="shared" si="0"/>
        <v>0</v>
      </c>
      <c r="J12" s="769" t="str">
        <f t="shared" si="1"/>
        <v>0</v>
      </c>
      <c r="K12" s="768">
        <f t="shared" si="2"/>
        <v>780</v>
      </c>
      <c r="L12" s="770" t="str">
        <v>0</v>
      </c>
      <c r="M12" s="359" t="str">
        <f t="shared" si="3"/>
        <v>0</v>
      </c>
      <c r="O12" s="335"/>
      <c r="P12" s="335"/>
    </row>
    <row r="13" spans="1:16" x14ac:dyDescent="0.2">
      <c r="A13" s="767">
        <v>7</v>
      </c>
      <c r="B13" s="785">
        <f>IF('Entries April 2026'!B13-'Entries April 2026'!B12&lt;1,"0",'Entries April 2026'!B13-'Entries April 2026'!B12)</f>
        <v>3230</v>
      </c>
      <c r="C13" s="768">
        <f>IF('Entries April 2026'!F13-'Entries April 2026'!F12&lt;1,"0",'Entries April 2026'!F13-'Entries April 2026'!F12)</f>
        <v>20.899999999999636</v>
      </c>
      <c r="D13" s="768">
        <f>IF('Entries April 2026'!C13=0,0,+'Entries April 2026'!C13-'Entries April 2026'!C11)</f>
        <v>0</v>
      </c>
      <c r="E13" s="768" t="str">
        <f>IF('Entries April 2026'!G13-'Entries April 2026'!G12&lt;1,"0",'Entries April 2026'!G13-'Entries April 2026'!G12)</f>
        <v>0</v>
      </c>
      <c r="F13" s="768"/>
      <c r="G13" s="768"/>
      <c r="H13" s="769">
        <f t="shared" si="4"/>
        <v>154.54545454545723</v>
      </c>
      <c r="I13" s="769" t="str">
        <f t="shared" si="0"/>
        <v>0</v>
      </c>
      <c r="J13" s="769" t="str">
        <f t="shared" si="1"/>
        <v>0</v>
      </c>
      <c r="K13" s="768">
        <f t="shared" si="2"/>
        <v>3230</v>
      </c>
      <c r="L13" s="770">
        <v>71.14800000000001</v>
      </c>
      <c r="M13" s="359">
        <f t="shared" si="3"/>
        <v>45.398324619103832</v>
      </c>
      <c r="O13" s="335"/>
      <c r="P13" s="335"/>
    </row>
    <row r="14" spans="1:16" x14ac:dyDescent="0.2">
      <c r="A14" s="767">
        <v>8</v>
      </c>
      <c r="B14" s="785">
        <f>IF('Entries April 2026'!B14-'Entries April 2026'!B13&lt;1,"0",'Entries April 2026'!B14-'Entries April 2026'!B13)</f>
        <v>2800</v>
      </c>
      <c r="C14" s="768">
        <f>IF('Entries April 2026'!F14-'Entries April 2026'!F13&lt;1,"0",'Entries April 2026'!F14-'Entries April 2026'!F13)</f>
        <v>18.899999999999636</v>
      </c>
      <c r="D14" s="768">
        <f>IF('Entries April 2026'!C13=0,0,+'Entries April 2026'!C13-'Entries April 2026'!#REF!)</f>
        <v>0</v>
      </c>
      <c r="E14" s="768" t="str">
        <f>IF('Entries April 2026'!G14-'Entries April 2026'!G13&lt;1,"0",'Entries April 2026'!G14-'Entries April 2026'!G13)</f>
        <v>0</v>
      </c>
      <c r="F14" s="768"/>
      <c r="G14" s="768"/>
      <c r="H14" s="769">
        <f t="shared" si="4"/>
        <v>148.14814814815099</v>
      </c>
      <c r="I14" s="769" t="str">
        <f t="shared" si="0"/>
        <v>0</v>
      </c>
      <c r="J14" s="769" t="str">
        <f t="shared" si="1"/>
        <v>0</v>
      </c>
      <c r="K14" s="768">
        <f t="shared" si="2"/>
        <v>2800</v>
      </c>
      <c r="L14" s="770">
        <v>602.77800000000002</v>
      </c>
      <c r="M14" s="359">
        <f t="shared" si="3"/>
        <v>4.6451595778213539</v>
      </c>
      <c r="O14" s="335"/>
      <c r="P14" s="335"/>
    </row>
    <row r="15" spans="1:16" x14ac:dyDescent="0.2">
      <c r="A15" s="767">
        <v>9</v>
      </c>
      <c r="B15" s="785">
        <f>IF('Entries April 2026'!B15-'Entries April 2026'!B14&lt;1,"0",'Entries April 2026'!B15-'Entries April 2026'!B14)</f>
        <v>3790</v>
      </c>
      <c r="C15" s="768">
        <f>IF('Entries April 2026'!F15-'Entries April 2026'!F14&lt;1,"0",'Entries April 2026'!F15-'Entries April 2026'!F14)</f>
        <v>20.399999999999636</v>
      </c>
      <c r="D15" s="768">
        <f>IF('Entries April 2026'!C14=0,0,+'Entries April 2026'!C14-'Entries April 2026'!C13)</f>
        <v>0</v>
      </c>
      <c r="E15" s="768" t="str">
        <f>IF('Entries April 2026'!G15-'Entries April 2026'!G14&lt;1,"0",'Entries April 2026'!G15-'Entries April 2026'!G14)</f>
        <v>0</v>
      </c>
      <c r="F15" s="768"/>
      <c r="G15" s="768"/>
      <c r="H15" s="769">
        <f t="shared" si="4"/>
        <v>185.78431372549352</v>
      </c>
      <c r="I15" s="769" t="str">
        <f t="shared" si="0"/>
        <v>0</v>
      </c>
      <c r="J15" s="769" t="str">
        <f t="shared" si="1"/>
        <v>0</v>
      </c>
      <c r="K15" s="768">
        <f t="shared" si="2"/>
        <v>3790</v>
      </c>
      <c r="L15" s="770">
        <v>651.42000000000007</v>
      </c>
      <c r="M15" s="359">
        <f t="shared" si="3"/>
        <v>5.8180590095483709</v>
      </c>
      <c r="O15" s="335"/>
      <c r="P15" s="335"/>
    </row>
    <row r="16" spans="1:16" x14ac:dyDescent="0.2">
      <c r="A16" s="767">
        <v>10</v>
      </c>
      <c r="B16" s="785">
        <f>IF('Entries April 2026'!B16-'Entries April 2026'!B15&lt;1,"0",'Entries April 2026'!B16-'Entries April 2026'!B15)</f>
        <v>2400</v>
      </c>
      <c r="C16" s="768">
        <f>IF('Entries April 2026'!F16-'Entries April 2026'!F15&lt;1,"0",'Entries April 2026'!F16-'Entries April 2026'!F15)</f>
        <v>17.399999999999636</v>
      </c>
      <c r="D16" s="768">
        <f>IF('Entries April 2026'!C15=0,0,+'Entries April 2026'!C15-'Entries April 2026'!C14)</f>
        <v>0</v>
      </c>
      <c r="E16" s="768" t="str">
        <f>IF('Entries April 2026'!G16-'Entries April 2026'!G15&lt;1,"0",'Entries April 2026'!G16-'Entries April 2026'!G15)</f>
        <v>0</v>
      </c>
      <c r="F16" s="768"/>
      <c r="G16" s="768"/>
      <c r="H16" s="769">
        <f t="shared" si="4"/>
        <v>137.9310344827615</v>
      </c>
      <c r="I16" s="769" t="str">
        <f t="shared" si="0"/>
        <v>0</v>
      </c>
      <c r="J16" s="769" t="str">
        <f t="shared" si="1"/>
        <v>0</v>
      </c>
      <c r="K16" s="768">
        <f t="shared" si="2"/>
        <v>2400</v>
      </c>
      <c r="L16" s="770">
        <v>427.48200000000003</v>
      </c>
      <c r="M16" s="359">
        <f t="shared" si="3"/>
        <v>5.6142714780973231</v>
      </c>
      <c r="O16" s="335"/>
      <c r="P16" s="335"/>
    </row>
    <row r="17" spans="1:16" x14ac:dyDescent="0.2">
      <c r="A17" s="787">
        <v>11</v>
      </c>
      <c r="B17" s="788" t="str">
        <f>IF('Entries April 2026'!B17-'Entries April 2026'!B16&lt;1,"0",'Entries April 2026'!B17-'Entries April 2026'!B16)</f>
        <v>0</v>
      </c>
      <c r="C17" s="789" t="str">
        <f>IF('Entries April 2026'!F17-'Entries April 2026'!F16&lt;1,"0",'Entries April 2026'!F17-'Entries April 2026'!F16)</f>
        <v>0</v>
      </c>
      <c r="D17" s="789">
        <f>IF('Entries April 2026'!C16=0,0,+'Entries April 2026'!C16-'Entries April 2026'!C15)</f>
        <v>0</v>
      </c>
      <c r="E17" s="789" t="str">
        <f>IF('Entries April 2026'!G17-'Entries April 2026'!G16&lt;1,"0",'Entries April 2026'!G17-'Entries April 2026'!G16)</f>
        <v>0</v>
      </c>
      <c r="F17" s="789"/>
      <c r="G17" s="789"/>
      <c r="H17" s="790" t="str">
        <f t="shared" si="4"/>
        <v>0</v>
      </c>
      <c r="I17" s="790" t="str">
        <f t="shared" si="0"/>
        <v>0</v>
      </c>
      <c r="J17" s="790" t="str">
        <f t="shared" si="1"/>
        <v>0</v>
      </c>
      <c r="K17" s="789">
        <f t="shared" si="2"/>
        <v>0</v>
      </c>
      <c r="L17" s="791" t="str">
        <v>0</v>
      </c>
      <c r="M17" s="359" t="str">
        <f t="shared" si="3"/>
        <v>0</v>
      </c>
      <c r="O17" s="335"/>
      <c r="P17" s="335"/>
    </row>
    <row r="18" spans="1:16" x14ac:dyDescent="0.2">
      <c r="A18" s="787">
        <v>12</v>
      </c>
      <c r="B18" s="788">
        <f>IF('Entries April 2026'!B18-'Entries April 2026'!B17&lt;1,"0",'Entries April 2026'!B18-'Entries April 2026'!B17)</f>
        <v>700</v>
      </c>
      <c r="C18" s="789">
        <f>IF('Entries April 2026'!F18-'Entries April 2026'!F17&lt;1,"0",'Entries April 2026'!F18-'Entries April 2026'!F17)</f>
        <v>4</v>
      </c>
      <c r="D18" s="789">
        <f>IF('Entries April 2026'!C17=0,0,+'Entries April 2026'!C17-'Entries April 2026'!C16)</f>
        <v>0</v>
      </c>
      <c r="E18" s="789" t="str">
        <f>IF('Entries April 2026'!G18-'Entries April 2026'!G17&lt;1,"0",'Entries April 2026'!G18-'Entries April 2026'!G17)</f>
        <v>0</v>
      </c>
      <c r="F18" s="789"/>
      <c r="G18" s="789"/>
      <c r="H18" s="790">
        <f t="shared" si="4"/>
        <v>175</v>
      </c>
      <c r="I18" s="790" t="str">
        <f t="shared" si="0"/>
        <v>0</v>
      </c>
      <c r="J18" s="790" t="str">
        <f t="shared" si="1"/>
        <v>0</v>
      </c>
      <c r="K18" s="789">
        <f t="shared" si="2"/>
        <v>700</v>
      </c>
      <c r="L18" s="791" t="str">
        <v>0</v>
      </c>
      <c r="M18" s="359" t="str">
        <f t="shared" si="3"/>
        <v>0</v>
      </c>
      <c r="O18" s="335"/>
      <c r="P18" s="335"/>
    </row>
    <row r="19" spans="1:16" x14ac:dyDescent="0.2">
      <c r="A19" s="767">
        <v>13</v>
      </c>
      <c r="B19" s="785">
        <f>IF('Entries April 2026'!B19-'Entries April 2026'!B18&lt;1,"0",'Entries April 2026'!B19-'Entries April 2026'!B18)</f>
        <v>3520</v>
      </c>
      <c r="C19" s="768">
        <f>IF('Entries April 2026'!F19-'Entries April 2026'!F18&lt;1,"0",'Entries April 2026'!F19-'Entries April 2026'!F18)</f>
        <v>21</v>
      </c>
      <c r="D19" s="768">
        <f>IF('Entries April 2026'!C18=0,0,+'Entries April 2026'!C18-'Entries April 2026'!C17)</f>
        <v>0</v>
      </c>
      <c r="E19" s="768" t="str">
        <f>IF('Entries April 2026'!G19-'Entries April 2026'!G18&lt;1,"0",'Entries April 2026'!G19-'Entries April 2026'!G18)</f>
        <v>0</v>
      </c>
      <c r="F19" s="768"/>
      <c r="G19" s="768"/>
      <c r="H19" s="769">
        <f t="shared" si="4"/>
        <v>167.61904761904762</v>
      </c>
      <c r="I19" s="769" t="str">
        <f t="shared" si="0"/>
        <v>0</v>
      </c>
      <c r="J19" s="769" t="str">
        <f t="shared" si="1"/>
        <v>0</v>
      </c>
      <c r="K19" s="768">
        <f t="shared" si="2"/>
        <v>3520</v>
      </c>
      <c r="L19" s="770">
        <v>418.04400000000004</v>
      </c>
      <c r="M19" s="359">
        <f t="shared" si="3"/>
        <v>8.420166298284391</v>
      </c>
      <c r="O19" s="335"/>
      <c r="P19" s="335"/>
    </row>
    <row r="20" spans="1:16" x14ac:dyDescent="0.2">
      <c r="A20" s="767">
        <v>14</v>
      </c>
      <c r="B20" s="785">
        <f>IF('Entries April 2026'!B20-'Entries April 2026'!B19&lt;1,"0",'Entries April 2026'!B20-'Entries April 2026'!B19)</f>
        <v>3090</v>
      </c>
      <c r="C20" s="768">
        <f>IF('Entries April 2026'!F20-'Entries April 2026'!F19&lt;1,"0",'Entries April 2026'!F20-'Entries April 2026'!F19)</f>
        <v>19.5</v>
      </c>
      <c r="D20" s="768">
        <f>IF('Entries April 2026'!C19=0,0,+'Entries April 2026'!C19-'Entries April 2026'!C18)</f>
        <v>0</v>
      </c>
      <c r="E20" s="768" t="str">
        <f>IF('Entries April 2026'!G20-'Entries April 2026'!G19&lt;1,"0",'Entries April 2026'!G20-'Entries April 2026'!G19)</f>
        <v>0</v>
      </c>
      <c r="F20" s="768"/>
      <c r="G20" s="768"/>
      <c r="H20" s="769">
        <f t="shared" si="4"/>
        <v>158.46153846153845</v>
      </c>
      <c r="I20" s="769" t="str">
        <f t="shared" si="0"/>
        <v>0</v>
      </c>
      <c r="J20" s="769" t="str">
        <f t="shared" si="1"/>
        <v>0</v>
      </c>
      <c r="K20" s="768">
        <f t="shared" si="2"/>
        <v>3090</v>
      </c>
      <c r="L20" s="770">
        <v>398.178</v>
      </c>
      <c r="M20" s="359">
        <f t="shared" si="3"/>
        <v>7.76034838690234</v>
      </c>
      <c r="O20" s="335"/>
      <c r="P20" s="335"/>
    </row>
    <row r="21" spans="1:16" x14ac:dyDescent="0.2">
      <c r="A21" s="767">
        <v>15</v>
      </c>
      <c r="B21" s="785">
        <f>IF('Entries April 2026'!B21-'Entries April 2026'!B20&lt;1,"0",'Entries April 2026'!B21-'Entries April 2026'!B20)</f>
        <v>3370</v>
      </c>
      <c r="C21" s="768">
        <f>IF('Entries April 2026'!F21-'Entries April 2026'!F20&lt;1,"0",'Entries April 2026'!F21-'Entries April 2026'!F20)</f>
        <v>19.900000000001455</v>
      </c>
      <c r="D21" s="768">
        <f>IF('Entries April 2026'!C20=0,0,+'Entries April 2026'!C20-'Entries April 2026'!C19)</f>
        <v>0</v>
      </c>
      <c r="E21" s="768" t="str">
        <f>IF('Entries April 2026'!G21-'Entries April 2026'!G20&lt;1,"0",'Entries April 2026'!G21-'Entries April 2026'!G20)</f>
        <v>0</v>
      </c>
      <c r="F21" s="768"/>
      <c r="G21" s="768"/>
      <c r="H21" s="769">
        <f t="shared" si="4"/>
        <v>169.34673366832934</v>
      </c>
      <c r="I21" s="769" t="str">
        <f t="shared" si="0"/>
        <v>0</v>
      </c>
      <c r="J21" s="769" t="str">
        <f t="shared" si="1"/>
        <v>0</v>
      </c>
      <c r="K21" s="768">
        <f t="shared" si="2"/>
        <v>3370</v>
      </c>
      <c r="L21" s="770">
        <v>489.786</v>
      </c>
      <c r="M21" s="359">
        <f t="shared" si="3"/>
        <v>6.880555997925625</v>
      </c>
      <c r="O21" s="335"/>
      <c r="P21" s="335"/>
    </row>
    <row r="22" spans="1:16" x14ac:dyDescent="0.2">
      <c r="A22" s="767">
        <v>16</v>
      </c>
      <c r="B22" s="785">
        <f>IF('Entries April 2026'!B22-'Entries April 2026'!B21&lt;1,"0",'Entries April 2026'!B22-'Entries April 2026'!B21)</f>
        <v>3340</v>
      </c>
      <c r="C22" s="768">
        <f>IF('Entries April 2026'!F22-'Entries April 2026'!F21&lt;1,"0",'Entries April 2026'!F22-'Entries April 2026'!F21)</f>
        <v>20.5</v>
      </c>
      <c r="D22" s="768">
        <f>IF('Entries April 2026'!C21=0,0,+'Entries April 2026'!C21-'Entries April 2026'!C20)</f>
        <v>0</v>
      </c>
      <c r="E22" s="768" t="str">
        <f>IF('Entries April 2026'!G22-'Entries April 2026'!G21&lt;1,"0",'Entries April 2026'!G22-'Entries April 2026'!G21)</f>
        <v>0</v>
      </c>
      <c r="F22" s="768"/>
      <c r="G22" s="768"/>
      <c r="H22" s="769">
        <f t="shared" si="4"/>
        <v>162.92682926829269</v>
      </c>
      <c r="I22" s="769" t="str">
        <f t="shared" si="0"/>
        <v>0</v>
      </c>
      <c r="J22" s="769" t="str">
        <f t="shared" si="1"/>
        <v>0</v>
      </c>
      <c r="K22" s="768">
        <f t="shared" si="2"/>
        <v>3340</v>
      </c>
      <c r="L22" s="770">
        <v>622.51200000000006</v>
      </c>
      <c r="M22" s="359">
        <f t="shared" si="3"/>
        <v>5.3653584187935328</v>
      </c>
      <c r="O22" s="335"/>
      <c r="P22" s="335"/>
    </row>
    <row r="23" spans="1:16" x14ac:dyDescent="0.2">
      <c r="A23" s="767">
        <v>17</v>
      </c>
      <c r="B23" s="785">
        <f>IF('Entries April 2026'!B23-'Entries April 2026'!B22&lt;1,"0",'Entries April 2026'!B23-'Entries April 2026'!B22)</f>
        <v>2190</v>
      </c>
      <c r="C23" s="768">
        <f>IF('Entries April 2026'!F23-'Entries April 2026'!F22&lt;1,"0",'Entries April 2026'!F23-'Entries April 2026'!F22)</f>
        <v>14.5</v>
      </c>
      <c r="D23" s="768">
        <f>IF('Entries April 2026'!C22=0,0,+'Entries April 2026'!C22-'Entries April 2026'!C21)</f>
        <v>0</v>
      </c>
      <c r="E23" s="768" t="str">
        <f>IF('Entries April 2026'!G23-'Entries April 2026'!G22&lt;1,"0",'Entries April 2026'!G23-'Entries April 2026'!G22)</f>
        <v>0</v>
      </c>
      <c r="F23" s="768"/>
      <c r="G23" s="768"/>
      <c r="H23" s="769">
        <f t="shared" si="4"/>
        <v>151.0344827586207</v>
      </c>
      <c r="I23" s="769" t="str">
        <f t="shared" si="0"/>
        <v>0</v>
      </c>
      <c r="J23" s="769" t="str">
        <f t="shared" si="1"/>
        <v>0</v>
      </c>
      <c r="K23" s="768">
        <f t="shared" si="2"/>
        <v>2190</v>
      </c>
      <c r="L23" s="770">
        <v>330.59399999999999</v>
      </c>
      <c r="M23" s="359">
        <f t="shared" si="3"/>
        <v>6.6244396450026315</v>
      </c>
      <c r="O23" s="335"/>
      <c r="P23" s="335"/>
    </row>
    <row r="24" spans="1:16" x14ac:dyDescent="0.2">
      <c r="A24" s="787">
        <v>18</v>
      </c>
      <c r="B24" s="788" t="str">
        <f>IF('Entries April 2026'!B24-'Entries April 2026'!B23&lt;1,"0",'Entries April 2026'!B24-'Entries April 2026'!B23)</f>
        <v>0</v>
      </c>
      <c r="C24" s="789" t="str">
        <f>IF('Entries April 2026'!F24-'Entries April 2026'!F23&lt;1,"0",'Entries April 2026'!F24-'Entries April 2026'!F23)</f>
        <v>0</v>
      </c>
      <c r="D24" s="789">
        <f>IF('Entries April 2026'!C23=0,0,+'Entries April 2026'!C23-'Entries April 2026'!C22)</f>
        <v>0</v>
      </c>
      <c r="E24" s="789" t="str">
        <f>IF('Entries April 2026'!G24-'Entries April 2026'!G23&lt;1,"0",'Entries April 2026'!G24-'Entries April 2026'!G23)</f>
        <v>0</v>
      </c>
      <c r="F24" s="789"/>
      <c r="G24" s="789"/>
      <c r="H24" s="790" t="str">
        <f t="shared" si="4"/>
        <v>0</v>
      </c>
      <c r="I24" s="790" t="str">
        <f t="shared" si="0"/>
        <v>0</v>
      </c>
      <c r="J24" s="790" t="str">
        <f t="shared" si="1"/>
        <v>0</v>
      </c>
      <c r="K24" s="789">
        <f t="shared" si="2"/>
        <v>0</v>
      </c>
      <c r="L24" s="791" t="str">
        <v>0</v>
      </c>
      <c r="M24" s="359" t="str">
        <f t="shared" si="3"/>
        <v>0</v>
      </c>
      <c r="O24" s="335"/>
      <c r="P24" s="335"/>
    </row>
    <row r="25" spans="1:16" x14ac:dyDescent="0.2">
      <c r="A25" s="787">
        <v>19</v>
      </c>
      <c r="B25" s="788">
        <f>IF('Entries April 2026'!B25-'Entries April 2026'!B24&lt;1,"0",'Entries April 2026'!B25-'Entries April 2026'!B24)</f>
        <v>1180</v>
      </c>
      <c r="C25" s="789">
        <f>IF('Entries April 2026'!F25-'Entries April 2026'!F24&lt;1,"0",'Entries April 2026'!F25-'Entries April 2026'!F24)</f>
        <v>7.0999999999985448</v>
      </c>
      <c r="D25" s="789">
        <f>IF('Entries April 2026'!C24=0,0,+'Entries April 2026'!C24-'Entries April 2026'!C23)</f>
        <v>0</v>
      </c>
      <c r="E25" s="789" t="str">
        <f>IF('Entries April 2026'!G25-'Entries April 2026'!G24&lt;1,"0",'Entries April 2026'!G25-'Entries April 2026'!G24)</f>
        <v>0</v>
      </c>
      <c r="F25" s="789"/>
      <c r="G25" s="789"/>
      <c r="H25" s="790">
        <f t="shared" si="4"/>
        <v>166.1971830986256</v>
      </c>
      <c r="I25" s="790" t="str">
        <f t="shared" si="0"/>
        <v>0</v>
      </c>
      <c r="J25" s="790" t="str">
        <f t="shared" si="1"/>
        <v>0</v>
      </c>
      <c r="K25" s="789">
        <f t="shared" si="2"/>
        <v>1180</v>
      </c>
      <c r="L25" s="791" t="str">
        <v>0</v>
      </c>
      <c r="M25" s="359" t="str">
        <f t="shared" si="3"/>
        <v>0</v>
      </c>
      <c r="O25" s="335"/>
      <c r="P25" s="335"/>
    </row>
    <row r="26" spans="1:16" x14ac:dyDescent="0.2">
      <c r="A26" s="767">
        <v>20</v>
      </c>
      <c r="B26" s="785">
        <f>IF('Entries April 2026'!B26-'Entries April 2026'!B25&lt;1,"0",'Entries April 2026'!B26-'Entries April 2026'!B25)</f>
        <v>3070</v>
      </c>
      <c r="C26" s="768">
        <f>IF('Entries April 2026'!F26-'Entries April 2026'!F25&lt;1,"0",'Entries April 2026'!F26-'Entries April 2026'!F25)</f>
        <v>19.600000000000364</v>
      </c>
      <c r="D26" s="768">
        <f>IF('Entries April 2026'!C25=0,0,+'Entries April 2026'!C25-'Entries April 2026'!C24)</f>
        <v>0</v>
      </c>
      <c r="E26" s="768" t="str">
        <f>IF('Entries April 2026'!G26-'Entries April 2026'!G25&lt;1,"0",'Entries April 2026'!G26-'Entries April 2026'!G25)</f>
        <v>0</v>
      </c>
      <c r="F26" s="768"/>
      <c r="G26" s="768"/>
      <c r="H26" s="769">
        <f t="shared" si="4"/>
        <v>156.63265306122159</v>
      </c>
      <c r="I26" s="769" t="str">
        <f t="shared" si="0"/>
        <v>0</v>
      </c>
      <c r="J26" s="769" t="str">
        <f t="shared" si="1"/>
        <v>0</v>
      </c>
      <c r="K26" s="768">
        <f t="shared" si="2"/>
        <v>3070</v>
      </c>
      <c r="L26" s="770">
        <v>256.41000000000003</v>
      </c>
      <c r="M26" s="359">
        <f t="shared" si="3"/>
        <v>11.973011973011971</v>
      </c>
      <c r="O26" s="335"/>
      <c r="P26" s="335"/>
    </row>
    <row r="27" spans="1:16" x14ac:dyDescent="0.2">
      <c r="A27" s="767">
        <v>21</v>
      </c>
      <c r="B27" s="785">
        <f>IF('Entries April 2026'!B27-'Entries April 2026'!B26&lt;1,"0",'Entries April 2026'!B27-'Entries April 2026'!B26)</f>
        <v>3580</v>
      </c>
      <c r="C27" s="768">
        <f>IF('Entries April 2026'!F27-'Entries April 2026'!F26&lt;1,"0",'Entries April 2026'!F27-'Entries April 2026'!F26)</f>
        <v>20.800000000001091</v>
      </c>
      <c r="D27" s="768">
        <f>IF('Entries April 2026'!C26=0,0,+'Entries April 2026'!C26-'Entries April 2026'!C25)</f>
        <v>0</v>
      </c>
      <c r="E27" s="768" t="str">
        <f>IF('Entries April 2026'!G27-'Entries April 2026'!G26&lt;1,"0",'Entries April 2026'!G27-'Entries April 2026'!G26)</f>
        <v>0</v>
      </c>
      <c r="F27" s="768"/>
      <c r="G27" s="768"/>
      <c r="H27" s="769">
        <f t="shared" si="4"/>
        <v>172.11538461537558</v>
      </c>
      <c r="I27" s="769" t="str">
        <f t="shared" si="0"/>
        <v>0</v>
      </c>
      <c r="J27" s="769" t="str">
        <f t="shared" si="1"/>
        <v>0</v>
      </c>
      <c r="K27" s="768">
        <f t="shared" si="2"/>
        <v>3580</v>
      </c>
      <c r="L27" s="770">
        <v>521.46600000000001</v>
      </c>
      <c r="M27" s="359">
        <f t="shared" si="3"/>
        <v>6.8652606306067891</v>
      </c>
      <c r="O27" s="335"/>
      <c r="P27" s="335"/>
    </row>
    <row r="28" spans="1:16" x14ac:dyDescent="0.2">
      <c r="A28" s="767">
        <v>22</v>
      </c>
      <c r="B28" s="785">
        <f>IF('Entries April 2026'!B28-'Entries April 2026'!B27&lt;1,"0",'Entries April 2026'!B28-'Entries April 2026'!B27)</f>
        <v>3550</v>
      </c>
      <c r="C28" s="768">
        <f>IF('Entries April 2026'!F28-'Entries April 2026'!F27&lt;1,"0",'Entries April 2026'!F28-'Entries April 2026'!F27)</f>
        <v>21.5</v>
      </c>
      <c r="D28" s="768">
        <f>IF('Entries April 2026'!C27=0,0,+'Entries April 2026'!C27-'Entries April 2026'!C26)</f>
        <v>0</v>
      </c>
      <c r="E28" s="768" t="str">
        <f>IF('Entries April 2026'!G28-'Entries April 2026'!G27&lt;1,"0",'Entries April 2026'!G28-'Entries April 2026'!G27)</f>
        <v>0</v>
      </c>
      <c r="F28" s="768"/>
      <c r="G28" s="768"/>
      <c r="H28" s="769">
        <f t="shared" si="4"/>
        <v>165.11627906976744</v>
      </c>
      <c r="I28" s="769" t="str">
        <f t="shared" si="0"/>
        <v>0</v>
      </c>
      <c r="J28" s="769" t="str">
        <f t="shared" si="1"/>
        <v>0</v>
      </c>
      <c r="K28" s="768">
        <f t="shared" si="2"/>
        <v>3550</v>
      </c>
      <c r="L28" s="770">
        <v>517.30799999999999</v>
      </c>
      <c r="M28" s="359">
        <f t="shared" si="3"/>
        <v>6.8624494498441937</v>
      </c>
      <c r="O28" s="335"/>
      <c r="P28" s="335"/>
    </row>
    <row r="29" spans="1:16" x14ac:dyDescent="0.2">
      <c r="A29" s="767">
        <v>23</v>
      </c>
      <c r="B29" s="785">
        <f>IF('Entries April 2026'!B29-'Entries April 2026'!B28&lt;1,"0",'Entries April 2026'!B29-'Entries April 2026'!B28)</f>
        <v>2580</v>
      </c>
      <c r="C29" s="768">
        <f>IF('Entries April 2026'!F29-'Entries April 2026'!F28&lt;1,"0",'Entries April 2026'!F29-'Entries April 2026'!F28)</f>
        <v>17.099999999998545</v>
      </c>
      <c r="D29" s="768">
        <f>IF('Entries April 2026'!C28=0,0,+'Entries April 2026'!C28-'Entries April 2026'!C27)</f>
        <v>0</v>
      </c>
      <c r="E29" s="768" t="str">
        <f>IF('Entries April 2026'!G29-'Entries April 2026'!G28&lt;1,"0",'Entries April 2026'!G29-'Entries April 2026'!G28)</f>
        <v>0</v>
      </c>
      <c r="F29" s="768"/>
      <c r="G29" s="768"/>
      <c r="H29" s="769">
        <f t="shared" si="4"/>
        <v>150.87719298246898</v>
      </c>
      <c r="I29" s="769" t="str">
        <f t="shared" si="0"/>
        <v>0</v>
      </c>
      <c r="J29" s="769" t="str">
        <f t="shared" si="1"/>
        <v>0</v>
      </c>
      <c r="K29" s="768">
        <f t="shared" si="2"/>
        <v>2580</v>
      </c>
      <c r="L29" s="770">
        <v>241.69200000000001</v>
      </c>
      <c r="M29" s="359">
        <f t="shared" si="3"/>
        <v>10.67474306141701</v>
      </c>
      <c r="O29" s="335"/>
      <c r="P29" s="335"/>
    </row>
    <row r="30" spans="1:16" x14ac:dyDescent="0.2">
      <c r="A30" s="767">
        <v>24</v>
      </c>
      <c r="B30" s="785">
        <f>IF('Entries April 2026'!B30-'Entries April 2026'!B29&lt;1,"0",'Entries April 2026'!B30-'Entries April 2026'!B29)</f>
        <v>2520</v>
      </c>
      <c r="C30" s="768">
        <f>IF('Entries April 2026'!F30-'Entries April 2026'!F29&lt;1,"0",'Entries April 2026'!F30-'Entries April 2026'!F29)</f>
        <v>15.800000000001091</v>
      </c>
      <c r="D30" s="768">
        <f>IF('Entries April 2026'!C29=0,0,+'Entries April 2026'!C29-'Entries April 2026'!C28)</f>
        <v>0</v>
      </c>
      <c r="E30" s="768" t="str">
        <f>IF('Entries April 2026'!G30-'Entries April 2026'!G29&lt;1,"0",'Entries April 2026'!G30-'Entries April 2026'!G29)</f>
        <v>0</v>
      </c>
      <c r="F30" s="768"/>
      <c r="G30" s="768"/>
      <c r="H30" s="769">
        <f t="shared" si="4"/>
        <v>159.49367088606493</v>
      </c>
      <c r="I30" s="769" t="str">
        <f t="shared" si="0"/>
        <v>0</v>
      </c>
      <c r="J30" s="769" t="str">
        <f t="shared" si="1"/>
        <v>0</v>
      </c>
      <c r="K30" s="768">
        <f t="shared" si="2"/>
        <v>2520</v>
      </c>
      <c r="L30" s="770">
        <v>224.334</v>
      </c>
      <c r="M30" s="359">
        <f t="shared" si="3"/>
        <v>11.23325042124689</v>
      </c>
      <c r="O30" s="335"/>
      <c r="P30" s="335"/>
    </row>
    <row r="31" spans="1:16" x14ac:dyDescent="0.2">
      <c r="A31" s="787">
        <v>25</v>
      </c>
      <c r="B31" s="788">
        <f>IF('Entries April 2026'!B31-'Entries April 2026'!B30&lt;1,"0",'Entries April 2026'!B31-'Entries April 2026'!B30)</f>
        <v>1290</v>
      </c>
      <c r="C31" s="789">
        <f>IF('Entries April 2026'!F31-'Entries April 2026'!F30&lt;1,"0",'Entries April 2026'!F31-'Entries April 2026'!F30)</f>
        <v>10.5</v>
      </c>
      <c r="D31" s="789">
        <f>IF('Entries April 2026'!C30=0,0,+'Entries April 2026'!C30-'Entries April 2026'!C29)</f>
        <v>0</v>
      </c>
      <c r="E31" s="789" t="str">
        <f>IF('Entries April 2026'!G31-'Entries April 2026'!G30&lt;1,"0",'Entries April 2026'!G31-'Entries April 2026'!G30)</f>
        <v>0</v>
      </c>
      <c r="F31" s="789"/>
      <c r="G31" s="789"/>
      <c r="H31" s="790">
        <f t="shared" si="4"/>
        <v>122.85714285714286</v>
      </c>
      <c r="I31" s="790" t="str">
        <f t="shared" si="0"/>
        <v>0</v>
      </c>
      <c r="J31" s="790" t="str">
        <f t="shared" si="1"/>
        <v>0</v>
      </c>
      <c r="K31" s="789">
        <f t="shared" si="2"/>
        <v>1290</v>
      </c>
      <c r="L31" s="791" t="str">
        <v>0</v>
      </c>
      <c r="M31" s="359" t="str">
        <f t="shared" si="3"/>
        <v>0</v>
      </c>
      <c r="O31" s="335"/>
      <c r="P31" s="335"/>
    </row>
    <row r="32" spans="1:16" x14ac:dyDescent="0.2">
      <c r="A32" s="787">
        <v>26</v>
      </c>
      <c r="B32" s="788">
        <f>IF('Entries April 2026'!B32-'Entries April 2026'!B31&lt;1,"0",'Entries April 2026'!B32-'Entries April 2026'!B31)</f>
        <v>1200</v>
      </c>
      <c r="C32" s="789">
        <f>IF('Entries April 2026'!F32-'Entries April 2026'!F31&lt;1,"0",'Entries April 2026'!F32-'Entries April 2026'!F31)</f>
        <v>8.2999999999992724</v>
      </c>
      <c r="D32" s="789">
        <f>IF('Entries April 2026'!C31=0,0,+'Entries April 2026'!C31-'Entries April 2026'!C30)</f>
        <v>0</v>
      </c>
      <c r="E32" s="789" t="str">
        <f>IF('Entries April 2026'!G32-'Entries April 2026'!G31&lt;1,"0",'Entries April 2026'!G32-'Entries April 2026'!G31)</f>
        <v>0</v>
      </c>
      <c r="F32" s="789"/>
      <c r="G32" s="789"/>
      <c r="H32" s="790">
        <f t="shared" si="4"/>
        <v>144.57831325302473</v>
      </c>
      <c r="I32" s="790" t="str">
        <f t="shared" si="0"/>
        <v>0</v>
      </c>
      <c r="J32" s="790" t="str">
        <f t="shared" si="1"/>
        <v>0</v>
      </c>
      <c r="K32" s="789">
        <f t="shared" si="2"/>
        <v>1200</v>
      </c>
      <c r="L32" s="791" t="str">
        <v>0</v>
      </c>
      <c r="M32" s="359" t="str">
        <f t="shared" si="3"/>
        <v>0</v>
      </c>
      <c r="O32" s="335"/>
      <c r="P32" s="335"/>
    </row>
    <row r="33" spans="1:16" x14ac:dyDescent="0.2">
      <c r="A33" s="767">
        <v>27</v>
      </c>
      <c r="B33" s="785">
        <f>IF('Entries April 2026'!B33-'Entries April 2026'!B32&lt;1,"0",'Entries April 2026'!B33-'Entries April 2026'!B32)</f>
        <v>3290</v>
      </c>
      <c r="C33" s="768">
        <f>IF('Entries April 2026'!F33-'Entries April 2026'!F32&lt;1,"0",'Entries April 2026'!F33-'Entries April 2026'!F32)</f>
        <v>20.700000000000728</v>
      </c>
      <c r="D33" s="768">
        <f>IF('Entries April 2026'!C32=0,0,+'Entries April 2026'!C32-'Entries April 2026'!C31)</f>
        <v>0</v>
      </c>
      <c r="E33" s="768" t="str">
        <f>IF('Entries April 2026'!G33-'Entries April 2026'!G32&lt;1,"0",'Entries April 2026'!G33-'Entries April 2026'!G32)</f>
        <v>0</v>
      </c>
      <c r="F33" s="768"/>
      <c r="G33" s="768"/>
      <c r="H33" s="769">
        <f t="shared" si="4"/>
        <v>158.93719806762726</v>
      </c>
      <c r="I33" s="769" t="str">
        <f t="shared" si="0"/>
        <v>0</v>
      </c>
      <c r="J33" s="769" t="str">
        <f t="shared" si="1"/>
        <v>0</v>
      </c>
      <c r="K33" s="768">
        <f t="shared" si="2"/>
        <v>3290</v>
      </c>
      <c r="L33" s="770">
        <v>390.45600000000002</v>
      </c>
      <c r="M33" s="359">
        <f t="shared" si="3"/>
        <v>8.4260454443010229</v>
      </c>
      <c r="O33" s="335"/>
      <c r="P33" s="335"/>
    </row>
    <row r="34" spans="1:16" x14ac:dyDescent="0.2">
      <c r="A34" s="767">
        <v>28</v>
      </c>
      <c r="B34" s="785">
        <f>IF('Entries April 2026'!B34-'Entries April 2026'!B33&lt;1,"0",'Entries April 2026'!B34-'Entries April 2026'!B33)</f>
        <v>3050</v>
      </c>
      <c r="C34" s="768">
        <f>IF('Entries April 2026'!F34-'Entries April 2026'!F33&lt;1,"0",'Entries April 2026'!F34-'Entries April 2026'!F33)</f>
        <v>19.299999999999272</v>
      </c>
      <c r="D34" s="768">
        <f>IF('Entries April 2026'!C33=0,0,+'Entries April 2026'!C33-'Entries April 2026'!C32)</f>
        <v>0</v>
      </c>
      <c r="E34" s="768" t="str">
        <f>IF('Entries April 2026'!G34-'Entries April 2026'!G33&lt;1,"0",'Entries April 2026'!G34-'Entries April 2026'!G33)</f>
        <v>0</v>
      </c>
      <c r="F34" s="768"/>
      <c r="G34" s="768"/>
      <c r="H34" s="769">
        <f t="shared" si="4"/>
        <v>158.0310880829075</v>
      </c>
      <c r="I34" s="769" t="str">
        <f t="shared" si="0"/>
        <v>0</v>
      </c>
      <c r="J34" s="769" t="str">
        <f t="shared" si="1"/>
        <v>0</v>
      </c>
      <c r="K34" s="768">
        <f t="shared" si="2"/>
        <v>3050</v>
      </c>
      <c r="L34" s="770">
        <v>452.49600000000004</v>
      </c>
      <c r="M34" s="359">
        <f t="shared" si="3"/>
        <v>6.7403910752802227</v>
      </c>
      <c r="O34" s="335"/>
      <c r="P34" s="335"/>
    </row>
    <row r="35" spans="1:16" x14ac:dyDescent="0.2">
      <c r="A35" s="767">
        <v>29</v>
      </c>
      <c r="B35" s="785">
        <f>IF('Entries April 2026'!B35-'Entries April 2026'!B34&lt;1,"0",'Entries April 2026'!B35-'Entries April 2026'!B34)</f>
        <v>3140</v>
      </c>
      <c r="C35" s="768">
        <f>IF('Entries April 2026'!F35-'Entries April 2026'!F34&lt;1,"0",'Entries April 2026'!F35-'Entries April 2026'!F34)</f>
        <v>20.700000000000728</v>
      </c>
      <c r="D35" s="768"/>
      <c r="E35" s="768" t="str">
        <f>IF('Entries April 2026'!G35-'Entries April 2026'!G34&lt;1,"0",'Entries April 2026'!G35-'Entries April 2026'!G34)</f>
        <v>0</v>
      </c>
      <c r="F35" s="768"/>
      <c r="G35" s="768"/>
      <c r="H35" s="769">
        <f t="shared" si="4"/>
        <v>151.6908212560333</v>
      </c>
      <c r="I35" s="769" t="str">
        <f t="shared" si="0"/>
        <v>0</v>
      </c>
      <c r="J35" s="769" t="str">
        <f t="shared" si="1"/>
        <v>0</v>
      </c>
      <c r="K35" s="768">
        <f t="shared" si="2"/>
        <v>3140</v>
      </c>
      <c r="L35" s="770">
        <v>570.17399999999998</v>
      </c>
      <c r="M35" s="359">
        <f t="shared" si="3"/>
        <v>5.5070908178906794</v>
      </c>
      <c r="O35" s="30"/>
    </row>
    <row r="36" spans="1:16" x14ac:dyDescent="0.2">
      <c r="A36" s="767">
        <v>30</v>
      </c>
      <c r="B36" s="785">
        <f>IF('Entries April 2026'!B36-'Entries April 2026'!B35&lt;1,"0",'Entries April 2026'!B36-'Entries April 2026'!B35)</f>
        <v>3130</v>
      </c>
      <c r="C36" s="768">
        <f>IF('Entries April 2026'!F36-'Entries April 2026'!F35&lt;1,"0",'Entries April 2026'!F36-'Entries April 2026'!F35)</f>
        <v>19.299999999999272</v>
      </c>
      <c r="D36" s="768"/>
      <c r="E36" s="768" t="str">
        <f>IF('Entries April 2026'!G36-'Entries April 2026'!G35&lt;1,"0",'Entries April 2026'!G36-'Entries April 2026'!G35)</f>
        <v>0</v>
      </c>
      <c r="F36" s="768"/>
      <c r="G36" s="768"/>
      <c r="H36" s="769">
        <f t="shared" si="4"/>
        <v>162.17616580311491</v>
      </c>
      <c r="I36" s="769" t="str">
        <f t="shared" si="0"/>
        <v>0</v>
      </c>
      <c r="J36" s="769" t="str">
        <f t="shared" si="1"/>
        <v>0</v>
      </c>
      <c r="K36" s="768">
        <f t="shared" si="2"/>
        <v>3130</v>
      </c>
      <c r="L36" s="770">
        <v>407.74800000000005</v>
      </c>
      <c r="M36" s="359">
        <f t="shared" si="3"/>
        <v>7.6763098776695404</v>
      </c>
      <c r="O36" s="30"/>
    </row>
    <row r="37" spans="1:16" x14ac:dyDescent="0.2">
      <c r="A37" s="767"/>
      <c r="B37" s="785" t="str">
        <f>IF('Entries April 2026'!B37-'Entries April 2026'!B36&lt;1,"0",'Entries April 2026'!B37-'Entries April 2026'!B36)</f>
        <v>0</v>
      </c>
      <c r="C37" s="768" t="str">
        <f>IF('Entries April 2026'!F37-'Entries April 2026'!F36&lt;1,"0",'Entries April 2026'!F37-'Entries April 2026'!F36)</f>
        <v>0</v>
      </c>
      <c r="D37" s="768"/>
      <c r="E37" s="768" t="str">
        <f>IF('Entries April 2026'!G37-'Entries April 2026'!G36&lt;1,"0",'Entries April 2026'!G37-'Entries April 2026'!G36)</f>
        <v>0</v>
      </c>
      <c r="F37" s="768"/>
      <c r="G37" s="768"/>
      <c r="H37" s="769" t="str">
        <f t="shared" si="4"/>
        <v>0</v>
      </c>
      <c r="I37" s="769" t="str">
        <f t="shared" ref="I37" si="5">IF(E37=0,"0", D37/E37)</f>
        <v>0</v>
      </c>
      <c r="J37" s="769" t="str">
        <f t="shared" ref="J37" si="6">IF(G37=0,"0", F37/G37)</f>
        <v>0</v>
      </c>
      <c r="K37" s="768">
        <f t="shared" ref="K37" si="7">B37+D37+F37</f>
        <v>0</v>
      </c>
      <c r="L37" s="770"/>
      <c r="M37" s="359"/>
      <c r="O37" s="189"/>
    </row>
    <row r="38" spans="1:16" ht="18.75" thickBot="1" x14ac:dyDescent="0.3">
      <c r="A38" s="46"/>
      <c r="B38" s="397">
        <f>SUM(B7:B36)</f>
        <v>66450</v>
      </c>
      <c r="C38" s="397">
        <f>SUM(C7:C36)</f>
        <v>421.29999999999927</v>
      </c>
      <c r="D38" s="321"/>
      <c r="E38" s="398"/>
      <c r="F38" s="321"/>
      <c r="G38" s="360"/>
      <c r="H38" s="401"/>
      <c r="I38" s="360"/>
      <c r="J38" s="360"/>
      <c r="K38" s="361"/>
      <c r="L38" s="362"/>
      <c r="M38" s="363" t="str">
        <f>IF(L38=0,"0",(K38/L38))</f>
        <v>0</v>
      </c>
      <c r="N38" s="341">
        <v>7.2</v>
      </c>
      <c r="O38" s="342">
        <f>M38/N38*100</f>
        <v>0</v>
      </c>
    </row>
    <row r="39" spans="1:16" ht="16.5" thickBot="1" x14ac:dyDescent="0.3">
      <c r="A39" s="8" t="s">
        <v>262</v>
      </c>
      <c r="B39" s="399">
        <f>AVERAGE(B7:B37)</f>
        <v>2461.1111111111113</v>
      </c>
      <c r="C39" s="400">
        <f>AVERAGE(C7:C37)</f>
        <v>15.603703703703676</v>
      </c>
      <c r="D39" s="30"/>
      <c r="H39" s="366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5">
    <mergeCell ref="A1:M1"/>
    <mergeCell ref="L4:L5"/>
    <mergeCell ref="M4:M5"/>
    <mergeCell ref="A4:A5"/>
    <mergeCell ref="A6:M6"/>
  </mergeCells>
  <phoneticPr fontId="0" type="noConversion"/>
  <conditionalFormatting sqref="C7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4" sqref="O14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95"/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6"/>
      <c r="W1" s="896"/>
      <c r="X1" s="896"/>
      <c r="Y1" s="896"/>
      <c r="Z1" s="896"/>
      <c r="AA1" s="896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10" t="s">
        <v>7</v>
      </c>
      <c r="C4" s="908" t="s">
        <v>108</v>
      </c>
      <c r="D4" s="906" t="s">
        <v>109</v>
      </c>
      <c r="E4" s="908" t="s">
        <v>110</v>
      </c>
      <c r="F4" s="906" t="s">
        <v>242</v>
      </c>
      <c r="G4" s="906" t="s">
        <v>111</v>
      </c>
      <c r="H4" s="906" t="s">
        <v>164</v>
      </c>
      <c r="I4" s="908" t="s">
        <v>210</v>
      </c>
      <c r="J4" s="908" t="s">
        <v>112</v>
      </c>
      <c r="K4" s="908" t="s">
        <v>177</v>
      </c>
      <c r="L4" s="908" t="s">
        <v>176</v>
      </c>
      <c r="M4" s="908" t="s">
        <v>106</v>
      </c>
      <c r="N4" s="48"/>
      <c r="O4" s="48"/>
      <c r="P4" s="48"/>
      <c r="Q4" s="48"/>
      <c r="R4" s="906" t="s">
        <v>113</v>
      </c>
      <c r="S4" s="906" t="s">
        <v>243</v>
      </c>
      <c r="T4" s="48"/>
      <c r="U4" s="908" t="s">
        <v>156</v>
      </c>
      <c r="V4" s="48"/>
      <c r="W4" s="48"/>
      <c r="X4" s="908" t="s">
        <v>178</v>
      </c>
      <c r="Y4" s="908" t="s">
        <v>179</v>
      </c>
      <c r="Z4" s="915" t="s">
        <v>250</v>
      </c>
      <c r="AA4" s="917" t="s">
        <v>246</v>
      </c>
      <c r="AB4" s="913" t="s">
        <v>79</v>
      </c>
    </row>
    <row r="5" spans="1:31" s="301" customFormat="1" ht="47.25" customHeight="1" x14ac:dyDescent="0.2">
      <c r="B5" s="911"/>
      <c r="C5" s="909"/>
      <c r="D5" s="907"/>
      <c r="E5" s="912"/>
      <c r="F5" s="907"/>
      <c r="G5" s="907"/>
      <c r="H5" s="907"/>
      <c r="I5" s="912"/>
      <c r="J5" s="912"/>
      <c r="K5" s="912"/>
      <c r="L5" s="912"/>
      <c r="M5" s="912"/>
      <c r="N5" s="50" t="s">
        <v>114</v>
      </c>
      <c r="O5" s="50" t="s">
        <v>115</v>
      </c>
      <c r="P5" s="50" t="s">
        <v>245</v>
      </c>
      <c r="Q5" s="50" t="s">
        <v>116</v>
      </c>
      <c r="R5" s="907"/>
      <c r="S5" s="907"/>
      <c r="T5" s="49" t="s">
        <v>102</v>
      </c>
      <c r="U5" s="919"/>
      <c r="V5" s="80" t="s">
        <v>159</v>
      </c>
      <c r="W5" s="80" t="s">
        <v>160</v>
      </c>
      <c r="X5" s="912"/>
      <c r="Y5" s="912"/>
      <c r="Z5" s="916"/>
      <c r="AA5" s="918"/>
      <c r="AB5" s="914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8"/>
      <c r="AA6" s="329"/>
      <c r="AB6" s="330"/>
    </row>
    <row r="7" spans="1:31" x14ac:dyDescent="0.2">
      <c r="B7" s="51">
        <v>1</v>
      </c>
      <c r="C7" s="52" t="str">
        <f>IF('Entries April 2026'!W7-'Entries April 2026'!W6&lt;1,"0",'Entries April 2026'!W7-'Entries April 2026'!W6)</f>
        <v>0</v>
      </c>
      <c r="D7" s="31">
        <f>IF('Entries April 2026'!O7-'Entries April 2026'!O6&lt;1,"0",'Entries April 2026'!O7-'Entries April 2026'!O6)</f>
        <v>207</v>
      </c>
      <c r="E7" s="31">
        <f>IF('Entries April 2026'!P7-'Entries April 2026'!P6&lt;1,"0",'Entries April 2026'!P7-'Entries April 2026'!P6)</f>
        <v>156</v>
      </c>
      <c r="F7" s="31">
        <f>IF('Entries April 2026'!V7-'Entries April 2026'!V6&lt;1,"0",'Entries April 2026'!V7-'Entries April 2026'!V6)</f>
        <v>164</v>
      </c>
      <c r="G7" s="31">
        <f>(D7+E7)-F7</f>
        <v>199</v>
      </c>
      <c r="H7" s="31">
        <f>IF('Entries April 2026'!Q7-'Entries April 2026'!Q6&lt;1,0,'Entries April 2026'!Q7-'Entries April 2026'!Q6)</f>
        <v>211</v>
      </c>
      <c r="I7" s="31">
        <f>IF('Entries April 2026'!AG7-'Entries April 2026'!AG6&lt;1,0,'Entries April 2026'!AG7-'Entries April 2026'!AG6)</f>
        <v>0</v>
      </c>
      <c r="J7" s="31">
        <f>IF('Entries April 2026'!S7-'Entries April 2026'!S6&lt;1,"0",'Entries April 2026'!S7-'Entries April 2026'!S6)</f>
        <v>96</v>
      </c>
      <c r="K7" s="31" t="str">
        <f>IF('Entries April 2026'!R7-'Entries April 2026'!R6&lt;1,"0",'Entries April 2026'!R7-'Entries April 2026'!R6)</f>
        <v>0</v>
      </c>
      <c r="L7" s="31" t="str">
        <f>IF('Entries April 2026'!T7-'Entries April 2026'!T6&lt;1,"0",'Entries April 2026'!T7-'Entries April 2026'!T6)</f>
        <v>0</v>
      </c>
      <c r="M7" s="31">
        <f>IF('Entries April 2026'!U7-'Entries April 2026'!U6&lt;1,"0",'Entries April 2026'!U7-'Entries April 2026'!U6)</f>
        <v>2</v>
      </c>
      <c r="N7" s="31">
        <f>IF('Entries April 2026'!X7-'Entries April 2026'!X6&lt;1,"0",'Entries April 2026'!X7-'Entries April 2026'!X6)</f>
        <v>68</v>
      </c>
      <c r="O7" s="31">
        <f>IF('Entries April 2026'!Y7-'Entries April 2026'!Y6&lt;1,"0",'Entries April 2026'!Y7-'Entries April 2026'!Y6)</f>
        <v>60</v>
      </c>
      <c r="P7" s="31">
        <f>IF('Entries April 2026'!AC7-'Entries April 2026'!AC6&lt;1,"0",'Entries April 2026'!AC7-'Entries April 2026'!AC6)</f>
        <v>13</v>
      </c>
      <c r="Q7" s="31">
        <f>IF('Entries April 2026'!Z7-'Entries April 2026'!Z6&lt;1,"0",'Entries April 2026'!Z7-'Entries April 2026'!Z6)</f>
        <v>13</v>
      </c>
      <c r="R7" s="31" t="str">
        <f>IF(('Entries April 2026'!AA7-'Entries April 2026'!AA6)+('Entries April 2026'!AB7-'Entries April 2026'!AB6)&lt;1,"0",('Entries April 2026'!AA7-'Entries April 2026'!AA6)+('Entries April 2026'!AB7-'Entries April 2026'!AB6))</f>
        <v>0</v>
      </c>
      <c r="S7" s="52">
        <f>(R7+G7)*10</f>
        <v>1990</v>
      </c>
      <c r="T7" s="52">
        <f>O7+N7+M7+L7</f>
        <v>130</v>
      </c>
      <c r="U7" s="31">
        <f>IF('Entries April 2026'!AC7-'Entries April 2026'!AC6&lt;1,"0",'Entries April 2026'!AC7-'Entries April 2026'!AC6)</f>
        <v>13</v>
      </c>
      <c r="V7" s="31">
        <f>IF('Entries April 2026'!AD7-'Entries April 2026'!AD6&lt;1,"0",'Entries April 2026'!AD7-'Entries April 2026'!AD6)</f>
        <v>26</v>
      </c>
      <c r="W7" s="31" t="str">
        <f>IF('Entries April 2026'!AE7-'Entries April 2026'!AE6&lt;1,"0",'Entries April 2026'!AE7-'Entries April 2026'!AE6)</f>
        <v>0</v>
      </c>
      <c r="X7" s="79" t="str">
        <f>IF('Entries April 2026'!AI7-'Entries April 2026'!AI6&lt;1,"0",'Entries April 2026'!AI7-'Entries April 2026'!AI6)</f>
        <v>0</v>
      </c>
      <c r="Y7" s="79" t="str">
        <f>IF('Entries April 2026'!AH7-'Entries April 2026'!AH6&lt;1,"0",'Entries April 2026'!AH7-'Entries April 2026'!AH6)</f>
        <v>0</v>
      </c>
      <c r="Z7" s="331">
        <f>C7+D7+E7</f>
        <v>363</v>
      </c>
      <c r="AA7" s="332" cm="1">
        <f t="array" ref="AA7:AA36">IF(TRANSPOSE('Daily KPIs'!B9:AE9)=0,"0",TRANSPOSE('Daily KPIs'!B9:AE9))</f>
        <v>209.55</v>
      </c>
      <c r="AB7" s="333">
        <f>IF(AA7=0,"0",(Z7*10/AA7))</f>
        <v>17.322834645669289</v>
      </c>
    </row>
    <row r="8" spans="1:31" x14ac:dyDescent="0.2">
      <c r="B8" s="51">
        <v>2</v>
      </c>
      <c r="C8" s="52" t="str">
        <f>IF('Entries April 2026'!W8-'Entries April 2026'!W7&lt;1,"0",'Entries April 2026'!W8-'Entries April 2026'!W7)</f>
        <v>0</v>
      </c>
      <c r="D8" s="31">
        <f>IF('Entries April 2026'!O8-'Entries April 2026'!O7&lt;1,"0",'Entries April 2026'!O8-'Entries April 2026'!O7)</f>
        <v>124</v>
      </c>
      <c r="E8" s="31">
        <f>IF('Entries April 2026'!P8-'Entries April 2026'!P7&lt;1,"0",'Entries April 2026'!P8-'Entries April 2026'!P7)</f>
        <v>168</v>
      </c>
      <c r="F8" s="31">
        <f>IF('Entries April 2026'!V8-'Entries April 2026'!V7&lt;1,"0",'Entries April 2026'!V8-'Entries April 2026'!V7)</f>
        <v>177</v>
      </c>
      <c r="G8" s="31">
        <f t="shared" ref="G8:G37" si="0">(D8+E8)-F8</f>
        <v>115</v>
      </c>
      <c r="H8" s="31">
        <f>IF('Entries April 2026'!Q8-'Entries April 2026'!Q7&lt;1,0,'Entries April 2026'!Q8-'Entries April 2026'!Q7)</f>
        <v>166</v>
      </c>
      <c r="I8" s="31">
        <f>IF('Entries April 2026'!AG8-'Entries April 2026'!AG7&lt;1,0,'Entries April 2026'!AG8-'Entries April 2026'!AG7)</f>
        <v>0</v>
      </c>
      <c r="J8" s="31">
        <f>IF('Entries April 2026'!S8-'Entries April 2026'!S7&lt;1,"0",'Entries April 2026'!S8-'Entries April 2026'!S7)</f>
        <v>76</v>
      </c>
      <c r="K8" s="31" t="str">
        <f>IF('Entries April 2026'!R8-'Entries April 2026'!R7&lt;1,"0",'Entries April 2026'!R8-'Entries April 2026'!R7)</f>
        <v>0</v>
      </c>
      <c r="L8" s="31" t="str">
        <f>IF('Entries April 2026'!T8-'Entries April 2026'!T7&lt;1,"0",'Entries April 2026'!T8-'Entries April 2026'!T7)</f>
        <v>0</v>
      </c>
      <c r="M8" s="31">
        <f>IF('Entries April 2026'!U8-'Entries April 2026'!U7&lt;1,"0",'Entries April 2026'!U8-'Entries April 2026'!U7)</f>
        <v>2</v>
      </c>
      <c r="N8" s="31">
        <f>IF('Entries April 2026'!X8-'Entries April 2026'!X7&lt;1,"0",'Entries April 2026'!X8-'Entries April 2026'!X7)</f>
        <v>23</v>
      </c>
      <c r="O8" s="31">
        <f>IF('Entries April 2026'!Y8-'Entries April 2026'!Y7&lt;1,"0",'Entries April 2026'!Y8-'Entries April 2026'!Y7)</f>
        <v>57</v>
      </c>
      <c r="P8" s="31">
        <f>IF('Entries April 2026'!AC8-'Entries April 2026'!AC7&lt;1,"0",'Entries April 2026'!AC8-'Entries April 2026'!AC7)</f>
        <v>21</v>
      </c>
      <c r="Q8" s="31">
        <f>IF('Entries April 2026'!Z8-'Entries April 2026'!Z7&lt;1,"0",'Entries April 2026'!Z8-'Entries April 2026'!Z7)</f>
        <v>4</v>
      </c>
      <c r="R8" s="31" t="str">
        <f>IF(('Entries April 2026'!AA8-'Entries April 2026'!AA7)+('Entries April 2026'!AB8-'Entries April 2026'!AB7)&lt;1,"0",('Entries April 2026'!AA8-'Entries April 2026'!AA7)+('Entries April 2026'!AB8-'Entries April 2026'!AB7))</f>
        <v>0</v>
      </c>
      <c r="S8" s="52">
        <f>(R8+G8)*10</f>
        <v>1150</v>
      </c>
      <c r="T8" s="52">
        <f t="shared" ref="T8:T36" si="1">O8+N8+M8+L8</f>
        <v>82</v>
      </c>
      <c r="U8" s="31">
        <f>IF('Entries April 2026'!AC8-'Entries April 2026'!AC7&lt;1,"0",'Entries April 2026'!AC8-'Entries April 2026'!AC7)</f>
        <v>21</v>
      </c>
      <c r="V8" s="31" t="str">
        <f>IF('Entries April 2026'!AD8-'Entries April 2026'!AD7&lt;1,"0",'Entries April 2026'!AD8-'Entries April 2026'!AD7)</f>
        <v>0</v>
      </c>
      <c r="W8" s="31" t="str">
        <f>IF('Entries April 2026'!AE8-'Entries April 2026'!AE7&lt;1,"0",'Entries April 2026'!AE8-'Entries April 2026'!AE7)</f>
        <v>0</v>
      </c>
      <c r="X8" s="79" t="str">
        <f>IF('Entries April 2026'!AI8-'Entries April 2026'!AI7&lt;1,"0",'Entries April 2026'!AI8-'Entries April 2026'!AI7)</f>
        <v>0</v>
      </c>
      <c r="Y8" s="79" t="str">
        <f>IF('Entries April 2026'!AH8-'Entries April 2026'!AH7&lt;1,"0",'Entries April 2026'!AH8-'Entries April 2026'!AH7)</f>
        <v>0</v>
      </c>
      <c r="Z8" s="331">
        <f t="shared" ref="Z8:Z37" si="2">C8+D8+E8</f>
        <v>292</v>
      </c>
      <c r="AA8" s="332">
        <v>189.28800000000001</v>
      </c>
      <c r="AB8" s="333">
        <f t="shared" ref="AB8:AB36" si="3">IF(AA8=0,"0",(Z8*10/AA8))</f>
        <v>15.426228815350154</v>
      </c>
    </row>
    <row r="9" spans="1:31" x14ac:dyDescent="0.2">
      <c r="B9" s="51">
        <v>3</v>
      </c>
      <c r="C9" s="52" t="str">
        <f>IF('Entries April 2026'!W9-'Entries April 2026'!W8&lt;1,"0",'Entries April 2026'!W9-'Entries April 2026'!W8)</f>
        <v>0</v>
      </c>
      <c r="D9" s="31" t="str">
        <f>IF('Entries April 2026'!O9-'Entries April 2026'!O8&lt;1,"0",'Entries April 2026'!O9-'Entries April 2026'!O8)</f>
        <v>0</v>
      </c>
      <c r="E9" s="31" t="str">
        <f>IF('Entries April 2026'!P9-'Entries April 2026'!P8&lt;1,"0",'Entries April 2026'!P9-'Entries April 2026'!P8)</f>
        <v>0</v>
      </c>
      <c r="F9" s="31" t="str">
        <f>IF('Entries April 2026'!V9-'Entries April 2026'!V8&lt;1,"0",'Entries April 2026'!V9-'Entries April 2026'!V8)</f>
        <v>0</v>
      </c>
      <c r="G9" s="31">
        <f t="shared" si="0"/>
        <v>0</v>
      </c>
      <c r="H9" s="31">
        <f>IF('Entries April 2026'!Q9-'Entries April 2026'!Q8&lt;1,0,'Entries April 2026'!Q9-'Entries April 2026'!Q8)</f>
        <v>13</v>
      </c>
      <c r="I9" s="31">
        <f>IF('Entries April 2026'!AG9-'Entries April 2026'!AG8&lt;1,0,'Entries April 2026'!AG9-'Entries April 2026'!AG8)</f>
        <v>0</v>
      </c>
      <c r="J9" s="31" t="str">
        <f>IF('Entries April 2026'!S9-'Entries April 2026'!S8&lt;1,"0",'Entries April 2026'!S9-'Entries April 2026'!S8)</f>
        <v>0</v>
      </c>
      <c r="K9" s="31" t="str">
        <f>IF('Entries April 2026'!R9-'Entries April 2026'!R8&lt;1,"0",'Entries April 2026'!R9-'Entries April 2026'!R8)</f>
        <v>0</v>
      </c>
      <c r="L9" s="31" t="str">
        <f>IF('Entries April 2026'!T9-'Entries April 2026'!T8&lt;1,"0",'Entries April 2026'!T9-'Entries April 2026'!T8)</f>
        <v>0</v>
      </c>
      <c r="M9" s="31" t="str">
        <f>IF('Entries April 2026'!U9-'Entries April 2026'!U8&lt;1,"0",'Entries April 2026'!U9-'Entries April 2026'!U8)</f>
        <v>0</v>
      </c>
      <c r="N9" s="31" t="str">
        <f>IF('Entries April 2026'!X9-'Entries April 2026'!X8&lt;1,"0",'Entries April 2026'!X9-'Entries April 2026'!X8)</f>
        <v>0</v>
      </c>
      <c r="O9" s="31" t="str">
        <f>IF('Entries April 2026'!Y9-'Entries April 2026'!Y8&lt;1,"0",'Entries April 2026'!Y9-'Entries April 2026'!Y8)</f>
        <v>0</v>
      </c>
      <c r="P9" s="31" t="str">
        <f>IF('Entries April 2026'!AC9-'Entries April 2026'!AC8&lt;1,"0",'Entries April 2026'!AC9-'Entries April 2026'!AC8)</f>
        <v>0</v>
      </c>
      <c r="Q9" s="31">
        <f>IF('Entries April 2026'!Z9-'Entries April 2026'!Z8&lt;1,"0",'Entries April 2026'!Z9-'Entries April 2026'!Z8)</f>
        <v>17</v>
      </c>
      <c r="R9" s="31" t="str">
        <f>IF(('Entries April 2026'!AA9-'Entries April 2026'!AA8)+('Entries April 2026'!AB9-'Entries April 2026'!AB8)&lt;1,"0",('Entries April 2026'!AA9-'Entries April 2026'!AA8)+('Entries April 2026'!AB9-'Entries April 2026'!AB8))</f>
        <v>0</v>
      </c>
      <c r="S9" s="52">
        <f t="shared" ref="S9:S37" si="4">(R9+G9)*10</f>
        <v>0</v>
      </c>
      <c r="T9" s="52">
        <f t="shared" si="1"/>
        <v>0</v>
      </c>
      <c r="U9" s="31" t="str">
        <f>IF('Entries April 2026'!AC9-'Entries April 2026'!AC8&lt;1,"0",'Entries April 2026'!AC9-'Entries April 2026'!AC8)</f>
        <v>0</v>
      </c>
      <c r="V9" s="31" t="str">
        <f>IF('Entries April 2026'!AD9-'Entries April 2026'!AD8&lt;1,"0",'Entries April 2026'!AD9-'Entries April 2026'!AD8)</f>
        <v>0</v>
      </c>
      <c r="W9" s="31" t="str">
        <f>IF('Entries April 2026'!AE9-'Entries April 2026'!AE8&lt;1,"0",'Entries April 2026'!AE9-'Entries April 2026'!AE8)</f>
        <v>0</v>
      </c>
      <c r="X9" s="79" t="str">
        <f>IF('Entries April 2026'!AI9-'Entries April 2026'!AI8&lt;1,"0",'Entries April 2026'!AI9-'Entries April 2026'!AI8)</f>
        <v>0</v>
      </c>
      <c r="Y9" s="79" t="str">
        <f>IF('Entries April 2026'!AH9-'Entries April 2026'!AH8&lt;1,"0",'Entries April 2026'!AH9-'Entries April 2026'!AH8)</f>
        <v>0</v>
      </c>
      <c r="Z9" s="331">
        <f t="shared" si="2"/>
        <v>0</v>
      </c>
      <c r="AA9" s="332" t="str">
        <v>0</v>
      </c>
      <c r="AB9" s="333" t="str">
        <f t="shared" si="3"/>
        <v>0</v>
      </c>
    </row>
    <row r="10" spans="1:31" x14ac:dyDescent="0.2">
      <c r="B10" s="711">
        <v>4</v>
      </c>
      <c r="C10" s="712" t="str">
        <f>IF('Entries April 2026'!W10-'Entries April 2026'!W9&lt;1,"0",'Entries April 2026'!W10-'Entries April 2026'!W9)</f>
        <v>0</v>
      </c>
      <c r="D10" s="713">
        <f>IF('Entries April 2026'!O10-'Entries April 2026'!O9&lt;1,"0",'Entries April 2026'!O10-'Entries April 2026'!O9)</f>
        <v>27</v>
      </c>
      <c r="E10" s="713">
        <f>IF('Entries April 2026'!P10-'Entries April 2026'!P9&lt;1,"0",'Entries April 2026'!P10-'Entries April 2026'!P9)</f>
        <v>120</v>
      </c>
      <c r="F10" s="713">
        <f>IF('Entries April 2026'!V10-'Entries April 2026'!V9&lt;1,"0",'Entries April 2026'!V10-'Entries April 2026'!V9)</f>
        <v>126</v>
      </c>
      <c r="G10" s="713">
        <f t="shared" si="0"/>
        <v>21</v>
      </c>
      <c r="H10" s="713">
        <f>IF('Entries April 2026'!Q10-'Entries April 2026'!Q9&lt;1,0,'Entries April 2026'!Q10-'Entries April 2026'!Q9)</f>
        <v>58</v>
      </c>
      <c r="I10" s="713">
        <f>IF('Entries April 2026'!AG10-'Entries April 2026'!AG9&lt;1,0,'Entries April 2026'!AG10-'Entries April 2026'!AG9)</f>
        <v>0</v>
      </c>
      <c r="J10" s="713" t="str">
        <f>IF('Entries April 2026'!S10-'Entries April 2026'!S9&lt;1,"0",'Entries April 2026'!S10-'Entries April 2026'!S9)</f>
        <v>0</v>
      </c>
      <c r="K10" s="713" t="str">
        <f>IF('Entries April 2026'!R10-'Entries April 2026'!R9&lt;1,"0",'Entries April 2026'!R10-'Entries April 2026'!R9)</f>
        <v>0</v>
      </c>
      <c r="L10" s="713" t="str">
        <f>IF('Entries April 2026'!T10-'Entries April 2026'!T9&lt;1,"0",'Entries April 2026'!T10-'Entries April 2026'!T9)</f>
        <v>0</v>
      </c>
      <c r="M10" s="713" t="str">
        <f>IF('Entries April 2026'!U10-'Entries April 2026'!U9&lt;1,"0",'Entries April 2026'!U10-'Entries April 2026'!U9)</f>
        <v>0</v>
      </c>
      <c r="N10" s="713" t="str">
        <f>IF('Entries April 2026'!X10-'Entries April 2026'!X9&lt;1,"0",'Entries April 2026'!X10-'Entries April 2026'!X9)</f>
        <v>0</v>
      </c>
      <c r="O10" s="713">
        <f>IF('Entries April 2026'!Y10-'Entries April 2026'!Y9&lt;1,"0",'Entries April 2026'!Y10-'Entries April 2026'!Y9)</f>
        <v>34</v>
      </c>
      <c r="P10" s="713" t="str">
        <f>IF('Entries April 2026'!AC10-'Entries April 2026'!AC9&lt;1,"0",'Entries April 2026'!AC10-'Entries April 2026'!AC9)</f>
        <v>0</v>
      </c>
      <c r="Q10" s="713">
        <f>IF('Entries April 2026'!Z10-'Entries April 2026'!Z9&lt;1,"0",'Entries April 2026'!Z10-'Entries April 2026'!Z9)</f>
        <v>2</v>
      </c>
      <c r="R10" s="713" t="str">
        <f>IF(('Entries April 2026'!AA10-'Entries April 2026'!AA9)+('Entries April 2026'!AB10-'Entries April 2026'!AB9)&lt;1,"0",('Entries April 2026'!AA10-'Entries April 2026'!AA9)+('Entries April 2026'!AB10-'Entries April 2026'!AB9))</f>
        <v>0</v>
      </c>
      <c r="S10" s="712">
        <f t="shared" si="4"/>
        <v>210</v>
      </c>
      <c r="T10" s="712">
        <f t="shared" si="1"/>
        <v>34</v>
      </c>
      <c r="U10" s="713" t="str">
        <f>IF('Entries April 2026'!AC10-'Entries April 2026'!AC9&lt;1,"0",'Entries April 2026'!AC10-'Entries April 2026'!AC9)</f>
        <v>0</v>
      </c>
      <c r="V10" s="713" t="str">
        <f>IF('Entries April 2026'!AD10-'Entries April 2026'!AD9&lt;1,"0",'Entries April 2026'!AD10-'Entries April 2026'!AD9)</f>
        <v>0</v>
      </c>
      <c r="W10" s="713" t="str">
        <f>IF('Entries April 2026'!AE10-'Entries April 2026'!AE9&lt;1,"0",'Entries April 2026'!AE10-'Entries April 2026'!AE9)</f>
        <v>0</v>
      </c>
      <c r="X10" s="714" t="str">
        <f>IF('Entries April 2026'!AI10-'Entries April 2026'!AI9&lt;1,"0",'Entries April 2026'!AI10-'Entries April 2026'!AI9)</f>
        <v>0</v>
      </c>
      <c r="Y10" s="714" t="str">
        <f>IF('Entries April 2026'!AH10-'Entries April 2026'!AH9&lt;1,"0",'Entries April 2026'!AH10-'Entries April 2026'!AH9)</f>
        <v>0</v>
      </c>
      <c r="Z10" s="331">
        <f t="shared" si="2"/>
        <v>147</v>
      </c>
      <c r="AA10" s="332" t="str">
        <v>0</v>
      </c>
      <c r="AB10" s="333" t="str">
        <f t="shared" si="3"/>
        <v>0</v>
      </c>
      <c r="AD10" s="8" t="s">
        <v>58</v>
      </c>
    </row>
    <row r="11" spans="1:31" x14ac:dyDescent="0.2">
      <c r="B11" s="711">
        <v>5</v>
      </c>
      <c r="C11" s="712" t="str">
        <f>IF('Entries April 2026'!W11-'Entries April 2026'!W10&lt;1,"0",'Entries April 2026'!W11-'Entries April 2026'!W10)</f>
        <v>0</v>
      </c>
      <c r="D11" s="713" t="str">
        <f>IF('Entries April 2026'!O11-'Entries April 2026'!O10&lt;1,"0",'Entries April 2026'!O11-'Entries April 2026'!O10)</f>
        <v>0</v>
      </c>
      <c r="E11" s="713" t="str">
        <f>IF('Entries April 2026'!P11-'Entries April 2026'!P10&lt;1,"0",'Entries April 2026'!P11-'Entries April 2026'!P10)</f>
        <v>0</v>
      </c>
      <c r="F11" s="713" t="str">
        <f>IF('Entries April 2026'!V11-'Entries April 2026'!V10&lt;1,"0",'Entries April 2026'!V11-'Entries April 2026'!V10)</f>
        <v>0</v>
      </c>
      <c r="G11" s="713">
        <f t="shared" si="0"/>
        <v>0</v>
      </c>
      <c r="H11" s="713">
        <f>IF('Entries April 2026'!Q11-'Entries April 2026'!Q10&lt;1,0,'Entries April 2026'!Q11-'Entries April 2026'!Q10)</f>
        <v>8</v>
      </c>
      <c r="I11" s="713">
        <f>IF('Entries April 2026'!AG11-'Entries April 2026'!AG10&lt;1,0,'Entries April 2026'!AG11-'Entries April 2026'!AG10)</f>
        <v>0</v>
      </c>
      <c r="J11" s="713" t="str">
        <f>IF('Entries April 2026'!S11-'Entries April 2026'!S10&lt;1,"0",'Entries April 2026'!S11-'Entries April 2026'!S10)</f>
        <v>0</v>
      </c>
      <c r="K11" s="713" t="str">
        <f>IF('Entries April 2026'!R11-'Entries April 2026'!R10&lt;1,"0",'Entries April 2026'!R11-'Entries April 2026'!R10)</f>
        <v>0</v>
      </c>
      <c r="L11" s="713" t="str">
        <f>IF('Entries April 2026'!T11-'Entries April 2026'!T10&lt;1,"0",'Entries April 2026'!T11-'Entries April 2026'!T10)</f>
        <v>0</v>
      </c>
      <c r="M11" s="713" t="str">
        <f>IF('Entries April 2026'!U11-'Entries April 2026'!U10&lt;1,"0",'Entries April 2026'!U11-'Entries April 2026'!U10)</f>
        <v>0</v>
      </c>
      <c r="N11" s="713" t="str">
        <f>IF('Entries April 2026'!X11-'Entries April 2026'!X10&lt;1,"0",'Entries April 2026'!X11-'Entries April 2026'!X10)</f>
        <v>0</v>
      </c>
      <c r="O11" s="713" t="str">
        <f>IF('Entries April 2026'!Y11-'Entries April 2026'!Y10&lt;1,"0",'Entries April 2026'!Y11-'Entries April 2026'!Y10)</f>
        <v>0</v>
      </c>
      <c r="P11" s="713" t="str">
        <f>IF('Entries April 2026'!AC11-'Entries April 2026'!AC10&lt;1,"0",'Entries April 2026'!AC11-'Entries April 2026'!AC10)</f>
        <v>0</v>
      </c>
      <c r="Q11" s="713" t="str">
        <f>IF('Entries April 2026'!Z11-'Entries April 2026'!Z10&lt;1,"0",'Entries April 2026'!Z11-'Entries April 2026'!Z10)</f>
        <v>0</v>
      </c>
      <c r="R11" s="713" t="str">
        <f>IF(('Entries April 2026'!AA11-'Entries April 2026'!AA10)+('Entries April 2026'!AB11-'Entries April 2026'!AB10)&lt;1,"0",('Entries April 2026'!AA11-'Entries April 2026'!AA10)+('Entries April 2026'!AB11-'Entries April 2026'!AB10))</f>
        <v>0</v>
      </c>
      <c r="S11" s="712">
        <f t="shared" si="4"/>
        <v>0</v>
      </c>
      <c r="T11" s="712">
        <f t="shared" si="1"/>
        <v>0</v>
      </c>
      <c r="U11" s="713" t="str">
        <f>IF('Entries April 2026'!AC11-'Entries April 2026'!AC10&lt;1,"0",'Entries April 2026'!AC11-'Entries April 2026'!AC10)</f>
        <v>0</v>
      </c>
      <c r="V11" s="713" t="str">
        <f>IF('Entries April 2026'!AD11-'Entries April 2026'!AD10&lt;1,"0",'Entries April 2026'!AD11-'Entries April 2026'!AD10)</f>
        <v>0</v>
      </c>
      <c r="W11" s="713" t="str">
        <f>IF('Entries April 2026'!AE11-'Entries April 2026'!AE10&lt;1,"0",'Entries April 2026'!AE11-'Entries April 2026'!AE10)</f>
        <v>0</v>
      </c>
      <c r="X11" s="714" t="str">
        <f>IF('Entries April 2026'!AI11-'Entries April 2026'!AI10&lt;1,"0",'Entries April 2026'!AI11-'Entries April 2026'!AI10)</f>
        <v>0</v>
      </c>
      <c r="Y11" s="714" t="str">
        <f>IF('Entries April 2026'!AH11-'Entries April 2026'!AH10&lt;1,"0",'Entries April 2026'!AH11-'Entries April 2026'!AH10)</f>
        <v>0</v>
      </c>
      <c r="Z11" s="331">
        <f t="shared" si="2"/>
        <v>0</v>
      </c>
      <c r="AA11" s="332" t="str">
        <v>0</v>
      </c>
      <c r="AB11" s="333" t="str">
        <f t="shared" si="3"/>
        <v>0</v>
      </c>
    </row>
    <row r="12" spans="1:31" x14ac:dyDescent="0.2">
      <c r="A12" s="29"/>
      <c r="B12" s="711">
        <v>6</v>
      </c>
      <c r="C12" s="712" t="str">
        <f>IF('Entries April 2026'!W12-'Entries April 2026'!W11&lt;1,"0",'Entries April 2026'!W12-'Entries April 2026'!W11)</f>
        <v>0</v>
      </c>
      <c r="D12" s="713" t="str">
        <f>IF('Entries April 2026'!O12-'Entries April 2026'!O11&lt;1,"0",'Entries April 2026'!O12-'Entries April 2026'!O11)</f>
        <v>0</v>
      </c>
      <c r="E12" s="713" t="str">
        <f>IF('Entries April 2026'!P12-'Entries April 2026'!P11&lt;1,"0",'Entries April 2026'!P12-'Entries April 2026'!P11)</f>
        <v>0</v>
      </c>
      <c r="F12" s="713" t="str">
        <f>IF('Entries April 2026'!V12-'Entries April 2026'!V11&lt;1,"0",'Entries April 2026'!V12-'Entries April 2026'!V11)</f>
        <v>0</v>
      </c>
      <c r="G12" s="713">
        <f t="shared" si="0"/>
        <v>0</v>
      </c>
      <c r="H12" s="713">
        <f>IF('Entries April 2026'!Q12-'Entries April 2026'!Q11&lt;1,0,'Entries April 2026'!Q12-'Entries April 2026'!Q11)</f>
        <v>6</v>
      </c>
      <c r="I12" s="713">
        <f>IF('Entries April 2026'!AG12-'Entries April 2026'!AG11&lt;1,0,'Entries April 2026'!AG12-'Entries April 2026'!AG11)</f>
        <v>0</v>
      </c>
      <c r="J12" s="713" t="str">
        <f>IF('Entries April 2026'!S12-'Entries April 2026'!S11&lt;1,"0",'Entries April 2026'!S12-'Entries April 2026'!S11)</f>
        <v>0</v>
      </c>
      <c r="K12" s="713" t="str">
        <f>IF('Entries April 2026'!R12-'Entries April 2026'!R11&lt;1,"0",'Entries April 2026'!R12-'Entries April 2026'!R11)</f>
        <v>0</v>
      </c>
      <c r="L12" s="713" t="str">
        <f>IF('Entries April 2026'!T12-'Entries April 2026'!T11&lt;1,"0",'Entries April 2026'!T12-'Entries April 2026'!T11)</f>
        <v>0</v>
      </c>
      <c r="M12" s="713" t="str">
        <f>IF('Entries April 2026'!U12-'Entries April 2026'!U11&lt;1,"0",'Entries April 2026'!U12-'Entries April 2026'!U11)</f>
        <v>0</v>
      </c>
      <c r="N12" s="713" t="str">
        <f>IF('Entries April 2026'!X12-'Entries April 2026'!X11&lt;1,"0",'Entries April 2026'!X12-'Entries April 2026'!X11)</f>
        <v>0</v>
      </c>
      <c r="O12" s="713" t="str">
        <f>IF('Entries April 2026'!Y12-'Entries April 2026'!Y11&lt;1,"0",'Entries April 2026'!Y12-'Entries April 2026'!Y11)</f>
        <v>0</v>
      </c>
      <c r="P12" s="713" t="str">
        <f>IF('Entries April 2026'!AC12-'Entries April 2026'!AC11&lt;1,"0",'Entries April 2026'!AC12-'Entries April 2026'!AC11)</f>
        <v>0</v>
      </c>
      <c r="Q12" s="713">
        <f>IF('Entries April 2026'!Z12-'Entries April 2026'!Z11&lt;1,"0",'Entries April 2026'!Z12-'Entries April 2026'!Z11)</f>
        <v>4</v>
      </c>
      <c r="R12" s="713" t="str">
        <f>IF(('Entries April 2026'!AA12-'Entries April 2026'!AA11)+('Entries April 2026'!AB12-'Entries April 2026'!AB11)&lt;1,"0",('Entries April 2026'!AA12-'Entries April 2026'!AA11)+('Entries April 2026'!AB12-'Entries April 2026'!AB11))</f>
        <v>0</v>
      </c>
      <c r="S12" s="712">
        <f t="shared" si="4"/>
        <v>0</v>
      </c>
      <c r="T12" s="712">
        <f t="shared" si="1"/>
        <v>0</v>
      </c>
      <c r="U12" s="713" t="str">
        <f>IF('Entries April 2026'!AC12-'Entries April 2026'!AC11&lt;1,"0",'Entries April 2026'!AC12-'Entries April 2026'!AC11)</f>
        <v>0</v>
      </c>
      <c r="V12" s="713" t="str">
        <f>IF('Entries April 2026'!AD12-'Entries April 2026'!AD11&lt;1,"0",'Entries April 2026'!AD12-'Entries April 2026'!AD11)</f>
        <v>0</v>
      </c>
      <c r="W12" s="713" t="str">
        <f>IF('Entries April 2026'!AE12-'Entries April 2026'!AE11&lt;1,"0",'Entries April 2026'!AE12-'Entries April 2026'!AE11)</f>
        <v>0</v>
      </c>
      <c r="X12" s="714" t="str">
        <f>IF('Entries April 2026'!AI12-'Entries April 2026'!AI11&lt;1,"0",'Entries April 2026'!AI12-'Entries April 2026'!AI11)</f>
        <v>0</v>
      </c>
      <c r="Y12" s="714" t="str">
        <f>IF('Entries April 2026'!AH12-'Entries April 2026'!AH11&lt;1,"0",'Entries April 2026'!AH12-'Entries April 2026'!AH11)</f>
        <v>0</v>
      </c>
      <c r="Z12" s="331">
        <f t="shared" si="2"/>
        <v>0</v>
      </c>
      <c r="AA12" s="332" t="str">
        <v>0</v>
      </c>
      <c r="AB12" s="333" t="str">
        <f t="shared" si="3"/>
        <v>0</v>
      </c>
      <c r="AE12" s="8" t="s">
        <v>58</v>
      </c>
    </row>
    <row r="13" spans="1:31" x14ac:dyDescent="0.2">
      <c r="A13" s="29"/>
      <c r="B13" s="711">
        <v>7</v>
      </c>
      <c r="C13" s="712" t="str">
        <f>IF('Entries April 2026'!W13-'Entries April 2026'!W12&lt;1,"0",'Entries April 2026'!W13-'Entries April 2026'!W12)</f>
        <v>0</v>
      </c>
      <c r="D13" s="713">
        <f>IF('Entries April 2026'!O13-'Entries April 2026'!O12&lt;1,"0",'Entries April 2026'!O13-'Entries April 2026'!O12)</f>
        <v>34</v>
      </c>
      <c r="E13" s="713">
        <f>IF('Entries April 2026'!P13-'Entries April 2026'!P12&lt;1,"0",'Entries April 2026'!P13-'Entries April 2026'!P12)</f>
        <v>184</v>
      </c>
      <c r="F13" s="713">
        <f>IF('Entries April 2026'!V13-'Entries April 2026'!V12&lt;1,"0",'Entries April 2026'!V13-'Entries April 2026'!V12)</f>
        <v>193</v>
      </c>
      <c r="G13" s="713">
        <f t="shared" si="0"/>
        <v>25</v>
      </c>
      <c r="H13" s="713">
        <f>IF('Entries April 2026'!Q13-'Entries April 2026'!Q12&lt;1,0,'Entries April 2026'!Q13-'Entries April 2026'!Q12)</f>
        <v>152</v>
      </c>
      <c r="I13" s="713">
        <f>IF('Entries April 2026'!AG13-'Entries April 2026'!AG12&lt;1,0,'Entries April 2026'!AG13-'Entries April 2026'!AG12)</f>
        <v>0</v>
      </c>
      <c r="J13" s="713">
        <f>IF('Entries April 2026'!S13-'Entries April 2026'!S12&lt;1,"0",'Entries April 2026'!S13-'Entries April 2026'!S12)</f>
        <v>140</v>
      </c>
      <c r="K13" s="713" t="str">
        <f>IF('Entries April 2026'!R13-'Entries April 2026'!R12&lt;1,"0",'Entries April 2026'!R13-'Entries April 2026'!R12)</f>
        <v>0</v>
      </c>
      <c r="L13" s="713" t="str">
        <f>IF('Entries April 2026'!T13-'Entries April 2026'!T12&lt;1,"0",'Entries April 2026'!T13-'Entries April 2026'!T12)</f>
        <v>0</v>
      </c>
      <c r="M13" s="713">
        <f>IF('Entries April 2026'!U13-'Entries April 2026'!U12&lt;1,"0",'Entries April 2026'!U13-'Entries April 2026'!U12)</f>
        <v>3</v>
      </c>
      <c r="N13" s="713">
        <f>IF('Entries April 2026'!X13-'Entries April 2026'!X12&lt;1,"0",'Entries April 2026'!X13-'Entries April 2026'!X12)</f>
        <v>42</v>
      </c>
      <c r="O13" s="713">
        <f>IF('Entries April 2026'!Y13-'Entries April 2026'!Y12&lt;1,"0",'Entries April 2026'!Y13-'Entries April 2026'!Y12)</f>
        <v>38</v>
      </c>
      <c r="P13" s="713">
        <f>IF('Entries April 2026'!AC13-'Entries April 2026'!AC12&lt;1,"0",'Entries April 2026'!AC13-'Entries April 2026'!AC12)</f>
        <v>17</v>
      </c>
      <c r="Q13" s="713">
        <f>IF('Entries April 2026'!Z13-'Entries April 2026'!Z12&lt;1,"0",'Entries April 2026'!Z13-'Entries April 2026'!Z12)</f>
        <v>15</v>
      </c>
      <c r="R13" s="713" t="str">
        <f>IF(('Entries April 2026'!AA13-'Entries April 2026'!AA12)+('Entries April 2026'!AB13-'Entries April 2026'!AB12)&lt;1,"0",('Entries April 2026'!AA13-'Entries April 2026'!AA12)+('Entries April 2026'!AB13-'Entries April 2026'!AB12))</f>
        <v>0</v>
      </c>
      <c r="S13" s="712">
        <f t="shared" si="4"/>
        <v>250</v>
      </c>
      <c r="T13" s="712">
        <f t="shared" si="1"/>
        <v>83</v>
      </c>
      <c r="U13" s="713">
        <f>IF('Entries April 2026'!AC13-'Entries April 2026'!AC12&lt;1,"0",'Entries April 2026'!AC13-'Entries April 2026'!AC12)</f>
        <v>17</v>
      </c>
      <c r="V13" s="713" t="str">
        <f>IF('Entries April 2026'!AD13-'Entries April 2026'!AD12&lt;1,"0",'Entries April 2026'!AD13-'Entries April 2026'!AD12)</f>
        <v>0</v>
      </c>
      <c r="W13" s="713" t="str">
        <f>IF('Entries April 2026'!AE13-'Entries April 2026'!AE12&lt;1,"0",'Entries April 2026'!AE13-'Entries April 2026'!AE12)</f>
        <v>0</v>
      </c>
      <c r="X13" s="714" t="str">
        <f>IF('Entries April 2026'!AI13-'Entries April 2026'!AI12&lt;1,"0",'Entries April 2026'!AI13-'Entries April 2026'!AI12)</f>
        <v>0</v>
      </c>
      <c r="Y13" s="714" t="str">
        <f>IF('Entries April 2026'!AH13-'Entries April 2026'!AH12&lt;1,"0",'Entries April 2026'!AH13-'Entries April 2026'!AH12)</f>
        <v>0</v>
      </c>
      <c r="Z13" s="331">
        <f t="shared" si="2"/>
        <v>218</v>
      </c>
      <c r="AA13" s="332">
        <v>71.14800000000001</v>
      </c>
      <c r="AB13" s="333">
        <f t="shared" si="3"/>
        <v>30.640355315679987</v>
      </c>
    </row>
    <row r="14" spans="1:31" x14ac:dyDescent="0.2">
      <c r="B14" s="711">
        <v>8</v>
      </c>
      <c r="C14" s="712" t="str">
        <f>IF('Entries April 2026'!W14-'Entries April 2026'!W13&lt;1,"0",'Entries April 2026'!W14-'Entries April 2026'!W13)</f>
        <v>0</v>
      </c>
      <c r="D14" s="713">
        <f>IF('Entries April 2026'!O14-'Entries April 2026'!O13&lt;1,"0",'Entries April 2026'!O14-'Entries April 2026'!O13)</f>
        <v>172</v>
      </c>
      <c r="E14" s="713">
        <f>IF('Entries April 2026'!P14-'Entries April 2026'!P13&lt;1,"0",'Entries April 2026'!P14-'Entries April 2026'!P13)</f>
        <v>147</v>
      </c>
      <c r="F14" s="713">
        <f>IF('Entries April 2026'!V14-'Entries April 2026'!V13&lt;1,"0",'Entries April 2026'!V14-'Entries April 2026'!V13)</f>
        <v>155</v>
      </c>
      <c r="G14" s="713">
        <f t="shared" si="0"/>
        <v>164</v>
      </c>
      <c r="H14" s="713">
        <f>IF('Entries April 2026'!Q14-'Entries April 2026'!Q13&lt;1,0,'Entries April 2026'!Q14-'Entries April 2026'!Q13)</f>
        <v>263</v>
      </c>
      <c r="I14" s="713">
        <f>IF('Entries April 2026'!AG14-'Entries April 2026'!AG13&lt;1,0,'Entries April 2026'!AG14-'Entries April 2026'!AG13)</f>
        <v>0</v>
      </c>
      <c r="J14" s="713">
        <f>IF('Entries April 2026'!S14-'Entries April 2026'!S13&lt;1,"0",'Entries April 2026'!S14-'Entries April 2026'!S13)</f>
        <v>53</v>
      </c>
      <c r="K14" s="713" t="str">
        <f>IF('Entries April 2026'!R14-'Entries April 2026'!R13&lt;1,"0",'Entries April 2026'!R14-'Entries April 2026'!R13)</f>
        <v>0</v>
      </c>
      <c r="L14" s="713" t="str">
        <f>IF('Entries April 2026'!T14-'Entries April 2026'!T13&lt;1,"0",'Entries April 2026'!T14-'Entries April 2026'!T13)</f>
        <v>0</v>
      </c>
      <c r="M14" s="713">
        <f>IF('Entries April 2026'!U14-'Entries April 2026'!U13&lt;1,"0",'Entries April 2026'!U14-'Entries April 2026'!U13)</f>
        <v>1</v>
      </c>
      <c r="N14" s="713">
        <f>IF('Entries April 2026'!X14-'Entries April 2026'!X13&lt;1,"0",'Entries April 2026'!X14-'Entries April 2026'!X13)</f>
        <v>48</v>
      </c>
      <c r="O14" s="713">
        <f>IF('Entries April 2026'!Y14-'Entries April 2026'!Y13&lt;1,"0",'Entries April 2026'!Y14-'Entries April 2026'!Y13)</f>
        <v>120</v>
      </c>
      <c r="P14" s="713">
        <f>IF('Entries April 2026'!AC14-'Entries April 2026'!AC13&lt;1,"0",'Entries April 2026'!AC14-'Entries April 2026'!AC13)</f>
        <v>32</v>
      </c>
      <c r="Q14" s="713">
        <f>IF('Entries April 2026'!Z14-'Entries April 2026'!Z13&lt;1,"0",'Entries April 2026'!Z14-'Entries April 2026'!Z13)</f>
        <v>15</v>
      </c>
      <c r="R14" s="713" t="str">
        <f>IF(('Entries April 2026'!AA14-'Entries April 2026'!AA13)+('Entries April 2026'!AB14-'Entries April 2026'!AB13)&lt;1,"0",('Entries April 2026'!AA14-'Entries April 2026'!AA13)+('Entries April 2026'!AB14-'Entries April 2026'!AB13))</f>
        <v>0</v>
      </c>
      <c r="S14" s="712">
        <f t="shared" si="4"/>
        <v>1640</v>
      </c>
      <c r="T14" s="712">
        <f t="shared" si="1"/>
        <v>169</v>
      </c>
      <c r="U14" s="713">
        <f>IF('Entries April 2026'!AC14-'Entries April 2026'!AC13&lt;1,"0",'Entries April 2026'!AC14-'Entries April 2026'!AC13)</f>
        <v>32</v>
      </c>
      <c r="V14" s="713">
        <f>IF('Entries April 2026'!AD14-'Entries April 2026'!AD13&lt;1,"0",'Entries April 2026'!AD14-'Entries April 2026'!AD13)</f>
        <v>11</v>
      </c>
      <c r="W14" s="713" t="str">
        <f>IF('Entries April 2026'!AE14-'Entries April 2026'!AE13&lt;1,"0",'Entries April 2026'!AE14-'Entries April 2026'!AE13)</f>
        <v>0</v>
      </c>
      <c r="X14" s="714" t="str">
        <f>IF('Entries April 2026'!AI14-'Entries April 2026'!AI13&lt;1,"0",'Entries April 2026'!AI14-'Entries April 2026'!AI13)</f>
        <v>0</v>
      </c>
      <c r="Y14" s="714" t="str">
        <f>IF('Entries April 2026'!AH14-'Entries April 2026'!AH13&lt;1,"0",'Entries April 2026'!AH14-'Entries April 2026'!AH13)</f>
        <v>0</v>
      </c>
      <c r="Z14" s="331">
        <f t="shared" si="2"/>
        <v>319</v>
      </c>
      <c r="AA14" s="332">
        <v>602.77800000000002</v>
      </c>
      <c r="AB14" s="333">
        <f t="shared" si="3"/>
        <v>5.2921639475893283</v>
      </c>
    </row>
    <row r="15" spans="1:31" x14ac:dyDescent="0.2">
      <c r="B15" s="711">
        <v>9</v>
      </c>
      <c r="C15" s="712" t="str">
        <f>IF('Entries April 2026'!W15-'Entries April 2026'!W14&lt;1,"0",'Entries April 2026'!W15-'Entries April 2026'!W14)</f>
        <v>0</v>
      </c>
      <c r="D15" s="713">
        <f>IF('Entries April 2026'!O15-'Entries April 2026'!O14&lt;1,"0",'Entries April 2026'!O15-'Entries April 2026'!O14)</f>
        <v>237</v>
      </c>
      <c r="E15" s="713">
        <f>IF('Entries April 2026'!P15-'Entries April 2026'!P14&lt;1,"0",'Entries April 2026'!P15-'Entries April 2026'!P14)</f>
        <v>138</v>
      </c>
      <c r="F15" s="713">
        <f>IF('Entries April 2026'!V15-'Entries April 2026'!V14&lt;1,"0",'Entries April 2026'!V15-'Entries April 2026'!V14)</f>
        <v>144</v>
      </c>
      <c r="G15" s="713">
        <f t="shared" si="0"/>
        <v>231</v>
      </c>
      <c r="H15" s="713">
        <f>IF('Entries April 2026'!Q15-'Entries April 2026'!Q14&lt;1,0,'Entries April 2026'!Q15-'Entries April 2026'!Q14)</f>
        <v>258</v>
      </c>
      <c r="I15" s="713">
        <f>IF('Entries April 2026'!AG15-'Entries April 2026'!AG14&lt;1,0,'Entries April 2026'!AG15-'Entries April 2026'!AG14)</f>
        <v>0</v>
      </c>
      <c r="J15" s="713">
        <f>IF('Entries April 2026'!S15-'Entries April 2026'!S14&lt;1,"0",'Entries April 2026'!S15-'Entries April 2026'!S14)</f>
        <v>167</v>
      </c>
      <c r="K15" s="713" t="str">
        <f>IF('Entries April 2026'!R15-'Entries April 2026'!R14&lt;1,"0",'Entries April 2026'!R15-'Entries April 2026'!R14)</f>
        <v>0</v>
      </c>
      <c r="L15" s="713" t="str">
        <f>IF('Entries April 2026'!T15-'Entries April 2026'!T14&lt;1,"0",'Entries April 2026'!T15-'Entries April 2026'!T14)</f>
        <v>0</v>
      </c>
      <c r="M15" s="713">
        <f>IF('Entries April 2026'!U15-'Entries April 2026'!U14&lt;1,"0",'Entries April 2026'!U15-'Entries April 2026'!U14)</f>
        <v>1</v>
      </c>
      <c r="N15" s="713">
        <f>IF('Entries April 2026'!X15-'Entries April 2026'!X14&lt;1,"0",'Entries April 2026'!X15-'Entries April 2026'!X14)</f>
        <v>31</v>
      </c>
      <c r="O15" s="713">
        <f>IF('Entries April 2026'!Y15-'Entries April 2026'!Y14&lt;1,"0",'Entries April 2026'!Y15-'Entries April 2026'!Y14)</f>
        <v>136</v>
      </c>
      <c r="P15" s="713">
        <f>IF('Entries April 2026'!AC15-'Entries April 2026'!AC14&lt;1,"0",'Entries April 2026'!AC15-'Entries April 2026'!AC14)</f>
        <v>33</v>
      </c>
      <c r="Q15" s="713">
        <f>IF('Entries April 2026'!Z15-'Entries April 2026'!Z14&lt;1,"0",'Entries April 2026'!Z15-'Entries April 2026'!Z14)</f>
        <v>17</v>
      </c>
      <c r="R15" s="713" t="str">
        <f>IF(('Entries April 2026'!AA15-'Entries April 2026'!AA14)+('Entries April 2026'!AB15-'Entries April 2026'!AB14)&lt;1,"0",('Entries April 2026'!AA15-'Entries April 2026'!AA14)+('Entries April 2026'!AB15-'Entries April 2026'!AB14))</f>
        <v>0</v>
      </c>
      <c r="S15" s="712">
        <f t="shared" si="4"/>
        <v>2310</v>
      </c>
      <c r="T15" s="712">
        <f t="shared" si="1"/>
        <v>168</v>
      </c>
      <c r="U15" s="713">
        <f>IF('Entries April 2026'!AC15-'Entries April 2026'!AC14&lt;1,"0",'Entries April 2026'!AC15-'Entries April 2026'!AC14)</f>
        <v>33</v>
      </c>
      <c r="V15" s="713">
        <f>IF('Entries April 2026'!AD15-'Entries April 2026'!AD14&lt;1,"0",'Entries April 2026'!AD15-'Entries April 2026'!AD14)</f>
        <v>21</v>
      </c>
      <c r="W15" s="713" t="str">
        <f>IF('Entries April 2026'!AE15-'Entries April 2026'!AE14&lt;1,"0",'Entries April 2026'!AE15-'Entries April 2026'!AE14)</f>
        <v>0</v>
      </c>
      <c r="X15" s="714" t="str">
        <f>IF('Entries April 2026'!AI15-'Entries April 2026'!AI14&lt;1,"0",'Entries April 2026'!AI15-'Entries April 2026'!AI14)</f>
        <v>0</v>
      </c>
      <c r="Y15" s="714" t="str">
        <f>IF('Entries April 2026'!AH15-'Entries April 2026'!AH14&lt;1,"0",'Entries April 2026'!AH15-'Entries April 2026'!AH14)</f>
        <v>0</v>
      </c>
      <c r="Z15" s="331">
        <f t="shared" si="2"/>
        <v>375</v>
      </c>
      <c r="AA15" s="332">
        <v>651.42000000000007</v>
      </c>
      <c r="AB15" s="333">
        <f t="shared" si="3"/>
        <v>5.7566546928249052</v>
      </c>
    </row>
    <row r="16" spans="1:31" x14ac:dyDescent="0.2">
      <c r="B16" s="711">
        <v>10</v>
      </c>
      <c r="C16" s="712" t="str">
        <f>IF('Entries April 2026'!W16-'Entries April 2026'!W15&lt;1,"0",'Entries April 2026'!W16-'Entries April 2026'!W15)</f>
        <v>0</v>
      </c>
      <c r="D16" s="713">
        <f>IF('Entries April 2026'!O16-'Entries April 2026'!O15&lt;1,"0",'Entries April 2026'!O16-'Entries April 2026'!O15)</f>
        <v>211</v>
      </c>
      <c r="E16" s="713">
        <f>IF('Entries April 2026'!P16-'Entries April 2026'!P15&lt;1,"0",'Entries April 2026'!P16-'Entries April 2026'!P15)</f>
        <v>166</v>
      </c>
      <c r="F16" s="713">
        <f>IF('Entries April 2026'!V16-'Entries April 2026'!V15&lt;1,"0",'Entries April 2026'!V16-'Entries April 2026'!V15)</f>
        <v>174</v>
      </c>
      <c r="G16" s="713">
        <f t="shared" si="0"/>
        <v>203</v>
      </c>
      <c r="H16" s="713">
        <f>IF('Entries April 2026'!Q16-'Entries April 2026'!Q15&lt;1,0,'Entries April 2026'!Q16-'Entries April 2026'!Q15)</f>
        <v>204</v>
      </c>
      <c r="I16" s="713">
        <f>IF('Entries April 2026'!AG16-'Entries April 2026'!AG15&lt;1,0,'Entries April 2026'!AG16-'Entries April 2026'!AG15)</f>
        <v>0</v>
      </c>
      <c r="J16" s="713">
        <f>IF('Entries April 2026'!S16-'Entries April 2026'!S15&lt;1,"0",'Entries April 2026'!S16-'Entries April 2026'!S15)</f>
        <v>112</v>
      </c>
      <c r="K16" s="713" t="str">
        <f>IF('Entries April 2026'!R16-'Entries April 2026'!R15&lt;1,"0",'Entries April 2026'!R16-'Entries April 2026'!R15)</f>
        <v>0</v>
      </c>
      <c r="L16" s="713" t="str">
        <f>IF('Entries April 2026'!T16-'Entries April 2026'!T15&lt;1,"0",'Entries April 2026'!T16-'Entries April 2026'!T15)</f>
        <v>0</v>
      </c>
      <c r="M16" s="713" t="str">
        <f>IF('Entries April 2026'!U16-'Entries April 2026'!U15&lt;1,"0",'Entries April 2026'!U16-'Entries April 2026'!U15)</f>
        <v>0</v>
      </c>
      <c r="N16" s="713">
        <f>IF('Entries April 2026'!X16-'Entries April 2026'!X15&lt;1,"0",'Entries April 2026'!X16-'Entries April 2026'!X15)</f>
        <v>30</v>
      </c>
      <c r="O16" s="713">
        <f>IF('Entries April 2026'!Y16-'Entries April 2026'!Y15&lt;1,"0",'Entries April 2026'!Y16-'Entries April 2026'!Y15)</f>
        <v>79</v>
      </c>
      <c r="P16" s="713">
        <f>IF('Entries April 2026'!AC16-'Entries April 2026'!AC15&lt;1,"0",'Entries April 2026'!AC16-'Entries April 2026'!AC15)</f>
        <v>25</v>
      </c>
      <c r="Q16" s="713">
        <f>IF('Entries April 2026'!Z16-'Entries April 2026'!Z15&lt;1,"0",'Entries April 2026'!Z16-'Entries April 2026'!Z15)</f>
        <v>16</v>
      </c>
      <c r="R16" s="713" t="str">
        <f>IF(('Entries April 2026'!AA16-'Entries April 2026'!AA15)+('Entries April 2026'!AB16-'Entries April 2026'!AB15)&lt;1,"0",('Entries April 2026'!AA16-'Entries April 2026'!AA15)+('Entries April 2026'!AB16-'Entries April 2026'!AB15))</f>
        <v>0</v>
      </c>
      <c r="S16" s="712">
        <f t="shared" si="4"/>
        <v>2030</v>
      </c>
      <c r="T16" s="712">
        <f t="shared" si="1"/>
        <v>109</v>
      </c>
      <c r="U16" s="713">
        <f>IF('Entries April 2026'!AC16-'Entries April 2026'!AC15&lt;1,"0",'Entries April 2026'!AC16-'Entries April 2026'!AC15)</f>
        <v>25</v>
      </c>
      <c r="V16" s="713">
        <f>IF('Entries April 2026'!AD16-'Entries April 2026'!AD15&lt;1,"0",'Entries April 2026'!AD16-'Entries April 2026'!AD15)</f>
        <v>24</v>
      </c>
      <c r="W16" s="713" t="str">
        <f>IF('Entries April 2026'!AE16-'Entries April 2026'!AE15&lt;1,"0",'Entries April 2026'!AE16-'Entries April 2026'!AE15)</f>
        <v>0</v>
      </c>
      <c r="X16" s="714" t="str">
        <f>IF('Entries April 2026'!AI16-'Entries April 2026'!AI15&lt;1,"0",'Entries April 2026'!AI16-'Entries April 2026'!AI15)</f>
        <v>0</v>
      </c>
      <c r="Y16" s="714" t="str">
        <f>IF('Entries April 2026'!AH16-'Entries April 2026'!AH15&lt;1,"0",'Entries April 2026'!AH16-'Entries April 2026'!AH15)</f>
        <v>0</v>
      </c>
      <c r="Z16" s="331">
        <f t="shared" si="2"/>
        <v>377</v>
      </c>
      <c r="AA16" s="332">
        <v>427.48200000000003</v>
      </c>
      <c r="AB16" s="333">
        <f t="shared" si="3"/>
        <v>8.819084780177878</v>
      </c>
    </row>
    <row r="17" spans="1:32" x14ac:dyDescent="0.2">
      <c r="B17" s="711">
        <v>11</v>
      </c>
      <c r="C17" s="712" t="str">
        <f>IF('Entries April 2026'!W17-'Entries April 2026'!W16&lt;1,"0",'Entries April 2026'!W17-'Entries April 2026'!W16)</f>
        <v>0</v>
      </c>
      <c r="D17" s="713">
        <f>IF('Entries April 2026'!O17-'Entries April 2026'!O16&lt;1,"0",'Entries April 2026'!O17-'Entries April 2026'!O16)</f>
        <v>31</v>
      </c>
      <c r="E17" s="713">
        <f>IF('Entries April 2026'!P17-'Entries April 2026'!P16&lt;1,"0",'Entries April 2026'!P17-'Entries April 2026'!P16)</f>
        <v>32</v>
      </c>
      <c r="F17" s="713">
        <f>IF('Entries April 2026'!V17-'Entries April 2026'!V16&lt;1,"0",'Entries April 2026'!V17-'Entries April 2026'!V16)</f>
        <v>34</v>
      </c>
      <c r="G17" s="713">
        <f t="shared" si="0"/>
        <v>29</v>
      </c>
      <c r="H17" s="713">
        <f>IF('Entries April 2026'!Q17-'Entries April 2026'!Q16&lt;1,0,'Entries April 2026'!Q17-'Entries April 2026'!Q16)</f>
        <v>51</v>
      </c>
      <c r="I17" s="713">
        <f>IF('Entries April 2026'!AG17-'Entries April 2026'!AG16&lt;1,0,'Entries April 2026'!AG17-'Entries April 2026'!AG16)</f>
        <v>0</v>
      </c>
      <c r="J17" s="713" t="str">
        <f>IF('Entries April 2026'!S17-'Entries April 2026'!S16&lt;1,"0",'Entries April 2026'!S17-'Entries April 2026'!S16)</f>
        <v>0</v>
      </c>
      <c r="K17" s="713" t="str">
        <f>IF('Entries April 2026'!R17-'Entries April 2026'!R16&lt;1,"0",'Entries April 2026'!R17-'Entries April 2026'!R16)</f>
        <v>0</v>
      </c>
      <c r="L17" s="713" t="str">
        <f>IF('Entries April 2026'!T17-'Entries April 2026'!T16&lt;1,"0",'Entries April 2026'!T17-'Entries April 2026'!T16)</f>
        <v>0</v>
      </c>
      <c r="M17" s="713" t="str">
        <f>IF('Entries April 2026'!U17-'Entries April 2026'!U16&lt;1,"0",'Entries April 2026'!U17-'Entries April 2026'!U16)</f>
        <v>0</v>
      </c>
      <c r="N17" s="713" t="str">
        <f>IF('Entries April 2026'!X17-'Entries April 2026'!X16&lt;1,"0",'Entries April 2026'!X17-'Entries April 2026'!X16)</f>
        <v>0</v>
      </c>
      <c r="O17" s="713">
        <f>IF('Entries April 2026'!Y17-'Entries April 2026'!Y16&lt;1,"0",'Entries April 2026'!Y17-'Entries April 2026'!Y16)</f>
        <v>26</v>
      </c>
      <c r="P17" s="713" t="str">
        <f>IF('Entries April 2026'!AC17-'Entries April 2026'!AC16&lt;1,"0",'Entries April 2026'!AC17-'Entries April 2026'!AC16)</f>
        <v>0</v>
      </c>
      <c r="Q17" s="713">
        <f>IF('Entries April 2026'!Z17-'Entries April 2026'!Z16&lt;1,"0",'Entries April 2026'!Z17-'Entries April 2026'!Z16)</f>
        <v>1</v>
      </c>
      <c r="R17" s="713" t="str">
        <f>IF(('Entries April 2026'!AA17-'Entries April 2026'!AA16)+('Entries April 2026'!AB17-'Entries April 2026'!AB16)&lt;1,"0",('Entries April 2026'!AA17-'Entries April 2026'!AA16)+('Entries April 2026'!AB17-'Entries April 2026'!AB16))</f>
        <v>0</v>
      </c>
      <c r="S17" s="712">
        <f t="shared" si="4"/>
        <v>290</v>
      </c>
      <c r="T17" s="712">
        <f t="shared" si="1"/>
        <v>26</v>
      </c>
      <c r="U17" s="713" t="str">
        <f>IF('Entries April 2026'!AC17-'Entries April 2026'!AC16&lt;1,"0",'Entries April 2026'!AC17-'Entries April 2026'!AC16)</f>
        <v>0</v>
      </c>
      <c r="V17" s="713" t="str">
        <f>IF('Entries April 2026'!AD17-'Entries April 2026'!AD16&lt;1,"0",'Entries April 2026'!AD17-'Entries April 2026'!AD16)</f>
        <v>0</v>
      </c>
      <c r="W17" s="713" t="str">
        <f>IF('Entries April 2026'!AE17-'Entries April 2026'!AE16&lt;1,"0",'Entries April 2026'!AE17-'Entries April 2026'!AE16)</f>
        <v>0</v>
      </c>
      <c r="X17" s="714" t="str">
        <f>IF('Entries April 2026'!AI17-'Entries April 2026'!AI16&lt;1,"0",'Entries April 2026'!AI17-'Entries April 2026'!AI16)</f>
        <v>0</v>
      </c>
      <c r="Y17" s="714" t="str">
        <f>IF('Entries April 2026'!AH17-'Entries April 2026'!AH16&lt;1,"0",'Entries April 2026'!AH17-'Entries April 2026'!AH16)</f>
        <v>0</v>
      </c>
      <c r="Z17" s="331">
        <f t="shared" si="2"/>
        <v>63</v>
      </c>
      <c r="AA17" s="332" t="str">
        <v>0</v>
      </c>
      <c r="AB17" s="333" t="str">
        <f t="shared" si="3"/>
        <v>0</v>
      </c>
    </row>
    <row r="18" spans="1:32" x14ac:dyDescent="0.2">
      <c r="B18" s="711">
        <v>12</v>
      </c>
      <c r="C18" s="712" t="str">
        <f>IF('Entries April 2026'!W18-'Entries April 2026'!W17&lt;1,"0",'Entries April 2026'!W18-'Entries April 2026'!W17)</f>
        <v>0</v>
      </c>
      <c r="D18" s="713">
        <f>IF('Entries April 2026'!O18-'Entries April 2026'!O17&lt;1,"0",'Entries April 2026'!O18-'Entries April 2026'!O17)</f>
        <v>2</v>
      </c>
      <c r="E18" s="713" t="str">
        <f>IF('Entries April 2026'!P18-'Entries April 2026'!P17&lt;1,"0",'Entries April 2026'!P18-'Entries April 2026'!P17)</f>
        <v>0</v>
      </c>
      <c r="F18" s="713" t="str">
        <f>IF('Entries April 2026'!V18-'Entries April 2026'!V17&lt;1,"0",'Entries April 2026'!V18-'Entries April 2026'!V17)</f>
        <v>0</v>
      </c>
      <c r="G18" s="713">
        <f t="shared" si="0"/>
        <v>2</v>
      </c>
      <c r="H18" s="713">
        <f>IF('Entries April 2026'!Q18-'Entries April 2026'!Q17&lt;1,0,'Entries April 2026'!Q18-'Entries April 2026'!Q17)</f>
        <v>9</v>
      </c>
      <c r="I18" s="713">
        <f>IF('Entries April 2026'!AG18-'Entries April 2026'!AG17&lt;1,0,'Entries April 2026'!AG18-'Entries April 2026'!AG17)</f>
        <v>0</v>
      </c>
      <c r="J18" s="713" t="str">
        <f>IF('Entries April 2026'!S18-'Entries April 2026'!S17&lt;1,"0",'Entries April 2026'!S18-'Entries April 2026'!S17)</f>
        <v>0</v>
      </c>
      <c r="K18" s="713" t="str">
        <f>IF('Entries April 2026'!R18-'Entries April 2026'!R17&lt;1,"0",'Entries April 2026'!R18-'Entries April 2026'!R17)</f>
        <v>0</v>
      </c>
      <c r="L18" s="713" t="str">
        <f>IF('Entries April 2026'!T18-'Entries April 2026'!T17&lt;1,"0",'Entries April 2026'!T18-'Entries April 2026'!T17)</f>
        <v>0</v>
      </c>
      <c r="M18" s="713" t="str">
        <f>IF('Entries April 2026'!U18-'Entries April 2026'!U17&lt;1,"0",'Entries April 2026'!U18-'Entries April 2026'!U17)</f>
        <v>0</v>
      </c>
      <c r="N18" s="713" t="str">
        <f>IF('Entries April 2026'!X18-'Entries April 2026'!X17&lt;1,"0",'Entries April 2026'!X18-'Entries April 2026'!X17)</f>
        <v>0</v>
      </c>
      <c r="O18" s="713" t="str">
        <f>IF('Entries April 2026'!Y18-'Entries April 2026'!Y17&lt;1,"0",'Entries April 2026'!Y18-'Entries April 2026'!Y17)</f>
        <v>0</v>
      </c>
      <c r="P18" s="713" t="str">
        <f>IF('Entries April 2026'!AC18-'Entries April 2026'!AC17&lt;1,"0",'Entries April 2026'!AC18-'Entries April 2026'!AC17)</f>
        <v>0</v>
      </c>
      <c r="Q18" s="713">
        <f>IF('Entries April 2026'!Z18-'Entries April 2026'!Z17&lt;1,"0",'Entries April 2026'!Z18-'Entries April 2026'!Z17)</f>
        <v>2</v>
      </c>
      <c r="R18" s="713" t="str">
        <f>IF(('Entries April 2026'!AA18-'Entries April 2026'!AA17)+('Entries April 2026'!AB18-'Entries April 2026'!AB17)&lt;1,"0",('Entries April 2026'!AA18-'Entries April 2026'!AA17)+('Entries April 2026'!AB18-'Entries April 2026'!AB17))</f>
        <v>0</v>
      </c>
      <c r="S18" s="712">
        <f t="shared" si="4"/>
        <v>20</v>
      </c>
      <c r="T18" s="712">
        <f t="shared" si="1"/>
        <v>0</v>
      </c>
      <c r="U18" s="713" t="str">
        <f>IF('Entries April 2026'!AC18-'Entries April 2026'!AC17&lt;1,"0",'Entries April 2026'!AC18-'Entries April 2026'!AC17)</f>
        <v>0</v>
      </c>
      <c r="V18" s="713" t="str">
        <f>IF('Entries April 2026'!AD18-'Entries April 2026'!AD17&lt;1,"0",'Entries April 2026'!AD18-'Entries April 2026'!AD17)</f>
        <v>0</v>
      </c>
      <c r="W18" s="713" t="str">
        <f>IF('Entries April 2026'!AE18-'Entries April 2026'!AE17&lt;1,"0",'Entries April 2026'!AE18-'Entries April 2026'!AE17)</f>
        <v>0</v>
      </c>
      <c r="X18" s="714" t="str">
        <f>IF('Entries April 2026'!AI18-'Entries April 2026'!AI17&lt;1,"0",'Entries April 2026'!AI18-'Entries April 2026'!AI17)</f>
        <v>0</v>
      </c>
      <c r="Y18" s="714" t="str">
        <f>IF('Entries April 2026'!AH18-'Entries April 2026'!AH17&lt;1,"0",'Entries April 2026'!AH18-'Entries April 2026'!AH17)</f>
        <v>0</v>
      </c>
      <c r="Z18" s="331">
        <f t="shared" si="2"/>
        <v>2</v>
      </c>
      <c r="AA18" s="332" t="str">
        <v>0</v>
      </c>
      <c r="AB18" s="333" t="str">
        <f t="shared" si="3"/>
        <v>0</v>
      </c>
    </row>
    <row r="19" spans="1:32" x14ac:dyDescent="0.2">
      <c r="A19" s="29"/>
      <c r="B19" s="711">
        <v>13</v>
      </c>
      <c r="C19" s="712" t="str">
        <f>IF('Entries April 2026'!W19-'Entries April 2026'!W18&lt;1,"0",'Entries April 2026'!W19-'Entries April 2026'!W18)</f>
        <v>0</v>
      </c>
      <c r="D19" s="713">
        <f>IF('Entries April 2026'!O19-'Entries April 2026'!O18&lt;1,"0",'Entries April 2026'!O19-'Entries April 2026'!O18)</f>
        <v>240</v>
      </c>
      <c r="E19" s="713">
        <f>IF('Entries April 2026'!P19-'Entries April 2026'!P18&lt;1,"0",'Entries April 2026'!P19-'Entries April 2026'!P18)</f>
        <v>150</v>
      </c>
      <c r="F19" s="713">
        <f>IF('Entries April 2026'!V19-'Entries April 2026'!V18&lt;1,"0",'Entries April 2026'!V19-'Entries April 2026'!V18)</f>
        <v>158</v>
      </c>
      <c r="G19" s="713">
        <f t="shared" si="0"/>
        <v>232</v>
      </c>
      <c r="H19" s="713">
        <f>IF('Entries April 2026'!Q19-'Entries April 2026'!Q18&lt;1,0,'Entries April 2026'!Q19-'Entries April 2026'!Q18)</f>
        <v>271</v>
      </c>
      <c r="I19" s="713">
        <f>IF('Entries April 2026'!AG19-'Entries April 2026'!AG18&lt;1,0,'Entries April 2026'!AG19-'Entries April 2026'!AG18)</f>
        <v>0</v>
      </c>
      <c r="J19" s="713">
        <f>IF('Entries April 2026'!S19-'Entries April 2026'!S18&lt;1,"0",'Entries April 2026'!S19-'Entries April 2026'!S18)</f>
        <v>158</v>
      </c>
      <c r="K19" s="713" t="str">
        <f>IF('Entries April 2026'!R19-'Entries April 2026'!R18&lt;1,"0",'Entries April 2026'!R19-'Entries April 2026'!R18)</f>
        <v>0</v>
      </c>
      <c r="L19" s="713" t="str">
        <f>IF('Entries April 2026'!T19-'Entries April 2026'!T18&lt;1,"0",'Entries April 2026'!T19-'Entries April 2026'!T18)</f>
        <v>0</v>
      </c>
      <c r="M19" s="713">
        <f>IF('Entries April 2026'!U19-'Entries April 2026'!U18&lt;1,"0",'Entries April 2026'!U19-'Entries April 2026'!U18)</f>
        <v>2</v>
      </c>
      <c r="N19" s="713">
        <f>IF('Entries April 2026'!X19-'Entries April 2026'!X18&lt;1,"0",'Entries April 2026'!X19-'Entries April 2026'!X18)</f>
        <v>72</v>
      </c>
      <c r="O19" s="713">
        <f>IF('Entries April 2026'!Y19-'Entries April 2026'!Y18&lt;1,"0",'Entries April 2026'!Y19-'Entries April 2026'!Y18)</f>
        <v>103</v>
      </c>
      <c r="P19" s="713">
        <f>IF('Entries April 2026'!AC19-'Entries April 2026'!AC18&lt;1,"0",'Entries April 2026'!AC19-'Entries April 2026'!AC18)</f>
        <v>28</v>
      </c>
      <c r="Q19" s="713">
        <f>IF('Entries April 2026'!Z19-'Entries April 2026'!Z18&lt;1,"0",'Entries April 2026'!Z19-'Entries April 2026'!Z18)</f>
        <v>19</v>
      </c>
      <c r="R19" s="713" t="str">
        <f>IF(('Entries April 2026'!AA19-'Entries April 2026'!AA18)+('Entries April 2026'!AB19-'Entries April 2026'!AB18)&lt;1,"0",('Entries April 2026'!AA19-'Entries April 2026'!AA18)+('Entries April 2026'!AB19-'Entries April 2026'!AB18))</f>
        <v>0</v>
      </c>
      <c r="S19" s="712">
        <f t="shared" si="4"/>
        <v>2320</v>
      </c>
      <c r="T19" s="712">
        <f t="shared" si="1"/>
        <v>177</v>
      </c>
      <c r="U19" s="713">
        <f>IF('Entries April 2026'!AC19-'Entries April 2026'!AC18&lt;1,"0",'Entries April 2026'!AC19-'Entries April 2026'!AC18)</f>
        <v>28</v>
      </c>
      <c r="V19" s="713" t="str">
        <f>IF('Entries April 2026'!AD19-'Entries April 2026'!AD18&lt;1,"0",'Entries April 2026'!AD19-'Entries April 2026'!AD18)</f>
        <v>0</v>
      </c>
      <c r="W19" s="713" t="str">
        <f>IF('Entries April 2026'!AE19-'Entries April 2026'!AE18&lt;1,"0",'Entries April 2026'!AE19-'Entries April 2026'!AE18)</f>
        <v>0</v>
      </c>
      <c r="X19" s="714" t="str">
        <f>IF('Entries April 2026'!AI19-'Entries April 2026'!AI18&lt;1,"0",'Entries April 2026'!AI19-'Entries April 2026'!AI18)</f>
        <v>0</v>
      </c>
      <c r="Y19" s="714" t="str">
        <f>IF('Entries April 2026'!AH19-'Entries April 2026'!AH18&lt;1,"0",'Entries April 2026'!AH19-'Entries April 2026'!AH18)</f>
        <v>0</v>
      </c>
      <c r="Z19" s="331">
        <f t="shared" si="2"/>
        <v>390</v>
      </c>
      <c r="AA19" s="332">
        <v>418.04400000000004</v>
      </c>
      <c r="AB19" s="333">
        <f t="shared" si="3"/>
        <v>9.3291615236673646</v>
      </c>
    </row>
    <row r="20" spans="1:32" x14ac:dyDescent="0.2">
      <c r="A20" s="29"/>
      <c r="B20" s="711">
        <v>14</v>
      </c>
      <c r="C20" s="712" t="str">
        <f>IF('Entries April 2026'!W20-'Entries April 2026'!W19&lt;1,"0",'Entries April 2026'!W20-'Entries April 2026'!W19)</f>
        <v>0</v>
      </c>
      <c r="D20" s="713">
        <f>IF('Entries April 2026'!O20-'Entries April 2026'!O19&lt;1,"0",'Entries April 2026'!O20-'Entries April 2026'!O19)</f>
        <v>312</v>
      </c>
      <c r="E20" s="713">
        <f>IF('Entries April 2026'!P20-'Entries April 2026'!P19&lt;1,"0",'Entries April 2026'!P20-'Entries April 2026'!P19)</f>
        <v>145</v>
      </c>
      <c r="F20" s="713">
        <f>IF('Entries April 2026'!V20-'Entries April 2026'!V19&lt;1,"0",'Entries April 2026'!V20-'Entries April 2026'!V19)</f>
        <v>151</v>
      </c>
      <c r="G20" s="713">
        <f t="shared" si="0"/>
        <v>306</v>
      </c>
      <c r="H20" s="713">
        <f>IF('Entries April 2026'!Q20-'Entries April 2026'!Q19&lt;1,0,'Entries April 2026'!Q20-'Entries April 2026'!Q19)</f>
        <v>253</v>
      </c>
      <c r="I20" s="713">
        <f>IF('Entries April 2026'!AG20-'Entries April 2026'!AG19&lt;1,0,'Entries April 2026'!AG20-'Entries April 2026'!AG19)</f>
        <v>0</v>
      </c>
      <c r="J20" s="713">
        <f>IF('Entries April 2026'!S20-'Entries April 2026'!S19&lt;1,"0",'Entries April 2026'!S20-'Entries April 2026'!S19)</f>
        <v>157</v>
      </c>
      <c r="K20" s="713" t="str">
        <f>IF('Entries April 2026'!R20-'Entries April 2026'!R19&lt;1,"0",'Entries April 2026'!R20-'Entries April 2026'!R19)</f>
        <v>0</v>
      </c>
      <c r="L20" s="713" t="str">
        <f>IF('Entries April 2026'!T20-'Entries April 2026'!T19&lt;1,"0",'Entries April 2026'!T20-'Entries April 2026'!T19)</f>
        <v>0</v>
      </c>
      <c r="M20" s="713" t="str">
        <f>IF('Entries April 2026'!U20-'Entries April 2026'!U19&lt;1,"0",'Entries April 2026'!U20-'Entries April 2026'!U19)</f>
        <v>0</v>
      </c>
      <c r="N20" s="713">
        <f>IF('Entries April 2026'!X20-'Entries April 2026'!X19&lt;1,"0",'Entries April 2026'!X20-'Entries April 2026'!X19)</f>
        <v>65</v>
      </c>
      <c r="O20" s="713">
        <f>IF('Entries April 2026'!Y20-'Entries April 2026'!Y19&lt;1,"0",'Entries April 2026'!Y20-'Entries April 2026'!Y19)</f>
        <v>94</v>
      </c>
      <c r="P20" s="713">
        <f>IF('Entries April 2026'!AC20-'Entries April 2026'!AC19&lt;1,"0",'Entries April 2026'!AC20-'Entries April 2026'!AC19)</f>
        <v>29</v>
      </c>
      <c r="Q20" s="713">
        <f>IF('Entries April 2026'!Z20-'Entries April 2026'!Z19&lt;1,"0",'Entries April 2026'!Z20-'Entries April 2026'!Z19)</f>
        <v>18</v>
      </c>
      <c r="R20" s="713" t="str">
        <f>IF(('Entries April 2026'!AA20-'Entries April 2026'!AA19)+('Entries April 2026'!AB20-'Entries April 2026'!AB19)&lt;1,"0",('Entries April 2026'!AA20-'Entries April 2026'!AA19)+('Entries April 2026'!AB20-'Entries April 2026'!AB19))</f>
        <v>0</v>
      </c>
      <c r="S20" s="712">
        <f t="shared" si="4"/>
        <v>3060</v>
      </c>
      <c r="T20" s="712">
        <f t="shared" si="1"/>
        <v>159</v>
      </c>
      <c r="U20" s="713">
        <f>IF('Entries April 2026'!AC20-'Entries April 2026'!AC19&lt;1,"0",'Entries April 2026'!AC20-'Entries April 2026'!AC19)</f>
        <v>29</v>
      </c>
      <c r="V20" s="713">
        <f>IF('Entries April 2026'!AD20-'Entries April 2026'!AD19&lt;1,"0",'Entries April 2026'!AD20-'Entries April 2026'!AD19)</f>
        <v>30</v>
      </c>
      <c r="W20" s="713" t="str">
        <f>IF('Entries April 2026'!AE20-'Entries April 2026'!AE19&lt;1,"0",'Entries April 2026'!AE20-'Entries April 2026'!AE19)</f>
        <v>0</v>
      </c>
      <c r="X20" s="714" t="str">
        <f>IF('Entries April 2026'!AI20-'Entries April 2026'!AI19&lt;1,"0",'Entries April 2026'!AI20-'Entries April 2026'!AI19)</f>
        <v>0</v>
      </c>
      <c r="Y20" s="714" t="str">
        <f>IF('Entries April 2026'!AH20-'Entries April 2026'!AH19&lt;1,"0",'Entries April 2026'!AH20-'Entries April 2026'!AH19)</f>
        <v>0</v>
      </c>
      <c r="Z20" s="331">
        <f t="shared" si="2"/>
        <v>457</v>
      </c>
      <c r="AA20" s="332">
        <v>398.178</v>
      </c>
      <c r="AB20" s="333">
        <f t="shared" si="3"/>
        <v>11.477279005871745</v>
      </c>
    </row>
    <row r="21" spans="1:32" ht="14.25" customHeight="1" x14ac:dyDescent="0.2">
      <c r="B21" s="711">
        <v>15</v>
      </c>
      <c r="C21" s="712" t="str">
        <f>IF('Entries April 2026'!W21-'Entries April 2026'!W20&lt;1,"0",'Entries April 2026'!W21-'Entries April 2026'!W20)</f>
        <v>0</v>
      </c>
      <c r="D21" s="713">
        <f>IF('Entries April 2026'!O21-'Entries April 2026'!O20&lt;1,"0",'Entries April 2026'!O21-'Entries April 2026'!O20)</f>
        <v>288</v>
      </c>
      <c r="E21" s="713">
        <f>IF('Entries April 2026'!P21-'Entries April 2026'!P20&lt;1,"0",'Entries April 2026'!P21-'Entries April 2026'!P20)</f>
        <v>99</v>
      </c>
      <c r="F21" s="713">
        <f>IF('Entries April 2026'!V21-'Entries April 2026'!V20&lt;1,"0",'Entries April 2026'!V21-'Entries April 2026'!V20)</f>
        <v>172</v>
      </c>
      <c r="G21" s="713">
        <f t="shared" si="0"/>
        <v>215</v>
      </c>
      <c r="H21" s="713">
        <f>IF('Entries April 2026'!Q21-'Entries April 2026'!Q20&lt;1,0,'Entries April 2026'!Q21-'Entries April 2026'!Q20)</f>
        <v>287</v>
      </c>
      <c r="I21" s="713">
        <f>IF('Entries April 2026'!AG21-'Entries April 2026'!AG20&lt;1,0,'Entries April 2026'!AG21-'Entries April 2026'!AG20)</f>
        <v>0</v>
      </c>
      <c r="J21" s="713">
        <f>IF('Entries April 2026'!S21-'Entries April 2026'!S20&lt;1,"0",'Entries April 2026'!S21-'Entries April 2026'!S20)</f>
        <v>177</v>
      </c>
      <c r="K21" s="713" t="str">
        <f>IF('Entries April 2026'!R21-'Entries April 2026'!R20&lt;1,"0",'Entries April 2026'!R21-'Entries April 2026'!R20)</f>
        <v>0</v>
      </c>
      <c r="L21" s="713" t="str">
        <f>IF('Entries April 2026'!T21-'Entries April 2026'!T20&lt;1,"0",'Entries April 2026'!T21-'Entries April 2026'!T20)</f>
        <v>0</v>
      </c>
      <c r="M21" s="713" t="str">
        <f>IF('Entries April 2026'!U21-'Entries April 2026'!U20&lt;1,"0",'Entries April 2026'!U21-'Entries April 2026'!U20)</f>
        <v>0</v>
      </c>
      <c r="N21" s="713">
        <f>IF('Entries April 2026'!X21-'Entries April 2026'!X20&lt;1,"0",'Entries April 2026'!X21-'Entries April 2026'!X20)</f>
        <v>79</v>
      </c>
      <c r="O21" s="713">
        <f>IF('Entries April 2026'!Y21-'Entries April 2026'!Y20&lt;1,"0",'Entries April 2026'!Y21-'Entries April 2026'!Y20)</f>
        <v>133</v>
      </c>
      <c r="P21" s="713">
        <f>IF('Entries April 2026'!AC21-'Entries April 2026'!AC20&lt;1,"0",'Entries April 2026'!AC21-'Entries April 2026'!AC20)</f>
        <v>34</v>
      </c>
      <c r="Q21" s="713">
        <f>IF('Entries April 2026'!Z21-'Entries April 2026'!Z20&lt;1,"0",'Entries April 2026'!Z21-'Entries April 2026'!Z20)</f>
        <v>23</v>
      </c>
      <c r="R21" s="713" t="str">
        <f>IF(('Entries April 2026'!AA21-'Entries April 2026'!AA20)+('Entries April 2026'!AB21-'Entries April 2026'!AB20)&lt;1,"0",('Entries April 2026'!AA21-'Entries April 2026'!AA20)+('Entries April 2026'!AB21-'Entries April 2026'!AB20))</f>
        <v>0</v>
      </c>
      <c r="S21" s="712">
        <f t="shared" si="4"/>
        <v>2150</v>
      </c>
      <c r="T21" s="712">
        <f t="shared" si="1"/>
        <v>212</v>
      </c>
      <c r="U21" s="713">
        <f>IF('Entries April 2026'!AC21-'Entries April 2026'!AC20&lt;1,"0",'Entries April 2026'!AC21-'Entries April 2026'!AC20)</f>
        <v>34</v>
      </c>
      <c r="V21" s="713" t="str">
        <f>IF('Entries April 2026'!AD21-'Entries April 2026'!AD20&lt;1,"0",'Entries April 2026'!AD21-'Entries April 2026'!AD20)</f>
        <v>0</v>
      </c>
      <c r="W21" s="713" t="str">
        <f>IF('Entries April 2026'!AE21-'Entries April 2026'!AE20&lt;1,"0",'Entries April 2026'!AE21-'Entries April 2026'!AE20)</f>
        <v>0</v>
      </c>
      <c r="X21" s="714" t="str">
        <f>IF('Entries April 2026'!AI21-'Entries April 2026'!AI20&lt;1,"0",'Entries April 2026'!AI21-'Entries April 2026'!AI20)</f>
        <v>0</v>
      </c>
      <c r="Y21" s="714" t="str">
        <f>IF('Entries April 2026'!AH21-'Entries April 2026'!AH20&lt;1,"0",'Entries April 2026'!AH21-'Entries April 2026'!AH20)</f>
        <v>0</v>
      </c>
      <c r="Z21" s="331">
        <f t="shared" si="2"/>
        <v>387</v>
      </c>
      <c r="AA21" s="332">
        <v>489.786</v>
      </c>
      <c r="AB21" s="333">
        <f t="shared" si="3"/>
        <v>7.9014100035525718</v>
      </c>
    </row>
    <row r="22" spans="1:32" x14ac:dyDescent="0.2">
      <c r="B22" s="711">
        <v>16</v>
      </c>
      <c r="C22" s="712" t="str">
        <f>IF('Entries April 2026'!W22-'Entries April 2026'!W21&lt;1,"0",'Entries April 2026'!W22-'Entries April 2026'!W21)</f>
        <v>0</v>
      </c>
      <c r="D22" s="713">
        <f>IF('Entries April 2026'!O22-'Entries April 2026'!O21&lt;1,"0",'Entries April 2026'!O22-'Entries April 2026'!O21)</f>
        <v>147</v>
      </c>
      <c r="E22" s="713">
        <f>IF('Entries April 2026'!P22-'Entries April 2026'!P21&lt;1,"0",'Entries April 2026'!P22-'Entries April 2026'!P21)</f>
        <v>175</v>
      </c>
      <c r="F22" s="713">
        <f>IF('Entries April 2026'!V22-'Entries April 2026'!V21&lt;1,"0",'Entries April 2026'!V22-'Entries April 2026'!V21)</f>
        <v>115</v>
      </c>
      <c r="G22" s="713">
        <f t="shared" si="0"/>
        <v>207</v>
      </c>
      <c r="H22" s="713">
        <f>IF('Entries April 2026'!Q22-'Entries April 2026'!Q21&lt;1,0,'Entries April 2026'!Q22-'Entries April 2026'!Q21)</f>
        <v>260</v>
      </c>
      <c r="I22" s="713">
        <f>IF('Entries April 2026'!AG22-'Entries April 2026'!AG21&lt;1,0,'Entries April 2026'!AG22-'Entries April 2026'!AG21)</f>
        <v>0</v>
      </c>
      <c r="J22" s="713">
        <f>IF('Entries April 2026'!S22-'Entries April 2026'!S21&lt;1,"0",'Entries April 2026'!S22-'Entries April 2026'!S21)</f>
        <v>161</v>
      </c>
      <c r="K22" s="713" t="str">
        <f>IF('Entries April 2026'!R22-'Entries April 2026'!R21&lt;1,"0",'Entries April 2026'!R22-'Entries April 2026'!R21)</f>
        <v>0</v>
      </c>
      <c r="L22" s="713" t="str">
        <f>IF('Entries April 2026'!T22-'Entries April 2026'!T21&lt;1,"0",'Entries April 2026'!T22-'Entries April 2026'!T21)</f>
        <v>0</v>
      </c>
      <c r="M22" s="713" t="str">
        <f>IF('Entries April 2026'!U22-'Entries April 2026'!U21&lt;1,"0",'Entries April 2026'!U22-'Entries April 2026'!U21)</f>
        <v>0</v>
      </c>
      <c r="N22" s="713">
        <f>IF('Entries April 2026'!X22-'Entries April 2026'!X21&lt;1,"0",'Entries April 2026'!X22-'Entries April 2026'!X21)</f>
        <v>20</v>
      </c>
      <c r="O22" s="713">
        <f>IF('Entries April 2026'!Y22-'Entries April 2026'!Y21&lt;1,"0",'Entries April 2026'!Y22-'Entries April 2026'!Y21)</f>
        <v>113</v>
      </c>
      <c r="P22" s="713">
        <f>IF('Entries April 2026'!AC22-'Entries April 2026'!AC21&lt;1,"0",'Entries April 2026'!AC22-'Entries April 2026'!AC21)</f>
        <v>31</v>
      </c>
      <c r="Q22" s="713">
        <f>IF('Entries April 2026'!Z22-'Entries April 2026'!Z21&lt;1,"0",'Entries April 2026'!Z22-'Entries April 2026'!Z21)</f>
        <v>12</v>
      </c>
      <c r="R22" s="713" t="str">
        <f>IF(('Entries April 2026'!AA22-'Entries April 2026'!AA21)+('Entries April 2026'!AB22-'Entries April 2026'!AB21)&lt;1,"0",('Entries April 2026'!AA22-'Entries April 2026'!AA21)+('Entries April 2026'!AB22-'Entries April 2026'!AB21))</f>
        <v>0</v>
      </c>
      <c r="S22" s="712">
        <f t="shared" si="4"/>
        <v>2070</v>
      </c>
      <c r="T22" s="712">
        <f t="shared" si="1"/>
        <v>133</v>
      </c>
      <c r="U22" s="713">
        <f>IF('Entries April 2026'!AC22-'Entries April 2026'!AC21&lt;1,"0",'Entries April 2026'!AC22-'Entries April 2026'!AC21)</f>
        <v>31</v>
      </c>
      <c r="V22" s="713">
        <f>IF('Entries April 2026'!AD22-'Entries April 2026'!AD21&lt;1,"0",'Entries April 2026'!AD22-'Entries April 2026'!AD21)</f>
        <v>106</v>
      </c>
      <c r="W22" s="713" t="str">
        <f>IF('Entries April 2026'!AE22-'Entries April 2026'!AE21&lt;1,"0",'Entries April 2026'!AE22-'Entries April 2026'!AE21)</f>
        <v>0</v>
      </c>
      <c r="X22" s="714" t="str">
        <f>IF('Entries April 2026'!AI22-'Entries April 2026'!AI21&lt;1,"0",'Entries April 2026'!AI22-'Entries April 2026'!AI21)</f>
        <v>0</v>
      </c>
      <c r="Y22" s="714" t="str">
        <f>IF('Entries April 2026'!AH22-'Entries April 2026'!AH21&lt;1,"0",'Entries April 2026'!AH22-'Entries April 2026'!AH21)</f>
        <v>0</v>
      </c>
      <c r="Z22" s="331">
        <f t="shared" si="2"/>
        <v>322</v>
      </c>
      <c r="AA22" s="332">
        <v>622.51200000000006</v>
      </c>
      <c r="AB22" s="333">
        <f t="shared" si="3"/>
        <v>5.1725910504536454</v>
      </c>
    </row>
    <row r="23" spans="1:32" x14ac:dyDescent="0.2">
      <c r="B23" s="711">
        <v>17</v>
      </c>
      <c r="C23" s="712" t="str">
        <f>IF('Entries April 2026'!W23-'Entries April 2026'!W22&lt;1,"0",'Entries April 2026'!W23-'Entries April 2026'!W22)</f>
        <v>0</v>
      </c>
      <c r="D23" s="713">
        <f>IF('Entries April 2026'!O23-'Entries April 2026'!O22&lt;1,"0",'Entries April 2026'!O23-'Entries April 2026'!O22)</f>
        <v>182</v>
      </c>
      <c r="E23" s="713">
        <f>IF('Entries April 2026'!P23-'Entries April 2026'!P22&lt;1,"0",'Entries April 2026'!P23-'Entries April 2026'!P22)</f>
        <v>180</v>
      </c>
      <c r="F23" s="713">
        <f>IF('Entries April 2026'!V23-'Entries April 2026'!V22&lt;1,"0",'Entries April 2026'!V23-'Entries April 2026'!V22)</f>
        <v>186</v>
      </c>
      <c r="G23" s="713">
        <f t="shared" si="0"/>
        <v>176</v>
      </c>
      <c r="H23" s="713">
        <f>IF('Entries April 2026'!Q23-'Entries April 2026'!Q22&lt;1,0,'Entries April 2026'!Q23-'Entries April 2026'!Q22)</f>
        <v>169</v>
      </c>
      <c r="I23" s="713">
        <f>IF('Entries April 2026'!AG23-'Entries April 2026'!AG22&lt;1,0,'Entries April 2026'!AG23-'Entries April 2026'!AG22)</f>
        <v>0</v>
      </c>
      <c r="J23" s="713">
        <f>IF('Entries April 2026'!S23-'Entries April 2026'!S22&lt;1,"0",'Entries April 2026'!S23-'Entries April 2026'!S22)</f>
        <v>57</v>
      </c>
      <c r="K23" s="713" t="str">
        <f>IF('Entries April 2026'!R23-'Entries April 2026'!R22&lt;1,"0",'Entries April 2026'!R23-'Entries April 2026'!R22)</f>
        <v>0</v>
      </c>
      <c r="L23" s="713" t="str">
        <f>IF('Entries April 2026'!T23-'Entries April 2026'!T22&lt;1,"0",'Entries April 2026'!T23-'Entries April 2026'!T22)</f>
        <v>0</v>
      </c>
      <c r="M23" s="713" t="str">
        <f>IF('Entries April 2026'!U23-'Entries April 2026'!U22&lt;1,"0",'Entries April 2026'!U23-'Entries April 2026'!U22)</f>
        <v>0</v>
      </c>
      <c r="N23" s="713">
        <f>IF('Entries April 2026'!X23-'Entries April 2026'!X22&lt;1,"0",'Entries April 2026'!X23-'Entries April 2026'!X22)</f>
        <v>16</v>
      </c>
      <c r="O23" s="713">
        <f>IF('Entries April 2026'!Y23-'Entries April 2026'!Y22&lt;1,"0",'Entries April 2026'!Y23-'Entries April 2026'!Y22)</f>
        <v>82</v>
      </c>
      <c r="P23" s="713">
        <f>IF('Entries April 2026'!AC23-'Entries April 2026'!AC22&lt;1,"0",'Entries April 2026'!AC23-'Entries April 2026'!AC22)</f>
        <v>22</v>
      </c>
      <c r="Q23" s="713">
        <f>IF('Entries April 2026'!Z23-'Entries April 2026'!Z22&lt;1,"0",'Entries April 2026'!Z23-'Entries April 2026'!Z22)</f>
        <v>15</v>
      </c>
      <c r="R23" s="713" t="str">
        <f>IF(('Entries April 2026'!AA23-'Entries April 2026'!AA22)+('Entries April 2026'!AB23-'Entries April 2026'!AB22)&lt;1,"0",('Entries April 2026'!AA23-'Entries April 2026'!AA22)+('Entries April 2026'!AB23-'Entries April 2026'!AB22))</f>
        <v>0</v>
      </c>
      <c r="S23" s="712">
        <f t="shared" si="4"/>
        <v>1760</v>
      </c>
      <c r="T23" s="712">
        <f t="shared" si="1"/>
        <v>98</v>
      </c>
      <c r="U23" s="713">
        <f>IF('Entries April 2026'!AC23-'Entries April 2026'!AC22&lt;1,"0",'Entries April 2026'!AC23-'Entries April 2026'!AC22)</f>
        <v>22</v>
      </c>
      <c r="V23" s="713">
        <f>IF('Entries April 2026'!AD23-'Entries April 2026'!AD22&lt;1,"0",'Entries April 2026'!AD23-'Entries April 2026'!AD22)</f>
        <v>61</v>
      </c>
      <c r="W23" s="713" t="str">
        <f>IF('Entries April 2026'!AE23-'Entries April 2026'!AE22&lt;1,"0",'Entries April 2026'!AE23-'Entries April 2026'!AE22)</f>
        <v>0</v>
      </c>
      <c r="X23" s="714" t="str">
        <f>IF('Entries April 2026'!AI23-'Entries April 2026'!AI22&lt;1,"0",'Entries April 2026'!AI23-'Entries April 2026'!AI22)</f>
        <v>0</v>
      </c>
      <c r="Y23" s="714" t="str">
        <f>IF('Entries April 2026'!AH23-'Entries April 2026'!AH22&lt;1,"0",'Entries April 2026'!AH23-'Entries April 2026'!AH22)</f>
        <v>0</v>
      </c>
      <c r="Z23" s="331">
        <f t="shared" si="2"/>
        <v>362</v>
      </c>
      <c r="AA23" s="332">
        <v>330.59399999999999</v>
      </c>
      <c r="AB23" s="333">
        <f t="shared" si="3"/>
        <v>10.949986993109373</v>
      </c>
    </row>
    <row r="24" spans="1:32" x14ac:dyDescent="0.2">
      <c r="B24" s="711">
        <v>18</v>
      </c>
      <c r="C24" s="712" t="str">
        <f>IF('Entries April 2026'!W24-'Entries April 2026'!W23&lt;1,"0",'Entries April 2026'!W24-'Entries April 2026'!W23)</f>
        <v>0</v>
      </c>
      <c r="D24" s="713" t="str">
        <f>IF('Entries April 2026'!O24-'Entries April 2026'!O23&lt;1,"0",'Entries April 2026'!O24-'Entries April 2026'!O23)</f>
        <v>0</v>
      </c>
      <c r="E24" s="713">
        <f>IF('Entries April 2026'!P24-'Entries April 2026'!P23&lt;1,"0",'Entries April 2026'!P24-'Entries April 2026'!P23)</f>
        <v>32</v>
      </c>
      <c r="F24" s="713">
        <f>IF('Entries April 2026'!V24-'Entries April 2026'!V23&lt;1,"0",'Entries April 2026'!V24-'Entries April 2026'!V23)</f>
        <v>35</v>
      </c>
      <c r="G24" s="713">
        <f t="shared" si="0"/>
        <v>-3</v>
      </c>
      <c r="H24" s="713">
        <f>IF('Entries April 2026'!Q24-'Entries April 2026'!Q23&lt;1,0,'Entries April 2026'!Q24-'Entries April 2026'!Q23)</f>
        <v>52</v>
      </c>
      <c r="I24" s="713">
        <f>IF('Entries April 2026'!AG24-'Entries April 2026'!AG23&lt;1,0,'Entries April 2026'!AG24-'Entries April 2026'!AG23)</f>
        <v>0</v>
      </c>
      <c r="J24" s="713" t="str">
        <f>IF('Entries April 2026'!S24-'Entries April 2026'!S23&lt;1,"0",'Entries April 2026'!S24-'Entries April 2026'!S23)</f>
        <v>0</v>
      </c>
      <c r="K24" s="713" t="str">
        <f>IF('Entries April 2026'!R24-'Entries April 2026'!R23&lt;1,"0",'Entries April 2026'!R24-'Entries April 2026'!R23)</f>
        <v>0</v>
      </c>
      <c r="L24" s="713" t="str">
        <f>IF('Entries April 2026'!T24-'Entries April 2026'!T23&lt;1,"0",'Entries April 2026'!T24-'Entries April 2026'!T23)</f>
        <v>0</v>
      </c>
      <c r="M24" s="713" t="str">
        <f>IF('Entries April 2026'!U24-'Entries April 2026'!U23&lt;1,"0",'Entries April 2026'!U24-'Entries April 2026'!U23)</f>
        <v>0</v>
      </c>
      <c r="N24" s="713" t="str">
        <f>IF('Entries April 2026'!X24-'Entries April 2026'!X23&lt;1,"0",'Entries April 2026'!X24-'Entries April 2026'!X23)</f>
        <v>0</v>
      </c>
      <c r="O24" s="713">
        <f>IF('Entries April 2026'!Y24-'Entries April 2026'!Y23&lt;1,"0",'Entries April 2026'!Y24-'Entries April 2026'!Y23)</f>
        <v>4</v>
      </c>
      <c r="P24" s="713" t="str">
        <f>IF('Entries April 2026'!AC24-'Entries April 2026'!AC23&lt;1,"0",'Entries April 2026'!AC24-'Entries April 2026'!AC23)</f>
        <v>0</v>
      </c>
      <c r="Q24" s="713" t="str">
        <f>IF('Entries April 2026'!Z24-'Entries April 2026'!Z23&lt;1,"0",'Entries April 2026'!Z24-'Entries April 2026'!Z23)</f>
        <v>0</v>
      </c>
      <c r="R24" s="713" t="str">
        <f>IF(('Entries April 2026'!AA24-'Entries April 2026'!AA23)+('Entries April 2026'!AB24-'Entries April 2026'!AB23)&lt;1,"0",('Entries April 2026'!AA24-'Entries April 2026'!AA23)+('Entries April 2026'!AB24-'Entries April 2026'!AB23))</f>
        <v>0</v>
      </c>
      <c r="S24" s="712">
        <f t="shared" si="4"/>
        <v>-30</v>
      </c>
      <c r="T24" s="712">
        <f t="shared" si="1"/>
        <v>4</v>
      </c>
      <c r="U24" s="713" t="str">
        <f>IF('Entries April 2026'!AC24-'Entries April 2026'!AC23&lt;1,"0",'Entries April 2026'!AC24-'Entries April 2026'!AC23)</f>
        <v>0</v>
      </c>
      <c r="V24" s="713" t="str">
        <f>IF('Entries April 2026'!AD24-'Entries April 2026'!AD23&lt;1,"0",'Entries April 2026'!AD24-'Entries April 2026'!AD23)</f>
        <v>0</v>
      </c>
      <c r="W24" s="713" t="str">
        <f>IF('Entries April 2026'!AE24-'Entries April 2026'!AE23&lt;1,"0",'Entries April 2026'!AE24-'Entries April 2026'!AE23)</f>
        <v>0</v>
      </c>
      <c r="X24" s="714" t="str">
        <f>IF('Entries April 2026'!AI24-'Entries April 2026'!AI23&lt;1,"0",'Entries April 2026'!AI24-'Entries April 2026'!AI23)</f>
        <v>0</v>
      </c>
      <c r="Y24" s="714" t="str">
        <f>IF('Entries April 2026'!AH24-'Entries April 2026'!AH23&lt;1,"0",'Entries April 2026'!AH24-'Entries April 2026'!AH23)</f>
        <v>0</v>
      </c>
      <c r="Z24" s="331">
        <f>C24+D24+E24</f>
        <v>32</v>
      </c>
      <c r="AA24" s="332" t="str">
        <v>0</v>
      </c>
      <c r="AB24" s="333" t="str">
        <f t="shared" si="3"/>
        <v>0</v>
      </c>
    </row>
    <row r="25" spans="1:32" x14ac:dyDescent="0.2">
      <c r="B25" s="711">
        <v>19</v>
      </c>
      <c r="C25" s="712" t="str">
        <f>IF('Entries April 2026'!W25-'Entries April 2026'!W24&lt;1,"0",'Entries April 2026'!W25-'Entries April 2026'!W24)</f>
        <v>0</v>
      </c>
      <c r="D25" s="713">
        <f>IF('Entries April 2026'!O25-'Entries April 2026'!O24&lt;1,"0",'Entries April 2026'!O25-'Entries April 2026'!O24)</f>
        <v>106</v>
      </c>
      <c r="E25" s="713">
        <f>IF('Entries April 2026'!P25-'Entries April 2026'!P24&lt;1,"0",'Entries April 2026'!P25-'Entries April 2026'!P24)</f>
        <v>69</v>
      </c>
      <c r="F25" s="713">
        <f>IF('Entries April 2026'!V25-'Entries April 2026'!V24&lt;1,"0",'Entries April 2026'!V25-'Entries April 2026'!V24)</f>
        <v>73</v>
      </c>
      <c r="G25" s="713">
        <f t="shared" si="0"/>
        <v>102</v>
      </c>
      <c r="H25" s="713">
        <f>IF('Entries April 2026'!Q25-'Entries April 2026'!Q24&lt;1,0,'Entries April 2026'!Q25-'Entries April 2026'!Q24)</f>
        <v>60</v>
      </c>
      <c r="I25" s="713">
        <f>IF('Entries April 2026'!AG25-'Entries April 2026'!AG24&lt;1,0,'Entries April 2026'!AG25-'Entries April 2026'!AG24)</f>
        <v>0</v>
      </c>
      <c r="J25" s="713">
        <f>IF('Entries April 2026'!S25-'Entries April 2026'!S24&lt;1,"0",'Entries April 2026'!S25-'Entries April 2026'!S24)</f>
        <v>1</v>
      </c>
      <c r="K25" s="713" t="str">
        <f>IF('Entries April 2026'!R25-'Entries April 2026'!R24&lt;1,"0",'Entries April 2026'!R25-'Entries April 2026'!R24)</f>
        <v>0</v>
      </c>
      <c r="L25" s="713" t="str">
        <f>IF('Entries April 2026'!T25-'Entries April 2026'!T24&lt;1,"0",'Entries April 2026'!T25-'Entries April 2026'!T24)</f>
        <v>0</v>
      </c>
      <c r="M25" s="713" t="str">
        <f>IF('Entries April 2026'!U25-'Entries April 2026'!U24&lt;1,"0",'Entries April 2026'!U25-'Entries April 2026'!U24)</f>
        <v>0</v>
      </c>
      <c r="N25" s="713">
        <f>IF('Entries April 2026'!X25-'Entries April 2026'!X24&lt;1,"0",'Entries April 2026'!X25-'Entries April 2026'!X24)</f>
        <v>5</v>
      </c>
      <c r="O25" s="713">
        <f>IF('Entries April 2026'!Y25-'Entries April 2026'!Y24&lt;1,"0",'Entries April 2026'!Y25-'Entries April 2026'!Y24)</f>
        <v>33</v>
      </c>
      <c r="P25" s="713" t="str">
        <f>IF('Entries April 2026'!AC25-'Entries April 2026'!AC24&lt;1,"0",'Entries April 2026'!AC25-'Entries April 2026'!AC24)</f>
        <v>0</v>
      </c>
      <c r="Q25" s="713">
        <f>IF('Entries April 2026'!Z25-'Entries April 2026'!Z24&lt;1,"0",'Entries April 2026'!Z25-'Entries April 2026'!Z24)</f>
        <v>12</v>
      </c>
      <c r="R25" s="713" t="str">
        <f>IF(('Entries April 2026'!AA25-'Entries April 2026'!AA24)+('Entries April 2026'!AB25-'Entries April 2026'!AB24)&lt;1,"0",('Entries April 2026'!AA25-'Entries April 2026'!AA24)+('Entries April 2026'!AB25-'Entries April 2026'!AB24))</f>
        <v>0</v>
      </c>
      <c r="S25" s="712">
        <f t="shared" si="4"/>
        <v>1020</v>
      </c>
      <c r="T25" s="712">
        <f t="shared" si="1"/>
        <v>38</v>
      </c>
      <c r="U25" s="713" t="str">
        <f>IF('Entries April 2026'!AC25-'Entries April 2026'!AC24&lt;1,"0",'Entries April 2026'!AC25-'Entries April 2026'!AC24)</f>
        <v>0</v>
      </c>
      <c r="V25" s="713" t="str">
        <f>IF('Entries April 2026'!AD25-'Entries April 2026'!AD24&lt;1,"0",'Entries April 2026'!AD25-'Entries April 2026'!AD24)</f>
        <v>0</v>
      </c>
      <c r="W25" s="713" t="str">
        <f>IF('Entries April 2026'!AE25-'Entries April 2026'!AE24&lt;1,"0",'Entries April 2026'!AE25-'Entries April 2026'!AE24)</f>
        <v>0</v>
      </c>
      <c r="X25" s="714" t="str">
        <f>IF('Entries April 2026'!AI25-'Entries April 2026'!AI24&lt;1,"0",'Entries April 2026'!AI25-'Entries April 2026'!AI24)</f>
        <v>0</v>
      </c>
      <c r="Y25" s="714" t="str">
        <f>IF('Entries April 2026'!AH25-'Entries April 2026'!AH24&lt;1,"0",'Entries April 2026'!AH25-'Entries April 2026'!AH24)</f>
        <v>0</v>
      </c>
      <c r="Z25" s="331">
        <f t="shared" si="2"/>
        <v>175</v>
      </c>
      <c r="AA25" s="332" t="str">
        <v>0</v>
      </c>
      <c r="AB25" s="333" t="str">
        <f t="shared" si="3"/>
        <v>0</v>
      </c>
    </row>
    <row r="26" spans="1:32" x14ac:dyDescent="0.2">
      <c r="A26" s="29"/>
      <c r="B26" s="711">
        <v>20</v>
      </c>
      <c r="C26" s="712" t="str">
        <f>IF('Entries April 2026'!W26-'Entries April 2026'!W25&lt;1,"0",'Entries April 2026'!W26-'Entries April 2026'!W25)</f>
        <v>0</v>
      </c>
      <c r="D26" s="713">
        <f>IF('Entries April 2026'!O26-'Entries April 2026'!O25&lt;1,"0",'Entries April 2026'!O26-'Entries April 2026'!O25)</f>
        <v>202</v>
      </c>
      <c r="E26" s="713">
        <f>IF('Entries April 2026'!P26-'Entries April 2026'!P25&lt;1,"0",'Entries April 2026'!P26-'Entries April 2026'!P25)</f>
        <v>108</v>
      </c>
      <c r="F26" s="713">
        <f>IF('Entries April 2026'!V26-'Entries April 2026'!V25&lt;1,"0",'Entries April 2026'!V26-'Entries April 2026'!V25)</f>
        <v>113</v>
      </c>
      <c r="G26" s="713">
        <f t="shared" si="0"/>
        <v>197</v>
      </c>
      <c r="H26" s="713">
        <f>IF('Entries April 2026'!Q26-'Entries April 2026'!Q25&lt;1,0,'Entries April 2026'!Q26-'Entries April 2026'!Q25)</f>
        <v>244</v>
      </c>
      <c r="I26" s="713">
        <f>IF('Entries April 2026'!AG26-'Entries April 2026'!AG25&lt;1,0,'Entries April 2026'!AG26-'Entries April 2026'!AG25)</f>
        <v>0</v>
      </c>
      <c r="J26" s="713">
        <f>IF('Entries April 2026'!S26-'Entries April 2026'!S25&lt;1,"0",'Entries April 2026'!S26-'Entries April 2026'!S25)</f>
        <v>130</v>
      </c>
      <c r="K26" s="713" t="str">
        <f>IF('Entries April 2026'!R26-'Entries April 2026'!R25&lt;1,"0",'Entries April 2026'!R26-'Entries April 2026'!R25)</f>
        <v>0</v>
      </c>
      <c r="L26" s="713" t="str">
        <f>IF('Entries April 2026'!T26-'Entries April 2026'!T25&lt;1,"0",'Entries April 2026'!T26-'Entries April 2026'!T25)</f>
        <v>0</v>
      </c>
      <c r="M26" s="713">
        <f>IF('Entries April 2026'!U26-'Entries April 2026'!U25&lt;1,"0",'Entries April 2026'!U26-'Entries April 2026'!U25)</f>
        <v>6</v>
      </c>
      <c r="N26" s="713">
        <f>IF('Entries April 2026'!X26-'Entries April 2026'!X25&lt;1,"0",'Entries April 2026'!X26-'Entries April 2026'!X25)</f>
        <v>64</v>
      </c>
      <c r="O26" s="713">
        <f>IF('Entries April 2026'!Y26-'Entries April 2026'!Y25&lt;1,"0",'Entries April 2026'!Y26-'Entries April 2026'!Y25)</f>
        <v>70</v>
      </c>
      <c r="P26" s="713">
        <f>IF('Entries April 2026'!AC26-'Entries April 2026'!AC25&lt;1,"0",'Entries April 2026'!AC26-'Entries April 2026'!AC25)</f>
        <v>26</v>
      </c>
      <c r="Q26" s="713">
        <f>IF('Entries April 2026'!Z26-'Entries April 2026'!Z25&lt;1,"0",'Entries April 2026'!Z26-'Entries April 2026'!Z25)</f>
        <v>16</v>
      </c>
      <c r="R26" s="713" t="str">
        <f>IF(('Entries April 2026'!AA26-'Entries April 2026'!AA25)+('Entries April 2026'!AB26-'Entries April 2026'!AB25)&lt;1,"0",('Entries April 2026'!AA26-'Entries April 2026'!AA25)+('Entries April 2026'!AB26-'Entries April 2026'!AB25))</f>
        <v>0</v>
      </c>
      <c r="S26" s="712">
        <f t="shared" si="4"/>
        <v>1970</v>
      </c>
      <c r="T26" s="712">
        <f t="shared" si="1"/>
        <v>140</v>
      </c>
      <c r="U26" s="713">
        <f>IF('Entries April 2026'!AC26-'Entries April 2026'!AC25&lt;1,"0",'Entries April 2026'!AC26-'Entries April 2026'!AC25)</f>
        <v>26</v>
      </c>
      <c r="V26" s="713" t="str">
        <f>IF('Entries April 2026'!AD26-'Entries April 2026'!AD25&lt;1,"0",'Entries April 2026'!AD26-'Entries April 2026'!AD25)</f>
        <v>0</v>
      </c>
      <c r="W26" s="713" t="str">
        <f>IF('Entries April 2026'!AE26-'Entries April 2026'!AE25&lt;1,"0",'Entries April 2026'!AE26-'Entries April 2026'!AE25)</f>
        <v>0</v>
      </c>
      <c r="X26" s="714" t="str">
        <f>IF('Entries April 2026'!AI26-'Entries April 2026'!AI25&lt;1,"0",'Entries April 2026'!AI26-'Entries April 2026'!AI25)</f>
        <v>0</v>
      </c>
      <c r="Y26" s="714" t="str">
        <f>IF('Entries April 2026'!AH26-'Entries April 2026'!AH25&lt;1,"0",'Entries April 2026'!AH26-'Entries April 2026'!AH25)</f>
        <v>0</v>
      </c>
      <c r="Z26" s="331">
        <f t="shared" si="2"/>
        <v>310</v>
      </c>
      <c r="AA26" s="332">
        <v>256.41000000000003</v>
      </c>
      <c r="AB26" s="333">
        <f t="shared" si="3"/>
        <v>12.090012090012088</v>
      </c>
    </row>
    <row r="27" spans="1:32" x14ac:dyDescent="0.2">
      <c r="A27" s="29"/>
      <c r="B27" s="711">
        <v>21</v>
      </c>
      <c r="C27" s="712" t="str">
        <f>IF('Entries April 2026'!W27-'Entries April 2026'!W26&lt;1,"0",'Entries April 2026'!W27-'Entries April 2026'!W26)</f>
        <v>0</v>
      </c>
      <c r="D27" s="713">
        <f>IF('Entries April 2026'!O27-'Entries April 2026'!O26&lt;1,"0",'Entries April 2026'!O27-'Entries April 2026'!O26)</f>
        <v>189</v>
      </c>
      <c r="E27" s="713">
        <f>IF('Entries April 2026'!P27-'Entries April 2026'!P26&lt;1,"0",'Entries April 2026'!P27-'Entries April 2026'!P26)</f>
        <v>125</v>
      </c>
      <c r="F27" s="713">
        <f>IF('Entries April 2026'!V27-'Entries April 2026'!V26&lt;1,"0",'Entries April 2026'!V27-'Entries April 2026'!V26)</f>
        <v>132</v>
      </c>
      <c r="G27" s="713">
        <f t="shared" si="0"/>
        <v>182</v>
      </c>
      <c r="H27" s="713">
        <f>IF('Entries April 2026'!Q27-'Entries April 2026'!Q26&lt;1,0,'Entries April 2026'!Q27-'Entries April 2026'!Q26)</f>
        <v>219</v>
      </c>
      <c r="I27" s="713">
        <f>IF('Entries April 2026'!AG27-'Entries April 2026'!AG26&lt;1,0,'Entries April 2026'!AG27-'Entries April 2026'!AG26)</f>
        <v>0</v>
      </c>
      <c r="J27" s="713">
        <f>IF('Entries April 2026'!S27-'Entries April 2026'!S26&lt;1,"0",'Entries April 2026'!S27-'Entries April 2026'!S26)</f>
        <v>186</v>
      </c>
      <c r="K27" s="713" t="str">
        <f>IF('Entries April 2026'!R27-'Entries April 2026'!R26&lt;1,"0",'Entries April 2026'!R27-'Entries April 2026'!R26)</f>
        <v>0</v>
      </c>
      <c r="L27" s="713" t="str">
        <f>IF('Entries April 2026'!T27-'Entries April 2026'!T26&lt;1,"0",'Entries April 2026'!T27-'Entries April 2026'!T26)</f>
        <v>0</v>
      </c>
      <c r="M27" s="713" t="str">
        <f>IF('Entries April 2026'!U27-'Entries April 2026'!U26&lt;1,"0",'Entries April 2026'!U27-'Entries April 2026'!U26)</f>
        <v>0</v>
      </c>
      <c r="N27" s="713">
        <f>IF('Entries April 2026'!X27-'Entries April 2026'!X26&lt;1,"0",'Entries April 2026'!X27-'Entries April 2026'!X26)</f>
        <v>30</v>
      </c>
      <c r="O27" s="713">
        <f>IF('Entries April 2026'!Y27-'Entries April 2026'!Y26&lt;1,"0",'Entries April 2026'!Y27-'Entries April 2026'!Y26)</f>
        <v>109</v>
      </c>
      <c r="P27" s="713">
        <f>IF('Entries April 2026'!AC27-'Entries April 2026'!AC26&lt;1,"0",'Entries April 2026'!AC27-'Entries April 2026'!AC26)</f>
        <v>32</v>
      </c>
      <c r="Q27" s="713">
        <f>IF('Entries April 2026'!Z27-'Entries April 2026'!Z26&lt;1,"0",'Entries April 2026'!Z27-'Entries April 2026'!Z26)</f>
        <v>26</v>
      </c>
      <c r="R27" s="713" t="str">
        <f>IF(('Entries April 2026'!AA27-'Entries April 2026'!AA26)+('Entries April 2026'!AB27-'Entries April 2026'!AB26)&lt;1,"0",('Entries April 2026'!AA27-'Entries April 2026'!AA26)+('Entries April 2026'!AB27-'Entries April 2026'!AB26))</f>
        <v>0</v>
      </c>
      <c r="S27" s="712">
        <f t="shared" si="4"/>
        <v>1820</v>
      </c>
      <c r="T27" s="712">
        <f t="shared" si="1"/>
        <v>139</v>
      </c>
      <c r="U27" s="713">
        <f>IF('Entries April 2026'!AC27-'Entries April 2026'!AC26&lt;1,"0",'Entries April 2026'!AC27-'Entries April 2026'!AC26)</f>
        <v>32</v>
      </c>
      <c r="V27" s="713" t="str">
        <f>IF('Entries April 2026'!AD27-'Entries April 2026'!AD26&lt;1,"0",'Entries April 2026'!AD27-'Entries April 2026'!AD26)</f>
        <v>0</v>
      </c>
      <c r="W27" s="713" t="str">
        <f>IF('Entries April 2026'!AE27-'Entries April 2026'!AE26&lt;1,"0",'Entries April 2026'!AE27-'Entries April 2026'!AE26)</f>
        <v>0</v>
      </c>
      <c r="X27" s="714" t="str">
        <f>IF('Entries April 2026'!AI27-'Entries April 2026'!AI26&lt;1,"0",'Entries April 2026'!AI27-'Entries April 2026'!AI26)</f>
        <v>0</v>
      </c>
      <c r="Y27" s="714" t="str">
        <f>IF('Entries April 2026'!AH27-'Entries April 2026'!AH26&lt;1,"0",'Entries April 2026'!AH27-'Entries April 2026'!AH26)</f>
        <v>0</v>
      </c>
      <c r="Z27" s="331">
        <f t="shared" si="2"/>
        <v>314</v>
      </c>
      <c r="AA27" s="332">
        <v>521.46600000000001</v>
      </c>
      <c r="AB27" s="333">
        <f t="shared" si="3"/>
        <v>6.0214855810350052</v>
      </c>
    </row>
    <row r="28" spans="1:32" x14ac:dyDescent="0.2">
      <c r="B28" s="711">
        <v>22</v>
      </c>
      <c r="C28" s="712" t="str">
        <f>IF('Entries April 2026'!W28-'Entries April 2026'!W27&lt;1,"0",'Entries April 2026'!W28-'Entries April 2026'!W27)</f>
        <v>0</v>
      </c>
      <c r="D28" s="713">
        <f>IF('Entries April 2026'!O28-'Entries April 2026'!O27&lt;1,"0",'Entries April 2026'!O28-'Entries April 2026'!O27)</f>
        <v>271</v>
      </c>
      <c r="E28" s="713">
        <f>IF('Entries April 2026'!P28-'Entries April 2026'!P27&lt;1,"0",'Entries April 2026'!P28-'Entries April 2026'!P27)</f>
        <v>171</v>
      </c>
      <c r="F28" s="713">
        <f>IF('Entries April 2026'!V28-'Entries April 2026'!V27&lt;1,"0",'Entries April 2026'!V28-'Entries April 2026'!V27)</f>
        <v>180</v>
      </c>
      <c r="G28" s="713">
        <f t="shared" si="0"/>
        <v>262</v>
      </c>
      <c r="H28" s="713">
        <f>IF('Entries April 2026'!Q28-'Entries April 2026'!Q27&lt;1,0,'Entries April 2026'!Q28-'Entries April 2026'!Q27)</f>
        <v>284</v>
      </c>
      <c r="I28" s="713">
        <f>IF('Entries April 2026'!AG28-'Entries April 2026'!AG27&lt;1,0,'Entries April 2026'!AG28-'Entries April 2026'!AG27)</f>
        <v>0</v>
      </c>
      <c r="J28" s="713">
        <f>IF('Entries April 2026'!S28-'Entries April 2026'!S27&lt;1,"0",'Entries April 2026'!S28-'Entries April 2026'!S27)</f>
        <v>90</v>
      </c>
      <c r="K28" s="713" t="str">
        <f>IF('Entries April 2026'!R28-'Entries April 2026'!R27&lt;1,"0",'Entries April 2026'!R28-'Entries April 2026'!R27)</f>
        <v>0</v>
      </c>
      <c r="L28" s="713" t="str">
        <f>IF('Entries April 2026'!T28-'Entries April 2026'!T27&lt;1,"0",'Entries April 2026'!T28-'Entries April 2026'!T27)</f>
        <v>0</v>
      </c>
      <c r="M28" s="713" t="str">
        <f>IF('Entries April 2026'!U28-'Entries April 2026'!U27&lt;1,"0",'Entries April 2026'!U28-'Entries April 2026'!U27)</f>
        <v>0</v>
      </c>
      <c r="N28" s="713">
        <f>IF('Entries April 2026'!X28-'Entries April 2026'!X27&lt;1,"0",'Entries April 2026'!X28-'Entries April 2026'!X27)</f>
        <v>45</v>
      </c>
      <c r="O28" s="713">
        <f>IF('Entries April 2026'!Y28-'Entries April 2026'!Y27&lt;1,"0",'Entries April 2026'!Y28-'Entries April 2026'!Y27)</f>
        <v>126</v>
      </c>
      <c r="P28" s="713">
        <f>IF('Entries April 2026'!AC28-'Entries April 2026'!AC27&lt;1,"0",'Entries April 2026'!AC28-'Entries April 2026'!AC27)</f>
        <v>33</v>
      </c>
      <c r="Q28" s="713">
        <f>IF('Entries April 2026'!Z28-'Entries April 2026'!Z27&lt;1,"0",'Entries April 2026'!Z28-'Entries April 2026'!Z27)</f>
        <v>27</v>
      </c>
      <c r="R28" s="713" t="str">
        <f>IF(('Entries April 2026'!AA28-'Entries April 2026'!AA27)+('Entries April 2026'!AB28-'Entries April 2026'!AB27)&lt;1,"0",('Entries April 2026'!AA28-'Entries April 2026'!AA27)+('Entries April 2026'!AB28-'Entries April 2026'!AB27))</f>
        <v>0</v>
      </c>
      <c r="S28" s="712">
        <f t="shared" si="4"/>
        <v>2620</v>
      </c>
      <c r="T28" s="712">
        <f t="shared" si="1"/>
        <v>171</v>
      </c>
      <c r="U28" s="713">
        <f>IF('Entries April 2026'!AC28-'Entries April 2026'!AC27&lt;1,"0",'Entries April 2026'!AC28-'Entries April 2026'!AC27)</f>
        <v>33</v>
      </c>
      <c r="V28" s="713" t="str">
        <f>IF('Entries April 2026'!AD28-'Entries April 2026'!AD27&lt;1,"0",'Entries April 2026'!AD28-'Entries April 2026'!AD27)</f>
        <v>0</v>
      </c>
      <c r="W28" s="713" t="str">
        <f>IF('Entries April 2026'!AE28-'Entries April 2026'!AE27&lt;1,"0",'Entries April 2026'!AE28-'Entries April 2026'!AE27)</f>
        <v>0</v>
      </c>
      <c r="X28" s="714" t="str">
        <f>IF('Entries April 2026'!AI28-'Entries April 2026'!AI27&lt;1,"0",'Entries April 2026'!AI28-'Entries April 2026'!AI27)</f>
        <v>0</v>
      </c>
      <c r="Y28" s="714" t="str">
        <f>IF('Entries April 2026'!AH28-'Entries April 2026'!AH27&lt;1,"0",'Entries April 2026'!AH28-'Entries April 2026'!AH27)</f>
        <v>0</v>
      </c>
      <c r="Z28" s="331">
        <f t="shared" si="2"/>
        <v>442</v>
      </c>
      <c r="AA28" s="332">
        <v>517.30799999999999</v>
      </c>
      <c r="AB28" s="333">
        <f t="shared" si="3"/>
        <v>8.5442328361440385</v>
      </c>
    </row>
    <row r="29" spans="1:32" x14ac:dyDescent="0.2">
      <c r="B29" s="711">
        <v>23</v>
      </c>
      <c r="C29" s="712" t="str">
        <f>IF('Entries April 2026'!W29-'Entries April 2026'!W28&lt;1,"0",'Entries April 2026'!W29-'Entries April 2026'!W28)</f>
        <v>0</v>
      </c>
      <c r="D29" s="713">
        <f>IF('Entries April 2026'!O29-'Entries April 2026'!O28&lt;1,"0",'Entries April 2026'!O29-'Entries April 2026'!O28)</f>
        <v>140</v>
      </c>
      <c r="E29" s="713">
        <f>IF('Entries April 2026'!P29-'Entries April 2026'!P28&lt;1,"0",'Entries April 2026'!P29-'Entries April 2026'!P28)</f>
        <v>145</v>
      </c>
      <c r="F29" s="713">
        <f>IF('Entries April 2026'!V29-'Entries April 2026'!V28&lt;1,"0",'Entries April 2026'!V29-'Entries April 2026'!V28)</f>
        <v>152</v>
      </c>
      <c r="G29" s="713">
        <f t="shared" si="0"/>
        <v>133</v>
      </c>
      <c r="H29" s="713">
        <f>IF('Entries April 2026'!Q29-'Entries April 2026'!Q28&lt;1,0,'Entries April 2026'!Q29-'Entries April 2026'!Q28)</f>
        <v>181</v>
      </c>
      <c r="I29" s="713">
        <f>IF('Entries April 2026'!AG29-'Entries April 2026'!AG28&lt;1,0,'Entries April 2026'!AG29-'Entries April 2026'!AG28)</f>
        <v>0</v>
      </c>
      <c r="J29" s="713">
        <f>IF('Entries April 2026'!S29-'Entries April 2026'!S28&lt;1,"0",'Entries April 2026'!S29-'Entries April 2026'!S28)</f>
        <v>147</v>
      </c>
      <c r="K29" s="713" t="str">
        <f>IF('Entries April 2026'!R29-'Entries April 2026'!R28&lt;1,"0",'Entries April 2026'!R29-'Entries April 2026'!R28)</f>
        <v>0</v>
      </c>
      <c r="L29" s="713" t="str">
        <f>IF('Entries April 2026'!T29-'Entries April 2026'!T28&lt;1,"0",'Entries April 2026'!T29-'Entries April 2026'!T28)</f>
        <v>0</v>
      </c>
      <c r="M29" s="713">
        <f>IF('Entries April 2026'!U29-'Entries April 2026'!U28&lt;1,"0",'Entries April 2026'!U29-'Entries April 2026'!U28)</f>
        <v>4</v>
      </c>
      <c r="N29" s="713">
        <f>IF('Entries April 2026'!X29-'Entries April 2026'!X28&lt;1,"0",'Entries April 2026'!X29-'Entries April 2026'!X28)</f>
        <v>35</v>
      </c>
      <c r="O29" s="713">
        <f>IF('Entries April 2026'!Y29-'Entries April 2026'!Y28&lt;1,"0",'Entries April 2026'!Y29-'Entries April 2026'!Y28)</f>
        <v>84</v>
      </c>
      <c r="P29" s="713">
        <f>IF('Entries April 2026'!AC29-'Entries April 2026'!AC28&lt;1,"0",'Entries April 2026'!AC29-'Entries April 2026'!AC28)</f>
        <v>28</v>
      </c>
      <c r="Q29" s="713">
        <f>IF('Entries April 2026'!Z29-'Entries April 2026'!Z28&lt;1,"0",'Entries April 2026'!Z29-'Entries April 2026'!Z28)</f>
        <v>27</v>
      </c>
      <c r="R29" s="713" t="str">
        <f>IF(('Entries April 2026'!AA29-'Entries April 2026'!AA28)+('Entries April 2026'!AB29-'Entries April 2026'!AB28)&lt;1,"0",('Entries April 2026'!AA29-'Entries April 2026'!AA28)+('Entries April 2026'!AB29-'Entries April 2026'!AB28))</f>
        <v>0</v>
      </c>
      <c r="S29" s="712">
        <f t="shared" si="4"/>
        <v>1330</v>
      </c>
      <c r="T29" s="712">
        <f t="shared" si="1"/>
        <v>123</v>
      </c>
      <c r="U29" s="713">
        <f>IF('Entries April 2026'!AC29-'Entries April 2026'!AC28&lt;1,"0",'Entries April 2026'!AC29-'Entries April 2026'!AC28)</f>
        <v>28</v>
      </c>
      <c r="V29" s="713" t="str">
        <f>IF('Entries April 2026'!AD29-'Entries April 2026'!AD28&lt;1,"0",'Entries April 2026'!AD29-'Entries April 2026'!AD28)</f>
        <v>0</v>
      </c>
      <c r="W29" s="713" t="str">
        <f>IF('Entries April 2026'!AE29-'Entries April 2026'!AE28&lt;1,"0",'Entries April 2026'!AE29-'Entries April 2026'!AE28)</f>
        <v>0</v>
      </c>
      <c r="X29" s="714" t="str">
        <f>IF('Entries April 2026'!AI29-'Entries April 2026'!AI28&lt;1,"0",'Entries April 2026'!AI29-'Entries April 2026'!AI28)</f>
        <v>0</v>
      </c>
      <c r="Y29" s="714" t="str">
        <f>IF('Entries April 2026'!AH29-'Entries April 2026'!AH28&lt;1,"0",'Entries April 2026'!AH29-'Entries April 2026'!AH28)</f>
        <v>0</v>
      </c>
      <c r="Z29" s="331">
        <f t="shared" si="2"/>
        <v>285</v>
      </c>
      <c r="AA29" s="332">
        <v>241.69200000000001</v>
      </c>
      <c r="AB29" s="333">
        <f t="shared" si="3"/>
        <v>11.791867335286232</v>
      </c>
    </row>
    <row r="30" spans="1:32" x14ac:dyDescent="0.2">
      <c r="B30" s="711">
        <v>24</v>
      </c>
      <c r="C30" s="712" t="str">
        <f>IF('Entries April 2026'!W30-'Entries April 2026'!W29&lt;1,"0",'Entries April 2026'!W30-'Entries April 2026'!W29)</f>
        <v>0</v>
      </c>
      <c r="D30" s="713">
        <f>IF('Entries April 2026'!O30-'Entries April 2026'!O29&lt;1,"0",'Entries April 2026'!O30-'Entries April 2026'!O29)</f>
        <v>131</v>
      </c>
      <c r="E30" s="713">
        <f>IF('Entries April 2026'!P30-'Entries April 2026'!P29&lt;1,"0",'Entries April 2026'!P30-'Entries April 2026'!P29)</f>
        <v>161</v>
      </c>
      <c r="F30" s="713">
        <f>IF('Entries April 2026'!V30-'Entries April 2026'!V29&lt;1,"0",'Entries April 2026'!V30-'Entries April 2026'!V29)</f>
        <v>169</v>
      </c>
      <c r="G30" s="713">
        <f t="shared" si="0"/>
        <v>123</v>
      </c>
      <c r="H30" s="713">
        <f>IF('Entries April 2026'!Q30-'Entries April 2026'!Q29&lt;1,0,'Entries April 2026'!Q30-'Entries April 2026'!Q29)</f>
        <v>170</v>
      </c>
      <c r="I30" s="713">
        <f>IF('Entries April 2026'!AG30-'Entries April 2026'!AG29&lt;1,0,'Entries April 2026'!AG30-'Entries April 2026'!AG29)</f>
        <v>0</v>
      </c>
      <c r="J30" s="713">
        <f>IF('Entries April 2026'!S30-'Entries April 2026'!S29&lt;1,"0",'Entries April 2026'!S30-'Entries April 2026'!S29)</f>
        <v>140</v>
      </c>
      <c r="K30" s="713" t="str">
        <f>IF('Entries April 2026'!R30-'Entries April 2026'!R29&lt;1,"0",'Entries April 2026'!R30-'Entries April 2026'!R29)</f>
        <v>0</v>
      </c>
      <c r="L30" s="713" t="str">
        <f>IF('Entries April 2026'!T30-'Entries April 2026'!T29&lt;1,"0",'Entries April 2026'!T30-'Entries April 2026'!T29)</f>
        <v>0</v>
      </c>
      <c r="M30" s="713" t="str">
        <f>IF('Entries April 2026'!U30-'Entries April 2026'!U29&lt;1,"0",'Entries April 2026'!U30-'Entries April 2026'!U29)</f>
        <v>0</v>
      </c>
      <c r="N30" s="713">
        <f>IF('Entries April 2026'!X30-'Entries April 2026'!X29&lt;1,"0",'Entries April 2026'!X30-'Entries April 2026'!X29)</f>
        <v>39</v>
      </c>
      <c r="O30" s="713">
        <f>IF('Entries April 2026'!Y30-'Entries April 2026'!Y29&lt;1,"0",'Entries April 2026'!Y30-'Entries April 2026'!Y29)</f>
        <v>36</v>
      </c>
      <c r="P30" s="713">
        <f>IF('Entries April 2026'!AC30-'Entries April 2026'!AC29&lt;1,"0",'Entries April 2026'!AC30-'Entries April 2026'!AC29)</f>
        <v>16</v>
      </c>
      <c r="Q30" s="713">
        <f>IF('Entries April 2026'!Z30-'Entries April 2026'!Z29&lt;1,"0",'Entries April 2026'!Z30-'Entries April 2026'!Z29)</f>
        <v>25</v>
      </c>
      <c r="R30" s="713" t="str">
        <f>IF(('Entries April 2026'!AA30-'Entries April 2026'!AA29)+('Entries April 2026'!AB30-'Entries April 2026'!AB29)&lt;1,"0",('Entries April 2026'!AA30-'Entries April 2026'!AA29)+('Entries April 2026'!AB30-'Entries April 2026'!AB29))</f>
        <v>0</v>
      </c>
      <c r="S30" s="712">
        <f t="shared" si="4"/>
        <v>1230</v>
      </c>
      <c r="T30" s="712">
        <f t="shared" si="1"/>
        <v>75</v>
      </c>
      <c r="U30" s="713">
        <f>IF('Entries April 2026'!AC30-'Entries April 2026'!AC29&lt;1,"0",'Entries April 2026'!AC30-'Entries April 2026'!AC29)</f>
        <v>16</v>
      </c>
      <c r="V30" s="713">
        <f>IF('Entries April 2026'!AD30-'Entries April 2026'!AD29&lt;1,"0",'Entries April 2026'!AD30-'Entries April 2026'!AD29)</f>
        <v>12</v>
      </c>
      <c r="W30" s="713" t="str">
        <f>IF('Entries April 2026'!AE30-'Entries April 2026'!AE29&lt;1,"0",'Entries April 2026'!AE30-'Entries April 2026'!AE29)</f>
        <v>0</v>
      </c>
      <c r="X30" s="714" t="str">
        <f>IF('Entries April 2026'!AI30-'Entries April 2026'!AI29&lt;1,"0",'Entries April 2026'!AI30-'Entries April 2026'!AI29)</f>
        <v>0</v>
      </c>
      <c r="Y30" s="714" t="str">
        <f>IF('Entries April 2026'!AH30-'Entries April 2026'!AH29&lt;1,"0",'Entries April 2026'!AH30-'Entries April 2026'!AH29)</f>
        <v>0</v>
      </c>
      <c r="Z30" s="331">
        <f t="shared" si="2"/>
        <v>292</v>
      </c>
      <c r="AA30" s="332">
        <v>224.334</v>
      </c>
      <c r="AB30" s="333">
        <f t="shared" si="3"/>
        <v>13.016306043667033</v>
      </c>
    </row>
    <row r="31" spans="1:32" x14ac:dyDescent="0.2">
      <c r="B31" s="711">
        <v>25</v>
      </c>
      <c r="C31" s="712" t="str">
        <f>IF('Entries April 2026'!W31-'Entries April 2026'!W30&lt;1,"0",'Entries April 2026'!W31-'Entries April 2026'!W30)</f>
        <v>0</v>
      </c>
      <c r="D31" s="713">
        <f>IF('Entries April 2026'!O31-'Entries April 2026'!O30&lt;1,"0",'Entries April 2026'!O31-'Entries April 2026'!O30)</f>
        <v>77</v>
      </c>
      <c r="E31" s="713">
        <f>IF('Entries April 2026'!P31-'Entries April 2026'!P30&lt;1,"0",'Entries April 2026'!P31-'Entries April 2026'!P30)</f>
        <v>39</v>
      </c>
      <c r="F31" s="713">
        <f>IF('Entries April 2026'!V31-'Entries April 2026'!V30&lt;1,"0",'Entries April 2026'!V31-'Entries April 2026'!V30)</f>
        <v>41</v>
      </c>
      <c r="G31" s="713">
        <f t="shared" si="0"/>
        <v>75</v>
      </c>
      <c r="H31" s="713">
        <f>IF('Entries April 2026'!Q31-'Entries April 2026'!Q30&lt;1,0,'Entries April 2026'!Q31-'Entries April 2026'!Q30)</f>
        <v>97</v>
      </c>
      <c r="I31" s="713">
        <f>IF('Entries April 2026'!AG31-'Entries April 2026'!AG30&lt;1,0,'Entries April 2026'!AG31-'Entries April 2026'!AG30)</f>
        <v>0</v>
      </c>
      <c r="J31" s="713">
        <f>IF('Entries April 2026'!S31-'Entries April 2026'!S30&lt;1,"0",'Entries April 2026'!S31-'Entries April 2026'!S30)</f>
        <v>123</v>
      </c>
      <c r="K31" s="713" t="str">
        <f>IF('Entries April 2026'!R31-'Entries April 2026'!R30&lt;1,"0",'Entries April 2026'!R31-'Entries April 2026'!R30)</f>
        <v>0</v>
      </c>
      <c r="L31" s="713" t="str">
        <f>IF('Entries April 2026'!T31-'Entries April 2026'!T30&lt;1,"0",'Entries April 2026'!T31-'Entries April 2026'!T30)</f>
        <v>0</v>
      </c>
      <c r="M31" s="713" t="str">
        <f>IF('Entries April 2026'!U31-'Entries April 2026'!U30&lt;1,"0",'Entries April 2026'!U31-'Entries April 2026'!U30)</f>
        <v>0</v>
      </c>
      <c r="N31" s="713">
        <f>IF('Entries April 2026'!X31-'Entries April 2026'!X30&lt;1,"0",'Entries April 2026'!X31-'Entries April 2026'!X30)</f>
        <v>23</v>
      </c>
      <c r="O31" s="713">
        <f>IF('Entries April 2026'!Y31-'Entries April 2026'!Y30&lt;1,"0",'Entries April 2026'!Y31-'Entries April 2026'!Y30)</f>
        <v>24</v>
      </c>
      <c r="P31" s="713">
        <f>IF('Entries April 2026'!AC31-'Entries April 2026'!AC30&lt;1,"0",'Entries April 2026'!AC31-'Entries April 2026'!AC30)</f>
        <v>3</v>
      </c>
      <c r="Q31" s="713">
        <f>IF('Entries April 2026'!Z31-'Entries April 2026'!Z30&lt;1,"0",'Entries April 2026'!Z31-'Entries April 2026'!Z30)</f>
        <v>6</v>
      </c>
      <c r="R31" s="713" t="str">
        <f>IF(('Entries April 2026'!AA31-'Entries April 2026'!AA30)+('Entries April 2026'!AB31-'Entries April 2026'!AB30)&lt;1,"0",('Entries April 2026'!AA31-'Entries April 2026'!AA30)+('Entries April 2026'!AB31-'Entries April 2026'!AB30))</f>
        <v>0</v>
      </c>
      <c r="S31" s="712">
        <f t="shared" si="4"/>
        <v>750</v>
      </c>
      <c r="T31" s="712">
        <f t="shared" si="1"/>
        <v>47</v>
      </c>
      <c r="U31" s="713">
        <f>IF('Entries April 2026'!AC31-'Entries April 2026'!AC30&lt;1,"0",'Entries April 2026'!AC31-'Entries April 2026'!AC30)</f>
        <v>3</v>
      </c>
      <c r="V31" s="713" t="str">
        <f>IF('Entries April 2026'!AD31-'Entries April 2026'!AD30&lt;1,"0",'Entries April 2026'!AD31-'Entries April 2026'!AD30)</f>
        <v>0</v>
      </c>
      <c r="W31" s="713" t="str">
        <f>IF('Entries April 2026'!AE31-'Entries April 2026'!AE30&lt;1,"0",'Entries April 2026'!AE31-'Entries April 2026'!AE30)</f>
        <v>0</v>
      </c>
      <c r="X31" s="714" t="str">
        <f>IF('Entries April 2026'!AI31-'Entries April 2026'!AI30&lt;1,"0",'Entries April 2026'!AI31-'Entries April 2026'!AI30)</f>
        <v>0</v>
      </c>
      <c r="Y31" s="714" t="str">
        <f>IF('Entries April 2026'!AH31-'Entries April 2026'!AH30&lt;1,"0",'Entries April 2026'!AH31-'Entries April 2026'!AH30)</f>
        <v>0</v>
      </c>
      <c r="Z31" s="331">
        <f t="shared" si="2"/>
        <v>116</v>
      </c>
      <c r="AA31" s="332" t="str">
        <v>0</v>
      </c>
      <c r="AB31" s="333" t="str">
        <f t="shared" si="3"/>
        <v>0</v>
      </c>
      <c r="AF31" s="8" t="s">
        <v>58</v>
      </c>
    </row>
    <row r="32" spans="1:32" x14ac:dyDescent="0.2">
      <c r="B32" s="711">
        <v>26</v>
      </c>
      <c r="C32" s="712" t="str">
        <f>IF('Entries April 2026'!W32-'Entries April 2026'!W31&lt;1,"0",'Entries April 2026'!W32-'Entries April 2026'!W31)</f>
        <v>0</v>
      </c>
      <c r="D32" s="713">
        <f>IF('Entries April 2026'!O32-'Entries April 2026'!O31&lt;1,"0",'Entries April 2026'!O32-'Entries April 2026'!O31)</f>
        <v>95</v>
      </c>
      <c r="E32" s="713">
        <f>IF('Entries April 2026'!P32-'Entries April 2026'!P31&lt;1,"0",'Entries April 2026'!P32-'Entries April 2026'!P31)</f>
        <v>88</v>
      </c>
      <c r="F32" s="713">
        <f>IF('Entries April 2026'!V32-'Entries April 2026'!V31&lt;1,"0",'Entries April 2026'!V32-'Entries April 2026'!V31)</f>
        <v>77</v>
      </c>
      <c r="G32" s="713">
        <f t="shared" si="0"/>
        <v>106</v>
      </c>
      <c r="H32" s="713">
        <f>IF('Entries April 2026'!Q32-'Entries April 2026'!Q31&lt;1,0,'Entries April 2026'!Q32-'Entries April 2026'!Q31)</f>
        <v>51</v>
      </c>
      <c r="I32" s="713">
        <f>IF('Entries April 2026'!AG32-'Entries April 2026'!AG31&lt;1,0,'Entries April 2026'!AG32-'Entries April 2026'!AG31)</f>
        <v>0</v>
      </c>
      <c r="J32" s="713">
        <f>IF('Entries April 2026'!S32-'Entries April 2026'!S31&lt;1,"0",'Entries April 2026'!S32-'Entries April 2026'!S31)</f>
        <v>81</v>
      </c>
      <c r="K32" s="713" t="str">
        <f>IF('Entries April 2026'!R32-'Entries April 2026'!R31&lt;1,"0",'Entries April 2026'!R32-'Entries April 2026'!R31)</f>
        <v>0</v>
      </c>
      <c r="L32" s="713" t="str">
        <f>IF('Entries April 2026'!T32-'Entries April 2026'!T31&lt;1,"0",'Entries April 2026'!T32-'Entries April 2026'!T31)</f>
        <v>0</v>
      </c>
      <c r="M32" s="713" t="str">
        <f>IF('Entries April 2026'!U32-'Entries April 2026'!U31&lt;1,"0",'Entries April 2026'!U32-'Entries April 2026'!U31)</f>
        <v>0</v>
      </c>
      <c r="N32" s="713">
        <f>IF('Entries April 2026'!X32-'Entries April 2026'!X31&lt;1,"0",'Entries April 2026'!X32-'Entries April 2026'!X31)</f>
        <v>12</v>
      </c>
      <c r="O32" s="713">
        <f>IF('Entries April 2026'!Y32-'Entries April 2026'!Y31&lt;1,"0",'Entries April 2026'!Y32-'Entries April 2026'!Y31)</f>
        <v>25</v>
      </c>
      <c r="P32" s="713" t="str">
        <f>IF('Entries April 2026'!AC32-'Entries April 2026'!AC31&lt;1,"0",'Entries April 2026'!AC32-'Entries April 2026'!AC31)</f>
        <v>0</v>
      </c>
      <c r="Q32" s="713">
        <f>IF('Entries April 2026'!Z32-'Entries April 2026'!Z31&lt;1,"0",'Entries April 2026'!Z32-'Entries April 2026'!Z31)</f>
        <v>5</v>
      </c>
      <c r="R32" s="713" t="str">
        <f>IF(('Entries April 2026'!AA32-'Entries April 2026'!AA31)+('Entries April 2026'!AB32-'Entries April 2026'!AB31)&lt;1,"0",('Entries April 2026'!AA32-'Entries April 2026'!AA31)+('Entries April 2026'!AB32-'Entries April 2026'!AB31))</f>
        <v>0</v>
      </c>
      <c r="S32" s="712">
        <f t="shared" si="4"/>
        <v>1060</v>
      </c>
      <c r="T32" s="712">
        <f t="shared" si="1"/>
        <v>37</v>
      </c>
      <c r="U32" s="713" t="str">
        <f>IF('Entries April 2026'!AC32-'Entries April 2026'!AC31&lt;1,"0",'Entries April 2026'!AC32-'Entries April 2026'!AC31)</f>
        <v>0</v>
      </c>
      <c r="V32" s="713" t="str">
        <f>IF('Entries April 2026'!AD32-'Entries April 2026'!AD31&lt;1,"0",'Entries April 2026'!AD32-'Entries April 2026'!AD31)</f>
        <v>0</v>
      </c>
      <c r="W32" s="713" t="str">
        <f>IF('Entries April 2026'!AE32-'Entries April 2026'!AE31&lt;1,"0",'Entries April 2026'!AE32-'Entries April 2026'!AE31)</f>
        <v>0</v>
      </c>
      <c r="X32" s="714" t="str">
        <f>IF('Entries April 2026'!AI32-'Entries April 2026'!AI31&lt;1,"0",'Entries April 2026'!AI32-'Entries April 2026'!AI31)</f>
        <v>0</v>
      </c>
      <c r="Y32" s="714" t="str">
        <f>IF('Entries April 2026'!AH32-'Entries April 2026'!AH31&lt;1,"0",'Entries April 2026'!AH32-'Entries April 2026'!AH31)</f>
        <v>0</v>
      </c>
      <c r="Z32" s="331">
        <f t="shared" si="2"/>
        <v>183</v>
      </c>
      <c r="AA32" s="332" t="str">
        <v>0</v>
      </c>
      <c r="AB32" s="333" t="str">
        <f t="shared" si="3"/>
        <v>0</v>
      </c>
    </row>
    <row r="33" spans="1:36" x14ac:dyDescent="0.2">
      <c r="A33" s="29"/>
      <c r="B33" s="711">
        <v>27</v>
      </c>
      <c r="C33" s="712" t="str">
        <f>IF('Entries April 2026'!W33-'Entries April 2026'!W32&lt;1,"0",'Entries April 2026'!W33-'Entries April 2026'!W32)</f>
        <v>0</v>
      </c>
      <c r="D33" s="713">
        <f>IF('Entries April 2026'!O33-'Entries April 2026'!O32&lt;1,"0",'Entries April 2026'!O33-'Entries April 2026'!O32)</f>
        <v>260</v>
      </c>
      <c r="E33" s="713">
        <f>IF('Entries April 2026'!P33-'Entries April 2026'!P32&lt;1,"0",'Entries April 2026'!P33-'Entries April 2026'!P32)</f>
        <v>102</v>
      </c>
      <c r="F33" s="713">
        <f>IF('Entries April 2026'!V33-'Entries April 2026'!V32&lt;1,"0",'Entries April 2026'!V33-'Entries April 2026'!V32)</f>
        <v>122</v>
      </c>
      <c r="G33" s="713">
        <f t="shared" si="0"/>
        <v>240</v>
      </c>
      <c r="H33" s="713">
        <f>IF('Entries April 2026'!Q33-'Entries April 2026'!Q32&lt;1,0,'Entries April 2026'!Q33-'Entries April 2026'!Q32)</f>
        <v>213</v>
      </c>
      <c r="I33" s="713">
        <f>IF('Entries April 2026'!AG33-'Entries April 2026'!AG32&lt;1,0,'Entries April 2026'!AG33-'Entries April 2026'!AG32)</f>
        <v>0</v>
      </c>
      <c r="J33" s="713">
        <f>IF('Entries April 2026'!S33-'Entries April 2026'!S32&lt;1,"0",'Entries April 2026'!S33-'Entries April 2026'!S32)</f>
        <v>196</v>
      </c>
      <c r="K33" s="713" t="str">
        <f>IF('Entries April 2026'!R33-'Entries April 2026'!R32&lt;1,"0",'Entries April 2026'!R33-'Entries April 2026'!R32)</f>
        <v>0</v>
      </c>
      <c r="L33" s="713" t="str">
        <f>IF('Entries April 2026'!T33-'Entries April 2026'!T32&lt;1,"0",'Entries April 2026'!T33-'Entries April 2026'!T32)</f>
        <v>0</v>
      </c>
      <c r="M33" s="713">
        <f>IF('Entries April 2026'!U33-'Entries April 2026'!U32&lt;1,"0",'Entries April 2026'!U33-'Entries April 2026'!U32)</f>
        <v>4</v>
      </c>
      <c r="N33" s="713">
        <f>IF('Entries April 2026'!X33-'Entries April 2026'!X32&lt;1,"0",'Entries April 2026'!X33-'Entries April 2026'!X32)</f>
        <v>32</v>
      </c>
      <c r="O33" s="713">
        <f>IF('Entries April 2026'!Y33-'Entries April 2026'!Y32&lt;1,"0",'Entries April 2026'!Y33-'Entries April 2026'!Y32)</f>
        <v>108</v>
      </c>
      <c r="P33" s="713">
        <f>IF('Entries April 2026'!AC33-'Entries April 2026'!AC32&lt;1,"0",'Entries April 2026'!AC33-'Entries April 2026'!AC32)</f>
        <v>28</v>
      </c>
      <c r="Q33" s="713">
        <f>IF('Entries April 2026'!Z33-'Entries April 2026'!Z32&lt;1,"0",'Entries April 2026'!Z33-'Entries April 2026'!Z32)</f>
        <v>18</v>
      </c>
      <c r="R33" s="713" t="str">
        <f>IF(('Entries April 2026'!AA33-'Entries April 2026'!AA32)+('Entries April 2026'!AB33-'Entries April 2026'!AB32)&lt;1,"0",('Entries April 2026'!AA33-'Entries April 2026'!AA32)+('Entries April 2026'!AB33-'Entries April 2026'!AB32))</f>
        <v>0</v>
      </c>
      <c r="S33" s="712">
        <f t="shared" si="4"/>
        <v>2400</v>
      </c>
      <c r="T33" s="712">
        <f t="shared" si="1"/>
        <v>144</v>
      </c>
      <c r="U33" s="713">
        <f>IF('Entries April 2026'!AC33-'Entries April 2026'!AC32&lt;1,"0",'Entries April 2026'!AC33-'Entries April 2026'!AC32)</f>
        <v>28</v>
      </c>
      <c r="V33" s="713" t="str">
        <f>IF('Entries April 2026'!AD33-'Entries April 2026'!AD32&lt;1,"0",'Entries April 2026'!AD33-'Entries April 2026'!AD32)</f>
        <v>0</v>
      </c>
      <c r="W33" s="713" t="str">
        <f>IF('Entries April 2026'!AE33-'Entries April 2026'!AE32&lt;1,"0",'Entries April 2026'!AE33-'Entries April 2026'!AE32)</f>
        <v>0</v>
      </c>
      <c r="X33" s="714" t="str">
        <f>IF('Entries April 2026'!AI33-'Entries April 2026'!AI32&lt;1,"0",'Entries April 2026'!AI33-'Entries April 2026'!AI32)</f>
        <v>0</v>
      </c>
      <c r="Y33" s="714" t="str">
        <f>IF('Entries April 2026'!AH33-'Entries April 2026'!AH32&lt;1,"0",'Entries April 2026'!AH33-'Entries April 2026'!AH32)</f>
        <v>0</v>
      </c>
      <c r="Z33" s="331">
        <f t="shared" si="2"/>
        <v>362</v>
      </c>
      <c r="AA33" s="332">
        <v>390.45600000000002</v>
      </c>
      <c r="AB33" s="333">
        <f t="shared" si="3"/>
        <v>9.271211096768905</v>
      </c>
    </row>
    <row r="34" spans="1:36" x14ac:dyDescent="0.2">
      <c r="A34" s="29"/>
      <c r="B34" s="711">
        <v>28</v>
      </c>
      <c r="C34" s="712" t="str">
        <f>IF('Entries April 2026'!W34-'Entries April 2026'!W33&lt;1,"0",'Entries April 2026'!W34-'Entries April 2026'!W33)</f>
        <v>0</v>
      </c>
      <c r="D34" s="713">
        <f>IF('Entries April 2026'!O34-'Entries April 2026'!O33&lt;1,"0",'Entries April 2026'!O34-'Entries April 2026'!O33)</f>
        <v>198</v>
      </c>
      <c r="E34" s="713">
        <f>IF('Entries April 2026'!P34-'Entries April 2026'!P33&lt;1,"0",'Entries April 2026'!P34-'Entries April 2026'!P33)</f>
        <v>134</v>
      </c>
      <c r="F34" s="713">
        <f>IF('Entries April 2026'!V34-'Entries April 2026'!V33&lt;1,"0",'Entries April 2026'!V34-'Entries April 2026'!V33)</f>
        <v>141</v>
      </c>
      <c r="G34" s="713">
        <f t="shared" si="0"/>
        <v>191</v>
      </c>
      <c r="H34" s="713">
        <f>IF('Entries April 2026'!Q34-'Entries April 2026'!Q33&lt;1,0,'Entries April 2026'!Q34-'Entries April 2026'!Q33)</f>
        <v>234</v>
      </c>
      <c r="I34" s="713">
        <f>IF('Entries April 2026'!AG34-'Entries April 2026'!AG33&lt;1,0,'Entries April 2026'!AG34-'Entries April 2026'!AG33)</f>
        <v>0</v>
      </c>
      <c r="J34" s="713">
        <f>IF('Entries April 2026'!S34-'Entries April 2026'!S33&lt;1,"0",'Entries April 2026'!S34-'Entries April 2026'!S33)</f>
        <v>161</v>
      </c>
      <c r="K34" s="713" t="str">
        <f>IF('Entries April 2026'!R34-'Entries April 2026'!R33&lt;1,"0",'Entries April 2026'!R34-'Entries April 2026'!R33)</f>
        <v>0</v>
      </c>
      <c r="L34" s="713" t="str">
        <f>IF('Entries April 2026'!T34-'Entries April 2026'!T33&lt;1,"0",'Entries April 2026'!T34-'Entries April 2026'!T33)</f>
        <v>0</v>
      </c>
      <c r="M34" s="713">
        <f>IF('Entries April 2026'!U34-'Entries April 2026'!U33&lt;1,"0",'Entries April 2026'!U34-'Entries April 2026'!U33)</f>
        <v>1</v>
      </c>
      <c r="N34" s="713">
        <f>IF('Entries April 2026'!X34-'Entries April 2026'!X33&lt;1,"0",'Entries April 2026'!X34-'Entries April 2026'!X33)</f>
        <v>30</v>
      </c>
      <c r="O34" s="713">
        <f>IF('Entries April 2026'!Y34-'Entries April 2026'!Y33&lt;1,"0",'Entries April 2026'!Y34-'Entries April 2026'!Y33)</f>
        <v>97</v>
      </c>
      <c r="P34" s="713">
        <f>IF('Entries April 2026'!AC34-'Entries April 2026'!AC33&lt;1,"0",'Entries April 2026'!AC34-'Entries April 2026'!AC33)</f>
        <v>25</v>
      </c>
      <c r="Q34" s="713">
        <f>IF('Entries April 2026'!Z34-'Entries April 2026'!Z33&lt;1,"0",'Entries April 2026'!Z34-'Entries April 2026'!Z33)</f>
        <v>13</v>
      </c>
      <c r="R34" s="713" t="str">
        <f>IF(('Entries April 2026'!AA34-'Entries April 2026'!AA33)+('Entries April 2026'!AB34-'Entries April 2026'!AB33)&lt;1,"0",('Entries April 2026'!AA34-'Entries April 2026'!AA33)+('Entries April 2026'!AB34-'Entries April 2026'!AB33))</f>
        <v>0</v>
      </c>
      <c r="S34" s="712">
        <f t="shared" si="4"/>
        <v>1910</v>
      </c>
      <c r="T34" s="712">
        <f t="shared" si="1"/>
        <v>128</v>
      </c>
      <c r="U34" s="713">
        <f>IF('Entries April 2026'!AC34-'Entries April 2026'!AC33&lt;1,"0",'Entries April 2026'!AC34-'Entries April 2026'!AC33)</f>
        <v>25</v>
      </c>
      <c r="V34" s="713" t="str">
        <f>IF('Entries April 2026'!AD34-'Entries April 2026'!AD33&lt;1,"0",'Entries April 2026'!AD34-'Entries April 2026'!AD33)</f>
        <v>0</v>
      </c>
      <c r="W34" s="713" t="str">
        <f>IF('Entries April 2026'!AE34-'Entries April 2026'!AE33&lt;1,"0",'Entries April 2026'!AE34-'Entries April 2026'!AE33)</f>
        <v>0</v>
      </c>
      <c r="X34" s="714" t="str">
        <f>IF('Entries April 2026'!AI34-'Entries April 2026'!AI33&lt;1,"0",'Entries April 2026'!AI34-'Entries April 2026'!AI33)</f>
        <v>0</v>
      </c>
      <c r="Y34" s="714" t="str">
        <f>IF('Entries April 2026'!AH34-'Entries April 2026'!AH33&lt;1,"0",'Entries April 2026'!AH34-'Entries April 2026'!AH33)</f>
        <v>0</v>
      </c>
      <c r="Z34" s="331">
        <f t="shared" si="2"/>
        <v>332</v>
      </c>
      <c r="AA34" s="332">
        <v>452.49600000000004</v>
      </c>
      <c r="AB34" s="333">
        <f t="shared" si="3"/>
        <v>7.3370814327640463</v>
      </c>
    </row>
    <row r="35" spans="1:36" x14ac:dyDescent="0.2">
      <c r="B35" s="711">
        <v>29</v>
      </c>
      <c r="C35" s="712" t="str">
        <f>IF('Entries April 2026'!W35-'Entries April 2026'!W34&lt;1,"0",'Entries April 2026'!W35-'Entries April 2026'!W34)</f>
        <v>0</v>
      </c>
      <c r="D35" s="713">
        <f>IF('Entries April 2026'!O35-'Entries April 2026'!O34&lt;1,"0",'Entries April 2026'!O35-'Entries April 2026'!O34)</f>
        <v>227</v>
      </c>
      <c r="E35" s="713">
        <f>IF('Entries April 2026'!P35-'Entries April 2026'!P34&lt;1,"0",'Entries April 2026'!P35-'Entries April 2026'!P34)</f>
        <v>126</v>
      </c>
      <c r="F35" s="713">
        <f>IF('Entries April 2026'!V35-'Entries April 2026'!V34&lt;1,"0",'Entries April 2026'!V35-'Entries April 2026'!V34)</f>
        <v>132</v>
      </c>
      <c r="G35" s="713">
        <f t="shared" si="0"/>
        <v>221</v>
      </c>
      <c r="H35" s="713">
        <f>IF('Entries April 2026'!Q35-'Entries April 2026'!Q34&lt;1,0,'Entries April 2026'!Q35-'Entries April 2026'!Q34)</f>
        <v>259</v>
      </c>
      <c r="I35" s="713">
        <f>IF('Entries April 2026'!AG35-'Entries April 2026'!AG34&lt;1,0,'Entries April 2026'!AG35-'Entries April 2026'!AG34)</f>
        <v>0</v>
      </c>
      <c r="J35" s="713">
        <f>IF('Entries April 2026'!S35-'Entries April 2026'!S34&lt;1,"0",'Entries April 2026'!S35-'Entries April 2026'!S34)</f>
        <v>134</v>
      </c>
      <c r="K35" s="713" t="str">
        <f>IF('Entries April 2026'!R35-'Entries April 2026'!R34&lt;1,"0",'Entries April 2026'!R35-'Entries April 2026'!R34)</f>
        <v>0</v>
      </c>
      <c r="L35" s="713" t="str">
        <f>IF('Entries April 2026'!T35-'Entries April 2026'!T34&lt;1,"0",'Entries April 2026'!T35-'Entries April 2026'!T34)</f>
        <v>0</v>
      </c>
      <c r="M35" s="713" t="str">
        <f>IF('Entries April 2026'!U35-'Entries April 2026'!U34&lt;1,"0",'Entries April 2026'!U35-'Entries April 2026'!U34)</f>
        <v>0</v>
      </c>
      <c r="N35" s="713">
        <f>IF('Entries April 2026'!X35-'Entries April 2026'!X34&lt;1,"0",'Entries April 2026'!X35-'Entries April 2026'!X34)</f>
        <v>50</v>
      </c>
      <c r="O35" s="713">
        <f>IF('Entries April 2026'!Y35-'Entries April 2026'!Y34&lt;1,"0",'Entries April 2026'!Y35-'Entries April 2026'!Y34)</f>
        <v>115</v>
      </c>
      <c r="P35" s="713">
        <f>IF('Entries April 2026'!AC35-'Entries April 2026'!AC34&lt;1,"0",'Entries April 2026'!AC35-'Entries April 2026'!AC34)</f>
        <v>32</v>
      </c>
      <c r="Q35" s="713">
        <f>IF('Entries April 2026'!Z35-'Entries April 2026'!Z34&lt;1,"0",'Entries April 2026'!Z35-'Entries April 2026'!Z34)</f>
        <v>17</v>
      </c>
      <c r="R35" s="713" t="str">
        <f>IF(('Entries April 2026'!AA35-'Entries April 2026'!AA34)+('Entries April 2026'!AB35-'Entries April 2026'!AB34)&lt;1,"0",('Entries April 2026'!AA35-'Entries April 2026'!AA34)+('Entries April 2026'!AB35-'Entries April 2026'!AB34))</f>
        <v>0</v>
      </c>
      <c r="S35" s="712">
        <f t="shared" si="4"/>
        <v>2210</v>
      </c>
      <c r="T35" s="712">
        <f t="shared" si="1"/>
        <v>165</v>
      </c>
      <c r="U35" s="713">
        <f>IF('Entries April 2026'!AC35-'Entries April 2026'!AC34&lt;1,"0",'Entries April 2026'!AC35-'Entries April 2026'!AC34)</f>
        <v>32</v>
      </c>
      <c r="V35" s="713">
        <f>IF('Entries April 2026'!AD35-'Entries April 2026'!AD34&lt;1,"0",'Entries April 2026'!AD35-'Entries April 2026'!AD34)</f>
        <v>27</v>
      </c>
      <c r="W35" s="713" t="str">
        <f>IF('Entries April 2026'!AE35-'Entries April 2026'!AE34&lt;1,"0",'Entries April 2026'!AE35-'Entries April 2026'!AE34)</f>
        <v>0</v>
      </c>
      <c r="X35" s="714" t="str">
        <f>IF('Entries April 2026'!AI35-'Entries April 2026'!AI34&lt;1,"0",'Entries April 2026'!AI35-'Entries April 2026'!AI34)</f>
        <v>0</v>
      </c>
      <c r="Y35" s="714" t="str">
        <f>IF('Entries April 2026'!AH35-'Entries April 2026'!AH34&lt;1,"0",'Entries April 2026'!AH35-'Entries April 2026'!AH34)</f>
        <v>0</v>
      </c>
      <c r="Z35" s="331">
        <f>C35+D35+E35</f>
        <v>353</v>
      </c>
      <c r="AA35" s="332">
        <v>570.17399999999998</v>
      </c>
      <c r="AB35" s="333">
        <f t="shared" si="3"/>
        <v>6.1910925436796491</v>
      </c>
    </row>
    <row r="36" spans="1:36" x14ac:dyDescent="0.2">
      <c r="B36" s="711">
        <v>30</v>
      </c>
      <c r="C36" s="712" t="str">
        <f>IF('Entries April 2026'!W36-'Entries April 2026'!W35&lt;1,"0",'Entries April 2026'!W36-'Entries April 2026'!W35)</f>
        <v>0</v>
      </c>
      <c r="D36" s="713">
        <f>IF('Entries April 2026'!O36-'Entries April 2026'!O35&lt;1,"0",'Entries April 2026'!O36-'Entries April 2026'!O35)</f>
        <v>298</v>
      </c>
      <c r="E36" s="713">
        <f>IF('Entries April 2026'!P36-'Entries April 2026'!P35&lt;1,"0",'Entries April 2026'!P36-'Entries April 2026'!P35)</f>
        <v>133</v>
      </c>
      <c r="F36" s="713">
        <f>IF('Entries April 2026'!V36-'Entries April 2026'!V35&lt;1,"0",'Entries April 2026'!V36-'Entries April 2026'!V35)</f>
        <v>140</v>
      </c>
      <c r="G36" s="713">
        <f t="shared" si="0"/>
        <v>291</v>
      </c>
      <c r="H36" s="713">
        <f>IF('Entries April 2026'!Q36-'Entries April 2026'!Q35&lt;1,0,'Entries April 2026'!Q36-'Entries April 2026'!Q35)</f>
        <v>214</v>
      </c>
      <c r="I36" s="713">
        <f>IF('Entries April 2026'!AG36-'Entries April 2026'!AG35&lt;1,0,'Entries April 2026'!AG36-'Entries April 2026'!AG35)</f>
        <v>0</v>
      </c>
      <c r="J36" s="713">
        <f>IF('Entries April 2026'!S36-'Entries April 2026'!S35&lt;1,"0",'Entries April 2026'!S36-'Entries April 2026'!S35)</f>
        <v>5</v>
      </c>
      <c r="K36" s="713" t="str">
        <f>IF('Entries April 2026'!R36-'Entries April 2026'!R35&lt;1,"0",'Entries April 2026'!R36-'Entries April 2026'!R35)</f>
        <v>0</v>
      </c>
      <c r="L36" s="713" t="str">
        <f>IF('Entries April 2026'!T36-'Entries April 2026'!T35&lt;1,"0",'Entries April 2026'!T36-'Entries April 2026'!T35)</f>
        <v>0</v>
      </c>
      <c r="M36" s="713">
        <f>IF('Entries April 2026'!U36-'Entries April 2026'!U35&lt;1,"0",'Entries April 2026'!U36-'Entries April 2026'!U35)</f>
        <v>2</v>
      </c>
      <c r="N36" s="713">
        <f>IF('Entries April 2026'!X36-'Entries April 2026'!X35&lt;1,"0",'Entries April 2026'!X36-'Entries April 2026'!X35)</f>
        <v>26</v>
      </c>
      <c r="O36" s="713">
        <f>IF('Entries April 2026'!Y36-'Entries April 2026'!Y35&lt;1,"0",'Entries April 2026'!Y36-'Entries April 2026'!Y35)</f>
        <v>91</v>
      </c>
      <c r="P36" s="713">
        <f>IF('Entries April 2026'!AC36-'Entries April 2026'!AC35&lt;1,"0",'Entries April 2026'!AC36-'Entries April 2026'!AC35)</f>
        <v>28</v>
      </c>
      <c r="Q36" s="713">
        <f>IF('Entries April 2026'!Z36-'Entries April 2026'!Z35&lt;1,"0",'Entries April 2026'!Z36-'Entries April 2026'!Z35)</f>
        <v>22</v>
      </c>
      <c r="R36" s="713" t="str">
        <f>IF(('Entries April 2026'!AA36-'Entries April 2026'!AA35)+('Entries April 2026'!AB36-'Entries April 2026'!AB35)&lt;1,"0",('Entries April 2026'!AA36-'Entries April 2026'!AA35)+('Entries April 2026'!AB36-'Entries April 2026'!AB35))</f>
        <v>0</v>
      </c>
      <c r="S36" s="712">
        <f t="shared" si="4"/>
        <v>2910</v>
      </c>
      <c r="T36" s="712">
        <f t="shared" si="1"/>
        <v>119</v>
      </c>
      <c r="U36" s="713">
        <f>IF('Entries April 2026'!AC36-'Entries April 2026'!AC35&lt;1,"0",'Entries April 2026'!AC36-'Entries April 2026'!AC35)</f>
        <v>28</v>
      </c>
      <c r="V36" s="713" t="str">
        <f>IF('Entries April 2026'!AD36-'Entries April 2026'!AD35&lt;1,"0",'Entries April 2026'!AD36-'Entries April 2026'!AD35)</f>
        <v>0</v>
      </c>
      <c r="W36" s="713" t="str">
        <f>IF('Entries April 2026'!AE36-'Entries April 2026'!AE35&lt;1,"0",'Entries April 2026'!AE36-'Entries April 2026'!AE35)</f>
        <v>0</v>
      </c>
      <c r="X36" s="714" t="str">
        <f>IF('Entries April 2026'!AI36-'Entries April 2026'!AI35&lt;1,"0",'Entries April 2026'!AI36-'Entries April 2026'!AI35)</f>
        <v>0</v>
      </c>
      <c r="Y36" s="714" t="str">
        <f>IF('Entries April 2026'!AH36-'Entries April 2026'!AH35&lt;1,"0",'Entries April 2026'!AH36-'Entries April 2026'!AH35)</f>
        <v>0</v>
      </c>
      <c r="Z36" s="331">
        <f t="shared" si="2"/>
        <v>431</v>
      </c>
      <c r="AA36" s="332">
        <v>407.74800000000005</v>
      </c>
      <c r="AB36" s="333">
        <f t="shared" si="3"/>
        <v>10.570254176599271</v>
      </c>
    </row>
    <row r="37" spans="1:36" ht="15.75" x14ac:dyDescent="0.2">
      <c r="B37" s="711"/>
      <c r="C37" s="712" t="str">
        <f>IF('Entries April 2026'!W37-'Entries April 2026'!W36&lt;1,"0",'Entries April 2026'!W37-'Entries April 2026'!W36)</f>
        <v>0</v>
      </c>
      <c r="D37" s="713" t="str">
        <f>IF('Entries April 2026'!O37-'Entries April 2026'!O36&lt;1,"0",'Entries April 2026'!O37-'Entries April 2026'!O36)</f>
        <v>0</v>
      </c>
      <c r="E37" s="713" t="str">
        <f>IF('Entries April 2026'!P37-'Entries April 2026'!P36&lt;1,"0",'Entries April 2026'!P37-'Entries April 2026'!P36)</f>
        <v>0</v>
      </c>
      <c r="F37" s="713" t="str">
        <f>IF('Entries April 2026'!V37-'Entries April 2026'!V36&lt;1,"0",'Entries April 2026'!V37-'Entries April 2026'!V36)</f>
        <v>0</v>
      </c>
      <c r="G37" s="713">
        <f t="shared" si="0"/>
        <v>0</v>
      </c>
      <c r="H37" s="713"/>
      <c r="I37" s="713"/>
      <c r="J37" s="713" t="str">
        <f>IF('Entries April 2026'!S37-'Entries April 2026'!S36&lt;1,"0",'Entries April 2026'!S37-'Entries April 2026'!S36)</f>
        <v>0</v>
      </c>
      <c r="K37" s="713" t="str">
        <f>IF('Entries April 2026'!R37-'Entries April 2026'!R36&lt;1,"0",'Entries April 2026'!R37-'Entries April 2026'!R36)</f>
        <v>0</v>
      </c>
      <c r="L37" s="713" t="str">
        <f>IF('Entries April 2026'!T37-'Entries April 2026'!T36&lt;1,"0",'Entries April 2026'!T37-'Entries April 2026'!T36)</f>
        <v>0</v>
      </c>
      <c r="M37" s="713" t="str">
        <f>IF('Entries April 2026'!U37-'Entries April 2026'!U36&lt;1,"0",'Entries April 2026'!U37-'Entries April 2026'!U36)</f>
        <v>0</v>
      </c>
      <c r="N37" s="713" t="str">
        <f>IF('Entries April 2026'!X37-'Entries April 2026'!X36&lt;1,"0",'Entries April 2026'!X37-'Entries April 2026'!X36)</f>
        <v>0</v>
      </c>
      <c r="O37" s="713" t="str">
        <f>IF('Entries April 2026'!Y37-'Entries April 2026'!Y36&lt;1,"0",'Entries April 2026'!Y37-'Entries April 2026'!Y36)</f>
        <v>0</v>
      </c>
      <c r="P37" s="713" t="str">
        <f>IF('Entries April 2026'!AC37-'Entries April 2026'!AC36&lt;1,"0",'Entries April 2026'!AC37-'Entries April 2026'!AC36)</f>
        <v>0</v>
      </c>
      <c r="Q37" s="713" t="str">
        <f>IF('Entries April 2026'!Z37-'Entries April 2026'!Z36&lt;1,"0",'Entries April 2026'!Z37-'Entries April 2026'!Z36)</f>
        <v>0</v>
      </c>
      <c r="R37" s="713" t="str">
        <f>IF(('Entries April 2026'!AA37-'Entries April 2026'!AA36)+('Entries April 2026'!AB37-'Entries April 2026'!AB36)&lt;1,"0",('Entries April 2026'!AA37-'Entries April 2026'!AA36)+('Entries April 2026'!AB37-'Entries April 2026'!AB36))</f>
        <v>0</v>
      </c>
      <c r="S37" s="712">
        <f t="shared" si="4"/>
        <v>0</v>
      </c>
      <c r="T37" s="712"/>
      <c r="U37" s="713" t="str">
        <f>IF('Entries April 2026'!AC37-'Entries April 2026'!AC36&lt;1,"0",'Entries April 2026'!AC37-'Entries April 2026'!AC36)</f>
        <v>0</v>
      </c>
      <c r="V37" s="713" t="str">
        <f>IF('Entries April 2026'!AD37-'Entries April 2026'!AD36&lt;1,"0",'Entries April 2026'!AD37-'Entries April 2026'!AD36)</f>
        <v>0</v>
      </c>
      <c r="W37" s="713" t="str">
        <f>IF('Entries April 2026'!AE37-'Entries April 2026'!AE36&lt;1,"0",'Entries April 2026'!AE37-'Entries April 2026'!AE36)</f>
        <v>0</v>
      </c>
      <c r="X37" s="714" t="str">
        <f>IF('Entries April 2026'!AI37-'Entries April 2026'!AI36&lt;1,"0",'Entries April 2026'!AI37-'Entries April 2026'!AI36)</f>
        <v>0</v>
      </c>
      <c r="Y37" s="714" t="str">
        <f>IF('Entries April 2026'!AH37-'Entries April 2026'!AH36&lt;1,"0",'Entries April 2026'!AH37-'Entries April 2026'!AH36)</f>
        <v>0</v>
      </c>
      <c r="Z37" s="331">
        <f t="shared" si="2"/>
        <v>0</v>
      </c>
      <c r="AA37" s="332"/>
      <c r="AB37" s="333"/>
      <c r="AC37" s="322"/>
      <c r="AD37" s="189"/>
    </row>
    <row r="38" spans="1:36" s="302" customFormat="1" ht="18" x14ac:dyDescent="0.25">
      <c r="A38" s="302" t="s">
        <v>85</v>
      </c>
      <c r="B38" s="303" t="s">
        <v>55</v>
      </c>
      <c r="C38" s="304">
        <f t="shared" ref="C38:O38" si="5">SUM(C7:C37)</f>
        <v>0</v>
      </c>
      <c r="D38" s="304">
        <f>SUM(D7:D37)</f>
        <v>4408</v>
      </c>
      <c r="E38" s="304">
        <f>SUM(E7:E37)</f>
        <v>3293</v>
      </c>
      <c r="F38" s="304">
        <f>SUM(F7:F37)</f>
        <v>3456</v>
      </c>
      <c r="G38" s="305">
        <f>SUM(G7:G37)</f>
        <v>4245</v>
      </c>
      <c r="H38" s="304">
        <f t="shared" si="5"/>
        <v>4917</v>
      </c>
      <c r="I38" s="304"/>
      <c r="J38" s="304">
        <f t="shared" si="5"/>
        <v>2748</v>
      </c>
      <c r="K38" s="304"/>
      <c r="L38" s="304">
        <f t="shared" si="5"/>
        <v>0</v>
      </c>
      <c r="M38" s="304">
        <f>SUM(M7:M37)</f>
        <v>28</v>
      </c>
      <c r="N38" s="304">
        <f t="shared" si="5"/>
        <v>885</v>
      </c>
      <c r="O38" s="304">
        <f t="shared" si="5"/>
        <v>1997</v>
      </c>
      <c r="P38" s="304">
        <f t="shared" ref="P38" si="6">SUM(P7:P37)</f>
        <v>536</v>
      </c>
      <c r="Q38" s="304">
        <f>SUM(Q7:Q37)</f>
        <v>407</v>
      </c>
      <c r="R38" s="304">
        <f>SUM(R7:R34)</f>
        <v>0</v>
      </c>
      <c r="S38" s="305">
        <f>SUM(S7:S37)</f>
        <v>42450</v>
      </c>
      <c r="T38" s="305">
        <f>SUM(T7:T37)</f>
        <v>2910</v>
      </c>
      <c r="U38" s="304">
        <f>SUM(U7:U37)</f>
        <v>536</v>
      </c>
      <c r="V38" s="304">
        <f>SUM(V7:V37)</f>
        <v>318</v>
      </c>
      <c r="W38" s="304"/>
      <c r="X38" s="304"/>
      <c r="Y38" s="304"/>
      <c r="Z38" s="334">
        <f>SUM(Z7:Z37)</f>
        <v>7701</v>
      </c>
      <c r="AA38" s="334">
        <f>SUM(AA7:AA37)</f>
        <v>7992.8639999999996</v>
      </c>
      <c r="AB38" s="333">
        <f t="shared" ref="AB38" si="7">IF(AA38=0,"0",(Z38*10/AA38))</f>
        <v>9.63484428109874</v>
      </c>
      <c r="AC38" s="323">
        <v>10.199999999999999</v>
      </c>
      <c r="AD38" s="342">
        <f>AB38/AC38*100</f>
        <v>94.45925765783079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969760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15331.905600000002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25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15610.875600000001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10407.250400000001</v>
      </c>
      <c r="E47" s="326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26018.126000000004</v>
      </c>
      <c r="E49" s="327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3" colorId="22" workbookViewId="0">
      <selection activeCell="D38" sqref="D38:E38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6"/>
    <col min="9" max="16384" width="12.5703125" style="8"/>
  </cols>
  <sheetData>
    <row r="1" spans="1:10" ht="15.75" x14ac:dyDescent="0.25">
      <c r="A1" s="920" t="s">
        <v>297</v>
      </c>
      <c r="B1" s="921"/>
      <c r="C1" s="921"/>
      <c r="D1" s="922"/>
      <c r="E1" s="921"/>
      <c r="F1" s="921"/>
      <c r="G1" s="923"/>
    </row>
    <row r="2" spans="1:10" x14ac:dyDescent="0.2">
      <c r="B2" s="9"/>
      <c r="C2" s="368"/>
      <c r="D2" s="368"/>
    </row>
    <row r="3" spans="1:10" ht="15.75" thickBot="1" x14ac:dyDescent="0.25">
      <c r="B3" s="9"/>
      <c r="C3" s="368"/>
      <c r="D3" s="368"/>
    </row>
    <row r="4" spans="1:10" ht="15.75" x14ac:dyDescent="0.25">
      <c r="A4" s="934" t="s">
        <v>7</v>
      </c>
      <c r="B4" s="39" t="s">
        <v>49</v>
      </c>
      <c r="C4" s="369" t="s">
        <v>50</v>
      </c>
      <c r="D4" s="370" t="s">
        <v>291</v>
      </c>
      <c r="E4" s="924" t="s">
        <v>248</v>
      </c>
      <c r="F4" s="927" t="s">
        <v>246</v>
      </c>
      <c r="G4" s="930" t="s">
        <v>256</v>
      </c>
      <c r="H4" s="933"/>
    </row>
    <row r="5" spans="1:10" ht="15.75" x14ac:dyDescent="0.25">
      <c r="A5" s="935"/>
      <c r="B5" s="34" t="s">
        <v>51</v>
      </c>
      <c r="C5" s="370" t="s">
        <v>52</v>
      </c>
      <c r="D5" s="370" t="s">
        <v>52</v>
      </c>
      <c r="E5" s="925"/>
      <c r="F5" s="928"/>
      <c r="G5" s="931"/>
      <c r="H5" s="933"/>
    </row>
    <row r="6" spans="1:10" ht="16.5" thickBot="1" x14ac:dyDescent="0.3">
      <c r="A6" s="936"/>
      <c r="B6" s="40"/>
      <c r="C6" s="371"/>
      <c r="D6" s="370"/>
      <c r="E6" s="926"/>
      <c r="F6" s="929"/>
      <c r="G6" s="932"/>
      <c r="H6" s="933"/>
    </row>
    <row r="7" spans="1:10" ht="18" x14ac:dyDescent="0.2">
      <c r="A7" s="706">
        <v>1</v>
      </c>
      <c r="B7" s="774">
        <f>'Utility Analysis April 2026'!D10</f>
        <v>5927</v>
      </c>
      <c r="C7" s="775">
        <f>'Utility Analysis April 2026'!G10</f>
        <v>0</v>
      </c>
      <c r="D7" s="776">
        <f>'Utility Analysis April 2026'!E10</f>
        <v>1739.4</v>
      </c>
      <c r="E7" s="777">
        <f t="shared" ref="E7:E22" si="0">B7+D8</f>
        <v>7531.4</v>
      </c>
      <c r="F7" s="778">
        <f>'PROD.FIG. '!H5</f>
        <v>209.55</v>
      </c>
      <c r="G7" s="338">
        <f>IF(F7=0,"0",(E7/F7))</f>
        <v>35.940825578620853</v>
      </c>
      <c r="H7" s="337"/>
      <c r="J7" s="30"/>
    </row>
    <row r="8" spans="1:10" x14ac:dyDescent="0.2">
      <c r="A8" s="706">
        <v>2</v>
      </c>
      <c r="B8" s="774">
        <f>'Utility Analysis April 2026'!D11</f>
        <v>5832</v>
      </c>
      <c r="C8" s="775">
        <f>'Utility Analysis April 2026'!G11</f>
        <v>0</v>
      </c>
      <c r="D8" s="776">
        <f>'Utility Analysis April 2026'!E11</f>
        <v>1604.4</v>
      </c>
      <c r="E8" s="777">
        <f t="shared" si="0"/>
        <v>7562.6</v>
      </c>
      <c r="F8" s="778">
        <f>'PROD.FIG. '!H6</f>
        <v>189.28800000000001</v>
      </c>
      <c r="G8" s="338">
        <f t="shared" ref="G8:G36" si="1">IF(F8=0,"0",(E8/F8))</f>
        <v>39.952876040742147</v>
      </c>
      <c r="I8" s="30"/>
      <c r="J8" s="30"/>
    </row>
    <row r="9" spans="1:10" x14ac:dyDescent="0.2">
      <c r="A9" s="706">
        <v>3</v>
      </c>
      <c r="B9" s="774">
        <f>'Utility Analysis April 2026'!D12</f>
        <v>2694</v>
      </c>
      <c r="C9" s="775">
        <f>'Utility Analysis April 2026'!G12</f>
        <v>0</v>
      </c>
      <c r="D9" s="776">
        <f>'Utility Analysis April 2026'!E12</f>
        <v>1730.6</v>
      </c>
      <c r="E9" s="777">
        <f t="shared" si="0"/>
        <v>3908.2</v>
      </c>
      <c r="F9" s="778" t="str">
        <f>'PROD.FIG. '!H7</f>
        <v>0</v>
      </c>
      <c r="G9" s="338" t="str">
        <f>IF(F9=0,"0",(E9/F9))</f>
        <v>0</v>
      </c>
      <c r="J9" s="30"/>
    </row>
    <row r="10" spans="1:10" x14ac:dyDescent="0.2">
      <c r="A10" s="706">
        <v>4</v>
      </c>
      <c r="B10" s="774">
        <f>'Utility Analysis April 2026'!D13</f>
        <v>2971</v>
      </c>
      <c r="C10" s="775">
        <f>'Utility Analysis April 2026'!G13</f>
        <v>0</v>
      </c>
      <c r="D10" s="776">
        <f>'Utility Analysis April 2026'!E13</f>
        <v>1214.2</v>
      </c>
      <c r="E10" s="777">
        <f t="shared" si="0"/>
        <v>4056.9</v>
      </c>
      <c r="F10" s="778" t="str">
        <f>'PROD.FIG. '!H8</f>
        <v>0</v>
      </c>
      <c r="G10" s="338" t="str">
        <f t="shared" si="1"/>
        <v>0</v>
      </c>
      <c r="J10" s="30"/>
    </row>
    <row r="11" spans="1:10" x14ac:dyDescent="0.2">
      <c r="A11" s="706">
        <v>5</v>
      </c>
      <c r="B11" s="774">
        <f>'Utility Analysis April 2026'!D14</f>
        <v>2911</v>
      </c>
      <c r="C11" s="775">
        <f>'Utility Analysis April 2026'!G14</f>
        <v>0</v>
      </c>
      <c r="D11" s="776">
        <f>'Utility Analysis April 2026'!E14</f>
        <v>1085.9000000000001</v>
      </c>
      <c r="E11" s="777">
        <f t="shared" si="0"/>
        <v>4149.7</v>
      </c>
      <c r="F11" s="778" t="str">
        <f>'PROD.FIG. '!H9</f>
        <v>0</v>
      </c>
      <c r="G11" s="468" t="str">
        <f t="shared" si="1"/>
        <v>0</v>
      </c>
      <c r="J11" s="30"/>
    </row>
    <row r="12" spans="1:10" x14ac:dyDescent="0.2">
      <c r="A12" s="706">
        <v>6</v>
      </c>
      <c r="B12" s="774">
        <f>'Utility Analysis April 2026'!D15</f>
        <v>2599</v>
      </c>
      <c r="C12" s="775">
        <f>'Utility Analysis April 2026'!G15</f>
        <v>0</v>
      </c>
      <c r="D12" s="776">
        <f>'Utility Analysis April 2026'!E15</f>
        <v>1238.7</v>
      </c>
      <c r="E12" s="777">
        <f t="shared" si="0"/>
        <v>4087</v>
      </c>
      <c r="F12" s="778" t="str">
        <f>'PROD.FIG. '!H10</f>
        <v>0</v>
      </c>
      <c r="G12" s="468" t="str">
        <f t="shared" si="1"/>
        <v>0</v>
      </c>
      <c r="J12" s="30"/>
    </row>
    <row r="13" spans="1:10" x14ac:dyDescent="0.2">
      <c r="A13" s="706">
        <v>7</v>
      </c>
      <c r="B13" s="774">
        <f>'Utility Analysis April 2026'!D16</f>
        <v>5214</v>
      </c>
      <c r="C13" s="775">
        <f>'Utility Analysis April 2026'!G16</f>
        <v>0</v>
      </c>
      <c r="D13" s="776">
        <f>'Utility Analysis April 2026'!E16</f>
        <v>1488</v>
      </c>
      <c r="E13" s="777">
        <f t="shared" si="0"/>
        <v>6761.2</v>
      </c>
      <c r="F13" s="778">
        <f>'PROD.FIG. '!H11</f>
        <v>71.14800000000001</v>
      </c>
      <c r="G13" s="338">
        <f t="shared" si="1"/>
        <v>95.030078146961245</v>
      </c>
      <c r="J13" s="30"/>
    </row>
    <row r="14" spans="1:10" x14ac:dyDescent="0.2">
      <c r="A14" s="706">
        <v>8</v>
      </c>
      <c r="B14" s="774">
        <f>'Utility Analysis April 2026'!D17</f>
        <v>5850</v>
      </c>
      <c r="C14" s="775">
        <f>'Utility Analysis April 2026'!G17</f>
        <v>0</v>
      </c>
      <c r="D14" s="776">
        <f>'Utility Analysis April 2026'!E17</f>
        <v>1547.2</v>
      </c>
      <c r="E14" s="777">
        <f t="shared" si="0"/>
        <v>7448.2</v>
      </c>
      <c r="F14" s="778">
        <f>'PROD.FIG. '!H12</f>
        <v>602.77800000000002</v>
      </c>
      <c r="G14" s="338">
        <f t="shared" si="1"/>
        <v>12.356456274117502</v>
      </c>
      <c r="J14" s="30"/>
    </row>
    <row r="15" spans="1:10" x14ac:dyDescent="0.2">
      <c r="A15" s="706">
        <v>9</v>
      </c>
      <c r="B15" s="774">
        <f>'Utility Analysis April 2026'!D18</f>
        <v>6901</v>
      </c>
      <c r="C15" s="775">
        <f>'Utility Analysis April 2026'!G18</f>
        <v>0</v>
      </c>
      <c r="D15" s="776">
        <f>'Utility Analysis April 2026'!E18</f>
        <v>1598.2</v>
      </c>
      <c r="E15" s="777">
        <f t="shared" si="0"/>
        <v>8613.9</v>
      </c>
      <c r="F15" s="778">
        <f>'PROD.FIG. '!H13</f>
        <v>651.42000000000007</v>
      </c>
      <c r="G15" s="338">
        <f t="shared" si="1"/>
        <v>13.223266095606519</v>
      </c>
      <c r="J15" s="30"/>
    </row>
    <row r="16" spans="1:10" x14ac:dyDescent="0.2">
      <c r="A16" s="706">
        <v>10</v>
      </c>
      <c r="B16" s="774">
        <f>'Utility Analysis April 2026'!D19</f>
        <v>6846</v>
      </c>
      <c r="C16" s="775">
        <f>'Utility Analysis April 2026'!G19</f>
        <v>0</v>
      </c>
      <c r="D16" s="776">
        <f>'Utility Analysis April 2026'!E19</f>
        <v>1712.9</v>
      </c>
      <c r="E16" s="777">
        <f t="shared" si="0"/>
        <v>8463.5</v>
      </c>
      <c r="F16" s="778">
        <f>'PROD.FIG. '!H14</f>
        <v>427.48200000000003</v>
      </c>
      <c r="G16" s="338">
        <f t="shared" si="1"/>
        <v>19.798494439531957</v>
      </c>
      <c r="J16" s="30"/>
    </row>
    <row r="17" spans="1:10" x14ac:dyDescent="0.2">
      <c r="A17" s="706">
        <v>11</v>
      </c>
      <c r="B17" s="774">
        <f>'Utility Analysis April 2026'!D20</f>
        <v>2983</v>
      </c>
      <c r="C17" s="775">
        <f>'Utility Analysis April 2026'!G20</f>
        <v>0</v>
      </c>
      <c r="D17" s="776">
        <f>'Utility Analysis April 2026'!E20</f>
        <v>1617.5</v>
      </c>
      <c r="E17" s="777">
        <f t="shared" si="0"/>
        <v>4472.3999999999996</v>
      </c>
      <c r="F17" s="778" t="str">
        <f>'PROD.FIG. '!H15</f>
        <v>0</v>
      </c>
      <c r="G17" s="338" t="str">
        <f t="shared" si="1"/>
        <v>0</v>
      </c>
      <c r="J17" s="30"/>
    </row>
    <row r="18" spans="1:10" x14ac:dyDescent="0.2">
      <c r="A18" s="706">
        <v>12</v>
      </c>
      <c r="B18" s="774">
        <f>'Utility Analysis April 2026'!D21</f>
        <v>1952</v>
      </c>
      <c r="C18" s="775">
        <f>'Utility Analysis April 2026'!G21</f>
        <v>0</v>
      </c>
      <c r="D18" s="776">
        <f>'Utility Analysis April 2026'!E21</f>
        <v>1489.4</v>
      </c>
      <c r="E18" s="777">
        <f t="shared" si="0"/>
        <v>3607.2</v>
      </c>
      <c r="F18" s="778" t="str">
        <f>'PROD.FIG. '!H16</f>
        <v>0</v>
      </c>
      <c r="G18" s="468" t="str">
        <f t="shared" si="1"/>
        <v>0</v>
      </c>
      <c r="J18" s="30"/>
    </row>
    <row r="19" spans="1:10" x14ac:dyDescent="0.2">
      <c r="A19" s="706">
        <v>13</v>
      </c>
      <c r="B19" s="774">
        <f>'Utility Analysis April 2026'!D22</f>
        <v>6237</v>
      </c>
      <c r="C19" s="775">
        <f>'Utility Analysis April 2026'!G22</f>
        <v>0</v>
      </c>
      <c r="D19" s="776">
        <f>'Utility Analysis April 2026'!E22</f>
        <v>1655.2</v>
      </c>
      <c r="E19" s="777">
        <f t="shared" si="0"/>
        <v>7137.9</v>
      </c>
      <c r="F19" s="778">
        <f>'PROD.FIG. '!H17</f>
        <v>418.04400000000004</v>
      </c>
      <c r="G19" s="468">
        <f t="shared" si="1"/>
        <v>17.074518471739815</v>
      </c>
      <c r="J19" s="30"/>
    </row>
    <row r="20" spans="1:10" x14ac:dyDescent="0.2">
      <c r="A20" s="706">
        <v>14</v>
      </c>
      <c r="B20" s="774">
        <f>'Utility Analysis April 2026'!D23</f>
        <v>7380</v>
      </c>
      <c r="C20" s="775">
        <f>'Utility Analysis April 2026'!G23</f>
        <v>0</v>
      </c>
      <c r="D20" s="776">
        <f>'Utility Analysis April 2026'!E23</f>
        <v>900.9</v>
      </c>
      <c r="E20" s="777">
        <f t="shared" si="0"/>
        <v>8792.9</v>
      </c>
      <c r="F20" s="778">
        <f>'PROD.FIG. '!H18</f>
        <v>398.178</v>
      </c>
      <c r="G20" s="338">
        <f t="shared" si="1"/>
        <v>22.082837324010868</v>
      </c>
      <c r="J20" s="30"/>
    </row>
    <row r="21" spans="1:10" x14ac:dyDescent="0.2">
      <c r="A21" s="706">
        <v>15</v>
      </c>
      <c r="B21" s="774">
        <f>'Utility Analysis April 2026'!D24</f>
        <v>6949</v>
      </c>
      <c r="C21" s="775">
        <f>'Utility Analysis April 2026'!G24</f>
        <v>0</v>
      </c>
      <c r="D21" s="776">
        <f>'Utility Analysis April 2026'!E24</f>
        <v>1412.9</v>
      </c>
      <c r="E21" s="777">
        <f t="shared" si="0"/>
        <v>8270</v>
      </c>
      <c r="F21" s="778">
        <f>'PROD.FIG. '!H19</f>
        <v>489.786</v>
      </c>
      <c r="G21" s="338">
        <f t="shared" si="1"/>
        <v>16.884925253069706</v>
      </c>
      <c r="J21" s="30"/>
    </row>
    <row r="22" spans="1:10" x14ac:dyDescent="0.2">
      <c r="A22" s="706">
        <v>16</v>
      </c>
      <c r="B22" s="774">
        <f>'Utility Analysis April 2026'!D25</f>
        <v>6258</v>
      </c>
      <c r="C22" s="775">
        <f>'Utility Analysis April 2026'!G25</f>
        <v>0</v>
      </c>
      <c r="D22" s="776">
        <f>'Utility Analysis April 2026'!E25</f>
        <v>1321</v>
      </c>
      <c r="E22" s="777">
        <f t="shared" si="0"/>
        <v>7543.2</v>
      </c>
      <c r="F22" s="778">
        <f>'PROD.FIG. '!H20</f>
        <v>622.51200000000006</v>
      </c>
      <c r="G22" s="338">
        <f t="shared" si="1"/>
        <v>12.117356773845321</v>
      </c>
      <c r="J22" s="30"/>
    </row>
    <row r="23" spans="1:10" x14ac:dyDescent="0.2">
      <c r="A23" s="706">
        <v>17</v>
      </c>
      <c r="B23" s="774">
        <f>'Utility Analysis April 2026'!D26</f>
        <v>5872</v>
      </c>
      <c r="C23" s="775">
        <f>'Utility Analysis April 2026'!G26</f>
        <v>0</v>
      </c>
      <c r="D23" s="776">
        <f>'Utility Analysis April 2026'!E26</f>
        <v>1285.2</v>
      </c>
      <c r="E23" s="777">
        <f t="shared" ref="E23:E34" si="2">B23+D23</f>
        <v>7157.2</v>
      </c>
      <c r="F23" s="778">
        <f>'PROD.FIG. '!H21</f>
        <v>330.59399999999999</v>
      </c>
      <c r="G23" s="338">
        <f t="shared" si="1"/>
        <v>21.649515720188511</v>
      </c>
      <c r="J23" s="30"/>
    </row>
    <row r="24" spans="1:10" x14ac:dyDescent="0.2">
      <c r="A24" s="706">
        <v>18</v>
      </c>
      <c r="B24" s="774">
        <f>'Utility Analysis April 2026'!D27</f>
        <v>3482</v>
      </c>
      <c r="C24" s="775">
        <f>'Utility Analysis April 2026'!G27</f>
        <v>0</v>
      </c>
      <c r="D24" s="776">
        <f>'Utility Analysis April 2026'!E27</f>
        <v>1350.9</v>
      </c>
      <c r="E24" s="777">
        <f t="shared" si="2"/>
        <v>4832.8999999999996</v>
      </c>
      <c r="F24" s="778" t="str">
        <f>'PROD.FIG. '!H22</f>
        <v>0</v>
      </c>
      <c r="G24" s="338" t="str">
        <f t="shared" si="1"/>
        <v>0</v>
      </c>
      <c r="J24" s="30"/>
    </row>
    <row r="25" spans="1:10" x14ac:dyDescent="0.2">
      <c r="A25" s="706">
        <v>19</v>
      </c>
      <c r="B25" s="774">
        <f>'Utility Analysis April 2026'!D28</f>
        <v>1989</v>
      </c>
      <c r="C25" s="775">
        <f>'Utility Analysis April 2026'!G28</f>
        <v>0</v>
      </c>
      <c r="D25" s="776">
        <f>'Utility Analysis April 2026'!E28</f>
        <v>1597.3</v>
      </c>
      <c r="E25" s="777">
        <f t="shared" si="2"/>
        <v>3586.3</v>
      </c>
      <c r="F25" s="778" t="str">
        <f>'PROD.FIG. '!H23</f>
        <v>0</v>
      </c>
      <c r="G25" s="468" t="str">
        <f t="shared" si="1"/>
        <v>0</v>
      </c>
      <c r="J25" s="30"/>
    </row>
    <row r="26" spans="1:10" x14ac:dyDescent="0.2">
      <c r="A26" s="706">
        <v>20</v>
      </c>
      <c r="B26" s="774">
        <f>'Utility Analysis April 2026'!D29</f>
        <v>5497</v>
      </c>
      <c r="C26" s="775">
        <f>'Utility Analysis April 2026'!G29</f>
        <v>0</v>
      </c>
      <c r="D26" s="776">
        <f>'Utility Analysis April 2026'!E29</f>
        <v>1315.8</v>
      </c>
      <c r="E26" s="777">
        <f t="shared" si="2"/>
        <v>6812.8</v>
      </c>
      <c r="F26" s="778">
        <f>'PROD.FIG. '!H24</f>
        <v>256.41000000000003</v>
      </c>
      <c r="G26" s="468">
        <f t="shared" si="1"/>
        <v>26.56994656994657</v>
      </c>
      <c r="J26" s="30"/>
    </row>
    <row r="27" spans="1:10" x14ac:dyDescent="0.2">
      <c r="A27" s="706">
        <v>21</v>
      </c>
      <c r="B27" s="774">
        <f>'Utility Analysis April 2026'!D30</f>
        <v>5959</v>
      </c>
      <c r="C27" s="775">
        <f>'Utility Analysis April 2026'!G30</f>
        <v>0</v>
      </c>
      <c r="D27" s="776">
        <f>'Utility Analysis April 2026'!E30</f>
        <v>1431.7</v>
      </c>
      <c r="E27" s="777">
        <f t="shared" si="2"/>
        <v>7390.7</v>
      </c>
      <c r="F27" s="778">
        <f>'PROD.FIG. '!H25</f>
        <v>521.46600000000001</v>
      </c>
      <c r="G27" s="338">
        <f t="shared" si="1"/>
        <v>14.172927861068603</v>
      </c>
      <c r="J27" s="30"/>
    </row>
    <row r="28" spans="1:10" x14ac:dyDescent="0.2">
      <c r="A28" s="706">
        <v>22</v>
      </c>
      <c r="B28" s="774">
        <f>'Utility Analysis April 2026'!D31</f>
        <v>7375</v>
      </c>
      <c r="C28" s="775">
        <f>'Utility Analysis April 2026'!G31</f>
        <v>0</v>
      </c>
      <c r="D28" s="776">
        <f>'Utility Analysis April 2026'!E31</f>
        <v>847.7</v>
      </c>
      <c r="E28" s="777">
        <f t="shared" si="2"/>
        <v>8222.7000000000007</v>
      </c>
      <c r="F28" s="778">
        <f>'PROD.FIG. '!H26</f>
        <v>517.30799999999999</v>
      </c>
      <c r="G28" s="338">
        <f t="shared" si="1"/>
        <v>15.895172701756016</v>
      </c>
      <c r="J28" s="30"/>
    </row>
    <row r="29" spans="1:10" x14ac:dyDescent="0.2">
      <c r="A29" s="706">
        <v>23</v>
      </c>
      <c r="B29" s="774">
        <f>'Utility Analysis April 2026'!D32</f>
        <v>7064</v>
      </c>
      <c r="C29" s="775"/>
      <c r="D29" s="776">
        <f>'Utility Analysis April 2026'!E32</f>
        <v>1078.7</v>
      </c>
      <c r="E29" s="777">
        <f t="shared" si="2"/>
        <v>8142.7</v>
      </c>
      <c r="F29" s="778">
        <f>'PROD.FIG. '!H27</f>
        <v>241.69200000000001</v>
      </c>
      <c r="G29" s="338">
        <f t="shared" si="1"/>
        <v>33.690399351240423</v>
      </c>
      <c r="J29" s="30"/>
    </row>
    <row r="30" spans="1:10" x14ac:dyDescent="0.2">
      <c r="A30" s="706">
        <v>24</v>
      </c>
      <c r="B30" s="774">
        <f>'Utility Analysis April 2026'!D33</f>
        <v>4121</v>
      </c>
      <c r="C30" s="775">
        <f>'Utility Analysis April 2026'!G33</f>
        <v>0</v>
      </c>
      <c r="D30" s="776">
        <f>'Utility Analysis April 2026'!E33</f>
        <v>1685.9</v>
      </c>
      <c r="E30" s="777">
        <f t="shared" si="2"/>
        <v>5806.9</v>
      </c>
      <c r="F30" s="778">
        <f>'PROD.FIG. '!H28</f>
        <v>224.334</v>
      </c>
      <c r="G30" s="338">
        <f t="shared" si="1"/>
        <v>25.885064234578795</v>
      </c>
      <c r="J30" s="30"/>
    </row>
    <row r="31" spans="1:10" x14ac:dyDescent="0.2">
      <c r="A31" s="706">
        <v>25</v>
      </c>
      <c r="B31" s="774">
        <f>'Utility Analysis April 2026'!D34</f>
        <v>3680</v>
      </c>
      <c r="C31" s="775">
        <f>'Utility Analysis April 2026'!G34</f>
        <v>0</v>
      </c>
      <c r="D31" s="776">
        <f>'Utility Analysis April 2026'!E34</f>
        <v>1377</v>
      </c>
      <c r="E31" s="777">
        <f t="shared" si="2"/>
        <v>5057</v>
      </c>
      <c r="F31" s="778" t="str">
        <f>'PROD.FIG. '!H29</f>
        <v>0</v>
      </c>
      <c r="G31" s="338" t="str">
        <f t="shared" si="1"/>
        <v>0</v>
      </c>
      <c r="J31" s="30"/>
    </row>
    <row r="32" spans="1:10" x14ac:dyDescent="0.2">
      <c r="A32" s="706">
        <v>26</v>
      </c>
      <c r="B32" s="774">
        <f>'Utility Analysis April 2026'!D35</f>
        <v>3443</v>
      </c>
      <c r="C32" s="775">
        <f>'Utility Analysis April 2026'!G35</f>
        <v>0</v>
      </c>
      <c r="D32" s="776">
        <f>'Utility Analysis April 2026'!E35</f>
        <v>1331.8</v>
      </c>
      <c r="E32" s="777">
        <f t="shared" si="2"/>
        <v>4774.8</v>
      </c>
      <c r="F32" s="778" t="str">
        <f>'PROD.FIG. '!H30</f>
        <v>0</v>
      </c>
      <c r="G32" s="468" t="str">
        <f t="shared" si="1"/>
        <v>0</v>
      </c>
      <c r="J32" s="30"/>
    </row>
    <row r="33" spans="1:10" x14ac:dyDescent="0.2">
      <c r="A33" s="706">
        <v>27</v>
      </c>
      <c r="B33" s="774">
        <f>'Utility Analysis April 2026'!D36</f>
        <v>6546</v>
      </c>
      <c r="C33" s="775">
        <f>'Utility Analysis April 2026'!G36</f>
        <v>0</v>
      </c>
      <c r="D33" s="776">
        <f>'Utility Analysis April 2026'!E36</f>
        <v>1482.7</v>
      </c>
      <c r="E33" s="777">
        <f t="shared" si="2"/>
        <v>8028.7</v>
      </c>
      <c r="F33" s="778">
        <f>'PROD.FIG. '!H31</f>
        <v>390.45600000000002</v>
      </c>
      <c r="G33" s="468">
        <f t="shared" si="1"/>
        <v>20.562368102936052</v>
      </c>
      <c r="J33" s="30"/>
    </row>
    <row r="34" spans="1:10" x14ac:dyDescent="0.2">
      <c r="A34" s="706">
        <v>28</v>
      </c>
      <c r="B34" s="774">
        <f>'Utility Analysis April 2026'!D37</f>
        <v>5953</v>
      </c>
      <c r="C34" s="775">
        <f>'Utility Analysis April 2026'!G37</f>
        <v>0</v>
      </c>
      <c r="D34" s="776">
        <f>'Utility Analysis April 2026'!E37</f>
        <v>1388.9</v>
      </c>
      <c r="E34" s="777">
        <f t="shared" si="2"/>
        <v>7341.9</v>
      </c>
      <c r="F34" s="778">
        <f>'PROD.FIG. '!H32</f>
        <v>452.49600000000004</v>
      </c>
      <c r="G34" s="338">
        <f t="shared" si="1"/>
        <v>16.225336798557333</v>
      </c>
      <c r="J34" s="30"/>
    </row>
    <row r="35" spans="1:10" x14ac:dyDescent="0.2">
      <c r="A35" s="706">
        <v>29</v>
      </c>
      <c r="B35" s="774">
        <f>'Utility Analysis April 2026'!D38</f>
        <v>6553</v>
      </c>
      <c r="C35" s="775">
        <f>'Utility Analysis April 2026'!G38</f>
        <v>0</v>
      </c>
      <c r="D35" s="776">
        <f>'Utility Analysis April 2026'!E38</f>
        <v>1613.3</v>
      </c>
      <c r="E35" s="777">
        <f t="shared" ref="E35:E37" si="3">B35+C35</f>
        <v>6553</v>
      </c>
      <c r="F35" s="778">
        <f>'PROD.FIG. '!H33</f>
        <v>570.17399999999998</v>
      </c>
      <c r="G35" s="338">
        <f t="shared" si="1"/>
        <v>11.492982843833637</v>
      </c>
    </row>
    <row r="36" spans="1:10" x14ac:dyDescent="0.2">
      <c r="A36" s="706">
        <v>30</v>
      </c>
      <c r="B36" s="774">
        <f>'Utility Analysis April 2026'!D39</f>
        <v>6457</v>
      </c>
      <c r="C36" s="775">
        <f>'Utility Analysis April 2026'!G39</f>
        <v>0</v>
      </c>
      <c r="D36" s="776">
        <f>'Utility Analysis April 2026'!E39</f>
        <v>1713.9</v>
      </c>
      <c r="E36" s="777">
        <f t="shared" si="3"/>
        <v>6457</v>
      </c>
      <c r="F36" s="778">
        <f>'PROD.FIG. '!H34</f>
        <v>407.74800000000005</v>
      </c>
      <c r="G36" s="338">
        <f t="shared" si="1"/>
        <v>15.83576130355023</v>
      </c>
    </row>
    <row r="37" spans="1:10" ht="15.75" thickBot="1" x14ac:dyDescent="0.25">
      <c r="A37" s="706"/>
      <c r="B37" s="774">
        <f>'Utility Analysis April 2026'!D40</f>
        <v>0</v>
      </c>
      <c r="C37" s="775"/>
      <c r="D37" s="776">
        <f>'Utility Analysis April 2026'!E40</f>
        <v>0</v>
      </c>
      <c r="E37" s="777">
        <f t="shared" si="3"/>
        <v>0</v>
      </c>
      <c r="F37" s="778"/>
      <c r="G37" s="338"/>
      <c r="I37" s="189" t="s">
        <v>251</v>
      </c>
    </row>
    <row r="38" spans="1:10" s="307" customFormat="1" ht="18.75" thickBot="1" x14ac:dyDescent="0.3">
      <c r="A38" s="308" t="s">
        <v>85</v>
      </c>
      <c r="B38" s="309">
        <f>SUM(B7:B37)</f>
        <v>153495</v>
      </c>
      <c r="C38" s="309">
        <f t="shared" ref="C38:E38" si="4">SUM(C7:C37)</f>
        <v>0</v>
      </c>
      <c r="D38" s="309">
        <f t="shared" si="4"/>
        <v>42857.200000000012</v>
      </c>
      <c r="E38" s="309">
        <f t="shared" si="4"/>
        <v>192570.8</v>
      </c>
      <c r="F38" s="367">
        <f>SUM(F7:F37)</f>
        <v>7992.8639999999996</v>
      </c>
      <c r="G38" s="339">
        <f>IF(F38=0,"0",(E38/F38))</f>
        <v>24.092840814006092</v>
      </c>
      <c r="H38" s="337">
        <v>22</v>
      </c>
      <c r="I38" s="342">
        <f>G38/H38*100</f>
        <v>109.51291279093678</v>
      </c>
    </row>
    <row r="39" spans="1:10" x14ac:dyDescent="0.2">
      <c r="B39" s="17"/>
      <c r="E39" s="17"/>
      <c r="F39" s="17"/>
      <c r="G39" s="17"/>
      <c r="H39" s="336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9" sqref="A29:H30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37" t="s">
        <v>298</v>
      </c>
      <c r="B1" s="896"/>
      <c r="C1" s="896"/>
      <c r="D1" s="896"/>
      <c r="E1" s="896"/>
      <c r="F1" s="896"/>
      <c r="G1" s="896"/>
      <c r="H1" s="896"/>
    </row>
    <row r="2" spans="1:10" ht="15.75" thickBot="1" x14ac:dyDescent="0.25">
      <c r="D2" s="12"/>
    </row>
    <row r="3" spans="1:10" ht="15.75" x14ac:dyDescent="0.25">
      <c r="A3" s="314"/>
      <c r="B3" s="315" t="s">
        <v>7</v>
      </c>
      <c r="C3" s="316"/>
      <c r="D3" s="317"/>
      <c r="E3" s="317"/>
      <c r="F3" s="317"/>
      <c r="G3" s="317"/>
      <c r="H3" s="318"/>
    </row>
    <row r="4" spans="1:10" ht="15.75" x14ac:dyDescent="0.25">
      <c r="A4" s="319"/>
      <c r="B4" s="70" t="s">
        <v>37</v>
      </c>
      <c r="C4" s="312" t="s">
        <v>81</v>
      </c>
      <c r="D4" s="313" t="s">
        <v>80</v>
      </c>
      <c r="E4" s="313" t="s">
        <v>68</v>
      </c>
      <c r="F4" s="313" t="s">
        <v>70</v>
      </c>
      <c r="G4" s="313" t="s">
        <v>69</v>
      </c>
      <c r="H4" s="320" t="s">
        <v>57</v>
      </c>
    </row>
    <row r="5" spans="1:10" x14ac:dyDescent="0.2">
      <c r="A5" s="715" t="s">
        <v>98</v>
      </c>
      <c r="B5" s="706">
        <v>1</v>
      </c>
      <c r="C5" s="707"/>
      <c r="D5" s="708"/>
      <c r="E5" s="706"/>
      <c r="F5" s="708"/>
      <c r="G5" s="706"/>
      <c r="H5" s="712" cm="1">
        <f t="array" ref="H5:H34">IF(TRANSPOSE('Daily KPIs'!B9:AE9)=0,"0",TRANSPOSE('Daily KPIs'!B9:AE9))</f>
        <v>209.55</v>
      </c>
      <c r="I5" s="297"/>
      <c r="J5" s="298"/>
    </row>
    <row r="6" spans="1:10" x14ac:dyDescent="0.2">
      <c r="A6" s="715" t="s">
        <v>92</v>
      </c>
      <c r="B6" s="706">
        <v>2</v>
      </c>
      <c r="C6" s="707"/>
      <c r="D6" s="708"/>
      <c r="E6" s="716"/>
      <c r="F6" s="708"/>
      <c r="G6" s="706"/>
      <c r="H6" s="709">
        <v>189.28800000000001</v>
      </c>
      <c r="I6" s="33"/>
      <c r="J6" s="298"/>
    </row>
    <row r="7" spans="1:10" x14ac:dyDescent="0.2">
      <c r="A7" s="715" t="s">
        <v>93</v>
      </c>
      <c r="B7" s="706">
        <v>3</v>
      </c>
      <c r="C7" s="707"/>
      <c r="D7" s="708"/>
      <c r="E7" s="706"/>
      <c r="F7" s="708"/>
      <c r="G7" s="706"/>
      <c r="H7" s="709" t="str">
        <v>0</v>
      </c>
      <c r="I7" s="299"/>
      <c r="J7" s="300"/>
    </row>
    <row r="8" spans="1:10" x14ac:dyDescent="0.2">
      <c r="A8" s="793" t="s">
        <v>94</v>
      </c>
      <c r="B8" s="794">
        <v>4</v>
      </c>
      <c r="C8" s="795"/>
      <c r="D8" s="796"/>
      <c r="E8" s="794"/>
      <c r="F8" s="797"/>
      <c r="G8" s="794"/>
      <c r="H8" s="798" t="str">
        <v>0</v>
      </c>
      <c r="I8" s="299"/>
      <c r="J8" s="300"/>
    </row>
    <row r="9" spans="1:10" x14ac:dyDescent="0.2">
      <c r="A9" s="793" t="s">
        <v>95</v>
      </c>
      <c r="B9" s="794">
        <v>5</v>
      </c>
      <c r="C9" s="795"/>
      <c r="D9" s="796"/>
      <c r="E9" s="794"/>
      <c r="F9" s="794"/>
      <c r="G9" s="794"/>
      <c r="H9" s="798" t="str">
        <v>0</v>
      </c>
      <c r="I9" s="299"/>
      <c r="J9" s="300"/>
    </row>
    <row r="10" spans="1:10" x14ac:dyDescent="0.2">
      <c r="A10" s="715" t="s">
        <v>96</v>
      </c>
      <c r="B10" s="706">
        <v>6</v>
      </c>
      <c r="C10" s="707"/>
      <c r="D10" s="708"/>
      <c r="E10" s="706"/>
      <c r="F10" s="706"/>
      <c r="G10" s="706"/>
      <c r="H10" s="709" t="str">
        <v>0</v>
      </c>
      <c r="I10" s="299"/>
      <c r="J10" s="300"/>
    </row>
    <row r="11" spans="1:10" x14ac:dyDescent="0.2">
      <c r="A11" s="715" t="s">
        <v>97</v>
      </c>
      <c r="B11" s="706">
        <v>7</v>
      </c>
      <c r="C11" s="707"/>
      <c r="D11" s="708"/>
      <c r="E11" s="706"/>
      <c r="F11" s="710"/>
      <c r="G11" s="706"/>
      <c r="H11" s="709">
        <v>71.14800000000001</v>
      </c>
      <c r="I11" s="299"/>
      <c r="J11" s="300"/>
    </row>
    <row r="12" spans="1:10" x14ac:dyDescent="0.2">
      <c r="A12" s="715" t="s">
        <v>98</v>
      </c>
      <c r="B12" s="706">
        <v>8</v>
      </c>
      <c r="C12" s="707"/>
      <c r="D12" s="708"/>
      <c r="E12" s="706"/>
      <c r="F12" s="706"/>
      <c r="G12" s="706"/>
      <c r="H12" s="709">
        <v>602.77800000000002</v>
      </c>
      <c r="I12" s="299"/>
      <c r="J12" s="300"/>
    </row>
    <row r="13" spans="1:10" x14ac:dyDescent="0.2">
      <c r="A13" s="715" t="s">
        <v>92</v>
      </c>
      <c r="B13" s="706">
        <v>9</v>
      </c>
      <c r="C13" s="707"/>
      <c r="D13" s="708"/>
      <c r="E13" s="710"/>
      <c r="F13" s="706"/>
      <c r="G13" s="706"/>
      <c r="H13" s="709">
        <v>651.42000000000007</v>
      </c>
      <c r="I13" s="299"/>
      <c r="J13" s="300"/>
    </row>
    <row r="14" spans="1:10" x14ac:dyDescent="0.2">
      <c r="A14" s="715" t="s">
        <v>93</v>
      </c>
      <c r="B14" s="706">
        <v>10</v>
      </c>
      <c r="C14" s="707"/>
      <c r="D14" s="708"/>
      <c r="E14" s="706"/>
      <c r="F14" s="706"/>
      <c r="G14" s="706"/>
      <c r="H14" s="709">
        <v>427.48200000000003</v>
      </c>
      <c r="I14" s="299"/>
      <c r="J14" s="300"/>
    </row>
    <row r="15" spans="1:10" x14ac:dyDescent="0.2">
      <c r="A15" s="793" t="s">
        <v>94</v>
      </c>
      <c r="B15" s="794">
        <v>11</v>
      </c>
      <c r="C15" s="795"/>
      <c r="D15" s="796"/>
      <c r="E15" s="797"/>
      <c r="F15" s="794"/>
      <c r="G15" s="797"/>
      <c r="H15" s="798" t="str">
        <v>0</v>
      </c>
      <c r="I15" s="299"/>
      <c r="J15" s="300"/>
    </row>
    <row r="16" spans="1:10" x14ac:dyDescent="0.2">
      <c r="A16" s="793" t="s">
        <v>95</v>
      </c>
      <c r="B16" s="794">
        <v>12</v>
      </c>
      <c r="C16" s="795"/>
      <c r="D16" s="796"/>
      <c r="E16" s="797"/>
      <c r="F16" s="794"/>
      <c r="G16" s="794"/>
      <c r="H16" s="798" t="str">
        <v>0</v>
      </c>
      <c r="I16" s="299"/>
      <c r="J16" s="300"/>
    </row>
    <row r="17" spans="1:13" x14ac:dyDescent="0.2">
      <c r="A17" s="715" t="s">
        <v>96</v>
      </c>
      <c r="B17" s="706">
        <v>13</v>
      </c>
      <c r="C17" s="707"/>
      <c r="D17" s="708"/>
      <c r="E17" s="706"/>
      <c r="F17" s="706"/>
      <c r="G17" s="706"/>
      <c r="H17" s="709">
        <v>418.04400000000004</v>
      </c>
      <c r="I17" s="299"/>
      <c r="J17" s="300"/>
    </row>
    <row r="18" spans="1:13" x14ac:dyDescent="0.2">
      <c r="A18" s="715" t="s">
        <v>97</v>
      </c>
      <c r="B18" s="706">
        <v>14</v>
      </c>
      <c r="C18" s="707"/>
      <c r="D18" s="708"/>
      <c r="E18" s="706"/>
      <c r="F18" s="706"/>
      <c r="G18" s="706"/>
      <c r="H18" s="709">
        <v>398.178</v>
      </c>
      <c r="I18" s="299"/>
      <c r="J18" s="300"/>
    </row>
    <row r="19" spans="1:13" x14ac:dyDescent="0.2">
      <c r="A19" s="715" t="s">
        <v>98</v>
      </c>
      <c r="B19" s="706">
        <v>15</v>
      </c>
      <c r="C19" s="707"/>
      <c r="D19" s="708"/>
      <c r="E19" s="710"/>
      <c r="F19" s="706"/>
      <c r="G19" s="706"/>
      <c r="H19" s="709">
        <v>489.786</v>
      </c>
      <c r="I19" s="299"/>
      <c r="J19" s="300"/>
    </row>
    <row r="20" spans="1:13" x14ac:dyDescent="0.2">
      <c r="A20" s="715" t="s">
        <v>92</v>
      </c>
      <c r="B20" s="706">
        <v>16</v>
      </c>
      <c r="C20" s="707"/>
      <c r="D20" s="708"/>
      <c r="E20" s="706"/>
      <c r="F20" s="706"/>
      <c r="G20" s="706"/>
      <c r="H20" s="709">
        <v>622.51200000000006</v>
      </c>
      <c r="I20" s="299"/>
      <c r="J20" s="300"/>
    </row>
    <row r="21" spans="1:13" x14ac:dyDescent="0.2">
      <c r="A21" s="715" t="s">
        <v>93</v>
      </c>
      <c r="B21" s="706">
        <v>17</v>
      </c>
      <c r="C21" s="707"/>
      <c r="D21" s="708"/>
      <c r="E21" s="706"/>
      <c r="F21" s="706"/>
      <c r="G21" s="706"/>
      <c r="H21" s="709">
        <v>330.59399999999999</v>
      </c>
      <c r="I21" s="299"/>
      <c r="J21" s="300"/>
    </row>
    <row r="22" spans="1:13" x14ac:dyDescent="0.2">
      <c r="A22" s="793" t="s">
        <v>94</v>
      </c>
      <c r="B22" s="794">
        <v>18</v>
      </c>
      <c r="C22" s="795"/>
      <c r="D22" s="796"/>
      <c r="E22" s="794"/>
      <c r="F22" s="794"/>
      <c r="G22" s="794"/>
      <c r="H22" s="798" t="str">
        <v>0</v>
      </c>
      <c r="I22" s="299"/>
      <c r="J22" s="300"/>
    </row>
    <row r="23" spans="1:13" x14ac:dyDescent="0.2">
      <c r="A23" s="793" t="s">
        <v>95</v>
      </c>
      <c r="B23" s="794">
        <v>19</v>
      </c>
      <c r="C23" s="795"/>
      <c r="D23" s="796"/>
      <c r="E23" s="794"/>
      <c r="F23" s="794"/>
      <c r="G23" s="794"/>
      <c r="H23" s="798" t="str">
        <v>0</v>
      </c>
      <c r="I23" s="299"/>
      <c r="J23" s="300"/>
    </row>
    <row r="24" spans="1:13" x14ac:dyDescent="0.2">
      <c r="A24" s="715" t="s">
        <v>96</v>
      </c>
      <c r="B24" s="706">
        <v>20</v>
      </c>
      <c r="C24" s="707"/>
      <c r="D24" s="708"/>
      <c r="E24" s="706"/>
      <c r="F24" s="706"/>
      <c r="G24" s="706"/>
      <c r="H24" s="709">
        <v>256.41000000000003</v>
      </c>
      <c r="I24" s="299"/>
      <c r="J24" s="300"/>
    </row>
    <row r="25" spans="1:13" x14ac:dyDescent="0.2">
      <c r="A25" s="715" t="s">
        <v>97</v>
      </c>
      <c r="B25" s="706">
        <v>21</v>
      </c>
      <c r="C25" s="707"/>
      <c r="D25" s="708"/>
      <c r="E25" s="706"/>
      <c r="F25" s="706"/>
      <c r="G25" s="706"/>
      <c r="H25" s="709">
        <v>521.46600000000001</v>
      </c>
      <c r="I25" s="299"/>
      <c r="J25" s="300"/>
    </row>
    <row r="26" spans="1:13" x14ac:dyDescent="0.2">
      <c r="A26" s="715" t="s">
        <v>98</v>
      </c>
      <c r="B26" s="706">
        <v>22</v>
      </c>
      <c r="C26" s="707"/>
      <c r="D26" s="708"/>
      <c r="E26" s="706"/>
      <c r="F26" s="706"/>
      <c r="G26" s="706"/>
      <c r="H26" s="709">
        <v>517.30799999999999</v>
      </c>
      <c r="I26" s="299"/>
      <c r="J26" s="300"/>
      <c r="M26" s="32" t="s">
        <v>58</v>
      </c>
    </row>
    <row r="27" spans="1:13" x14ac:dyDescent="0.2">
      <c r="A27" s="715" t="s">
        <v>92</v>
      </c>
      <c r="B27" s="706">
        <v>23</v>
      </c>
      <c r="C27" s="707"/>
      <c r="D27" s="708"/>
      <c r="E27" s="710"/>
      <c r="F27" s="706"/>
      <c r="G27" s="706"/>
      <c r="H27" s="709">
        <v>241.69200000000001</v>
      </c>
      <c r="I27" s="299"/>
      <c r="J27" s="300"/>
    </row>
    <row r="28" spans="1:13" x14ac:dyDescent="0.2">
      <c r="A28" s="715" t="s">
        <v>93</v>
      </c>
      <c r="B28" s="706">
        <v>24</v>
      </c>
      <c r="C28" s="707"/>
      <c r="D28" s="708"/>
      <c r="E28" s="710"/>
      <c r="F28" s="706"/>
      <c r="G28" s="706"/>
      <c r="H28" s="709">
        <v>224.334</v>
      </c>
      <c r="I28" s="299"/>
      <c r="J28" s="300"/>
    </row>
    <row r="29" spans="1:13" x14ac:dyDescent="0.2">
      <c r="A29" s="793" t="s">
        <v>94</v>
      </c>
      <c r="B29" s="794">
        <v>25</v>
      </c>
      <c r="C29" s="795"/>
      <c r="D29" s="796"/>
      <c r="E29" s="794"/>
      <c r="F29" s="794"/>
      <c r="G29" s="794"/>
      <c r="H29" s="798" t="str">
        <v>0</v>
      </c>
      <c r="I29" s="299"/>
      <c r="J29" s="300"/>
    </row>
    <row r="30" spans="1:13" x14ac:dyDescent="0.2">
      <c r="A30" s="793" t="s">
        <v>95</v>
      </c>
      <c r="B30" s="794">
        <v>26</v>
      </c>
      <c r="C30" s="795"/>
      <c r="D30" s="796"/>
      <c r="E30" s="794"/>
      <c r="F30" s="794"/>
      <c r="G30" s="794"/>
      <c r="H30" s="798" t="str">
        <v>0</v>
      </c>
      <c r="I30" s="299"/>
      <c r="J30" s="300"/>
    </row>
    <row r="31" spans="1:13" x14ac:dyDescent="0.2">
      <c r="A31" s="715" t="s">
        <v>96</v>
      </c>
      <c r="B31" s="706">
        <v>27</v>
      </c>
      <c r="C31" s="707"/>
      <c r="D31" s="708"/>
      <c r="E31" s="706"/>
      <c r="F31" s="706"/>
      <c r="G31" s="706"/>
      <c r="H31" s="709">
        <v>390.45600000000002</v>
      </c>
      <c r="I31" s="299"/>
      <c r="J31" s="300"/>
    </row>
    <row r="32" spans="1:13" x14ac:dyDescent="0.2">
      <c r="A32" s="715" t="s">
        <v>97</v>
      </c>
      <c r="B32" s="706">
        <v>28</v>
      </c>
      <c r="C32" s="707"/>
      <c r="D32" s="708"/>
      <c r="E32" s="706"/>
      <c r="F32" s="706"/>
      <c r="G32" s="706"/>
      <c r="H32" s="709">
        <v>452.49600000000004</v>
      </c>
      <c r="I32" s="299"/>
      <c r="J32" s="300"/>
    </row>
    <row r="33" spans="1:10" x14ac:dyDescent="0.2">
      <c r="A33" s="715" t="s">
        <v>98</v>
      </c>
      <c r="B33" s="706">
        <v>29</v>
      </c>
      <c r="C33" s="707"/>
      <c r="D33" s="708"/>
      <c r="E33" s="706"/>
      <c r="F33" s="710"/>
      <c r="G33" s="706"/>
      <c r="H33" s="709">
        <v>570.17399999999998</v>
      </c>
      <c r="I33" s="299"/>
      <c r="J33" s="300"/>
    </row>
    <row r="34" spans="1:10" x14ac:dyDescent="0.2">
      <c r="A34" s="715" t="s">
        <v>92</v>
      </c>
      <c r="B34" s="706">
        <v>30</v>
      </c>
      <c r="C34" s="707"/>
      <c r="D34" s="708"/>
      <c r="E34" s="706"/>
      <c r="F34" s="706"/>
      <c r="G34" s="706"/>
      <c r="H34" s="709">
        <v>407.74800000000005</v>
      </c>
      <c r="I34" s="299"/>
      <c r="J34" s="300"/>
    </row>
    <row r="35" spans="1:10" x14ac:dyDescent="0.2">
      <c r="A35" s="715"/>
      <c r="B35" s="706"/>
      <c r="C35" s="707"/>
      <c r="D35" s="708"/>
      <c r="E35" s="706"/>
      <c r="F35" s="706"/>
      <c r="G35" s="706"/>
      <c r="H35" s="709"/>
      <c r="I35" s="299"/>
      <c r="J35" s="300"/>
    </row>
    <row r="36" spans="1:10" ht="18.75" thickBot="1" x14ac:dyDescent="0.3">
      <c r="A36" s="755"/>
      <c r="B36" s="756"/>
      <c r="C36" s="757"/>
      <c r="D36" s="758"/>
      <c r="E36" s="756"/>
      <c r="F36" s="756"/>
      <c r="G36" s="759" t="s">
        <v>244</v>
      </c>
      <c r="H36" s="760">
        <f>SUM(H5:H35)</f>
        <v>7992.8639999999996</v>
      </c>
      <c r="I36" s="299"/>
      <c r="J36" s="300"/>
    </row>
    <row r="37" spans="1:10" x14ac:dyDescent="0.2">
      <c r="B37" s="310"/>
      <c r="C37" s="37"/>
      <c r="D37" s="311"/>
      <c r="E37" s="310"/>
      <c r="F37" s="310"/>
      <c r="G37" s="310"/>
      <c r="H37" s="47"/>
      <c r="I37" s="299"/>
      <c r="J37" s="300"/>
    </row>
    <row r="38" spans="1:10" x14ac:dyDescent="0.2">
      <c r="B38" s="16"/>
      <c r="C38" s="38"/>
      <c r="D38" s="296"/>
      <c r="E38" s="16"/>
      <c r="F38" s="16"/>
      <c r="G38" s="16"/>
      <c r="H38" s="185"/>
      <c r="I38" s="299"/>
      <c r="J38" s="300"/>
    </row>
    <row r="39" spans="1:10" x14ac:dyDescent="0.2">
      <c r="C39" s="33">
        <f>SUM(C5:C36)</f>
        <v>0</v>
      </c>
      <c r="D39" s="10"/>
      <c r="E39" s="10"/>
      <c r="F39" s="10"/>
      <c r="G39" s="10"/>
      <c r="H39" s="306"/>
      <c r="I39" s="299"/>
      <c r="J39" s="300"/>
    </row>
    <row r="40" spans="1:10" x14ac:dyDescent="0.2">
      <c r="C40" s="33"/>
      <c r="D40" s="10"/>
      <c r="E40" s="10"/>
      <c r="F40" s="10"/>
      <c r="G40" s="10"/>
      <c r="I40" s="299"/>
      <c r="J40" s="300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3" zoomScaleNormal="100" workbookViewId="0">
      <selection activeCell="D7" sqref="D7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8" customWidth="1"/>
    <col min="9" max="9" width="9.140625" style="27"/>
    <col min="11" max="11" width="9.140625" style="343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6" t="s">
        <v>299</v>
      </c>
      <c r="B3" s="1"/>
      <c r="C3" s="1"/>
      <c r="D3" s="85"/>
      <c r="E3" s="85"/>
      <c r="F3" s="1"/>
      <c r="I3" s="942" t="s">
        <v>270</v>
      </c>
      <c r="J3" s="943"/>
      <c r="K3" s="944"/>
    </row>
    <row r="4" spans="1:24" ht="37.5" customHeight="1" thickBot="1" x14ac:dyDescent="0.25">
      <c r="A4" s="8"/>
      <c r="B4" s="8"/>
      <c r="C4" s="8"/>
      <c r="D4" s="11"/>
      <c r="E4" s="11"/>
      <c r="F4" s="8"/>
      <c r="G4" s="265" t="s">
        <v>253</v>
      </c>
      <c r="H4" s="349"/>
      <c r="I4" s="945" t="s">
        <v>265</v>
      </c>
      <c r="J4" s="946"/>
      <c r="K4" s="947"/>
      <c r="M4" s="429"/>
      <c r="N4" s="429"/>
      <c r="O4" s="430"/>
      <c r="P4" s="430"/>
      <c r="Q4" s="957" t="s">
        <v>287</v>
      </c>
      <c r="R4" s="957"/>
      <c r="S4" s="957"/>
      <c r="T4" s="957"/>
      <c r="U4" s="191"/>
      <c r="V4" s="429"/>
      <c r="W4" s="191"/>
      <c r="X4" s="191"/>
    </row>
    <row r="5" spans="1:24" ht="15.75" customHeight="1" thickBot="1" x14ac:dyDescent="0.25">
      <c r="A5" s="891" t="s">
        <v>7</v>
      </c>
      <c r="B5" s="893" t="s">
        <v>254</v>
      </c>
      <c r="C5" s="893" t="s">
        <v>286</v>
      </c>
      <c r="D5" s="964" t="s">
        <v>282</v>
      </c>
      <c r="E5" s="964" t="s">
        <v>283</v>
      </c>
      <c r="F5" s="962" t="s">
        <v>246</v>
      </c>
      <c r="G5" s="959" t="s">
        <v>252</v>
      </c>
      <c r="I5" s="431" t="s">
        <v>266</v>
      </c>
      <c r="J5" s="432" t="s">
        <v>267</v>
      </c>
      <c r="K5" s="433" t="s">
        <v>268</v>
      </c>
      <c r="M5" s="948" t="s">
        <v>269</v>
      </c>
      <c r="N5" s="949"/>
      <c r="O5" s="950"/>
      <c r="P5" s="434"/>
      <c r="Q5" s="951" t="s">
        <v>7</v>
      </c>
      <c r="R5" s="953" t="s">
        <v>270</v>
      </c>
      <c r="S5" s="954"/>
      <c r="T5" s="464" t="s">
        <v>271</v>
      </c>
      <c r="U5" s="435" t="s">
        <v>272</v>
      </c>
      <c r="V5" s="955" t="s">
        <v>280</v>
      </c>
      <c r="W5" s="938" t="s">
        <v>273</v>
      </c>
      <c r="X5" s="940" t="s">
        <v>274</v>
      </c>
    </row>
    <row r="6" spans="1:24" ht="28.5" customHeight="1" thickBot="1" x14ac:dyDescent="0.25">
      <c r="A6" s="958"/>
      <c r="B6" s="961"/>
      <c r="C6" s="961"/>
      <c r="D6" s="965"/>
      <c r="E6" s="965"/>
      <c r="F6" s="963"/>
      <c r="G6" s="960"/>
      <c r="I6" s="436">
        <v>10</v>
      </c>
      <c r="J6" s="437">
        <v>722</v>
      </c>
      <c r="K6" s="438">
        <f>J6/2.204623</f>
        <v>327.49363496615973</v>
      </c>
      <c r="M6" s="439"/>
      <c r="N6" s="440" t="s">
        <v>275</v>
      </c>
      <c r="O6" s="439" t="s">
        <v>276</v>
      </c>
      <c r="P6" s="430"/>
      <c r="Q6" s="952"/>
      <c r="R6" s="459" t="s">
        <v>277</v>
      </c>
      <c r="S6" s="460" t="s">
        <v>278</v>
      </c>
      <c r="T6" s="465" t="s">
        <v>278</v>
      </c>
      <c r="U6" s="441" t="s">
        <v>278</v>
      </c>
      <c r="V6" s="956"/>
      <c r="W6" s="939"/>
      <c r="X6" s="941"/>
    </row>
    <row r="7" spans="1:24" ht="15.75" thickBot="1" x14ac:dyDescent="0.25">
      <c r="A7" s="736">
        <v>1</v>
      </c>
      <c r="B7" s="737">
        <f>IF('Entries April 2026'!N7-'Entries April 2026'!N6&lt;1,"0",'Entries April 2026'!N7-'Entries April 2026'!N6)</f>
        <v>117.81999999999971</v>
      </c>
      <c r="C7" s="737">
        <f>IF('Entries April 2026'!L7-'Entries April 2026'!L6&lt;1,"0",'Entries April 2026'!L7-'Entries April 2026'!L6)</f>
        <v>111.80999999999767</v>
      </c>
      <c r="D7" s="737">
        <f>IF('Entries April 2026'!M7-'Entries April 2026'!M6&lt;1,"0",'Entries April 2026'!M7-'Entries April 2026'!M6)</f>
        <v>1627.3800000000047</v>
      </c>
      <c r="E7" s="737" cm="1">
        <f t="array" ref="E7:E37">TRANSPOSE('Daily KPIs'!B74:AF74)</f>
        <v>1200</v>
      </c>
      <c r="F7" s="738" cm="1">
        <f t="array" ref="F7:F36">TRANSPOSE('Daily KPIs'!B9:AE9)</f>
        <v>209.55</v>
      </c>
      <c r="G7" s="338">
        <f>IF(F7=0,"0",(E7/F7))</f>
        <v>5.7265569076592699</v>
      </c>
      <c r="I7" s="442">
        <v>20</v>
      </c>
      <c r="J7" s="443">
        <v>2857</v>
      </c>
      <c r="K7" s="444">
        <f>J7/2.204623</f>
        <v>1295.9131788065351</v>
      </c>
      <c r="M7" s="440">
        <v>75</v>
      </c>
      <c r="N7" s="440">
        <f>O7*2.204623</f>
        <v>12436.000000000002</v>
      </c>
      <c r="O7" s="440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30"/>
      <c r="Q7" s="452">
        <v>45870</v>
      </c>
      <c r="R7" s="456">
        <f>'Entries April 2026'!AL6</f>
        <v>0</v>
      </c>
      <c r="S7" s="461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66" t="e">
        <f>'Entries April 2026'!#REF!</f>
        <v>#REF!</v>
      </c>
      <c r="U7" s="463" t="e">
        <f>'Entries April 2026'!#REF!</f>
        <v>#REF!</v>
      </c>
      <c r="V7" s="455" t="e">
        <f>'Entries April 2026'!#REF!/2.204623</f>
        <v>#REF!</v>
      </c>
      <c r="W7" s="445" t="e">
        <f>S7+T7+U7+V7</f>
        <v>#REF!</v>
      </c>
      <c r="X7" s="446"/>
    </row>
    <row r="8" spans="1:24" ht="15.75" thickBot="1" x14ac:dyDescent="0.25">
      <c r="A8" s="736">
        <v>2</v>
      </c>
      <c r="B8" s="737">
        <f>IF('Entries April 2026'!N8-'Entries April 2026'!N7&lt;1,"0",'Entries April 2026'!N8-'Entries April 2026'!N7)</f>
        <v>140.04999999999563</v>
      </c>
      <c r="C8" s="737">
        <f>IF('Entries April 2026'!L8-'Entries April 2026'!L7&lt;1,"0",'Entries April 2026'!L8-'Entries April 2026'!L7)</f>
        <v>238.18000000000029</v>
      </c>
      <c r="D8" s="737">
        <f>IF('Entries April 2026'!M8-'Entries April 2026'!M7&lt;1,"0",'Entries April 2026'!M8-'Entries April 2026'!M7)</f>
        <v>1816.5</v>
      </c>
      <c r="E8" s="737">
        <v>1400</v>
      </c>
      <c r="F8" s="739">
        <v>189.28800000000001</v>
      </c>
      <c r="G8" s="338">
        <f t="shared" ref="G8:G37" si="0">IF(F8=0,"0",(E8/F8))</f>
        <v>7.3961371032500738</v>
      </c>
      <c r="I8" s="442">
        <v>30</v>
      </c>
      <c r="J8" s="443">
        <v>4344</v>
      </c>
      <c r="K8" s="444">
        <f t="shared" ref="K8:K40" si="1">J8/2.204623</f>
        <v>1970.4049173033211</v>
      </c>
      <c r="M8" s="429"/>
      <c r="N8" s="429">
        <v>12436</v>
      </c>
      <c r="O8" s="440">
        <f>N8/2.204</f>
        <v>5642.4682395644277</v>
      </c>
      <c r="P8" s="430"/>
      <c r="Q8" s="452">
        <v>45871</v>
      </c>
      <c r="R8" s="456">
        <f>'Entries April 2026'!AL7</f>
        <v>0</v>
      </c>
      <c r="S8" s="461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66">
        <f>'Entries April 2026'!AM6</f>
        <v>0</v>
      </c>
      <c r="U8" s="463">
        <f>'Entries April 2026'!AN6</f>
        <v>0</v>
      </c>
      <c r="V8" s="455">
        <f>'Entries April 2026'!AO6/2.204623</f>
        <v>0</v>
      </c>
      <c r="W8" s="445">
        <f>S8+T8+U8+V8</f>
        <v>0</v>
      </c>
      <c r="X8" s="446">
        <f>IF(W9-W8&lt;0,W8-W9,W9-W8)</f>
        <v>0</v>
      </c>
    </row>
    <row r="9" spans="1:24" ht="15.75" thickBot="1" x14ac:dyDescent="0.25">
      <c r="A9" s="736">
        <v>3</v>
      </c>
      <c r="B9" s="737" t="str">
        <f>IF('Entries April 2026'!N9-'Entries April 2026'!N8&lt;1,"0",'Entries April 2026'!N9-'Entries April 2026'!N8)</f>
        <v>0</v>
      </c>
      <c r="C9" s="737" t="str">
        <f>IF('Entries April 2026'!L9-'Entries April 2026'!L8&lt;1,"0",'Entries April 2026'!L9-'Entries April 2026'!L8)</f>
        <v>0</v>
      </c>
      <c r="D9" s="737" t="str">
        <f>IF('Entries April 2026'!M9-'Entries April 2026'!M8&lt;1,"0",'Entries April 2026'!M9-'Entries April 2026'!M8)</f>
        <v>0</v>
      </c>
      <c r="E9" s="737">
        <v>0</v>
      </c>
      <c r="F9" s="739">
        <v>0</v>
      </c>
      <c r="G9" s="338" t="str">
        <f t="shared" si="0"/>
        <v>0</v>
      </c>
      <c r="I9" s="442">
        <v>40</v>
      </c>
      <c r="J9" s="443">
        <v>6143</v>
      </c>
      <c r="K9" s="444">
        <f t="shared" si="1"/>
        <v>2786.417450965539</v>
      </c>
      <c r="M9" s="429"/>
      <c r="N9" s="429"/>
      <c r="O9" s="430">
        <f>O8/2150</f>
        <v>2.6244038323555476</v>
      </c>
      <c r="P9" s="430"/>
      <c r="Q9" s="452">
        <v>45872</v>
      </c>
      <c r="R9" s="456">
        <f>'Entries April 2026'!AL8</f>
        <v>0</v>
      </c>
      <c r="S9" s="461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66">
        <f>'Entries April 2026'!AM7</f>
        <v>0</v>
      </c>
      <c r="U9" s="463">
        <f>'Entries April 2026'!AN7</f>
        <v>0</v>
      </c>
      <c r="V9" s="455">
        <f>'Entries April 2026'!AO7/2.204623</f>
        <v>0</v>
      </c>
      <c r="W9" s="445">
        <f t="shared" ref="W9:W39" si="2">S9+T9+U9+V9</f>
        <v>0</v>
      </c>
      <c r="X9" s="446">
        <f t="shared" ref="X9:X12" si="3">IF(W10-W9&lt;0,W9-W10,W10-W9)</f>
        <v>0</v>
      </c>
    </row>
    <row r="10" spans="1:24" ht="15.75" thickBot="1" x14ac:dyDescent="0.25">
      <c r="A10" s="736">
        <v>4</v>
      </c>
      <c r="B10" s="737" t="str">
        <f>IF('Entries April 2026'!N10-'Entries April 2026'!N9&lt;1,"0",'Entries April 2026'!N10-'Entries April 2026'!N9)</f>
        <v>0</v>
      </c>
      <c r="C10" s="737" t="str">
        <f>IF('Entries April 2026'!L10-'Entries April 2026'!L9&lt;1,"0",'Entries April 2026'!L10-'Entries April 2026'!L9)</f>
        <v>0</v>
      </c>
      <c r="D10" s="737" t="str">
        <f>IF('Entries April 2026'!M10-'Entries April 2026'!M9&lt;1,"0",'Entries April 2026'!M10-'Entries April 2026'!M9)</f>
        <v>0</v>
      </c>
      <c r="E10" s="737">
        <v>0</v>
      </c>
      <c r="F10" s="739">
        <v>0</v>
      </c>
      <c r="G10" s="338" t="str">
        <f t="shared" si="0"/>
        <v>0</v>
      </c>
      <c r="I10" s="442">
        <v>50</v>
      </c>
      <c r="J10" s="443">
        <v>7941</v>
      </c>
      <c r="K10" s="444">
        <f t="shared" si="1"/>
        <v>3601.9763923355599</v>
      </c>
      <c r="M10" s="429"/>
      <c r="N10" s="429"/>
      <c r="O10" s="430"/>
      <c r="P10" s="430"/>
      <c r="Q10" s="452">
        <v>45873</v>
      </c>
      <c r="R10" s="456">
        <f>'Entries April 2026'!AL9</f>
        <v>0</v>
      </c>
      <c r="S10" s="461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66">
        <f>'Entries April 2026'!AM8</f>
        <v>0</v>
      </c>
      <c r="U10" s="463">
        <f>'Entries April 2026'!AN8</f>
        <v>0</v>
      </c>
      <c r="V10" s="455">
        <f>'Entries April 2026'!AO8/2.204623</f>
        <v>0</v>
      </c>
      <c r="W10" s="445">
        <f t="shared" si="2"/>
        <v>0</v>
      </c>
      <c r="X10" s="446">
        <f t="shared" si="3"/>
        <v>0</v>
      </c>
    </row>
    <row r="11" spans="1:24" ht="15.75" thickBot="1" x14ac:dyDescent="0.25">
      <c r="A11" s="736">
        <v>5</v>
      </c>
      <c r="B11" s="737" t="str">
        <f>IF('Entries April 2026'!N11-'Entries April 2026'!N10&lt;1,"0",'Entries April 2026'!N11-'Entries April 2026'!N10)</f>
        <v>0</v>
      </c>
      <c r="C11" s="737" t="str">
        <f>IF('Entries April 2026'!L11-'Entries April 2026'!L10&lt;1,"0",'Entries April 2026'!L11-'Entries April 2026'!L10)</f>
        <v>0</v>
      </c>
      <c r="D11" s="737" t="str">
        <f>IF('Entries April 2026'!M11-'Entries April 2026'!M10&lt;1,"0",'Entries April 2026'!M11-'Entries April 2026'!M10)</f>
        <v>0</v>
      </c>
      <c r="E11" s="737">
        <v>0</v>
      </c>
      <c r="F11" s="739">
        <v>0</v>
      </c>
      <c r="G11" s="338" t="str">
        <f t="shared" si="0"/>
        <v>0</v>
      </c>
      <c r="I11" s="442">
        <v>60</v>
      </c>
      <c r="J11" s="443">
        <v>9739</v>
      </c>
      <c r="K11" s="444">
        <f t="shared" si="1"/>
        <v>4417.5353337055813</v>
      </c>
      <c r="M11" s="429"/>
      <c r="N11" s="429"/>
      <c r="O11" s="430"/>
      <c r="P11" s="430"/>
      <c r="Q11" s="452">
        <v>45874</v>
      </c>
      <c r="R11" s="456">
        <f>'Entries April 2026'!AL10</f>
        <v>0</v>
      </c>
      <c r="S11" s="461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66">
        <f>'Entries April 2026'!AM9</f>
        <v>0</v>
      </c>
      <c r="U11" s="463">
        <f>'Entries April 2026'!AN9</f>
        <v>0</v>
      </c>
      <c r="V11" s="455">
        <f>'Entries April 2026'!AO9/2.204623</f>
        <v>0</v>
      </c>
      <c r="W11" s="445">
        <f t="shared" si="2"/>
        <v>0</v>
      </c>
      <c r="X11" s="446">
        <f t="shared" si="3"/>
        <v>0</v>
      </c>
    </row>
    <row r="12" spans="1:24" ht="15.75" thickBot="1" x14ac:dyDescent="0.25">
      <c r="A12" s="736">
        <v>6</v>
      </c>
      <c r="B12" s="737" t="str">
        <f>IF('Entries April 2026'!N12-'Entries April 2026'!N11&lt;1,"0",'Entries April 2026'!N12-'Entries April 2026'!N11)</f>
        <v>0</v>
      </c>
      <c r="C12" s="737" t="str">
        <f>IF('Entries April 2026'!L12-'Entries April 2026'!L11&lt;1,"0",'Entries April 2026'!L12-'Entries April 2026'!L11)</f>
        <v>0</v>
      </c>
      <c r="D12" s="737" t="str">
        <f>IF('Entries April 2026'!M12-'Entries April 2026'!M11&lt;1,"0",'Entries April 2026'!M12-'Entries April 2026'!M11)</f>
        <v>0</v>
      </c>
      <c r="E12" s="737">
        <v>600</v>
      </c>
      <c r="F12" s="739">
        <v>0</v>
      </c>
      <c r="G12" s="338" t="str">
        <f>IF(F12=0,"0",(E12/F12))</f>
        <v>0</v>
      </c>
      <c r="I12" s="442">
        <v>70</v>
      </c>
      <c r="J12" s="443">
        <v>11537</v>
      </c>
      <c r="K12" s="444">
        <f t="shared" si="1"/>
        <v>5233.0942750756021</v>
      </c>
      <c r="M12" s="429"/>
      <c r="N12" s="429"/>
      <c r="O12" s="430"/>
      <c r="P12" s="430"/>
      <c r="Q12" s="452">
        <v>45875</v>
      </c>
      <c r="R12" s="456">
        <f>'Entries April 2026'!AL11</f>
        <v>0</v>
      </c>
      <c r="S12" s="461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66">
        <f>'Entries April 2026'!AM10</f>
        <v>0</v>
      </c>
      <c r="U12" s="463">
        <f>'Entries April 2026'!AN10</f>
        <v>0</v>
      </c>
      <c r="V12" s="455">
        <f>'Entries April 2026'!AO10/2.204623</f>
        <v>0</v>
      </c>
      <c r="W12" s="445">
        <f t="shared" si="2"/>
        <v>0</v>
      </c>
      <c r="X12" s="446">
        <f t="shared" si="3"/>
        <v>0</v>
      </c>
    </row>
    <row r="13" spans="1:24" ht="15.75" thickBot="1" x14ac:dyDescent="0.25">
      <c r="A13" s="736">
        <v>7</v>
      </c>
      <c r="B13" s="737">
        <f>IF('Entries April 2026'!N13-'Entries April 2026'!N12&lt;1,"0",'Entries April 2026'!N13-'Entries April 2026'!N12)</f>
        <v>136.22000000000116</v>
      </c>
      <c r="C13" s="737">
        <f>IF('Entries April 2026'!L13-'Entries April 2026'!L12&lt;1,"0",'Entries April 2026'!L13-'Entries April 2026'!L12)</f>
        <v>27.580000000001746</v>
      </c>
      <c r="D13" s="737">
        <f>IF('Entries April 2026'!M13-'Entries April 2026'!M12&lt;1,"0",'Entries April 2026'!M13-'Entries April 2026'!M12)</f>
        <v>672.97999999998137</v>
      </c>
      <c r="E13" s="737">
        <v>700</v>
      </c>
      <c r="F13" s="739">
        <v>71.14800000000001</v>
      </c>
      <c r="G13" s="338">
        <f t="shared" si="0"/>
        <v>9.8386462022825647</v>
      </c>
      <c r="I13" s="442">
        <v>80</v>
      </c>
      <c r="J13" s="443">
        <v>13335</v>
      </c>
      <c r="K13" s="444">
        <f t="shared" si="1"/>
        <v>6048.653216445623</v>
      </c>
      <c r="M13" s="429"/>
      <c r="N13" s="429"/>
      <c r="O13" s="430"/>
      <c r="P13" s="430"/>
      <c r="Q13" s="452">
        <v>45876</v>
      </c>
      <c r="R13" s="456">
        <f>'Entries April 2026'!AL12</f>
        <v>0</v>
      </c>
      <c r="S13" s="461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66">
        <f>'Entries April 2026'!AM11</f>
        <v>0</v>
      </c>
      <c r="U13" s="463">
        <f>'Entries April 2026'!AN11</f>
        <v>0</v>
      </c>
      <c r="V13" s="455">
        <f>'Entries April 2026'!AO11/2.204623</f>
        <v>0</v>
      </c>
      <c r="W13" s="445">
        <f t="shared" si="2"/>
        <v>0</v>
      </c>
      <c r="X13" s="446"/>
    </row>
    <row r="14" spans="1:24" ht="15.75" thickBot="1" x14ac:dyDescent="0.25">
      <c r="A14" s="736">
        <v>8</v>
      </c>
      <c r="B14" s="737">
        <f>IF('Entries April 2026'!N14-'Entries April 2026'!N13&lt;1,"0",'Entries April 2026'!N14-'Entries April 2026'!N13)</f>
        <v>317.34000000000378</v>
      </c>
      <c r="C14" s="737">
        <f>IF('Entries April 2026'!L14-'Entries April 2026'!L13&lt;1,"0",'Entries April 2026'!L14-'Entries April 2026'!L13)</f>
        <v>159.61000000000058</v>
      </c>
      <c r="D14" s="737">
        <f>IF('Entries April 2026'!M14-'Entries April 2026'!M13&lt;1,"0",'Entries April 2026'!M14-'Entries April 2026'!M13)</f>
        <v>3112.1500000000233</v>
      </c>
      <c r="E14" s="737">
        <v>3700</v>
      </c>
      <c r="F14" s="739">
        <v>602.77800000000002</v>
      </c>
      <c r="G14" s="338">
        <f t="shared" si="0"/>
        <v>6.1382465849782175</v>
      </c>
      <c r="I14" s="442">
        <v>90</v>
      </c>
      <c r="J14" s="443">
        <v>15134</v>
      </c>
      <c r="K14" s="444">
        <f t="shared" si="1"/>
        <v>6864.6657501078407</v>
      </c>
      <c r="M14" s="429"/>
      <c r="N14" s="429"/>
      <c r="O14" s="430"/>
      <c r="P14" s="430"/>
      <c r="Q14" s="452">
        <v>45877</v>
      </c>
      <c r="R14" s="456">
        <f>'Entries April 2026'!AL13</f>
        <v>0</v>
      </c>
      <c r="S14" s="461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66">
        <f>'Entries April 2026'!AM12</f>
        <v>0</v>
      </c>
      <c r="U14" s="463">
        <f>'Entries April 2026'!AN12</f>
        <v>0</v>
      </c>
      <c r="V14" s="455">
        <f>'Entries April 2026'!AO12/2.204623</f>
        <v>0</v>
      </c>
      <c r="W14" s="445">
        <f t="shared" si="2"/>
        <v>0</v>
      </c>
      <c r="X14" s="446">
        <f>W14-S15</f>
        <v>0</v>
      </c>
    </row>
    <row r="15" spans="1:24" ht="15.75" thickBot="1" x14ac:dyDescent="0.25">
      <c r="A15" s="736">
        <v>9</v>
      </c>
      <c r="B15" s="737">
        <f>IF('Entries April 2026'!N15-'Entries April 2026'!N14&lt;1,"0",'Entries April 2026'!N15-'Entries April 2026'!N14)</f>
        <v>408.63999999999942</v>
      </c>
      <c r="C15" s="737">
        <f>IF('Entries April 2026'!L15-'Entries April 2026'!L14&lt;1,"0",'Entries April 2026'!L15-'Entries April 2026'!L14)</f>
        <v>274.72999999999956</v>
      </c>
      <c r="D15" s="737">
        <f>IF('Entries April 2026'!M15-'Entries April 2026'!M14&lt;1,"0",'Entries April 2026'!M15-'Entries April 2026'!M14)</f>
        <v>3511.679999999993</v>
      </c>
      <c r="E15" s="737">
        <v>4000</v>
      </c>
      <c r="F15" s="739">
        <v>651.42000000000007</v>
      </c>
      <c r="G15" s="338">
        <f t="shared" si="0"/>
        <v>6.1404316723465655</v>
      </c>
      <c r="I15" s="442">
        <v>100</v>
      </c>
      <c r="J15" s="443">
        <v>16932</v>
      </c>
      <c r="K15" s="444">
        <f t="shared" si="1"/>
        <v>7680.2246914778616</v>
      </c>
      <c r="M15" s="429"/>
      <c r="N15" s="429"/>
      <c r="O15" s="430"/>
      <c r="P15" s="430"/>
      <c r="Q15" s="452">
        <v>45878</v>
      </c>
      <c r="R15" s="456">
        <f>'Entries April 2026'!AL14</f>
        <v>0</v>
      </c>
      <c r="S15" s="461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66">
        <f>'Entries April 2026'!AM13</f>
        <v>0</v>
      </c>
      <c r="U15" s="463">
        <f>'Entries April 2026'!AN13</f>
        <v>0</v>
      </c>
      <c r="V15" s="455">
        <f>'Entries April 2026'!AO13/2.204623</f>
        <v>0</v>
      </c>
      <c r="W15" s="445">
        <f t="shared" si="2"/>
        <v>0</v>
      </c>
      <c r="X15" s="446"/>
    </row>
    <row r="16" spans="1:24" ht="15.75" thickBot="1" x14ac:dyDescent="0.25">
      <c r="A16" s="736">
        <v>10</v>
      </c>
      <c r="B16" s="737">
        <f>IF('Entries April 2026'!N16-'Entries April 2026'!N15&lt;1,"0",'Entries April 2026'!N16-'Entries April 2026'!N15)</f>
        <v>286.47999999999593</v>
      </c>
      <c r="C16" s="737">
        <f>IF('Entries April 2026'!L16-'Entries April 2026'!L15&lt;1,"0",'Entries April 2026'!L16-'Entries April 2026'!L15)</f>
        <v>335.48999999999796</v>
      </c>
      <c r="D16" s="737">
        <f>IF('Entries April 2026'!M16-'Entries April 2026'!M15&lt;1,"0",'Entries April 2026'!M16-'Entries April 2026'!M15)</f>
        <v>3094.1900000000023</v>
      </c>
      <c r="E16" s="737">
        <v>0</v>
      </c>
      <c r="F16" s="739">
        <v>427.48200000000003</v>
      </c>
      <c r="G16" s="338">
        <f t="shared" si="0"/>
        <v>0</v>
      </c>
      <c r="I16" s="442">
        <v>110</v>
      </c>
      <c r="J16" s="443">
        <v>18730</v>
      </c>
      <c r="K16" s="444">
        <f t="shared" si="1"/>
        <v>8495.7836328478825</v>
      </c>
      <c r="M16" s="429"/>
      <c r="N16" s="429"/>
      <c r="O16" s="430"/>
      <c r="P16" s="430"/>
      <c r="Q16" s="452">
        <v>45879</v>
      </c>
      <c r="R16" s="456">
        <f>'Entries April 2026'!AL15</f>
        <v>0</v>
      </c>
      <c r="S16" s="461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66">
        <f>'Entries April 2026'!AM14</f>
        <v>0</v>
      </c>
      <c r="U16" s="463">
        <f>'Entries April 2026'!AN14</f>
        <v>0</v>
      </c>
      <c r="V16" s="455">
        <f>'Entries April 2026'!AO14/2.204623</f>
        <v>0</v>
      </c>
      <c r="W16" s="445">
        <f t="shared" si="2"/>
        <v>0</v>
      </c>
      <c r="X16" s="446">
        <f t="shared" ref="X16:X38" si="4">IF(W17-W16&lt;0,W16-W17,W17-W16)</f>
        <v>0</v>
      </c>
    </row>
    <row r="17" spans="1:24" ht="15.75" thickBot="1" x14ac:dyDescent="0.25">
      <c r="A17" s="736">
        <v>11</v>
      </c>
      <c r="B17" s="737" t="str">
        <f>IF('Entries April 2026'!N17-'Entries April 2026'!N16&lt;1,"0",'Entries April 2026'!N17-'Entries April 2026'!N16)</f>
        <v>0</v>
      </c>
      <c r="C17" s="737" t="str">
        <f>IF('Entries April 2026'!L17-'Entries April 2026'!L16&lt;1,"0",'Entries April 2026'!L17-'Entries April 2026'!L16)</f>
        <v>0</v>
      </c>
      <c r="D17" s="737" t="str">
        <f>IF('Entries April 2026'!M17-'Entries April 2026'!M16&lt;1,"0",'Entries April 2026'!M17-'Entries April 2026'!M16)</f>
        <v>0</v>
      </c>
      <c r="E17" s="737">
        <v>0</v>
      </c>
      <c r="F17" s="739">
        <v>0</v>
      </c>
      <c r="G17" s="338" t="str">
        <f t="shared" si="0"/>
        <v>0</v>
      </c>
      <c r="I17" s="442">
        <v>120</v>
      </c>
      <c r="J17" s="443">
        <v>20528</v>
      </c>
      <c r="K17" s="444">
        <f t="shared" si="1"/>
        <v>9311.3425742179043</v>
      </c>
      <c r="M17" s="429"/>
      <c r="N17" s="429"/>
      <c r="O17" s="430"/>
      <c r="P17" s="430"/>
      <c r="Q17" s="452">
        <v>45880</v>
      </c>
      <c r="R17" s="456">
        <f>'Entries April 2026'!AL16</f>
        <v>0</v>
      </c>
      <c r="S17" s="461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66">
        <f>'Entries April 2026'!AM15</f>
        <v>0</v>
      </c>
      <c r="U17" s="463">
        <f>'Entries April 2026'!AN15</f>
        <v>0</v>
      </c>
      <c r="V17" s="455">
        <f>'Entries April 2026'!AO15/2.204623</f>
        <v>0</v>
      </c>
      <c r="W17" s="445">
        <f>S17+T17+U17+V17</f>
        <v>0</v>
      </c>
      <c r="X17" s="446">
        <f t="shared" si="4"/>
        <v>0</v>
      </c>
    </row>
    <row r="18" spans="1:24" ht="15.75" thickBot="1" x14ac:dyDescent="0.25">
      <c r="A18" s="736">
        <v>12</v>
      </c>
      <c r="B18" s="737" t="str">
        <f>IF('Entries April 2026'!N18-'Entries April 2026'!N17&lt;1,"0",'Entries April 2026'!N18-'Entries April 2026'!N17)</f>
        <v>0</v>
      </c>
      <c r="C18" s="737" t="str">
        <f>IF('Entries April 2026'!L18-'Entries April 2026'!L17&lt;1,"0",'Entries April 2026'!L18-'Entries April 2026'!L17)</f>
        <v>0</v>
      </c>
      <c r="D18" s="737" t="str">
        <f>IF('Entries April 2026'!M18-'Entries April 2026'!M17&lt;1,"0",'Entries April 2026'!M18-'Entries April 2026'!M17)</f>
        <v>0</v>
      </c>
      <c r="E18" s="737">
        <v>0</v>
      </c>
      <c r="F18" s="739">
        <v>0</v>
      </c>
      <c r="G18" s="338" t="str">
        <f t="shared" si="0"/>
        <v>0</v>
      </c>
      <c r="I18" s="442">
        <v>130</v>
      </c>
      <c r="J18" s="443">
        <v>22326</v>
      </c>
      <c r="K18" s="444">
        <f t="shared" si="1"/>
        <v>10126.901515587924</v>
      </c>
      <c r="M18" s="429"/>
      <c r="N18" s="429"/>
      <c r="O18" s="430"/>
      <c r="P18" s="430"/>
      <c r="Q18" s="452">
        <v>45881</v>
      </c>
      <c r="R18" s="456">
        <f>'Entries April 2026'!AL17</f>
        <v>0</v>
      </c>
      <c r="S18" s="461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66">
        <f>'Entries April 2026'!AM16</f>
        <v>0</v>
      </c>
      <c r="U18" s="463">
        <f>'Entries April 2026'!AN16</f>
        <v>0</v>
      </c>
      <c r="V18" s="455">
        <f>'Entries April 2026'!AO16/2.204623</f>
        <v>0</v>
      </c>
      <c r="W18" s="445">
        <f t="shared" si="2"/>
        <v>0</v>
      </c>
      <c r="X18" s="446">
        <f t="shared" si="4"/>
        <v>0</v>
      </c>
    </row>
    <row r="19" spans="1:24" ht="15.75" thickBot="1" x14ac:dyDescent="0.25">
      <c r="A19" s="736">
        <v>13</v>
      </c>
      <c r="B19" s="737">
        <f>IF('Entries April 2026'!N19-'Entries April 2026'!N18&lt;1,"0",'Entries April 2026'!N19-'Entries April 2026'!N18)</f>
        <v>272.67000000000553</v>
      </c>
      <c r="C19" s="737">
        <f>IF('Entries April 2026'!L19-'Entries April 2026'!L18&lt;1,"0",'Entries April 2026'!L19-'Entries April 2026'!L18)</f>
        <v>111.03000000000247</v>
      </c>
      <c r="D19" s="737">
        <f>IF('Entries April 2026'!M19-'Entries April 2026'!M18&lt;1,"0",'Entries April 2026'!M19-'Entries April 2026'!M18)</f>
        <v>2093.3099999999977</v>
      </c>
      <c r="E19" s="737">
        <v>2600</v>
      </c>
      <c r="F19" s="739">
        <v>418.04400000000004</v>
      </c>
      <c r="G19" s="338">
        <f t="shared" si="0"/>
        <v>6.2194410157782425</v>
      </c>
      <c r="I19" s="442">
        <v>140</v>
      </c>
      <c r="J19" s="443">
        <v>24125</v>
      </c>
      <c r="K19" s="444">
        <f t="shared" si="1"/>
        <v>10942.914049250143</v>
      </c>
      <c r="M19" s="429"/>
      <c r="N19" s="429"/>
      <c r="O19" s="430"/>
      <c r="P19" s="430"/>
      <c r="Q19" s="452">
        <v>45882</v>
      </c>
      <c r="R19" s="456">
        <f>'Entries April 2026'!AL18</f>
        <v>0</v>
      </c>
      <c r="S19" s="461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66">
        <f>'Entries April 2026'!AM17</f>
        <v>0</v>
      </c>
      <c r="U19" s="463">
        <f>'Entries April 2026'!AN17</f>
        <v>0</v>
      </c>
      <c r="V19" s="455">
        <f>'Entries April 2026'!AO17/2.204623</f>
        <v>0</v>
      </c>
      <c r="W19" s="445">
        <f t="shared" si="2"/>
        <v>0</v>
      </c>
      <c r="X19" s="446">
        <f t="shared" si="4"/>
        <v>0</v>
      </c>
    </row>
    <row r="20" spans="1:24" ht="15.75" thickBot="1" x14ac:dyDescent="0.25">
      <c r="A20" s="736">
        <v>14</v>
      </c>
      <c r="B20" s="737">
        <f>IF('Entries April 2026'!N20-'Entries April 2026'!N19&lt;1,"0",'Entries April 2026'!N20-'Entries April 2026'!N19)</f>
        <v>257.64999999999418</v>
      </c>
      <c r="C20" s="737">
        <f>IF('Entries April 2026'!L20-'Entries April 2026'!L19&lt;1,"0",'Entries April 2026'!L20-'Entries April 2026'!L19)</f>
        <v>104.28999999999724</v>
      </c>
      <c r="D20" s="737">
        <f>IF('Entries April 2026'!M20-'Entries April 2026'!M19&lt;1,"0",'Entries April 2026'!M20-'Entries April 2026'!M19)</f>
        <v>2123.5</v>
      </c>
      <c r="E20" s="737">
        <v>2000</v>
      </c>
      <c r="F20" s="739">
        <v>398.178</v>
      </c>
      <c r="G20" s="338">
        <f t="shared" si="0"/>
        <v>5.0228792148235213</v>
      </c>
      <c r="I20" s="442">
        <v>150</v>
      </c>
      <c r="J20" s="443">
        <v>25923</v>
      </c>
      <c r="K20" s="444">
        <f t="shared" si="1"/>
        <v>11758.472990620165</v>
      </c>
      <c r="M20" s="429"/>
      <c r="N20" s="429"/>
      <c r="O20" s="430"/>
      <c r="P20" s="430"/>
      <c r="Q20" s="452">
        <v>45883</v>
      </c>
      <c r="R20" s="456">
        <f>'Entries April 2026'!AL19</f>
        <v>0</v>
      </c>
      <c r="S20" s="461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66">
        <f>'Entries April 2026'!AM18</f>
        <v>0</v>
      </c>
      <c r="U20" s="463">
        <f>'Entries April 2026'!AN18</f>
        <v>0</v>
      </c>
      <c r="V20" s="455">
        <f>'Entries April 2026'!AO18/2.204623</f>
        <v>0</v>
      </c>
      <c r="W20" s="445">
        <f t="shared" si="2"/>
        <v>0</v>
      </c>
      <c r="X20" s="446">
        <f t="shared" si="4"/>
        <v>0</v>
      </c>
    </row>
    <row r="21" spans="1:24" ht="15.75" thickBot="1" x14ac:dyDescent="0.25">
      <c r="A21" s="736">
        <v>15</v>
      </c>
      <c r="B21" s="737">
        <f>IF('Entries April 2026'!N21-'Entries April 2026'!N20&lt;1,"0",'Entries April 2026'!N21-'Entries April 2026'!N20)</f>
        <v>331.28000000000611</v>
      </c>
      <c r="C21" s="737">
        <f>IF('Entries April 2026'!L21-'Entries April 2026'!L20&lt;1,"0",'Entries April 2026'!L21-'Entries April 2026'!L20)</f>
        <v>164.25</v>
      </c>
      <c r="D21" s="737">
        <f>IF('Entries April 2026'!M21-'Entries April 2026'!M20&lt;1,"0",'Entries April 2026'!M21-'Entries April 2026'!M20)</f>
        <v>2343.9199999999837</v>
      </c>
      <c r="E21" s="737">
        <v>2600</v>
      </c>
      <c r="F21" s="739">
        <v>489.786</v>
      </c>
      <c r="G21" s="338">
        <f t="shared" si="0"/>
        <v>5.3084408292601255</v>
      </c>
      <c r="I21" s="442">
        <v>160</v>
      </c>
      <c r="J21" s="443">
        <v>27721</v>
      </c>
      <c r="K21" s="444">
        <f t="shared" si="1"/>
        <v>12574.031931990185</v>
      </c>
      <c r="M21" s="429"/>
      <c r="N21" s="429"/>
      <c r="O21" s="430"/>
      <c r="P21" s="430"/>
      <c r="Q21" s="452">
        <v>45884</v>
      </c>
      <c r="R21" s="456">
        <f>'Entries April 2026'!AL20</f>
        <v>0</v>
      </c>
      <c r="S21" s="461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66">
        <f>'Entries April 2026'!AM19</f>
        <v>0</v>
      </c>
      <c r="U21" s="463">
        <f>'Entries April 2026'!AN19</f>
        <v>0</v>
      </c>
      <c r="V21" s="455">
        <f>'Entries April 2026'!AO19/2.204623</f>
        <v>0</v>
      </c>
      <c r="W21" s="445">
        <f t="shared" si="2"/>
        <v>0</v>
      </c>
      <c r="X21" s="446">
        <f t="shared" si="4"/>
        <v>0</v>
      </c>
    </row>
    <row r="22" spans="1:24" ht="15.75" thickBot="1" x14ac:dyDescent="0.25">
      <c r="A22" s="736">
        <v>16</v>
      </c>
      <c r="B22" s="737">
        <f>IF('Entries April 2026'!N22-'Entries April 2026'!N21&lt;1,"0",'Entries April 2026'!N22-'Entries April 2026'!N21)</f>
        <v>356.82999999999447</v>
      </c>
      <c r="C22" s="737">
        <f>IF('Entries April 2026'!L22-'Entries April 2026'!L21&lt;1,"0",'Entries April 2026'!L22-'Entries April 2026'!L21)</f>
        <v>203.38000000000102</v>
      </c>
      <c r="D22" s="737">
        <f>IF('Entries April 2026'!M22-'Entries April 2026'!M21&lt;1,"0",'Entries April 2026'!M22-'Entries April 2026'!M21)</f>
        <v>2492.7300000000396</v>
      </c>
      <c r="E22" s="737">
        <v>2100</v>
      </c>
      <c r="F22" s="739">
        <v>622.51200000000006</v>
      </c>
      <c r="G22" s="338">
        <f t="shared" si="0"/>
        <v>3.3734289459480298</v>
      </c>
      <c r="I22" s="442">
        <v>170</v>
      </c>
      <c r="J22" s="443">
        <v>29519</v>
      </c>
      <c r="K22" s="444">
        <f t="shared" si="1"/>
        <v>13389.590873360206</v>
      </c>
      <c r="M22" s="429"/>
      <c r="N22" s="429"/>
      <c r="O22" s="430"/>
      <c r="P22" s="430"/>
      <c r="Q22" s="452">
        <v>45885</v>
      </c>
      <c r="R22" s="456">
        <f>'Entries April 2026'!AL21</f>
        <v>0</v>
      </c>
      <c r="S22" s="461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66">
        <f>'Entries April 2026'!AM20</f>
        <v>0</v>
      </c>
      <c r="U22" s="463">
        <f>'Entries April 2026'!AN20</f>
        <v>0</v>
      </c>
      <c r="V22" s="455">
        <f>'Entries April 2026'!AO20/2.204623</f>
        <v>0</v>
      </c>
      <c r="W22" s="445">
        <f t="shared" si="2"/>
        <v>0</v>
      </c>
      <c r="X22" s="446">
        <f t="shared" si="4"/>
        <v>0</v>
      </c>
    </row>
    <row r="23" spans="1:24" ht="15.75" thickBot="1" x14ac:dyDescent="0.25">
      <c r="A23" s="736">
        <v>17</v>
      </c>
      <c r="B23" s="737">
        <f>IF('Entries April 2026'!N23-'Entries April 2026'!N22&lt;1,"0",'Entries April 2026'!N23-'Entries April 2026'!N22)</f>
        <v>199.20999999999913</v>
      </c>
      <c r="C23" s="737">
        <f>IF('Entries April 2026'!L23-'Entries April 2026'!L22&lt;1,"0",'Entries April 2026'!L23-'Entries April 2026'!L22)</f>
        <v>32.700000000000728</v>
      </c>
      <c r="D23" s="737">
        <f>IF('Entries April 2026'!M23-'Entries April 2026'!M22&lt;1,"0",'Entries April 2026'!M23-'Entries April 2026'!M22)</f>
        <v>1931.8499999999767</v>
      </c>
      <c r="E23" s="737">
        <v>1600</v>
      </c>
      <c r="F23" s="739">
        <v>330.59399999999999</v>
      </c>
      <c r="G23" s="338">
        <f t="shared" si="0"/>
        <v>4.8397732566229275</v>
      </c>
      <c r="I23" s="442">
        <v>180</v>
      </c>
      <c r="J23" s="443">
        <v>31317</v>
      </c>
      <c r="K23" s="444">
        <f t="shared" si="1"/>
        <v>14205.149814730226</v>
      </c>
      <c r="M23" s="429"/>
      <c r="N23" s="429"/>
      <c r="O23" s="430"/>
      <c r="P23" s="430"/>
      <c r="Q23" s="452">
        <v>45886</v>
      </c>
      <c r="R23" s="456">
        <f>'Entries April 2026'!AL22</f>
        <v>0</v>
      </c>
      <c r="S23" s="461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66">
        <f>'Entries April 2026'!AM21</f>
        <v>0</v>
      </c>
      <c r="U23" s="463">
        <f>'Entries April 2026'!AN21</f>
        <v>0</v>
      </c>
      <c r="V23" s="455">
        <f>'Entries April 2026'!AO21/2.204623</f>
        <v>0</v>
      </c>
      <c r="W23" s="445">
        <f t="shared" si="2"/>
        <v>0</v>
      </c>
      <c r="X23" s="446">
        <f t="shared" si="4"/>
        <v>0</v>
      </c>
    </row>
    <row r="24" spans="1:24" ht="15.75" thickBot="1" x14ac:dyDescent="0.25">
      <c r="A24" s="736">
        <v>18</v>
      </c>
      <c r="B24" s="737" t="str">
        <f>IF('Entries April 2026'!N24-'Entries April 2026'!N23&lt;1,"0",'Entries April 2026'!N24-'Entries April 2026'!N23)</f>
        <v>0</v>
      </c>
      <c r="C24" s="737" t="str">
        <f>IF('Entries April 2026'!L24-'Entries April 2026'!L23&lt;1,"0",'Entries April 2026'!L24-'Entries April 2026'!L23)</f>
        <v>0</v>
      </c>
      <c r="D24" s="737" t="str">
        <f>IF('Entries April 2026'!M24-'Entries April 2026'!M23&lt;1,"0",'Entries April 2026'!M24-'Entries April 2026'!M23)</f>
        <v>0</v>
      </c>
      <c r="E24" s="737">
        <v>0</v>
      </c>
      <c r="F24" s="739">
        <v>0</v>
      </c>
      <c r="G24" s="338" t="str">
        <f t="shared" si="0"/>
        <v>0</v>
      </c>
      <c r="I24" s="442">
        <v>190</v>
      </c>
      <c r="J24" s="443">
        <v>33116</v>
      </c>
      <c r="K24" s="444">
        <f t="shared" si="1"/>
        <v>15021.162348392445</v>
      </c>
      <c r="M24" s="429"/>
      <c r="N24" s="429"/>
      <c r="O24" s="430"/>
      <c r="P24" s="430"/>
      <c r="Q24" s="452">
        <v>45887</v>
      </c>
      <c r="R24" s="456">
        <f>'Entries April 2026'!AL23</f>
        <v>0</v>
      </c>
      <c r="S24" s="461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66">
        <f>'Entries April 2026'!AM22</f>
        <v>0</v>
      </c>
      <c r="U24" s="463">
        <f>'Entries April 2026'!AN22</f>
        <v>0</v>
      </c>
      <c r="V24" s="455">
        <f>'Entries April 2026'!AO22/2.204623</f>
        <v>0</v>
      </c>
      <c r="W24" s="445">
        <f t="shared" si="2"/>
        <v>0</v>
      </c>
      <c r="X24" s="446">
        <f t="shared" si="4"/>
        <v>0</v>
      </c>
    </row>
    <row r="25" spans="1:24" ht="15.75" thickBot="1" x14ac:dyDescent="0.25">
      <c r="A25" s="736">
        <v>19</v>
      </c>
      <c r="B25" s="737" t="str">
        <f>IF('Entries April 2026'!N25-'Entries April 2026'!N24&lt;1,"0",'Entries April 2026'!N25-'Entries April 2026'!N24)</f>
        <v>0</v>
      </c>
      <c r="C25" s="737" t="str">
        <f>IF('Entries April 2026'!L25-'Entries April 2026'!L24&lt;1,"0",'Entries April 2026'!L25-'Entries April 2026'!L24)</f>
        <v>0</v>
      </c>
      <c r="D25" s="737" t="str">
        <f>IF('Entries April 2026'!M25-'Entries April 2026'!M24&lt;1,"0",'Entries April 2026'!M25-'Entries April 2026'!M24)</f>
        <v>0</v>
      </c>
      <c r="E25" s="737">
        <v>1600</v>
      </c>
      <c r="F25" s="739">
        <v>0</v>
      </c>
      <c r="G25" s="338" t="str">
        <f t="shared" si="0"/>
        <v>0</v>
      </c>
      <c r="I25" s="442">
        <v>200</v>
      </c>
      <c r="J25" s="443">
        <v>34914</v>
      </c>
      <c r="K25" s="444">
        <f t="shared" si="1"/>
        <v>15836.721289762465</v>
      </c>
      <c r="M25" s="429"/>
      <c r="N25" s="429"/>
      <c r="O25" s="430"/>
      <c r="P25" s="430"/>
      <c r="Q25" s="452">
        <v>45888</v>
      </c>
      <c r="R25" s="456">
        <f>'Entries April 2026'!AL24</f>
        <v>0</v>
      </c>
      <c r="S25" s="461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66">
        <f>'Entries April 2026'!AM23</f>
        <v>0</v>
      </c>
      <c r="U25" s="463">
        <f>'Entries April 2026'!AN23</f>
        <v>0</v>
      </c>
      <c r="V25" s="455">
        <f>'Entries April 2026'!AO23/2.204623</f>
        <v>0</v>
      </c>
      <c r="W25" s="445">
        <f t="shared" si="2"/>
        <v>0</v>
      </c>
      <c r="X25" s="446">
        <f t="shared" si="4"/>
        <v>0</v>
      </c>
    </row>
    <row r="26" spans="1:24" ht="15.75" thickBot="1" x14ac:dyDescent="0.25">
      <c r="A26" s="736">
        <v>20</v>
      </c>
      <c r="B26" s="737">
        <f>IF('Entries April 2026'!N26-'Entries April 2026'!N25&lt;1,"0",'Entries April 2026'!N26-'Entries April 2026'!N25)</f>
        <v>154.29000000000087</v>
      </c>
      <c r="C26" s="737">
        <f>IF('Entries April 2026'!L26-'Entries April 2026'!L25&lt;1,"0",'Entries April 2026'!L26-'Entries April 2026'!L25)</f>
        <v>109.71999999999753</v>
      </c>
      <c r="D26" s="737">
        <f>IF('Entries April 2026'!M26-'Entries April 2026'!M25&lt;1,"0",'Entries April 2026'!M26-'Entries April 2026'!M25)</f>
        <v>1606.9799999999814</v>
      </c>
      <c r="E26" s="737">
        <v>1600</v>
      </c>
      <c r="F26" s="739">
        <v>256.41000000000003</v>
      </c>
      <c r="G26" s="338">
        <f t="shared" si="0"/>
        <v>6.240006240006239</v>
      </c>
      <c r="I26" s="442">
        <v>210</v>
      </c>
      <c r="J26" s="443">
        <v>36712</v>
      </c>
      <c r="K26" s="444">
        <f t="shared" si="1"/>
        <v>16652.280231132489</v>
      </c>
      <c r="M26" s="429"/>
      <c r="N26" s="429"/>
      <c r="O26" s="430"/>
      <c r="P26" s="430"/>
      <c r="Q26" s="452">
        <v>45889</v>
      </c>
      <c r="R26" s="456">
        <f>'Entries April 2026'!AL25</f>
        <v>0</v>
      </c>
      <c r="S26" s="461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66">
        <f>'Entries April 2026'!AM24</f>
        <v>0</v>
      </c>
      <c r="U26" s="463">
        <f>'Entries April 2026'!AN24</f>
        <v>0</v>
      </c>
      <c r="V26" s="455">
        <f>'Entries April 2026'!AO24/2.204623</f>
        <v>0</v>
      </c>
      <c r="W26" s="445">
        <f t="shared" si="2"/>
        <v>0</v>
      </c>
      <c r="X26" s="446">
        <f t="shared" si="4"/>
        <v>0</v>
      </c>
    </row>
    <row r="27" spans="1:24" ht="15.75" thickBot="1" x14ac:dyDescent="0.25">
      <c r="A27" s="736">
        <v>21</v>
      </c>
      <c r="B27" s="737">
        <f>IF('Entries April 2026'!N27-'Entries April 2026'!N26&lt;1,"0",'Entries April 2026'!N27-'Entries April 2026'!N26)</f>
        <v>311.68000000000029</v>
      </c>
      <c r="C27" s="737">
        <f>IF('Entries April 2026'!L27-'Entries April 2026'!L26&lt;1,"0",'Entries April 2026'!L27-'Entries April 2026'!L26)</f>
        <v>118.9800000000032</v>
      </c>
      <c r="D27" s="737">
        <f>IF('Entries April 2026'!M27-'Entries April 2026'!M26&lt;1,"0",'Entries April 2026'!M27-'Entries April 2026'!M26)</f>
        <v>1961.0200000000186</v>
      </c>
      <c r="E27" s="737">
        <v>1700</v>
      </c>
      <c r="F27" s="739">
        <v>521.46600000000001</v>
      </c>
      <c r="G27" s="338">
        <f t="shared" si="0"/>
        <v>3.2600399642546205</v>
      </c>
      <c r="I27" s="442">
        <v>220</v>
      </c>
      <c r="J27" s="443">
        <v>38510</v>
      </c>
      <c r="K27" s="444">
        <f t="shared" si="1"/>
        <v>17467.839172502507</v>
      </c>
      <c r="M27" s="429"/>
      <c r="N27" s="429"/>
      <c r="O27" s="430"/>
      <c r="P27" s="430"/>
      <c r="Q27" s="452">
        <v>45890</v>
      </c>
      <c r="R27" s="456">
        <f>'Entries April 2026'!AL26</f>
        <v>0</v>
      </c>
      <c r="S27" s="461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66">
        <f>'Entries April 2026'!AM25</f>
        <v>0</v>
      </c>
      <c r="U27" s="463">
        <f>'Entries April 2026'!AN25</f>
        <v>0</v>
      </c>
      <c r="V27" s="455">
        <f>'Entries April 2026'!AO25/2.204623</f>
        <v>0</v>
      </c>
      <c r="W27" s="445">
        <f t="shared" si="2"/>
        <v>0</v>
      </c>
      <c r="X27" s="446">
        <f t="shared" si="4"/>
        <v>0</v>
      </c>
    </row>
    <row r="28" spans="1:24" ht="15.75" thickBot="1" x14ac:dyDescent="0.25">
      <c r="A28" s="736">
        <v>22</v>
      </c>
      <c r="B28" s="737">
        <f>IF('Entries April 2026'!N28-'Entries April 2026'!N27&lt;1,"0",'Entries April 2026'!N28-'Entries April 2026'!N27)</f>
        <v>303.60000000000582</v>
      </c>
      <c r="C28" s="737">
        <f>IF('Entries April 2026'!L28-'Entries April 2026'!L27&lt;1,"0",'Entries April 2026'!L28-'Entries April 2026'!L27)</f>
        <v>759.19999999999709</v>
      </c>
      <c r="D28" s="737">
        <f>IF('Entries April 2026'!M28-'Entries April 2026'!M27&lt;1,"0",'Entries April 2026'!M28-'Entries April 2026'!M27)</f>
        <v>3292.0900000000256</v>
      </c>
      <c r="E28" s="737">
        <v>3000</v>
      </c>
      <c r="F28" s="739">
        <v>517.30799999999999</v>
      </c>
      <c r="G28" s="338">
        <f t="shared" si="0"/>
        <v>5.7992530562063607</v>
      </c>
      <c r="I28" s="442">
        <v>230</v>
      </c>
      <c r="J28" s="443">
        <v>40308</v>
      </c>
      <c r="K28" s="444">
        <f t="shared" si="1"/>
        <v>18283.398113872528</v>
      </c>
      <c r="M28" s="429"/>
      <c r="N28" s="429"/>
      <c r="O28" s="430"/>
      <c r="P28" s="430"/>
      <c r="Q28" s="452">
        <v>45891</v>
      </c>
      <c r="R28" s="456">
        <f>'Entries April 2026'!AL27</f>
        <v>0</v>
      </c>
      <c r="S28" s="461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66">
        <f>'Entries April 2026'!AM26</f>
        <v>0</v>
      </c>
      <c r="U28" s="463">
        <f>'Entries April 2026'!AN26</f>
        <v>0</v>
      </c>
      <c r="V28" s="455">
        <f>'Entries April 2026'!AO26/2.204623</f>
        <v>0</v>
      </c>
      <c r="W28" s="445">
        <f t="shared" si="2"/>
        <v>0</v>
      </c>
      <c r="X28" s="446">
        <f t="shared" si="4"/>
        <v>0</v>
      </c>
    </row>
    <row r="29" spans="1:24" ht="15.75" thickBot="1" x14ac:dyDescent="0.25">
      <c r="A29" s="736">
        <v>23</v>
      </c>
      <c r="B29" s="737">
        <f>IF('Entries April 2026'!N29-'Entries April 2026'!N28&lt;1,"0",'Entries April 2026'!N29-'Entries April 2026'!N28)</f>
        <v>141.7899999999936</v>
      </c>
      <c r="C29" s="737">
        <f>IF('Entries April 2026'!L29-'Entries April 2026'!L28&lt;1,"0",'Entries April 2026'!L29-'Entries April 2026'!L28)</f>
        <v>170.01000000000204</v>
      </c>
      <c r="D29" s="737">
        <f>IF('Entries April 2026'!M29-'Entries April 2026'!M28&lt;1,"0",'Entries April 2026'!M29-'Entries April 2026'!M28)</f>
        <v>1349.8799999999464</v>
      </c>
      <c r="E29" s="737">
        <v>1600</v>
      </c>
      <c r="F29" s="739">
        <v>241.69200000000001</v>
      </c>
      <c r="G29" s="338">
        <f t="shared" si="0"/>
        <v>6.6199956970027971</v>
      </c>
      <c r="I29" s="442">
        <v>240</v>
      </c>
      <c r="J29" s="443">
        <v>42107</v>
      </c>
      <c r="K29" s="444">
        <f t="shared" si="1"/>
        <v>19099.410647534747</v>
      </c>
      <c r="M29" s="429"/>
      <c r="N29" s="429"/>
      <c r="O29" s="430"/>
      <c r="P29" s="430"/>
      <c r="Q29" s="452">
        <v>45892</v>
      </c>
      <c r="R29" s="456">
        <f>'Entries April 2026'!AL28</f>
        <v>0</v>
      </c>
      <c r="S29" s="461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66">
        <f>'Entries April 2026'!AM27</f>
        <v>0</v>
      </c>
      <c r="U29" s="463">
        <f>'Entries April 2026'!AN27</f>
        <v>0</v>
      </c>
      <c r="V29" s="455">
        <f>'Entries April 2026'!AO27/2.204623</f>
        <v>0</v>
      </c>
      <c r="W29" s="445">
        <f t="shared" si="2"/>
        <v>0</v>
      </c>
      <c r="X29" s="446">
        <f t="shared" si="4"/>
        <v>0</v>
      </c>
    </row>
    <row r="30" spans="1:24" ht="15.75" thickBot="1" x14ac:dyDescent="0.25">
      <c r="A30" s="736">
        <v>24</v>
      </c>
      <c r="B30" s="737">
        <f>IF('Entries April 2026'!N30-'Entries April 2026'!N29&lt;1,"0",'Entries April 2026'!N30-'Entries April 2026'!N29)</f>
        <v>134.45000000000437</v>
      </c>
      <c r="C30" s="737">
        <f>IF('Entries April 2026'!L30-'Entries April 2026'!L29&lt;1,"0",'Entries April 2026'!L30-'Entries April 2026'!L29)</f>
        <v>481.31999999999971</v>
      </c>
      <c r="D30" s="737">
        <f>IF('Entries April 2026'!M30-'Entries April 2026'!M29&lt;1,"0",'Entries April 2026'!M30-'Entries April 2026'!M29)</f>
        <v>1990.5</v>
      </c>
      <c r="E30" s="737">
        <v>1800</v>
      </c>
      <c r="F30" s="739">
        <v>224.334</v>
      </c>
      <c r="G30" s="338">
        <f t="shared" si="0"/>
        <v>8.0237503008906366</v>
      </c>
      <c r="I30" s="442">
        <v>250</v>
      </c>
      <c r="J30" s="443">
        <v>43905</v>
      </c>
      <c r="K30" s="444">
        <f t="shared" si="1"/>
        <v>19914.969588904769</v>
      </c>
      <c r="M30" s="429"/>
      <c r="N30" s="429"/>
      <c r="O30" s="430"/>
      <c r="P30" s="430"/>
      <c r="Q30" s="452">
        <v>45893</v>
      </c>
      <c r="R30" s="456">
        <f>'Entries April 2026'!AL29</f>
        <v>0</v>
      </c>
      <c r="S30" s="461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66">
        <f>'Entries April 2026'!AM28</f>
        <v>0</v>
      </c>
      <c r="U30" s="463">
        <f>'Entries April 2026'!AN28</f>
        <v>0</v>
      </c>
      <c r="V30" s="455">
        <f>'Entries April 2026'!AO28/2.204623</f>
        <v>0</v>
      </c>
      <c r="W30" s="445">
        <f t="shared" si="2"/>
        <v>0</v>
      </c>
      <c r="X30" s="446">
        <f t="shared" si="4"/>
        <v>0</v>
      </c>
    </row>
    <row r="31" spans="1:24" ht="15.75" thickBot="1" x14ac:dyDescent="0.25">
      <c r="A31" s="736">
        <v>25</v>
      </c>
      <c r="B31" s="737" t="str">
        <f>IF('Entries April 2026'!N31-'Entries April 2026'!N30&lt;1,"0",'Entries April 2026'!N31-'Entries April 2026'!N30)</f>
        <v>0</v>
      </c>
      <c r="C31" s="737" t="str">
        <f>IF('Entries April 2026'!L31-'Entries April 2026'!L30&lt;1,"0",'Entries April 2026'!L31-'Entries April 2026'!L30)</f>
        <v>0</v>
      </c>
      <c r="D31" s="737">
        <f>IF('Entries April 2026'!M31-'Entries April 2026'!M30&lt;1,"0",'Entries April 2026'!M31-'Entries April 2026'!M30)</f>
        <v>8.3099999999976717</v>
      </c>
      <c r="E31" s="737">
        <v>0</v>
      </c>
      <c r="F31" s="739">
        <v>0</v>
      </c>
      <c r="G31" s="338" t="str">
        <f t="shared" si="0"/>
        <v>0</v>
      </c>
      <c r="I31" s="442">
        <v>260</v>
      </c>
      <c r="J31" s="443">
        <v>45703</v>
      </c>
      <c r="K31" s="444">
        <f t="shared" si="1"/>
        <v>20730.528530274787</v>
      </c>
      <c r="M31" s="429"/>
      <c r="N31" s="429"/>
      <c r="O31" s="430"/>
      <c r="P31" s="430"/>
      <c r="Q31" s="452">
        <v>45894</v>
      </c>
      <c r="R31" s="456">
        <f>'Entries April 2026'!AL30</f>
        <v>0</v>
      </c>
      <c r="S31" s="461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66">
        <f>'Entries April 2026'!AM29</f>
        <v>0</v>
      </c>
      <c r="U31" s="463">
        <f>'Entries April 2026'!AN29</f>
        <v>0</v>
      </c>
      <c r="V31" s="455">
        <f>'Entries April 2026'!AO29/2.204623</f>
        <v>0</v>
      </c>
      <c r="W31" s="445">
        <f t="shared" si="2"/>
        <v>0</v>
      </c>
      <c r="X31" s="446">
        <f t="shared" si="4"/>
        <v>0</v>
      </c>
    </row>
    <row r="32" spans="1:24" ht="15.75" thickBot="1" x14ac:dyDescent="0.25">
      <c r="A32" s="736">
        <v>26</v>
      </c>
      <c r="B32" s="737" t="str">
        <f>IF('Entries April 2026'!N32-'Entries April 2026'!N31&lt;1,"0",'Entries April 2026'!N32-'Entries April 2026'!N31)</f>
        <v>0</v>
      </c>
      <c r="C32" s="737" t="str">
        <f>IF('Entries April 2026'!L32-'Entries April 2026'!L31&lt;1,"0",'Entries April 2026'!L32-'Entries April 2026'!L31)</f>
        <v>0</v>
      </c>
      <c r="D32" s="737" t="str">
        <f>IF('Entries April 2026'!M32-'Entries April 2026'!M31&lt;1,"0",'Entries April 2026'!M32-'Entries April 2026'!M31)</f>
        <v>0</v>
      </c>
      <c r="E32" s="737">
        <v>0</v>
      </c>
      <c r="F32" s="739">
        <v>0</v>
      </c>
      <c r="G32" s="338" t="str">
        <f t="shared" si="0"/>
        <v>0</v>
      </c>
      <c r="I32" s="442">
        <v>270</v>
      </c>
      <c r="J32" s="443">
        <v>47501</v>
      </c>
      <c r="K32" s="444">
        <f t="shared" si="1"/>
        <v>21546.087471644809</v>
      </c>
      <c r="M32" s="429"/>
      <c r="N32" s="429"/>
      <c r="O32" s="430"/>
      <c r="P32" s="430"/>
      <c r="Q32" s="452">
        <v>45895</v>
      </c>
      <c r="R32" s="456">
        <f>'Entries April 2026'!AL31</f>
        <v>0</v>
      </c>
      <c r="S32" s="461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66">
        <f>'Entries April 2026'!AM30</f>
        <v>0</v>
      </c>
      <c r="U32" s="463">
        <f>'Entries April 2026'!AN30</f>
        <v>0</v>
      </c>
      <c r="V32" s="455">
        <f>'Entries April 2026'!AO30/2.204623</f>
        <v>0</v>
      </c>
      <c r="W32" s="445">
        <f t="shared" si="2"/>
        <v>0</v>
      </c>
      <c r="X32" s="446">
        <f t="shared" si="4"/>
        <v>0</v>
      </c>
    </row>
    <row r="33" spans="1:24" ht="15.75" thickBot="1" x14ac:dyDescent="0.25">
      <c r="A33" s="736">
        <v>27</v>
      </c>
      <c r="B33" s="737">
        <f>IF('Entries April 2026'!N33-'Entries April 2026'!N32&lt;1,"0",'Entries April 2026'!N33-'Entries April 2026'!N32)</f>
        <v>276.15000000000146</v>
      </c>
      <c r="C33" s="737">
        <f>IF('Entries April 2026'!L33-'Entries April 2026'!L32&lt;1,"0",'Entries April 2026'!L33-'Entries April 2026'!L32)</f>
        <v>552.15999999999985</v>
      </c>
      <c r="D33" s="737">
        <f>IF('Entries April 2026'!M33-'Entries April 2026'!M32&lt;1,"0",'Entries April 2026'!M33-'Entries April 2026'!M32)</f>
        <v>1913.1300000000047</v>
      </c>
      <c r="E33" s="737">
        <v>1600</v>
      </c>
      <c r="F33" s="739">
        <v>390.45600000000002</v>
      </c>
      <c r="G33" s="338">
        <f t="shared" si="0"/>
        <v>4.0977728604503447</v>
      </c>
      <c r="I33" s="442">
        <v>280</v>
      </c>
      <c r="J33" s="443">
        <v>49299</v>
      </c>
      <c r="K33" s="444">
        <f t="shared" si="1"/>
        <v>22361.646413014831</v>
      </c>
      <c r="M33" s="429"/>
      <c r="N33" s="429"/>
      <c r="O33" s="430"/>
      <c r="P33" s="430"/>
      <c r="Q33" s="452">
        <v>45896</v>
      </c>
      <c r="R33" s="456">
        <f>'Entries April 2026'!AL32</f>
        <v>0</v>
      </c>
      <c r="S33" s="461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66">
        <f>'Entries April 2026'!AM31</f>
        <v>0</v>
      </c>
      <c r="U33" s="463">
        <f>'Entries April 2026'!AN31</f>
        <v>0</v>
      </c>
      <c r="V33" s="455">
        <f>'Entries April 2026'!AO31/2.204623</f>
        <v>0</v>
      </c>
      <c r="W33" s="445">
        <f t="shared" si="2"/>
        <v>0</v>
      </c>
      <c r="X33" s="446">
        <f t="shared" si="4"/>
        <v>0</v>
      </c>
    </row>
    <row r="34" spans="1:24" ht="15.75" thickBot="1" x14ac:dyDescent="0.25">
      <c r="A34" s="736">
        <v>28</v>
      </c>
      <c r="B34" s="737">
        <f>IF('Entries April 2026'!N34-'Entries April 2026'!N33&lt;1,"0",'Entries April 2026'!N34-'Entries April 2026'!N33)</f>
        <v>244.75</v>
      </c>
      <c r="C34" s="737">
        <f>IF('Entries April 2026'!L34-'Entries April 2026'!L33&lt;1,"0",'Entries April 2026'!L34-'Entries April 2026'!L33)</f>
        <v>380.45000000000073</v>
      </c>
      <c r="D34" s="737">
        <f>IF('Entries April 2026'!M34-'Entries April 2026'!M33&lt;1,"0",'Entries April 2026'!M34-'Entries April 2026'!M33)</f>
        <v>3199.1900000000023</v>
      </c>
      <c r="E34" s="737">
        <v>2900</v>
      </c>
      <c r="F34" s="739">
        <v>452.49600000000004</v>
      </c>
      <c r="G34" s="338">
        <f t="shared" si="0"/>
        <v>6.4088964322336546</v>
      </c>
      <c r="I34" s="442">
        <v>290</v>
      </c>
      <c r="J34" s="443">
        <v>51098</v>
      </c>
      <c r="K34" s="444">
        <f t="shared" si="1"/>
        <v>23177.658946677049</v>
      </c>
      <c r="M34" s="429"/>
      <c r="N34" s="429"/>
      <c r="O34" s="430"/>
      <c r="P34" s="430"/>
      <c r="Q34" s="452">
        <v>45897</v>
      </c>
      <c r="R34" s="456">
        <f>'Entries April 2026'!AL33</f>
        <v>0</v>
      </c>
      <c r="S34" s="461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66">
        <f>'Entries April 2026'!AM32</f>
        <v>0</v>
      </c>
      <c r="U34" s="463">
        <f>'Entries April 2026'!AN32</f>
        <v>0</v>
      </c>
      <c r="V34" s="455">
        <f>'Entries April 2026'!AO32/2.204623</f>
        <v>0</v>
      </c>
      <c r="W34" s="445">
        <f t="shared" si="2"/>
        <v>0</v>
      </c>
      <c r="X34" s="446">
        <f t="shared" si="4"/>
        <v>0</v>
      </c>
    </row>
    <row r="35" spans="1:24" ht="15.75" thickBot="1" x14ac:dyDescent="0.25">
      <c r="A35" s="736">
        <v>29</v>
      </c>
      <c r="B35" s="737">
        <f>IF('Entries April 2026'!N35-'Entries April 2026'!N34&lt;1,"0",'Entries April 2026'!N35-'Entries April 2026'!N34)</f>
        <v>363.0199999999968</v>
      </c>
      <c r="C35" s="737">
        <f>IF('Entries April 2026'!L35-'Entries April 2026'!L34&lt;1,"0",'Entries April 2026'!L35-'Entries April 2026'!L34)</f>
        <v>356.11000000000058</v>
      </c>
      <c r="D35" s="737">
        <f>IF('Entries April 2026'!M35-'Entries April 2026'!M34&lt;1,"0",'Entries April 2026'!M35-'Entries April 2026'!M34)</f>
        <v>3021.0599999999977</v>
      </c>
      <c r="E35" s="737">
        <v>2800</v>
      </c>
      <c r="F35" s="739">
        <v>570.17399999999998</v>
      </c>
      <c r="G35" s="338">
        <f t="shared" si="0"/>
        <v>4.9107816210490132</v>
      </c>
      <c r="I35" s="442">
        <v>300</v>
      </c>
      <c r="J35" s="443">
        <v>52896</v>
      </c>
      <c r="K35" s="444">
        <f t="shared" si="1"/>
        <v>23993.217888047071</v>
      </c>
      <c r="M35" s="429"/>
      <c r="N35" s="429"/>
      <c r="O35" s="430"/>
      <c r="P35" s="430"/>
      <c r="Q35" s="452">
        <v>45898</v>
      </c>
      <c r="R35" s="456">
        <f>'Entries April 2026'!AL34</f>
        <v>0</v>
      </c>
      <c r="S35" s="461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66">
        <f>'Entries April 2026'!AM33</f>
        <v>0</v>
      </c>
      <c r="U35" s="463">
        <f>'Entries April 2026'!AN33</f>
        <v>0</v>
      </c>
      <c r="V35" s="455">
        <f>'Entries April 2026'!AO33/2.204623</f>
        <v>0</v>
      </c>
      <c r="W35" s="445">
        <f t="shared" si="2"/>
        <v>0</v>
      </c>
      <c r="X35" s="446">
        <f t="shared" si="4"/>
        <v>0</v>
      </c>
    </row>
    <row r="36" spans="1:24" ht="15.75" thickBot="1" x14ac:dyDescent="0.25">
      <c r="A36" s="736">
        <v>30</v>
      </c>
      <c r="B36" s="737">
        <f>IF('Entries April 2026'!N36-'Entries April 2026'!N35&lt;1,"0",'Entries April 2026'!N36-'Entries April 2026'!N35)</f>
        <v>344.15000000000146</v>
      </c>
      <c r="C36" s="737" t="str">
        <f>IF('Entries April 2026'!L36-'Entries April 2026'!L35&lt;1,"0",'Entries April 2026'!L36-'Entries April 2026'!L35)</f>
        <v>0</v>
      </c>
      <c r="D36" s="737">
        <f>IF('Entries April 2026'!M36-'Entries April 2026'!M35&lt;1,"0",'Entries April 2026'!M36-'Entries April 2026'!M35)</f>
        <v>2267.4300000000512</v>
      </c>
      <c r="E36" s="737">
        <v>2000</v>
      </c>
      <c r="F36" s="739">
        <v>407.74800000000005</v>
      </c>
      <c r="G36" s="338">
        <f t="shared" si="0"/>
        <v>4.9049903371690355</v>
      </c>
      <c r="I36" s="442">
        <v>310</v>
      </c>
      <c r="J36" s="443">
        <v>54694</v>
      </c>
      <c r="K36" s="444">
        <f t="shared" si="1"/>
        <v>24808.776829417089</v>
      </c>
      <c r="M36" s="429"/>
      <c r="N36" s="429"/>
      <c r="O36" s="430"/>
      <c r="P36" s="430"/>
      <c r="Q36" s="452">
        <v>45899</v>
      </c>
      <c r="R36" s="456">
        <f>'Entries April 2026'!AL35</f>
        <v>0</v>
      </c>
      <c r="S36" s="461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66">
        <f>'Entries April 2026'!AM34</f>
        <v>0</v>
      </c>
      <c r="U36" s="463">
        <f>'Entries April 2026'!AN34</f>
        <v>0</v>
      </c>
      <c r="V36" s="455">
        <f>'Entries April 2026'!AO34/2.204623</f>
        <v>0</v>
      </c>
      <c r="W36" s="445">
        <f t="shared" si="2"/>
        <v>0</v>
      </c>
      <c r="X36" s="446">
        <f t="shared" si="4"/>
        <v>0</v>
      </c>
    </row>
    <row r="37" spans="1:24" ht="15.75" thickBot="1" x14ac:dyDescent="0.25">
      <c r="A37" s="736"/>
      <c r="B37" s="737" t="str">
        <f>IF('Entries April 2026'!N37-'Entries April 2026'!N36&lt;1,"0",'Entries April 2026'!N37-'Entries April 2026'!N36)</f>
        <v>0</v>
      </c>
      <c r="C37" s="737" t="str">
        <f>IF('Entries April 2026'!L37-'Entries April 2026'!L36&lt;1,"0",'Entries April 2026'!L37-'Entries April 2026'!L36)</f>
        <v>0</v>
      </c>
      <c r="D37" s="737" t="str">
        <f>IF('Entries April 2026'!M37-'Entries April 2026'!M36&lt;1,"0",'Entries April 2026'!M37-'Entries April 2026'!M36)</f>
        <v>0</v>
      </c>
      <c r="E37" s="737">
        <v>0</v>
      </c>
      <c r="F37" s="739"/>
      <c r="G37" s="338" t="str">
        <f t="shared" si="0"/>
        <v>0</v>
      </c>
      <c r="H37" s="349" t="s">
        <v>247</v>
      </c>
      <c r="I37" s="442">
        <v>320</v>
      </c>
      <c r="J37" s="443">
        <v>56492</v>
      </c>
      <c r="K37" s="444">
        <f t="shared" si="1"/>
        <v>25624.335770787111</v>
      </c>
      <c r="M37" s="429"/>
      <c r="N37" s="429"/>
      <c r="O37" s="430"/>
      <c r="P37" s="430"/>
      <c r="Q37" s="452">
        <v>45900</v>
      </c>
      <c r="R37" s="456">
        <f>'Entries April 2026'!AL36</f>
        <v>0</v>
      </c>
      <c r="S37" s="461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66">
        <f>'Entries April 2026'!AM35</f>
        <v>0</v>
      </c>
      <c r="U37" s="463">
        <f>'Entries April 2026'!AN35</f>
        <v>0</v>
      </c>
      <c r="V37" s="455">
        <f>'Entries April 2026'!AO35/2.204623</f>
        <v>0</v>
      </c>
      <c r="W37" s="445">
        <f t="shared" si="2"/>
        <v>0</v>
      </c>
      <c r="X37" s="446">
        <f t="shared" si="4"/>
        <v>0</v>
      </c>
    </row>
    <row r="38" spans="1:24" ht="18.75" thickBot="1" x14ac:dyDescent="0.3">
      <c r="A38" s="41" t="s">
        <v>85</v>
      </c>
      <c r="B38" s="734">
        <f>SUM(B7:B37)</f>
        <v>5098.07</v>
      </c>
      <c r="C38" s="734">
        <f>SUM(C7:C37)</f>
        <v>4691</v>
      </c>
      <c r="D38" s="734">
        <f>SUM(D7:D37)</f>
        <v>45429.780000000028</v>
      </c>
      <c r="E38" s="734">
        <f>SUM(E7:E37)</f>
        <v>43100</v>
      </c>
      <c r="F38" s="735">
        <f>SUM(F7:F37)</f>
        <v>7992.8639999999996</v>
      </c>
      <c r="G38" s="347">
        <f>IF(F38=0,"0",(E38/F38))</f>
        <v>5.3923099404668964</v>
      </c>
      <c r="H38" s="350">
        <v>5</v>
      </c>
      <c r="I38" s="442">
        <v>330</v>
      </c>
      <c r="J38" s="443">
        <v>58290</v>
      </c>
      <c r="K38" s="444">
        <f t="shared" si="1"/>
        <v>26439.894712157133</v>
      </c>
      <c r="M38" s="429"/>
      <c r="N38" s="429"/>
      <c r="O38" s="430"/>
      <c r="P38" s="430"/>
      <c r="Q38" s="452">
        <v>45901</v>
      </c>
      <c r="R38" s="456">
        <f>'Entries April 2026'!AL37</f>
        <v>0</v>
      </c>
      <c r="S38" s="462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66">
        <f>'Entries April 2026'!AM36</f>
        <v>0</v>
      </c>
      <c r="U38" s="463">
        <f>'Entries April 2026'!AN36</f>
        <v>0</v>
      </c>
      <c r="V38" s="455">
        <f>'Entries April 2026'!AO36/2.204623</f>
        <v>0</v>
      </c>
      <c r="W38" s="445">
        <f t="shared" si="2"/>
        <v>0</v>
      </c>
      <c r="X38" s="446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42">
        <v>340</v>
      </c>
      <c r="J39" s="443">
        <v>60089</v>
      </c>
      <c r="K39" s="444">
        <f t="shared" si="1"/>
        <v>27255.907245819351</v>
      </c>
      <c r="M39" s="429"/>
      <c r="N39" s="429"/>
      <c r="O39" s="430"/>
      <c r="P39" s="430"/>
      <c r="Q39" s="453"/>
      <c r="R39" s="456">
        <f>'Entries April 2026'!AL38</f>
        <v>0</v>
      </c>
      <c r="S39" s="462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66">
        <f>'Entries April 2026'!AM37</f>
        <v>0</v>
      </c>
      <c r="U39" s="463">
        <f>'Entries April 2026'!AN37</f>
        <v>0</v>
      </c>
      <c r="V39" s="455">
        <f>'Entries April 2026'!AO37/2.204623</f>
        <v>0</v>
      </c>
      <c r="W39" s="445">
        <f t="shared" si="2"/>
        <v>0</v>
      </c>
      <c r="X39" s="467"/>
    </row>
    <row r="40" spans="1:24" ht="15.75" thickBot="1" x14ac:dyDescent="0.25">
      <c r="A40" s="8"/>
      <c r="B40" s="8"/>
      <c r="C40" s="8"/>
      <c r="D40" s="11"/>
      <c r="E40" s="11"/>
      <c r="F40" s="8"/>
      <c r="I40" s="450">
        <v>350</v>
      </c>
      <c r="J40" s="451">
        <v>60537</v>
      </c>
      <c r="K40" s="444">
        <f t="shared" si="1"/>
        <v>27459.11659272356</v>
      </c>
      <c r="M40" s="429"/>
      <c r="N40" s="429"/>
      <c r="O40" s="430"/>
      <c r="P40" s="430"/>
      <c r="Q40" s="191"/>
      <c r="R40" s="457"/>
      <c r="S40" s="458"/>
      <c r="T40" s="447"/>
      <c r="U40" s="447"/>
      <c r="V40" s="448"/>
      <c r="W40" s="447" t="s">
        <v>244</v>
      </c>
      <c r="X40" s="449">
        <f>SUM(X8:X38)</f>
        <v>0</v>
      </c>
    </row>
    <row r="41" spans="1:24" x14ac:dyDescent="0.2">
      <c r="M41" s="429"/>
      <c r="N41" s="429"/>
      <c r="O41" s="430"/>
      <c r="P41" s="430"/>
      <c r="Q41" s="191"/>
      <c r="R41" s="191"/>
      <c r="S41" s="191"/>
      <c r="T41" s="191"/>
      <c r="U41" s="191"/>
      <c r="V41" s="429"/>
      <c r="W41" s="191"/>
      <c r="X41" s="191"/>
    </row>
    <row r="42" spans="1:24" x14ac:dyDescent="0.2">
      <c r="Q42" s="191"/>
      <c r="R42" s="191"/>
      <c r="S42" s="191"/>
      <c r="T42" s="191"/>
      <c r="U42" s="191"/>
      <c r="V42" s="429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2" customWidth="1"/>
    <col min="33" max="33" width="15.42578125" style="211" bestFit="1" customWidth="1"/>
    <col min="34" max="34" width="15.5703125" style="211" customWidth="1"/>
    <col min="35" max="35" width="15.42578125" style="265" bestFit="1" customWidth="1"/>
    <col min="36" max="37" width="9.28515625" style="265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1"/>
      <c r="AG1" s="265"/>
      <c r="AH1" s="265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1"/>
      <c r="AG2" s="265"/>
      <c r="AH2" s="265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1"/>
      <c r="AG3" s="265"/>
      <c r="AH3" s="265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46113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82">
        <v>1</v>
      </c>
      <c r="C6" s="482">
        <v>2</v>
      </c>
      <c r="D6" s="482">
        <v>3</v>
      </c>
      <c r="E6" s="482">
        <v>4</v>
      </c>
      <c r="F6" s="482">
        <v>5</v>
      </c>
      <c r="G6" s="482">
        <v>6</v>
      </c>
      <c r="H6" s="482">
        <v>7</v>
      </c>
      <c r="I6" s="482">
        <v>8</v>
      </c>
      <c r="J6" s="482">
        <v>9</v>
      </c>
      <c r="K6" s="482">
        <v>10</v>
      </c>
      <c r="L6" s="482">
        <v>11</v>
      </c>
      <c r="M6" s="482">
        <v>12</v>
      </c>
      <c r="N6" s="482">
        <v>13</v>
      </c>
      <c r="O6" s="482">
        <v>14</v>
      </c>
      <c r="P6" s="482">
        <v>15</v>
      </c>
      <c r="Q6" s="482">
        <v>16</v>
      </c>
      <c r="R6" s="482">
        <v>17</v>
      </c>
      <c r="S6" s="482">
        <v>18</v>
      </c>
      <c r="T6" s="482">
        <v>19</v>
      </c>
      <c r="U6" s="482">
        <v>20</v>
      </c>
      <c r="V6" s="482">
        <v>21</v>
      </c>
      <c r="W6" s="482">
        <v>22</v>
      </c>
      <c r="X6" s="482">
        <v>23</v>
      </c>
      <c r="Y6" s="482">
        <v>24</v>
      </c>
      <c r="Z6" s="482">
        <v>25</v>
      </c>
      <c r="AA6" s="482">
        <v>26</v>
      </c>
      <c r="AB6" s="482">
        <v>27</v>
      </c>
      <c r="AC6" s="482">
        <v>28</v>
      </c>
      <c r="AD6" s="482">
        <v>29</v>
      </c>
      <c r="AE6" s="482">
        <v>30</v>
      </c>
      <c r="AF6" s="482">
        <v>31</v>
      </c>
      <c r="AG6" s="294"/>
      <c r="AH6" s="844" t="s">
        <v>219</v>
      </c>
      <c r="AI6" s="292"/>
    </row>
    <row r="7" spans="1:37" s="74" customFormat="1" ht="25.5" customHeight="1" x14ac:dyDescent="0.25">
      <c r="A7" s="97" t="s">
        <v>131</v>
      </c>
      <c r="B7" s="484" t="s">
        <v>147</v>
      </c>
      <c r="C7" s="484" t="s">
        <v>141</v>
      </c>
      <c r="D7" s="484" t="s">
        <v>142</v>
      </c>
      <c r="E7" s="484" t="s">
        <v>143</v>
      </c>
      <c r="F7" s="484" t="s">
        <v>144</v>
      </c>
      <c r="G7" s="484" t="s">
        <v>145</v>
      </c>
      <c r="H7" s="484" t="s">
        <v>146</v>
      </c>
      <c r="I7" s="484" t="s">
        <v>147</v>
      </c>
      <c r="J7" s="484" t="s">
        <v>141</v>
      </c>
      <c r="K7" s="484" t="s">
        <v>142</v>
      </c>
      <c r="L7" s="484" t="s">
        <v>143</v>
      </c>
      <c r="M7" s="484" t="s">
        <v>144</v>
      </c>
      <c r="N7" s="484" t="s">
        <v>145</v>
      </c>
      <c r="O7" s="484" t="s">
        <v>146</v>
      </c>
      <c r="P7" s="484" t="s">
        <v>147</v>
      </c>
      <c r="Q7" s="484" t="s">
        <v>141</v>
      </c>
      <c r="R7" s="484" t="s">
        <v>142</v>
      </c>
      <c r="S7" s="484" t="s">
        <v>143</v>
      </c>
      <c r="T7" s="484" t="s">
        <v>144</v>
      </c>
      <c r="U7" s="484" t="s">
        <v>145</v>
      </c>
      <c r="V7" s="484" t="s">
        <v>146</v>
      </c>
      <c r="W7" s="484" t="s">
        <v>147</v>
      </c>
      <c r="X7" s="484" t="s">
        <v>141</v>
      </c>
      <c r="Y7" s="484" t="s">
        <v>142</v>
      </c>
      <c r="Z7" s="484" t="s">
        <v>143</v>
      </c>
      <c r="AA7" s="484" t="s">
        <v>144</v>
      </c>
      <c r="AB7" s="484" t="s">
        <v>145</v>
      </c>
      <c r="AC7" s="484" t="s">
        <v>146</v>
      </c>
      <c r="AD7" s="484" t="s">
        <v>147</v>
      </c>
      <c r="AE7" s="484" t="s">
        <v>141</v>
      </c>
      <c r="AF7" s="484" t="s">
        <v>142</v>
      </c>
      <c r="AG7" s="213" t="s">
        <v>19</v>
      </c>
      <c r="AH7" s="844"/>
      <c r="AI7" s="293" t="s">
        <v>232</v>
      </c>
      <c r="AJ7" s="220"/>
      <c r="AK7" s="220"/>
    </row>
    <row r="8" spans="1:37" s="76" customFormat="1" ht="26.25" x14ac:dyDescent="0.3">
      <c r="A8" s="98" t="s">
        <v>136</v>
      </c>
      <c r="B8" s="99"/>
      <c r="C8" s="99">
        <f>'Daily KPIs'!C8</f>
        <v>2868</v>
      </c>
      <c r="D8" s="99">
        <f>'Daily KPIs'!D8</f>
        <v>0</v>
      </c>
      <c r="E8" s="99">
        <f>'Daily KPIs'!E8</f>
        <v>0</v>
      </c>
      <c r="F8" s="99">
        <f>'Daily KPIs'!F8</f>
        <v>0</v>
      </c>
      <c r="G8" s="99">
        <f>'Daily KPIs'!G8</f>
        <v>0</v>
      </c>
      <c r="H8" s="100">
        <f>'Daily KPIs'!H8</f>
        <v>1078</v>
      </c>
      <c r="I8" s="100">
        <f>'Daily KPIs'!I8</f>
        <v>9133</v>
      </c>
      <c r="J8" s="99">
        <f>'Daily KPIs'!J8</f>
        <v>9870</v>
      </c>
      <c r="K8" s="99">
        <f>'Daily KPIs'!K8</f>
        <v>6477</v>
      </c>
      <c r="L8" s="99">
        <f>'Daily KPIs'!L8</f>
        <v>0</v>
      </c>
      <c r="M8" s="99">
        <f>'Daily KPIs'!M8</f>
        <v>0</v>
      </c>
      <c r="N8" s="99">
        <f>'Daily KPIs'!N8</f>
        <v>6334</v>
      </c>
      <c r="O8" s="99">
        <f>'Daily KPIs'!O8</f>
        <v>6033</v>
      </c>
      <c r="P8" s="99">
        <f>'Daily KPIs'!P8</f>
        <v>7421</v>
      </c>
      <c r="Q8" s="100">
        <f>'Daily KPIs'!Q8</f>
        <v>9432</v>
      </c>
      <c r="R8" s="176">
        <f>'Daily KPIs'!R8</f>
        <v>5009</v>
      </c>
      <c r="S8" s="99">
        <f>'Daily KPIs'!S8</f>
        <v>0</v>
      </c>
      <c r="T8" s="100">
        <f>'Daily KPIs'!AF8</f>
        <v>563.75</v>
      </c>
      <c r="U8" s="99">
        <f>'Daily KPIs'!U8</f>
        <v>3885</v>
      </c>
      <c r="V8" s="99">
        <f>'Daily KPIs'!V8</f>
        <v>7901</v>
      </c>
      <c r="W8" s="101">
        <f>'Daily KPIs'!W8</f>
        <v>7838</v>
      </c>
      <c r="X8" s="101">
        <f>'Daily KPIs'!X8</f>
        <v>3662</v>
      </c>
      <c r="Y8" s="99">
        <f>'Daily KPIs'!Y8</f>
        <v>3399</v>
      </c>
      <c r="Z8" s="99">
        <f>'Daily KPIs'!Z8</f>
        <v>0</v>
      </c>
      <c r="AA8" s="99" t="e">
        <f>'Daily KPIs'!#REF!</f>
        <v>#REF!</v>
      </c>
      <c r="AB8" s="102">
        <f>'Daily KPIs'!AB8</f>
        <v>5916</v>
      </c>
      <c r="AC8" s="102">
        <f>'Daily KPIs'!AC8</f>
        <v>6856</v>
      </c>
      <c r="AD8" s="102"/>
      <c r="AE8" s="102"/>
      <c r="AF8" s="203">
        <f>'Daily KPIs'!AD8</f>
        <v>8639</v>
      </c>
      <c r="AG8" s="214" t="e">
        <f>SUM($B8:AF8)</f>
        <v>#REF!</v>
      </c>
      <c r="AH8" s="294">
        <v>96325</v>
      </c>
      <c r="AI8" s="295" t="e">
        <f>AG8-AH8</f>
        <v>#REF!</v>
      </c>
      <c r="AJ8" s="267"/>
      <c r="AK8" s="267"/>
    </row>
    <row r="9" spans="1:37" ht="20.25" x14ac:dyDescent="0.3">
      <c r="A9" s="98" t="s">
        <v>138</v>
      </c>
      <c r="B9" s="99">
        <f>'Daily KPIs'!B9</f>
        <v>209.55</v>
      </c>
      <c r="C9" s="99">
        <f>'Daily KPIs'!C9</f>
        <v>189.28800000000001</v>
      </c>
      <c r="D9" s="99">
        <f>'Daily KPIs'!D9</f>
        <v>0</v>
      </c>
      <c r="E9" s="99">
        <f>'Daily KPIs'!E9</f>
        <v>0</v>
      </c>
      <c r="F9" s="99">
        <f>'Daily KPIs'!F9</f>
        <v>0</v>
      </c>
      <c r="G9" s="99">
        <f>'Daily KPIs'!G9</f>
        <v>0</v>
      </c>
      <c r="H9" s="99">
        <f>'Daily KPIs'!H9</f>
        <v>71.14800000000001</v>
      </c>
      <c r="I9" s="99">
        <f>'Daily KPIs'!I9</f>
        <v>602.77800000000002</v>
      </c>
      <c r="J9" s="99">
        <f>'Daily KPIs'!J9</f>
        <v>651.42000000000007</v>
      </c>
      <c r="K9" s="99">
        <f>'Daily KPIs'!K9</f>
        <v>427.48200000000003</v>
      </c>
      <c r="L9" s="99">
        <f>'Daily KPIs'!L9</f>
        <v>0</v>
      </c>
      <c r="M9" s="99">
        <f>'Daily KPIs'!M9</f>
        <v>0</v>
      </c>
      <c r="N9" s="99">
        <f>'Daily KPIs'!N9</f>
        <v>418.04400000000004</v>
      </c>
      <c r="O9" s="99">
        <f>'Daily KPIs'!O9</f>
        <v>398.178</v>
      </c>
      <c r="P9" s="99">
        <f>'Daily KPIs'!P9</f>
        <v>489.786</v>
      </c>
      <c r="Q9" s="99">
        <f>'Daily KPIs'!Q9</f>
        <v>622.51200000000006</v>
      </c>
      <c r="R9" s="99">
        <f>'Daily KPIs'!R9</f>
        <v>330.59399999999999</v>
      </c>
      <c r="S9" s="99">
        <f>'Daily KPIs'!S9</f>
        <v>0</v>
      </c>
      <c r="T9" s="99">
        <f>'Daily KPIs'!AF9</f>
        <v>37.207500000000003</v>
      </c>
      <c r="U9" s="99">
        <f>'Daily KPIs'!U9</f>
        <v>256.41000000000003</v>
      </c>
      <c r="V9" s="99">
        <f>'Daily KPIs'!V9</f>
        <v>521.46600000000001</v>
      </c>
      <c r="W9" s="99">
        <f>'Daily KPIs'!W9</f>
        <v>517.30799999999999</v>
      </c>
      <c r="X9" s="99">
        <f>'Daily KPIs'!X9</f>
        <v>241.69200000000001</v>
      </c>
      <c r="Y9" s="99">
        <f>'Daily KPIs'!Y9</f>
        <v>224.334</v>
      </c>
      <c r="Z9" s="99">
        <f>'Daily KPIs'!Z9</f>
        <v>0</v>
      </c>
      <c r="AA9" s="99" t="e">
        <f>'Daily KPIs'!#REF!</f>
        <v>#REF!</v>
      </c>
      <c r="AB9" s="99">
        <f>'Daily KPIs'!AB9</f>
        <v>390.45600000000002</v>
      </c>
      <c r="AC9" s="99">
        <f>'Daily KPIs'!AC9</f>
        <v>452.49600000000004</v>
      </c>
      <c r="AD9" s="99"/>
      <c r="AE9" s="99"/>
      <c r="AF9" s="204">
        <f>'Daily KPIs'!AD9</f>
        <v>570.17399999999998</v>
      </c>
      <c r="AG9" s="216" t="e">
        <f>SUM($B9:AF9)</f>
        <v>#REF!</v>
      </c>
      <c r="AH9" s="215"/>
      <c r="AI9" s="266"/>
    </row>
    <row r="10" spans="1:37" s="76" customFormat="1" ht="20.25" x14ac:dyDescent="0.3">
      <c r="A10" s="103" t="s">
        <v>135</v>
      </c>
      <c r="B10" s="163" t="str">
        <f>'Daily KPIs'!B10</f>
        <v>VM/ VM Gin</v>
      </c>
      <c r="C10" s="163" t="str">
        <f>'Daily KPIs'!C10</f>
        <v>Psecco/CB</v>
      </c>
      <c r="D10" s="163">
        <f>'Daily KPIs'!D10</f>
        <v>0</v>
      </c>
      <c r="E10" s="163">
        <f>'Daily KPIs'!E10</f>
        <v>0</v>
      </c>
      <c r="F10" s="163">
        <f>'Daily KPIs'!F10</f>
        <v>0</v>
      </c>
      <c r="G10" s="163">
        <f>'Daily KPIs'!G10</f>
        <v>0</v>
      </c>
      <c r="H10" s="163" t="str">
        <f>'Daily KPIs'!I10</f>
        <v>CB/ST</v>
      </c>
      <c r="I10" s="163" t="str">
        <f>'Daily KPIs'!J10</f>
        <v>ST</v>
      </c>
      <c r="J10" s="163" t="str">
        <f>'Daily KPIs'!J10</f>
        <v>ST</v>
      </c>
      <c r="K10" s="163" t="str">
        <f>'Daily KPIs'!K10</f>
        <v>CB</v>
      </c>
      <c r="L10" s="163">
        <f>'Daily KPIs'!L10</f>
        <v>0</v>
      </c>
      <c r="M10" s="163">
        <f>'Daily KPIs'!M10</f>
        <v>0</v>
      </c>
      <c r="N10" s="163" t="str">
        <f>'Daily KPIs'!N10</f>
        <v>Rose/CB</v>
      </c>
      <c r="O10" s="163" t="str">
        <f>'Daily KPIs'!O10</f>
        <v>CB/SL/SS</v>
      </c>
      <c r="P10" s="163" t="str">
        <f>'Daily KPIs'!P10</f>
        <v>SS/ST</v>
      </c>
      <c r="Q10" s="163" t="str">
        <f>'Daily KPIs'!Q10</f>
        <v>ST/CB</v>
      </c>
      <c r="R10" s="163" t="str">
        <f>'Daily KPIs'!R10</f>
        <v>CB/GA</v>
      </c>
      <c r="S10" s="163">
        <f>'Daily KPIs'!S10</f>
        <v>0</v>
      </c>
      <c r="T10" s="163" t="str">
        <f>'Daily KPIs'!AF10</f>
        <v>kegs</v>
      </c>
      <c r="U10" s="163" t="str">
        <f>'Daily KPIs'!U10</f>
        <v>GA/CB</v>
      </c>
      <c r="V10" s="163" t="str">
        <f>'Daily KPIs'!V10</f>
        <v>CB/ST</v>
      </c>
      <c r="W10" s="163" t="str">
        <f>'Daily KPIs'!W10</f>
        <v>ST/GN</v>
      </c>
      <c r="X10" s="163" t="str">
        <f>'Daily KPIs'!X10</f>
        <v>CB</v>
      </c>
      <c r="Y10" s="966" t="str">
        <f>'Daily KPIs'!Y10</f>
        <v>CB</v>
      </c>
      <c r="Z10" s="966"/>
      <c r="AA10" s="163" t="e">
        <f>'Daily KPIs'!#REF!</f>
        <v>#REF!</v>
      </c>
      <c r="AB10" s="163" t="str">
        <f>'Daily KPIs'!AB10</f>
        <v>SM</v>
      </c>
      <c r="AC10" s="163" t="str">
        <f>'Daily KPIs'!AC10</f>
        <v>CB</v>
      </c>
      <c r="AD10" s="163"/>
      <c r="AE10" s="163"/>
      <c r="AF10" s="205" t="str">
        <f>'Daily KPIs'!AD10</f>
        <v>CB/ST</v>
      </c>
      <c r="AG10" s="217"/>
      <c r="AH10" s="218"/>
      <c r="AI10" s="266"/>
      <c r="AJ10" s="267"/>
      <c r="AK10" s="267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9" t="s">
        <v>85</v>
      </c>
      <c r="AH14" s="220"/>
      <c r="AI14" s="268"/>
      <c r="AJ14" s="268"/>
      <c r="AK14" s="268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1">
        <f>SUM($B15:AF15)</f>
        <v>0</v>
      </c>
      <c r="AH15" s="222"/>
    </row>
    <row r="16" spans="1:37" ht="18" x14ac:dyDescent="0.25">
      <c r="A16" s="109" t="s">
        <v>124</v>
      </c>
      <c r="B16" s="110">
        <f>+'Water '!$D7</f>
        <v>207</v>
      </c>
      <c r="C16" s="110">
        <f>+'Water '!$D8</f>
        <v>124</v>
      </c>
      <c r="D16" s="110" t="str">
        <f>+'Water '!$D9</f>
        <v>0</v>
      </c>
      <c r="E16" s="110">
        <f>+'Water '!$D10</f>
        <v>27</v>
      </c>
      <c r="F16" s="110" t="str">
        <f>+'Water '!$D11</f>
        <v>0</v>
      </c>
      <c r="G16" s="110" t="str">
        <f>+'Water '!$D12</f>
        <v>0</v>
      </c>
      <c r="H16" s="110">
        <f>+'Water '!$D13</f>
        <v>34</v>
      </c>
      <c r="I16" s="110">
        <f>+'Water '!$D14</f>
        <v>172</v>
      </c>
      <c r="J16" s="110">
        <f>+'Water '!$D15</f>
        <v>237</v>
      </c>
      <c r="K16" s="110">
        <f>+'Water '!$D16</f>
        <v>211</v>
      </c>
      <c r="L16" s="110">
        <f>+'Water '!$D17</f>
        <v>31</v>
      </c>
      <c r="M16" s="111">
        <f>+'Water '!$D18</f>
        <v>2</v>
      </c>
      <c r="N16" s="110">
        <f>+'Water '!$D19</f>
        <v>240</v>
      </c>
      <c r="O16" s="110">
        <f>+'Water '!$D20</f>
        <v>312</v>
      </c>
      <c r="P16" s="110">
        <f>+'Water '!$D21</f>
        <v>288</v>
      </c>
      <c r="Q16" s="110">
        <f>+'Water '!$D22</f>
        <v>147</v>
      </c>
      <c r="R16" s="110">
        <f>+'Water '!$D23</f>
        <v>182</v>
      </c>
      <c r="S16" s="110" t="str">
        <f>+'Water '!$D24</f>
        <v>0</v>
      </c>
      <c r="T16" s="110">
        <f>+'Water '!$D25</f>
        <v>106</v>
      </c>
      <c r="U16" s="110">
        <f>+'Water '!$D26</f>
        <v>202</v>
      </c>
      <c r="V16" s="110">
        <f>+'Water '!$D27</f>
        <v>189</v>
      </c>
      <c r="W16" s="110">
        <f>+'Water '!$D28</f>
        <v>271</v>
      </c>
      <c r="X16" s="110">
        <f>+'Water '!$D29</f>
        <v>140</v>
      </c>
      <c r="Y16" s="110">
        <f>+'Water '!$D30</f>
        <v>131</v>
      </c>
      <c r="Z16" s="110">
        <f>+'Water '!$D31</f>
        <v>77</v>
      </c>
      <c r="AA16" s="110">
        <f>+'Water '!$D32</f>
        <v>95</v>
      </c>
      <c r="AB16" s="110">
        <f>+'Water '!$D33</f>
        <v>260</v>
      </c>
      <c r="AC16" s="110">
        <f>+'Water '!$D34</f>
        <v>198</v>
      </c>
      <c r="AD16" s="110">
        <f>+'Water '!$D31</f>
        <v>77</v>
      </c>
      <c r="AE16" s="110">
        <f>+'Water '!$D32</f>
        <v>95</v>
      </c>
      <c r="AF16" s="110">
        <f>+'Water '!$D33</f>
        <v>260</v>
      </c>
      <c r="AG16" s="221">
        <f>SUM($B16:AF16)</f>
        <v>4315</v>
      </c>
      <c r="AH16" s="222"/>
    </row>
    <row r="17" spans="1:37" ht="18" x14ac:dyDescent="0.25">
      <c r="A17" s="109" t="s">
        <v>125</v>
      </c>
      <c r="B17" s="112">
        <f>+'Water '!$E7</f>
        <v>156</v>
      </c>
      <c r="C17" s="113">
        <f>+'Water '!$E8</f>
        <v>168</v>
      </c>
      <c r="D17" s="112" t="str">
        <f>+'Water '!$E9</f>
        <v>0</v>
      </c>
      <c r="E17" s="112">
        <f>+'Water '!$E10</f>
        <v>120</v>
      </c>
      <c r="F17" s="112" t="str">
        <f>+'Water '!$E11</f>
        <v>0</v>
      </c>
      <c r="G17" s="112" t="str">
        <f>+'Water '!$E12</f>
        <v>0</v>
      </c>
      <c r="H17" s="114">
        <f>+'Water '!$E13</f>
        <v>184</v>
      </c>
      <c r="I17" s="113">
        <f>+'Water '!$E14</f>
        <v>147</v>
      </c>
      <c r="J17" s="114">
        <f>+'Water '!$E15</f>
        <v>138</v>
      </c>
      <c r="K17" s="114">
        <f>+'Water '!$E16</f>
        <v>166</v>
      </c>
      <c r="L17" s="114">
        <f>+'Water '!$E17</f>
        <v>32</v>
      </c>
      <c r="M17" s="115" t="str">
        <f>+'Water '!$E18</f>
        <v>0</v>
      </c>
      <c r="N17" s="112">
        <f>+'Water '!$E19</f>
        <v>150</v>
      </c>
      <c r="O17" s="114">
        <f>+'Water '!$E20</f>
        <v>145</v>
      </c>
      <c r="P17" s="114">
        <f>+'Water '!$E21</f>
        <v>99</v>
      </c>
      <c r="Q17" s="114">
        <f>+'Water '!$E22</f>
        <v>175</v>
      </c>
      <c r="R17" s="114">
        <f>+'Water '!$E23</f>
        <v>180</v>
      </c>
      <c r="S17" s="114">
        <f>+'Water '!$E24</f>
        <v>32</v>
      </c>
      <c r="T17" s="114">
        <f>+'Water '!$E25</f>
        <v>69</v>
      </c>
      <c r="U17" s="114">
        <f>+'Water '!$E26</f>
        <v>108</v>
      </c>
      <c r="V17" s="114">
        <f>+'Water '!$E27</f>
        <v>125</v>
      </c>
      <c r="W17" s="114">
        <f>+'Water '!$E28</f>
        <v>171</v>
      </c>
      <c r="X17" s="114">
        <f>+'Water '!$E29</f>
        <v>145</v>
      </c>
      <c r="Y17" s="116">
        <f>+'Water '!$E30</f>
        <v>161</v>
      </c>
      <c r="Z17" s="116">
        <f>+'Water '!$E31</f>
        <v>39</v>
      </c>
      <c r="AA17" s="112">
        <f>+'Water '!$E32</f>
        <v>88</v>
      </c>
      <c r="AB17" s="114">
        <f>+'Water '!$E33</f>
        <v>102</v>
      </c>
      <c r="AC17" s="114">
        <f>+'Water '!$E34</f>
        <v>134</v>
      </c>
      <c r="AD17" s="116">
        <f>+'Water '!$E31</f>
        <v>39</v>
      </c>
      <c r="AE17" s="112">
        <f>+'Water '!$E32</f>
        <v>88</v>
      </c>
      <c r="AF17" s="114">
        <f>+'Water '!$E33</f>
        <v>102</v>
      </c>
      <c r="AG17" s="223">
        <f>SUM($B17:AF17)</f>
        <v>3263</v>
      </c>
      <c r="AH17" s="224"/>
      <c r="AI17" s="269"/>
    </row>
    <row r="18" spans="1:37" s="78" customFormat="1" ht="20.25" x14ac:dyDescent="0.3">
      <c r="A18" s="117" t="s">
        <v>167</v>
      </c>
      <c r="B18" s="118">
        <f>SUM(B15:B17)</f>
        <v>363</v>
      </c>
      <c r="C18" s="118">
        <f t="shared" ref="C18:AC18" si="0">SUM(C15:C17)</f>
        <v>292</v>
      </c>
      <c r="D18" s="118">
        <f t="shared" si="0"/>
        <v>0</v>
      </c>
      <c r="E18" s="118">
        <f t="shared" si="0"/>
        <v>147</v>
      </c>
      <c r="F18" s="118">
        <f t="shared" si="0"/>
        <v>0</v>
      </c>
      <c r="G18" s="118">
        <f t="shared" si="0"/>
        <v>0</v>
      </c>
      <c r="H18" s="118">
        <f t="shared" si="0"/>
        <v>218</v>
      </c>
      <c r="I18" s="118">
        <f t="shared" si="0"/>
        <v>319</v>
      </c>
      <c r="J18" s="118">
        <f t="shared" si="0"/>
        <v>375</v>
      </c>
      <c r="K18" s="118">
        <f t="shared" si="0"/>
        <v>377</v>
      </c>
      <c r="L18" s="118">
        <f t="shared" si="0"/>
        <v>63</v>
      </c>
      <c r="M18" s="118">
        <f t="shared" si="0"/>
        <v>2</v>
      </c>
      <c r="N18" s="175">
        <f t="shared" si="0"/>
        <v>390</v>
      </c>
      <c r="O18" s="175">
        <f t="shared" si="0"/>
        <v>457</v>
      </c>
      <c r="P18" s="175">
        <f t="shared" si="0"/>
        <v>387</v>
      </c>
      <c r="Q18" s="175">
        <f t="shared" si="0"/>
        <v>322</v>
      </c>
      <c r="R18" s="175">
        <f t="shared" si="0"/>
        <v>362</v>
      </c>
      <c r="S18" s="175">
        <f t="shared" si="0"/>
        <v>32</v>
      </c>
      <c r="T18" s="175">
        <f t="shared" si="0"/>
        <v>175</v>
      </c>
      <c r="U18" s="175">
        <f t="shared" si="0"/>
        <v>310</v>
      </c>
      <c r="V18" s="175">
        <f t="shared" si="0"/>
        <v>314</v>
      </c>
      <c r="W18" s="175">
        <f t="shared" si="0"/>
        <v>442</v>
      </c>
      <c r="X18" s="175">
        <f t="shared" si="0"/>
        <v>285</v>
      </c>
      <c r="Y18" s="175">
        <f t="shared" si="0"/>
        <v>292</v>
      </c>
      <c r="Z18" s="175">
        <f t="shared" si="0"/>
        <v>116</v>
      </c>
      <c r="AA18" s="175">
        <f t="shared" si="0"/>
        <v>183</v>
      </c>
      <c r="AB18" s="175">
        <f t="shared" si="0"/>
        <v>362</v>
      </c>
      <c r="AC18" s="175">
        <f t="shared" si="0"/>
        <v>332</v>
      </c>
      <c r="AD18" s="175">
        <f t="shared" ref="AD18:AF18" si="1">SUM(AD15:AD17)</f>
        <v>116</v>
      </c>
      <c r="AE18" s="175">
        <f t="shared" si="1"/>
        <v>183</v>
      </c>
      <c r="AF18" s="175">
        <f t="shared" si="1"/>
        <v>362</v>
      </c>
      <c r="AG18" s="225">
        <f>SUM($B18:AF18)</f>
        <v>7578</v>
      </c>
      <c r="AH18" s="225"/>
      <c r="AI18" s="270"/>
      <c r="AJ18" s="271"/>
      <c r="AK18" s="271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1"/>
      <c r="AH19" s="221"/>
      <c r="AI19" s="272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1">
        <f>SUM($B20:AF20)</f>
        <v>0</v>
      </c>
      <c r="AH20" s="221"/>
      <c r="AI20" s="272"/>
    </row>
    <row r="21" spans="1:37" ht="18" x14ac:dyDescent="0.25">
      <c r="A21" s="121" t="s">
        <v>151</v>
      </c>
      <c r="B21" s="119">
        <f>0.73*(B96+B15)</f>
        <v>119.72</v>
      </c>
      <c r="C21" s="119">
        <f t="shared" ref="C21:AC21" si="2">0.73*(C96+C15)</f>
        <v>129.21</v>
      </c>
      <c r="D21" s="119">
        <f t="shared" si="2"/>
        <v>0</v>
      </c>
      <c r="E21" s="119">
        <f>0.73*(E96+E15)</f>
        <v>91.98</v>
      </c>
      <c r="F21" s="119">
        <f t="shared" si="2"/>
        <v>0</v>
      </c>
      <c r="G21" s="119">
        <f t="shared" si="2"/>
        <v>0</v>
      </c>
      <c r="H21" s="119">
        <f t="shared" si="2"/>
        <v>140.88999999999999</v>
      </c>
      <c r="I21" s="119">
        <f t="shared" si="2"/>
        <v>113.14999999999999</v>
      </c>
      <c r="J21" s="119">
        <f t="shared" si="2"/>
        <v>105.12</v>
      </c>
      <c r="K21" s="119">
        <f t="shared" si="2"/>
        <v>127.02</v>
      </c>
      <c r="L21" s="119">
        <f t="shared" si="2"/>
        <v>24.82</v>
      </c>
      <c r="M21" s="119">
        <f t="shared" si="2"/>
        <v>0</v>
      </c>
      <c r="N21" s="119">
        <f>0.73*(N96+N15)</f>
        <v>115.34</v>
      </c>
      <c r="O21" s="119">
        <f>0.73*(O96+O15)</f>
        <v>115.34</v>
      </c>
      <c r="P21" s="119">
        <f t="shared" si="2"/>
        <v>115.34</v>
      </c>
      <c r="Q21" s="119">
        <f>0.73*(Q96+Q15)</f>
        <v>115.34</v>
      </c>
      <c r="R21" s="119">
        <f t="shared" si="2"/>
        <v>115.34</v>
      </c>
      <c r="S21" s="119">
        <f t="shared" si="2"/>
        <v>115.34</v>
      </c>
      <c r="T21" s="119">
        <f t="shared" si="2"/>
        <v>53.29</v>
      </c>
      <c r="U21" s="119">
        <f t="shared" si="2"/>
        <v>82.49</v>
      </c>
      <c r="V21" s="119">
        <f t="shared" si="2"/>
        <v>96.36</v>
      </c>
      <c r="W21" s="119">
        <f>0.73*(W96+W15)</f>
        <v>131.4</v>
      </c>
      <c r="X21" s="119">
        <f t="shared" si="2"/>
        <v>110.96</v>
      </c>
      <c r="Y21" s="119">
        <f>0.73*(Y96+Y15)</f>
        <v>123.36999999999999</v>
      </c>
      <c r="Z21" s="119">
        <f t="shared" si="2"/>
        <v>29.93</v>
      </c>
      <c r="AA21" s="119">
        <f t="shared" si="2"/>
        <v>29.93</v>
      </c>
      <c r="AB21" s="119">
        <f t="shared" si="2"/>
        <v>29.93</v>
      </c>
      <c r="AC21" s="119">
        <f t="shared" si="2"/>
        <v>29.93</v>
      </c>
      <c r="AD21" s="119">
        <f t="shared" ref="AD21:AF21" si="3">0.73*(AD96+AD15)</f>
        <v>29.93</v>
      </c>
      <c r="AE21" s="119">
        <f t="shared" si="3"/>
        <v>29.93</v>
      </c>
      <c r="AF21" s="119">
        <f t="shared" si="3"/>
        <v>96.36</v>
      </c>
      <c r="AG21" s="221">
        <f>SUM($B21:AF21)</f>
        <v>2417.7599999999989</v>
      </c>
      <c r="AH21" s="226">
        <f>AG24+AG37+AG28</f>
        <v>7848</v>
      </c>
      <c r="AI21" s="272"/>
      <c r="AJ21" s="273" t="e">
        <f>(AH21*10)/AG9</f>
        <v>#REF!</v>
      </c>
    </row>
    <row r="22" spans="1:37" ht="18" x14ac:dyDescent="0.25">
      <c r="A22" s="104"/>
      <c r="B22" s="95"/>
      <c r="C22" s="95"/>
      <c r="D22" s="95"/>
      <c r="E22" s="119">
        <f>0.73*(E97+E16)</f>
        <v>19.71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2"/>
      <c r="AH22" s="212"/>
      <c r="AI22" s="272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21">
        <f>SUM($B23:AF23)</f>
        <v>0</v>
      </c>
      <c r="AH23" s="221"/>
      <c r="AI23" s="272"/>
    </row>
    <row r="24" spans="1:37" ht="18" x14ac:dyDescent="0.25">
      <c r="A24" s="122" t="s">
        <v>165</v>
      </c>
      <c r="B24" s="112">
        <f>'Water '!H7</f>
        <v>211</v>
      </c>
      <c r="C24" s="112">
        <f>'Water '!H8</f>
        <v>166</v>
      </c>
      <c r="D24" s="112">
        <f>'Water '!H9</f>
        <v>13</v>
      </c>
      <c r="E24" s="112">
        <f>'Water '!H10</f>
        <v>58</v>
      </c>
      <c r="F24" s="112">
        <f>'Water '!H11</f>
        <v>8</v>
      </c>
      <c r="G24" s="112">
        <f>'Water '!H12</f>
        <v>6</v>
      </c>
      <c r="H24" s="112">
        <f>'Water '!H13</f>
        <v>152</v>
      </c>
      <c r="I24" s="112">
        <f>'Water '!H14</f>
        <v>263</v>
      </c>
      <c r="J24" s="112">
        <f>'Water '!H15</f>
        <v>258</v>
      </c>
      <c r="K24" s="112">
        <f>'Water '!H16</f>
        <v>204</v>
      </c>
      <c r="L24" s="112">
        <f>'Water '!H17</f>
        <v>51</v>
      </c>
      <c r="M24" s="123">
        <f>'Water '!H18</f>
        <v>9</v>
      </c>
      <c r="N24" s="112">
        <f>'Water '!H19</f>
        <v>271</v>
      </c>
      <c r="O24" s="112">
        <f>'Water '!H20</f>
        <v>253</v>
      </c>
      <c r="P24" s="112">
        <f>'Water '!H21</f>
        <v>287</v>
      </c>
      <c r="Q24" s="112">
        <f>'Water '!H22</f>
        <v>260</v>
      </c>
      <c r="R24" s="112">
        <f>'Water '!H23</f>
        <v>169</v>
      </c>
      <c r="S24" s="112">
        <f>'Water '!H24</f>
        <v>52</v>
      </c>
      <c r="T24" s="112">
        <f>'Water '!H25</f>
        <v>60</v>
      </c>
      <c r="U24" s="112">
        <f>'Water '!H26</f>
        <v>244</v>
      </c>
      <c r="V24" s="112">
        <f>'Water '!H27</f>
        <v>219</v>
      </c>
      <c r="W24" s="112">
        <f>'Water '!H28</f>
        <v>284</v>
      </c>
      <c r="X24" s="112">
        <f>'Water '!H29</f>
        <v>181</v>
      </c>
      <c r="Y24" s="112">
        <f>'Water '!H30</f>
        <v>170</v>
      </c>
      <c r="Z24" s="112">
        <f>'Water '!H31</f>
        <v>97</v>
      </c>
      <c r="AA24" s="112">
        <f>'Water '!H32</f>
        <v>51</v>
      </c>
      <c r="AB24" s="112">
        <f>'Water '!H33</f>
        <v>213</v>
      </c>
      <c r="AC24" s="112">
        <f>'Water '!H34</f>
        <v>234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3">
        <f>SUM($B24:AF24)</f>
        <v>4444</v>
      </c>
      <c r="AH24" s="223"/>
      <c r="AI24" s="223"/>
    </row>
    <row r="25" spans="1:37" s="78" customFormat="1" ht="20.25" x14ac:dyDescent="0.3">
      <c r="A25" s="124" t="s">
        <v>152</v>
      </c>
      <c r="B25" s="118">
        <f>SUM(B23:B24)</f>
        <v>211</v>
      </c>
      <c r="C25" s="118">
        <f t="shared" ref="C25:AC25" si="4">SUM(C23:C24)</f>
        <v>166</v>
      </c>
      <c r="D25" s="118">
        <f t="shared" si="4"/>
        <v>13</v>
      </c>
      <c r="E25" s="118">
        <f t="shared" si="4"/>
        <v>58</v>
      </c>
      <c r="F25" s="118">
        <f t="shared" si="4"/>
        <v>8</v>
      </c>
      <c r="G25" s="118">
        <f t="shared" si="4"/>
        <v>6</v>
      </c>
      <c r="H25" s="118">
        <f t="shared" si="4"/>
        <v>152</v>
      </c>
      <c r="I25" s="118">
        <f t="shared" si="4"/>
        <v>263</v>
      </c>
      <c r="J25" s="118">
        <f t="shared" si="4"/>
        <v>258</v>
      </c>
      <c r="K25" s="118">
        <f t="shared" si="4"/>
        <v>204</v>
      </c>
      <c r="L25" s="118">
        <f t="shared" si="4"/>
        <v>51</v>
      </c>
      <c r="M25" s="118">
        <f t="shared" si="4"/>
        <v>9</v>
      </c>
      <c r="N25" s="118">
        <f t="shared" si="4"/>
        <v>271</v>
      </c>
      <c r="O25" s="118">
        <f t="shared" si="4"/>
        <v>253</v>
      </c>
      <c r="P25" s="118">
        <f t="shared" si="4"/>
        <v>287</v>
      </c>
      <c r="Q25" s="118">
        <f t="shared" si="4"/>
        <v>260</v>
      </c>
      <c r="R25" s="118">
        <f t="shared" si="4"/>
        <v>169</v>
      </c>
      <c r="S25" s="118">
        <f t="shared" si="4"/>
        <v>52</v>
      </c>
      <c r="T25" s="118">
        <f t="shared" si="4"/>
        <v>60</v>
      </c>
      <c r="U25" s="118">
        <f t="shared" si="4"/>
        <v>244</v>
      </c>
      <c r="V25" s="118">
        <f t="shared" si="4"/>
        <v>219</v>
      </c>
      <c r="W25" s="118">
        <f t="shared" si="4"/>
        <v>284</v>
      </c>
      <c r="X25" s="118">
        <f t="shared" si="4"/>
        <v>181</v>
      </c>
      <c r="Y25" s="118">
        <f t="shared" si="4"/>
        <v>170</v>
      </c>
      <c r="Z25" s="118">
        <f t="shared" si="4"/>
        <v>97</v>
      </c>
      <c r="AA25" s="118">
        <f t="shared" si="4"/>
        <v>51</v>
      </c>
      <c r="AB25" s="118">
        <f t="shared" si="4"/>
        <v>213</v>
      </c>
      <c r="AC25" s="118">
        <f t="shared" si="4"/>
        <v>234</v>
      </c>
      <c r="AD25" s="118">
        <f t="shared" ref="AD25:AF25" si="5">SUM(AD23:AD24)</f>
        <v>0</v>
      </c>
      <c r="AE25" s="118">
        <f t="shared" si="5"/>
        <v>0</v>
      </c>
      <c r="AF25" s="118">
        <f t="shared" si="5"/>
        <v>0</v>
      </c>
      <c r="AG25" s="225">
        <f>SUM($B25:AF25)</f>
        <v>4444</v>
      </c>
      <c r="AH25" s="225"/>
      <c r="AI25" s="270"/>
      <c r="AJ25" s="271"/>
      <c r="AK25" s="271"/>
    </row>
    <row r="26" spans="1:37" ht="18" x14ac:dyDescent="0.25">
      <c r="A26" s="109"/>
      <c r="B26" s="125">
        <f>IF(B$9=0,"",+(B25*10)/B$9)</f>
        <v>10.06919589596755</v>
      </c>
      <c r="C26" s="125">
        <f t="shared" ref="C26:AC26" si="6">IF(C$9=0,"",+(C25*10)/C$9)</f>
        <v>8.769705422425087</v>
      </c>
      <c r="D26" s="125" t="str">
        <f t="shared" si="6"/>
        <v/>
      </c>
      <c r="E26" s="125" t="str">
        <f>IF(E$9=0,"",+(E25*10)/E$9)</f>
        <v/>
      </c>
      <c r="F26" s="125" t="str">
        <f t="shared" si="6"/>
        <v/>
      </c>
      <c r="G26" s="125" t="str">
        <f t="shared" si="6"/>
        <v/>
      </c>
      <c r="H26" s="125">
        <f t="shared" si="6"/>
        <v>21.363917467813568</v>
      </c>
      <c r="I26" s="125">
        <f t="shared" si="6"/>
        <v>4.3631320320250575</v>
      </c>
      <c r="J26" s="125">
        <f t="shared" si="6"/>
        <v>3.9605784286635348</v>
      </c>
      <c r="K26" s="125">
        <f t="shared" si="6"/>
        <v>4.7721307563827242</v>
      </c>
      <c r="L26" s="125" t="str">
        <f>IF(L$9=0,"",+(L25*10)/L$9)</f>
        <v/>
      </c>
      <c r="M26" s="125" t="str">
        <f t="shared" si="6"/>
        <v/>
      </c>
      <c r="N26" s="125">
        <f t="shared" si="6"/>
        <v>6.4825712125996304</v>
      </c>
      <c r="O26" s="125">
        <f>IF(O$9=0,"",+(O25*10)/O$9)</f>
        <v>6.3539422067517544</v>
      </c>
      <c r="P26" s="125">
        <f t="shared" si="6"/>
        <v>5.8597019922986773</v>
      </c>
      <c r="Q26" s="125">
        <f t="shared" si="6"/>
        <v>4.1766263140308935</v>
      </c>
      <c r="R26" s="125">
        <f t="shared" si="6"/>
        <v>5.1120105023079674</v>
      </c>
      <c r="S26" s="125" t="str">
        <f t="shared" si="6"/>
        <v/>
      </c>
      <c r="T26" s="125">
        <f t="shared" si="6"/>
        <v>16.125781092521667</v>
      </c>
      <c r="U26" s="125">
        <f t="shared" si="6"/>
        <v>9.5160095160095146</v>
      </c>
      <c r="V26" s="125">
        <f t="shared" si="6"/>
        <v>4.1996985421868347</v>
      </c>
      <c r="W26" s="125">
        <f t="shared" si="6"/>
        <v>5.4899595598753548</v>
      </c>
      <c r="X26" s="125">
        <f t="shared" si="6"/>
        <v>7.488870132234414</v>
      </c>
      <c r="Y26" s="125">
        <f t="shared" si="6"/>
        <v>7.5779863952856008</v>
      </c>
      <c r="Z26" s="125" t="str">
        <f t="shared" si="6"/>
        <v/>
      </c>
      <c r="AA26" s="125" t="e">
        <f t="shared" si="6"/>
        <v>#REF!</v>
      </c>
      <c r="AB26" s="125">
        <f t="shared" si="6"/>
        <v>5.4551601204745221</v>
      </c>
      <c r="AC26" s="125">
        <f t="shared" si="6"/>
        <v>5.1713164315264661</v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</v>
      </c>
      <c r="AG26" s="227"/>
      <c r="AH26" s="227"/>
      <c r="AI26" s="272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1">
        <f>SUM($B27:AF27)</f>
        <v>0</v>
      </c>
      <c r="AH27" s="221"/>
      <c r="AI27" s="272"/>
    </row>
    <row r="28" spans="1:37" ht="18" x14ac:dyDescent="0.25">
      <c r="A28" s="109" t="s">
        <v>126</v>
      </c>
      <c r="B28" s="127">
        <f>+'Water '!$J7</f>
        <v>96</v>
      </c>
      <c r="C28" s="127">
        <f>+'Water '!$J8</f>
        <v>76</v>
      </c>
      <c r="D28" s="127" t="str">
        <f>+'Water '!$J9</f>
        <v>0</v>
      </c>
      <c r="E28" s="127" t="str">
        <f>+'Water '!$J10</f>
        <v>0</v>
      </c>
      <c r="F28" s="127" t="str">
        <f>+'Water '!$J11</f>
        <v>0</v>
      </c>
      <c r="G28" s="127" t="str">
        <f>+'Water '!$J12</f>
        <v>0</v>
      </c>
      <c r="H28" s="111">
        <f>+'Water '!$J13</f>
        <v>140</v>
      </c>
      <c r="I28" s="127">
        <f>+'Water '!$J14</f>
        <v>53</v>
      </c>
      <c r="J28" s="127">
        <f>+'Water '!$J15</f>
        <v>167</v>
      </c>
      <c r="K28" s="127">
        <f>+'Water '!$J16</f>
        <v>112</v>
      </c>
      <c r="L28" s="128" t="str">
        <f>+'Water '!$J17</f>
        <v>0</v>
      </c>
      <c r="M28" s="111" t="str">
        <f>+'Water '!$J18</f>
        <v>0</v>
      </c>
      <c r="N28" s="127">
        <f>+'Water '!$J19</f>
        <v>158</v>
      </c>
      <c r="O28" s="127">
        <f>+'Water '!$J20</f>
        <v>157</v>
      </c>
      <c r="P28" s="127">
        <f>+'Water '!$J21</f>
        <v>177</v>
      </c>
      <c r="Q28" s="127">
        <f>+'Water '!$J22</f>
        <v>161</v>
      </c>
      <c r="R28" s="110">
        <f>+'Water '!$J23</f>
        <v>57</v>
      </c>
      <c r="S28" s="128" t="str">
        <f>+'Water '!$J24</f>
        <v>0</v>
      </c>
      <c r="T28" s="127">
        <f>+'Water '!$J25</f>
        <v>1</v>
      </c>
      <c r="U28" s="127">
        <f>+'Water '!$J26</f>
        <v>130</v>
      </c>
      <c r="V28" s="127">
        <f>+'Water '!$J27</f>
        <v>186</v>
      </c>
      <c r="W28" s="127">
        <f>+'Water '!$J28</f>
        <v>90</v>
      </c>
      <c r="X28" s="127">
        <f>+'Water '!$J29</f>
        <v>147</v>
      </c>
      <c r="Y28" s="127">
        <f>+'Water '!$J30</f>
        <v>140</v>
      </c>
      <c r="Z28" s="127">
        <f>+'Water '!$J31</f>
        <v>123</v>
      </c>
      <c r="AA28" s="127">
        <f>+'Water '!$J32</f>
        <v>81</v>
      </c>
      <c r="AB28" s="128">
        <f>+'Water '!$J33</f>
        <v>196</v>
      </c>
      <c r="AC28" s="127">
        <f>+'Water '!$J34</f>
        <v>161</v>
      </c>
      <c r="AD28" s="127">
        <f>+'Water '!$J31</f>
        <v>123</v>
      </c>
      <c r="AE28" s="127">
        <f>+'Water '!$J32</f>
        <v>81</v>
      </c>
      <c r="AF28" s="128">
        <f>+'Water '!$J33</f>
        <v>196</v>
      </c>
      <c r="AG28" s="221">
        <f>SUM($B28:AF28)</f>
        <v>3009</v>
      </c>
      <c r="AH28" s="221"/>
      <c r="AI28" s="272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 t="str">
        <f>'Water '!AB32</f>
        <v>0</v>
      </c>
      <c r="AF29" s="119">
        <f>'Water '!AB33</f>
        <v>9.271211096768905</v>
      </c>
      <c r="AG29" s="221">
        <f>SUM($B29:AF29)</f>
        <v>9.271211096768905</v>
      </c>
      <c r="AH29" s="221"/>
      <c r="AI29" s="272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1"/>
      <c r="AH30" s="221"/>
      <c r="AI30" s="272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8">
        <f>SUM($B31:AF31)</f>
        <v>0</v>
      </c>
      <c r="AH31" s="228"/>
      <c r="AI31" s="228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2</v>
      </c>
      <c r="P32" s="133">
        <f>'Water '!N19</f>
        <v>72</v>
      </c>
      <c r="Q32" s="133" t="str">
        <f>'Water '!L22</f>
        <v>0</v>
      </c>
      <c r="R32" s="133" t="str">
        <f>'Water '!M22</f>
        <v>0</v>
      </c>
      <c r="S32" s="133">
        <f>'Water '!N22</f>
        <v>20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3</v>
      </c>
      <c r="AE32" s="133" t="str">
        <f>'Water '!P32</f>
        <v>0</v>
      </c>
      <c r="AF32" s="133">
        <f>'Water '!P33</f>
        <v>28</v>
      </c>
      <c r="AG32" s="228">
        <f>SUM($B32:AF32)</f>
        <v>125</v>
      </c>
      <c r="AH32" s="228"/>
      <c r="AI32" s="228"/>
    </row>
    <row r="33" spans="1:37" ht="18" x14ac:dyDescent="0.25">
      <c r="A33" s="132" t="s">
        <v>99</v>
      </c>
      <c r="B33" s="131">
        <f>+'Water '!$N7</f>
        <v>68</v>
      </c>
      <c r="C33" s="131">
        <f>+'Water '!$N8</f>
        <v>23</v>
      </c>
      <c r="D33" s="131" t="str">
        <f>+'Water '!$N9</f>
        <v>0</v>
      </c>
      <c r="E33" s="131" t="str">
        <f>+'Water '!$N10</f>
        <v>0</v>
      </c>
      <c r="F33" s="131" t="str">
        <f>+'Water '!$N11</f>
        <v>0</v>
      </c>
      <c r="G33" s="131" t="str">
        <f>+'Water '!$N12</f>
        <v>0</v>
      </c>
      <c r="H33" s="131">
        <f>+'Water '!$N13</f>
        <v>42</v>
      </c>
      <c r="I33" s="131">
        <f>+'Water '!$N14</f>
        <v>48</v>
      </c>
      <c r="J33" s="131">
        <f>+'Water '!$N15</f>
        <v>31</v>
      </c>
      <c r="K33" s="131">
        <f>+'Water '!$N16</f>
        <v>30</v>
      </c>
      <c r="L33" s="131" t="str">
        <f>+'Water '!$N17</f>
        <v>0</v>
      </c>
      <c r="M33" s="131" t="str">
        <f>+'Water '!$N18</f>
        <v>0</v>
      </c>
      <c r="N33" s="131">
        <f>+'Water '!$N19</f>
        <v>72</v>
      </c>
      <c r="O33" s="131">
        <f>+'Water '!$N19</f>
        <v>72</v>
      </c>
      <c r="P33" s="131">
        <f>+'Water '!$N19</f>
        <v>72</v>
      </c>
      <c r="Q33" s="131">
        <f>+'Water '!$N22</f>
        <v>20</v>
      </c>
      <c r="R33" s="131">
        <f>+'Water '!$N22</f>
        <v>20</v>
      </c>
      <c r="S33" s="131">
        <f>+'Water '!$N22</f>
        <v>20</v>
      </c>
      <c r="T33" s="131">
        <f>+'Water '!$N25</f>
        <v>5</v>
      </c>
      <c r="U33" s="131">
        <f>+'Water '!$N26</f>
        <v>64</v>
      </c>
      <c r="V33" s="131">
        <f>+'Water '!$N27</f>
        <v>30</v>
      </c>
      <c r="W33" s="131">
        <f>+'Water '!$N28</f>
        <v>45</v>
      </c>
      <c r="X33" s="131">
        <f>+'Water '!$N29</f>
        <v>35</v>
      </c>
      <c r="Y33" s="131">
        <f>+'Water '!$N30</f>
        <v>39</v>
      </c>
      <c r="Z33" s="131">
        <f>+'Water '!$N31</f>
        <v>23</v>
      </c>
      <c r="AA33" s="131">
        <f>+'Water '!$N32</f>
        <v>12</v>
      </c>
      <c r="AB33" s="131">
        <f>+'Water '!$N33</f>
        <v>32</v>
      </c>
      <c r="AC33" s="131">
        <f>+'Water '!$N34</f>
        <v>30</v>
      </c>
      <c r="AD33" s="131">
        <f>+'Water '!$N31</f>
        <v>23</v>
      </c>
      <c r="AE33" s="131">
        <f>+'Water '!$N32</f>
        <v>12</v>
      </c>
      <c r="AF33" s="131">
        <f>+'Water '!$N33</f>
        <v>32</v>
      </c>
      <c r="AG33" s="228">
        <f>SUM($B33:AF33)</f>
        <v>900</v>
      </c>
      <c r="AH33" s="228"/>
      <c r="AI33" s="228"/>
      <c r="AJ33" s="265">
        <f>34294/2.2</f>
        <v>15588.181818181816</v>
      </c>
    </row>
    <row r="34" spans="1:37" ht="18" x14ac:dyDescent="0.25">
      <c r="A34" s="121" t="s">
        <v>128</v>
      </c>
      <c r="B34" s="134">
        <f>+'Water '!$O7</f>
        <v>60</v>
      </c>
      <c r="C34" s="134">
        <f>+'Water '!$O8</f>
        <v>57</v>
      </c>
      <c r="D34" s="134" t="str">
        <f>+'Water '!$O9</f>
        <v>0</v>
      </c>
      <c r="E34" s="134">
        <f>+'Water '!$O10</f>
        <v>34</v>
      </c>
      <c r="F34" s="134" t="str">
        <f>+'Water '!$O11</f>
        <v>0</v>
      </c>
      <c r="G34" s="134" t="str">
        <f>+'Water '!$O12</f>
        <v>0</v>
      </c>
      <c r="H34" s="134">
        <f>+'Water '!$O13</f>
        <v>38</v>
      </c>
      <c r="I34" s="134">
        <f>+'Water '!$O14</f>
        <v>120</v>
      </c>
      <c r="J34" s="134">
        <f>+'Water '!$O15</f>
        <v>136</v>
      </c>
      <c r="K34" s="134">
        <f>+'Water '!$O16</f>
        <v>79</v>
      </c>
      <c r="L34" s="134">
        <f>+'Water '!$O17</f>
        <v>26</v>
      </c>
      <c r="M34" s="134" t="str">
        <f>+'Water '!$O18</f>
        <v>0</v>
      </c>
      <c r="N34" s="134">
        <f>+'Water '!$O19</f>
        <v>103</v>
      </c>
      <c r="O34" s="134">
        <f>+'Water '!$O19</f>
        <v>103</v>
      </c>
      <c r="P34" s="134">
        <f>+'Water '!$O19</f>
        <v>103</v>
      </c>
      <c r="Q34" s="134">
        <f>+'Water '!$O19</f>
        <v>103</v>
      </c>
      <c r="R34" s="134">
        <f>+'Water '!$O19</f>
        <v>103</v>
      </c>
      <c r="S34" s="134">
        <f>+'Water '!$O19</f>
        <v>103</v>
      </c>
      <c r="T34" s="134">
        <f>+'Water '!$O25</f>
        <v>33</v>
      </c>
      <c r="U34" s="134">
        <f>+'Water '!$O26</f>
        <v>70</v>
      </c>
      <c r="V34" s="134">
        <f>+'Water '!$O27</f>
        <v>109</v>
      </c>
      <c r="W34" s="134">
        <f>+'Water '!$O28</f>
        <v>126</v>
      </c>
      <c r="X34" s="134">
        <f>+'Water '!$O29</f>
        <v>84</v>
      </c>
      <c r="Y34" s="134">
        <f>+'Water '!$O30</f>
        <v>36</v>
      </c>
      <c r="Z34" s="134">
        <f>+'Water '!$O31</f>
        <v>24</v>
      </c>
      <c r="AA34" s="134">
        <f>+'Water '!$O32</f>
        <v>25</v>
      </c>
      <c r="AB34" s="134">
        <f>+'Water '!$O33</f>
        <v>108</v>
      </c>
      <c r="AC34" s="134">
        <f>+'Water '!$O34</f>
        <v>97</v>
      </c>
      <c r="AD34" s="134">
        <f>+'Water '!$O31</f>
        <v>24</v>
      </c>
      <c r="AE34" s="134">
        <f>+'Water '!$O32</f>
        <v>25</v>
      </c>
      <c r="AF34" s="134">
        <f>+'Water '!$O33</f>
        <v>108</v>
      </c>
      <c r="AG34" s="229">
        <f>SUM($B34:AF34)</f>
        <v>2037</v>
      </c>
      <c r="AH34" s="229"/>
      <c r="AI34" s="229"/>
    </row>
    <row r="35" spans="1:37" ht="17.25" customHeight="1" x14ac:dyDescent="0.25">
      <c r="A35" s="121" t="s">
        <v>169</v>
      </c>
      <c r="B35" s="119">
        <f>IF('Entries April 2026'!AC7-'Entries April 2026'!AC6&lt;1,0,'Entries April 2026'!AC7-'Entries April 2026'!AC6)</f>
        <v>13</v>
      </c>
      <c r="C35" s="119">
        <f>IF('Entries April 2026'!AC8-'Entries April 2026'!AC7&lt;1,0,'Entries April 2026'!AC8-'Entries April 2026'!AC7)</f>
        <v>21</v>
      </c>
      <c r="D35" s="119">
        <f>IF('Entries April 2026'!AC9-'Entries April 2026'!AC8&lt;1,0,'Entries April 2026'!AC9-'Entries April 2026'!AC8)</f>
        <v>0</v>
      </c>
      <c r="E35" s="119">
        <f>IF('Entries April 2026'!AC10-'Entries April 2026'!AC9&lt;1,0,'Entries April 2026'!AC10-'Entries April 2026'!AC9)</f>
        <v>0</v>
      </c>
      <c r="F35" s="119">
        <f>IF('Entries April 2026'!AC11-'Entries April 2026'!AC10&lt;1,0,'Entries April 2026'!AC11-'Entries April 2026'!AC10)</f>
        <v>0</v>
      </c>
      <c r="G35" s="119">
        <f>IF('Entries April 2026'!AC12-'Entries April 2026'!AC11&lt;1,0,'Entries April 2026'!AC12-'Entries April 2026'!AC11)</f>
        <v>0</v>
      </c>
      <c r="H35" s="119">
        <f>IF('Entries April 2026'!AC13-'Entries April 2026'!AC12&lt;1,0,'Entries April 2026'!AC13-'Entries April 2026'!AC12)</f>
        <v>17</v>
      </c>
      <c r="I35" s="119">
        <f>IF('Entries April 2026'!AC14-'Entries April 2026'!AC13&lt;1,0,'Entries April 2026'!AC14-'Entries April 2026'!AC13)</f>
        <v>32</v>
      </c>
      <c r="J35" s="119">
        <f>IF('Entries April 2026'!AC15-'Entries April 2026'!AC14&lt;1,0,'Entries April 2026'!AC15-'Entries April 2026'!AC14)</f>
        <v>33</v>
      </c>
      <c r="K35" s="119">
        <f>IF('Entries April 2026'!AC16-'Entries April 2026'!AC15&lt;1,0,'Entries April 2026'!AC16-'Entries April 2026'!AC15)</f>
        <v>25</v>
      </c>
      <c r="L35" s="119">
        <f>IF('Entries April 2026'!AC17-'Entries April 2026'!AC16&lt;1,0,'Entries April 2026'!AC17-'Entries April 2026'!AC16)</f>
        <v>0</v>
      </c>
      <c r="M35" s="119">
        <f>IF('Entries April 2026'!AC18-'Entries April 2026'!AC17&lt;1,0,'Entries April 2026'!AC18-'Entries April 2026'!AC17)</f>
        <v>0</v>
      </c>
      <c r="N35" s="95">
        <f>IF('Entries April 2026'!AC19-'Entries April 2026'!AC18&lt;1,0,'Entries April 2026'!AC19-'Entries April 2026'!AC18)</f>
        <v>28</v>
      </c>
      <c r="O35" s="95">
        <f>IF('Entries April 2026'!AC20-'Entries April 2026'!AC19&lt;1,0,'Entries April 2026'!AC20-'Entries April 2026'!AC19)</f>
        <v>29</v>
      </c>
      <c r="P35" s="95">
        <f>IF('Entries April 2026'!AC21-'Entries April 2026'!AC20&lt;1,0,'Entries April 2026'!AC21-'Entries April 2026'!AC20)</f>
        <v>34</v>
      </c>
      <c r="Q35" s="95">
        <f>IF('Entries April 2026'!AC22-'Entries April 2026'!AC21&lt;1,0,'Entries April 2026'!AC22-'Entries April 2026'!AC21)</f>
        <v>31</v>
      </c>
      <c r="R35" s="95">
        <f>IF('Entries April 2026'!AC23-'Entries April 2026'!AC22&lt;1,0,'Entries April 2026'!AC23-'Entries April 2026'!AC22)</f>
        <v>22</v>
      </c>
      <c r="S35" s="95">
        <f>IF('Entries April 2026'!AC24-'Entries April 2026'!AC23&lt;1,0,'Entries April 2026'!AC24-'Entries April 2026'!AC23)</f>
        <v>0</v>
      </c>
      <c r="T35" s="95">
        <f>IF('Entries April 2026'!AC25-'Entries April 2026'!AC24&lt;1,0,'Entries April 2026'!AC25-'Entries April 2026'!AC24)</f>
        <v>0</v>
      </c>
      <c r="U35" s="95">
        <f>IF('Entries April 2026'!AC26-'Entries April 2026'!AC25&lt;1,0,'Entries April 2026'!AC26-'Entries April 2026'!AC25)</f>
        <v>26</v>
      </c>
      <c r="V35" s="95">
        <f>IF('Entries April 2026'!AC27-'Entries April 2026'!AC26&lt;1,0,'Entries April 2026'!AC27-'Entries April 2026'!AC26)</f>
        <v>32</v>
      </c>
      <c r="W35" s="95">
        <f>IF('Entries April 2026'!$AC28-'Entries April 2026'!$AC27&lt;1,0,'Entries April 2026'!$AC28-'Entries April 2026'!$AC27)</f>
        <v>33</v>
      </c>
      <c r="X35" s="95">
        <f>IF('Entries April 2026'!$AC29-'Entries April 2026'!$AC28&lt;1,0,'Entries April 2026'!$AC29-'Entries April 2026'!$AC28)</f>
        <v>28</v>
      </c>
      <c r="Y35" s="95">
        <f>IF('Entries April 2026'!$AC30-'Entries April 2026'!$AC29&lt;1,0,'Entries April 2026'!$AC30-'Entries April 2026'!$AC29)</f>
        <v>16</v>
      </c>
      <c r="Z35" s="95">
        <f>IF('Entries April 2026'!$AC31-'Entries April 2026'!$AC30&lt;1,0,'Entries April 2026'!$AC31-'Entries April 2026'!$AC30)</f>
        <v>3</v>
      </c>
      <c r="AA35" s="95">
        <f>IF('Entries April 2026'!$AC32-'Entries April 2026'!$AC31&lt;1,0,'Entries April 2026'!$AC32-'Entries April 2026'!$AC31)</f>
        <v>0</v>
      </c>
      <c r="AB35" s="95">
        <f>IF('Entries April 2026'!$AC33-'Entries April 2026'!$AC32&lt;1,0,'Entries April 2026'!$AC33-'Entries April 2026'!$AC32)</f>
        <v>28</v>
      </c>
      <c r="AC35" s="95">
        <f>IF('Entries April 2026'!$AC34-'Entries April 2026'!$AC33&lt;1,0,'Entries April 2026'!$AC34-'Entries April 2026'!$AC33)</f>
        <v>25</v>
      </c>
      <c r="AD35" s="95">
        <f>IF('Entries April 2026'!$AC31-'Entries April 2026'!$AC30&lt;1,0,'Entries April 2026'!$AC31-'Entries April 2026'!$AC30)</f>
        <v>3</v>
      </c>
      <c r="AE35" s="95">
        <f>IF('Entries April 2026'!$AC32-'Entries April 2026'!$AC31&lt;1,0,'Entries April 2026'!$AC32-'Entries April 2026'!$AC31)</f>
        <v>0</v>
      </c>
      <c r="AF35" s="95">
        <f>IF('Entries April 2026'!$AC33-'Entries April 2026'!$AC32&lt;1,0,'Entries April 2026'!$AC33-'Entries April 2026'!$AC32)</f>
        <v>28</v>
      </c>
      <c r="AG35" s="221">
        <f>SUM($B35:AF35)</f>
        <v>507</v>
      </c>
      <c r="AH35" s="221"/>
      <c r="AI35" s="272"/>
    </row>
    <row r="36" spans="1:37" ht="18" x14ac:dyDescent="0.25">
      <c r="A36" s="109" t="s">
        <v>127</v>
      </c>
      <c r="B36" s="110">
        <f>+'Water '!$M7</f>
        <v>2</v>
      </c>
      <c r="C36" s="110">
        <f>+'Water '!$M8</f>
        <v>2</v>
      </c>
      <c r="D36" s="110" t="str">
        <f>+'Water '!$M9</f>
        <v>0</v>
      </c>
      <c r="E36" s="110" t="str">
        <f>+'Water '!$M10</f>
        <v>0</v>
      </c>
      <c r="F36" s="110" t="str">
        <f>+'Water '!$M11</f>
        <v>0</v>
      </c>
      <c r="G36" s="110" t="str">
        <f>+'Water '!$M12</f>
        <v>0</v>
      </c>
      <c r="H36" s="110">
        <f>+'Water '!$M13</f>
        <v>3</v>
      </c>
      <c r="I36" s="110">
        <f>+'Water '!$M14</f>
        <v>1</v>
      </c>
      <c r="J36" s="110">
        <f>+'Water '!$M15</f>
        <v>1</v>
      </c>
      <c r="K36" s="110" t="str">
        <f>+'Water '!$M16</f>
        <v>0</v>
      </c>
      <c r="L36" s="110" t="str">
        <f>+'Water '!$M17</f>
        <v>0</v>
      </c>
      <c r="M36" s="110" t="str">
        <f>+'Water '!$M18</f>
        <v>0</v>
      </c>
      <c r="N36" s="110">
        <f>+'Water '!$M19</f>
        <v>2</v>
      </c>
      <c r="O36" s="110" t="str">
        <f>+'Water '!$M20</f>
        <v>0</v>
      </c>
      <c r="P36" s="110" t="str">
        <f>+'Water '!$M21</f>
        <v>0</v>
      </c>
      <c r="Q36" s="110" t="str">
        <f>+'Water '!$M22</f>
        <v>0</v>
      </c>
      <c r="R36" s="110" t="str">
        <f>+'Water '!$M23</f>
        <v>0</v>
      </c>
      <c r="S36" s="110" t="str">
        <f>+'Water '!$M24</f>
        <v>0</v>
      </c>
      <c r="T36" s="110" t="str">
        <f>+'Water '!$M25</f>
        <v>0</v>
      </c>
      <c r="U36" s="110">
        <f>+'Water '!$M26</f>
        <v>6</v>
      </c>
      <c r="V36" s="110" t="str">
        <f>+'Water '!$M27</f>
        <v>0</v>
      </c>
      <c r="W36" s="110" t="str">
        <f>+'Water '!$M28</f>
        <v>0</v>
      </c>
      <c r="X36" s="110">
        <f>+'Water '!$M29</f>
        <v>4</v>
      </c>
      <c r="Y36" s="110" t="str">
        <f>+'Water '!$M30</f>
        <v>0</v>
      </c>
      <c r="Z36" s="110" t="str">
        <f>+'Water '!$M31</f>
        <v>0</v>
      </c>
      <c r="AA36" s="110" t="str">
        <f>+'Water '!$M32</f>
        <v>0</v>
      </c>
      <c r="AB36" s="110">
        <f>+'Water '!$M33</f>
        <v>4</v>
      </c>
      <c r="AC36" s="110">
        <f>+'Water '!$M34</f>
        <v>1</v>
      </c>
      <c r="AD36" s="110" t="str">
        <f>+'Water '!$M31</f>
        <v>0</v>
      </c>
      <c r="AE36" s="110" t="str">
        <f>+'Water '!$M32</f>
        <v>0</v>
      </c>
      <c r="AF36" s="110">
        <f>+'Water '!$M33</f>
        <v>4</v>
      </c>
      <c r="AG36" s="221">
        <f>SUM($B36:AF36)</f>
        <v>30</v>
      </c>
      <c r="AH36" s="221"/>
      <c r="AI36" s="272"/>
    </row>
    <row r="37" spans="1:37" ht="18" x14ac:dyDescent="0.25">
      <c r="A37" s="132" t="s">
        <v>129</v>
      </c>
      <c r="B37" s="131">
        <f>+'Water '!$Q7</f>
        <v>13</v>
      </c>
      <c r="C37" s="131">
        <f>+'Water '!$Q8</f>
        <v>4</v>
      </c>
      <c r="D37" s="131">
        <f>+'Water '!$Q9</f>
        <v>17</v>
      </c>
      <c r="E37" s="131">
        <f>+'Water '!$Q10</f>
        <v>2</v>
      </c>
      <c r="F37" s="131" t="str">
        <f>+'Water '!$Q11</f>
        <v>0</v>
      </c>
      <c r="G37" s="131">
        <f>+'Water '!$Q12</f>
        <v>4</v>
      </c>
      <c r="H37" s="131">
        <f>+'Water '!$Q13</f>
        <v>15</v>
      </c>
      <c r="I37" s="131">
        <f>+'Water '!$Q14</f>
        <v>15</v>
      </c>
      <c r="J37" s="131">
        <f>+'Water '!$Q15</f>
        <v>17</v>
      </c>
      <c r="K37" s="131">
        <f>+'Water '!$Q16</f>
        <v>16</v>
      </c>
      <c r="L37" s="131">
        <f>+'Water '!$Q17</f>
        <v>1</v>
      </c>
      <c r="M37" s="131">
        <f>+'Water '!$Q18</f>
        <v>2</v>
      </c>
      <c r="N37" s="131">
        <f>+'Water '!$Q19</f>
        <v>19</v>
      </c>
      <c r="O37" s="131">
        <f>+'Water '!$Q19</f>
        <v>19</v>
      </c>
      <c r="P37" s="131">
        <f>+'Water '!$Q21</f>
        <v>23</v>
      </c>
      <c r="Q37" s="131">
        <f>+'Water '!$Q22</f>
        <v>12</v>
      </c>
      <c r="R37" s="131">
        <f>+'Water '!$Q22</f>
        <v>12</v>
      </c>
      <c r="S37" s="131" t="str">
        <f>+'Water '!$Q24</f>
        <v>0</v>
      </c>
      <c r="T37" s="131">
        <f>+'Water '!$Q25</f>
        <v>12</v>
      </c>
      <c r="U37" s="131">
        <f>+'Water '!$Q26</f>
        <v>16</v>
      </c>
      <c r="V37" s="131">
        <f>+'Water '!$Q27</f>
        <v>26</v>
      </c>
      <c r="W37" s="131">
        <f>+'Water '!$Q28</f>
        <v>27</v>
      </c>
      <c r="X37" s="131">
        <f>+'Water '!$Q29</f>
        <v>27</v>
      </c>
      <c r="Y37" s="131">
        <f>+'Water '!$Q30</f>
        <v>25</v>
      </c>
      <c r="Z37" s="131">
        <f>+'Water '!$Q31</f>
        <v>6</v>
      </c>
      <c r="AA37" s="131">
        <f>+'Water '!$Q32</f>
        <v>5</v>
      </c>
      <c r="AB37" s="131">
        <f>+'Water '!$Q33</f>
        <v>18</v>
      </c>
      <c r="AC37" s="131">
        <f>+'Water '!$Q34</f>
        <v>13</v>
      </c>
      <c r="AD37" s="131">
        <f>+'Water '!$Q31</f>
        <v>6</v>
      </c>
      <c r="AE37" s="131">
        <f>+'Water '!$Q32</f>
        <v>5</v>
      </c>
      <c r="AF37" s="131">
        <f>+'Water '!$Q33</f>
        <v>18</v>
      </c>
      <c r="AG37" s="228">
        <f>SUM($B37:AF37)</f>
        <v>395</v>
      </c>
      <c r="AH37" s="228"/>
      <c r="AI37" s="228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30">
        <f>SUM($B38:AF38)</f>
        <v>0</v>
      </c>
      <c r="AH38" s="230"/>
      <c r="AI38" s="274"/>
      <c r="AJ38" s="275"/>
      <c r="AK38" s="275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1">
        <f>SUM($B39:AF39)</f>
        <v>0</v>
      </c>
      <c r="AH39" s="221"/>
      <c r="AI39" s="272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112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 t="str">
        <f>'Water '!M32</f>
        <v>0</v>
      </c>
      <c r="AF40" s="119">
        <f>'Water '!M33</f>
        <v>4</v>
      </c>
      <c r="AG40" s="221">
        <f>SUM($B40:AF40)</f>
        <v>116</v>
      </c>
      <c r="AH40" s="221"/>
      <c r="AI40" s="272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1"/>
      <c r="AH41" s="221"/>
      <c r="AI41" s="276"/>
    </row>
    <row r="42" spans="1:37" s="88" customFormat="1" ht="20.25" x14ac:dyDescent="0.3">
      <c r="A42" s="137" t="s">
        <v>192</v>
      </c>
      <c r="B42" s="138">
        <f t="shared" ref="B42:AF42" si="8">SUM(B28:B41)</f>
        <v>252</v>
      </c>
      <c r="C42" s="138">
        <f>SUM(C28:C41)</f>
        <v>183</v>
      </c>
      <c r="D42" s="138">
        <f t="shared" si="8"/>
        <v>17</v>
      </c>
      <c r="E42" s="138">
        <f>SUM(E28:E41)</f>
        <v>36</v>
      </c>
      <c r="F42" s="138">
        <f t="shared" si="8"/>
        <v>0</v>
      </c>
      <c r="G42" s="138">
        <f>SUM(G28:G41)</f>
        <v>4</v>
      </c>
      <c r="H42" s="138">
        <f t="shared" si="8"/>
        <v>255</v>
      </c>
      <c r="I42" s="138">
        <f t="shared" si="8"/>
        <v>269</v>
      </c>
      <c r="J42" s="138">
        <f t="shared" si="8"/>
        <v>385</v>
      </c>
      <c r="K42" s="138">
        <f t="shared" si="8"/>
        <v>262</v>
      </c>
      <c r="L42" s="138">
        <f t="shared" si="8"/>
        <v>139</v>
      </c>
      <c r="M42" s="138">
        <f t="shared" si="8"/>
        <v>2</v>
      </c>
      <c r="N42" s="138">
        <f>SUM(N28:N41)</f>
        <v>382</v>
      </c>
      <c r="O42" s="138">
        <f>SUM(O28:O41)</f>
        <v>382</v>
      </c>
      <c r="P42" s="138">
        <f t="shared" si="8"/>
        <v>481</v>
      </c>
      <c r="Q42" s="138">
        <f t="shared" si="8"/>
        <v>327</v>
      </c>
      <c r="R42" s="138">
        <f t="shared" si="8"/>
        <v>214</v>
      </c>
      <c r="S42" s="138">
        <f t="shared" si="8"/>
        <v>143</v>
      </c>
      <c r="T42" s="138">
        <f t="shared" si="8"/>
        <v>51</v>
      </c>
      <c r="U42" s="138">
        <f t="shared" si="8"/>
        <v>312</v>
      </c>
      <c r="V42" s="138">
        <f t="shared" si="8"/>
        <v>383</v>
      </c>
      <c r="W42" s="138">
        <f t="shared" si="8"/>
        <v>321</v>
      </c>
      <c r="X42" s="138">
        <f t="shared" si="8"/>
        <v>325</v>
      </c>
      <c r="Y42" s="138">
        <f t="shared" si="8"/>
        <v>256</v>
      </c>
      <c r="Z42" s="138">
        <f t="shared" si="8"/>
        <v>179</v>
      </c>
      <c r="AA42" s="138">
        <f>SUM(AA28:AA41)</f>
        <v>123</v>
      </c>
      <c r="AB42" s="138">
        <f t="shared" si="8"/>
        <v>386</v>
      </c>
      <c r="AC42" s="138">
        <f t="shared" si="8"/>
        <v>327</v>
      </c>
      <c r="AD42" s="138">
        <f t="shared" si="8"/>
        <v>182</v>
      </c>
      <c r="AE42" s="138">
        <f t="shared" si="8"/>
        <v>123</v>
      </c>
      <c r="AF42" s="138">
        <f t="shared" si="8"/>
        <v>427.27121109676887</v>
      </c>
      <c r="AG42" s="231">
        <f>SUM($B42:AF42)</f>
        <v>7128.2712110967686</v>
      </c>
      <c r="AH42" s="231"/>
      <c r="AI42" s="277"/>
      <c r="AJ42" s="278"/>
      <c r="AK42" s="278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2"/>
      <c r="AH43" s="222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2"/>
      <c r="AH44" s="222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2"/>
      <c r="AH45" s="232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2"/>
      <c r="AH46" s="232"/>
    </row>
    <row r="47" spans="1:37" s="182" customFormat="1" ht="26.25" x14ac:dyDescent="0.4">
      <c r="A47" s="181" t="s">
        <v>194</v>
      </c>
      <c r="B47" s="178">
        <f>IF('Entries April 2026'!M7-'Entries April 2026'!M6&lt;1,0,'Entries April 2026'!M7-'Entries April 2026'!M6)</f>
        <v>1627.3800000000047</v>
      </c>
      <c r="C47" s="178">
        <f>IF('Entries April 2026'!M8-'Entries April 2026'!M7&lt;1,0,'Entries April 2026'!M8-'Entries April 2026'!M7)</f>
        <v>1816.5</v>
      </c>
      <c r="D47" s="178">
        <f>IF('Entries April 2026'!M9-'Entries April 2026'!M8&lt;1,0,'Entries April 2026'!M9-'Entries April 2026'!M8)</f>
        <v>0</v>
      </c>
      <c r="E47" s="178">
        <f>IF('Entries April 2026'!M10-'Entries April 2026'!M9&lt;1,0,'Entries April 2026'!M10-'Entries April 2026'!M9)</f>
        <v>0</v>
      </c>
      <c r="F47" s="178">
        <f>IF('Entries April 2026'!M11-'Entries April 2026'!M10&lt;1,0,'Entries April 2026'!M11-'Entries April 2026'!M10)</f>
        <v>0</v>
      </c>
      <c r="G47" s="178" t="e">
        <f>IF('Entries April 2026'!#REF!-'Entries April 2026'!M11&lt;1,0,'Entries April 2026'!#REF!-'Entries April 2026'!M11)</f>
        <v>#REF!</v>
      </c>
      <c r="H47" s="178" t="e">
        <f>IF('Entries April 2026'!M13-'Entries April 2026'!#REF!&lt;1,0,'Entries April 2026'!M13-'Entries April 2026'!#REF!)</f>
        <v>#REF!</v>
      </c>
      <c r="I47" s="178">
        <f>IF('Entries April 2026'!M14-'Entries April 2026'!M13&lt;1,0,'Entries April 2026'!M14-'Entries April 2026'!M13)</f>
        <v>3112.1500000000233</v>
      </c>
      <c r="J47" s="178">
        <f>IF('Entries April 2026'!M15-'Entries April 2026'!M14&lt;1,0,'Entries April 2026'!M15-'Entries April 2026'!M14)</f>
        <v>3511.679999999993</v>
      </c>
      <c r="K47" s="178">
        <f>IF('Entries April 2026'!M16-'Entries April 2026'!M15&lt;1,0,'Entries April 2026'!M16-'Entries April 2026'!M15)</f>
        <v>3094.1900000000023</v>
      </c>
      <c r="L47" s="177">
        <f>IF('Entries April 2026'!M17-'Entries April 2026'!M16&lt;1,0,'Entries April 2026'!M17-'Entries April 2026'!M16)</f>
        <v>0</v>
      </c>
      <c r="M47" s="178">
        <f>IF('Entries April 2026'!M18-'Entries April 2026'!M17&lt;1,0,'Entries April 2026'!M18-'Entries April 2026'!M17)</f>
        <v>0</v>
      </c>
      <c r="N47" s="178">
        <f>IF('Entries April 2026'!M19-'Entries April 2026'!M18&lt;1,0,'Entries April 2026'!M19-'Entries April 2026'!M18)</f>
        <v>2093.3099999999977</v>
      </c>
      <c r="O47" s="178">
        <f>IF('Entries April 2026'!M20-'Entries April 2026'!M19&lt;1,0,'Entries April 2026'!M20-'Entries April 2026'!M19)</f>
        <v>2123.5</v>
      </c>
      <c r="P47" s="178">
        <f>IF('Entries April 2026'!M21-'Entries April 2026'!M20&lt;1,0,'Entries April 2026'!M21-'Entries April 2026'!M20)</f>
        <v>2343.9199999999837</v>
      </c>
      <c r="Q47" s="178">
        <f>IF('Entries April 2026'!M22-'Entries April 2026'!M21&lt;1,0,'Entries April 2026'!M22-'Entries April 2026'!M21)</f>
        <v>2492.7300000000396</v>
      </c>
      <c r="R47" s="178">
        <f>IF('Entries April 2026'!M23-'Entries April 2026'!M22&lt;1,0,'Entries April 2026'!M23-'Entries April 2026'!M22)</f>
        <v>1931.8499999999767</v>
      </c>
      <c r="S47" s="178">
        <f>IF('Entries April 2026'!N23-'Entries April 2026'!N22&lt;1,0,'Entries April 2026'!N23-'Entries April 2026'!N22)</f>
        <v>199.20999999999913</v>
      </c>
      <c r="T47" s="178">
        <f>IF('Entries April 2026'!O23-'Entries April 2026'!O22&lt;1,0,'Entries April 2026'!O23-'Entries April 2026'!O22)</f>
        <v>182</v>
      </c>
      <c r="U47" s="178">
        <f>IF('Entries April 2026'!P23-'Entries April 2026'!P22&lt;1,0,'Entries April 2026'!P23-'Entries April 2026'!P22)</f>
        <v>180</v>
      </c>
      <c r="V47" s="178">
        <f>IF('Entries April 2026'!O24-'Entries April 2026'!O23&lt;1,0,'Entries April 2026'!O24-'Entries April 2026'!O23)</f>
        <v>0</v>
      </c>
      <c r="W47" s="178">
        <f>IF('Entries April 2026'!P24-'Entries April 2026'!P23&lt;1,0,'Entries April 2026'!P24-'Entries April 2026'!P23)</f>
        <v>32</v>
      </c>
      <c r="X47" s="178">
        <f>IF('Entries April 2026'!Q24-'Entries April 2026'!Q23&lt;1,0,'Entries April 2026'!Q24-'Entries April 2026'!Q23)</f>
        <v>52</v>
      </c>
      <c r="Y47" s="178">
        <f>IF('Entries April 2026'!R24-'Entries April 2026'!R23&lt;1,0,'Entries April 2026'!R24-'Entries April 2026'!R23)</f>
        <v>0</v>
      </c>
      <c r="Z47" s="178">
        <f>IF('Entries April 2026'!S24-'Entries April 2026'!S23&lt;1,0,'Entries April 2026'!S24-'Entries April 2026'!S23)</f>
        <v>0</v>
      </c>
      <c r="AA47" s="178">
        <f>IF('Entries April 2026'!T24-'Entries April 2026'!T23&lt;1,0,'Entries April 2026'!T24-'Entries April 2026'!T23)</f>
        <v>0</v>
      </c>
      <c r="AB47" s="178">
        <f>IF('Entries April 2026'!U24-'Entries April 2026'!U23&lt;1,0,'Entries April 2026'!U24-'Entries April 2026'!U23)</f>
        <v>0</v>
      </c>
      <c r="AC47" s="178">
        <f>IF('Entries April 2026'!V24-'Entries April 2026'!V23&lt;1,0,'Entries April 2026'!V24-'Entries April 2026'!V23)</f>
        <v>35</v>
      </c>
      <c r="AD47" s="178">
        <f>IF('Entries April 2026'!W24-'Entries April 2026'!W23&lt;1,0,'Entries April 2026'!W24-'Entries April 2026'!W23)</f>
        <v>0</v>
      </c>
      <c r="AE47" s="178">
        <f>IF('Entries April 2026'!X24-'Entries April 2026'!X23&lt;1,0,'Entries April 2026'!X24-'Entries April 2026'!X23)</f>
        <v>0</v>
      </c>
      <c r="AF47" s="178">
        <f>IF('Entries April 2026'!Y24-'Entries April 2026'!Y23&lt;1,0,'Entries April 2026'!Y24-'Entries April 2026'!Y23)</f>
        <v>4</v>
      </c>
      <c r="AG47" s="233" t="e">
        <f>SUM($B47:AF47)</f>
        <v>#REF!</v>
      </c>
      <c r="AH47" s="234"/>
      <c r="AI47" s="234"/>
      <c r="AJ47" s="279"/>
      <c r="AK47" s="279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5"/>
      <c r="AH48" s="216"/>
      <c r="AI48" s="280"/>
    </row>
    <row r="49" spans="1:37" s="188" customFormat="1" ht="20.25" x14ac:dyDescent="0.3">
      <c r="A49" s="186" t="s">
        <v>195</v>
      </c>
      <c r="B49" s="187">
        <f>'Daily KPIs'!B76</f>
        <v>117.81999999999971</v>
      </c>
      <c r="C49" s="187">
        <f>'Daily KPIs'!C76</f>
        <v>140.04999999999563</v>
      </c>
      <c r="D49" s="187" t="str">
        <f>'Daily KPIs'!D76</f>
        <v>0</v>
      </c>
      <c r="E49" s="187" t="str">
        <f>'Daily KPIs'!E76</f>
        <v>0</v>
      </c>
      <c r="F49" s="187" t="str">
        <f>'Daily KPIs'!F76</f>
        <v>0</v>
      </c>
      <c r="G49" s="187" t="str">
        <f>'Daily KPIs'!G76</f>
        <v>0</v>
      </c>
      <c r="H49" s="187">
        <f>'Daily KPIs'!H76</f>
        <v>136.22000000000116</v>
      </c>
      <c r="I49" s="187">
        <f>'Daily KPIs'!I76</f>
        <v>317.34000000000378</v>
      </c>
      <c r="J49" s="187">
        <f>'Daily KPIs'!J76</f>
        <v>408.63999999999942</v>
      </c>
      <c r="K49" s="187">
        <f>'Daily KPIs'!K76</f>
        <v>286.47999999999593</v>
      </c>
      <c r="L49" s="187" t="str">
        <f>'Daily KPIs'!L76</f>
        <v>0</v>
      </c>
      <c r="M49" s="187" t="str">
        <f>'Daily KPIs'!M76</f>
        <v>0</v>
      </c>
      <c r="N49" s="187">
        <f>'Daily KPIs'!N76</f>
        <v>272.67000000000553</v>
      </c>
      <c r="O49" s="187">
        <f>'Daily KPIs'!O76</f>
        <v>257.64999999999418</v>
      </c>
      <c r="P49" s="187">
        <f>'Daily KPIs'!P76</f>
        <v>331.28000000000611</v>
      </c>
      <c r="Q49" s="187">
        <f>'Daily KPIs'!Q76</f>
        <v>356.82999999999447</v>
      </c>
      <c r="R49" s="187">
        <f>'Daily KPIs'!R76</f>
        <v>199.20999999999913</v>
      </c>
      <c r="S49" s="187" t="str">
        <f>'Daily KPIs'!S76</f>
        <v>0</v>
      </c>
      <c r="T49" s="187" t="str">
        <f>'Daily KPIs'!T76</f>
        <v>0</v>
      </c>
      <c r="U49" s="187">
        <f>'Daily KPIs'!U76</f>
        <v>154.29000000000087</v>
      </c>
      <c r="V49" s="187">
        <f>'Daily KPIs'!V76</f>
        <v>311.68000000000029</v>
      </c>
      <c r="W49" s="187">
        <f>'Daily KPIs'!W76</f>
        <v>303.60000000000582</v>
      </c>
      <c r="X49" s="187">
        <f>'Daily KPIs'!X76</f>
        <v>141.7899999999936</v>
      </c>
      <c r="Y49" s="187">
        <f>'Daily KPIs'!Y76</f>
        <v>134.45000000000437</v>
      </c>
      <c r="Z49" s="187" t="str">
        <f>'Daily KPIs'!Z76</f>
        <v>0</v>
      </c>
      <c r="AA49" s="187" t="str">
        <f>'Daily KPIs'!AA76</f>
        <v>0</v>
      </c>
      <c r="AB49" s="187">
        <f>'Daily KPIs'!AB76</f>
        <v>276.15000000000146</v>
      </c>
      <c r="AC49" s="187">
        <f>'Daily KPIs'!AC76</f>
        <v>244.75</v>
      </c>
      <c r="AD49" s="187">
        <f>'Daily KPIs'!AD76</f>
        <v>363.0199999999968</v>
      </c>
      <c r="AE49" s="187">
        <f>'Daily KPIs'!AE76</f>
        <v>344.15000000000146</v>
      </c>
      <c r="AF49" s="187" t="str">
        <f>'Daily KPIs'!AF76</f>
        <v>0</v>
      </c>
      <c r="AG49" s="236">
        <f>SUM($B49:AF49)</f>
        <v>5098.07</v>
      </c>
      <c r="AH49" s="237"/>
      <c r="AI49" s="281"/>
      <c r="AJ49" s="282"/>
      <c r="AK49" s="282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2"/>
      <c r="AH50" s="222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2"/>
      <c r="AH51" s="222"/>
    </row>
    <row r="52" spans="1:37" s="88" customFormat="1" ht="20.25" x14ac:dyDescent="0.3">
      <c r="A52" s="137" t="s">
        <v>132</v>
      </c>
      <c r="B52" s="141">
        <f>'Elec.April 2026'!$B$7</f>
        <v>5927</v>
      </c>
      <c r="C52" s="141">
        <f>'Elec.April 2026'!$B$8</f>
        <v>5832</v>
      </c>
      <c r="D52" s="141">
        <f>'Elec.April 2026'!$B$9</f>
        <v>2694</v>
      </c>
      <c r="E52" s="141">
        <f>'Elec.April 2026'!$B$10</f>
        <v>2971</v>
      </c>
      <c r="F52" s="141">
        <f>'Elec.April 2026'!$B$11</f>
        <v>2911</v>
      </c>
      <c r="G52" s="141">
        <f>'Elec.April 2026'!$B$12</f>
        <v>2599</v>
      </c>
      <c r="H52" s="141">
        <f>'Elec.April 2026'!$B$13</f>
        <v>5214</v>
      </c>
      <c r="I52" s="141">
        <f>'Elec.April 2026'!$B$14</f>
        <v>5850</v>
      </c>
      <c r="J52" s="141">
        <f>'Elec.April 2026'!$B$15</f>
        <v>6901</v>
      </c>
      <c r="K52" s="141">
        <f>'Elec.April 2026'!$B$16</f>
        <v>6846</v>
      </c>
      <c r="L52" s="141">
        <f>'Elec.April 2026'!$B$17</f>
        <v>2983</v>
      </c>
      <c r="M52" s="141">
        <f>'Elec.April 2026'!$B$18</f>
        <v>1952</v>
      </c>
      <c r="N52" s="141">
        <f>'Elec.April 2026'!$B$19</f>
        <v>6237</v>
      </c>
      <c r="O52" s="141">
        <f>'Elec.April 2026'!$B$20</f>
        <v>7380</v>
      </c>
      <c r="P52" s="141">
        <f>'Elec.April 2026'!$B$21</f>
        <v>6949</v>
      </c>
      <c r="Q52" s="141">
        <f>'Elec.April 2026'!$B$22</f>
        <v>6258</v>
      </c>
      <c r="R52" s="141">
        <f>'Elec.April 2026'!$B$23</f>
        <v>5872</v>
      </c>
      <c r="S52" s="141">
        <f>'Elec.April 2026'!$B$24</f>
        <v>3482</v>
      </c>
      <c r="T52" s="141">
        <f>'Elec.April 2026'!$B$24</f>
        <v>3482</v>
      </c>
      <c r="U52" s="141">
        <f>'Elec.April 2026'!$B$24</f>
        <v>3482</v>
      </c>
      <c r="V52" s="141">
        <f>'Elec.April 2026'!$B$24</f>
        <v>3482</v>
      </c>
      <c r="W52" s="141">
        <f>'Elec.April 2026'!$B$24</f>
        <v>3482</v>
      </c>
      <c r="X52" s="141">
        <f>'Elec.April 2026'!$B$24</f>
        <v>3482</v>
      </c>
      <c r="Y52" s="141">
        <f>'Elec.April 2026'!$B$24</f>
        <v>3482</v>
      </c>
      <c r="Z52" s="141">
        <f>'Elec.April 2026'!$B$24</f>
        <v>3482</v>
      </c>
      <c r="AA52" s="141">
        <f>'Elec.April 2026'!$B$24</f>
        <v>3482</v>
      </c>
      <c r="AB52" s="141">
        <f>'Elec.April 2026'!$B$24</f>
        <v>3482</v>
      </c>
      <c r="AC52" s="141">
        <f>'Elec.April 2026'!$B$24</f>
        <v>3482</v>
      </c>
      <c r="AD52" s="141">
        <f>'Elec.April 2026'!$B$24</f>
        <v>3482</v>
      </c>
      <c r="AE52" s="141">
        <f>'Elec.April 2026'!$B$24</f>
        <v>3482</v>
      </c>
      <c r="AF52" s="141">
        <f>'Elec.April 2026'!$B$24</f>
        <v>3482</v>
      </c>
      <c r="AG52" s="225">
        <f>SUM(B52:AC52)</f>
        <v>123678</v>
      </c>
      <c r="AH52" s="225"/>
      <c r="AI52" s="277"/>
      <c r="AJ52" s="278"/>
      <c r="AK52" s="278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6"/>
      <c r="AH53" s="216"/>
      <c r="AI53" s="280"/>
    </row>
    <row r="54" spans="1:37" s="88" customFormat="1" ht="20.25" x14ac:dyDescent="0.3">
      <c r="A54" s="137" t="s">
        <v>133</v>
      </c>
      <c r="B54" s="143">
        <f>+'Fuel '!$K7</f>
        <v>2700</v>
      </c>
      <c r="C54" s="143">
        <f>+'Fuel '!$K8</f>
        <v>2450</v>
      </c>
      <c r="D54" s="143">
        <f>+'Fuel '!$K9</f>
        <v>150</v>
      </c>
      <c r="E54" s="143">
        <f>+'Fuel '!$K10</f>
        <v>360</v>
      </c>
      <c r="F54" s="143">
        <f>+'Fuel '!$K11</f>
        <v>0</v>
      </c>
      <c r="G54" s="143">
        <f>+'Fuel '!$K12</f>
        <v>780</v>
      </c>
      <c r="H54" s="143">
        <f>+'Fuel '!$K13</f>
        <v>3230</v>
      </c>
      <c r="I54" s="143">
        <f>+'Fuel '!$K14</f>
        <v>2800</v>
      </c>
      <c r="J54" s="143">
        <f>+'Fuel '!$K15</f>
        <v>3790</v>
      </c>
      <c r="K54" s="143">
        <f>+'Fuel '!$K16</f>
        <v>2400</v>
      </c>
      <c r="L54" s="143">
        <f>+'Fuel '!$K17</f>
        <v>0</v>
      </c>
      <c r="M54" s="143">
        <f>+'Fuel '!$K18</f>
        <v>700</v>
      </c>
      <c r="N54" s="143">
        <f>+'Fuel '!$K19</f>
        <v>3520</v>
      </c>
      <c r="O54" s="143">
        <f>+'Fuel '!$K20</f>
        <v>3090</v>
      </c>
      <c r="P54" s="143">
        <f>+'Fuel '!$K21</f>
        <v>3370</v>
      </c>
      <c r="Q54" s="143">
        <f>+'Fuel '!$K22</f>
        <v>3340</v>
      </c>
      <c r="R54" s="143">
        <f>+'Fuel '!$K23</f>
        <v>2190</v>
      </c>
      <c r="S54" s="143">
        <f>+'Fuel '!$K24</f>
        <v>0</v>
      </c>
      <c r="T54" s="143">
        <f>+'Fuel '!$K24</f>
        <v>0</v>
      </c>
      <c r="U54" s="143">
        <f>+'Fuel '!$K24</f>
        <v>0</v>
      </c>
      <c r="V54" s="143">
        <f>+'Fuel '!$K24</f>
        <v>0</v>
      </c>
      <c r="W54" s="143">
        <f>+'Fuel '!$K24</f>
        <v>0</v>
      </c>
      <c r="X54" s="143">
        <f>+'Fuel '!$K24</f>
        <v>0</v>
      </c>
      <c r="Y54" s="143">
        <f>+'Fuel '!$K24</f>
        <v>0</v>
      </c>
      <c r="Z54" s="143">
        <f>+'Fuel '!$K24</f>
        <v>0</v>
      </c>
      <c r="AA54" s="143">
        <f>+'Fuel '!$K24</f>
        <v>0</v>
      </c>
      <c r="AB54" s="143">
        <f>+'Fuel '!$K24</f>
        <v>0</v>
      </c>
      <c r="AC54" s="143">
        <f>+'Fuel '!$K24</f>
        <v>0</v>
      </c>
      <c r="AD54" s="143">
        <f>+'Fuel '!$K24</f>
        <v>0</v>
      </c>
      <c r="AE54" s="143">
        <f>+'Fuel '!$K24</f>
        <v>0</v>
      </c>
      <c r="AF54" s="143">
        <f>+'Fuel '!$K24</f>
        <v>0</v>
      </c>
      <c r="AG54" s="238">
        <f>SUM($B54:AF54)</f>
        <v>34870</v>
      </c>
      <c r="AH54" s="225"/>
      <c r="AI54" s="277"/>
      <c r="AJ54" s="278"/>
      <c r="AK54" s="278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2"/>
      <c r="AH55" s="222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2"/>
      <c r="AH56" s="222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9" t="s">
        <v>85</v>
      </c>
      <c r="AH58" s="219" t="s">
        <v>153</v>
      </c>
      <c r="AI58" s="219" t="s">
        <v>202</v>
      </c>
      <c r="AJ58" s="268"/>
      <c r="AK58" s="268"/>
    </row>
    <row r="59" spans="1:37" s="78" customFormat="1" ht="20.25" x14ac:dyDescent="0.3">
      <c r="A59" s="124" t="s">
        <v>137</v>
      </c>
      <c r="B59" s="144">
        <f>IF(B$9=0,"",+(B18*10)/B$9)</f>
        <v>17.322834645669289</v>
      </c>
      <c r="C59" s="144">
        <f>IF(C$9=0,"",+(C18*10)/C$9)</f>
        <v>15.426228815350154</v>
      </c>
      <c r="D59" s="144" t="str">
        <f t="shared" ref="D59:Y59" si="9">IF(D$9=0,"",+(D18*10)/D$9)</f>
        <v/>
      </c>
      <c r="E59" s="144" t="str">
        <f t="shared" si="9"/>
        <v/>
      </c>
      <c r="F59" s="144" t="str">
        <f t="shared" si="9"/>
        <v/>
      </c>
      <c r="G59" s="144" t="str">
        <f t="shared" si="9"/>
        <v/>
      </c>
      <c r="H59" s="144">
        <f t="shared" si="9"/>
        <v>30.640355315679987</v>
      </c>
      <c r="I59" s="144">
        <f t="shared" si="9"/>
        <v>5.2921639475893283</v>
      </c>
      <c r="J59" s="144">
        <f t="shared" si="9"/>
        <v>5.7566546928249052</v>
      </c>
      <c r="K59" s="144">
        <f>IF(K$9=0,"",+(K18*10)/K$9)</f>
        <v>8.819084780177878</v>
      </c>
      <c r="L59" s="144" t="str">
        <f>IF(L$9=0,"",+(L18*10)/L$9)</f>
        <v/>
      </c>
      <c r="M59" s="144" t="str">
        <f>IF(M$9=0,"",+(M18*10)/M$9)</f>
        <v/>
      </c>
      <c r="N59" s="144">
        <f>IF(N$9=0,"",+(N18*10)/N$9)</f>
        <v>9.3291615236673646</v>
      </c>
      <c r="O59" s="144">
        <f t="shared" ref="O59:S59" si="10">IF(O$9=0,"",+(O18*10)/O$9)</f>
        <v>11.477279005871745</v>
      </c>
      <c r="P59" s="144">
        <f t="shared" si="10"/>
        <v>7.9014100035525718</v>
      </c>
      <c r="Q59" s="144">
        <f t="shared" si="10"/>
        <v>5.1725910504536454</v>
      </c>
      <c r="R59" s="144">
        <f t="shared" si="10"/>
        <v>10.949986993109373</v>
      </c>
      <c r="S59" s="144" t="str">
        <f t="shared" si="10"/>
        <v/>
      </c>
      <c r="T59" s="144">
        <f t="shared" si="9"/>
        <v>47.033528186521529</v>
      </c>
      <c r="U59" s="144">
        <f t="shared" si="9"/>
        <v>12.090012090012088</v>
      </c>
      <c r="V59" s="144">
        <f t="shared" si="9"/>
        <v>6.0214855810350052</v>
      </c>
      <c r="W59" s="144">
        <f t="shared" si="9"/>
        <v>8.5442328361440385</v>
      </c>
      <c r="X59" s="144">
        <f t="shared" si="9"/>
        <v>11.791867335286232</v>
      </c>
      <c r="Y59" s="144">
        <f t="shared" si="9"/>
        <v>13.016306043667033</v>
      </c>
      <c r="Z59" s="144" t="str">
        <f>IF(Z$9=0,"",+(Z18*10)/Z$9)</f>
        <v/>
      </c>
      <c r="AA59" s="144" t="e">
        <f t="shared" ref="AA59:AF59" si="11">IF(AA$9=0,"",+(AA18*10)/AA$9)</f>
        <v>#REF!</v>
      </c>
      <c r="AB59" s="144">
        <f t="shared" si="11"/>
        <v>9.271211096768905</v>
      </c>
      <c r="AC59" s="144">
        <f t="shared" si="11"/>
        <v>7.3370814327640463</v>
      </c>
      <c r="AD59" s="144" t="str">
        <f t="shared" si="11"/>
        <v/>
      </c>
      <c r="AE59" s="144" t="str">
        <f t="shared" si="11"/>
        <v/>
      </c>
      <c r="AF59" s="144">
        <f t="shared" si="11"/>
        <v>6.3489390957847958</v>
      </c>
      <c r="AG59" s="239" t="e">
        <f>IF(AG$9=0,"",+(AG18*10)/AG$9)</f>
        <v>#REF!</v>
      </c>
      <c r="AH59" s="240">
        <f>'Daily KPIs'!AI90</f>
        <v>10.199999999999999</v>
      </c>
      <c r="AI59" s="283" t="e">
        <f>+AH59-AG59</f>
        <v>#REF!</v>
      </c>
      <c r="AJ59" s="271"/>
      <c r="AK59" s="271"/>
    </row>
    <row r="60" spans="1:37" ht="18" hidden="1" x14ac:dyDescent="0.2">
      <c r="A60" s="109"/>
      <c r="M60" s="82"/>
      <c r="AG60" s="241"/>
      <c r="AH60" s="241"/>
    </row>
    <row r="61" spans="1:37" ht="18" x14ac:dyDescent="0.2">
      <c r="A61" s="126" t="s">
        <v>140</v>
      </c>
      <c r="M61" s="82"/>
      <c r="AF61" s="82"/>
      <c r="AG61" s="219" t="s">
        <v>85</v>
      </c>
      <c r="AH61" s="219" t="s">
        <v>153</v>
      </c>
      <c r="AI61" s="219" t="s">
        <v>202</v>
      </c>
    </row>
    <row r="62" spans="1:37" ht="18" x14ac:dyDescent="0.25">
      <c r="A62" s="109" t="s">
        <v>126</v>
      </c>
      <c r="B62" s="145">
        <f>IF(B$9=0,"",+(B28*10)/B$9)</f>
        <v>4.5812455261274154</v>
      </c>
      <c r="C62" s="145">
        <f>IF(C$9=0,"",+(C28*10)/C$9)</f>
        <v>4.0150458560500395</v>
      </c>
      <c r="D62" s="145" t="str">
        <f t="shared" ref="D62:W62" si="12">IF(D$9=0,"",+(D28*10)/D$9)</f>
        <v/>
      </c>
      <c r="E62" s="145" t="str">
        <f t="shared" si="12"/>
        <v/>
      </c>
      <c r="F62" s="145" t="str">
        <f t="shared" si="12"/>
        <v/>
      </c>
      <c r="G62" s="145" t="str">
        <f t="shared" si="12"/>
        <v/>
      </c>
      <c r="H62" s="145">
        <f t="shared" si="12"/>
        <v>19.677292404565129</v>
      </c>
      <c r="I62" s="145">
        <f t="shared" si="12"/>
        <v>0.87926234865904196</v>
      </c>
      <c r="J62" s="145">
        <f t="shared" si="12"/>
        <v>2.563630223204691</v>
      </c>
      <c r="K62" s="145">
        <f t="shared" si="12"/>
        <v>2.6199933564454172</v>
      </c>
      <c r="L62" s="145" t="str">
        <f t="shared" si="12"/>
        <v/>
      </c>
      <c r="M62" s="145" t="str">
        <f>IF(M$9=0,"",+(M28*10)/M$9)</f>
        <v/>
      </c>
      <c r="N62" s="145">
        <f>IF(N$9=0,"",+(N28*10)/N$9)</f>
        <v>3.7795064634344708</v>
      </c>
      <c r="O62" s="145">
        <f t="shared" ref="O62:S62" si="13">IF(O$9=0,"",+(O28*10)/O$9)</f>
        <v>3.9429601836364641</v>
      </c>
      <c r="P62" s="145">
        <f t="shared" si="13"/>
        <v>3.6138231799193932</v>
      </c>
      <c r="Q62" s="145">
        <f t="shared" si="13"/>
        <v>2.5862955252268227</v>
      </c>
      <c r="R62" s="145">
        <f t="shared" si="13"/>
        <v>1.7241692226719179</v>
      </c>
      <c r="S62" s="145" t="str">
        <f t="shared" si="13"/>
        <v/>
      </c>
      <c r="T62" s="145">
        <f t="shared" si="12"/>
        <v>0.26876301820869447</v>
      </c>
      <c r="U62" s="145">
        <f t="shared" si="12"/>
        <v>5.0700050700050694</v>
      </c>
      <c r="V62" s="145">
        <f t="shared" si="12"/>
        <v>3.5668672550079967</v>
      </c>
      <c r="W62" s="145">
        <f t="shared" si="12"/>
        <v>1.7397759168619082</v>
      </c>
      <c r="X62" s="145">
        <f t="shared" ref="X62" si="14">IF(X$9=0,"",+(X28*10)/X$9)</f>
        <v>6.0821210466213191</v>
      </c>
      <c r="Y62" s="145">
        <f t="shared" ref="Y62:AF62" si="15">IF(Y$9=0,"",+(Y28*10)/Y$9)</f>
        <v>6.2406946784704944</v>
      </c>
      <c r="Z62" s="145" t="str">
        <f t="shared" si="15"/>
        <v/>
      </c>
      <c r="AA62" s="145" t="e">
        <f t="shared" si="15"/>
        <v>#REF!</v>
      </c>
      <c r="AB62" s="145">
        <f t="shared" si="15"/>
        <v>5.0197717540516731</v>
      </c>
      <c r="AC62" s="145">
        <f t="shared" si="15"/>
        <v>3.558042502033167</v>
      </c>
      <c r="AD62" s="145" t="str">
        <f t="shared" si="15"/>
        <v/>
      </c>
      <c r="AE62" s="145" t="str">
        <f t="shared" si="15"/>
        <v/>
      </c>
      <c r="AF62" s="145">
        <f t="shared" si="15"/>
        <v>3.4375471347343094</v>
      </c>
      <c r="AG62" s="242" t="e">
        <f>IF(+(AG28*10)/AG$9&lt;1,0,+(AG28*10)/AG$9)</f>
        <v>#REF!</v>
      </c>
      <c r="AH62" s="242">
        <v>2.5</v>
      </c>
      <c r="AI62" s="243" t="e">
        <f t="shared" ref="AI62:AI78" si="16">AH62-AG62</f>
        <v>#REF!</v>
      </c>
    </row>
    <row r="63" spans="1:37" ht="18.75" x14ac:dyDescent="0.3">
      <c r="A63" s="167" t="s">
        <v>215</v>
      </c>
      <c r="B63" s="168">
        <f>IF(B$93=0,"",+(B28*10)/B$93)</f>
        <v>2.7095681625740897</v>
      </c>
      <c r="C63" s="168">
        <f t="shared" ref="C63:X63" si="17">IF(C$93=0,"",+(C28*10)/C$93)</f>
        <v>3.7309769268532156</v>
      </c>
      <c r="D63" s="168" t="str">
        <f t="shared" si="17"/>
        <v/>
      </c>
      <c r="E63" s="168" t="str">
        <f t="shared" si="17"/>
        <v/>
      </c>
      <c r="F63" s="168" t="str">
        <f t="shared" si="17"/>
        <v/>
      </c>
      <c r="G63" s="168" t="str">
        <f t="shared" si="17"/>
        <v/>
      </c>
      <c r="H63" s="168">
        <f t="shared" si="17"/>
        <v>3.4138015118263838</v>
      </c>
      <c r="I63" s="168">
        <f>IF(I$93=0,"",+(I28*10)/I$93)</f>
        <v>3.6005434782608696</v>
      </c>
      <c r="J63" s="168">
        <f t="shared" si="17"/>
        <v>3.6996012405848475</v>
      </c>
      <c r="K63" s="168">
        <f t="shared" si="17"/>
        <v>3.6890645586297759</v>
      </c>
      <c r="L63" s="168" t="str">
        <f t="shared" si="17"/>
        <v/>
      </c>
      <c r="M63" s="168" t="str">
        <f t="shared" si="17"/>
        <v/>
      </c>
      <c r="N63" s="168">
        <f t="shared" si="17"/>
        <v>4.0481680758390981</v>
      </c>
      <c r="O63" s="168">
        <f t="shared" ref="O63:S63" si="18">IF(O$93=0,"",+(O28*10)/O$93)</f>
        <v>3.4452490673688829</v>
      </c>
      <c r="P63" s="168">
        <f t="shared" si="18"/>
        <v>3.4959510171834878</v>
      </c>
      <c r="Q63" s="168">
        <f t="shared" si="18"/>
        <v>3.4833405452185202</v>
      </c>
      <c r="R63" s="168" t="str">
        <f t="shared" si="18"/>
        <v/>
      </c>
      <c r="S63" s="168" t="str">
        <f t="shared" si="18"/>
        <v/>
      </c>
      <c r="T63" s="168" t="str">
        <f t="shared" si="17"/>
        <v/>
      </c>
      <c r="U63" s="168">
        <f t="shared" si="17"/>
        <v>3.2811711256940939</v>
      </c>
      <c r="V63" s="168">
        <f t="shared" si="17"/>
        <v>4.0285899935022744</v>
      </c>
      <c r="W63" s="168">
        <f t="shared" si="17"/>
        <v>2.2053418279833372</v>
      </c>
      <c r="X63" s="168">
        <f t="shared" si="17"/>
        <v>14.468503937007874</v>
      </c>
      <c r="Y63" s="168">
        <f t="shared" ref="Y63:AF63" si="19">IF(Y$93=0,"",+(Y28*10)/Y$93)</f>
        <v>3.9965743648301455</v>
      </c>
      <c r="Z63" s="168">
        <f t="shared" si="19"/>
        <v>3.4745762711864407</v>
      </c>
      <c r="AA63" s="168">
        <f t="shared" si="19"/>
        <v>8.0039525691699609</v>
      </c>
      <c r="AB63" s="168">
        <f t="shared" si="19"/>
        <v>4.3076923076923075</v>
      </c>
      <c r="AC63" s="168">
        <f t="shared" si="19"/>
        <v>3.9364303178484108</v>
      </c>
      <c r="AD63" s="168">
        <f t="shared" si="19"/>
        <v>3.9818711557138236</v>
      </c>
      <c r="AE63" s="168">
        <f t="shared" si="19"/>
        <v>2.8164116828929067</v>
      </c>
      <c r="AF63" s="168">
        <f t="shared" si="19"/>
        <v>6.3450955001618654</v>
      </c>
      <c r="AG63" s="244">
        <f>IF(+(AG28*10)/AG$93&lt;1,0,+(AG28*10)/AG$93)</f>
        <v>3.9450395290600868</v>
      </c>
      <c r="AH63" s="244">
        <v>2.5</v>
      </c>
      <c r="AI63" s="245">
        <f t="shared" si="16"/>
        <v>-1.4450395290600868</v>
      </c>
    </row>
    <row r="64" spans="1:37" s="90" customFormat="1" ht="18" x14ac:dyDescent="0.25">
      <c r="A64" s="146" t="s">
        <v>172</v>
      </c>
      <c r="B64" s="147">
        <f>IF(B$9=0,"",+(B29*10)/B$9)</f>
        <v>0</v>
      </c>
      <c r="C64" s="147">
        <f t="shared" ref="C64:X64" si="20">IF(C$9=0,"",+(C29*10)/C$9)</f>
        <v>0</v>
      </c>
      <c r="D64" s="147" t="str">
        <f t="shared" si="20"/>
        <v/>
      </c>
      <c r="E64" s="147" t="str">
        <f t="shared" si="20"/>
        <v/>
      </c>
      <c r="F64" s="147" t="str">
        <f t="shared" si="20"/>
        <v/>
      </c>
      <c r="G64" s="147" t="str">
        <f t="shared" si="20"/>
        <v/>
      </c>
      <c r="H64" s="147">
        <f t="shared" si="20"/>
        <v>0</v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 t="str">
        <f t="shared" si="20"/>
        <v/>
      </c>
      <c r="M64" s="147" t="str">
        <f>IF(M$9=0,"",+(M29*10)/M$9)</f>
        <v/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>
        <f t="shared" si="21"/>
        <v>0</v>
      </c>
      <c r="R64" s="147">
        <f t="shared" si="21"/>
        <v>0</v>
      </c>
      <c r="S64" s="147" t="str">
        <f t="shared" si="21"/>
        <v/>
      </c>
      <c r="T64" s="147">
        <f t="shared" si="20"/>
        <v>0</v>
      </c>
      <c r="U64" s="147">
        <f t="shared" si="20"/>
        <v>0</v>
      </c>
      <c r="V64" s="147">
        <f t="shared" si="20"/>
        <v>0</v>
      </c>
      <c r="W64" s="147">
        <f t="shared" si="20"/>
        <v>0</v>
      </c>
      <c r="X64" s="147">
        <f t="shared" si="20"/>
        <v>0</v>
      </c>
      <c r="Y64" s="147">
        <f t="shared" ref="Y64:AF64" si="22">IF(Y$9=0,"",+(Y29*10)/Y$9)</f>
        <v>0</v>
      </c>
      <c r="Z64" s="147" t="str">
        <f t="shared" si="22"/>
        <v/>
      </c>
      <c r="AA64" s="147" t="e">
        <f t="shared" si="22"/>
        <v>#REF!</v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>
        <f t="shared" si="22"/>
        <v>0.16260318949599431</v>
      </c>
      <c r="AG64" s="246" t="e">
        <f>+(AG29*10)/AG$9</f>
        <v>#REF!</v>
      </c>
      <c r="AH64" s="246">
        <v>0.1</v>
      </c>
      <c r="AI64" s="247" t="e">
        <f>AH64-AG64</f>
        <v>#REF!</v>
      </c>
      <c r="AJ64" s="284"/>
      <c r="AK64" s="284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8"/>
      <c r="AH65" s="248">
        <v>0.1</v>
      </c>
      <c r="AI65" s="249">
        <f>AH65-AG65</f>
        <v>0.1</v>
      </c>
      <c r="AJ65" s="275"/>
      <c r="AK65" s="275"/>
    </row>
    <row r="66" spans="1:37" ht="18" x14ac:dyDescent="0.25">
      <c r="A66" s="109" t="s">
        <v>171</v>
      </c>
      <c r="B66" s="145">
        <f t="shared" ref="B66:V66" si="23">IF(B$9=0,"",+(B31*10)/B$9)</f>
        <v>0</v>
      </c>
      <c r="C66" s="145">
        <f t="shared" si="23"/>
        <v>0</v>
      </c>
      <c r="D66" s="145" t="str">
        <f t="shared" si="23"/>
        <v/>
      </c>
      <c r="E66" s="145" t="str">
        <f t="shared" si="23"/>
        <v/>
      </c>
      <c r="F66" s="145" t="str">
        <f t="shared" si="23"/>
        <v/>
      </c>
      <c r="G66" s="145" t="str">
        <f t="shared" si="23"/>
        <v/>
      </c>
      <c r="H66" s="145">
        <f t="shared" si="23"/>
        <v>0</v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 t="str">
        <f t="shared" si="23"/>
        <v/>
      </c>
      <c r="M66" s="145" t="str">
        <f t="shared" si="23"/>
        <v/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>
        <f t="shared" si="24"/>
        <v>0</v>
      </c>
      <c r="R66" s="145">
        <f t="shared" si="24"/>
        <v>0</v>
      </c>
      <c r="S66" s="145" t="str">
        <f t="shared" si="24"/>
        <v/>
      </c>
      <c r="T66" s="145">
        <f t="shared" si="23"/>
        <v>0</v>
      </c>
      <c r="U66" s="145">
        <f t="shared" si="23"/>
        <v>0</v>
      </c>
      <c r="V66" s="145">
        <f t="shared" si="23"/>
        <v>0</v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2" t="e">
        <f>+(AG31*10)/AG$9</f>
        <v>#REF!</v>
      </c>
      <c r="AH66" s="242">
        <v>0.7</v>
      </c>
      <c r="AI66" s="243" t="e">
        <f t="shared" si="16"/>
        <v>#REF!</v>
      </c>
    </row>
    <row r="67" spans="1:37" s="91" customFormat="1" ht="18" x14ac:dyDescent="0.25">
      <c r="A67" s="149" t="s">
        <v>173</v>
      </c>
      <c r="B67" s="150">
        <f t="shared" ref="B67:X67" si="25">IF(B$9=0,"",+(B32*10)/B$9)</f>
        <v>0</v>
      </c>
      <c r="C67" s="150">
        <f t="shared" si="25"/>
        <v>0</v>
      </c>
      <c r="D67" s="150" t="str">
        <f t="shared" si="25"/>
        <v/>
      </c>
      <c r="E67" s="150" t="str">
        <f t="shared" si="25"/>
        <v/>
      </c>
      <c r="F67" s="150" t="str">
        <f t="shared" si="25"/>
        <v/>
      </c>
      <c r="G67" s="150" t="str">
        <f t="shared" si="25"/>
        <v/>
      </c>
      <c r="H67" s="150">
        <f t="shared" si="25"/>
        <v>0</v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 t="str">
        <f t="shared" si="25"/>
        <v/>
      </c>
      <c r="M67" s="150" t="str">
        <f t="shared" si="25"/>
        <v/>
      </c>
      <c r="N67" s="150">
        <f t="shared" si="25"/>
        <v>0</v>
      </c>
      <c r="O67" s="150">
        <f t="shared" ref="O67:S67" si="26">IF(O$9=0,"",+(O32*10)/O$9)</f>
        <v>5.022879214823521E-2</v>
      </c>
      <c r="P67" s="150">
        <f t="shared" si="26"/>
        <v>1.4700297681028041</v>
      </c>
      <c r="Q67" s="150">
        <f t="shared" si="26"/>
        <v>0</v>
      </c>
      <c r="R67" s="150">
        <f t="shared" si="26"/>
        <v>0</v>
      </c>
      <c r="S67" s="150" t="str">
        <f t="shared" si="26"/>
        <v/>
      </c>
      <c r="T67" s="150">
        <f t="shared" si="25"/>
        <v>0</v>
      </c>
      <c r="U67" s="150">
        <f t="shared" si="25"/>
        <v>0</v>
      </c>
      <c r="V67" s="150">
        <f t="shared" si="25"/>
        <v>0</v>
      </c>
      <c r="W67" s="150">
        <f t="shared" si="25"/>
        <v>0</v>
      </c>
      <c r="X67" s="150">
        <f t="shared" si="25"/>
        <v>0</v>
      </c>
      <c r="Y67" s="150">
        <f t="shared" ref="Y67:AF67" si="27">IF(Y$9=0,"",+(Y32*10)/Y$9)</f>
        <v>0</v>
      </c>
      <c r="Z67" s="150" t="str">
        <f t="shared" si="27"/>
        <v/>
      </c>
      <c r="AA67" s="150" t="e">
        <f t="shared" si="27"/>
        <v>#REF!</v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>
        <f t="shared" si="27"/>
        <v>0.49107816210490135</v>
      </c>
      <c r="AG67" s="250" t="e">
        <f>+(AG32*10)/AG$9</f>
        <v>#REF!</v>
      </c>
      <c r="AH67" s="250">
        <v>1</v>
      </c>
      <c r="AI67" s="251" t="e">
        <f>AH67-AG67</f>
        <v>#REF!</v>
      </c>
      <c r="AJ67" s="285"/>
      <c r="AK67" s="285"/>
    </row>
    <row r="68" spans="1:37" ht="18" x14ac:dyDescent="0.25">
      <c r="A68" s="121" t="s">
        <v>99</v>
      </c>
      <c r="B68" s="145">
        <f t="shared" ref="B68:X68" si="28">IF(B$9=0,"",+(B33*10)/B$9)</f>
        <v>3.2450489143402526</v>
      </c>
      <c r="C68" s="145">
        <f t="shared" si="28"/>
        <v>1.2150796669625121</v>
      </c>
      <c r="D68" s="145" t="str">
        <f t="shared" si="28"/>
        <v/>
      </c>
      <c r="E68" s="145" t="str">
        <f t="shared" si="28"/>
        <v/>
      </c>
      <c r="F68" s="145" t="str">
        <f t="shared" si="28"/>
        <v/>
      </c>
      <c r="G68" s="145" t="str">
        <f t="shared" si="28"/>
        <v/>
      </c>
      <c r="H68" s="145">
        <f t="shared" si="28"/>
        <v>5.9031877213695383</v>
      </c>
      <c r="I68" s="145">
        <f t="shared" si="28"/>
        <v>0.79631307048366062</v>
      </c>
      <c r="J68" s="145">
        <f t="shared" si="28"/>
        <v>0.47588345460685882</v>
      </c>
      <c r="K68" s="145">
        <f t="shared" si="28"/>
        <v>0.70178393476216538</v>
      </c>
      <c r="L68" s="145" t="str">
        <f t="shared" si="28"/>
        <v/>
      </c>
      <c r="M68" s="145" t="str">
        <f t="shared" si="28"/>
        <v/>
      </c>
      <c r="N68" s="145">
        <f t="shared" si="28"/>
        <v>1.722306742830898</v>
      </c>
      <c r="O68" s="145">
        <f t="shared" ref="O68:S68" si="29">IF(O$9=0,"",+(O33*10)/O$9)</f>
        <v>1.8082365173364676</v>
      </c>
      <c r="P68" s="145">
        <f t="shared" si="29"/>
        <v>1.4700297681028041</v>
      </c>
      <c r="Q68" s="145">
        <f t="shared" si="29"/>
        <v>0.32127894723314565</v>
      </c>
      <c r="R68" s="145">
        <f t="shared" si="29"/>
        <v>0.60497165707786593</v>
      </c>
      <c r="S68" s="145" t="str">
        <f t="shared" si="29"/>
        <v/>
      </c>
      <c r="T68" s="145">
        <f t="shared" si="28"/>
        <v>1.3438150910434723</v>
      </c>
      <c r="U68" s="145">
        <f t="shared" si="28"/>
        <v>2.4960024960024958</v>
      </c>
      <c r="V68" s="145">
        <f t="shared" si="28"/>
        <v>0.57530117016258009</v>
      </c>
      <c r="W68" s="145">
        <f t="shared" si="28"/>
        <v>0.86988795843095412</v>
      </c>
      <c r="X68" s="145">
        <f t="shared" si="28"/>
        <v>1.4481240587193618</v>
      </c>
      <c r="Y68" s="145">
        <f t="shared" ref="Y68:AF68" si="30">IF(Y$9=0,"",+(Y33*10)/Y$9)</f>
        <v>1.7384792318596378</v>
      </c>
      <c r="Z68" s="145" t="str">
        <f t="shared" si="30"/>
        <v/>
      </c>
      <c r="AA68" s="145" t="e">
        <f t="shared" si="30"/>
        <v>#REF!</v>
      </c>
      <c r="AB68" s="145">
        <f t="shared" si="30"/>
        <v>0.81955457209006899</v>
      </c>
      <c r="AC68" s="145">
        <f t="shared" si="30"/>
        <v>0.66298928609313668</v>
      </c>
      <c r="AD68" s="145" t="str">
        <f t="shared" si="30"/>
        <v/>
      </c>
      <c r="AE68" s="145" t="str">
        <f t="shared" si="30"/>
        <v/>
      </c>
      <c r="AF68" s="145">
        <f t="shared" si="30"/>
        <v>0.56123218526274443</v>
      </c>
      <c r="AG68" s="242" t="e">
        <f>+(AG33*10)/AG$9</f>
        <v>#REF!</v>
      </c>
      <c r="AH68" s="242">
        <v>0.7</v>
      </c>
      <c r="AI68" s="243" t="e">
        <f t="shared" si="16"/>
        <v>#REF!</v>
      </c>
    </row>
    <row r="69" spans="1:37" ht="18" x14ac:dyDescent="0.25">
      <c r="A69" s="121" t="s">
        <v>128</v>
      </c>
      <c r="B69" s="145">
        <f t="shared" ref="B69:X69" si="31">IF(B$9=0,"",+(B34*10)/B$9)</f>
        <v>2.863278453829635</v>
      </c>
      <c r="C69" s="145">
        <f t="shared" si="31"/>
        <v>3.0112843920375298</v>
      </c>
      <c r="D69" s="145" t="str">
        <f t="shared" si="31"/>
        <v/>
      </c>
      <c r="E69" s="145" t="str">
        <f t="shared" si="31"/>
        <v/>
      </c>
      <c r="F69" s="145" t="str">
        <f t="shared" si="31"/>
        <v/>
      </c>
      <c r="G69" s="145" t="str">
        <f t="shared" si="31"/>
        <v/>
      </c>
      <c r="H69" s="145">
        <f t="shared" si="31"/>
        <v>5.340979366953392</v>
      </c>
      <c r="I69" s="145">
        <f t="shared" si="31"/>
        <v>1.9907826762091516</v>
      </c>
      <c r="J69" s="145">
        <f t="shared" si="31"/>
        <v>2.0877467685978321</v>
      </c>
      <c r="K69" s="145">
        <f t="shared" si="31"/>
        <v>1.8480310282070356</v>
      </c>
      <c r="L69" s="145" t="str">
        <f t="shared" si="31"/>
        <v/>
      </c>
      <c r="M69" s="145" t="str">
        <f t="shared" si="31"/>
        <v/>
      </c>
      <c r="N69" s="145">
        <f t="shared" si="31"/>
        <v>2.4638554793275347</v>
      </c>
      <c r="O69" s="145">
        <f t="shared" ref="O69:S69" si="32">IF(O$9=0,"",+(O34*10)/O$9)</f>
        <v>2.5867827956341136</v>
      </c>
      <c r="P69" s="145">
        <f t="shared" si="32"/>
        <v>2.1029592515915114</v>
      </c>
      <c r="Q69" s="145">
        <f t="shared" si="32"/>
        <v>1.6545865782507003</v>
      </c>
      <c r="R69" s="145">
        <f t="shared" si="32"/>
        <v>3.1156040339510094</v>
      </c>
      <c r="S69" s="145" t="str">
        <f t="shared" si="32"/>
        <v/>
      </c>
      <c r="T69" s="145">
        <f t="shared" si="31"/>
        <v>8.8691796008869179</v>
      </c>
      <c r="U69" s="145">
        <f t="shared" si="31"/>
        <v>2.7300027300027296</v>
      </c>
      <c r="V69" s="145">
        <f t="shared" si="31"/>
        <v>2.0902609182573744</v>
      </c>
      <c r="W69" s="145">
        <f t="shared" si="31"/>
        <v>2.4356862836066715</v>
      </c>
      <c r="X69" s="145">
        <f t="shared" si="31"/>
        <v>3.4754977409264685</v>
      </c>
      <c r="Y69" s="145">
        <f t="shared" ref="Y69:AF69" si="33">IF(Y$9=0,"",+(Y34*10)/Y$9)</f>
        <v>1.6047500601781273</v>
      </c>
      <c r="Z69" s="145" t="str">
        <f t="shared" si="33"/>
        <v/>
      </c>
      <c r="AA69" s="145" t="e">
        <f t="shared" si="33"/>
        <v>#REF!</v>
      </c>
      <c r="AB69" s="145">
        <f t="shared" si="33"/>
        <v>2.7659966808039829</v>
      </c>
      <c r="AC69" s="145">
        <f t="shared" si="33"/>
        <v>2.1436653583678087</v>
      </c>
      <c r="AD69" s="145" t="str">
        <f t="shared" si="33"/>
        <v/>
      </c>
      <c r="AE69" s="145" t="str">
        <f t="shared" si="33"/>
        <v/>
      </c>
      <c r="AF69" s="145">
        <f t="shared" si="33"/>
        <v>1.8941586252617624</v>
      </c>
      <c r="AG69" s="242" t="e">
        <f>+(AG34*10)/AG$9</f>
        <v>#REF!</v>
      </c>
      <c r="AH69" s="242">
        <v>2.6</v>
      </c>
      <c r="AI69" s="243" t="e">
        <f t="shared" si="16"/>
        <v>#REF!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52"/>
      <c r="AH70" s="252">
        <v>2.6</v>
      </c>
      <c r="AI70" s="253">
        <f t="shared" si="16"/>
        <v>2.6</v>
      </c>
    </row>
    <row r="71" spans="1:37" ht="18" x14ac:dyDescent="0.25">
      <c r="A71" s="121" t="s">
        <v>169</v>
      </c>
      <c r="B71" s="145">
        <f t="shared" ref="B71:X71" si="37">IF(B$9=0,"",+(B35*10)/B$9)</f>
        <v>0.62037699832975424</v>
      </c>
      <c r="C71" s="145">
        <f t="shared" si="37"/>
        <v>1.1094205654875111</v>
      </c>
      <c r="D71" s="145" t="str">
        <f t="shared" si="37"/>
        <v/>
      </c>
      <c r="E71" s="145" t="str">
        <f t="shared" si="37"/>
        <v/>
      </c>
      <c r="F71" s="145" t="str">
        <f t="shared" si="37"/>
        <v/>
      </c>
      <c r="G71" s="145" t="str">
        <f t="shared" si="37"/>
        <v/>
      </c>
      <c r="H71" s="145">
        <f t="shared" si="37"/>
        <v>2.3893855062686229</v>
      </c>
      <c r="I71" s="145">
        <f t="shared" si="37"/>
        <v>0.53087538032244042</v>
      </c>
      <c r="J71" s="145">
        <f t="shared" si="37"/>
        <v>0.50658561296859161</v>
      </c>
      <c r="K71" s="145">
        <f t="shared" si="37"/>
        <v>0.58481994563513784</v>
      </c>
      <c r="L71" s="145" t="str">
        <f t="shared" si="37"/>
        <v/>
      </c>
      <c r="M71" s="145" t="str">
        <f t="shared" si="37"/>
        <v/>
      </c>
      <c r="N71" s="145">
        <f t="shared" si="37"/>
        <v>0.66978595554534925</v>
      </c>
      <c r="O71" s="145">
        <f t="shared" ref="O71:S71" si="38">IF(O$9=0,"",+(O35*10)/O$9)</f>
        <v>0.72831748614941061</v>
      </c>
      <c r="P71" s="145">
        <f t="shared" si="38"/>
        <v>0.69418072382632412</v>
      </c>
      <c r="Q71" s="145">
        <f t="shared" si="38"/>
        <v>0.49798236821137581</v>
      </c>
      <c r="R71" s="145">
        <f t="shared" si="38"/>
        <v>0.66546882278565256</v>
      </c>
      <c r="S71" s="145" t="str">
        <f t="shared" si="38"/>
        <v/>
      </c>
      <c r="T71" s="145">
        <f t="shared" si="37"/>
        <v>0</v>
      </c>
      <c r="U71" s="145">
        <f t="shared" si="37"/>
        <v>1.0140010140010138</v>
      </c>
      <c r="V71" s="145">
        <f t="shared" si="37"/>
        <v>0.61365458150675212</v>
      </c>
      <c r="W71" s="145">
        <f t="shared" si="37"/>
        <v>0.6379178361826997</v>
      </c>
      <c r="X71" s="145">
        <f t="shared" si="37"/>
        <v>1.1584992469754893</v>
      </c>
      <c r="Y71" s="145">
        <f t="shared" ref="Y71:AF71" si="39">IF(Y$9=0,"",+(Y35*10)/Y$9)</f>
        <v>0.71322224896805653</v>
      </c>
      <c r="Z71" s="145" t="str">
        <f t="shared" si="39"/>
        <v/>
      </c>
      <c r="AA71" s="145" t="e">
        <f t="shared" si="39"/>
        <v>#REF!</v>
      </c>
      <c r="AB71" s="145">
        <f t="shared" si="39"/>
        <v>0.71711025057881039</v>
      </c>
      <c r="AC71" s="145">
        <f t="shared" si="39"/>
        <v>0.55249107174428058</v>
      </c>
      <c r="AD71" s="145" t="str">
        <f t="shared" si="39"/>
        <v/>
      </c>
      <c r="AE71" s="145" t="str">
        <f t="shared" si="39"/>
        <v/>
      </c>
      <c r="AF71" s="145">
        <f t="shared" si="39"/>
        <v>0.49107816210490135</v>
      </c>
      <c r="AG71" s="242" t="e">
        <f>+(AG35*10)/AG$9</f>
        <v>#REF!</v>
      </c>
      <c r="AH71" s="242">
        <v>0.7</v>
      </c>
      <c r="AI71" s="243" t="e">
        <f>AH71-AG71</f>
        <v>#REF!</v>
      </c>
    </row>
    <row r="72" spans="1:37" ht="18" x14ac:dyDescent="0.25">
      <c r="A72" s="109" t="s">
        <v>127</v>
      </c>
      <c r="B72" s="145">
        <f t="shared" ref="B72:X72" si="40">IF(B$9=0,"",+(B36*10)/B$9)</f>
        <v>9.5442615127654493E-2</v>
      </c>
      <c r="C72" s="145">
        <f t="shared" si="40"/>
        <v>0.10565910147500104</v>
      </c>
      <c r="D72" s="145" t="str">
        <f t="shared" si="40"/>
        <v/>
      </c>
      <c r="E72" s="145" t="str">
        <f t="shared" si="40"/>
        <v/>
      </c>
      <c r="F72" s="145" t="str">
        <f t="shared" si="40"/>
        <v/>
      </c>
      <c r="G72" s="145" t="str">
        <f t="shared" si="40"/>
        <v/>
      </c>
      <c r="H72" s="145">
        <f t="shared" si="40"/>
        <v>0.42165626581210991</v>
      </c>
      <c r="I72" s="145">
        <f t="shared" si="40"/>
        <v>1.6589855635076263E-2</v>
      </c>
      <c r="J72" s="145">
        <f t="shared" si="40"/>
        <v>1.5351079180866414E-2</v>
      </c>
      <c r="K72" s="145">
        <f t="shared" si="40"/>
        <v>0</v>
      </c>
      <c r="L72" s="145" t="str">
        <f t="shared" si="40"/>
        <v/>
      </c>
      <c r="M72" s="145" t="str">
        <f t="shared" si="40"/>
        <v/>
      </c>
      <c r="N72" s="145">
        <f t="shared" si="40"/>
        <v>4.7841853967524946E-2</v>
      </c>
      <c r="O72" s="145">
        <f t="shared" ref="O72:S72" si="41">IF(O$9=0,"",+(O36*10)/O$9)</f>
        <v>0</v>
      </c>
      <c r="P72" s="145">
        <f t="shared" si="41"/>
        <v>0</v>
      </c>
      <c r="Q72" s="145">
        <f t="shared" si="41"/>
        <v>0</v>
      </c>
      <c r="R72" s="145">
        <f t="shared" si="41"/>
        <v>0</v>
      </c>
      <c r="S72" s="145" t="str">
        <f t="shared" si="41"/>
        <v/>
      </c>
      <c r="T72" s="145">
        <f t="shared" si="40"/>
        <v>0</v>
      </c>
      <c r="U72" s="145">
        <f t="shared" si="40"/>
        <v>0.23400023400023398</v>
      </c>
      <c r="V72" s="145">
        <f t="shared" si="40"/>
        <v>0</v>
      </c>
      <c r="W72" s="145">
        <f t="shared" si="40"/>
        <v>0</v>
      </c>
      <c r="X72" s="145">
        <f t="shared" si="40"/>
        <v>0.16549989242506991</v>
      </c>
      <c r="Y72" s="145">
        <f t="shared" ref="Y72:AF72" si="42">IF(Y$9=0,"",+(Y36*10)/Y$9)</f>
        <v>0</v>
      </c>
      <c r="Z72" s="145" t="str">
        <f t="shared" si="42"/>
        <v/>
      </c>
      <c r="AA72" s="145" t="e">
        <f t="shared" si="42"/>
        <v>#REF!</v>
      </c>
      <c r="AB72" s="145">
        <f t="shared" si="42"/>
        <v>0.10244432151125862</v>
      </c>
      <c r="AC72" s="145">
        <f t="shared" si="42"/>
        <v>2.2099642869771223E-2</v>
      </c>
      <c r="AD72" s="145" t="str">
        <f t="shared" si="42"/>
        <v/>
      </c>
      <c r="AE72" s="145" t="str">
        <f t="shared" si="42"/>
        <v/>
      </c>
      <c r="AF72" s="145">
        <f t="shared" si="42"/>
        <v>7.0154023157843054E-2</v>
      </c>
      <c r="AG72" s="242" t="e">
        <f>+(AG36*10)/AG$9</f>
        <v>#REF!</v>
      </c>
      <c r="AH72" s="242">
        <v>0.1</v>
      </c>
      <c r="AI72" s="243" t="e">
        <f>AH72-AG72</f>
        <v>#REF!</v>
      </c>
    </row>
    <row r="73" spans="1:37" ht="18" x14ac:dyDescent="0.25">
      <c r="A73" s="121" t="s">
        <v>129</v>
      </c>
      <c r="B73" s="145">
        <f t="shared" ref="B73:X73" si="43">IF(B$9=0,"",+(B37*10)/B$9)</f>
        <v>0.62037699832975424</v>
      </c>
      <c r="C73" s="145">
        <f t="shared" si="43"/>
        <v>0.21131820295000209</v>
      </c>
      <c r="D73" s="145" t="str">
        <f t="shared" si="43"/>
        <v/>
      </c>
      <c r="E73" s="145" t="str">
        <f t="shared" si="43"/>
        <v/>
      </c>
      <c r="F73" s="145" t="str">
        <f t="shared" si="43"/>
        <v/>
      </c>
      <c r="G73" s="145" t="str">
        <f t="shared" si="43"/>
        <v/>
      </c>
      <c r="H73" s="145">
        <f t="shared" si="43"/>
        <v>2.1082813290605493</v>
      </c>
      <c r="I73" s="145">
        <f t="shared" si="43"/>
        <v>0.24884783452614395</v>
      </c>
      <c r="J73" s="145">
        <f t="shared" si="43"/>
        <v>0.26096834607472902</v>
      </c>
      <c r="K73" s="145">
        <f t="shared" si="43"/>
        <v>0.37428476520648818</v>
      </c>
      <c r="L73" s="145" t="str">
        <f t="shared" si="43"/>
        <v/>
      </c>
      <c r="M73" s="145" t="str">
        <f t="shared" si="43"/>
        <v/>
      </c>
      <c r="N73" s="145">
        <f t="shared" si="43"/>
        <v>0.45449761269148697</v>
      </c>
      <c r="O73" s="145">
        <f t="shared" ref="O73:S73" si="44">IF(O$9=0,"",+(O37*10)/O$9)</f>
        <v>0.47717352540823449</v>
      </c>
      <c r="P73" s="145">
        <f t="shared" si="44"/>
        <v>0.46959284258839573</v>
      </c>
      <c r="Q73" s="145">
        <f t="shared" si="44"/>
        <v>0.19276736833988742</v>
      </c>
      <c r="R73" s="145">
        <f t="shared" si="44"/>
        <v>0.36298299424671954</v>
      </c>
      <c r="S73" s="145" t="str">
        <f t="shared" si="44"/>
        <v/>
      </c>
      <c r="T73" s="145">
        <f t="shared" si="43"/>
        <v>3.2251562185043334</v>
      </c>
      <c r="U73" s="145">
        <f t="shared" si="43"/>
        <v>0.62400062400062395</v>
      </c>
      <c r="V73" s="145">
        <f t="shared" si="43"/>
        <v>0.49859434747423609</v>
      </c>
      <c r="W73" s="145">
        <f t="shared" si="43"/>
        <v>0.5219327750585725</v>
      </c>
      <c r="X73" s="145">
        <f t="shared" si="43"/>
        <v>1.117124273869222</v>
      </c>
      <c r="Y73" s="145">
        <f t="shared" ref="Y73:AF73" si="45">IF(Y$9=0,"",+(Y37*10)/Y$9)</f>
        <v>1.1144097640125883</v>
      </c>
      <c r="Z73" s="145" t="str">
        <f t="shared" si="45"/>
        <v/>
      </c>
      <c r="AA73" s="145" t="e">
        <f t="shared" si="45"/>
        <v>#REF!</v>
      </c>
      <c r="AB73" s="145">
        <f t="shared" si="45"/>
        <v>0.46099944680066379</v>
      </c>
      <c r="AC73" s="145">
        <f t="shared" si="45"/>
        <v>0.28729535730702588</v>
      </c>
      <c r="AD73" s="145" t="str">
        <f t="shared" si="45"/>
        <v/>
      </c>
      <c r="AE73" s="145" t="str">
        <f t="shared" si="45"/>
        <v/>
      </c>
      <c r="AF73" s="145">
        <f t="shared" si="45"/>
        <v>0.31569310421029373</v>
      </c>
      <c r="AG73" s="242" t="e">
        <f>+(AG37*10)/AG$9</f>
        <v>#REF!</v>
      </c>
      <c r="AH73" s="242">
        <v>0.6</v>
      </c>
      <c r="AI73" s="243" t="e">
        <f t="shared" si="16"/>
        <v>#REF!</v>
      </c>
    </row>
    <row r="74" spans="1:37" s="91" customFormat="1" ht="18" x14ac:dyDescent="0.25">
      <c r="A74" s="149" t="s">
        <v>166</v>
      </c>
      <c r="B74" s="150">
        <f t="shared" ref="B74:X74" si="46">IF(B$9=0,"",+(B38*10)/B$9)</f>
        <v>0</v>
      </c>
      <c r="C74" s="150">
        <f t="shared" si="46"/>
        <v>0</v>
      </c>
      <c r="D74" s="150" t="str">
        <f t="shared" si="46"/>
        <v/>
      </c>
      <c r="E74" s="150" t="str">
        <f t="shared" si="46"/>
        <v/>
      </c>
      <c r="F74" s="150" t="str">
        <f t="shared" si="46"/>
        <v/>
      </c>
      <c r="G74" s="150" t="str">
        <f t="shared" si="46"/>
        <v/>
      </c>
      <c r="H74" s="150">
        <f t="shared" si="46"/>
        <v>0</v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 t="str">
        <f t="shared" si="46"/>
        <v/>
      </c>
      <c r="M74" s="150" t="str">
        <f t="shared" si="46"/>
        <v/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>
        <f t="shared" si="47"/>
        <v>0</v>
      </c>
      <c r="R74" s="150">
        <f t="shared" si="47"/>
        <v>0</v>
      </c>
      <c r="S74" s="150" t="str">
        <f t="shared" si="47"/>
        <v/>
      </c>
      <c r="T74" s="150">
        <f t="shared" si="46"/>
        <v>0</v>
      </c>
      <c r="U74" s="150">
        <f t="shared" si="46"/>
        <v>0</v>
      </c>
      <c r="V74" s="150">
        <f t="shared" si="46"/>
        <v>0</v>
      </c>
      <c r="W74" s="150">
        <f t="shared" si="46"/>
        <v>0</v>
      </c>
      <c r="X74" s="150">
        <f t="shared" si="46"/>
        <v>0</v>
      </c>
      <c r="Y74" s="150">
        <f t="shared" ref="Y74:AF74" si="48">IF(Y$9=0,"",+(Y38*10)/Y$9)</f>
        <v>0</v>
      </c>
      <c r="Z74" s="150" t="str">
        <f t="shared" si="48"/>
        <v/>
      </c>
      <c r="AA74" s="150" t="e">
        <f t="shared" si="48"/>
        <v>#REF!</v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250" t="e">
        <f>+(AG38*10)/AG$9</f>
        <v>#REF!</v>
      </c>
      <c r="AH74" s="250">
        <v>0.5</v>
      </c>
      <c r="AI74" s="251" t="e">
        <f t="shared" si="16"/>
        <v>#REF!</v>
      </c>
      <c r="AJ74" s="285"/>
      <c r="AK74" s="285"/>
    </row>
    <row r="75" spans="1:37" ht="18" x14ac:dyDescent="0.25">
      <c r="A75" s="121" t="s">
        <v>201</v>
      </c>
      <c r="B75" s="145">
        <f t="shared" ref="B75:X75" si="49">IF(B$9=0,"",+(B39*10)/B$9)</f>
        <v>0</v>
      </c>
      <c r="C75" s="145">
        <f t="shared" si="49"/>
        <v>0</v>
      </c>
      <c r="D75" s="145" t="str">
        <f t="shared" si="49"/>
        <v/>
      </c>
      <c r="E75" s="145" t="str">
        <f t="shared" si="49"/>
        <v/>
      </c>
      <c r="F75" s="145" t="str">
        <f t="shared" si="49"/>
        <v/>
      </c>
      <c r="G75" s="145" t="str">
        <f t="shared" si="49"/>
        <v/>
      </c>
      <c r="H75" s="145">
        <f t="shared" si="49"/>
        <v>0</v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 t="str">
        <f t="shared" si="49"/>
        <v/>
      </c>
      <c r="M75" s="145" t="str">
        <f t="shared" si="49"/>
        <v/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>
        <f t="shared" si="50"/>
        <v>0</v>
      </c>
      <c r="R75" s="145">
        <f t="shared" si="50"/>
        <v>0</v>
      </c>
      <c r="S75" s="145" t="str">
        <f t="shared" si="50"/>
        <v/>
      </c>
      <c r="T75" s="145">
        <f t="shared" si="49"/>
        <v>0</v>
      </c>
      <c r="U75" s="145">
        <f t="shared" si="49"/>
        <v>0</v>
      </c>
      <c r="V75" s="145">
        <f t="shared" si="49"/>
        <v>0</v>
      </c>
      <c r="W75" s="145">
        <f t="shared" si="49"/>
        <v>0</v>
      </c>
      <c r="X75" s="145">
        <f t="shared" si="49"/>
        <v>0</v>
      </c>
      <c r="Y75" s="145">
        <f t="shared" ref="Y75:AF75" si="51">IF(Y$9=0,"",+(Y39*10)/Y$9)</f>
        <v>0</v>
      </c>
      <c r="Z75" s="145" t="str">
        <f t="shared" si="51"/>
        <v/>
      </c>
      <c r="AA75" s="145" t="e">
        <f t="shared" si="51"/>
        <v>#REF!</v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242" t="e">
        <f>+(AG39*10)/AG$9</f>
        <v>#REF!</v>
      </c>
      <c r="AH75" s="242">
        <v>0.3</v>
      </c>
      <c r="AI75" s="243" t="e">
        <f t="shared" si="16"/>
        <v>#REF!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50"/>
      <c r="AH76" s="250">
        <v>0.4</v>
      </c>
      <c r="AI76" s="251">
        <f t="shared" si="16"/>
        <v>0.4</v>
      </c>
      <c r="AJ76" s="285"/>
      <c r="AK76" s="285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50"/>
      <c r="AH77" s="250">
        <v>0.2</v>
      </c>
      <c r="AI77" s="251">
        <f t="shared" si="16"/>
        <v>0.2</v>
      </c>
      <c r="AJ77" s="285"/>
      <c r="AK77" s="285"/>
    </row>
    <row r="78" spans="1:37" s="1" customFormat="1" ht="18" x14ac:dyDescent="0.25">
      <c r="A78" s="151" t="s">
        <v>196</v>
      </c>
      <c r="B78" s="152">
        <f t="shared" ref="B78:AH78" si="52">SUM(B62:B77)</f>
        <v>14.735337668658556</v>
      </c>
      <c r="C78" s="152">
        <f t="shared" si="52"/>
        <v>13.398784711815811</v>
      </c>
      <c r="D78" s="152">
        <f t="shared" si="52"/>
        <v>0</v>
      </c>
      <c r="E78" s="152">
        <f t="shared" si="52"/>
        <v>0</v>
      </c>
      <c r="F78" s="152">
        <f t="shared" si="52"/>
        <v>0</v>
      </c>
      <c r="G78" s="152">
        <f t="shared" si="52"/>
        <v>0</v>
      </c>
      <c r="H78" s="152">
        <f t="shared" si="52"/>
        <v>39.254584105855727</v>
      </c>
      <c r="I78" s="152">
        <f t="shared" si="52"/>
        <v>8.0632146440963854</v>
      </c>
      <c r="J78" s="152">
        <f t="shared" si="52"/>
        <v>9.6097667252184173</v>
      </c>
      <c r="K78" s="152">
        <f t="shared" si="52"/>
        <v>9.8179775888860199</v>
      </c>
      <c r="L78" s="152">
        <f t="shared" si="52"/>
        <v>0</v>
      </c>
      <c r="M78" s="152">
        <f t="shared" si="52"/>
        <v>0</v>
      </c>
      <c r="N78" s="152">
        <f>SUM(N62:N77)</f>
        <v>13.185962183636361</v>
      </c>
      <c r="O78" s="152">
        <f t="shared" si="52"/>
        <v>13.03894836768181</v>
      </c>
      <c r="P78" s="152">
        <f t="shared" si="52"/>
        <v>13.316566551314724</v>
      </c>
      <c r="Q78" s="152">
        <f t="shared" si="52"/>
        <v>8.7362513324804532</v>
      </c>
      <c r="R78" s="152">
        <f t="shared" si="52"/>
        <v>6.4731967307331653</v>
      </c>
      <c r="S78" s="152">
        <f t="shared" si="52"/>
        <v>0</v>
      </c>
      <c r="T78" s="152">
        <f t="shared" si="52"/>
        <v>13.706913928643418</v>
      </c>
      <c r="U78" s="152">
        <f t="shared" si="52"/>
        <v>15.449183293706263</v>
      </c>
      <c r="V78" s="152">
        <f t="shared" si="52"/>
        <v>11.373268265911216</v>
      </c>
      <c r="W78" s="152">
        <f>SUM(W62:W77)</f>
        <v>8.4105425981241453</v>
      </c>
      <c r="X78" s="152">
        <f>SUM(X62:X77)</f>
        <v>27.915370196544803</v>
      </c>
      <c r="Y78" s="152">
        <f t="shared" si="52"/>
        <v>15.408130348319048</v>
      </c>
      <c r="Z78" s="152">
        <f t="shared" si="52"/>
        <v>3.4745762711864407</v>
      </c>
      <c r="AA78" s="152" t="e">
        <f t="shared" si="52"/>
        <v>#REF!</v>
      </c>
      <c r="AB78" s="152">
        <f t="shared" si="52"/>
        <v>14.193569333528767</v>
      </c>
      <c r="AC78" s="152">
        <f t="shared" si="52"/>
        <v>11.163013536263598</v>
      </c>
      <c r="AD78" s="152">
        <f t="shared" ref="AD78:AF78" si="53">SUM(AD62:AD77)</f>
        <v>3.9818711557138236</v>
      </c>
      <c r="AE78" s="152">
        <f t="shared" si="53"/>
        <v>2.8164116828929067</v>
      </c>
      <c r="AF78" s="152">
        <f t="shared" si="53"/>
        <v>13.768640086494615</v>
      </c>
      <c r="AG78" s="254" t="e">
        <f>SUM(AG62:AG77)</f>
        <v>#REF!</v>
      </c>
      <c r="AH78" s="254">
        <f t="shared" si="52"/>
        <v>15.599999999999998</v>
      </c>
      <c r="AI78" s="254" t="e">
        <f t="shared" si="16"/>
        <v>#REF!</v>
      </c>
      <c r="AJ78" s="211"/>
      <c r="AK78" s="211"/>
    </row>
    <row r="79" spans="1:37" s="89" customFormat="1" ht="19.5" thickBot="1" x14ac:dyDescent="0.35">
      <c r="A79" s="153" t="s">
        <v>203</v>
      </c>
      <c r="B79" s="154">
        <f>SUM(B69:B72)</f>
        <v>3.5790980672870436</v>
      </c>
      <c r="C79" s="154">
        <f t="shared" ref="C79:AI79" si="54">SUM(C69:C72)</f>
        <v>4.2263640590000415</v>
      </c>
      <c r="D79" s="154">
        <f>SUM(D69:D72)</f>
        <v>0</v>
      </c>
      <c r="E79" s="154">
        <f t="shared" si="54"/>
        <v>0</v>
      </c>
      <c r="F79" s="154">
        <f t="shared" si="54"/>
        <v>0</v>
      </c>
      <c r="G79" s="154">
        <f t="shared" si="54"/>
        <v>0</v>
      </c>
      <c r="H79" s="154">
        <f t="shared" si="54"/>
        <v>8.152021139034126</v>
      </c>
      <c r="I79" s="154">
        <f t="shared" si="54"/>
        <v>2.5382479121666686</v>
      </c>
      <c r="J79" s="154">
        <f t="shared" si="54"/>
        <v>2.6096834607472901</v>
      </c>
      <c r="K79" s="154">
        <f t="shared" si="54"/>
        <v>2.4328509738421733</v>
      </c>
      <c r="L79" s="154">
        <f t="shared" si="54"/>
        <v>0</v>
      </c>
      <c r="M79" s="154">
        <f>SUM(M69:M72)</f>
        <v>0</v>
      </c>
      <c r="N79" s="154">
        <f t="shared" si="54"/>
        <v>3.181483288840409</v>
      </c>
      <c r="O79" s="154">
        <f t="shared" si="54"/>
        <v>3.3151002817835242</v>
      </c>
      <c r="P79" s="154">
        <f t="shared" si="54"/>
        <v>2.7971399754178354</v>
      </c>
      <c r="Q79" s="154">
        <f t="shared" si="54"/>
        <v>2.1525689464620763</v>
      </c>
      <c r="R79" s="154">
        <f t="shared" si="54"/>
        <v>3.781072856736662</v>
      </c>
      <c r="S79" s="154">
        <f t="shared" si="54"/>
        <v>0</v>
      </c>
      <c r="T79" s="154">
        <f t="shared" si="54"/>
        <v>8.8691796008869179</v>
      </c>
      <c r="U79" s="154">
        <f t="shared" si="54"/>
        <v>3.9780039780039771</v>
      </c>
      <c r="V79" s="154">
        <f t="shared" si="54"/>
        <v>2.7039154997641264</v>
      </c>
      <c r="W79" s="154">
        <f t="shared" si="54"/>
        <v>3.0736041197893713</v>
      </c>
      <c r="X79" s="154">
        <f t="shared" si="54"/>
        <v>4.7994968803270268</v>
      </c>
      <c r="Y79" s="154">
        <f t="shared" si="54"/>
        <v>2.3179723091461839</v>
      </c>
      <c r="Z79" s="154">
        <f t="shared" si="54"/>
        <v>0</v>
      </c>
      <c r="AA79" s="154" t="e">
        <f t="shared" si="54"/>
        <v>#REF!</v>
      </c>
      <c r="AB79" s="154">
        <f t="shared" si="54"/>
        <v>3.5855512528940521</v>
      </c>
      <c r="AC79" s="154">
        <f t="shared" si="54"/>
        <v>2.7182560729818603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2.455390810524507</v>
      </c>
      <c r="AG79" s="255" t="e">
        <f t="shared" si="54"/>
        <v>#REF!</v>
      </c>
      <c r="AH79" s="255">
        <f t="shared" si="54"/>
        <v>6</v>
      </c>
      <c r="AI79" s="255" t="e">
        <f t="shared" si="54"/>
        <v>#REF!</v>
      </c>
      <c r="AJ79" s="286"/>
      <c r="AK79" s="286"/>
    </row>
    <row r="80" spans="1:37" s="78" customFormat="1" ht="20.25" x14ac:dyDescent="0.3">
      <c r="A80" s="137" t="s">
        <v>197</v>
      </c>
      <c r="B80" s="155">
        <f t="shared" ref="B80:W80" si="56">IF(B$9=0,"",+B47/B$9)</f>
        <v>7.7660701503221405</v>
      </c>
      <c r="C80" s="155">
        <f>IF(C$9=0,"",+C47/C$9)</f>
        <v>9.5964878914669711</v>
      </c>
      <c r="D80" s="155" t="str">
        <f t="shared" si="56"/>
        <v/>
      </c>
      <c r="E80" s="155" t="str">
        <f t="shared" si="56"/>
        <v/>
      </c>
      <c r="F80" s="155" t="str">
        <f t="shared" si="56"/>
        <v/>
      </c>
      <c r="G80" s="155" t="str">
        <f t="shared" si="56"/>
        <v/>
      </c>
      <c r="H80" s="155" t="e">
        <f t="shared" si="56"/>
        <v>#REF!</v>
      </c>
      <c r="I80" s="155">
        <f t="shared" si="56"/>
        <v>5.1630119214702974</v>
      </c>
      <c r="J80" s="155">
        <f t="shared" si="56"/>
        <v>5.3908077737864861</v>
      </c>
      <c r="K80" s="155">
        <f t="shared" si="56"/>
        <v>7.238176110339154</v>
      </c>
      <c r="L80" s="155" t="str">
        <f t="shared" si="56"/>
        <v/>
      </c>
      <c r="M80" s="155" t="str">
        <f t="shared" si="56"/>
        <v/>
      </c>
      <c r="N80" s="155">
        <f t="shared" si="56"/>
        <v>5.0073915664379767</v>
      </c>
      <c r="O80" s="155">
        <f t="shared" si="56"/>
        <v>5.3330420063388733</v>
      </c>
      <c r="P80" s="155">
        <f t="shared" si="56"/>
        <v>4.7856002417381953</v>
      </c>
      <c r="Q80" s="155">
        <f t="shared" si="56"/>
        <v>4.0043083506824599</v>
      </c>
      <c r="R80" s="155">
        <f t="shared" si="56"/>
        <v>5.843572478629306</v>
      </c>
      <c r="S80" s="155" t="str">
        <f t="shared" si="56"/>
        <v/>
      </c>
      <c r="T80" s="155">
        <f t="shared" si="56"/>
        <v>4.891486931398239</v>
      </c>
      <c r="U80" s="155">
        <f t="shared" si="56"/>
        <v>0.70200070200070197</v>
      </c>
      <c r="V80" s="155">
        <f t="shared" si="56"/>
        <v>0</v>
      </c>
      <c r="W80" s="155">
        <f t="shared" si="56"/>
        <v>6.1858699266201182E-2</v>
      </c>
      <c r="X80" s="155">
        <f>IF(X$9=0,"",+X47/X$9)</f>
        <v>0.21514986015259088</v>
      </c>
      <c r="Y80" s="155">
        <f>IF(Y$9=0,"",+Y47/Y$9)</f>
        <v>0</v>
      </c>
      <c r="Z80" s="155" t="str">
        <f>IF(Z$9=0,"",+Z47/Z$9)</f>
        <v/>
      </c>
      <c r="AA80" s="155" t="e">
        <f t="shared" ref="AA80:AF80" si="57">IF(AA$9=0,"",+AA47/AA$9)</f>
        <v>#REF!</v>
      </c>
      <c r="AB80" s="155">
        <f t="shared" si="57"/>
        <v>0</v>
      </c>
      <c r="AC80" s="155">
        <f t="shared" si="57"/>
        <v>7.7348750044199277E-2</v>
      </c>
      <c r="AD80" s="155" t="str">
        <f t="shared" si="57"/>
        <v/>
      </c>
      <c r="AE80" s="155" t="str">
        <f t="shared" si="57"/>
        <v/>
      </c>
      <c r="AF80" s="155">
        <f t="shared" si="57"/>
        <v>7.0154023157843045E-3</v>
      </c>
      <c r="AG80" s="256" t="e">
        <f>+(AG47)/AG$9</f>
        <v>#REF!</v>
      </c>
      <c r="AH80" s="257">
        <f>'Daily KPIs'!AI92</f>
        <v>5</v>
      </c>
      <c r="AI80" s="287" t="e">
        <f>AH80-AG80</f>
        <v>#REF!</v>
      </c>
      <c r="AJ80" s="271"/>
      <c r="AK80" s="271"/>
    </row>
    <row r="81" spans="1:37" s="1" customFormat="1" ht="20.25" x14ac:dyDescent="0.3">
      <c r="A81" s="156" t="s">
        <v>198</v>
      </c>
      <c r="B81" s="157">
        <f t="shared" ref="B81:Z81" si="58">IF(B$9=0,"",+B49/B$9)</f>
        <v>0.56225244571701127</v>
      </c>
      <c r="C81" s="157">
        <f>IF(C$9=0,"",+C49/C$9)</f>
        <v>0.73987785807867179</v>
      </c>
      <c r="D81" s="157" t="str">
        <f>IF(D$9=0,"",+D49/D$9)</f>
        <v/>
      </c>
      <c r="E81" s="157" t="str">
        <f t="shared" si="58"/>
        <v/>
      </c>
      <c r="F81" s="157" t="str">
        <f t="shared" si="58"/>
        <v/>
      </c>
      <c r="G81" s="157" t="str">
        <f t="shared" si="58"/>
        <v/>
      </c>
      <c r="H81" s="157">
        <f t="shared" si="58"/>
        <v>1.9146005509642035</v>
      </c>
      <c r="I81" s="157">
        <f t="shared" si="58"/>
        <v>0.52646247872351637</v>
      </c>
      <c r="J81" s="157">
        <f t="shared" si="58"/>
        <v>0.6273064996469242</v>
      </c>
      <c r="K81" s="157">
        <f t="shared" si="58"/>
        <v>0.67015687210220765</v>
      </c>
      <c r="L81" s="157" t="str">
        <f t="shared" si="58"/>
        <v/>
      </c>
      <c r="M81" s="157" t="str">
        <f t="shared" si="58"/>
        <v/>
      </c>
      <c r="N81" s="157">
        <f t="shared" si="58"/>
        <v>0.65225191606626454</v>
      </c>
      <c r="O81" s="157">
        <f t="shared" ref="O81:S81" si="59">IF(O$9=0,"",+O49/O$9)</f>
        <v>0.64707241484962552</v>
      </c>
      <c r="P81" s="157">
        <f t="shared" si="59"/>
        <v>0.6763770299682027</v>
      </c>
      <c r="Q81" s="157">
        <f t="shared" si="59"/>
        <v>0.57320983370600798</v>
      </c>
      <c r="R81" s="157">
        <f t="shared" si="59"/>
        <v>0.60258201903240571</v>
      </c>
      <c r="S81" s="157" t="str">
        <f t="shared" si="59"/>
        <v/>
      </c>
      <c r="T81" s="157">
        <f t="shared" si="58"/>
        <v>0</v>
      </c>
      <c r="U81" s="157">
        <f t="shared" si="58"/>
        <v>0.60173160173160511</v>
      </c>
      <c r="V81" s="157">
        <f>IF(V$9=0,"",+V49/V$9)</f>
        <v>0.59769956238757715</v>
      </c>
      <c r="W81" s="157">
        <f t="shared" si="58"/>
        <v>0.58688440928809493</v>
      </c>
      <c r="X81" s="157">
        <f t="shared" si="58"/>
        <v>0.58665574367374007</v>
      </c>
      <c r="Y81" s="157">
        <f t="shared" si="58"/>
        <v>0.5993295710859895</v>
      </c>
      <c r="Z81" s="157" t="str">
        <f t="shared" si="58"/>
        <v/>
      </c>
      <c r="AA81" s="157" t="e">
        <f t="shared" ref="AA81:AF81" si="60">IF(AA$9=0,"",+AA49/AA$9)</f>
        <v>#REF!</v>
      </c>
      <c r="AB81" s="157">
        <f t="shared" si="60"/>
        <v>0.70724998463335542</v>
      </c>
      <c r="AC81" s="157">
        <f t="shared" si="60"/>
        <v>0.54088875923765067</v>
      </c>
      <c r="AD81" s="157" t="str">
        <f t="shared" si="60"/>
        <v/>
      </c>
      <c r="AE81" s="157" t="str">
        <f t="shared" si="60"/>
        <v/>
      </c>
      <c r="AF81" s="157">
        <f t="shared" si="60"/>
        <v>0</v>
      </c>
      <c r="AG81" s="288" t="e">
        <f>IF(AG$9=0,"",+AG49/AG$9)</f>
        <v>#REF!</v>
      </c>
      <c r="AH81" s="288">
        <f>'Daily KPIs'!AI93</f>
        <v>1.7</v>
      </c>
      <c r="AI81" s="287" t="e">
        <f>AH81-AG81</f>
        <v>#REF!</v>
      </c>
      <c r="AJ81" s="211"/>
      <c r="AK81" s="211"/>
    </row>
    <row r="82" spans="1:37" s="78" customFormat="1" ht="20.25" x14ac:dyDescent="0.3">
      <c r="A82" s="137" t="s">
        <v>189</v>
      </c>
      <c r="B82" s="144">
        <f>IF(B$9=0,"",B52/B$9)</f>
        <v>28.284418993080408</v>
      </c>
      <c r="C82" s="144">
        <f t="shared" ref="C82:Y82" si="61">IF(C$9=0,"",C52/C$9)</f>
        <v>30.810193990110307</v>
      </c>
      <c r="D82" s="144" t="str">
        <f t="shared" si="61"/>
        <v/>
      </c>
      <c r="E82" s="144" t="str">
        <f t="shared" si="61"/>
        <v/>
      </c>
      <c r="F82" s="144" t="str">
        <f t="shared" si="61"/>
        <v/>
      </c>
      <c r="G82" s="144" t="str">
        <f t="shared" si="61"/>
        <v/>
      </c>
      <c r="H82" s="144">
        <f t="shared" si="61"/>
        <v>73.283858998144709</v>
      </c>
      <c r="I82" s="144">
        <f t="shared" si="61"/>
        <v>9.7050655465196147</v>
      </c>
      <c r="J82" s="144">
        <f t="shared" si="61"/>
        <v>10.593779742715911</v>
      </c>
      <c r="K82" s="144">
        <f t="shared" si="61"/>
        <v>16.014709391272614</v>
      </c>
      <c r="L82" s="144" t="str">
        <f t="shared" si="61"/>
        <v/>
      </c>
      <c r="M82" s="144" t="str">
        <f t="shared" si="61"/>
        <v/>
      </c>
      <c r="N82" s="144">
        <f>IF(N$9=0,"",N52/N$9)</f>
        <v>14.919482159772654</v>
      </c>
      <c r="O82" s="144">
        <f t="shared" ref="O82:S82" si="62">IF(O$9=0,"",O52/O$9)</f>
        <v>18.534424302698792</v>
      </c>
      <c r="P82" s="144">
        <f t="shared" si="62"/>
        <v>14.187828970203313</v>
      </c>
      <c r="Q82" s="144">
        <f t="shared" si="62"/>
        <v>10.052818258925129</v>
      </c>
      <c r="R82" s="144">
        <f t="shared" si="62"/>
        <v>17.761967851806144</v>
      </c>
      <c r="S82" s="144" t="str">
        <f t="shared" si="62"/>
        <v/>
      </c>
      <c r="T82" s="144">
        <f t="shared" si="61"/>
        <v>93.583282940267409</v>
      </c>
      <c r="U82" s="144">
        <f t="shared" si="61"/>
        <v>13.579813579813578</v>
      </c>
      <c r="V82" s="144">
        <f t="shared" si="61"/>
        <v>6.6773289150203468</v>
      </c>
      <c r="W82" s="144">
        <f t="shared" si="61"/>
        <v>6.7309997139035156</v>
      </c>
      <c r="X82" s="144">
        <f t="shared" si="61"/>
        <v>14.406765635602337</v>
      </c>
      <c r="Y82" s="144">
        <f t="shared" si="61"/>
        <v>15.521499193167331</v>
      </c>
      <c r="Z82" s="144" t="str">
        <f>IF(Z$9=0,"",Z52/Z$9)</f>
        <v/>
      </c>
      <c r="AA82" s="144" t="e">
        <f t="shared" ref="AA82:AF82" si="63">IF(AA$9=0,"",AA52/AA$9)</f>
        <v>#REF!</v>
      </c>
      <c r="AB82" s="144">
        <f t="shared" si="63"/>
        <v>8.9177781875550632</v>
      </c>
      <c r="AC82" s="144">
        <f t="shared" si="63"/>
        <v>7.6950956472543401</v>
      </c>
      <c r="AD82" s="144" t="str">
        <f t="shared" si="63"/>
        <v/>
      </c>
      <c r="AE82" s="144" t="str">
        <f t="shared" si="63"/>
        <v/>
      </c>
      <c r="AF82" s="144">
        <f t="shared" si="63"/>
        <v>6.1069077158902374</v>
      </c>
      <c r="AG82" s="239" t="e">
        <f>+(AG52)/AG$9</f>
        <v>#REF!</v>
      </c>
      <c r="AH82" s="240">
        <f>'Daily KPIs'!AI94</f>
        <v>22</v>
      </c>
      <c r="AI82" s="287" t="e">
        <f>AH82-AG82</f>
        <v>#REF!</v>
      </c>
      <c r="AJ82" s="271"/>
      <c r="AK82" s="271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8"/>
      <c r="AH83" s="258">
        <f>SUM(AH62:AH78)</f>
        <v>31.199999999999996</v>
      </c>
      <c r="AI83" s="287">
        <f>AH83-AG83</f>
        <v>31.199999999999996</v>
      </c>
      <c r="AJ83" s="211"/>
      <c r="AK83" s="211"/>
    </row>
    <row r="84" spans="1:37" s="78" customFormat="1" ht="20.25" x14ac:dyDescent="0.3">
      <c r="A84" s="137" t="s">
        <v>190</v>
      </c>
      <c r="B84" s="144">
        <f>IF(B$9=0,"",B54/B$9)</f>
        <v>12.884753042233356</v>
      </c>
      <c r="C84" s="144">
        <f t="shared" ref="C84:Z84" si="64">IF(C$9=0,"",C54/C$9)</f>
        <v>12.943239930687628</v>
      </c>
      <c r="D84" s="144" t="str">
        <f t="shared" si="64"/>
        <v/>
      </c>
      <c r="E84" s="144" t="str">
        <f t="shared" si="64"/>
        <v/>
      </c>
      <c r="F84" s="144" t="str">
        <f t="shared" si="64"/>
        <v/>
      </c>
      <c r="G84" s="144" t="str">
        <f>IF(G$9=0,"",G54/G$9)</f>
        <v/>
      </c>
      <c r="H84" s="144">
        <f t="shared" si="64"/>
        <v>45.398324619103832</v>
      </c>
      <c r="I84" s="144">
        <f t="shared" si="64"/>
        <v>4.6451595778213539</v>
      </c>
      <c r="J84" s="144">
        <f t="shared" si="64"/>
        <v>5.8180590095483709</v>
      </c>
      <c r="K84" s="144">
        <f t="shared" si="64"/>
        <v>5.6142714780973231</v>
      </c>
      <c r="L84" s="144" t="str">
        <f t="shared" si="64"/>
        <v/>
      </c>
      <c r="M84" s="144" t="str">
        <f t="shared" si="64"/>
        <v/>
      </c>
      <c r="N84" s="144">
        <f>IF(N$9=0,"",N54/N$9)</f>
        <v>8.420166298284391</v>
      </c>
      <c r="O84" s="144">
        <f t="shared" ref="O84:S84" si="65">IF(O$9=0,"",O54/O$9)</f>
        <v>7.76034838690234</v>
      </c>
      <c r="P84" s="144">
        <f t="shared" si="65"/>
        <v>6.880555997925625</v>
      </c>
      <c r="Q84" s="144">
        <f t="shared" si="65"/>
        <v>5.3653584187935328</v>
      </c>
      <c r="R84" s="144">
        <f t="shared" si="65"/>
        <v>6.6244396450026315</v>
      </c>
      <c r="S84" s="144" t="str">
        <f t="shared" si="65"/>
        <v/>
      </c>
      <c r="T84" s="144">
        <f t="shared" si="64"/>
        <v>0</v>
      </c>
      <c r="U84" s="144">
        <f t="shared" si="64"/>
        <v>0</v>
      </c>
      <c r="V84" s="144">
        <f t="shared" si="64"/>
        <v>0</v>
      </c>
      <c r="W84" s="144">
        <f t="shared" si="64"/>
        <v>0</v>
      </c>
      <c r="X84" s="144">
        <f t="shared" si="64"/>
        <v>0</v>
      </c>
      <c r="Y84" s="144">
        <f t="shared" si="64"/>
        <v>0</v>
      </c>
      <c r="Z84" s="144" t="str">
        <f t="shared" si="64"/>
        <v/>
      </c>
      <c r="AA84" s="144" t="e">
        <f t="shared" ref="AA84:AF84" si="66">IF(AA$9=0,"",AA54/AA$9)</f>
        <v>#REF!</v>
      </c>
      <c r="AB84" s="144">
        <f t="shared" si="66"/>
        <v>0</v>
      </c>
      <c r="AC84" s="144">
        <f t="shared" si="66"/>
        <v>0</v>
      </c>
      <c r="AD84" s="144" t="str">
        <f t="shared" si="66"/>
        <v/>
      </c>
      <c r="AE84" s="144" t="str">
        <f t="shared" si="66"/>
        <v/>
      </c>
      <c r="AF84" s="144">
        <f t="shared" si="66"/>
        <v>0</v>
      </c>
      <c r="AG84" s="256" t="e">
        <f>+(AG54)/AG$9</f>
        <v>#REF!</v>
      </c>
      <c r="AH84" s="257">
        <f>'Daily KPIs'!AI96</f>
        <v>7.2</v>
      </c>
      <c r="AI84" s="287" t="e">
        <f>AH84-AG84</f>
        <v>#REF!</v>
      </c>
      <c r="AJ84" s="271"/>
      <c r="AK84" s="271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1"/>
      <c r="AH85" s="211"/>
      <c r="AI85" s="211"/>
      <c r="AJ85" s="211"/>
      <c r="AK85" s="211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9">
        <f>SUM($B86:AF86)</f>
        <v>0</v>
      </c>
      <c r="AH86" s="259"/>
      <c r="AI86" s="289" t="s">
        <v>186</v>
      </c>
    </row>
    <row r="87" spans="1:37" ht="18" x14ac:dyDescent="0.25">
      <c r="A87" s="105" t="s">
        <v>204</v>
      </c>
      <c r="B87" s="159">
        <f>IF('Entries April 2026'!L7-'Entries April 2026'!L6&lt;1,0,'Entries April 2026'!L7-'Entries April 2026'!L6)</f>
        <v>111.80999999999767</v>
      </c>
      <c r="C87" s="159">
        <f>IF('Entries April 2026'!L8-'Entries April 2026'!L7&lt;1,0,'Entries April 2026'!L8-'Entries April 2026'!L7)</f>
        <v>238.18000000000029</v>
      </c>
      <c r="D87" s="159">
        <f>IF('Entries April 2026'!L9-'Entries April 2026'!L8&lt;1,0,'Entries April 2026'!L9-'Entries April 2026'!L8)</f>
        <v>0</v>
      </c>
      <c r="E87" s="159">
        <f>IF('Entries April 2026'!L10-'Entries April 2026'!L9&lt;1,0,'Entries April 2026'!L10-'Entries April 2026'!L9)</f>
        <v>0</v>
      </c>
      <c r="F87" s="159">
        <f>IF('Entries April 2026'!L11-'Entries April 2026'!L10&lt;1,0,'Entries April 2026'!L11-'Entries April 2026'!L10)</f>
        <v>0</v>
      </c>
      <c r="G87" s="159">
        <f>IF('Entries April 2026'!L12-'Entries April 2026'!L11&lt;1,0,'Entries April 2026'!L12-'Entries April 2026'!L11)</f>
        <v>0</v>
      </c>
      <c r="H87" s="159">
        <f>IF('Entries April 2026'!M12-'Entries April 2026'!L12&lt;1,0,'Entries April 2026'!M12-'Entries April 2026'!L12)</f>
        <v>361452.49</v>
      </c>
      <c r="I87" s="159">
        <f>IF('Entries April 2026'!L14-'Entries April 2026'!M12&lt;1,0,'Entries April 2026'!L14-'Entries April 2026'!M12)</f>
        <v>0</v>
      </c>
      <c r="J87" s="159">
        <f>IF('Entries April 2026'!L15-'Entries April 2026'!L14&lt;1,0,'Entries April 2026'!L15-'Entries April 2026'!L14)</f>
        <v>274.72999999999956</v>
      </c>
      <c r="K87" s="159">
        <f>IF('Entries April 2026'!L16-'Entries April 2026'!L15&lt;1,0,'Entries April 2026'!L16-'Entries April 2026'!L15)</f>
        <v>335.48999999999796</v>
      </c>
      <c r="L87" s="159">
        <f>IF('Entries April 2026'!L17-'Entries April 2026'!L16&lt;1,0,'Entries April 2026'!L17-'Entries April 2026'!L16)</f>
        <v>0</v>
      </c>
      <c r="M87" s="159">
        <f>IF('Entries April 2026'!L18-'Entries April 2026'!L17&lt;1,0,'Entries April 2026'!L18-'Entries April 2026'!L17)</f>
        <v>0</v>
      </c>
      <c r="N87" s="119">
        <f>IF('Entries April 2026'!L19-'Entries April 2026'!L18&lt;1,0,'Entries April 2026'!L19-'Entries April 2026'!L18)</f>
        <v>111.03000000000247</v>
      </c>
      <c r="O87" s="119">
        <f>IF('Entries April 2026'!L20-'Entries April 2026'!L19&lt;1,0,'Entries April 2026'!L20-'Entries April 2026'!L19)</f>
        <v>104.28999999999724</v>
      </c>
      <c r="P87" s="119">
        <f>IF('Entries April 2026'!L21-'Entries April 2026'!L20&lt;1,0,'Entries April 2026'!L21-'Entries April 2026'!L20)</f>
        <v>164.25</v>
      </c>
      <c r="Q87" s="119">
        <f>IF('Entries April 2026'!L22-'Entries April 2026'!L21&lt;1,0,'Entries April 2026'!L22-'Entries April 2026'!L21)</f>
        <v>203.38000000000102</v>
      </c>
      <c r="R87" s="119">
        <f>IF('Entries April 2026'!L23-'Entries April 2026'!L22&lt;1,0,'Entries April 2026'!L23-'Entries April 2026'!L22)</f>
        <v>32.700000000000728</v>
      </c>
      <c r="S87" s="119">
        <f>IF('Entries April 2026'!L24-'Entries April 2026'!L23&lt;1,0,'Entries April 2026'!L24-'Entries April 2026'!L23)</f>
        <v>0</v>
      </c>
      <c r="T87" s="119">
        <f>IF('Entries April 2026'!L25-'Entries April 2026'!L24&lt;1,0,'Entries April 2026'!L25-'Entries April 2026'!L24)</f>
        <v>0</v>
      </c>
      <c r="U87" s="119">
        <f>IF('Entries April 2026'!L26-'Entries April 2026'!L25&lt;1,0,'Entries April 2026'!L26-'Entries April 2026'!L25)</f>
        <v>109.71999999999753</v>
      </c>
      <c r="V87" s="119">
        <f>IF('Entries April 2026'!L27-'Entries April 2026'!L26&lt;1,0,'Entries April 2026'!L27-'Entries April 2026'!L26)</f>
        <v>118.9800000000032</v>
      </c>
      <c r="W87" s="119">
        <f>IF('Entries April 2026'!L28-'Entries April 2026'!L27&lt;1,0,'Entries April 2026'!L28-'Entries April 2026'!L27)</f>
        <v>759.19999999999709</v>
      </c>
      <c r="X87" s="119">
        <f>IF('Entries April 2026'!L29-'Entries April 2026'!L28&lt;1,0,'Entries April 2026'!L29-'Entries April 2026'!L28)</f>
        <v>170.01000000000204</v>
      </c>
      <c r="Y87" s="119">
        <f>IF('Entries April 2026'!L30-'Entries April 2026'!L29&lt;1,0,'Entries April 2026'!L30-'Entries April 2026'!L29)</f>
        <v>481.31999999999971</v>
      </c>
      <c r="Z87" s="119">
        <f>IF('Entries April 2026'!L31-'Entries April 2026'!L30&lt;1,0,'Entries April 2026'!L31-'Entries April 2026'!L30)</f>
        <v>0</v>
      </c>
      <c r="AA87" s="119">
        <f>IF('Entries April 2026'!L32-'Entries April 2026'!L31&lt;1,0,'Entries April 2026'!L32-'Entries April 2026'!L31)</f>
        <v>0</v>
      </c>
      <c r="AB87" s="119">
        <f>IF('Entries April 2026'!L33-'Entries April 2026'!L32&lt;1,0,'Entries April 2026'!L33-'Entries April 2026'!L32)</f>
        <v>552.15999999999985</v>
      </c>
      <c r="AC87" s="119">
        <f>IF('Entries April 2026'!L34-'Entries April 2026'!L33&lt;1,0,'Entries April 2026'!L34-'Entries April 2026'!L33)</f>
        <v>380.45000000000073</v>
      </c>
      <c r="AD87" s="119">
        <f>IF('Entries April 2026'!L35-'Entries April 2026'!L34&lt;1,0,'Entries April 2026'!L35-'Entries April 2026'!L34)</f>
        <v>356.11000000000058</v>
      </c>
      <c r="AE87" s="119">
        <f>IF('Entries April 2026'!L36-'Entries April 2026'!L35&lt;1,0,'Entries April 2026'!L36-'Entries April 2026'!L35)</f>
        <v>0</v>
      </c>
      <c r="AF87" s="119">
        <f>IF('Entries April 2026'!L37-'Entries April 2026'!L36&lt;1,0,'Entries April 2026'!L37-'Entries April 2026'!L36)</f>
        <v>0</v>
      </c>
      <c r="AG87" s="221">
        <f>SUM($B87:AF87)</f>
        <v>365956.29999999993</v>
      </c>
      <c r="AH87" s="221"/>
      <c r="AI87" s="272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2">
        <f>SUM(B88:AF88)</f>
        <v>0</v>
      </c>
      <c r="AH88" s="212"/>
      <c r="AI88" s="272"/>
    </row>
    <row r="89" spans="1:37" ht="18" x14ac:dyDescent="0.25">
      <c r="A89" s="105" t="s">
        <v>206</v>
      </c>
      <c r="B89" s="160">
        <f t="shared" ref="B89:AD89" si="67">IF(B87=0,"",B88/B87)</f>
        <v>0</v>
      </c>
      <c r="C89" s="160">
        <f t="shared" si="67"/>
        <v>0</v>
      </c>
      <c r="D89" s="160" t="str">
        <f t="shared" si="67"/>
        <v/>
      </c>
      <c r="E89" s="160" t="str">
        <f t="shared" si="67"/>
        <v/>
      </c>
      <c r="F89" s="160" t="str">
        <f t="shared" si="67"/>
        <v/>
      </c>
      <c r="G89" s="160" t="str">
        <f t="shared" si="67"/>
        <v/>
      </c>
      <c r="H89" s="160">
        <f t="shared" si="67"/>
        <v>0</v>
      </c>
      <c r="I89" s="160" t="str">
        <f>IF(I87=0,"",I88/I87)</f>
        <v/>
      </c>
      <c r="J89" s="160">
        <f t="shared" si="67"/>
        <v>0</v>
      </c>
      <c r="K89" s="160">
        <f t="shared" si="67"/>
        <v>0</v>
      </c>
      <c r="L89" s="160" t="str">
        <f t="shared" si="67"/>
        <v/>
      </c>
      <c r="M89" s="160" t="str">
        <f t="shared" si="67"/>
        <v/>
      </c>
      <c r="N89" s="160">
        <f t="shared" si="67"/>
        <v>0</v>
      </c>
      <c r="O89" s="160">
        <f t="shared" ref="O89:S89" si="68">IF(O87=0,"",O88/O87)</f>
        <v>0</v>
      </c>
      <c r="P89" s="160">
        <f t="shared" si="68"/>
        <v>0</v>
      </c>
      <c r="Q89" s="160">
        <f t="shared" si="68"/>
        <v>0</v>
      </c>
      <c r="R89" s="160">
        <f t="shared" si="68"/>
        <v>0</v>
      </c>
      <c r="S89" s="160" t="str">
        <f t="shared" si="68"/>
        <v/>
      </c>
      <c r="T89" s="160" t="str">
        <f t="shared" si="67"/>
        <v/>
      </c>
      <c r="U89" s="160">
        <f>IF(U87=0,"",U88/U87)</f>
        <v>0</v>
      </c>
      <c r="V89" s="160">
        <f t="shared" si="67"/>
        <v>0</v>
      </c>
      <c r="W89" s="160">
        <f t="shared" si="67"/>
        <v>0</v>
      </c>
      <c r="X89" s="160">
        <f t="shared" si="67"/>
        <v>0</v>
      </c>
      <c r="Y89" s="160">
        <f t="shared" si="67"/>
        <v>0</v>
      </c>
      <c r="Z89" s="160" t="str">
        <f t="shared" si="67"/>
        <v/>
      </c>
      <c r="AA89" s="160" t="str">
        <f t="shared" si="67"/>
        <v/>
      </c>
      <c r="AB89" s="160">
        <f t="shared" si="67"/>
        <v>0</v>
      </c>
      <c r="AC89" s="160">
        <f t="shared" si="67"/>
        <v>0</v>
      </c>
      <c r="AD89" s="160">
        <f t="shared" si="67"/>
        <v>0</v>
      </c>
      <c r="AE89" s="160" t="str">
        <f t="shared" ref="AE89" si="69">IF(AE87=0,"",AE88/AE87)</f>
        <v/>
      </c>
      <c r="AF89" s="160" t="str">
        <f>IF(AF87=0,"",AF88/AF87)</f>
        <v/>
      </c>
      <c r="AG89" s="260">
        <f>IF(AG87=0,"",AG88/AG87)</f>
        <v>0</v>
      </c>
      <c r="AH89" s="212"/>
      <c r="AI89" s="272"/>
    </row>
    <row r="90" spans="1:37" ht="18" x14ac:dyDescent="0.25">
      <c r="A90" s="105" t="s">
        <v>199</v>
      </c>
      <c r="B90" s="159">
        <f>IF('Entries April 2026'!$AF7-'Entries April 2026'!$AF6&lt;1,0,'Entries April 2026'!$AF7-'Entries April 2026'!$AF6)</f>
        <v>0</v>
      </c>
      <c r="C90" s="159">
        <f>IF('Entries April 2026'!$AF8-'Entries April 2026'!$AF7&lt;1,0,'Entries April 2026'!$AF8-'Entries April 2026'!$AF7)</f>
        <v>0</v>
      </c>
      <c r="D90" s="159">
        <f>IF('Entries April 2026'!$AF9-'Entries April 2026'!$AF8&lt;1,0,'Entries April 2026'!$AF9-'Entries April 2026'!$AF8)</f>
        <v>0</v>
      </c>
      <c r="E90" s="159">
        <f>IF('Entries April 2026'!$AF10-'Entries April 2026'!$AF9&lt;1,0,'Entries April 2026'!$AF10-'Entries April 2026'!$AF9)</f>
        <v>0</v>
      </c>
      <c r="F90" s="159">
        <f>IF('Entries April 2026'!$AF11-'Entries April 2026'!$AF10&lt;1,0,'Entries April 2026'!$AF11-'Entries April 2026'!$AF10)</f>
        <v>0</v>
      </c>
      <c r="G90" s="159">
        <f>IF('Entries April 2026'!$AF12-'Entries April 2026'!$AF11&lt;1,0,'Entries April 2026'!$AF12-'Entries April 2026'!$AF11)</f>
        <v>0</v>
      </c>
      <c r="H90" s="159">
        <f>IF('Entries April 2026'!$AF13-'Entries April 2026'!$AF12&lt;1,0,'Entries April 2026'!$AF13-'Entries April 2026'!$AF12)</f>
        <v>0</v>
      </c>
      <c r="I90" s="159">
        <f>IF('Entries April 2026'!AF14-'Entries April 2026'!AF13&lt;1,0,'Entries April 2026'!AF14-'Entries April 2026'!AF13)</f>
        <v>0</v>
      </c>
      <c r="J90" s="159">
        <f>IF('Entries April 2026'!AF15-'Entries April 2026'!AF14&lt;1,0,'Entries April 2026'!AF15-'Entries April 2026'!AF14)</f>
        <v>0</v>
      </c>
      <c r="K90" s="159">
        <f>IF('Entries April 2026'!AF16-'Entries April 2026'!AF15&lt;1,0,'Entries April 2026'!AF16-'Entries April 2026'!AF15)</f>
        <v>0</v>
      </c>
      <c r="L90" s="159">
        <f>IF('Entries April 2026'!$AF17-'Entries April 2026'!$AF16&lt;1,0,'Entries April 2026'!$AF17-'Entries April 2026'!$AF16)</f>
        <v>0</v>
      </c>
      <c r="M90" s="159">
        <f>IF('Entries April 2026'!$AF18-'Entries April 2026'!$AF17&lt;1,0,'Entries April 2026'!$AF18-'Entries April 2026'!$AF17)</f>
        <v>0</v>
      </c>
      <c r="N90" s="159">
        <f>IF('Entries April 2026'!$AF19-'Entries April 2026'!$AF18&lt;1,0,'Entries April 2026'!$AF19-'Entries April 2026'!$AF18)</f>
        <v>0</v>
      </c>
      <c r="O90" s="159">
        <f>IF('Entries April 2026'!$AF20-'Entries April 2026'!$AF19&lt;1,0,'Entries April 2026'!$AF20-'Entries April 2026'!$AF19)</f>
        <v>0</v>
      </c>
      <c r="P90" s="159">
        <f>IF('Entries April 2026'!$AF21-'Entries April 2026'!$AF20&lt;1,0,'Entries April 2026'!$AF21-'Entries April 2026'!$AF20)</f>
        <v>0</v>
      </c>
      <c r="Q90" s="159">
        <f>IF('Entries April 2026'!$AF22-'Entries April 2026'!$AF21&lt;1,0,'Entries April 2026'!$AF22-'Entries April 2026'!$AF21)</f>
        <v>0</v>
      </c>
      <c r="R90" s="159">
        <f>IF('Entries April 2026'!$AF23-'Entries April 2026'!$AF22&lt;1,0,'Entries April 2026'!$AF23-'Entries April 2026'!$AF22)</f>
        <v>0</v>
      </c>
      <c r="S90" s="159">
        <f>IF('Entries April 2026'!$AF24-'Entries April 2026'!$AF23&lt;1,0,'Entries April 2026'!$AF24-'Entries April 2026'!$AF23)</f>
        <v>0</v>
      </c>
      <c r="T90" s="159">
        <f>IF('Entries April 2026'!$AF25-'Entries April 2026'!$AF24&lt;1,0,'Entries April 2026'!$AF25-'Entries April 2026'!$AF24)</f>
        <v>0</v>
      </c>
      <c r="U90" s="159">
        <f>IF('Entries April 2026'!$AF26-'Entries April 2026'!$AF25&lt;1,0,'Entries April 2026'!$AF26-'Entries April 2026'!$AF25)</f>
        <v>0</v>
      </c>
      <c r="V90" s="159">
        <f>IF('Entries April 2026'!$AF27-'Entries April 2026'!$AF26&lt;1,0,'Entries April 2026'!$AF27-'Entries April 2026'!$AF26)</f>
        <v>0</v>
      </c>
      <c r="W90" s="159">
        <f>IF('Entries April 2026'!$AF28-'Entries April 2026'!$AF27&lt;1,0,'Entries April 2026'!$AF28-'Entries April 2026'!$AF27)</f>
        <v>0</v>
      </c>
      <c r="X90" s="159">
        <f>IF('Entries April 2026'!$AF29-'Entries April 2026'!$AF28&lt;1,0,'Entries April 2026'!$AF29-'Entries April 2026'!$AF28)</f>
        <v>0</v>
      </c>
      <c r="Y90" s="159">
        <f>IF('Entries April 2026'!$AF30-'Entries April 2026'!$AF29&lt;1,0,'Entries April 2026'!$AF30-'Entries April 2026'!$AF29)</f>
        <v>0</v>
      </c>
      <c r="Z90" s="159">
        <f>IF('Entries April 2026'!$AF31-'Entries April 2026'!$AF30&lt;1,0,'Entries April 2026'!$AF31-'Entries April 2026'!$AF30)</f>
        <v>0</v>
      </c>
      <c r="AA90" s="159">
        <f>IF('Entries April 2026'!$AF32-'Entries April 2026'!$AF31&lt;1,0,'Entries April 2026'!$AF32-'Entries April 2026'!$AF31)</f>
        <v>0</v>
      </c>
      <c r="AB90" s="159">
        <f>IF('Entries April 2026'!$AF33-'Entries April 2026'!$AF32&lt;1,0,'Entries April 2026'!$AF33-'Entries April 2026'!$AF32)</f>
        <v>0</v>
      </c>
      <c r="AC90" s="159">
        <f>IF('Entries April 2026'!$AF34-'Entries April 2026'!$AF33&lt;1,0,'Entries April 2026'!$AF34-'Entries April 2026'!$AF33)</f>
        <v>0</v>
      </c>
      <c r="AD90" s="159">
        <f>IF('Entries April 2026'!$AF35-'Entries April 2026'!$AF34&lt;1,0,'Entries April 2026'!$AF35-'Entries April 2026'!$AF34)</f>
        <v>0</v>
      </c>
      <c r="AE90" s="159">
        <f>IF('Entries April 2026'!$AF36-'Entries April 2026'!$AF35&lt;1,0,'Entries April 2026'!$AF36-'Entries April 2026'!$AF35)</f>
        <v>0</v>
      </c>
      <c r="AF90" s="159">
        <f>IF('Entries April 2026'!$AF26-'Entries April 2026'!$AF25&lt;1,0,'Entries April 2026'!$AF26-'Entries April 2026'!$AF25)</f>
        <v>0</v>
      </c>
      <c r="AG90" s="221">
        <f>SUM(B90:AF90)</f>
        <v>0</v>
      </c>
      <c r="AH90" s="221"/>
      <c r="AI90" s="272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2"/>
      <c r="AH91" s="212"/>
      <c r="AI91" s="272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2"/>
      <c r="AH92" s="212"/>
      <c r="AI92" s="272"/>
    </row>
    <row r="93" spans="1:37" ht="18" x14ac:dyDescent="0.25">
      <c r="A93" s="164" t="s">
        <v>213</v>
      </c>
      <c r="B93" s="165">
        <f>'Daily KPIs'!B12</f>
        <v>354.3</v>
      </c>
      <c r="C93" s="165">
        <f>'Daily KPIs'!C12</f>
        <v>203.7</v>
      </c>
      <c r="D93" s="165">
        <f>'Daily KPIs'!D12</f>
        <v>0</v>
      </c>
      <c r="E93" s="165">
        <f>'Daily KPIs'!E12</f>
        <v>0</v>
      </c>
      <c r="F93" s="165">
        <f>'Daily KPIs'!F12</f>
        <v>0</v>
      </c>
      <c r="G93" s="165">
        <f>'Daily KPIs'!G12</f>
        <v>0</v>
      </c>
      <c r="H93" s="165">
        <f>'Daily KPIs'!H12</f>
        <v>410.1</v>
      </c>
      <c r="I93" s="165">
        <f>'Daily KPIs'!I12</f>
        <v>147.19999999999999</v>
      </c>
      <c r="J93" s="165">
        <f>'Daily KPIs'!J12</f>
        <v>451.4</v>
      </c>
      <c r="K93" s="165">
        <f>'Daily KPIs'!K12</f>
        <v>303.60000000000002</v>
      </c>
      <c r="L93" s="165">
        <f>'Daily KPIs'!L12</f>
        <v>0</v>
      </c>
      <c r="M93" s="165">
        <f>'Daily KPIs'!M12</f>
        <v>0</v>
      </c>
      <c r="N93" s="165">
        <f>'Daily KPIs'!N12</f>
        <v>390.3</v>
      </c>
      <c r="O93" s="165">
        <f>'Daily KPIs'!O12</f>
        <v>455.7</v>
      </c>
      <c r="P93" s="165">
        <f>'Daily KPIs'!P12</f>
        <v>506.3</v>
      </c>
      <c r="Q93" s="165">
        <f>'Daily KPIs'!Q12</f>
        <v>462.2</v>
      </c>
      <c r="R93" s="165">
        <f>'Daily KPIs'!R12</f>
        <v>0</v>
      </c>
      <c r="S93" s="165">
        <f>'Daily KPIs'!S12</f>
        <v>0</v>
      </c>
      <c r="T93" s="165">
        <f>'Daily KPIs'!T12</f>
        <v>0</v>
      </c>
      <c r="U93" s="165">
        <f>'Daily KPIs'!U12</f>
        <v>396.2</v>
      </c>
      <c r="V93" s="165">
        <f>'Daily KPIs'!V12</f>
        <v>461.7</v>
      </c>
      <c r="W93" s="165">
        <f>'Daily KPIs'!W12</f>
        <v>408.1</v>
      </c>
      <c r="X93" s="165">
        <f>'Daily KPIs'!X12</f>
        <v>101.6</v>
      </c>
      <c r="Y93" s="165">
        <f>'Daily KPIs'!Y12</f>
        <v>350.3</v>
      </c>
      <c r="Z93" s="165">
        <f>'Daily KPIs'!Z12</f>
        <v>354</v>
      </c>
      <c r="AA93" s="165">
        <f>'Daily KPIs'!AA12</f>
        <v>101.2</v>
      </c>
      <c r="AB93" s="165">
        <f>'Daily KPIs'!AB12</f>
        <v>455</v>
      </c>
      <c r="AC93" s="165">
        <f>'Daily KPIs'!AC12</f>
        <v>409</v>
      </c>
      <c r="AD93" s="165">
        <f>'Daily KPIs'!AD12</f>
        <v>308.89999999999998</v>
      </c>
      <c r="AE93" s="165">
        <f>'Daily KPIs'!AE12</f>
        <v>287.60000000000002</v>
      </c>
      <c r="AF93" s="209">
        <f>'Daily KPIs'!AD12</f>
        <v>308.89999999999998</v>
      </c>
      <c r="AG93" s="261">
        <f>SUM(B93:AF93)</f>
        <v>7627.3</v>
      </c>
      <c r="AH93" s="262"/>
      <c r="AI93" s="290"/>
    </row>
    <row r="94" spans="1:37" ht="18" x14ac:dyDescent="0.25">
      <c r="A94" s="164" t="s">
        <v>214</v>
      </c>
      <c r="B94" s="166" t="str">
        <f>'Daily KPIs'!B13</f>
        <v>CB</v>
      </c>
      <c r="C94" s="166" t="str">
        <f>'Daily KPIs'!C13</f>
        <v>CB</v>
      </c>
      <c r="D94" s="166">
        <f>'Daily KPIs'!D13</f>
        <v>0</v>
      </c>
      <c r="E94" s="166">
        <f>'Daily KPIs'!E13</f>
        <v>0</v>
      </c>
      <c r="F94" s="166">
        <f>'Daily KPIs'!F13</f>
        <v>0</v>
      </c>
      <c r="G94" s="166">
        <f>'Daily KPIs'!G10</f>
        <v>0</v>
      </c>
      <c r="H94" s="166" t="str">
        <f>'Daily KPIs'!H13</f>
        <v>GU</v>
      </c>
      <c r="I94" s="166" t="str">
        <f>'Daily KPIs'!I13</f>
        <v>ST</v>
      </c>
      <c r="J94" s="166" t="str">
        <f>'Daily KPIs'!J13</f>
        <v>ST/CB</v>
      </c>
      <c r="K94" s="166" t="str">
        <f>'Daily KPIs'!K13</f>
        <v>CB</v>
      </c>
      <c r="L94" s="166">
        <f>'Daily KPIs'!L13</f>
        <v>0</v>
      </c>
      <c r="M94" s="166">
        <f>'Daily KPIs'!M13</f>
        <v>0</v>
      </c>
      <c r="N94" s="166" t="str">
        <f>'Daily KPIs'!N13</f>
        <v>ST</v>
      </c>
      <c r="O94" s="166" t="str">
        <f>'Daily KPIs'!O13</f>
        <v>CB</v>
      </c>
      <c r="P94" s="166" t="str">
        <f>'Daily KPIs'!P13</f>
        <v>CB</v>
      </c>
      <c r="Q94" s="166" t="str">
        <f>'Daily KPIs'!Q13</f>
        <v>CB</v>
      </c>
      <c r="R94" s="166">
        <f>'Daily KPIs'!R13</f>
        <v>0</v>
      </c>
      <c r="S94" s="166">
        <f>'Daily KPIs'!S13</f>
        <v>0</v>
      </c>
      <c r="T94" s="166">
        <f>'Daily KPIs'!T13</f>
        <v>0</v>
      </c>
      <c r="U94" s="166" t="str">
        <f>'Daily KPIs'!U13</f>
        <v>ST</v>
      </c>
      <c r="V94" s="166" t="str">
        <f>'Daily KPIs'!V13</f>
        <v>SM/CB</v>
      </c>
      <c r="W94" s="166" t="str">
        <f>'Daily KPIs'!W13</f>
        <v>CB</v>
      </c>
      <c r="X94" s="166" t="str">
        <f>'Daily KPIs'!X13</f>
        <v>CB</v>
      </c>
      <c r="Y94" s="166" t="str">
        <f>'Daily KPIs'!Y13</f>
        <v>ST</v>
      </c>
      <c r="Z94" s="166" t="str">
        <f>'Daily KPIs'!Z13</f>
        <v>ST/CB</v>
      </c>
      <c r="AA94" s="166" t="str">
        <f>'Daily KPIs'!AA13</f>
        <v>CB</v>
      </c>
      <c r="AB94" s="166" t="str">
        <f>'Daily KPIs'!AB13</f>
        <v>CB</v>
      </c>
      <c r="AC94" s="166" t="str">
        <f>'Daily KPIs'!AC13</f>
        <v>CB/GU</v>
      </c>
      <c r="AD94" s="166" t="str">
        <f>'Daily KPIs'!AD13</f>
        <v>GU/VM</v>
      </c>
      <c r="AE94" s="166" t="str">
        <f>'Daily KPIs'!AE13</f>
        <v>VM</v>
      </c>
      <c r="AF94" s="210" t="str">
        <f>'Daily KPIs'!AD13</f>
        <v>GU/VM</v>
      </c>
      <c r="AG94" s="262"/>
      <c r="AH94" s="262"/>
      <c r="AI94" s="290"/>
    </row>
    <row r="95" spans="1:37" ht="18" x14ac:dyDescent="0.25">
      <c r="A95" s="173" t="s">
        <v>216</v>
      </c>
      <c r="B95" s="174">
        <f>'Daily KPIs'!B14</f>
        <v>7</v>
      </c>
      <c r="C95" s="174">
        <f>'Daily KPIs'!C14</f>
        <v>4</v>
      </c>
      <c r="D95" s="174">
        <f>'Daily KPIs'!D14</f>
        <v>0</v>
      </c>
      <c r="E95" s="174">
        <f>'Daily KPIs'!E14</f>
        <v>0</v>
      </c>
      <c r="F95" s="174">
        <f>'Daily KPIs'!F14</f>
        <v>0</v>
      </c>
      <c r="G95" s="174">
        <f>'Daily KPIs'!G14</f>
        <v>0</v>
      </c>
      <c r="H95" s="174">
        <f>'Daily KPIs'!H14</f>
        <v>8</v>
      </c>
      <c r="I95" s="174">
        <f>'Daily KPIs'!I14</f>
        <v>3</v>
      </c>
      <c r="J95" s="174">
        <f>'Daily KPIs'!J14</f>
        <v>9</v>
      </c>
      <c r="K95" s="174">
        <f>'Daily KPIs'!K14</f>
        <v>6</v>
      </c>
      <c r="L95" s="174">
        <f>'Daily KPIs'!L14</f>
        <v>0</v>
      </c>
      <c r="M95" s="174">
        <f>'Daily KPIs'!M14</f>
        <v>0</v>
      </c>
      <c r="N95" s="174">
        <f>'Daily KPIs'!N14</f>
        <v>8</v>
      </c>
      <c r="O95" s="174">
        <f>'Daily KPIs'!O14</f>
        <v>9</v>
      </c>
      <c r="P95" s="174">
        <f>'Daily KPIs'!P14</f>
        <v>10</v>
      </c>
      <c r="Q95" s="174">
        <f>'Daily KPIs'!Q14</f>
        <v>9</v>
      </c>
      <c r="R95" s="174">
        <f>'Daily KPIs'!R14</f>
        <v>0</v>
      </c>
      <c r="S95" s="174">
        <f>'Daily KPIs'!S14</f>
        <v>0</v>
      </c>
      <c r="T95" s="174">
        <f>'Daily KPIs'!T14</f>
        <v>0</v>
      </c>
      <c r="U95" s="174">
        <f>'Daily KPIs'!U14</f>
        <v>8</v>
      </c>
      <c r="V95" s="174">
        <f>'Daily KPIs'!V14</f>
        <v>9</v>
      </c>
      <c r="W95" s="174">
        <f>'Daily KPIs'!W14</f>
        <v>9</v>
      </c>
      <c r="X95" s="174">
        <f>'Daily KPIs'!X14</f>
        <v>2</v>
      </c>
      <c r="Y95" s="174">
        <f>'Daily KPIs'!Y14</f>
        <v>7</v>
      </c>
      <c r="Z95" s="174">
        <f>'Daily KPIs'!Z14</f>
        <v>7</v>
      </c>
      <c r="AA95" s="174">
        <f>'Daily KPIs'!AA14</f>
        <v>2</v>
      </c>
      <c r="AB95" s="174">
        <f>'Daily KPIs'!AB14</f>
        <v>9</v>
      </c>
      <c r="AC95" s="174">
        <f>'Daily KPIs'!AC14</f>
        <v>8</v>
      </c>
      <c r="AD95" s="174">
        <f>'Daily KPIs'!AD14</f>
        <v>6</v>
      </c>
      <c r="AE95" s="174">
        <f>'Daily KPIs'!AE14</f>
        <v>6</v>
      </c>
      <c r="AF95" s="207">
        <f>'Daily KPIs'!AD14</f>
        <v>6</v>
      </c>
      <c r="AG95" s="263">
        <f>SUM($B95:AF95)</f>
        <v>152</v>
      </c>
      <c r="AH95" s="263"/>
      <c r="AI95" s="291"/>
    </row>
    <row r="96" spans="1:37" ht="18" x14ac:dyDescent="0.25">
      <c r="A96" s="109" t="s">
        <v>148</v>
      </c>
      <c r="B96" s="110">
        <f>+'Water '!$F7</f>
        <v>164</v>
      </c>
      <c r="C96" s="110">
        <f>+'Water '!$F8</f>
        <v>177</v>
      </c>
      <c r="D96" s="110" t="str">
        <f>+'Water '!$F9</f>
        <v>0</v>
      </c>
      <c r="E96" s="110">
        <f>+'Water '!$F10</f>
        <v>126</v>
      </c>
      <c r="F96" s="110" t="str">
        <f>+'Water '!$F11</f>
        <v>0</v>
      </c>
      <c r="G96" s="110" t="str">
        <f>+'Water '!$F12</f>
        <v>0</v>
      </c>
      <c r="H96" s="110">
        <f>+'Water '!$F13</f>
        <v>193</v>
      </c>
      <c r="I96" s="110">
        <f>+'Water '!$F14</f>
        <v>155</v>
      </c>
      <c r="J96" s="110">
        <f>+'Water '!$F15</f>
        <v>144</v>
      </c>
      <c r="K96" s="110">
        <f>+'Water '!$F16</f>
        <v>174</v>
      </c>
      <c r="L96" s="110">
        <f>+'Water '!$F17</f>
        <v>34</v>
      </c>
      <c r="M96" s="110" t="str">
        <f>+'Water '!$F18</f>
        <v>0</v>
      </c>
      <c r="N96" s="110">
        <f>+'Water '!$F19</f>
        <v>158</v>
      </c>
      <c r="O96" s="110">
        <f>+'Water '!$F19</f>
        <v>158</v>
      </c>
      <c r="P96" s="110">
        <f>+'Water '!$F19</f>
        <v>158</v>
      </c>
      <c r="Q96" s="110">
        <f>+'Water '!$F19</f>
        <v>158</v>
      </c>
      <c r="R96" s="110">
        <f>+'Water '!$F19</f>
        <v>158</v>
      </c>
      <c r="S96" s="110">
        <f>+'Water '!$F19</f>
        <v>158</v>
      </c>
      <c r="T96" s="110">
        <f>+'Water '!$F25</f>
        <v>73</v>
      </c>
      <c r="U96" s="110">
        <f>+'Water '!$F26</f>
        <v>113</v>
      </c>
      <c r="V96" s="110">
        <f>+'Water '!$F27</f>
        <v>132</v>
      </c>
      <c r="W96" s="110">
        <f>+'Water '!$F28</f>
        <v>180</v>
      </c>
      <c r="X96" s="110">
        <f>+'Water '!$F29</f>
        <v>152</v>
      </c>
      <c r="Y96" s="110">
        <f>+'Water '!$F30</f>
        <v>169</v>
      </c>
      <c r="Z96" s="110">
        <f>+'Water '!$F31</f>
        <v>41</v>
      </c>
      <c r="AA96" s="110">
        <f>+'Water '!$F31</f>
        <v>41</v>
      </c>
      <c r="AB96" s="110">
        <f>+'Water '!$F31</f>
        <v>41</v>
      </c>
      <c r="AC96" s="110">
        <f>+'Water '!$F31</f>
        <v>41</v>
      </c>
      <c r="AD96" s="110">
        <f>+'Water '!$F31</f>
        <v>41</v>
      </c>
      <c r="AE96" s="110">
        <f>+'Water '!$F31</f>
        <v>41</v>
      </c>
      <c r="AF96" s="206">
        <f>+'Water '!$F35</f>
        <v>132</v>
      </c>
      <c r="AG96" s="221">
        <f>SUM($B96:AF96)</f>
        <v>3312</v>
      </c>
      <c r="AH96" s="221"/>
      <c r="AI96" s="272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7"/>
      <c r="AG97" s="221">
        <f>SUM($B97:AC97)</f>
        <v>0</v>
      </c>
      <c r="AH97" s="221"/>
      <c r="AI97" s="272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7"/>
      <c r="AG98" s="212"/>
      <c r="AH98" s="212"/>
      <c r="AI98" s="272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7"/>
      <c r="AG99" s="212"/>
      <c r="AH99" s="212"/>
      <c r="AI99" s="272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7"/>
      <c r="AG100" s="212"/>
      <c r="AH100" s="212"/>
      <c r="AI100" s="272"/>
    </row>
    <row r="101" spans="1:35" ht="18" x14ac:dyDescent="0.25">
      <c r="A101" s="104"/>
      <c r="B101" s="159">
        <f>'Daily KPIs CO2'!B52</f>
        <v>5927</v>
      </c>
      <c r="C101" s="159">
        <f>'Daily KPIs CO2'!C52</f>
        <v>5832</v>
      </c>
      <c r="D101" s="159">
        <f>'Daily KPIs CO2'!D52</f>
        <v>2694</v>
      </c>
      <c r="E101" s="159">
        <f>'Daily KPIs CO2'!E52</f>
        <v>2971</v>
      </c>
      <c r="F101" s="159">
        <f>'Daily KPIs CO2'!F52</f>
        <v>2911</v>
      </c>
      <c r="G101" s="159">
        <f>'Daily KPIs CO2'!G52</f>
        <v>2599</v>
      </c>
      <c r="H101" s="159">
        <f>'Daily KPIs CO2'!H52</f>
        <v>5214</v>
      </c>
      <c r="I101" s="159">
        <f>'Daily KPIs CO2'!I52</f>
        <v>5850</v>
      </c>
      <c r="J101" s="159">
        <f>'Daily KPIs CO2'!J52</f>
        <v>6901</v>
      </c>
      <c r="K101" s="159">
        <f>'Daily KPIs CO2'!K52</f>
        <v>6846</v>
      </c>
      <c r="L101" s="159">
        <f>'Daily KPIs CO2'!L52</f>
        <v>2983</v>
      </c>
      <c r="M101" s="159">
        <f>'Daily KPIs CO2'!M52</f>
        <v>1952</v>
      </c>
      <c r="N101" s="159">
        <f>'Daily KPIs CO2'!N52</f>
        <v>6237</v>
      </c>
      <c r="O101" s="159">
        <f>'Daily KPIs CO2'!O52</f>
        <v>7380</v>
      </c>
      <c r="P101" s="159">
        <f>'Daily KPIs CO2'!P52</f>
        <v>6949</v>
      </c>
      <c r="Q101" s="159">
        <f>'Daily KPIs CO2'!Q52</f>
        <v>6258</v>
      </c>
      <c r="R101" s="159">
        <f>'Daily KPIs CO2'!R52</f>
        <v>5872</v>
      </c>
      <c r="S101" s="159">
        <f>'Daily KPIs CO2'!S52</f>
        <v>3482</v>
      </c>
      <c r="T101" s="159">
        <f>'Daily KPIs CO2'!T52</f>
        <v>3482</v>
      </c>
      <c r="U101" s="159">
        <f>'Daily KPIs CO2'!U52</f>
        <v>3482</v>
      </c>
      <c r="V101" s="159">
        <f>'Daily KPIs CO2'!V52</f>
        <v>3482</v>
      </c>
      <c r="W101" s="159">
        <f>'Daily KPIs CO2'!W52</f>
        <v>3482</v>
      </c>
      <c r="X101" s="159">
        <f>'Daily KPIs CO2'!X52</f>
        <v>3482</v>
      </c>
      <c r="Y101" s="159">
        <f>'Daily KPIs CO2'!Y52</f>
        <v>3482</v>
      </c>
      <c r="Z101" s="159">
        <f>'Daily KPIs CO2'!Z52</f>
        <v>3482</v>
      </c>
      <c r="AA101" s="159">
        <f>'Daily KPIs CO2'!AA52</f>
        <v>3482</v>
      </c>
      <c r="AB101" s="159">
        <f>'Daily KPIs CO2'!AB52</f>
        <v>3482</v>
      </c>
      <c r="AC101" s="159">
        <f>'Daily KPIs CO2'!AC52</f>
        <v>3482</v>
      </c>
      <c r="AD101" s="159">
        <f>'Daily KPIs CO2'!AD52</f>
        <v>3482</v>
      </c>
      <c r="AE101" s="159">
        <f>'Daily KPIs CO2'!AE52</f>
        <v>3482</v>
      </c>
      <c r="AF101" s="208">
        <f>'Daily KPIs CO2'!AF52</f>
        <v>3482</v>
      </c>
      <c r="AG101" s="264">
        <f>'Daily KPIs CO2'!AG52</f>
        <v>123678</v>
      </c>
      <c r="AH101" s="212"/>
      <c r="AI101" s="272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70" zoomScaleNormal="70" zoomScaleSheetLayoutView="50" workbookViewId="0">
      <pane xSplit="1" ySplit="10" topLeftCell="Y78" activePane="bottomRight" state="frozen"/>
      <selection activeCell="A5" sqref="A5"/>
      <selection pane="topRight" activeCell="B5" sqref="B5"/>
      <selection pane="bottomLeft" activeCell="A15" sqref="A15"/>
      <selection pane="bottomRight" activeCell="AH140" sqref="AH140:AI140"/>
    </sheetView>
  </sheetViews>
  <sheetFormatPr defaultColWidth="9.28515625" defaultRowHeight="26.25" outlineLevelRow="1" x14ac:dyDescent="0.35"/>
  <cols>
    <col min="1" max="1" width="79.85546875" style="475" customWidth="1"/>
    <col min="2" max="2" width="26.5703125" style="292" customWidth="1"/>
    <col min="3" max="3" width="24.140625" style="292" customWidth="1"/>
    <col min="4" max="9" width="22.7109375" style="292" customWidth="1"/>
    <col min="10" max="12" width="22.7109375" style="477" customWidth="1"/>
    <col min="13" max="13" width="22.7109375" style="478" customWidth="1"/>
    <col min="14" max="32" width="22.7109375" style="477" customWidth="1"/>
    <col min="33" max="33" width="22.7109375" style="477" hidden="1" customWidth="1"/>
    <col min="34" max="34" width="29.7109375" style="476" customWidth="1"/>
    <col min="35" max="35" width="24.7109375" style="476" customWidth="1"/>
    <col min="36" max="36" width="24.7109375" style="292" customWidth="1"/>
    <col min="37" max="37" width="11.7109375" style="292" customWidth="1"/>
    <col min="38" max="38" width="20.7109375" style="292" customWidth="1"/>
    <col min="39" max="40" width="9.28515625" style="292"/>
    <col min="41" max="41" width="11.28515625" style="292" bestFit="1" customWidth="1"/>
    <col min="42" max="59" width="9.28515625" style="292"/>
    <col min="60" max="16384" width="9.28515625" style="475"/>
  </cols>
  <sheetData>
    <row r="1" spans="1:149" x14ac:dyDescent="0.35">
      <c r="B1" s="476"/>
      <c r="AH1" s="292"/>
      <c r="AI1" s="292"/>
    </row>
    <row r="2" spans="1:149" x14ac:dyDescent="0.35">
      <c r="B2" s="476"/>
      <c r="AH2" s="292"/>
      <c r="AI2" s="292"/>
    </row>
    <row r="3" spans="1:149" x14ac:dyDescent="0.4">
      <c r="A3" s="479" t="s">
        <v>134</v>
      </c>
      <c r="B3" s="476"/>
      <c r="C3" s="476"/>
      <c r="AH3" s="292"/>
      <c r="AI3" s="292"/>
    </row>
    <row r="4" spans="1:149" hidden="1" x14ac:dyDescent="0.4">
      <c r="A4" s="479"/>
      <c r="M4" s="480"/>
    </row>
    <row r="5" spans="1:149" hidden="1" x14ac:dyDescent="0.35"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>
        <v>1800</v>
      </c>
      <c r="Z5" s="481"/>
      <c r="AA5" s="481"/>
      <c r="AB5" s="481"/>
      <c r="AC5" s="481"/>
      <c r="AD5" s="481"/>
      <c r="AE5" s="481"/>
      <c r="AF5" s="481"/>
      <c r="AG5" s="481"/>
      <c r="AH5" s="481"/>
      <c r="AI5" s="481"/>
      <c r="AJ5" s="481"/>
    </row>
    <row r="6" spans="1:149" x14ac:dyDescent="0.4">
      <c r="A6" s="183">
        <v>46113</v>
      </c>
      <c r="B6" s="482">
        <v>1</v>
      </c>
      <c r="C6" s="482">
        <v>2</v>
      </c>
      <c r="D6" s="482">
        <v>3</v>
      </c>
      <c r="E6" s="482">
        <v>4</v>
      </c>
      <c r="F6" s="482">
        <v>5</v>
      </c>
      <c r="G6" s="482">
        <v>6</v>
      </c>
      <c r="H6" s="482">
        <v>7</v>
      </c>
      <c r="I6" s="482">
        <v>8</v>
      </c>
      <c r="J6" s="482">
        <v>9</v>
      </c>
      <c r="K6" s="482">
        <v>10</v>
      </c>
      <c r="L6" s="482">
        <v>11</v>
      </c>
      <c r="M6" s="482">
        <v>12</v>
      </c>
      <c r="N6" s="482">
        <v>13</v>
      </c>
      <c r="O6" s="482">
        <v>14</v>
      </c>
      <c r="P6" s="482">
        <v>15</v>
      </c>
      <c r="Q6" s="482">
        <v>16</v>
      </c>
      <c r="R6" s="482">
        <v>17</v>
      </c>
      <c r="S6" s="482">
        <v>18</v>
      </c>
      <c r="T6" s="482">
        <v>19</v>
      </c>
      <c r="U6" s="482">
        <v>20</v>
      </c>
      <c r="V6" s="482">
        <v>21</v>
      </c>
      <c r="W6" s="482">
        <v>22</v>
      </c>
      <c r="X6" s="482">
        <v>23</v>
      </c>
      <c r="Y6" s="482">
        <v>24</v>
      </c>
      <c r="Z6" s="482">
        <v>25</v>
      </c>
      <c r="AA6" s="482">
        <v>26</v>
      </c>
      <c r="AB6" s="482">
        <v>27</v>
      </c>
      <c r="AC6" s="482">
        <v>28</v>
      </c>
      <c r="AD6" s="482">
        <v>29</v>
      </c>
      <c r="AE6" s="482">
        <v>30</v>
      </c>
      <c r="AF6" s="482"/>
      <c r="AG6" s="292"/>
      <c r="AI6" s="844" t="s">
        <v>219</v>
      </c>
    </row>
    <row r="7" spans="1:149" s="486" customFormat="1" x14ac:dyDescent="0.4">
      <c r="A7" s="483"/>
      <c r="B7" s="484" t="s">
        <v>143</v>
      </c>
      <c r="C7" s="484" t="s">
        <v>144</v>
      </c>
      <c r="D7" s="484" t="s">
        <v>145</v>
      </c>
      <c r="E7" s="484" t="s">
        <v>146</v>
      </c>
      <c r="F7" s="484" t="s">
        <v>147</v>
      </c>
      <c r="G7" s="484" t="s">
        <v>141</v>
      </c>
      <c r="H7" s="484" t="s">
        <v>142</v>
      </c>
      <c r="I7" s="484" t="s">
        <v>143</v>
      </c>
      <c r="J7" s="484" t="s">
        <v>144</v>
      </c>
      <c r="K7" s="484" t="s">
        <v>145</v>
      </c>
      <c r="L7" s="484" t="s">
        <v>146</v>
      </c>
      <c r="M7" s="484" t="s">
        <v>147</v>
      </c>
      <c r="N7" s="484" t="s">
        <v>141</v>
      </c>
      <c r="O7" s="484" t="s">
        <v>142</v>
      </c>
      <c r="P7" s="484" t="s">
        <v>143</v>
      </c>
      <c r="Q7" s="484" t="s">
        <v>144</v>
      </c>
      <c r="R7" s="484" t="s">
        <v>145</v>
      </c>
      <c r="S7" s="484" t="s">
        <v>146</v>
      </c>
      <c r="T7" s="484" t="s">
        <v>147</v>
      </c>
      <c r="U7" s="484" t="s">
        <v>141</v>
      </c>
      <c r="V7" s="484" t="s">
        <v>142</v>
      </c>
      <c r="W7" s="484" t="s">
        <v>143</v>
      </c>
      <c r="X7" s="484" t="s">
        <v>144</v>
      </c>
      <c r="Y7" s="484" t="s">
        <v>145</v>
      </c>
      <c r="Z7" s="484" t="s">
        <v>146</v>
      </c>
      <c r="AA7" s="484" t="s">
        <v>147</v>
      </c>
      <c r="AB7" s="484" t="s">
        <v>141</v>
      </c>
      <c r="AC7" s="484" t="s">
        <v>142</v>
      </c>
      <c r="AD7" s="484" t="s">
        <v>143</v>
      </c>
      <c r="AE7" s="484" t="s">
        <v>144</v>
      </c>
      <c r="AG7" s="484"/>
      <c r="AH7" s="485" t="s">
        <v>19</v>
      </c>
      <c r="AI7" s="844"/>
      <c r="AJ7" s="293" t="s">
        <v>232</v>
      </c>
      <c r="AK7" s="293"/>
      <c r="AL7" s="293"/>
      <c r="AM7" s="293"/>
      <c r="AN7" s="293" t="s">
        <v>58</v>
      </c>
      <c r="AO7" s="293"/>
      <c r="AP7" s="293"/>
      <c r="AQ7" s="293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3"/>
      <c r="BC7" s="293"/>
      <c r="BD7" s="293"/>
      <c r="BE7" s="293"/>
      <c r="BF7" s="293"/>
      <c r="BG7" s="293"/>
    </row>
    <row r="8" spans="1:149" s="490" customFormat="1" x14ac:dyDescent="0.35">
      <c r="A8" s="487" t="s">
        <v>136</v>
      </c>
      <c r="B8" s="696">
        <f>2482+693</f>
        <v>3175</v>
      </c>
      <c r="C8" s="696">
        <f>166+2702</f>
        <v>2868</v>
      </c>
      <c r="D8" s="696"/>
      <c r="E8" s="696"/>
      <c r="F8" s="696"/>
      <c r="G8" s="696"/>
      <c r="H8" s="696">
        <v>1078</v>
      </c>
      <c r="I8" s="696">
        <f>8044+1089</f>
        <v>9133</v>
      </c>
      <c r="J8" s="696">
        <f>9870</f>
        <v>9870</v>
      </c>
      <c r="K8" s="699">
        <v>6477</v>
      </c>
      <c r="L8" s="699"/>
      <c r="M8" s="699"/>
      <c r="N8" s="696">
        <f>2504+3830</f>
        <v>6334</v>
      </c>
      <c r="O8" s="696">
        <f>2898+1761+1132+242</f>
        <v>6033</v>
      </c>
      <c r="P8" s="696">
        <f>700+1785+4936</f>
        <v>7421</v>
      </c>
      <c r="Q8" s="696">
        <f>3351+6081</f>
        <v>9432</v>
      </c>
      <c r="R8" s="696">
        <f>2420+2589</f>
        <v>5009</v>
      </c>
      <c r="S8" s="696"/>
      <c r="U8" s="696">
        <f>2693+1192</f>
        <v>3885</v>
      </c>
      <c r="V8" s="696">
        <f>4590+3311</f>
        <v>7901</v>
      </c>
      <c r="W8" s="842">
        <f>2256+5582</f>
        <v>7838</v>
      </c>
      <c r="X8" s="696">
        <f>2102+1560</f>
        <v>3662</v>
      </c>
      <c r="Y8" s="696">
        <f>779+2620</f>
        <v>3399</v>
      </c>
      <c r="Z8" s="696"/>
      <c r="AA8" s="696"/>
      <c r="AB8" s="696">
        <v>5916</v>
      </c>
      <c r="AC8" s="696">
        <v>6856</v>
      </c>
      <c r="AD8" s="696">
        <f>5627+3012</f>
        <v>8639</v>
      </c>
      <c r="AE8" s="696">
        <f>2445+3733</f>
        <v>6178</v>
      </c>
      <c r="AF8" s="782">
        <f>205*2.75</f>
        <v>563.75</v>
      </c>
      <c r="AG8" s="782"/>
      <c r="AH8" s="488">
        <f>SUM(B8:AG8)</f>
        <v>121667.75</v>
      </c>
      <c r="AI8" s="534">
        <v>132300</v>
      </c>
      <c r="AJ8" s="295">
        <f>AH8-AI8</f>
        <v>-10632.25</v>
      </c>
      <c r="AK8" s="489"/>
      <c r="AL8" s="489"/>
      <c r="AM8" s="489"/>
      <c r="AN8" s="489"/>
      <c r="AO8" s="489"/>
      <c r="AP8" s="489"/>
      <c r="AQ8" s="489"/>
      <c r="AR8" s="489"/>
      <c r="AS8" s="489"/>
      <c r="AT8" s="489"/>
      <c r="AU8" s="489"/>
      <c r="AV8" s="489"/>
      <c r="AW8" s="489"/>
      <c r="AX8" s="489"/>
      <c r="AY8" s="489"/>
      <c r="AZ8" s="489"/>
      <c r="BA8" s="489"/>
      <c r="BB8" s="489"/>
      <c r="BC8" s="489"/>
      <c r="BD8" s="489"/>
      <c r="BE8" s="489"/>
      <c r="BF8" s="489"/>
      <c r="BG8" s="489"/>
    </row>
    <row r="9" spans="1:149" x14ac:dyDescent="0.35">
      <c r="A9" s="491" t="s">
        <v>138</v>
      </c>
      <c r="B9" s="696">
        <f t="shared" ref="B9:C9" si="0">0.066*B8</f>
        <v>209.55</v>
      </c>
      <c r="C9" s="696">
        <f t="shared" si="0"/>
        <v>189.28800000000001</v>
      </c>
      <c r="D9" s="696"/>
      <c r="E9" s="696"/>
      <c r="F9" s="696"/>
      <c r="G9" s="696"/>
      <c r="H9" s="696">
        <f t="shared" ref="H9:R9" si="1">0.066*H8</f>
        <v>71.14800000000001</v>
      </c>
      <c r="I9" s="696">
        <f t="shared" si="1"/>
        <v>602.77800000000002</v>
      </c>
      <c r="J9" s="696">
        <f t="shared" si="1"/>
        <v>651.42000000000007</v>
      </c>
      <c r="K9" s="696">
        <f t="shared" si="1"/>
        <v>427.48200000000003</v>
      </c>
      <c r="L9" s="696">
        <f t="shared" si="1"/>
        <v>0</v>
      </c>
      <c r="M9" s="696">
        <f t="shared" si="1"/>
        <v>0</v>
      </c>
      <c r="N9" s="696">
        <f t="shared" si="1"/>
        <v>418.04400000000004</v>
      </c>
      <c r="O9" s="696">
        <f t="shared" si="1"/>
        <v>398.178</v>
      </c>
      <c r="P9" s="696">
        <f t="shared" si="1"/>
        <v>489.786</v>
      </c>
      <c r="Q9" s="696">
        <f t="shared" si="1"/>
        <v>622.51200000000006</v>
      </c>
      <c r="R9" s="696">
        <f t="shared" si="1"/>
        <v>330.59399999999999</v>
      </c>
      <c r="S9" s="696"/>
      <c r="U9" s="696">
        <f>0.066*U8</f>
        <v>256.41000000000003</v>
      </c>
      <c r="V9" s="696">
        <f>0.066*V8</f>
        <v>521.46600000000001</v>
      </c>
      <c r="W9" s="696">
        <f>0.066*W8</f>
        <v>517.30799999999999</v>
      </c>
      <c r="X9" s="696">
        <f>0.066*X8</f>
        <v>241.69200000000001</v>
      </c>
      <c r="Y9" s="696">
        <f>0.066*Y8</f>
        <v>224.334</v>
      </c>
      <c r="Z9" s="696"/>
      <c r="AA9" s="696"/>
      <c r="AB9" s="696">
        <f>0.066*AB8</f>
        <v>390.45600000000002</v>
      </c>
      <c r="AC9" s="696">
        <f>0.066*AC8</f>
        <v>452.49600000000004</v>
      </c>
      <c r="AD9" s="696">
        <f>0.066*AD8</f>
        <v>570.17399999999998</v>
      </c>
      <c r="AE9" s="696">
        <f>0.066*AE8</f>
        <v>407.74800000000005</v>
      </c>
      <c r="AF9" s="783">
        <f>AF8*0.066</f>
        <v>37.207500000000003</v>
      </c>
      <c r="AG9" s="783"/>
      <c r="AH9" s="492">
        <f>SUM($B9:AG9)</f>
        <v>8030.0715</v>
      </c>
      <c r="AI9" s="492"/>
      <c r="AO9" s="493"/>
    </row>
    <row r="10" spans="1:149" s="494" customFormat="1" x14ac:dyDescent="0.35">
      <c r="A10" s="494" t="s">
        <v>135</v>
      </c>
      <c r="B10" s="799" t="s">
        <v>300</v>
      </c>
      <c r="C10" s="800" t="s">
        <v>301</v>
      </c>
      <c r="D10" s="700"/>
      <c r="E10" s="701"/>
      <c r="F10" s="701"/>
      <c r="G10" s="772"/>
      <c r="H10" s="800" t="s">
        <v>304</v>
      </c>
      <c r="I10" s="701" t="s">
        <v>305</v>
      </c>
      <c r="J10" s="700" t="s">
        <v>307</v>
      </c>
      <c r="K10" s="701" t="s">
        <v>302</v>
      </c>
      <c r="L10" s="701"/>
      <c r="M10" s="701"/>
      <c r="N10" s="701" t="s">
        <v>308</v>
      </c>
      <c r="O10" s="701" t="s">
        <v>309</v>
      </c>
      <c r="P10" s="772" t="s">
        <v>310</v>
      </c>
      <c r="Q10" s="780" t="s">
        <v>311</v>
      </c>
      <c r="R10" s="701" t="s">
        <v>312</v>
      </c>
      <c r="S10" s="779"/>
      <c r="U10" s="701" t="s">
        <v>313</v>
      </c>
      <c r="V10" s="701" t="s">
        <v>305</v>
      </c>
      <c r="W10" s="701" t="s">
        <v>314</v>
      </c>
      <c r="X10" s="810" t="s">
        <v>302</v>
      </c>
      <c r="Y10" s="810" t="s">
        <v>302</v>
      </c>
      <c r="Z10" s="781"/>
      <c r="AA10" s="781"/>
      <c r="AB10" s="814" t="s">
        <v>315</v>
      </c>
      <c r="AC10" s="810" t="s">
        <v>302</v>
      </c>
      <c r="AD10" s="815" t="s">
        <v>318</v>
      </c>
      <c r="AE10" s="701" t="s">
        <v>320</v>
      </c>
      <c r="AF10" s="784" t="s">
        <v>321</v>
      </c>
      <c r="AG10" s="784"/>
      <c r="AH10" s="495"/>
      <c r="AI10" s="495"/>
      <c r="AJ10" s="292"/>
      <c r="AK10" s="489"/>
      <c r="AL10" s="489" t="s">
        <v>58</v>
      </c>
      <c r="AM10" s="489" t="s">
        <v>58</v>
      </c>
      <c r="AN10" s="489"/>
      <c r="AO10" s="489" t="s">
        <v>58</v>
      </c>
      <c r="AP10" s="489"/>
      <c r="AQ10" s="489"/>
      <c r="AR10" s="489"/>
      <c r="AS10" s="489"/>
      <c r="AT10" s="489"/>
      <c r="AU10" s="489"/>
      <c r="AV10" s="489"/>
      <c r="AW10" s="489"/>
      <c r="AX10" s="489"/>
      <c r="AY10" s="489"/>
      <c r="AZ10" s="489"/>
      <c r="BA10" s="489"/>
      <c r="BB10" s="489"/>
      <c r="BC10" s="489"/>
      <c r="BD10" s="489"/>
      <c r="BE10" s="489"/>
      <c r="BF10" s="489"/>
      <c r="BG10" s="489"/>
    </row>
    <row r="11" spans="1:149" s="499" customFormat="1" ht="1.5" customHeight="1" x14ac:dyDescent="0.35">
      <c r="A11" s="496"/>
      <c r="B11" s="697"/>
      <c r="C11" s="697"/>
      <c r="D11" s="697"/>
      <c r="E11" s="754"/>
      <c r="F11" s="717"/>
      <c r="G11" s="748"/>
      <c r="H11" s="703"/>
      <c r="I11" s="697"/>
      <c r="J11" s="703"/>
      <c r="K11" s="697"/>
      <c r="L11" s="754"/>
      <c r="M11" s="717"/>
      <c r="N11" s="703"/>
      <c r="O11" s="697"/>
      <c r="P11" s="697"/>
      <c r="Q11" s="697"/>
      <c r="R11" s="697"/>
      <c r="S11" s="697"/>
      <c r="T11" s="703"/>
      <c r="U11" s="703"/>
      <c r="V11" s="697"/>
      <c r="W11" s="697"/>
      <c r="X11" s="720"/>
      <c r="Y11" s="697"/>
      <c r="Z11" s="697"/>
      <c r="AA11" s="697"/>
      <c r="AB11" s="697"/>
      <c r="AC11" s="697"/>
      <c r="AD11" s="697"/>
      <c r="AE11" s="697"/>
      <c r="AF11" s="697"/>
      <c r="AG11" s="704"/>
      <c r="AH11" s="497"/>
      <c r="AI11" s="497"/>
      <c r="AJ11" s="498"/>
      <c r="AK11" s="489"/>
      <c r="AL11" s="489"/>
      <c r="AM11" s="489"/>
      <c r="AN11" s="489"/>
      <c r="AO11" s="489"/>
      <c r="AP11" s="489"/>
      <c r="AQ11" s="489"/>
      <c r="AR11" s="489"/>
      <c r="AS11" s="489"/>
      <c r="AT11" s="489"/>
      <c r="AU11" s="489"/>
      <c r="AV11" s="489"/>
      <c r="AW11" s="489"/>
      <c r="AX11" s="489"/>
      <c r="AY11" s="489"/>
      <c r="AZ11" s="489"/>
      <c r="BA11" s="489"/>
      <c r="BB11" s="489"/>
      <c r="BC11" s="489"/>
      <c r="BD11" s="489"/>
      <c r="BE11" s="489"/>
      <c r="BF11" s="489"/>
      <c r="BG11" s="489"/>
      <c r="BH11" s="494"/>
      <c r="BI11" s="494"/>
      <c r="BJ11" s="494"/>
      <c r="BK11" s="494"/>
      <c r="BL11" s="494"/>
      <c r="BM11" s="494"/>
      <c r="BN11" s="494"/>
      <c r="BO11" s="494"/>
      <c r="BP11" s="494"/>
      <c r="BQ11" s="494"/>
      <c r="BR11" s="494"/>
      <c r="BS11" s="494"/>
      <c r="BT11" s="494"/>
      <c r="BU11" s="494"/>
      <c r="BV11" s="494"/>
      <c r="BW11" s="494"/>
      <c r="BX11" s="494"/>
      <c r="BY11" s="494"/>
      <c r="BZ11" s="494"/>
      <c r="CA11" s="494"/>
      <c r="CB11" s="494"/>
      <c r="CC11" s="494"/>
      <c r="CD11" s="494"/>
      <c r="CE11" s="494"/>
      <c r="CF11" s="494"/>
      <c r="CG11" s="494"/>
      <c r="CH11" s="494"/>
      <c r="CI11" s="494"/>
      <c r="CJ11" s="494"/>
      <c r="CK11" s="494"/>
      <c r="CL11" s="494"/>
      <c r="CM11" s="494"/>
      <c r="CN11" s="494"/>
      <c r="CO11" s="494"/>
      <c r="CP11" s="494"/>
      <c r="CQ11" s="494"/>
      <c r="CR11" s="494"/>
      <c r="CS11" s="494"/>
      <c r="CT11" s="494"/>
      <c r="CU11" s="494"/>
      <c r="CV11" s="494"/>
      <c r="CW11" s="494"/>
      <c r="CX11" s="494"/>
      <c r="CY11" s="494"/>
      <c r="CZ11" s="494"/>
      <c r="DA11" s="494"/>
      <c r="DB11" s="494"/>
      <c r="DC11" s="494"/>
      <c r="DD11" s="494"/>
      <c r="DE11" s="494"/>
      <c r="DF11" s="494"/>
      <c r="DG11" s="494"/>
      <c r="DH11" s="494"/>
      <c r="DI11" s="494"/>
      <c r="DJ11" s="494"/>
      <c r="DK11" s="494"/>
      <c r="DL11" s="494"/>
      <c r="DM11" s="494"/>
      <c r="DN11" s="494"/>
      <c r="DO11" s="494"/>
      <c r="DP11" s="494"/>
      <c r="DQ11" s="494"/>
      <c r="DR11" s="494"/>
      <c r="DS11" s="494"/>
      <c r="DT11" s="494"/>
      <c r="DU11" s="494"/>
      <c r="DV11" s="494"/>
      <c r="DW11" s="494"/>
      <c r="DX11" s="494"/>
      <c r="DY11" s="494"/>
      <c r="DZ11" s="494"/>
      <c r="EA11" s="494"/>
      <c r="EB11" s="494"/>
      <c r="EC11" s="494"/>
      <c r="ED11" s="494"/>
      <c r="EE11" s="494"/>
      <c r="EF11" s="494"/>
      <c r="EG11" s="494"/>
      <c r="EH11" s="494"/>
      <c r="EI11" s="494"/>
      <c r="EJ11" s="494"/>
      <c r="EK11" s="494"/>
      <c r="EL11" s="494"/>
      <c r="EM11" s="494"/>
      <c r="EN11" s="494"/>
      <c r="EO11" s="494"/>
      <c r="EP11" s="494"/>
      <c r="EQ11" s="494"/>
      <c r="ER11" s="494"/>
      <c r="ES11" s="494"/>
    </row>
    <row r="12" spans="1:149" ht="27.75" customHeight="1" x14ac:dyDescent="0.4">
      <c r="A12" s="500" t="s">
        <v>213</v>
      </c>
      <c r="B12" s="502">
        <v>354.3</v>
      </c>
      <c r="C12" s="502">
        <v>203.7</v>
      </c>
      <c r="D12" s="502"/>
      <c r="E12" s="502"/>
      <c r="F12" s="502"/>
      <c r="G12" s="502"/>
      <c r="H12" s="502">
        <v>410.1</v>
      </c>
      <c r="I12" s="502">
        <v>147.19999999999999</v>
      </c>
      <c r="J12" s="502">
        <v>451.4</v>
      </c>
      <c r="K12" s="502">
        <v>303.60000000000002</v>
      </c>
      <c r="L12" s="502"/>
      <c r="M12" s="502"/>
      <c r="N12" s="502">
        <v>390.3</v>
      </c>
      <c r="O12" s="502">
        <v>455.7</v>
      </c>
      <c r="P12" s="502">
        <v>506.3</v>
      </c>
      <c r="Q12" s="502">
        <v>462.2</v>
      </c>
      <c r="R12" s="502"/>
      <c r="S12" s="502"/>
      <c r="T12" s="502"/>
      <c r="U12" s="502">
        <v>396.2</v>
      </c>
      <c r="V12" s="502">
        <v>461.7</v>
      </c>
      <c r="W12" s="502">
        <v>408.1</v>
      </c>
      <c r="X12" s="502">
        <v>101.6</v>
      </c>
      <c r="Y12" s="502">
        <v>350.3</v>
      </c>
      <c r="Z12" s="502">
        <v>354</v>
      </c>
      <c r="AA12" s="502">
        <v>101.2</v>
      </c>
      <c r="AB12" s="502">
        <v>455</v>
      </c>
      <c r="AC12" s="502">
        <v>409</v>
      </c>
      <c r="AD12" s="502">
        <v>308.89999999999998</v>
      </c>
      <c r="AE12" s="502">
        <v>287.60000000000002</v>
      </c>
      <c r="AF12" s="502"/>
      <c r="AG12" s="502"/>
      <c r="AH12" s="503">
        <f>SUM(B12:AF12)</f>
        <v>7318.4000000000005</v>
      </c>
      <c r="AI12" s="504"/>
      <c r="AJ12" s="477"/>
      <c r="AL12" s="292" t="s">
        <v>230</v>
      </c>
    </row>
    <row r="13" spans="1:149" x14ac:dyDescent="0.35">
      <c r="A13" s="505" t="s">
        <v>214</v>
      </c>
      <c r="B13" s="687" t="s">
        <v>302</v>
      </c>
      <c r="C13" s="687" t="s">
        <v>302</v>
      </c>
      <c r="D13" s="718"/>
      <c r="E13" s="687"/>
      <c r="F13" s="687"/>
      <c r="G13" s="687"/>
      <c r="H13" s="718" t="s">
        <v>303</v>
      </c>
      <c r="I13" s="702" t="s">
        <v>307</v>
      </c>
      <c r="J13" s="702" t="s">
        <v>311</v>
      </c>
      <c r="K13" s="687" t="s">
        <v>302</v>
      </c>
      <c r="L13" s="702"/>
      <c r="M13" s="687"/>
      <c r="N13" s="702" t="s">
        <v>307</v>
      </c>
      <c r="O13" s="687" t="s">
        <v>302</v>
      </c>
      <c r="P13" s="687" t="s">
        <v>302</v>
      </c>
      <c r="Q13" s="687" t="s">
        <v>302</v>
      </c>
      <c r="R13" s="687"/>
      <c r="S13" s="687"/>
      <c r="T13" s="687"/>
      <c r="U13" s="702" t="s">
        <v>307</v>
      </c>
      <c r="V13" s="773" t="s">
        <v>316</v>
      </c>
      <c r="W13" s="687" t="s">
        <v>302</v>
      </c>
      <c r="X13" s="687" t="s">
        <v>302</v>
      </c>
      <c r="Y13" s="702" t="s">
        <v>307</v>
      </c>
      <c r="Z13" s="702" t="s">
        <v>311</v>
      </c>
      <c r="AA13" s="687" t="s">
        <v>302</v>
      </c>
      <c r="AB13" s="687" t="s">
        <v>302</v>
      </c>
      <c r="AC13" s="687" t="s">
        <v>317</v>
      </c>
      <c r="AD13" s="718" t="s">
        <v>319</v>
      </c>
      <c r="AE13" s="843" t="s">
        <v>322</v>
      </c>
      <c r="AF13" s="702"/>
      <c r="AG13" s="705"/>
      <c r="AH13" s="504"/>
      <c r="AI13" s="504"/>
      <c r="AJ13" s="477"/>
      <c r="AL13" s="292" t="s">
        <v>58</v>
      </c>
      <c r="AO13" s="292" t="s">
        <v>58</v>
      </c>
    </row>
    <row r="14" spans="1:149" ht="24.75" customHeight="1" x14ac:dyDescent="0.35">
      <c r="A14" s="475" t="s">
        <v>216</v>
      </c>
      <c r="B14" s="506">
        <v>7</v>
      </c>
      <c r="C14" s="506">
        <v>4</v>
      </c>
      <c r="D14" s="506"/>
      <c r="E14" s="506"/>
      <c r="F14" s="506"/>
      <c r="G14" s="506"/>
      <c r="H14" s="506">
        <v>8</v>
      </c>
      <c r="I14" s="506">
        <v>3</v>
      </c>
      <c r="J14" s="506">
        <f>7+2</f>
        <v>9</v>
      </c>
      <c r="K14" s="506">
        <v>6</v>
      </c>
      <c r="L14" s="506"/>
      <c r="M14" s="506"/>
      <c r="N14" s="506">
        <v>8</v>
      </c>
      <c r="O14" s="506">
        <v>9</v>
      </c>
      <c r="P14" s="506">
        <v>10</v>
      </c>
      <c r="Q14" s="506">
        <v>9</v>
      </c>
      <c r="R14" s="506"/>
      <c r="S14" s="506"/>
      <c r="T14" s="506"/>
      <c r="U14" s="749">
        <v>8</v>
      </c>
      <c r="V14" s="749">
        <f>8+1</f>
        <v>9</v>
      </c>
      <c r="W14" s="749">
        <v>9</v>
      </c>
      <c r="X14" s="749">
        <v>2</v>
      </c>
      <c r="Y14" s="506">
        <v>7</v>
      </c>
      <c r="Z14" s="506">
        <f>6+1</f>
        <v>7</v>
      </c>
      <c r="AA14" s="506">
        <v>2</v>
      </c>
      <c r="AB14" s="506">
        <v>9</v>
      </c>
      <c r="AC14" s="506">
        <f>3+5</f>
        <v>8</v>
      </c>
      <c r="AD14" s="506">
        <f>5+1</f>
        <v>6</v>
      </c>
      <c r="AE14" s="506">
        <v>6</v>
      </c>
      <c r="AF14" s="506"/>
      <c r="AG14" s="506"/>
      <c r="AH14" s="476">
        <f>SUM($B14:AF14)</f>
        <v>146</v>
      </c>
    </row>
    <row r="15" spans="1:149" s="512" customFormat="1" ht="26.25" customHeight="1" x14ac:dyDescent="0.35">
      <c r="A15" s="507" t="s">
        <v>215</v>
      </c>
      <c r="B15" s="740">
        <f>IF(B$12=0,"",+(B36*10)/B$12)</f>
        <v>2.7095681625740897</v>
      </c>
      <c r="C15" s="740">
        <f>IF(C$12=0,"",+(C36*10)/C$12)</f>
        <v>3.7309769268532156</v>
      </c>
      <c r="D15" s="740" t="str">
        <f>IF(D$12=0,"",+(D36*10)/D$12)</f>
        <v/>
      </c>
      <c r="E15" s="740" t="str">
        <f t="shared" ref="E15:AB15" si="2">IF(E$12=0,"",+(E36*10)/E$12)</f>
        <v/>
      </c>
      <c r="F15" s="740" t="str">
        <f>IF(F$12=0,"",+(F36*10)/F$12)</f>
        <v/>
      </c>
      <c r="G15" s="740" t="str">
        <f t="shared" ref="G15:K15" si="3">IF(G$12=0,"",+(G36*10)/G$12)</f>
        <v/>
      </c>
      <c r="H15" s="740">
        <f t="shared" si="3"/>
        <v>3.4138015118263838</v>
      </c>
      <c r="I15" s="740">
        <f>IF(I$12=0,"",+(I36*10)/I$12)</f>
        <v>3.6005434782608696</v>
      </c>
      <c r="J15" s="740">
        <f>IF(J$12=0,"",+(J36*10)/J$12)</f>
        <v>3.6996012405848475</v>
      </c>
      <c r="K15" s="740">
        <f t="shared" si="3"/>
        <v>3.6890645586297759</v>
      </c>
      <c r="L15" s="740" t="str">
        <f>IF(L$12=0,"",+(L36*10)/L$12)</f>
        <v/>
      </c>
      <c r="M15" s="741" t="str">
        <f t="shared" ref="M15:O15" si="4">IF(M$12=0,"",+(M36*10)/M$12)</f>
        <v/>
      </c>
      <c r="N15" s="741">
        <f t="shared" si="4"/>
        <v>4.0481680758390981</v>
      </c>
      <c r="O15" s="741">
        <f t="shared" si="4"/>
        <v>3.4452490673688829</v>
      </c>
      <c r="P15" s="741">
        <f>IF(P$12=0,"",+(P36*10)/P$12)</f>
        <v>3.4959510171834878</v>
      </c>
      <c r="Q15" s="741">
        <f>IF(Q$12=0,"",+(Q36*10)/Q$12)</f>
        <v>3.4833405452185202</v>
      </c>
      <c r="R15" s="741" t="str">
        <f>IF(R$12=0,"",+(R36*10)/R$12)</f>
        <v/>
      </c>
      <c r="S15" s="741" t="str">
        <f>IF(S$12=0,"",+(S36*10)/S$12)</f>
        <v/>
      </c>
      <c r="T15" s="741" t="str">
        <f>IF(T$12=0,"",+(T36*10)/T$12)</f>
        <v/>
      </c>
      <c r="U15" s="741">
        <f t="shared" si="2"/>
        <v>3.2811711256940939</v>
      </c>
      <c r="V15" s="741">
        <f t="shared" si="2"/>
        <v>4.0285899935022744</v>
      </c>
      <c r="W15" s="741">
        <f t="shared" si="2"/>
        <v>2.2053418279833372</v>
      </c>
      <c r="X15" s="741">
        <f>IF(X$12=0,"",+(X36*10)/X$12)</f>
        <v>14.468503937007874</v>
      </c>
      <c r="Y15" s="741">
        <f>IF(Y$12=0,"",+(Y36*10)/Y$12)</f>
        <v>3.9965743648301455</v>
      </c>
      <c r="Z15" s="741">
        <f>IF(Z$12=0,"",+(Z36*10)/Z$12)</f>
        <v>3.4745762711864407</v>
      </c>
      <c r="AA15" s="741">
        <f>IF(AA$12=0,"",+(AA36*10)/AA$12)</f>
        <v>8.0039525691699609</v>
      </c>
      <c r="AB15" s="741">
        <f t="shared" si="2"/>
        <v>4.3076923076923075</v>
      </c>
      <c r="AC15" s="741">
        <f>IF(AC$12=0,"",+(AC36*10)/AC$12)</f>
        <v>3.9364303178484108</v>
      </c>
      <c r="AD15" s="741">
        <f>IF(AD$12=0,"",+(AD36*10)/AD$12)</f>
        <v>4.3379734541922952</v>
      </c>
      <c r="AE15" s="741">
        <f>IF(AE$12=0,"",+(AE36*10)/AE$12)</f>
        <v>0.17385257301808066</v>
      </c>
      <c r="AF15" s="741" t="str">
        <f>IF(AF$12=0,"",+(AF36*10)/AF$12)</f>
        <v/>
      </c>
      <c r="AG15" s="741"/>
      <c r="AH15" s="508">
        <f>IF(AH12=0,"",+(AH36*10)/AH12)</f>
        <v>3.7549191080017486</v>
      </c>
      <c r="AI15" s="510"/>
      <c r="AJ15" s="511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475"/>
      <c r="BI15" s="475"/>
      <c r="BJ15" s="475"/>
      <c r="BK15" s="475"/>
      <c r="BL15" s="475"/>
      <c r="BM15" s="475"/>
      <c r="BN15" s="475"/>
      <c r="BO15" s="475"/>
      <c r="BP15" s="475"/>
      <c r="BQ15" s="475"/>
      <c r="BR15" s="475"/>
      <c r="BS15" s="475"/>
      <c r="BT15" s="475"/>
      <c r="BU15" s="475"/>
      <c r="BV15" s="475"/>
      <c r="BW15" s="475"/>
      <c r="BX15" s="475"/>
      <c r="BY15" s="475"/>
      <c r="BZ15" s="475"/>
      <c r="CA15" s="475"/>
      <c r="CB15" s="475"/>
      <c r="CC15" s="475"/>
      <c r="CD15" s="475"/>
      <c r="CE15" s="475"/>
      <c r="CF15" s="475"/>
      <c r="CG15" s="475"/>
      <c r="CH15" s="475"/>
      <c r="CI15" s="475"/>
      <c r="CJ15" s="475"/>
      <c r="CK15" s="475"/>
      <c r="CL15" s="475"/>
      <c r="CM15" s="475"/>
      <c r="CN15" s="475"/>
      <c r="CO15" s="475"/>
      <c r="CP15" s="475"/>
      <c r="CQ15" s="475"/>
      <c r="CR15" s="475"/>
      <c r="CS15" s="475"/>
      <c r="CT15" s="475"/>
      <c r="CU15" s="475"/>
      <c r="CV15" s="475"/>
      <c r="CW15" s="475"/>
      <c r="CX15" s="475"/>
      <c r="CY15" s="475"/>
      <c r="CZ15" s="475"/>
      <c r="DA15" s="475"/>
      <c r="DB15" s="475"/>
      <c r="DC15" s="475"/>
      <c r="DD15" s="475"/>
      <c r="DE15" s="475"/>
      <c r="DF15" s="475"/>
      <c r="DG15" s="475"/>
      <c r="DH15" s="475"/>
      <c r="DI15" s="475"/>
      <c r="DJ15" s="475"/>
      <c r="DK15" s="475"/>
      <c r="DL15" s="475"/>
      <c r="DM15" s="475"/>
      <c r="DN15" s="475"/>
      <c r="DO15" s="475"/>
      <c r="DP15" s="475"/>
      <c r="DQ15" s="475"/>
      <c r="DR15" s="475"/>
      <c r="DS15" s="475"/>
      <c r="DT15" s="475"/>
      <c r="DU15" s="475"/>
      <c r="DV15" s="475"/>
      <c r="DW15" s="475"/>
      <c r="DX15" s="475"/>
      <c r="DY15" s="475"/>
      <c r="DZ15" s="475"/>
      <c r="EA15" s="475"/>
      <c r="EB15" s="475"/>
      <c r="EC15" s="475"/>
      <c r="ED15" s="475"/>
      <c r="EE15" s="475"/>
      <c r="EF15" s="475"/>
      <c r="EG15" s="475"/>
      <c r="EH15" s="475"/>
      <c r="EI15" s="475"/>
      <c r="EJ15" s="475"/>
      <c r="EK15" s="475"/>
      <c r="EL15" s="475"/>
      <c r="EM15" s="475"/>
      <c r="EN15" s="475"/>
      <c r="EO15" s="475"/>
      <c r="EP15" s="475"/>
      <c r="EQ15" s="475"/>
      <c r="ER15" s="475"/>
      <c r="ES15" s="475"/>
    </row>
    <row r="16" spans="1:149" ht="19.5" customHeight="1" x14ac:dyDescent="0.35">
      <c r="M16" s="477"/>
    </row>
    <row r="17" spans="1:149" ht="30" x14ac:dyDescent="0.4">
      <c r="A17" s="479" t="s">
        <v>221</v>
      </c>
      <c r="M17" s="477"/>
    </row>
    <row r="18" spans="1:149" s="514" customFormat="1" outlineLevel="1" x14ac:dyDescent="0.4">
      <c r="A18" s="486"/>
      <c r="B18" s="513"/>
      <c r="C18" s="513"/>
      <c r="D18" s="513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13"/>
      <c r="AA18" s="513"/>
      <c r="AB18" s="513"/>
      <c r="AC18" s="513"/>
      <c r="AD18" s="513"/>
      <c r="AE18" s="513"/>
      <c r="AF18" s="513"/>
      <c r="AG18" s="513"/>
      <c r="AH18" s="293" t="s">
        <v>85</v>
      </c>
      <c r="AI18" s="293"/>
      <c r="AJ18" s="513"/>
      <c r="AK18" s="513"/>
      <c r="AL18" s="513"/>
      <c r="AM18" s="513"/>
      <c r="AN18" s="513" t="s">
        <v>58</v>
      </c>
      <c r="AO18" s="513"/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</row>
    <row r="19" spans="1:149" ht="45.75" customHeight="1" outlineLevel="1" x14ac:dyDescent="0.35">
      <c r="A19" s="515" t="s">
        <v>139</v>
      </c>
      <c r="B19" s="516" t="str">
        <f>+'Water '!$C7</f>
        <v>0</v>
      </c>
      <c r="C19" s="516" t="str">
        <f>+'Water '!$C8</f>
        <v>0</v>
      </c>
      <c r="D19" s="516" t="str">
        <f>+'Water '!$C9</f>
        <v>0</v>
      </c>
      <c r="E19" s="516" t="str">
        <f>+'Water '!$C10</f>
        <v>0</v>
      </c>
      <c r="F19" s="516" t="str">
        <f>+'Water '!$C11</f>
        <v>0</v>
      </c>
      <c r="G19" s="516" t="str">
        <f>+'Water '!$C12</f>
        <v>0</v>
      </c>
      <c r="H19" s="516" t="str">
        <f>+'Water '!$C13</f>
        <v>0</v>
      </c>
      <c r="I19" s="516" t="str">
        <f>+'Water '!$C14</f>
        <v>0</v>
      </c>
      <c r="J19" s="517" t="str">
        <f>+'Water '!$C15</f>
        <v>0</v>
      </c>
      <c r="K19" s="517" t="str">
        <f>+'Water '!$C16</f>
        <v>0</v>
      </c>
      <c r="L19" s="517" t="str">
        <f>+'Water '!$C17</f>
        <v>0</v>
      </c>
      <c r="M19" s="517" t="str">
        <f>+'Water '!$C18</f>
        <v>0</v>
      </c>
      <c r="N19" s="517" t="str">
        <f>+'Water '!$C18</f>
        <v>0</v>
      </c>
      <c r="O19" s="517" t="str">
        <f>+'Water '!$C20</f>
        <v>0</v>
      </c>
      <c r="P19" s="517" t="str">
        <f>+'Water '!$C21</f>
        <v>0</v>
      </c>
      <c r="Q19" s="517" t="str">
        <f>+'Water '!$C22</f>
        <v>0</v>
      </c>
      <c r="R19" s="517" t="str">
        <f>+'Water '!$C23</f>
        <v>0</v>
      </c>
      <c r="S19" s="517" t="str">
        <f>+'Water '!$C24</f>
        <v>0</v>
      </c>
      <c r="T19" s="517" t="str">
        <f>+'Water '!$C25</f>
        <v>0</v>
      </c>
      <c r="U19" s="517" t="str">
        <f>+'Water '!$C26</f>
        <v>0</v>
      </c>
      <c r="V19" s="517" t="str">
        <f>+'Water '!$C27</f>
        <v>0</v>
      </c>
      <c r="W19" s="517" t="str">
        <f>+'Water '!$C28</f>
        <v>0</v>
      </c>
      <c r="X19" s="517" t="str">
        <f>+'Water '!$C29</f>
        <v>0</v>
      </c>
      <c r="Y19" s="517" t="str">
        <f>+'Water '!$C30</f>
        <v>0</v>
      </c>
      <c r="Z19" s="517" t="str">
        <f>+'Water '!$C31</f>
        <v>0</v>
      </c>
      <c r="AA19" s="517" t="str">
        <f>+'Water '!$C32</f>
        <v>0</v>
      </c>
      <c r="AB19" s="517" t="str">
        <f>+'Water '!$C33</f>
        <v>0</v>
      </c>
      <c r="AC19" s="517" t="str">
        <f>+'Water '!$C34</f>
        <v>0</v>
      </c>
      <c r="AD19" s="517" t="str">
        <f>+'Water '!$C35</f>
        <v>0</v>
      </c>
      <c r="AE19" s="517" t="str">
        <f>+'Water '!$C36</f>
        <v>0</v>
      </c>
      <c r="AF19" s="517" t="str">
        <f>+'Water '!$C37</f>
        <v>0</v>
      </c>
      <c r="AG19" s="517"/>
      <c r="AH19" s="492">
        <f>SUM($B19:AF19)</f>
        <v>0</v>
      </c>
      <c r="AI19" s="492"/>
      <c r="AN19" s="292" t="s">
        <v>58</v>
      </c>
    </row>
    <row r="20" spans="1:149" outlineLevel="1" x14ac:dyDescent="0.35">
      <c r="A20" s="515" t="s">
        <v>124</v>
      </c>
      <c r="B20" s="516">
        <f>+'Water '!$D7</f>
        <v>207</v>
      </c>
      <c r="C20" s="516">
        <f>+'Water '!$D8</f>
        <v>124</v>
      </c>
      <c r="D20" s="516" t="str">
        <f>+'Water '!$D9</f>
        <v>0</v>
      </c>
      <c r="E20" s="516">
        <f>+'Water '!$D10</f>
        <v>27</v>
      </c>
      <c r="F20" s="516" t="str">
        <f>+'Water '!$D11</f>
        <v>0</v>
      </c>
      <c r="G20" s="516" t="str">
        <f>+'Water '!$D12</f>
        <v>0</v>
      </c>
      <c r="H20" s="516">
        <f>+'Water '!$D13</f>
        <v>34</v>
      </c>
      <c r="I20" s="516">
        <f>+'Water '!$D14</f>
        <v>172</v>
      </c>
      <c r="J20" s="517">
        <f>+'Water '!$D15</f>
        <v>237</v>
      </c>
      <c r="K20" s="517">
        <f>+'Water '!$D16</f>
        <v>211</v>
      </c>
      <c r="L20" s="517">
        <f>+'Water '!$D17</f>
        <v>31</v>
      </c>
      <c r="M20" s="517">
        <f>+'Water '!$D18</f>
        <v>2</v>
      </c>
      <c r="N20" s="517">
        <f>+'Water '!$D19</f>
        <v>240</v>
      </c>
      <c r="O20" s="517">
        <f>+'Water '!$D20</f>
        <v>312</v>
      </c>
      <c r="P20" s="517">
        <f>+'Water '!$D21</f>
        <v>288</v>
      </c>
      <c r="Q20" s="517">
        <f>+'Water '!$D22</f>
        <v>147</v>
      </c>
      <c r="R20" s="517">
        <f>+'Water '!$D23</f>
        <v>182</v>
      </c>
      <c r="S20" s="518" t="str">
        <f>+'Water '!$D24</f>
        <v>0</v>
      </c>
      <c r="T20" s="517">
        <f>+'Water '!$D25</f>
        <v>106</v>
      </c>
      <c r="U20" s="517">
        <f>+'Water '!$D26</f>
        <v>202</v>
      </c>
      <c r="V20" s="517">
        <f>+'Water '!$D27</f>
        <v>189</v>
      </c>
      <c r="W20" s="517">
        <f>+'Water '!$D28</f>
        <v>271</v>
      </c>
      <c r="X20" s="517">
        <f>+'Water '!$D29</f>
        <v>140</v>
      </c>
      <c r="Y20" s="517">
        <f>+'Water '!$D30</f>
        <v>131</v>
      </c>
      <c r="Z20" s="517">
        <f>+'Water '!$D31</f>
        <v>77</v>
      </c>
      <c r="AA20" s="517">
        <f>+'Water '!$D32</f>
        <v>95</v>
      </c>
      <c r="AB20" s="517">
        <f>+'Water '!$D33</f>
        <v>260</v>
      </c>
      <c r="AC20" s="517">
        <f>+'Water '!$D34</f>
        <v>198</v>
      </c>
      <c r="AD20" s="517">
        <f>+'Water '!$D35</f>
        <v>227</v>
      </c>
      <c r="AE20" s="517">
        <f>+'Water '!$D36</f>
        <v>298</v>
      </c>
      <c r="AF20" s="517" t="str">
        <f>+'Water '!$D37</f>
        <v>0</v>
      </c>
      <c r="AG20" s="517"/>
      <c r="AH20" s="492">
        <f>SUM($B20:AF20)</f>
        <v>4408</v>
      </c>
      <c r="AI20" s="492"/>
      <c r="AJ20" s="493"/>
    </row>
    <row r="21" spans="1:149" outlineLevel="1" x14ac:dyDescent="0.35">
      <c r="A21" s="515" t="s">
        <v>125</v>
      </c>
      <c r="B21" s="516">
        <f>+'Water '!$E7</f>
        <v>156</v>
      </c>
      <c r="C21" s="519">
        <f>+'Water '!$E8</f>
        <v>168</v>
      </c>
      <c r="D21" s="519" t="str">
        <f>+'Water '!$E9</f>
        <v>0</v>
      </c>
      <c r="E21" s="519">
        <f>+'Water '!$E10</f>
        <v>120</v>
      </c>
      <c r="F21" s="519" t="str">
        <f>+'Water '!$E11</f>
        <v>0</v>
      </c>
      <c r="G21" s="519" t="str">
        <f>+'Water '!$E12</f>
        <v>0</v>
      </c>
      <c r="H21" s="519">
        <f>+'Water '!$E13</f>
        <v>184</v>
      </c>
      <c r="I21" s="519">
        <f>+'Water '!$E14</f>
        <v>147</v>
      </c>
      <c r="J21" s="519">
        <f>+'Water '!$E15</f>
        <v>138</v>
      </c>
      <c r="K21" s="519">
        <f>+'Water '!$E16</f>
        <v>166</v>
      </c>
      <c r="L21" s="519">
        <f>+'Water '!$E17</f>
        <v>32</v>
      </c>
      <c r="M21" s="519" t="str">
        <f>+'Water '!$E18</f>
        <v>0</v>
      </c>
      <c r="N21" s="519">
        <f>+'Water '!$E19</f>
        <v>150</v>
      </c>
      <c r="O21" s="519">
        <f>+'Water '!$E20</f>
        <v>145</v>
      </c>
      <c r="P21" s="519">
        <f>+'Water '!$E21</f>
        <v>99</v>
      </c>
      <c r="Q21" s="519">
        <f>+'Water '!$E22</f>
        <v>175</v>
      </c>
      <c r="R21" s="519">
        <f>+'Water '!$E23</f>
        <v>180</v>
      </c>
      <c r="S21" s="519">
        <f>+'Water '!$E24</f>
        <v>32</v>
      </c>
      <c r="T21" s="519">
        <f>+'Water '!$E25</f>
        <v>69</v>
      </c>
      <c r="U21" s="519">
        <f>+'Water '!$E26</f>
        <v>108</v>
      </c>
      <c r="V21" s="519">
        <f>+'Water '!$E27</f>
        <v>125</v>
      </c>
      <c r="W21" s="519">
        <f>+'Water '!$E28</f>
        <v>171</v>
      </c>
      <c r="X21" s="519">
        <f>+'Water '!$E29</f>
        <v>145</v>
      </c>
      <c r="Y21" s="520">
        <f>+'Water '!$E30</f>
        <v>161</v>
      </c>
      <c r="Z21" s="519">
        <f>+'Water '!$E31</f>
        <v>39</v>
      </c>
      <c r="AA21" s="517">
        <f>+'Water '!$E32</f>
        <v>88</v>
      </c>
      <c r="AB21" s="517">
        <f>+'Water '!$E33</f>
        <v>102</v>
      </c>
      <c r="AC21" s="517">
        <f>+'Water '!$E34</f>
        <v>134</v>
      </c>
      <c r="AD21" s="517">
        <f>+'Water '!$E35</f>
        <v>126</v>
      </c>
      <c r="AE21" s="517">
        <f>+'Water '!$E36</f>
        <v>133</v>
      </c>
      <c r="AF21" s="517" t="str">
        <f>+'Water '!$E37</f>
        <v>0</v>
      </c>
      <c r="AG21" s="517"/>
      <c r="AH21" s="492">
        <f>SUM($B21:AF21)</f>
        <v>3293</v>
      </c>
      <c r="AI21" s="492"/>
    </row>
    <row r="22" spans="1:149" s="526" customFormat="1" x14ac:dyDescent="0.4">
      <c r="A22" s="521" t="s">
        <v>167</v>
      </c>
      <c r="B22" s="522">
        <f>SUM(B19:B21)</f>
        <v>363</v>
      </c>
      <c r="C22" s="522">
        <f>SUM(C19:C21)</f>
        <v>292</v>
      </c>
      <c r="D22" s="522">
        <f>SUM(D19:D21)</f>
        <v>0</v>
      </c>
      <c r="E22" s="522">
        <f>SUM(E19:E21)</f>
        <v>147</v>
      </c>
      <c r="F22" s="522">
        <f t="shared" ref="F22:AF22" si="5">SUM(F19:F21)</f>
        <v>0</v>
      </c>
      <c r="G22" s="522">
        <f t="shared" si="5"/>
        <v>0</v>
      </c>
      <c r="H22" s="522">
        <f t="shared" si="5"/>
        <v>218</v>
      </c>
      <c r="I22" s="522">
        <f>SUM(I19:I21)</f>
        <v>319</v>
      </c>
      <c r="J22" s="522">
        <f>SUM(J19:J21)</f>
        <v>375</v>
      </c>
      <c r="K22" s="522">
        <f t="shared" si="5"/>
        <v>377</v>
      </c>
      <c r="L22" s="522">
        <f>SUM(L19:L21)</f>
        <v>63</v>
      </c>
      <c r="M22" s="522">
        <f t="shared" si="5"/>
        <v>2</v>
      </c>
      <c r="N22" s="522">
        <f>SUM(N19:N21)</f>
        <v>390</v>
      </c>
      <c r="O22" s="522">
        <f t="shared" si="5"/>
        <v>457</v>
      </c>
      <c r="P22" s="522">
        <f>SUM(P19:P21)</f>
        <v>387</v>
      </c>
      <c r="Q22" s="522">
        <f t="shared" si="5"/>
        <v>322</v>
      </c>
      <c r="R22" s="522">
        <f>SUM(R19:R21)</f>
        <v>362</v>
      </c>
      <c r="S22" s="522">
        <f>SUM(S19:S21)</f>
        <v>32</v>
      </c>
      <c r="T22" s="522">
        <f t="shared" si="5"/>
        <v>175</v>
      </c>
      <c r="U22" s="522">
        <f t="shared" si="5"/>
        <v>310</v>
      </c>
      <c r="V22" s="522">
        <f>SUM(V19:V21)</f>
        <v>314</v>
      </c>
      <c r="W22" s="522">
        <f t="shared" si="5"/>
        <v>442</v>
      </c>
      <c r="X22" s="522">
        <f t="shared" si="5"/>
        <v>285</v>
      </c>
      <c r="Y22" s="522">
        <f>SUM(Y19:Y21)</f>
        <v>292</v>
      </c>
      <c r="Z22" s="522">
        <f t="shared" si="5"/>
        <v>116</v>
      </c>
      <c r="AA22" s="523">
        <f>SUM(AA19:AA21)</f>
        <v>183</v>
      </c>
      <c r="AB22" s="523">
        <f>SUM(AB19:AB21)</f>
        <v>362</v>
      </c>
      <c r="AC22" s="523">
        <f>SUM(AC19:AC21)</f>
        <v>332</v>
      </c>
      <c r="AD22" s="523">
        <f>SUM(AD19:AD21)</f>
        <v>353</v>
      </c>
      <c r="AE22" s="523">
        <f t="shared" si="5"/>
        <v>431</v>
      </c>
      <c r="AF22" s="523">
        <f t="shared" si="5"/>
        <v>0</v>
      </c>
      <c r="AG22" s="523"/>
      <c r="AH22" s="524">
        <f>SUM($B22:AF22)</f>
        <v>7701</v>
      </c>
      <c r="AI22" s="522"/>
      <c r="AJ22" s="525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476"/>
      <c r="AZ22" s="476"/>
      <c r="BA22" s="476"/>
      <c r="BB22" s="476"/>
      <c r="BC22" s="476"/>
      <c r="BD22" s="476"/>
      <c r="BE22" s="476"/>
      <c r="BF22" s="476"/>
      <c r="BG22" s="476"/>
      <c r="BH22" s="479"/>
      <c r="BI22" s="479"/>
      <c r="BJ22" s="479"/>
      <c r="BK22" s="479"/>
      <c r="BL22" s="479"/>
      <c r="BM22" s="479"/>
      <c r="BN22" s="479"/>
      <c r="BO22" s="479"/>
      <c r="BP22" s="479"/>
      <c r="BQ22" s="479"/>
      <c r="BR22" s="479"/>
      <c r="BS22" s="479"/>
      <c r="BT22" s="479"/>
      <c r="BU22" s="479"/>
      <c r="BV22" s="479"/>
      <c r="BW22" s="479"/>
      <c r="BX22" s="479"/>
      <c r="BY22" s="479"/>
      <c r="BZ22" s="479"/>
      <c r="CA22" s="479"/>
      <c r="CB22" s="479"/>
      <c r="CC22" s="479"/>
      <c r="CD22" s="479"/>
      <c r="CE22" s="479"/>
      <c r="CF22" s="479"/>
      <c r="CG22" s="479"/>
      <c r="CH22" s="479"/>
      <c r="CI22" s="479"/>
      <c r="CJ22" s="479"/>
      <c r="CK22" s="479"/>
      <c r="CL22" s="479"/>
      <c r="CM22" s="479"/>
      <c r="CN22" s="479"/>
      <c r="CO22" s="479"/>
      <c r="CP22" s="479"/>
      <c r="CQ22" s="479"/>
      <c r="CR22" s="479"/>
      <c r="CS22" s="479"/>
      <c r="CT22" s="479"/>
      <c r="CU22" s="479"/>
      <c r="CV22" s="479"/>
      <c r="CW22" s="479"/>
      <c r="CX22" s="479"/>
      <c r="CY22" s="479"/>
      <c r="CZ22" s="479"/>
      <c r="DA22" s="479"/>
      <c r="DB22" s="479"/>
      <c r="DC22" s="479"/>
      <c r="DD22" s="479"/>
      <c r="DE22" s="479"/>
      <c r="DF22" s="479"/>
      <c r="DG22" s="479"/>
      <c r="DH22" s="479"/>
      <c r="DI22" s="479"/>
      <c r="DJ22" s="479"/>
      <c r="DK22" s="479"/>
      <c r="DL22" s="479"/>
      <c r="DM22" s="479"/>
      <c r="DN22" s="479"/>
      <c r="DO22" s="479"/>
      <c r="DP22" s="479"/>
      <c r="DQ22" s="479"/>
      <c r="DR22" s="479"/>
      <c r="DS22" s="479"/>
      <c r="DT22" s="479"/>
      <c r="DU22" s="479"/>
      <c r="DV22" s="479"/>
      <c r="DW22" s="479"/>
      <c r="DX22" s="479"/>
      <c r="DY22" s="479"/>
      <c r="DZ22" s="479"/>
      <c r="EA22" s="479"/>
      <c r="EB22" s="479"/>
      <c r="EC22" s="479"/>
      <c r="ED22" s="479"/>
      <c r="EE22" s="479"/>
      <c r="EF22" s="479"/>
      <c r="EG22" s="479"/>
      <c r="EH22" s="479"/>
      <c r="EI22" s="479"/>
      <c r="EJ22" s="479"/>
      <c r="EK22" s="479"/>
      <c r="EL22" s="479"/>
      <c r="EM22" s="479"/>
      <c r="EN22" s="479"/>
      <c r="EO22" s="479"/>
      <c r="EP22" s="479"/>
      <c r="EQ22" s="479"/>
      <c r="ER22" s="479"/>
      <c r="ES22" s="479"/>
    </row>
    <row r="23" spans="1:149" s="479" customFormat="1" hidden="1" x14ac:dyDescent="0.4">
      <c r="A23" s="527"/>
      <c r="B23" s="492"/>
      <c r="C23" s="492"/>
      <c r="D23" s="492"/>
      <c r="E23" s="492"/>
      <c r="F23" s="492"/>
      <c r="G23" s="492"/>
      <c r="H23" s="492"/>
      <c r="I23" s="492"/>
      <c r="J23" s="528"/>
      <c r="K23" s="528"/>
      <c r="L23" s="528"/>
      <c r="M23" s="528"/>
      <c r="N23" s="528"/>
      <c r="O23" s="528"/>
      <c r="P23" s="528"/>
      <c r="Q23" s="528"/>
      <c r="R23" s="528"/>
      <c r="S23" s="528"/>
      <c r="T23" s="528"/>
      <c r="U23" s="528"/>
      <c r="V23" s="528"/>
      <c r="W23" s="528"/>
      <c r="X23" s="528"/>
      <c r="Y23" s="528"/>
      <c r="Z23" s="528"/>
      <c r="AA23" s="528"/>
      <c r="AB23" s="528"/>
      <c r="AC23" s="528"/>
      <c r="AD23" s="528"/>
      <c r="AE23" s="528"/>
      <c r="AF23" s="528"/>
      <c r="AG23" s="528"/>
      <c r="AH23" s="492"/>
      <c r="AI23" s="492"/>
      <c r="AJ23" s="476"/>
      <c r="AK23" s="476"/>
      <c r="AL23" s="476"/>
      <c r="AM23" s="476"/>
      <c r="AN23" s="476"/>
      <c r="AO23" s="476"/>
      <c r="AP23" s="476"/>
      <c r="AQ23" s="476"/>
      <c r="AR23" s="476"/>
      <c r="AS23" s="476"/>
      <c r="AT23" s="476"/>
      <c r="AU23" s="476"/>
      <c r="AV23" s="476"/>
      <c r="AW23" s="476"/>
      <c r="AX23" s="476"/>
      <c r="AY23" s="476"/>
      <c r="AZ23" s="476"/>
      <c r="BA23" s="476"/>
      <c r="BB23" s="476"/>
      <c r="BC23" s="476"/>
      <c r="BD23" s="476"/>
      <c r="BE23" s="476"/>
      <c r="BF23" s="476"/>
      <c r="BG23" s="476"/>
    </row>
    <row r="24" spans="1:149" hidden="1" x14ac:dyDescent="0.35">
      <c r="B24" s="493"/>
      <c r="C24" s="493"/>
      <c r="D24" s="493"/>
      <c r="E24" s="493"/>
      <c r="F24" s="493"/>
      <c r="G24" s="493"/>
      <c r="H24" s="493"/>
      <c r="I24" s="493"/>
      <c r="J24" s="529"/>
      <c r="K24" s="529"/>
      <c r="L24" s="529"/>
      <c r="M24" s="529"/>
      <c r="N24" s="529"/>
      <c r="O24" s="529"/>
      <c r="P24" s="529"/>
      <c r="Q24" s="529"/>
      <c r="R24" s="529"/>
      <c r="S24" s="529"/>
      <c r="T24" s="529"/>
      <c r="U24" s="529"/>
      <c r="V24" s="529"/>
      <c r="W24" s="529"/>
      <c r="X24" s="529"/>
      <c r="Y24" s="529"/>
      <c r="Z24" s="529"/>
      <c r="AA24" s="529"/>
      <c r="AB24" s="529"/>
      <c r="AC24" s="529"/>
      <c r="AD24" s="529"/>
      <c r="AE24" s="529"/>
      <c r="AH24" s="492"/>
      <c r="AI24" s="492"/>
    </row>
    <row r="25" spans="1:149" x14ac:dyDescent="0.35">
      <c r="A25" s="515"/>
      <c r="B25" s="493"/>
      <c r="C25" s="493"/>
      <c r="D25" s="493"/>
      <c r="E25" s="493"/>
      <c r="F25" s="493"/>
      <c r="G25" s="493"/>
      <c r="H25" s="493"/>
      <c r="I25" s="493"/>
      <c r="J25" s="529"/>
      <c r="K25" s="529"/>
      <c r="L25" s="529"/>
      <c r="M25" s="529"/>
      <c r="AH25" s="492">
        <f>SUM($B25:AF25)</f>
        <v>0</v>
      </c>
      <c r="AI25" s="492"/>
    </row>
    <row r="26" spans="1:149" outlineLevel="1" x14ac:dyDescent="0.35">
      <c r="A26" s="530" t="s">
        <v>151</v>
      </c>
      <c r="B26" s="493">
        <f>0.73*(B71+B19)</f>
        <v>119.72</v>
      </c>
      <c r="C26" s="493">
        <f>0.73*(C112+C19)</f>
        <v>129.21</v>
      </c>
      <c r="D26" s="493">
        <f t="shared" ref="D26:AF26" si="6">0.73*(D71+D19)</f>
        <v>0</v>
      </c>
      <c r="E26" s="493">
        <f t="shared" si="6"/>
        <v>91.98</v>
      </c>
      <c r="F26" s="493">
        <f t="shared" si="6"/>
        <v>0</v>
      </c>
      <c r="G26" s="493">
        <f t="shared" si="6"/>
        <v>0</v>
      </c>
      <c r="H26" s="493">
        <f t="shared" si="6"/>
        <v>140.88999999999999</v>
      </c>
      <c r="I26" s="493">
        <f t="shared" si="6"/>
        <v>113.14999999999999</v>
      </c>
      <c r="J26" s="529">
        <f t="shared" si="6"/>
        <v>105.12</v>
      </c>
      <c r="K26" s="529">
        <f>0.73*(K71+K19)</f>
        <v>127.02</v>
      </c>
      <c r="L26" s="529">
        <f t="shared" si="6"/>
        <v>24.82</v>
      </c>
      <c r="M26" s="529">
        <f t="shared" si="6"/>
        <v>0</v>
      </c>
      <c r="N26" s="529">
        <f t="shared" si="6"/>
        <v>115.34</v>
      </c>
      <c r="O26" s="529">
        <f t="shared" si="6"/>
        <v>110.23</v>
      </c>
      <c r="P26" s="529">
        <f t="shared" si="6"/>
        <v>125.56</v>
      </c>
      <c r="Q26" s="529">
        <f t="shared" si="6"/>
        <v>83.95</v>
      </c>
      <c r="R26" s="529">
        <f t="shared" si="6"/>
        <v>135.78</v>
      </c>
      <c r="S26" s="529">
        <f t="shared" si="6"/>
        <v>25.55</v>
      </c>
      <c r="T26" s="529">
        <f t="shared" si="6"/>
        <v>53.29</v>
      </c>
      <c r="U26" s="529">
        <f t="shared" si="6"/>
        <v>82.49</v>
      </c>
      <c r="V26" s="529">
        <f t="shared" si="6"/>
        <v>96.36</v>
      </c>
      <c r="W26" s="529">
        <f t="shared" si="6"/>
        <v>131.4</v>
      </c>
      <c r="X26" s="529">
        <f t="shared" si="6"/>
        <v>110.96</v>
      </c>
      <c r="Y26" s="529">
        <f t="shared" si="6"/>
        <v>123.36999999999999</v>
      </c>
      <c r="Z26" s="529">
        <f t="shared" si="6"/>
        <v>29.93</v>
      </c>
      <c r="AA26" s="529">
        <f t="shared" si="6"/>
        <v>56.21</v>
      </c>
      <c r="AB26" s="529">
        <f t="shared" si="6"/>
        <v>89.06</v>
      </c>
      <c r="AC26" s="529">
        <f t="shared" si="6"/>
        <v>102.92999999999999</v>
      </c>
      <c r="AD26" s="529">
        <f t="shared" si="6"/>
        <v>96.36</v>
      </c>
      <c r="AE26" s="529">
        <f t="shared" si="6"/>
        <v>102.2</v>
      </c>
      <c r="AF26" s="529">
        <f t="shared" si="6"/>
        <v>0</v>
      </c>
      <c r="AG26" s="529"/>
      <c r="AH26" s="492">
        <f>SUM($B26:AF26)</f>
        <v>2522.8799999999997</v>
      </c>
      <c r="AI26" s="531">
        <f>AH29+AH45+AH36</f>
        <v>8072</v>
      </c>
      <c r="AK26" s="532">
        <f>(AI26*10)/AH9</f>
        <v>10.052214354504814</v>
      </c>
    </row>
    <row r="27" spans="1:149" outlineLevel="1" x14ac:dyDescent="0.35">
      <c r="E27" s="493">
        <f>0.73*(E112+E20)</f>
        <v>19.71</v>
      </c>
      <c r="M27" s="477"/>
      <c r="AI27" s="492"/>
    </row>
    <row r="28" spans="1:149" outlineLevel="1" x14ac:dyDescent="0.35">
      <c r="A28" s="530" t="s">
        <v>130</v>
      </c>
      <c r="B28" s="493" t="str">
        <f>'Water '!R7</f>
        <v>0</v>
      </c>
      <c r="C28" s="493" t="str">
        <f>'Water '!R8</f>
        <v>0</v>
      </c>
      <c r="D28" s="493" t="str">
        <f>'Water '!R9</f>
        <v>0</v>
      </c>
      <c r="E28" s="493" t="str">
        <f>'Water '!R10</f>
        <v>0</v>
      </c>
      <c r="F28" s="493" t="str">
        <f>'Water '!R11</f>
        <v>0</v>
      </c>
      <c r="G28" s="493" t="str">
        <f>'Water '!R12</f>
        <v>0</v>
      </c>
      <c r="H28" s="493" t="str">
        <f>'Water '!R13</f>
        <v>0</v>
      </c>
      <c r="I28" s="493" t="str">
        <f>'Water '!R14</f>
        <v>0</v>
      </c>
      <c r="J28" s="529" t="str">
        <f>'Water '!R15</f>
        <v>0</v>
      </c>
      <c r="K28" s="529" t="str">
        <f>'Water '!R16</f>
        <v>0</v>
      </c>
      <c r="L28" s="529" t="str">
        <f>'Water '!R17</f>
        <v>0</v>
      </c>
      <c r="M28" s="529" t="str">
        <f>'Water '!R18</f>
        <v>0</v>
      </c>
      <c r="N28" s="529" t="str">
        <f>'Water '!R19</f>
        <v>0</v>
      </c>
      <c r="O28" s="529" t="str">
        <f>'Water '!R20</f>
        <v>0</v>
      </c>
      <c r="P28" s="529" t="str">
        <f>'Water '!R21</f>
        <v>0</v>
      </c>
      <c r="Q28" s="529" t="str">
        <f>'Water '!R22</f>
        <v>0</v>
      </c>
      <c r="R28" s="529" t="str">
        <f>'Water '!R23</f>
        <v>0</v>
      </c>
      <c r="S28" s="529" t="str">
        <f>'Water '!R24</f>
        <v>0</v>
      </c>
      <c r="T28" s="529" t="str">
        <f>'Water '!R25</f>
        <v>0</v>
      </c>
      <c r="U28" s="529" t="str">
        <f>'Water '!R26</f>
        <v>0</v>
      </c>
      <c r="V28" s="529" t="str">
        <f>'Water '!R27</f>
        <v>0</v>
      </c>
      <c r="W28" s="529" t="str">
        <f>'Water '!R28</f>
        <v>0</v>
      </c>
      <c r="X28" s="529" t="str">
        <f>'Water '!R29</f>
        <v>0</v>
      </c>
      <c r="Y28" s="529" t="str">
        <f>'Water '!R30</f>
        <v>0</v>
      </c>
      <c r="Z28" s="529" t="str">
        <f>'Water '!R31</f>
        <v>0</v>
      </c>
      <c r="AA28" s="529" t="str">
        <f>'Water '!R32</f>
        <v>0</v>
      </c>
      <c r="AB28" s="529" t="str">
        <f>'Water '!R33</f>
        <v>0</v>
      </c>
      <c r="AC28" s="529" t="str">
        <f>'Water '!R32</f>
        <v>0</v>
      </c>
      <c r="AD28" s="529" t="str">
        <f>'Water '!R35</f>
        <v>0</v>
      </c>
      <c r="AE28" s="529" t="str">
        <f>'Water '!R36</f>
        <v>0</v>
      </c>
      <c r="AF28" s="529" t="str">
        <f>'Water '!R37</f>
        <v>0</v>
      </c>
      <c r="AG28" s="529"/>
      <c r="AH28" s="492">
        <f>SUM($B28:AF28)</f>
        <v>0</v>
      </c>
      <c r="AI28" s="492"/>
      <c r="AR28" s="292" t="s">
        <v>58</v>
      </c>
    </row>
    <row r="29" spans="1:149" outlineLevel="1" x14ac:dyDescent="0.35">
      <c r="A29" s="515" t="s">
        <v>165</v>
      </c>
      <c r="B29" s="516">
        <f>'Water '!H7</f>
        <v>211</v>
      </c>
      <c r="C29" s="516">
        <f>'Water '!H8</f>
        <v>166</v>
      </c>
      <c r="D29" s="516">
        <f>'Water '!H9</f>
        <v>13</v>
      </c>
      <c r="E29" s="516">
        <f>'Water '!H10</f>
        <v>58</v>
      </c>
      <c r="F29" s="516">
        <f>'Water '!H11</f>
        <v>8</v>
      </c>
      <c r="G29" s="516">
        <f>'Water '!H12</f>
        <v>6</v>
      </c>
      <c r="H29" s="516">
        <f>'Water '!H13</f>
        <v>152</v>
      </c>
      <c r="I29" s="516">
        <f>'Water '!H14</f>
        <v>263</v>
      </c>
      <c r="J29" s="517">
        <f>'Water '!H15</f>
        <v>258</v>
      </c>
      <c r="K29" s="517">
        <f>'Water '!H16</f>
        <v>204</v>
      </c>
      <c r="L29" s="517">
        <f>'Water '!H17</f>
        <v>51</v>
      </c>
      <c r="M29" s="517">
        <f>'Water '!H18</f>
        <v>9</v>
      </c>
      <c r="N29" s="517">
        <f>'Water '!H19</f>
        <v>271</v>
      </c>
      <c r="O29" s="517">
        <f>'Water '!$H20</f>
        <v>253</v>
      </c>
      <c r="P29" s="517">
        <f>'Water '!$H21</f>
        <v>287</v>
      </c>
      <c r="Q29" s="517">
        <f>'Water '!$H22</f>
        <v>260</v>
      </c>
      <c r="R29" s="517">
        <f>'Water '!$H23</f>
        <v>169</v>
      </c>
      <c r="S29" s="517">
        <f>'Water '!$H24</f>
        <v>52</v>
      </c>
      <c r="T29" s="517">
        <f>'Water '!$H25</f>
        <v>60</v>
      </c>
      <c r="U29" s="517">
        <f>'Water '!$H26</f>
        <v>244</v>
      </c>
      <c r="V29" s="517">
        <f>'Water '!$H27</f>
        <v>219</v>
      </c>
      <c r="W29" s="517">
        <f>'Water '!$H28</f>
        <v>284</v>
      </c>
      <c r="X29" s="517">
        <f>'Water '!$H29</f>
        <v>181</v>
      </c>
      <c r="Y29" s="517">
        <f>'Water '!$H30</f>
        <v>170</v>
      </c>
      <c r="Z29" s="517">
        <f>'Water '!$H31</f>
        <v>97</v>
      </c>
      <c r="AA29" s="517">
        <f>'Water '!$H32</f>
        <v>51</v>
      </c>
      <c r="AB29" s="517">
        <f>'Water '!$H33</f>
        <v>213</v>
      </c>
      <c r="AC29" s="517">
        <f>'Water '!$H34</f>
        <v>234</v>
      </c>
      <c r="AD29" s="517">
        <f>'Water '!$H35</f>
        <v>259</v>
      </c>
      <c r="AE29" s="517">
        <f>'Water '!$H36</f>
        <v>214</v>
      </c>
      <c r="AF29" s="517">
        <f>'Water '!$H37</f>
        <v>0</v>
      </c>
      <c r="AG29" s="517"/>
      <c r="AH29" s="492">
        <f>SUM($B29:AF29)</f>
        <v>4917</v>
      </c>
      <c r="AI29" s="492"/>
      <c r="AJ29" s="492"/>
    </row>
    <row r="30" spans="1:149" outlineLevel="1" x14ac:dyDescent="0.35">
      <c r="A30" s="515" t="str">
        <f t="shared" ref="A30:AF30" si="7">A36</f>
        <v>Brewhouse</v>
      </c>
      <c r="B30" s="516">
        <f t="shared" si="7"/>
        <v>96</v>
      </c>
      <c r="C30" s="516">
        <f t="shared" si="7"/>
        <v>76</v>
      </c>
      <c r="D30" s="516" t="str">
        <f t="shared" si="7"/>
        <v>0</v>
      </c>
      <c r="E30" s="516" t="str">
        <f t="shared" si="7"/>
        <v>0</v>
      </c>
      <c r="F30" s="516" t="str">
        <f t="shared" si="7"/>
        <v>0</v>
      </c>
      <c r="G30" s="516" t="str">
        <f t="shared" si="7"/>
        <v>0</v>
      </c>
      <c r="H30" s="516">
        <f>H36</f>
        <v>140</v>
      </c>
      <c r="I30" s="516">
        <f t="shared" si="7"/>
        <v>53</v>
      </c>
      <c r="J30" s="517">
        <f t="shared" si="7"/>
        <v>167</v>
      </c>
      <c r="K30" s="517">
        <f t="shared" si="7"/>
        <v>112</v>
      </c>
      <c r="L30" s="517" t="str">
        <f t="shared" si="7"/>
        <v>0</v>
      </c>
      <c r="M30" s="517" t="str">
        <f t="shared" si="7"/>
        <v>0</v>
      </c>
      <c r="N30" s="517">
        <f t="shared" si="7"/>
        <v>158</v>
      </c>
      <c r="O30" s="517">
        <f t="shared" si="7"/>
        <v>157</v>
      </c>
      <c r="P30" s="517">
        <f t="shared" si="7"/>
        <v>177</v>
      </c>
      <c r="Q30" s="517">
        <f t="shared" si="7"/>
        <v>161</v>
      </c>
      <c r="R30" s="517">
        <f t="shared" si="7"/>
        <v>57</v>
      </c>
      <c r="S30" s="517" t="str">
        <f t="shared" si="7"/>
        <v>0</v>
      </c>
      <c r="T30" s="517">
        <f t="shared" si="7"/>
        <v>1</v>
      </c>
      <c r="U30" s="517">
        <f t="shared" si="7"/>
        <v>130</v>
      </c>
      <c r="V30" s="517">
        <f t="shared" si="7"/>
        <v>186</v>
      </c>
      <c r="W30" s="517">
        <f t="shared" si="7"/>
        <v>90</v>
      </c>
      <c r="X30" s="517">
        <f t="shared" si="7"/>
        <v>147</v>
      </c>
      <c r="Y30" s="517">
        <f>Y36</f>
        <v>140</v>
      </c>
      <c r="Z30" s="517">
        <f t="shared" si="7"/>
        <v>123</v>
      </c>
      <c r="AA30" s="517">
        <f t="shared" si="7"/>
        <v>81</v>
      </c>
      <c r="AB30" s="517">
        <f t="shared" si="7"/>
        <v>196</v>
      </c>
      <c r="AC30" s="517">
        <f>AC36</f>
        <v>161</v>
      </c>
      <c r="AD30" s="517">
        <f t="shared" si="7"/>
        <v>134</v>
      </c>
      <c r="AE30" s="517">
        <f t="shared" si="7"/>
        <v>5</v>
      </c>
      <c r="AF30" s="517" t="str">
        <f t="shared" si="7"/>
        <v>0</v>
      </c>
      <c r="AG30" s="517"/>
      <c r="AH30" s="492">
        <f>AH36</f>
        <v>2748</v>
      </c>
      <c r="AI30" s="492"/>
      <c r="AJ30" s="492"/>
    </row>
    <row r="31" spans="1:149" outlineLevel="1" x14ac:dyDescent="0.35">
      <c r="A31" s="515" t="str">
        <f t="shared" ref="A31:AF31" si="8">A45</f>
        <v>Boiler Supply</v>
      </c>
      <c r="B31" s="516">
        <f t="shared" si="8"/>
        <v>13</v>
      </c>
      <c r="C31" s="516">
        <f t="shared" si="8"/>
        <v>4</v>
      </c>
      <c r="D31" s="516">
        <f t="shared" si="8"/>
        <v>17</v>
      </c>
      <c r="E31" s="516">
        <f t="shared" si="8"/>
        <v>2</v>
      </c>
      <c r="F31" s="516" t="str">
        <f t="shared" si="8"/>
        <v>0</v>
      </c>
      <c r="G31" s="516">
        <f t="shared" si="8"/>
        <v>4</v>
      </c>
      <c r="H31" s="516">
        <f t="shared" si="8"/>
        <v>15</v>
      </c>
      <c r="I31" s="516">
        <f t="shared" si="8"/>
        <v>15</v>
      </c>
      <c r="J31" s="517">
        <f>J45</f>
        <v>17</v>
      </c>
      <c r="K31" s="517">
        <f>K45</f>
        <v>16</v>
      </c>
      <c r="L31" s="517">
        <f t="shared" si="8"/>
        <v>1</v>
      </c>
      <c r="M31" s="517">
        <f>M45</f>
        <v>2</v>
      </c>
      <c r="N31" s="517">
        <f t="shared" si="8"/>
        <v>19</v>
      </c>
      <c r="O31" s="517">
        <f t="shared" si="8"/>
        <v>18</v>
      </c>
      <c r="P31" s="517">
        <f t="shared" si="8"/>
        <v>23</v>
      </c>
      <c r="Q31" s="517">
        <f t="shared" si="8"/>
        <v>12</v>
      </c>
      <c r="R31" s="517">
        <f t="shared" si="8"/>
        <v>15</v>
      </c>
      <c r="S31" s="517" t="str">
        <f t="shared" si="8"/>
        <v>0</v>
      </c>
      <c r="T31" s="517">
        <f t="shared" si="8"/>
        <v>12</v>
      </c>
      <c r="U31" s="517">
        <f t="shared" si="8"/>
        <v>16</v>
      </c>
      <c r="V31" s="517">
        <f>V45</f>
        <v>26</v>
      </c>
      <c r="W31" s="517">
        <f t="shared" si="8"/>
        <v>27</v>
      </c>
      <c r="X31" s="517">
        <f t="shared" si="8"/>
        <v>27</v>
      </c>
      <c r="Y31" s="517">
        <f t="shared" si="8"/>
        <v>25</v>
      </c>
      <c r="Z31" s="517">
        <f t="shared" si="8"/>
        <v>6</v>
      </c>
      <c r="AA31" s="517">
        <f t="shared" si="8"/>
        <v>5</v>
      </c>
      <c r="AB31" s="517">
        <f t="shared" si="8"/>
        <v>18</v>
      </c>
      <c r="AC31" s="517">
        <f t="shared" si="8"/>
        <v>13</v>
      </c>
      <c r="AD31" s="517">
        <f t="shared" si="8"/>
        <v>17</v>
      </c>
      <c r="AE31" s="517">
        <f t="shared" si="8"/>
        <v>22</v>
      </c>
      <c r="AF31" s="517" t="str">
        <f t="shared" si="8"/>
        <v>0</v>
      </c>
      <c r="AG31" s="517"/>
      <c r="AH31" s="492">
        <f>AH45</f>
        <v>407</v>
      </c>
      <c r="AI31" s="492"/>
      <c r="AJ31" s="492"/>
    </row>
    <row r="32" spans="1:149" s="538" customFormat="1" x14ac:dyDescent="0.4">
      <c r="A32" s="533" t="s">
        <v>152</v>
      </c>
      <c r="B32" s="534">
        <f>SUM(B28:B31)</f>
        <v>320</v>
      </c>
      <c r="C32" s="534">
        <f>SUM(C28:C31)</f>
        <v>246</v>
      </c>
      <c r="D32" s="534">
        <f t="shared" ref="D32:AF32" si="9">SUM(D28:D31)</f>
        <v>30</v>
      </c>
      <c r="E32" s="534">
        <f t="shared" si="9"/>
        <v>60</v>
      </c>
      <c r="F32" s="534">
        <f t="shared" si="9"/>
        <v>8</v>
      </c>
      <c r="G32" s="534">
        <f t="shared" si="9"/>
        <v>10</v>
      </c>
      <c r="H32" s="534">
        <f t="shared" si="9"/>
        <v>307</v>
      </c>
      <c r="I32" s="534">
        <f t="shared" si="9"/>
        <v>331</v>
      </c>
      <c r="J32" s="535">
        <f t="shared" si="9"/>
        <v>442</v>
      </c>
      <c r="K32" s="535">
        <f>SUM(K28:K31)</f>
        <v>332</v>
      </c>
      <c r="L32" s="535">
        <f t="shared" si="9"/>
        <v>52</v>
      </c>
      <c r="M32" s="535">
        <f t="shared" si="9"/>
        <v>11</v>
      </c>
      <c r="N32" s="535">
        <f t="shared" si="9"/>
        <v>448</v>
      </c>
      <c r="O32" s="535">
        <f>SUM(O28:O31)</f>
        <v>428</v>
      </c>
      <c r="P32" s="535">
        <f t="shared" si="9"/>
        <v>487</v>
      </c>
      <c r="Q32" s="535">
        <f>SUM(Q28:Q31)</f>
        <v>433</v>
      </c>
      <c r="R32" s="535">
        <f t="shared" si="9"/>
        <v>241</v>
      </c>
      <c r="S32" s="535">
        <f t="shared" si="9"/>
        <v>52</v>
      </c>
      <c r="T32" s="535">
        <f t="shared" si="9"/>
        <v>73</v>
      </c>
      <c r="U32" s="535">
        <f t="shared" si="9"/>
        <v>390</v>
      </c>
      <c r="V32" s="535">
        <f t="shared" si="9"/>
        <v>431</v>
      </c>
      <c r="W32" s="534">
        <f t="shared" si="9"/>
        <v>401</v>
      </c>
      <c r="X32" s="535">
        <f t="shared" si="9"/>
        <v>355</v>
      </c>
      <c r="Y32" s="535">
        <f t="shared" si="9"/>
        <v>335</v>
      </c>
      <c r="Z32" s="535">
        <f t="shared" si="9"/>
        <v>226</v>
      </c>
      <c r="AA32" s="535">
        <f t="shared" si="9"/>
        <v>137</v>
      </c>
      <c r="AB32" s="535">
        <f t="shared" si="9"/>
        <v>427</v>
      </c>
      <c r="AC32" s="535">
        <f>SUM(AC28:AC31)</f>
        <v>408</v>
      </c>
      <c r="AD32" s="536">
        <f t="shared" si="9"/>
        <v>410</v>
      </c>
      <c r="AE32" s="535">
        <f t="shared" si="9"/>
        <v>241</v>
      </c>
      <c r="AF32" s="535">
        <f t="shared" si="9"/>
        <v>0</v>
      </c>
      <c r="AG32" s="535"/>
      <c r="AH32" s="534">
        <f>SUM($B32:AF32)</f>
        <v>8072</v>
      </c>
      <c r="AI32" s="534"/>
      <c r="AJ32" s="537"/>
      <c r="AK32" s="537"/>
      <c r="AL32" s="537"/>
      <c r="AM32" s="537"/>
      <c r="AN32" s="537"/>
      <c r="AO32" s="537"/>
      <c r="AP32" s="537"/>
      <c r="AQ32" s="537"/>
      <c r="AR32" s="537"/>
      <c r="AS32" s="537"/>
      <c r="AT32" s="537"/>
      <c r="AU32" s="537"/>
      <c r="AV32" s="537"/>
      <c r="AW32" s="537"/>
      <c r="AX32" s="537"/>
      <c r="AY32" s="537"/>
      <c r="AZ32" s="537"/>
      <c r="BA32" s="537"/>
      <c r="BB32" s="537"/>
      <c r="BC32" s="537"/>
      <c r="BD32" s="537"/>
      <c r="BE32" s="537"/>
      <c r="BF32" s="537"/>
      <c r="BG32" s="537"/>
    </row>
    <row r="33" spans="1:149" s="479" customFormat="1" x14ac:dyDescent="0.4">
      <c r="A33" s="539"/>
      <c r="B33" s="492"/>
      <c r="C33" s="492"/>
      <c r="D33" s="492"/>
      <c r="E33" s="492"/>
      <c r="F33" s="492"/>
      <c r="G33" s="492"/>
      <c r="H33" s="492"/>
      <c r="I33" s="492"/>
      <c r="J33" s="528"/>
      <c r="K33" s="528"/>
      <c r="L33" s="528"/>
      <c r="M33" s="528"/>
      <c r="N33" s="528"/>
      <c r="O33" s="528"/>
      <c r="P33" s="528"/>
      <c r="Q33" s="528"/>
      <c r="R33" s="528"/>
      <c r="S33" s="528"/>
      <c r="T33" s="528"/>
      <c r="U33" s="528"/>
      <c r="V33" s="528"/>
      <c r="W33" s="528"/>
      <c r="X33" s="528"/>
      <c r="Y33" s="528"/>
      <c r="Z33" s="528"/>
      <c r="AA33" s="528"/>
      <c r="AB33" s="528"/>
      <c r="AC33" s="528"/>
      <c r="AD33" s="528"/>
      <c r="AE33" s="528"/>
      <c r="AF33" s="528"/>
      <c r="AG33" s="528"/>
      <c r="AH33" s="492"/>
      <c r="AI33" s="492"/>
      <c r="AJ33" s="476"/>
      <c r="AK33" s="476"/>
      <c r="AL33" s="476"/>
      <c r="AM33" s="476"/>
      <c r="AN33" s="476"/>
      <c r="AO33" s="476"/>
      <c r="AP33" s="476"/>
      <c r="AQ33" s="476"/>
      <c r="AR33" s="476"/>
      <c r="AS33" s="476"/>
      <c r="AT33" s="476"/>
      <c r="AU33" s="476"/>
      <c r="AV33" s="476"/>
      <c r="AW33" s="476"/>
      <c r="AX33" s="476"/>
      <c r="AY33" s="476"/>
      <c r="AZ33" s="476"/>
      <c r="BA33" s="476"/>
      <c r="BB33" s="476"/>
      <c r="BC33" s="476"/>
      <c r="BD33" s="476"/>
      <c r="BE33" s="476"/>
      <c r="BF33" s="476"/>
      <c r="BG33" s="476"/>
    </row>
    <row r="34" spans="1:149" x14ac:dyDescent="0.35">
      <c r="A34" s="515"/>
      <c r="B34" s="540"/>
      <c r="C34" s="540"/>
      <c r="D34" s="540"/>
      <c r="E34" s="540"/>
      <c r="F34" s="540"/>
      <c r="G34" s="540"/>
      <c r="H34" s="540"/>
      <c r="I34" s="540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1"/>
      <c r="X34" s="501"/>
      <c r="Y34" s="501"/>
      <c r="Z34" s="501"/>
      <c r="AA34" s="501"/>
      <c r="AB34" s="501"/>
      <c r="AC34" s="501"/>
      <c r="AD34" s="501"/>
      <c r="AE34" s="501"/>
      <c r="AF34" s="501"/>
      <c r="AG34" s="501"/>
      <c r="AH34" s="541"/>
      <c r="AI34" s="542"/>
    </row>
    <row r="35" spans="1:149" x14ac:dyDescent="0.35">
      <c r="A35" s="527" t="s">
        <v>168</v>
      </c>
      <c r="B35" s="493"/>
      <c r="C35" s="493"/>
      <c r="D35" s="493"/>
      <c r="E35" s="493"/>
      <c r="F35" s="493"/>
      <c r="G35" s="493"/>
      <c r="H35" s="493"/>
      <c r="I35" s="493"/>
      <c r="J35" s="529"/>
      <c r="K35" s="529"/>
      <c r="L35" s="529"/>
      <c r="M35" s="529"/>
      <c r="AH35" s="492"/>
      <c r="AI35" s="492"/>
    </row>
    <row r="36" spans="1:149" x14ac:dyDescent="0.35">
      <c r="A36" s="543" t="s">
        <v>73</v>
      </c>
      <c r="B36" s="544">
        <f>+'Water '!$J7</f>
        <v>96</v>
      </c>
      <c r="C36" s="544">
        <f>+'Water '!$J8</f>
        <v>76</v>
      </c>
      <c r="D36" s="544" t="str">
        <f>+'Water '!$J9</f>
        <v>0</v>
      </c>
      <c r="E36" s="544" t="str">
        <f>+'Water '!$J10</f>
        <v>0</v>
      </c>
      <c r="F36" s="544" t="str">
        <f>+'Water '!$J11</f>
        <v>0</v>
      </c>
      <c r="G36" s="544" t="str">
        <f>+'Water '!$J12</f>
        <v>0</v>
      </c>
      <c r="H36" s="516">
        <f>+'Water '!$J13</f>
        <v>140</v>
      </c>
      <c r="I36" s="544">
        <f>+'Water '!$J14</f>
        <v>53</v>
      </c>
      <c r="J36" s="544">
        <f>+'Water '!$J15</f>
        <v>167</v>
      </c>
      <c r="K36" s="544">
        <f>+'Water '!$J16</f>
        <v>112</v>
      </c>
      <c r="L36" s="516" t="str">
        <f>+'Water '!$J17</f>
        <v>0</v>
      </c>
      <c r="M36" s="544" t="str">
        <f>+'Water '!$J18</f>
        <v>0</v>
      </c>
      <c r="N36" s="544">
        <f>+'Water '!$J19</f>
        <v>158</v>
      </c>
      <c r="O36" s="544">
        <f>+'Water '!$J20</f>
        <v>157</v>
      </c>
      <c r="P36" s="516">
        <f>+'Water '!$J21</f>
        <v>177</v>
      </c>
      <c r="Q36" s="544">
        <f>+'Water '!$J22</f>
        <v>161</v>
      </c>
      <c r="R36" s="516">
        <f>+'Water '!$J23</f>
        <v>57</v>
      </c>
      <c r="S36" s="544" t="str">
        <f>+'Water '!$J24</f>
        <v>0</v>
      </c>
      <c r="T36" s="516">
        <f>+'Water '!$J25</f>
        <v>1</v>
      </c>
      <c r="U36" s="544">
        <f>+'Water '!$J26</f>
        <v>130</v>
      </c>
      <c r="V36" s="544">
        <f>+'Water '!$J27</f>
        <v>186</v>
      </c>
      <c r="W36" s="544">
        <f>+'Water '!$J28</f>
        <v>90</v>
      </c>
      <c r="X36" s="544">
        <f>+'Water '!$J29</f>
        <v>147</v>
      </c>
      <c r="Y36" s="544">
        <f>+'Water '!$J30</f>
        <v>140</v>
      </c>
      <c r="Z36" s="544">
        <f>+'Water '!$J31</f>
        <v>123</v>
      </c>
      <c r="AA36" s="544">
        <f>+'Water '!$J32</f>
        <v>81</v>
      </c>
      <c r="AB36" s="544">
        <f>+'Water '!$J33</f>
        <v>196</v>
      </c>
      <c r="AC36" s="516">
        <f>+'Water '!$J34</f>
        <v>161</v>
      </c>
      <c r="AD36" s="516">
        <f>+'Water '!$J35</f>
        <v>134</v>
      </c>
      <c r="AE36" s="516">
        <f>+'Water '!$J36</f>
        <v>5</v>
      </c>
      <c r="AF36" s="516" t="str">
        <f>+'Water '!$J37</f>
        <v>0</v>
      </c>
      <c r="AG36" s="516"/>
      <c r="AH36" s="492">
        <f>SUM($B36:AF36)</f>
        <v>2748</v>
      </c>
      <c r="AI36" s="492"/>
    </row>
    <row r="37" spans="1:149" s="512" customFormat="1" x14ac:dyDescent="0.35">
      <c r="A37" s="545" t="s">
        <v>229</v>
      </c>
      <c r="B37" s="546" t="str">
        <f>'Water '!X7</f>
        <v>0</v>
      </c>
      <c r="C37" s="546" t="str">
        <f>'Water '!X8</f>
        <v>0</v>
      </c>
      <c r="D37" s="546" t="str">
        <f>'Water '!X9</f>
        <v>0</v>
      </c>
      <c r="E37" s="546" t="str">
        <f>'Water '!X10</f>
        <v>0</v>
      </c>
      <c r="F37" s="546" t="str">
        <f>'Water '!X11</f>
        <v>0</v>
      </c>
      <c r="G37" s="546" t="str">
        <f>'Water '!X12</f>
        <v>0</v>
      </c>
      <c r="H37" s="546" t="str">
        <f>'Water '!X13</f>
        <v>0</v>
      </c>
      <c r="I37" s="546" t="str">
        <f>'Water '!X14</f>
        <v>0</v>
      </c>
      <c r="J37" s="546" t="str">
        <f>'Water '!X15</f>
        <v>0</v>
      </c>
      <c r="K37" s="546" t="str">
        <f>'Water '!X16</f>
        <v>0</v>
      </c>
      <c r="L37" s="546" t="str">
        <f>'Water '!X17</f>
        <v>0</v>
      </c>
      <c r="M37" s="546" t="str">
        <f>'Water '!X18</f>
        <v>0</v>
      </c>
      <c r="N37" s="546" t="str">
        <f>'Water '!X19</f>
        <v>0</v>
      </c>
      <c r="O37" s="546" t="str">
        <f>'Water '!X20</f>
        <v>0</v>
      </c>
      <c r="P37" s="546" t="str">
        <f>'Water '!X21</f>
        <v>0</v>
      </c>
      <c r="Q37" s="546" t="str">
        <f>'Water '!X22</f>
        <v>0</v>
      </c>
      <c r="R37" s="546" t="str">
        <f>'Water '!X23</f>
        <v>0</v>
      </c>
      <c r="S37" s="546" t="str">
        <f>'Water '!X24</f>
        <v>0</v>
      </c>
      <c r="T37" s="546" t="str">
        <f>'Water '!X25</f>
        <v>0</v>
      </c>
      <c r="U37" s="546" t="str">
        <f>'Water '!X26</f>
        <v>0</v>
      </c>
      <c r="V37" s="546" t="str">
        <f>'Water '!X27</f>
        <v>0</v>
      </c>
      <c r="W37" s="546" t="str">
        <f>'Water '!X28</f>
        <v>0</v>
      </c>
      <c r="X37" s="546" t="str">
        <f>'Water '!X29</f>
        <v>0</v>
      </c>
      <c r="Y37" s="546" t="str">
        <f>'Water '!X30</f>
        <v>0</v>
      </c>
      <c r="Z37" s="546" t="str">
        <f>'Water '!X31</f>
        <v>0</v>
      </c>
      <c r="AA37" s="546" t="str">
        <f>'Water '!X32</f>
        <v>0</v>
      </c>
      <c r="AB37" s="546" t="str">
        <f>'Water '!X33</f>
        <v>0</v>
      </c>
      <c r="AC37" s="546" t="str">
        <f>'Water '!X34</f>
        <v>0</v>
      </c>
      <c r="AD37" s="546" t="str">
        <f>'Water '!X35</f>
        <v>0</v>
      </c>
      <c r="AE37" s="546" t="str">
        <f>'Water '!X36</f>
        <v>0</v>
      </c>
      <c r="AF37" s="546" t="str">
        <f>'Water '!X37</f>
        <v>0</v>
      </c>
      <c r="AG37" s="546"/>
      <c r="AH37" s="522">
        <f>SUM($B37:AF37)</f>
        <v>0</v>
      </c>
      <c r="AI37" s="522"/>
      <c r="AJ37" s="482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475"/>
      <c r="BI37" s="475"/>
      <c r="BJ37" s="475"/>
      <c r="BK37" s="475"/>
      <c r="BL37" s="475"/>
      <c r="BM37" s="475"/>
      <c r="BN37" s="475"/>
      <c r="BO37" s="475"/>
      <c r="BP37" s="475"/>
      <c r="BQ37" s="475"/>
      <c r="BR37" s="475"/>
      <c r="BS37" s="475"/>
      <c r="BT37" s="475"/>
      <c r="BU37" s="475"/>
      <c r="BV37" s="475"/>
      <c r="BW37" s="475"/>
      <c r="BX37" s="475"/>
      <c r="BY37" s="475"/>
      <c r="BZ37" s="475"/>
      <c r="CA37" s="475"/>
      <c r="CB37" s="475"/>
      <c r="CC37" s="475"/>
      <c r="CD37" s="475"/>
      <c r="CE37" s="475"/>
      <c r="CF37" s="475"/>
      <c r="CG37" s="475"/>
      <c r="CH37" s="475"/>
      <c r="CI37" s="475"/>
      <c r="CJ37" s="475"/>
      <c r="CK37" s="475"/>
      <c r="CL37" s="475"/>
      <c r="CM37" s="475"/>
      <c r="CN37" s="475"/>
      <c r="CO37" s="475"/>
      <c r="CP37" s="475"/>
      <c r="CQ37" s="475"/>
      <c r="CR37" s="475"/>
      <c r="CS37" s="475"/>
      <c r="CT37" s="475"/>
      <c r="CU37" s="475"/>
      <c r="CV37" s="475"/>
      <c r="CW37" s="475"/>
      <c r="CX37" s="475"/>
      <c r="CY37" s="475"/>
      <c r="CZ37" s="475"/>
      <c r="DA37" s="475"/>
      <c r="DB37" s="475"/>
      <c r="DC37" s="475"/>
      <c r="DD37" s="475"/>
      <c r="DE37" s="475"/>
      <c r="DF37" s="475"/>
      <c r="DG37" s="475"/>
      <c r="DH37" s="475"/>
      <c r="DI37" s="475"/>
      <c r="DJ37" s="475"/>
      <c r="DK37" s="475"/>
      <c r="DL37" s="475"/>
      <c r="DM37" s="475"/>
      <c r="DN37" s="475"/>
      <c r="DO37" s="475"/>
      <c r="DP37" s="475"/>
      <c r="DQ37" s="475"/>
      <c r="DR37" s="475"/>
      <c r="DS37" s="475"/>
      <c r="DT37" s="475"/>
      <c r="DU37" s="475"/>
      <c r="DV37" s="475"/>
      <c r="DW37" s="475"/>
      <c r="DX37" s="475"/>
      <c r="DY37" s="475"/>
      <c r="DZ37" s="475"/>
      <c r="EA37" s="475"/>
      <c r="EB37" s="475"/>
      <c r="EC37" s="475"/>
      <c r="ED37" s="475"/>
      <c r="EE37" s="475"/>
      <c r="EF37" s="475"/>
      <c r="EG37" s="475"/>
      <c r="EH37" s="475"/>
      <c r="EI37" s="475"/>
      <c r="EJ37" s="475"/>
      <c r="EK37" s="475"/>
      <c r="EL37" s="475"/>
      <c r="EM37" s="475"/>
      <c r="EN37" s="475"/>
      <c r="EO37" s="475"/>
      <c r="EP37" s="475"/>
      <c r="EQ37" s="475"/>
      <c r="ER37" s="475"/>
      <c r="ES37" s="475"/>
    </row>
    <row r="38" spans="1:149" ht="32.25" customHeight="1" x14ac:dyDescent="0.35">
      <c r="A38" s="530" t="s">
        <v>188</v>
      </c>
      <c r="B38" s="493"/>
      <c r="C38" s="493"/>
      <c r="D38" s="493"/>
      <c r="E38" s="493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  <c r="T38" s="493"/>
      <c r="U38" s="493"/>
      <c r="V38" s="493"/>
      <c r="W38" s="493"/>
      <c r="X38" s="493"/>
      <c r="Y38" s="493"/>
      <c r="Z38" s="493"/>
      <c r="AA38" s="493"/>
      <c r="AB38" s="493"/>
      <c r="AC38" s="493"/>
      <c r="AD38" s="493"/>
      <c r="AE38" s="493"/>
      <c r="AF38" s="493"/>
      <c r="AG38" s="493"/>
      <c r="AH38" s="492"/>
      <c r="AI38" s="492"/>
    </row>
    <row r="39" spans="1:149" x14ac:dyDescent="0.35">
      <c r="A39" s="515" t="s">
        <v>220</v>
      </c>
      <c r="B39" s="516" t="str">
        <f>+'Water '!$K7</f>
        <v>0</v>
      </c>
      <c r="C39" s="516" t="str">
        <f>+'Water '!$K8</f>
        <v>0</v>
      </c>
      <c r="D39" s="516" t="str">
        <f>+'Water '!$K9</f>
        <v>0</v>
      </c>
      <c r="E39" s="516" t="str">
        <f>+'Water '!$K10</f>
        <v>0</v>
      </c>
      <c r="F39" s="516" t="str">
        <f>+'Water '!$K9</f>
        <v>0</v>
      </c>
      <c r="G39" s="516" t="str">
        <f>+'Water '!$K12</f>
        <v>0</v>
      </c>
      <c r="H39" s="516" t="str">
        <f>+'Water '!$K13</f>
        <v>0</v>
      </c>
      <c r="I39" s="516" t="str">
        <f>+'Water '!$K14</f>
        <v>0</v>
      </c>
      <c r="J39" s="516" t="str">
        <f>+'Water '!$K15</f>
        <v>0</v>
      </c>
      <c r="K39" s="516" t="str">
        <f>+'Water '!$K16</f>
        <v>0</v>
      </c>
      <c r="L39" s="516" t="str">
        <f>+'Water '!$K17</f>
        <v>0</v>
      </c>
      <c r="M39" s="516" t="str">
        <f>+'Water '!$K18</f>
        <v>0</v>
      </c>
      <c r="N39" s="516" t="str">
        <f>+'Water '!$K19</f>
        <v>0</v>
      </c>
      <c r="O39" s="516" t="str">
        <f>+'Water '!$K20</f>
        <v>0</v>
      </c>
      <c r="P39" s="516" t="str">
        <f>+'Water '!$K21</f>
        <v>0</v>
      </c>
      <c r="Q39" s="516" t="str">
        <f>+'Water '!$K22</f>
        <v>0</v>
      </c>
      <c r="R39" s="516" t="str">
        <f>+'Water '!$K23</f>
        <v>0</v>
      </c>
      <c r="S39" s="516" t="str">
        <f>+'Water '!$K24</f>
        <v>0</v>
      </c>
      <c r="T39" s="516" t="str">
        <f>+'Water '!$K25</f>
        <v>0</v>
      </c>
      <c r="U39" s="516" t="str">
        <f>+'Water '!$K26</f>
        <v>0</v>
      </c>
      <c r="V39" s="516" t="str">
        <f>+'Water '!$K27</f>
        <v>0</v>
      </c>
      <c r="W39" s="516" t="str">
        <f>+'Water '!$K28</f>
        <v>0</v>
      </c>
      <c r="X39" s="516" t="str">
        <f>+'Water '!$K29</f>
        <v>0</v>
      </c>
      <c r="Y39" s="516" t="str">
        <f>+'Water '!$K30</f>
        <v>0</v>
      </c>
      <c r="Z39" s="516" t="str">
        <f>+'Water '!$K31</f>
        <v>0</v>
      </c>
      <c r="AA39" s="516" t="str">
        <f>+'Water '!$K32</f>
        <v>0</v>
      </c>
      <c r="AB39" s="516" t="str">
        <f>+'Water '!$K33</f>
        <v>0</v>
      </c>
      <c r="AC39" s="516" t="str">
        <f>+'Water '!$K34</f>
        <v>0</v>
      </c>
      <c r="AD39" s="516" t="str">
        <f>+'Water '!$K35</f>
        <v>0</v>
      </c>
      <c r="AE39" s="516" t="str">
        <f>+'Water '!$K36</f>
        <v>0</v>
      </c>
      <c r="AF39" s="516" t="str">
        <f>+'Water '!$K37</f>
        <v>0</v>
      </c>
      <c r="AG39" s="516"/>
      <c r="AH39" s="492">
        <f>SUM($B39:AF39)</f>
        <v>0</v>
      </c>
      <c r="AI39" s="492"/>
      <c r="AJ39" s="492"/>
    </row>
    <row r="40" spans="1:149" s="512" customFormat="1" ht="27" customHeight="1" x14ac:dyDescent="0.35">
      <c r="A40" s="547" t="s">
        <v>173</v>
      </c>
      <c r="B40" s="546" t="str">
        <f>'Water '!L7</f>
        <v>0</v>
      </c>
      <c r="C40" s="546" t="str">
        <f>'Water '!L8</f>
        <v>0</v>
      </c>
      <c r="D40" s="546" t="str">
        <f>'Water '!L9</f>
        <v>0</v>
      </c>
      <c r="E40" s="546" t="str">
        <f>'Water '!L10</f>
        <v>0</v>
      </c>
      <c r="F40" s="546" t="str">
        <f>'Water '!L11</f>
        <v>0</v>
      </c>
      <c r="G40" s="546" t="str">
        <f>'Water '!L12</f>
        <v>0</v>
      </c>
      <c r="H40" s="546" t="str">
        <f>'Water '!L13</f>
        <v>0</v>
      </c>
      <c r="I40" s="546" t="str">
        <f>'Water '!L14</f>
        <v>0</v>
      </c>
      <c r="J40" s="546" t="str">
        <f>'Water '!L15</f>
        <v>0</v>
      </c>
      <c r="K40" s="546" t="str">
        <f>'Water '!L16</f>
        <v>0</v>
      </c>
      <c r="L40" s="546" t="str">
        <f>'Water '!L17</f>
        <v>0</v>
      </c>
      <c r="M40" s="546" t="str">
        <f>'Water '!L18</f>
        <v>0</v>
      </c>
      <c r="N40" s="546" t="str">
        <f>'Water '!L19</f>
        <v>0</v>
      </c>
      <c r="O40" s="546" t="str">
        <f>'Water '!L20</f>
        <v>0</v>
      </c>
      <c r="P40" s="546" t="str">
        <f>'Water '!L21</f>
        <v>0</v>
      </c>
      <c r="Q40" s="546" t="str">
        <f>'Water '!L22</f>
        <v>0</v>
      </c>
      <c r="R40" s="546" t="str">
        <f>'Water '!L23</f>
        <v>0</v>
      </c>
      <c r="S40" s="546" t="str">
        <f>'Water '!L24</f>
        <v>0</v>
      </c>
      <c r="T40" s="546" t="str">
        <f>'Water '!L25</f>
        <v>0</v>
      </c>
      <c r="U40" s="546" t="str">
        <f>'Water '!L26</f>
        <v>0</v>
      </c>
      <c r="V40" s="546" t="str">
        <f>'Water '!L27</f>
        <v>0</v>
      </c>
      <c r="W40" s="546" t="str">
        <f>'Water '!L28</f>
        <v>0</v>
      </c>
      <c r="X40" s="546" t="str">
        <f>'Water '!L29</f>
        <v>0</v>
      </c>
      <c r="Y40" s="546" t="str">
        <f>'Water '!L30</f>
        <v>0</v>
      </c>
      <c r="Z40" s="546" t="str">
        <f>'Water '!L31</f>
        <v>0</v>
      </c>
      <c r="AA40" s="546" t="str">
        <f>'Water '!L32</f>
        <v>0</v>
      </c>
      <c r="AB40" s="546" t="str">
        <f>'Water '!L33</f>
        <v>0</v>
      </c>
      <c r="AC40" s="546" t="str">
        <f>'Water '!L34</f>
        <v>0</v>
      </c>
      <c r="AD40" s="546" t="str">
        <f>'Water '!L35</f>
        <v>0</v>
      </c>
      <c r="AE40" s="546" t="str">
        <f>'Water '!L36</f>
        <v>0</v>
      </c>
      <c r="AF40" s="546" t="str">
        <f>'Water '!L37</f>
        <v>0</v>
      </c>
      <c r="AG40" s="546"/>
      <c r="AH40" s="522">
        <f>SUM($B40:AF40)</f>
        <v>0</v>
      </c>
      <c r="AI40" s="522"/>
      <c r="AJ40" s="522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475"/>
      <c r="BI40" s="475"/>
      <c r="BJ40" s="475"/>
      <c r="BK40" s="475"/>
      <c r="BL40" s="475"/>
      <c r="BM40" s="475"/>
      <c r="BN40" s="475"/>
      <c r="BO40" s="475"/>
      <c r="BP40" s="475"/>
      <c r="BQ40" s="475"/>
      <c r="BR40" s="475"/>
      <c r="BS40" s="475"/>
      <c r="BT40" s="475"/>
      <c r="BU40" s="475"/>
      <c r="BV40" s="475"/>
      <c r="BW40" s="475"/>
      <c r="BX40" s="475"/>
      <c r="BY40" s="475"/>
      <c r="BZ40" s="475"/>
      <c r="CA40" s="475"/>
      <c r="CB40" s="475"/>
      <c r="CC40" s="475"/>
      <c r="CD40" s="475"/>
      <c r="CE40" s="475"/>
      <c r="CF40" s="475"/>
      <c r="CG40" s="475"/>
      <c r="CH40" s="475"/>
      <c r="CI40" s="475"/>
      <c r="CJ40" s="475"/>
      <c r="CK40" s="475"/>
      <c r="CL40" s="475"/>
      <c r="CM40" s="475"/>
      <c r="CN40" s="475"/>
      <c r="CO40" s="475"/>
      <c r="CP40" s="475"/>
      <c r="CQ40" s="475"/>
      <c r="CR40" s="475"/>
      <c r="CS40" s="475"/>
      <c r="CT40" s="475"/>
      <c r="CU40" s="475"/>
      <c r="CV40" s="475"/>
      <c r="CW40" s="475"/>
      <c r="CX40" s="475"/>
      <c r="CY40" s="475"/>
      <c r="CZ40" s="475"/>
      <c r="DA40" s="475"/>
      <c r="DB40" s="475"/>
      <c r="DC40" s="475"/>
      <c r="DD40" s="475"/>
      <c r="DE40" s="475"/>
      <c r="DF40" s="475"/>
      <c r="DG40" s="475"/>
      <c r="DH40" s="475"/>
      <c r="DI40" s="475"/>
      <c r="DJ40" s="475"/>
      <c r="DK40" s="475"/>
      <c r="DL40" s="475"/>
      <c r="DM40" s="475"/>
      <c r="DN40" s="475"/>
      <c r="DO40" s="475"/>
      <c r="DP40" s="475"/>
      <c r="DQ40" s="475"/>
      <c r="DR40" s="475"/>
      <c r="DS40" s="475"/>
      <c r="DT40" s="475"/>
      <c r="DU40" s="475"/>
      <c r="DV40" s="475"/>
      <c r="DW40" s="475"/>
      <c r="DX40" s="475"/>
      <c r="DY40" s="475"/>
      <c r="DZ40" s="475"/>
      <c r="EA40" s="475"/>
      <c r="EB40" s="475"/>
      <c r="EC40" s="475"/>
      <c r="ED40" s="475"/>
      <c r="EE40" s="475"/>
      <c r="EF40" s="475"/>
      <c r="EG40" s="475"/>
      <c r="EH40" s="475"/>
      <c r="EI40" s="475"/>
      <c r="EJ40" s="475"/>
      <c r="EK40" s="475"/>
      <c r="EL40" s="475"/>
      <c r="EM40" s="475"/>
      <c r="EN40" s="475"/>
      <c r="EO40" s="475"/>
      <c r="EP40" s="475"/>
      <c r="EQ40" s="475"/>
      <c r="ER40" s="475"/>
      <c r="ES40" s="475"/>
    </row>
    <row r="41" spans="1:149" s="512" customFormat="1" x14ac:dyDescent="0.35">
      <c r="A41" s="547" t="s">
        <v>99</v>
      </c>
      <c r="B41" s="548">
        <f>+'Water '!$N7</f>
        <v>68</v>
      </c>
      <c r="C41" s="548">
        <f>+'Water '!$N8</f>
        <v>23</v>
      </c>
      <c r="D41" s="548" t="str">
        <f>+'Water '!$N9</f>
        <v>0</v>
      </c>
      <c r="E41" s="548" t="str">
        <f>+'Water '!$N10</f>
        <v>0</v>
      </c>
      <c r="F41" s="548" t="str">
        <f>+'Water '!$N11</f>
        <v>0</v>
      </c>
      <c r="G41" s="548" t="str">
        <f>+'Water '!$N12</f>
        <v>0</v>
      </c>
      <c r="H41" s="548">
        <f>+'Water '!$N13</f>
        <v>42</v>
      </c>
      <c r="I41" s="548">
        <f>+'Water '!$N14</f>
        <v>48</v>
      </c>
      <c r="J41" s="548">
        <f>+'Water '!$N15</f>
        <v>31</v>
      </c>
      <c r="K41" s="548">
        <f>+'Water '!$N16</f>
        <v>30</v>
      </c>
      <c r="L41" s="548" t="str">
        <f>+'Water '!$N17</f>
        <v>0</v>
      </c>
      <c r="M41" s="674" t="str">
        <f>+'Water '!$N18</f>
        <v>0</v>
      </c>
      <c r="N41" s="548">
        <f>+'Water '!$N19</f>
        <v>72</v>
      </c>
      <c r="O41" s="548">
        <f>+'Water '!$N20</f>
        <v>65</v>
      </c>
      <c r="P41" s="548">
        <f>+'Water '!$N21</f>
        <v>79</v>
      </c>
      <c r="Q41" s="548">
        <f>+'Water '!$N22</f>
        <v>20</v>
      </c>
      <c r="R41" s="548">
        <f>+'Water '!$N23</f>
        <v>16</v>
      </c>
      <c r="S41" s="548" t="str">
        <f>+'Water '!$N24</f>
        <v>0</v>
      </c>
      <c r="T41" s="548">
        <f>+'Water '!$N25</f>
        <v>5</v>
      </c>
      <c r="U41" s="548">
        <f>+'Water '!$N26</f>
        <v>64</v>
      </c>
      <c r="V41" s="548">
        <f>+'Water '!$N27</f>
        <v>30</v>
      </c>
      <c r="W41" s="548">
        <f>+'Water '!$N28</f>
        <v>45</v>
      </c>
      <c r="X41" s="548">
        <f>+'Water '!$N29</f>
        <v>35</v>
      </c>
      <c r="Y41" s="548">
        <f>+'Water '!$N30</f>
        <v>39</v>
      </c>
      <c r="Z41" s="548">
        <f>+'Water '!$N31</f>
        <v>23</v>
      </c>
      <c r="AA41" s="548">
        <f>+'Water '!$N32</f>
        <v>12</v>
      </c>
      <c r="AB41" s="548">
        <f>+'Water '!$N33</f>
        <v>32</v>
      </c>
      <c r="AC41" s="548">
        <f>+'Water '!$N34</f>
        <v>30</v>
      </c>
      <c r="AD41" s="548">
        <f>+'Water '!$N35</f>
        <v>50</v>
      </c>
      <c r="AE41" s="548">
        <f>+'Water '!$N36</f>
        <v>26</v>
      </c>
      <c r="AF41" s="548" t="str">
        <f>+'Water '!$N37</f>
        <v>0</v>
      </c>
      <c r="AG41" s="548"/>
      <c r="AH41" s="522">
        <f>SUM($B41:AF41)</f>
        <v>885</v>
      </c>
      <c r="AI41" s="522"/>
      <c r="AJ41" s="52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475"/>
      <c r="BI41" s="475"/>
      <c r="BJ41" s="475"/>
      <c r="BK41" s="475"/>
      <c r="BL41" s="475"/>
      <c r="BM41" s="475"/>
      <c r="BN41" s="475"/>
      <c r="BO41" s="475"/>
      <c r="BP41" s="475"/>
      <c r="BQ41" s="475"/>
      <c r="BR41" s="475"/>
      <c r="BS41" s="475"/>
      <c r="BT41" s="475"/>
      <c r="BU41" s="475"/>
      <c r="BV41" s="475"/>
      <c r="BW41" s="475"/>
      <c r="BX41" s="475"/>
      <c r="BY41" s="475"/>
      <c r="BZ41" s="475"/>
      <c r="CA41" s="475"/>
      <c r="CB41" s="475"/>
      <c r="CC41" s="475"/>
      <c r="CD41" s="475"/>
      <c r="CE41" s="475"/>
      <c r="CF41" s="475"/>
      <c r="CG41" s="475"/>
      <c r="CH41" s="475"/>
      <c r="CI41" s="475"/>
      <c r="CJ41" s="475"/>
      <c r="CK41" s="475"/>
      <c r="CL41" s="475"/>
      <c r="CM41" s="475"/>
      <c r="CN41" s="475"/>
      <c r="CO41" s="475"/>
      <c r="CP41" s="475"/>
      <c r="CQ41" s="475"/>
      <c r="CR41" s="475"/>
      <c r="CS41" s="475"/>
      <c r="CT41" s="475"/>
      <c r="CU41" s="475"/>
      <c r="CV41" s="475"/>
      <c r="CW41" s="475"/>
      <c r="CX41" s="475"/>
      <c r="CY41" s="475"/>
      <c r="CZ41" s="475"/>
      <c r="DA41" s="475"/>
      <c r="DB41" s="475"/>
      <c r="DC41" s="475"/>
      <c r="DD41" s="475"/>
      <c r="DE41" s="475"/>
      <c r="DF41" s="475"/>
      <c r="DG41" s="475"/>
      <c r="DH41" s="475"/>
      <c r="DI41" s="475"/>
      <c r="DJ41" s="475"/>
      <c r="DK41" s="475"/>
      <c r="DL41" s="475"/>
      <c r="DM41" s="475"/>
      <c r="DN41" s="475"/>
      <c r="DO41" s="475"/>
      <c r="DP41" s="475"/>
      <c r="DQ41" s="475"/>
      <c r="DR41" s="475"/>
      <c r="DS41" s="475"/>
      <c r="DT41" s="475"/>
      <c r="DU41" s="475"/>
      <c r="DV41" s="475"/>
      <c r="DW41" s="475"/>
      <c r="DX41" s="475"/>
      <c r="DY41" s="475"/>
      <c r="DZ41" s="475"/>
      <c r="EA41" s="475"/>
      <c r="EB41" s="475"/>
      <c r="EC41" s="475"/>
      <c r="ED41" s="475"/>
      <c r="EE41" s="475"/>
      <c r="EF41" s="475"/>
      <c r="EG41" s="475"/>
      <c r="EH41" s="475"/>
      <c r="EI41" s="475"/>
      <c r="EJ41" s="475"/>
      <c r="EK41" s="475"/>
      <c r="EL41" s="475"/>
      <c r="EM41" s="475"/>
      <c r="EN41" s="475"/>
      <c r="EO41" s="475"/>
      <c r="EP41" s="475"/>
      <c r="EQ41" s="475"/>
      <c r="ER41" s="475"/>
      <c r="ES41" s="475"/>
    </row>
    <row r="42" spans="1:149" s="512" customFormat="1" x14ac:dyDescent="0.35">
      <c r="A42" s="530" t="s">
        <v>128</v>
      </c>
      <c r="B42" s="516">
        <f>+'Water '!$O7</f>
        <v>60</v>
      </c>
      <c r="C42" s="516">
        <f>+'Water '!$O8</f>
        <v>57</v>
      </c>
      <c r="D42" s="516" t="str">
        <f>+'Water '!$O9</f>
        <v>0</v>
      </c>
      <c r="E42" s="516">
        <f>+'Water '!$O10</f>
        <v>34</v>
      </c>
      <c r="F42" s="516" t="str">
        <f>+'Water '!$O11</f>
        <v>0</v>
      </c>
      <c r="G42" s="516" t="str">
        <f>+'Water '!$O12</f>
        <v>0</v>
      </c>
      <c r="H42" s="516">
        <f>+'Water '!$O13</f>
        <v>38</v>
      </c>
      <c r="I42" s="516">
        <f>+'Water '!$O14</f>
        <v>120</v>
      </c>
      <c r="J42" s="516">
        <f>+'Water '!$O15</f>
        <v>136</v>
      </c>
      <c r="K42" s="516">
        <f>+'Water '!$O16</f>
        <v>79</v>
      </c>
      <c r="L42" s="516">
        <f>+'Water '!$O17</f>
        <v>26</v>
      </c>
      <c r="M42" s="516" t="str">
        <f>+'Water '!$O18</f>
        <v>0</v>
      </c>
      <c r="N42" s="516">
        <f>+'Water '!$O19</f>
        <v>103</v>
      </c>
      <c r="O42" s="516">
        <f>+'Water '!$O20</f>
        <v>94</v>
      </c>
      <c r="P42" s="516">
        <f>+'Water '!$O21</f>
        <v>133</v>
      </c>
      <c r="Q42" s="516">
        <f>+'Water '!$O22</f>
        <v>113</v>
      </c>
      <c r="R42" s="516">
        <f>+'Water '!$O23</f>
        <v>82</v>
      </c>
      <c r="S42" s="516">
        <f>+'Water '!$O24</f>
        <v>4</v>
      </c>
      <c r="T42" s="516">
        <f>+'Water '!$O25</f>
        <v>33</v>
      </c>
      <c r="U42" s="516">
        <f>+'Water '!$O26</f>
        <v>70</v>
      </c>
      <c r="V42" s="516">
        <f>+'Water '!$O27</f>
        <v>109</v>
      </c>
      <c r="W42" s="516">
        <f>+'Water '!$O28</f>
        <v>126</v>
      </c>
      <c r="X42" s="516">
        <f>+'Water '!$O29</f>
        <v>84</v>
      </c>
      <c r="Y42" s="516">
        <f>+'Water '!$O30</f>
        <v>36</v>
      </c>
      <c r="Z42" s="516">
        <f>+'Water '!$O31</f>
        <v>24</v>
      </c>
      <c r="AA42" s="516">
        <f>+'Water '!$O32</f>
        <v>25</v>
      </c>
      <c r="AB42" s="516">
        <f>+'Water '!$O33</f>
        <v>108</v>
      </c>
      <c r="AC42" s="516">
        <f>+'Water '!$O34</f>
        <v>97</v>
      </c>
      <c r="AD42" s="516">
        <f>+'Water '!$O35</f>
        <v>115</v>
      </c>
      <c r="AE42" s="516">
        <f>+'Water '!$O36</f>
        <v>91</v>
      </c>
      <c r="AF42" s="516" t="str">
        <f>+'Water '!$O37</f>
        <v>0</v>
      </c>
      <c r="AG42" s="516"/>
      <c r="AH42" s="549">
        <f>SUM($B42:AF42)</f>
        <v>1997</v>
      </c>
      <c r="AI42" s="516"/>
      <c r="AJ42" s="516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475"/>
      <c r="BI42" s="475"/>
      <c r="BJ42" s="475"/>
      <c r="BK42" s="475"/>
      <c r="BL42" s="475"/>
      <c r="BM42" s="475"/>
      <c r="BN42" s="475"/>
      <c r="BO42" s="475"/>
      <c r="BP42" s="475"/>
      <c r="BQ42" s="475"/>
      <c r="BR42" s="475"/>
      <c r="BS42" s="475"/>
      <c r="BT42" s="475"/>
      <c r="BU42" s="475"/>
      <c r="BV42" s="475"/>
      <c r="BW42" s="475"/>
      <c r="BX42" s="475"/>
      <c r="BY42" s="475"/>
      <c r="BZ42" s="475"/>
      <c r="CA42" s="475"/>
      <c r="CB42" s="475"/>
      <c r="CC42" s="475"/>
      <c r="CD42" s="475"/>
      <c r="CE42" s="475"/>
      <c r="CF42" s="475"/>
      <c r="CG42" s="475"/>
      <c r="CH42" s="475"/>
      <c r="CI42" s="475"/>
      <c r="CJ42" s="475"/>
      <c r="CK42" s="475"/>
      <c r="CL42" s="475"/>
      <c r="CM42" s="475"/>
      <c r="CN42" s="475"/>
      <c r="CO42" s="475"/>
      <c r="CP42" s="475"/>
      <c r="CQ42" s="475"/>
      <c r="CR42" s="475"/>
      <c r="CS42" s="475"/>
      <c r="CT42" s="475"/>
      <c r="CU42" s="475"/>
      <c r="CV42" s="475"/>
      <c r="CW42" s="475"/>
      <c r="CX42" s="475"/>
      <c r="CY42" s="475"/>
      <c r="CZ42" s="475"/>
      <c r="DA42" s="475"/>
      <c r="DB42" s="475"/>
      <c r="DC42" s="475"/>
      <c r="DD42" s="475"/>
      <c r="DE42" s="475"/>
      <c r="DF42" s="475"/>
      <c r="DG42" s="475"/>
      <c r="DH42" s="475"/>
      <c r="DI42" s="475"/>
      <c r="DJ42" s="475"/>
      <c r="DK42" s="475"/>
      <c r="DL42" s="475"/>
      <c r="DM42" s="475"/>
      <c r="DN42" s="475"/>
      <c r="DO42" s="475"/>
      <c r="DP42" s="475"/>
      <c r="DQ42" s="475"/>
      <c r="DR42" s="475"/>
      <c r="DS42" s="475"/>
      <c r="DT42" s="475"/>
      <c r="DU42" s="475"/>
      <c r="DV42" s="475"/>
      <c r="DW42" s="475"/>
      <c r="DX42" s="475"/>
      <c r="DY42" s="475"/>
      <c r="DZ42" s="475"/>
      <c r="EA42" s="475"/>
      <c r="EB42" s="475"/>
      <c r="EC42" s="475"/>
      <c r="ED42" s="475"/>
      <c r="EE42" s="475"/>
      <c r="EF42" s="475"/>
      <c r="EG42" s="475"/>
      <c r="EH42" s="475"/>
      <c r="EI42" s="475"/>
      <c r="EJ42" s="475"/>
      <c r="EK42" s="475"/>
      <c r="EL42" s="475"/>
      <c r="EM42" s="475"/>
      <c r="EN42" s="475"/>
      <c r="EO42" s="475"/>
      <c r="EP42" s="475"/>
      <c r="EQ42" s="475"/>
      <c r="ER42" s="475"/>
      <c r="ES42" s="475"/>
    </row>
    <row r="43" spans="1:149" s="512" customFormat="1" x14ac:dyDescent="0.35">
      <c r="A43" s="547" t="s">
        <v>169</v>
      </c>
      <c r="B43" s="550" cm="1">
        <f t="array" ref="B43:AF43">TRANSPOSE('Water '!P7:P37)</f>
        <v>13</v>
      </c>
      <c r="C43" s="550">
        <v>21</v>
      </c>
      <c r="D43" s="550" t="str">
        <v>0</v>
      </c>
      <c r="E43" s="550" t="str">
        <v>0</v>
      </c>
      <c r="F43" s="551" t="str">
        <v>0</v>
      </c>
      <c r="G43" s="551" t="str">
        <v>0</v>
      </c>
      <c r="H43" s="551">
        <v>17</v>
      </c>
      <c r="I43" s="551">
        <v>32</v>
      </c>
      <c r="J43" s="551">
        <v>33</v>
      </c>
      <c r="K43" s="551">
        <v>25</v>
      </c>
      <c r="L43" s="551" t="str">
        <v>0</v>
      </c>
      <c r="M43" s="551" t="str">
        <v>0</v>
      </c>
      <c r="N43" s="551">
        <v>28</v>
      </c>
      <c r="O43" s="551">
        <v>29</v>
      </c>
      <c r="P43" s="551">
        <v>34</v>
      </c>
      <c r="Q43" s="551">
        <v>31</v>
      </c>
      <c r="R43" s="551">
        <v>22</v>
      </c>
      <c r="S43" s="551" t="str">
        <v>0</v>
      </c>
      <c r="T43" s="551" t="str">
        <v>0</v>
      </c>
      <c r="U43" s="551">
        <v>26</v>
      </c>
      <c r="V43" s="551">
        <v>32</v>
      </c>
      <c r="W43" s="551">
        <v>33</v>
      </c>
      <c r="X43" s="551">
        <v>28</v>
      </c>
      <c r="Y43" s="551">
        <v>16</v>
      </c>
      <c r="Z43" s="551">
        <v>3</v>
      </c>
      <c r="AA43" s="551" t="str">
        <v>0</v>
      </c>
      <c r="AB43" s="551">
        <v>28</v>
      </c>
      <c r="AC43" s="551">
        <v>25</v>
      </c>
      <c r="AD43" s="551">
        <v>32</v>
      </c>
      <c r="AE43" s="551">
        <v>28</v>
      </c>
      <c r="AF43" s="551" t="str">
        <v>0</v>
      </c>
      <c r="AG43" s="551"/>
      <c r="AH43" s="552">
        <f>SUM($B43:AF43)</f>
        <v>536</v>
      </c>
      <c r="AI43" s="553"/>
      <c r="AJ43" s="482"/>
      <c r="AK43" s="292"/>
      <c r="AL43" s="493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  <c r="BS43" s="475"/>
      <c r="BT43" s="475"/>
      <c r="BU43" s="475"/>
      <c r="BV43" s="475"/>
      <c r="BW43" s="475"/>
      <c r="BX43" s="475"/>
      <c r="BY43" s="475"/>
      <c r="BZ43" s="475"/>
      <c r="CA43" s="475"/>
      <c r="CB43" s="475"/>
      <c r="CC43" s="475"/>
      <c r="CD43" s="475"/>
      <c r="CE43" s="475"/>
      <c r="CF43" s="475"/>
      <c r="CG43" s="475"/>
      <c r="CH43" s="475"/>
      <c r="CI43" s="475"/>
      <c r="CJ43" s="475"/>
      <c r="CK43" s="475"/>
      <c r="CL43" s="475"/>
      <c r="CM43" s="475"/>
      <c r="CN43" s="475"/>
      <c r="CO43" s="475"/>
      <c r="CP43" s="475"/>
      <c r="CQ43" s="475"/>
      <c r="CR43" s="475"/>
      <c r="CS43" s="475"/>
      <c r="CT43" s="475"/>
      <c r="CU43" s="475"/>
      <c r="CV43" s="475"/>
      <c r="CW43" s="475"/>
      <c r="CX43" s="475"/>
      <c r="CY43" s="475"/>
      <c r="CZ43" s="475"/>
      <c r="DA43" s="475"/>
      <c r="DB43" s="475"/>
      <c r="DC43" s="475"/>
      <c r="DD43" s="475"/>
      <c r="DE43" s="475"/>
      <c r="DF43" s="475"/>
      <c r="DG43" s="475"/>
      <c r="DH43" s="475"/>
      <c r="DI43" s="475"/>
      <c r="DJ43" s="475"/>
      <c r="DK43" s="475"/>
      <c r="DL43" s="475"/>
      <c r="DM43" s="475"/>
      <c r="DN43" s="475"/>
      <c r="DO43" s="475"/>
      <c r="DP43" s="475"/>
      <c r="DQ43" s="475"/>
      <c r="DR43" s="475"/>
      <c r="DS43" s="475"/>
      <c r="DT43" s="475"/>
      <c r="DU43" s="475"/>
      <c r="DV43" s="475"/>
      <c r="DW43" s="475"/>
      <c r="DX43" s="475"/>
      <c r="DY43" s="475"/>
      <c r="DZ43" s="475"/>
      <c r="EA43" s="475"/>
      <c r="EB43" s="475"/>
      <c r="EC43" s="475"/>
      <c r="ED43" s="475"/>
      <c r="EE43" s="475"/>
      <c r="EF43" s="475"/>
      <c r="EG43" s="475"/>
      <c r="EH43" s="475"/>
      <c r="EI43" s="475"/>
      <c r="EJ43" s="475"/>
      <c r="EK43" s="475"/>
      <c r="EL43" s="475"/>
      <c r="EM43" s="475"/>
      <c r="EN43" s="475"/>
      <c r="EO43" s="475"/>
      <c r="EP43" s="475"/>
      <c r="EQ43" s="475"/>
      <c r="ER43" s="475"/>
      <c r="ES43" s="475"/>
    </row>
    <row r="44" spans="1:149" s="512" customFormat="1" x14ac:dyDescent="0.35">
      <c r="A44" s="515" t="s">
        <v>127</v>
      </c>
      <c r="B44" s="549">
        <f>+'Water '!$M7</f>
        <v>2</v>
      </c>
      <c r="C44" s="516">
        <f>+'Water '!$M8</f>
        <v>2</v>
      </c>
      <c r="D44" s="516" t="str">
        <f>+'Water '!$M9</f>
        <v>0</v>
      </c>
      <c r="E44" s="516" t="str">
        <f>+'Water '!$M10</f>
        <v>0</v>
      </c>
      <c r="F44" s="516" t="str">
        <f>+'Water '!$M11</f>
        <v>0</v>
      </c>
      <c r="G44" s="516" t="str">
        <f>+'Water '!$M12</f>
        <v>0</v>
      </c>
      <c r="H44" s="675">
        <f>+'Water '!$M13</f>
        <v>3</v>
      </c>
      <c r="I44" s="516">
        <f>+'Water '!$M14</f>
        <v>1</v>
      </c>
      <c r="J44" s="516">
        <f>+'Water '!$M15</f>
        <v>1</v>
      </c>
      <c r="K44" s="516" t="str">
        <f>+'Water '!$M16</f>
        <v>0</v>
      </c>
      <c r="L44" s="516" t="str">
        <f>+'Water '!$M17</f>
        <v>0</v>
      </c>
      <c r="M44" s="516" t="str">
        <f>+'Water '!$M18</f>
        <v>0</v>
      </c>
      <c r="N44" s="516">
        <f>+'Water '!$M19</f>
        <v>2</v>
      </c>
      <c r="O44" s="674" t="str">
        <f>+'Water '!$M20</f>
        <v>0</v>
      </c>
      <c r="P44" s="516" t="str">
        <f>+'Water '!$M21</f>
        <v>0</v>
      </c>
      <c r="Q44" s="516" t="str">
        <f>+'Water '!$M22</f>
        <v>0</v>
      </c>
      <c r="R44" s="516" t="str">
        <f>+'Water '!$M23</f>
        <v>0</v>
      </c>
      <c r="S44" s="516" t="str">
        <f>+'Water '!$M24</f>
        <v>0</v>
      </c>
      <c r="T44" s="516" t="str">
        <f>+'Water '!$M25</f>
        <v>0</v>
      </c>
      <c r="U44" s="516">
        <f>+'Water '!$M26</f>
        <v>6</v>
      </c>
      <c r="V44" s="516" t="str">
        <f>+'Water '!$M27</f>
        <v>0</v>
      </c>
      <c r="W44" s="516" t="str">
        <f>+'Water '!$M28</f>
        <v>0</v>
      </c>
      <c r="X44" s="516">
        <f>+'Water '!$M29</f>
        <v>4</v>
      </c>
      <c r="Y44" s="516" t="str">
        <f>+'Water '!$M30</f>
        <v>0</v>
      </c>
      <c r="Z44" s="516" t="str">
        <f>+'Water '!$M31</f>
        <v>0</v>
      </c>
      <c r="AA44" s="516" t="str">
        <f>+'Water '!$M32</f>
        <v>0</v>
      </c>
      <c r="AB44" s="516">
        <f>+'Water '!$M33</f>
        <v>4</v>
      </c>
      <c r="AC44" s="516">
        <f>+'Water '!$M34</f>
        <v>1</v>
      </c>
      <c r="AD44" s="516" t="str">
        <f>+'Water '!$M35</f>
        <v>0</v>
      </c>
      <c r="AE44" s="516">
        <f>+'Water '!$M36</f>
        <v>2</v>
      </c>
      <c r="AF44" s="516" t="str">
        <f>+'Water '!$M37</f>
        <v>0</v>
      </c>
      <c r="AG44" s="516"/>
      <c r="AH44" s="492">
        <f>SUM($B44:AF44)</f>
        <v>28</v>
      </c>
      <c r="AI44" s="492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475"/>
      <c r="BI44" s="475"/>
      <c r="BJ44" s="475"/>
      <c r="BK44" s="475"/>
      <c r="BL44" s="475"/>
      <c r="BM44" s="475"/>
      <c r="BN44" s="475"/>
      <c r="BO44" s="475"/>
      <c r="BP44" s="475"/>
      <c r="BQ44" s="475"/>
      <c r="BR44" s="475"/>
      <c r="BS44" s="475"/>
      <c r="BT44" s="475"/>
      <c r="BU44" s="475"/>
      <c r="BV44" s="475"/>
      <c r="BW44" s="475"/>
      <c r="BX44" s="475"/>
      <c r="BY44" s="475"/>
      <c r="BZ44" s="475"/>
      <c r="CA44" s="475"/>
      <c r="CB44" s="475"/>
      <c r="CC44" s="475"/>
      <c r="CD44" s="475"/>
      <c r="CE44" s="475"/>
      <c r="CF44" s="475"/>
      <c r="CG44" s="475"/>
      <c r="CH44" s="475"/>
      <c r="CI44" s="475"/>
      <c r="CJ44" s="475"/>
      <c r="CK44" s="475"/>
      <c r="CL44" s="475"/>
      <c r="CM44" s="475"/>
      <c r="CN44" s="475"/>
      <c r="CO44" s="475"/>
      <c r="CP44" s="475"/>
      <c r="CQ44" s="475"/>
      <c r="CR44" s="475"/>
      <c r="CS44" s="475"/>
      <c r="CT44" s="475"/>
      <c r="CU44" s="475"/>
      <c r="CV44" s="475"/>
      <c r="CW44" s="475"/>
      <c r="CX44" s="475"/>
      <c r="CY44" s="475"/>
      <c r="CZ44" s="475"/>
      <c r="DA44" s="475"/>
      <c r="DB44" s="475"/>
      <c r="DC44" s="475"/>
      <c r="DD44" s="475"/>
      <c r="DE44" s="475"/>
      <c r="DF44" s="475"/>
      <c r="DG44" s="475"/>
      <c r="DH44" s="475"/>
      <c r="DI44" s="475"/>
      <c r="DJ44" s="475"/>
      <c r="DK44" s="475"/>
      <c r="DL44" s="475"/>
      <c r="DM44" s="475"/>
      <c r="DN44" s="475"/>
      <c r="DO44" s="475"/>
      <c r="DP44" s="475"/>
      <c r="DQ44" s="475"/>
      <c r="DR44" s="475"/>
      <c r="DS44" s="475"/>
      <c r="DT44" s="475"/>
      <c r="DU44" s="475"/>
      <c r="DV44" s="475"/>
      <c r="DW44" s="475"/>
      <c r="DX44" s="475"/>
      <c r="DY44" s="475"/>
      <c r="DZ44" s="475"/>
      <c r="EA44" s="475"/>
      <c r="EB44" s="475"/>
      <c r="EC44" s="475"/>
      <c r="ED44" s="475"/>
      <c r="EE44" s="475"/>
      <c r="EF44" s="475"/>
      <c r="EG44" s="475"/>
      <c r="EH44" s="475"/>
      <c r="EI44" s="475"/>
      <c r="EJ44" s="475"/>
      <c r="EK44" s="475"/>
      <c r="EL44" s="475"/>
      <c r="EM44" s="475"/>
      <c r="EN44" s="475"/>
      <c r="EO44" s="475"/>
      <c r="EP44" s="475"/>
      <c r="EQ44" s="475"/>
      <c r="ER44" s="475"/>
      <c r="ES44" s="475"/>
    </row>
    <row r="45" spans="1:149" s="512" customFormat="1" ht="35.25" customHeight="1" x14ac:dyDescent="0.35">
      <c r="A45" s="547" t="s">
        <v>129</v>
      </c>
      <c r="B45" s="548">
        <f>+'Water '!$Q7</f>
        <v>13</v>
      </c>
      <c r="C45" s="548">
        <f>+'Water '!$Q8</f>
        <v>4</v>
      </c>
      <c r="D45" s="548">
        <f>+'Water '!$Q9</f>
        <v>17</v>
      </c>
      <c r="E45" s="548">
        <f>+'Water '!$Q10</f>
        <v>2</v>
      </c>
      <c r="F45" s="548" t="str">
        <f>+'Water '!$Q11</f>
        <v>0</v>
      </c>
      <c r="G45" s="548">
        <f>+'Water '!$Q12</f>
        <v>4</v>
      </c>
      <c r="H45" s="548">
        <f>+'Water '!$Q13</f>
        <v>15</v>
      </c>
      <c r="I45" s="548">
        <f>+'Water '!$Q14</f>
        <v>15</v>
      </c>
      <c r="J45" s="548">
        <f>+'Water '!$Q15</f>
        <v>17</v>
      </c>
      <c r="K45" s="548">
        <f>+'Water '!$Q16</f>
        <v>16</v>
      </c>
      <c r="L45" s="548">
        <f>+'Water '!$Q17</f>
        <v>1</v>
      </c>
      <c r="M45" s="548">
        <f>+'Water '!$Q18</f>
        <v>2</v>
      </c>
      <c r="N45" s="548">
        <f>+'Water '!$Q19</f>
        <v>19</v>
      </c>
      <c r="O45" s="548">
        <f>'Water '!$Q20</f>
        <v>18</v>
      </c>
      <c r="P45" s="548">
        <f>'Water '!$Q21</f>
        <v>23</v>
      </c>
      <c r="Q45" s="548">
        <f>+'Water '!$Q22</f>
        <v>12</v>
      </c>
      <c r="R45" s="548">
        <f>'Water '!$Q23</f>
        <v>15</v>
      </c>
      <c r="S45" s="548" t="str">
        <f>+'Water '!$Q24</f>
        <v>0</v>
      </c>
      <c r="T45" s="548">
        <f>+'Water '!$Q25</f>
        <v>12</v>
      </c>
      <c r="U45" s="548">
        <f>+'Water '!$Q26</f>
        <v>16</v>
      </c>
      <c r="V45" s="548">
        <f>+'Water '!$Q27</f>
        <v>26</v>
      </c>
      <c r="W45" s="548">
        <f>+'Water '!$Q28</f>
        <v>27</v>
      </c>
      <c r="X45" s="548">
        <f>+'Water '!$Q29</f>
        <v>27</v>
      </c>
      <c r="Y45" s="548">
        <f>+'Water '!$Q30</f>
        <v>25</v>
      </c>
      <c r="Z45" s="548">
        <f>+'Water '!$Q31</f>
        <v>6</v>
      </c>
      <c r="AA45" s="548">
        <f>+'Water '!$Q32</f>
        <v>5</v>
      </c>
      <c r="AB45" s="548">
        <f>+'Water '!$Q33</f>
        <v>18</v>
      </c>
      <c r="AC45" s="548">
        <f>+'Water '!$Q34</f>
        <v>13</v>
      </c>
      <c r="AD45" s="548">
        <f>+'Water '!$Q35</f>
        <v>17</v>
      </c>
      <c r="AE45" s="548">
        <f>+'Water '!$Q36</f>
        <v>22</v>
      </c>
      <c r="AF45" s="548" t="str">
        <f>+'Water '!$Q37</f>
        <v>0</v>
      </c>
      <c r="AG45" s="548"/>
      <c r="AH45" s="522">
        <f>SUM($B45:AF45)</f>
        <v>407</v>
      </c>
      <c r="AI45" s="522"/>
      <c r="AJ45" s="522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475"/>
      <c r="BI45" s="475"/>
      <c r="BJ45" s="475"/>
      <c r="BK45" s="475"/>
      <c r="BL45" s="475"/>
      <c r="BM45" s="475"/>
      <c r="BN45" s="475"/>
      <c r="BO45" s="475"/>
      <c r="BP45" s="475"/>
      <c r="BQ45" s="475"/>
      <c r="BR45" s="475"/>
      <c r="BS45" s="475"/>
      <c r="BT45" s="475"/>
      <c r="BU45" s="475"/>
      <c r="BV45" s="475"/>
      <c r="BW45" s="475"/>
      <c r="BX45" s="475"/>
      <c r="BY45" s="475"/>
      <c r="BZ45" s="475"/>
      <c r="CA45" s="475"/>
      <c r="CB45" s="475"/>
      <c r="CC45" s="475"/>
      <c r="CD45" s="475"/>
      <c r="CE45" s="475"/>
      <c r="CF45" s="475"/>
      <c r="CG45" s="475"/>
      <c r="CH45" s="475"/>
      <c r="CI45" s="475"/>
      <c r="CJ45" s="475"/>
      <c r="CK45" s="475"/>
      <c r="CL45" s="475"/>
      <c r="CM45" s="475"/>
      <c r="CN45" s="475"/>
      <c r="CO45" s="475"/>
      <c r="CP45" s="475"/>
      <c r="CQ45" s="475"/>
      <c r="CR45" s="475"/>
      <c r="CS45" s="475"/>
      <c r="CT45" s="475"/>
      <c r="CU45" s="475"/>
      <c r="CV45" s="475"/>
      <c r="CW45" s="475"/>
      <c r="CX45" s="475"/>
      <c r="CY45" s="475"/>
      <c r="CZ45" s="475"/>
      <c r="DA45" s="475"/>
      <c r="DB45" s="475"/>
      <c r="DC45" s="475"/>
      <c r="DD45" s="475"/>
      <c r="DE45" s="475"/>
      <c r="DF45" s="475"/>
      <c r="DG45" s="475"/>
      <c r="DH45" s="475"/>
      <c r="DI45" s="475"/>
      <c r="DJ45" s="475"/>
      <c r="DK45" s="475"/>
      <c r="DL45" s="475"/>
      <c r="DM45" s="475"/>
      <c r="DN45" s="475"/>
      <c r="DO45" s="475"/>
      <c r="DP45" s="475"/>
      <c r="DQ45" s="475"/>
      <c r="DR45" s="475"/>
      <c r="DS45" s="475"/>
      <c r="DT45" s="475"/>
      <c r="DU45" s="475"/>
      <c r="DV45" s="475"/>
      <c r="DW45" s="475"/>
      <c r="DX45" s="475"/>
      <c r="DY45" s="475"/>
      <c r="DZ45" s="475"/>
      <c r="EA45" s="475"/>
      <c r="EB45" s="475"/>
      <c r="EC45" s="475"/>
      <c r="ED45" s="475"/>
      <c r="EE45" s="475"/>
      <c r="EF45" s="475"/>
      <c r="EG45" s="475"/>
      <c r="EH45" s="475"/>
      <c r="EI45" s="475"/>
      <c r="EJ45" s="475"/>
      <c r="EK45" s="475"/>
      <c r="EL45" s="475"/>
      <c r="EM45" s="475"/>
      <c r="EN45" s="475"/>
      <c r="EO45" s="475"/>
      <c r="EP45" s="475"/>
      <c r="EQ45" s="475"/>
      <c r="ER45" s="475"/>
      <c r="ES45" s="475"/>
    </row>
    <row r="46" spans="1:149" s="512" customFormat="1" x14ac:dyDescent="0.35">
      <c r="A46" s="530" t="s">
        <v>201</v>
      </c>
      <c r="B46" s="493" t="str">
        <f>'Water '!Y7</f>
        <v>0</v>
      </c>
      <c r="C46" s="493" t="str">
        <f>'Water '!Y8</f>
        <v>0</v>
      </c>
      <c r="D46" s="493" t="str">
        <f>'Water '!Y9</f>
        <v>0</v>
      </c>
      <c r="E46" s="493" t="str">
        <f>'Water '!Y10</f>
        <v>0</v>
      </c>
      <c r="F46" s="493" t="str">
        <f>'Water '!Y11</f>
        <v>0</v>
      </c>
      <c r="G46" s="493" t="str">
        <f>'Water '!Y12</f>
        <v>0</v>
      </c>
      <c r="H46" s="493" t="str">
        <f>'Water '!Y13</f>
        <v>0</v>
      </c>
      <c r="I46" s="493" t="str">
        <f>'Water '!Y14</f>
        <v>0</v>
      </c>
      <c r="J46" s="493" t="str">
        <f>'Water '!Y15</f>
        <v>0</v>
      </c>
      <c r="K46" s="493" t="str">
        <f>'Water '!Y16</f>
        <v>0</v>
      </c>
      <c r="L46" s="493" t="str">
        <f>'Water '!Y17</f>
        <v>0</v>
      </c>
      <c r="M46" s="493" t="str">
        <f>'Water '!Y18</f>
        <v>0</v>
      </c>
      <c r="N46" s="493" t="str">
        <f>'Water '!Y19</f>
        <v>0</v>
      </c>
      <c r="O46" s="493" t="str">
        <f>'Water '!Y20</f>
        <v>0</v>
      </c>
      <c r="P46" s="493" t="str">
        <f>'Water '!Y21</f>
        <v>0</v>
      </c>
      <c r="Q46" s="493" t="str">
        <f>'Water '!Y22</f>
        <v>0</v>
      </c>
      <c r="R46" s="493" t="str">
        <f>'Water '!Y23</f>
        <v>0</v>
      </c>
      <c r="S46" s="493" t="str">
        <f>'Water '!Y24</f>
        <v>0</v>
      </c>
      <c r="T46" s="493" t="str">
        <f>'Water '!Y25</f>
        <v>0</v>
      </c>
      <c r="U46" s="493" t="str">
        <f>'Water '!Y26</f>
        <v>0</v>
      </c>
      <c r="V46" s="493" t="str">
        <f>'Water '!Y27</f>
        <v>0</v>
      </c>
      <c r="W46" s="493" t="str">
        <f>'Water '!Y28</f>
        <v>0</v>
      </c>
      <c r="X46" s="493" t="str">
        <f>'Water '!Y29</f>
        <v>0</v>
      </c>
      <c r="Y46" s="493" t="str">
        <f>'Water '!Y30</f>
        <v>0</v>
      </c>
      <c r="Z46" s="493" t="str">
        <f>'Water '!Y31</f>
        <v>0</v>
      </c>
      <c r="AA46" s="493" t="str">
        <f>'Water '!Y32</f>
        <v>0</v>
      </c>
      <c r="AB46" s="493" t="str">
        <f>'Water '!Y33</f>
        <v>0</v>
      </c>
      <c r="AC46" s="493" t="str">
        <f>'Water '!Y34</f>
        <v>0</v>
      </c>
      <c r="AD46" s="493" t="str">
        <f>'Water '!Y35</f>
        <v>0</v>
      </c>
      <c r="AE46" s="493" t="str">
        <f>'Water '!Y36</f>
        <v>0</v>
      </c>
      <c r="AF46" s="493" t="str">
        <f>'Water '!Y37</f>
        <v>0</v>
      </c>
      <c r="AG46" s="493"/>
      <c r="AH46" s="492">
        <f>SUM($B46:AF46)</f>
        <v>0</v>
      </c>
      <c r="AI46" s="4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475"/>
      <c r="BI46" s="475"/>
      <c r="BJ46" s="475"/>
      <c r="BK46" s="475"/>
      <c r="BL46" s="475"/>
      <c r="BM46" s="475"/>
      <c r="BN46" s="475"/>
      <c r="BO46" s="475"/>
      <c r="BP46" s="475"/>
      <c r="BQ46" s="475"/>
      <c r="BR46" s="475"/>
      <c r="BS46" s="475"/>
      <c r="BT46" s="475"/>
      <c r="BU46" s="475"/>
      <c r="BV46" s="475"/>
      <c r="BW46" s="475"/>
      <c r="BX46" s="475"/>
      <c r="BY46" s="475"/>
      <c r="BZ46" s="475"/>
      <c r="CA46" s="475"/>
      <c r="CB46" s="475"/>
      <c r="CC46" s="475"/>
      <c r="CD46" s="475"/>
      <c r="CE46" s="475"/>
      <c r="CF46" s="475"/>
      <c r="CG46" s="475"/>
      <c r="CH46" s="475"/>
      <c r="CI46" s="475"/>
      <c r="CJ46" s="475"/>
      <c r="CK46" s="475"/>
      <c r="CL46" s="475"/>
      <c r="CM46" s="475"/>
      <c r="CN46" s="475"/>
      <c r="CO46" s="475"/>
      <c r="CP46" s="475"/>
      <c r="CQ46" s="475"/>
      <c r="CR46" s="475"/>
      <c r="CS46" s="475"/>
      <c r="CT46" s="475"/>
      <c r="CU46" s="475"/>
      <c r="CV46" s="475"/>
      <c r="CW46" s="475"/>
      <c r="CX46" s="475"/>
      <c r="CY46" s="475"/>
      <c r="CZ46" s="475"/>
      <c r="DA46" s="475"/>
      <c r="DB46" s="475"/>
      <c r="DC46" s="475"/>
      <c r="DD46" s="475"/>
      <c r="DE46" s="475"/>
      <c r="DF46" s="475"/>
      <c r="DG46" s="475"/>
      <c r="DH46" s="475"/>
      <c r="DI46" s="475"/>
      <c r="DJ46" s="475"/>
      <c r="DK46" s="475"/>
      <c r="DL46" s="475"/>
      <c r="DM46" s="475"/>
      <c r="DN46" s="475"/>
      <c r="DO46" s="475"/>
      <c r="DP46" s="475"/>
      <c r="DQ46" s="475"/>
      <c r="DR46" s="475"/>
      <c r="DS46" s="475"/>
      <c r="DT46" s="475"/>
      <c r="DU46" s="475"/>
      <c r="DV46" s="475"/>
      <c r="DW46" s="475"/>
      <c r="DX46" s="475"/>
      <c r="DY46" s="475"/>
      <c r="DZ46" s="475"/>
      <c r="EA46" s="475"/>
      <c r="EB46" s="475"/>
      <c r="EC46" s="475"/>
      <c r="ED46" s="475"/>
      <c r="EE46" s="475"/>
      <c r="EF46" s="475"/>
      <c r="EG46" s="475"/>
      <c r="EH46" s="475"/>
      <c r="EI46" s="475"/>
      <c r="EJ46" s="475"/>
      <c r="EK46" s="475"/>
      <c r="EL46" s="475"/>
      <c r="EM46" s="475"/>
      <c r="EN46" s="475"/>
      <c r="EO46" s="475"/>
      <c r="EP46" s="475"/>
      <c r="EQ46" s="475"/>
      <c r="ER46" s="475"/>
      <c r="ES46" s="475"/>
    </row>
    <row r="47" spans="1:149" x14ac:dyDescent="0.35">
      <c r="A47" s="530" t="s">
        <v>187</v>
      </c>
      <c r="B47" s="493">
        <f>'Water '!I7</f>
        <v>0</v>
      </c>
      <c r="C47" s="493">
        <f>'Water '!I8</f>
        <v>0</v>
      </c>
      <c r="D47" s="493">
        <f>'Water '!I9</f>
        <v>0</v>
      </c>
      <c r="E47" s="493">
        <f>'Water '!I10</f>
        <v>0</v>
      </c>
      <c r="F47" s="493">
        <f>'Water '!I11</f>
        <v>0</v>
      </c>
      <c r="G47" s="493">
        <f>'Water '!I12</f>
        <v>0</v>
      </c>
      <c r="H47" s="493">
        <f>'Water '!I13</f>
        <v>0</v>
      </c>
      <c r="I47" s="493">
        <f>'Water '!I14</f>
        <v>0</v>
      </c>
      <c r="J47" s="493">
        <f>'Water '!I15</f>
        <v>0</v>
      </c>
      <c r="K47" s="493">
        <f>'Water '!I16</f>
        <v>0</v>
      </c>
      <c r="L47" s="493">
        <f>'Water '!I17</f>
        <v>0</v>
      </c>
      <c r="M47" s="493">
        <f>'Water '!I18</f>
        <v>0</v>
      </c>
      <c r="N47" s="493">
        <f>'Water '!I19</f>
        <v>0</v>
      </c>
      <c r="O47" s="493">
        <f>'Water '!I20</f>
        <v>0</v>
      </c>
      <c r="P47" s="493">
        <f>'Water '!I21</f>
        <v>0</v>
      </c>
      <c r="Q47" s="493">
        <f>'Water '!I22</f>
        <v>0</v>
      </c>
      <c r="R47" s="493">
        <f>'Water '!I23</f>
        <v>0</v>
      </c>
      <c r="S47" s="493">
        <f>'Water '!I24</f>
        <v>0</v>
      </c>
      <c r="T47" s="493">
        <f>'Water '!I25</f>
        <v>0</v>
      </c>
      <c r="U47" s="493">
        <f>'Water '!I26</f>
        <v>0</v>
      </c>
      <c r="V47" s="493">
        <f>'Water '!I27</f>
        <v>0</v>
      </c>
      <c r="W47" s="493">
        <f>'Water '!I28</f>
        <v>0</v>
      </c>
      <c r="X47" s="493">
        <f>'Water '!I29</f>
        <v>0</v>
      </c>
      <c r="Y47" s="493">
        <f>'Water '!I30</f>
        <v>0</v>
      </c>
      <c r="Z47" s="493">
        <f>'Water '!I31</f>
        <v>0</v>
      </c>
      <c r="AA47" s="493">
        <f>'Water '!I32</f>
        <v>0</v>
      </c>
      <c r="AB47" s="493">
        <f>'Water '!I33</f>
        <v>0</v>
      </c>
      <c r="AC47" s="493">
        <f>'Water '!I34</f>
        <v>0</v>
      </c>
      <c r="AD47" s="493">
        <f>'Water '!I35</f>
        <v>0</v>
      </c>
      <c r="AE47" s="493">
        <f>'Water '!I36</f>
        <v>0</v>
      </c>
      <c r="AF47" s="493">
        <f>'Water '!I37</f>
        <v>0</v>
      </c>
      <c r="AG47" s="493"/>
      <c r="AH47" s="492">
        <f>SUM($B47:AF47)</f>
        <v>0</v>
      </c>
      <c r="AI47" s="492"/>
    </row>
    <row r="48" spans="1:149" ht="24" customHeight="1" x14ac:dyDescent="0.35">
      <c r="A48" s="530" t="s">
        <v>200</v>
      </c>
      <c r="B48" s="493"/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3"/>
      <c r="S48" s="493"/>
      <c r="T48" s="493"/>
      <c r="U48" s="493"/>
      <c r="V48" s="493"/>
      <c r="W48" s="493"/>
      <c r="X48" s="493"/>
      <c r="Y48" s="493"/>
      <c r="Z48" s="493"/>
      <c r="AA48" s="493"/>
      <c r="AB48" s="493"/>
      <c r="AC48" s="493"/>
      <c r="AD48" s="493"/>
      <c r="AE48" s="493"/>
      <c r="AF48" s="493"/>
      <c r="AG48" s="493"/>
      <c r="AH48" s="492"/>
      <c r="AI48" s="492"/>
    </row>
    <row r="49" spans="1:59" x14ac:dyDescent="0.35">
      <c r="A49" s="530" t="s">
        <v>166</v>
      </c>
      <c r="B49" s="516"/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  <c r="P49" s="516"/>
      <c r="Q49" s="516"/>
      <c r="R49" s="516"/>
      <c r="S49" s="516"/>
      <c r="T49" s="516"/>
      <c r="U49" s="516"/>
      <c r="V49" s="516"/>
      <c r="W49" s="516"/>
      <c r="X49" s="516"/>
      <c r="Y49" s="516"/>
      <c r="Z49" s="516"/>
      <c r="AA49" s="516"/>
      <c r="AB49" s="516"/>
      <c r="AC49" s="516"/>
      <c r="AD49" s="516"/>
      <c r="AE49" s="516"/>
      <c r="AF49" s="516"/>
      <c r="AG49" s="516"/>
      <c r="AH49" s="492">
        <f>SUM($B49:AF49)</f>
        <v>0</v>
      </c>
      <c r="AI49" s="492"/>
      <c r="AJ49" s="492"/>
    </row>
    <row r="50" spans="1:59" ht="30" x14ac:dyDescent="0.4">
      <c r="A50" s="479" t="s">
        <v>222</v>
      </c>
      <c r="B50" s="492">
        <f>SUM(B36:B48)</f>
        <v>252</v>
      </c>
      <c r="C50" s="492">
        <f t="shared" ref="C50:AE50" si="10">SUM(C36:C48)</f>
        <v>183</v>
      </c>
      <c r="D50" s="492">
        <f t="shared" si="10"/>
        <v>17</v>
      </c>
      <c r="E50" s="492">
        <f t="shared" si="10"/>
        <v>36</v>
      </c>
      <c r="F50" s="492">
        <f t="shared" si="10"/>
        <v>0</v>
      </c>
      <c r="G50" s="492">
        <f>SUM(G36:G48)</f>
        <v>4</v>
      </c>
      <c r="H50" s="492">
        <f t="shared" si="10"/>
        <v>255</v>
      </c>
      <c r="I50" s="492">
        <f t="shared" si="10"/>
        <v>269</v>
      </c>
      <c r="J50" s="492">
        <f t="shared" si="10"/>
        <v>385</v>
      </c>
      <c r="K50" s="492">
        <f t="shared" si="10"/>
        <v>262</v>
      </c>
      <c r="L50" s="492">
        <f t="shared" si="10"/>
        <v>27</v>
      </c>
      <c r="M50" s="492">
        <f t="shared" si="10"/>
        <v>2</v>
      </c>
      <c r="N50" s="492">
        <f t="shared" si="10"/>
        <v>382</v>
      </c>
      <c r="O50" s="492">
        <f t="shared" si="10"/>
        <v>363</v>
      </c>
      <c r="P50" s="492">
        <f t="shared" si="10"/>
        <v>446</v>
      </c>
      <c r="Q50" s="492">
        <f>SUM(Q36:Q48)</f>
        <v>337</v>
      </c>
      <c r="R50" s="492">
        <f t="shared" si="10"/>
        <v>192</v>
      </c>
      <c r="S50" s="492">
        <f>SUM(S36:S48)</f>
        <v>4</v>
      </c>
      <c r="T50" s="492">
        <f t="shared" si="10"/>
        <v>51</v>
      </c>
      <c r="U50" s="492">
        <f t="shared" si="10"/>
        <v>312</v>
      </c>
      <c r="V50" s="492">
        <f t="shared" si="10"/>
        <v>383</v>
      </c>
      <c r="W50" s="492">
        <f t="shared" si="10"/>
        <v>321</v>
      </c>
      <c r="X50" s="492">
        <f t="shared" si="10"/>
        <v>325</v>
      </c>
      <c r="Y50" s="492">
        <f t="shared" si="10"/>
        <v>256</v>
      </c>
      <c r="Z50" s="492">
        <f t="shared" si="10"/>
        <v>179</v>
      </c>
      <c r="AA50" s="492">
        <f t="shared" si="10"/>
        <v>123</v>
      </c>
      <c r="AB50" s="492">
        <f t="shared" si="10"/>
        <v>386</v>
      </c>
      <c r="AC50" s="492">
        <f t="shared" si="10"/>
        <v>327</v>
      </c>
      <c r="AD50" s="492">
        <f>SUM(AD36:AD48)</f>
        <v>348</v>
      </c>
      <c r="AE50" s="492">
        <f t="shared" si="10"/>
        <v>174</v>
      </c>
      <c r="AF50" s="492">
        <f>SUM(AF36:AF48)</f>
        <v>0</v>
      </c>
      <c r="AG50" s="492"/>
      <c r="AH50" s="492">
        <f>SUM($B50:AF50)</f>
        <v>6601</v>
      </c>
      <c r="AI50" s="492"/>
    </row>
    <row r="51" spans="1:59" x14ac:dyDescent="0.35">
      <c r="A51" s="539"/>
      <c r="B51" s="492"/>
      <c r="C51" s="492"/>
      <c r="D51" s="492"/>
      <c r="E51" s="492"/>
      <c r="F51" s="492"/>
      <c r="G51" s="492"/>
      <c r="H51" s="492"/>
      <c r="I51" s="492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Y51" s="528"/>
      <c r="Z51" s="528"/>
      <c r="AA51" s="528"/>
      <c r="AB51" s="528"/>
      <c r="AC51" s="528"/>
      <c r="AD51" s="528"/>
      <c r="AE51" s="528"/>
      <c r="AH51" s="492"/>
      <c r="AI51" s="492"/>
    </row>
    <row r="52" spans="1:59" x14ac:dyDescent="0.35">
      <c r="A52" s="539"/>
      <c r="B52" s="492"/>
      <c r="C52" s="492"/>
      <c r="D52" s="492"/>
      <c r="E52" s="492"/>
      <c r="F52" s="492"/>
      <c r="G52" s="492"/>
      <c r="H52" s="492"/>
      <c r="I52" s="492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Y52" s="528"/>
      <c r="Z52" s="528"/>
      <c r="AA52" s="528"/>
      <c r="AB52" s="528"/>
      <c r="AC52" s="528"/>
      <c r="AD52" s="528"/>
      <c r="AE52" s="528"/>
      <c r="AH52" s="492"/>
      <c r="AI52" s="492"/>
    </row>
    <row r="53" spans="1:59" x14ac:dyDescent="0.35">
      <c r="A53" s="527" t="s">
        <v>140</v>
      </c>
      <c r="M53" s="477"/>
      <c r="O53" s="477" t="s">
        <v>58</v>
      </c>
      <c r="AH53" s="293" t="s">
        <v>85</v>
      </c>
      <c r="AI53" s="293" t="s">
        <v>153</v>
      </c>
      <c r="AJ53" s="293" t="s">
        <v>202</v>
      </c>
    </row>
    <row r="54" spans="1:59" x14ac:dyDescent="0.35">
      <c r="A54" s="515" t="s">
        <v>228</v>
      </c>
      <c r="B54" s="554">
        <f>IF(B$9=0,"",+(B36*10)/B$9)</f>
        <v>4.5812455261274154</v>
      </c>
      <c r="C54" s="554">
        <f>IF(C$9=0,"",+(C36*10)/C$9)</f>
        <v>4.0150458560500395</v>
      </c>
      <c r="D54" s="554" t="str">
        <f>IF(D$9=0,"",+(D36*10)/D$9)</f>
        <v/>
      </c>
      <c r="E54" s="554" t="str">
        <f t="shared" ref="E54:F54" si="11">IF(E$9=0,"",+(E36*10)/E$9)</f>
        <v/>
      </c>
      <c r="F54" s="554" t="str">
        <f t="shared" si="11"/>
        <v/>
      </c>
      <c r="G54" s="554" t="str">
        <f>IF(G$9=0,"",+(G36*10)/G$9)</f>
        <v/>
      </c>
      <c r="H54" s="554">
        <f t="shared" ref="H54:AE54" si="12">IF(H$9=0,"",+(H36*10)/H$9)</f>
        <v>19.677292404565129</v>
      </c>
      <c r="I54" s="554">
        <f t="shared" si="12"/>
        <v>0.87926234865904196</v>
      </c>
      <c r="J54" s="554">
        <f t="shared" si="12"/>
        <v>2.563630223204691</v>
      </c>
      <c r="K54" s="554">
        <f t="shared" si="12"/>
        <v>2.6199933564454172</v>
      </c>
      <c r="L54" s="554" t="str">
        <f t="shared" si="12"/>
        <v/>
      </c>
      <c r="M54" s="554" t="str">
        <f t="shared" si="12"/>
        <v/>
      </c>
      <c r="N54" s="554">
        <f t="shared" si="12"/>
        <v>3.7795064634344708</v>
      </c>
      <c r="O54" s="554">
        <f t="shared" si="12"/>
        <v>3.9429601836364641</v>
      </c>
      <c r="P54" s="554">
        <f t="shared" si="12"/>
        <v>3.6138231799193932</v>
      </c>
      <c r="Q54" s="554">
        <f t="shared" si="12"/>
        <v>2.5862955252268227</v>
      </c>
      <c r="R54" s="554">
        <f t="shared" si="12"/>
        <v>1.7241692226719179</v>
      </c>
      <c r="S54" s="554" t="str">
        <f t="shared" si="12"/>
        <v/>
      </c>
      <c r="T54" s="554">
        <f>IF(AF$9=0,"",+(T36*10)/AF$9)</f>
        <v>0.26876301820869447</v>
      </c>
      <c r="U54" s="554">
        <f t="shared" si="12"/>
        <v>5.0700050700050694</v>
      </c>
      <c r="V54" s="554">
        <f t="shared" si="12"/>
        <v>3.5668672550079967</v>
      </c>
      <c r="W54" s="554">
        <f t="shared" si="12"/>
        <v>1.7397759168619082</v>
      </c>
      <c r="X54" s="554">
        <f t="shared" si="12"/>
        <v>6.0821210466213191</v>
      </c>
      <c r="Y54" s="554">
        <f>IF(Y$9=0,"",+(Y36*10)/Y$9)</f>
        <v>6.2406946784704944</v>
      </c>
      <c r="Z54" s="554" t="str">
        <f t="shared" si="12"/>
        <v/>
      </c>
      <c r="AA54" s="554" t="str">
        <f t="shared" ref="AA54" si="13">IF(AA$9=0,"",+(AA36*10)/AA$9)</f>
        <v/>
      </c>
      <c r="AB54" s="554">
        <f t="shared" si="12"/>
        <v>5.0197717540516731</v>
      </c>
      <c r="AC54" s="554">
        <f>IF(AC$9=0,"",+(AC36*10)/AC$9)</f>
        <v>3.558042502033167</v>
      </c>
      <c r="AD54" s="554">
        <f t="shared" si="12"/>
        <v>2.3501597757877422</v>
      </c>
      <c r="AE54" s="554">
        <f t="shared" si="12"/>
        <v>0.12262475842922588</v>
      </c>
      <c r="AF54" s="554" t="str">
        <f>IF(AA$9=0,"",+(AF36*10)/AA$9)</f>
        <v/>
      </c>
      <c r="AG54" s="554"/>
      <c r="AH54" s="555">
        <f>+(AH36*10)/AH$9</f>
        <v>3.4221364031441066</v>
      </c>
      <c r="AI54" s="555">
        <v>3.2</v>
      </c>
      <c r="AJ54" s="556">
        <f t="shared" ref="AJ54" si="14">AI54-AH54</f>
        <v>-0.22213640314410643</v>
      </c>
    </row>
    <row r="55" spans="1:59" s="562" customFormat="1" ht="25.5" customHeight="1" x14ac:dyDescent="0.35">
      <c r="A55" s="557" t="s">
        <v>172</v>
      </c>
      <c r="B55" s="558"/>
      <c r="C55" s="558"/>
      <c r="D55" s="558"/>
      <c r="E55" s="558"/>
      <c r="F55" s="558"/>
      <c r="G55" s="558"/>
      <c r="H55" s="558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Y55" s="558"/>
      <c r="Z55" s="558"/>
      <c r="AA55" s="558"/>
      <c r="AB55" s="558"/>
      <c r="AC55" s="558"/>
      <c r="AD55" s="558"/>
      <c r="AE55" s="558"/>
      <c r="AF55" s="558"/>
      <c r="AG55" s="558"/>
      <c r="AH55" s="559">
        <f t="shared" ref="AH55:AH62" si="15">+(AH37*10)/AH$9</f>
        <v>0</v>
      </c>
      <c r="AI55" s="559">
        <v>0.1</v>
      </c>
      <c r="AJ55" s="560">
        <f>AI55-AH55</f>
        <v>0.1</v>
      </c>
      <c r="AK55" s="561"/>
      <c r="AL55" s="482"/>
      <c r="AM55" s="561"/>
      <c r="AN55" s="561"/>
      <c r="AO55" s="561"/>
      <c r="AP55" s="561"/>
      <c r="AQ55" s="561"/>
      <c r="AR55" s="561"/>
      <c r="AS55" s="561"/>
      <c r="AT55" s="561"/>
      <c r="AU55" s="561"/>
      <c r="AV55" s="561"/>
      <c r="AW55" s="561"/>
      <c r="AX55" s="561"/>
      <c r="AY55" s="561"/>
      <c r="AZ55" s="561"/>
      <c r="BA55" s="561"/>
      <c r="BB55" s="561"/>
      <c r="BC55" s="561"/>
      <c r="BD55" s="561"/>
      <c r="BE55" s="561"/>
      <c r="BF55" s="561"/>
      <c r="BG55" s="561"/>
    </row>
    <row r="56" spans="1:59" s="568" customFormat="1" x14ac:dyDescent="0.35">
      <c r="A56" s="563" t="s">
        <v>188</v>
      </c>
      <c r="B56" s="554">
        <f t="shared" ref="B56:C56" si="16">IF(B$9=0,"",+(B38*10)/B$9)</f>
        <v>0</v>
      </c>
      <c r="C56" s="554">
        <f t="shared" si="16"/>
        <v>0</v>
      </c>
      <c r="D56" s="554" t="str">
        <f t="shared" ref="D56:F62" si="17">IF(D$9=0,"",+(D38*10)/D$9)</f>
        <v/>
      </c>
      <c r="E56" s="554" t="str">
        <f t="shared" si="17"/>
        <v/>
      </c>
      <c r="F56" s="554" t="str">
        <f t="shared" si="17"/>
        <v/>
      </c>
      <c r="G56" s="554" t="str">
        <f t="shared" ref="G56:AE56" si="18">IF(G$9=0,"",+(G38*10)/G$9)</f>
        <v/>
      </c>
      <c r="H56" s="554">
        <f t="shared" si="18"/>
        <v>0</v>
      </c>
      <c r="I56" s="554">
        <f t="shared" si="18"/>
        <v>0</v>
      </c>
      <c r="J56" s="554">
        <f t="shared" si="18"/>
        <v>0</v>
      </c>
      <c r="K56" s="554">
        <f t="shared" si="18"/>
        <v>0</v>
      </c>
      <c r="L56" s="554" t="str">
        <f t="shared" si="18"/>
        <v/>
      </c>
      <c r="M56" s="554" t="str">
        <f t="shared" si="18"/>
        <v/>
      </c>
      <c r="N56" s="554">
        <f t="shared" si="18"/>
        <v>0</v>
      </c>
      <c r="O56" s="554">
        <f t="shared" si="18"/>
        <v>0</v>
      </c>
      <c r="P56" s="554">
        <f t="shared" si="18"/>
        <v>0</v>
      </c>
      <c r="Q56" s="554">
        <f t="shared" si="18"/>
        <v>0</v>
      </c>
      <c r="R56" s="554">
        <f t="shared" si="18"/>
        <v>0</v>
      </c>
      <c r="S56" s="554" t="str">
        <f t="shared" si="18"/>
        <v/>
      </c>
      <c r="T56" s="554">
        <f t="shared" ref="T56:T63" si="19">IF(AF$9=0,"",+(T38*10)/AF$9)</f>
        <v>0</v>
      </c>
      <c r="U56" s="554">
        <f t="shared" si="18"/>
        <v>0</v>
      </c>
      <c r="V56" s="554">
        <f t="shared" si="18"/>
        <v>0</v>
      </c>
      <c r="W56" s="554">
        <f t="shared" si="18"/>
        <v>0</v>
      </c>
      <c r="X56" s="554">
        <f t="shared" si="18"/>
        <v>0</v>
      </c>
      <c r="Y56" s="554">
        <f t="shared" ref="Y56:Y63" si="20">IF(Y$9=0,"",+(Y38*10)/Y$9)</f>
        <v>0</v>
      </c>
      <c r="Z56" s="554" t="str">
        <f t="shared" si="18"/>
        <v/>
      </c>
      <c r="AA56" s="554" t="str">
        <f t="shared" ref="AA56" si="21">IF(AA$9=0,"",+(AA38*10)/AA$9)</f>
        <v/>
      </c>
      <c r="AB56" s="554">
        <f t="shared" si="18"/>
        <v>0</v>
      </c>
      <c r="AC56" s="554">
        <f t="shared" ref="AC56:AC63" si="22">IF(AC$9=0,"",+(AC38*10)/AC$9)</f>
        <v>0</v>
      </c>
      <c r="AD56" s="554">
        <f t="shared" si="18"/>
        <v>0</v>
      </c>
      <c r="AE56" s="554">
        <f t="shared" si="18"/>
        <v>0</v>
      </c>
      <c r="AF56" s="554" t="str">
        <f t="shared" ref="AF56:AF63" si="23">IF(AA$9=0,"",+(AF38*10)/AA$9)</f>
        <v/>
      </c>
      <c r="AG56" s="554"/>
      <c r="AH56" s="564">
        <f t="shared" si="15"/>
        <v>0</v>
      </c>
      <c r="AI56" s="565">
        <v>0.1</v>
      </c>
      <c r="AJ56" s="566">
        <f>AI56-AH56</f>
        <v>0.1</v>
      </c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</row>
    <row r="57" spans="1:59" s="512" customFormat="1" x14ac:dyDescent="0.35">
      <c r="A57" s="569" t="s">
        <v>220</v>
      </c>
      <c r="B57" s="558">
        <f t="shared" ref="B57:C57" si="24">IF(B$9=0,"",+(B39*10)/B$9)</f>
        <v>0</v>
      </c>
      <c r="C57" s="558">
        <f t="shared" si="24"/>
        <v>0</v>
      </c>
      <c r="D57" s="558" t="str">
        <f t="shared" si="17"/>
        <v/>
      </c>
      <c r="E57" s="558" t="str">
        <f t="shared" si="17"/>
        <v/>
      </c>
      <c r="F57" s="558" t="str">
        <f t="shared" si="17"/>
        <v/>
      </c>
      <c r="G57" s="558" t="str">
        <f t="shared" ref="G57:AE57" si="25">IF(G$9=0,"",+(G39*10)/G$9)</f>
        <v/>
      </c>
      <c r="H57" s="558">
        <f t="shared" si="25"/>
        <v>0</v>
      </c>
      <c r="I57" s="558">
        <f t="shared" si="25"/>
        <v>0</v>
      </c>
      <c r="J57" s="558">
        <f t="shared" si="25"/>
        <v>0</v>
      </c>
      <c r="K57" s="558">
        <f t="shared" si="25"/>
        <v>0</v>
      </c>
      <c r="L57" s="558" t="str">
        <f t="shared" si="25"/>
        <v/>
      </c>
      <c r="M57" s="558" t="str">
        <f t="shared" si="25"/>
        <v/>
      </c>
      <c r="N57" s="558">
        <f t="shared" si="25"/>
        <v>0</v>
      </c>
      <c r="O57" s="558">
        <f t="shared" si="25"/>
        <v>0</v>
      </c>
      <c r="P57" s="558">
        <f t="shared" si="25"/>
        <v>0</v>
      </c>
      <c r="Q57" s="558">
        <f t="shared" si="25"/>
        <v>0</v>
      </c>
      <c r="R57" s="558">
        <f t="shared" si="25"/>
        <v>0</v>
      </c>
      <c r="S57" s="558" t="str">
        <f t="shared" si="25"/>
        <v/>
      </c>
      <c r="T57" s="558">
        <f t="shared" si="19"/>
        <v>0</v>
      </c>
      <c r="U57" s="558">
        <f t="shared" si="25"/>
        <v>0</v>
      </c>
      <c r="V57" s="558">
        <f t="shared" si="25"/>
        <v>0</v>
      </c>
      <c r="W57" s="558">
        <f t="shared" si="25"/>
        <v>0</v>
      </c>
      <c r="X57" s="558">
        <f t="shared" si="25"/>
        <v>0</v>
      </c>
      <c r="Y57" s="558">
        <f t="shared" si="20"/>
        <v>0</v>
      </c>
      <c r="Z57" s="558" t="str">
        <f t="shared" si="25"/>
        <v/>
      </c>
      <c r="AA57" s="558" t="str">
        <f t="shared" ref="AA57" si="26">IF(AA$9=0,"",+(AA39*10)/AA$9)</f>
        <v/>
      </c>
      <c r="AB57" s="558">
        <f t="shared" si="25"/>
        <v>0</v>
      </c>
      <c r="AC57" s="558">
        <f t="shared" si="22"/>
        <v>0</v>
      </c>
      <c r="AD57" s="558">
        <f t="shared" si="25"/>
        <v>0</v>
      </c>
      <c r="AE57" s="558">
        <f t="shared" si="25"/>
        <v>0</v>
      </c>
      <c r="AF57" s="558" t="str">
        <f t="shared" si="23"/>
        <v/>
      </c>
      <c r="AG57" s="558"/>
      <c r="AH57" s="559">
        <f t="shared" si="15"/>
        <v>0</v>
      </c>
      <c r="AI57" s="559">
        <v>0.7</v>
      </c>
      <c r="AJ57" s="560">
        <f t="shared" ref="AJ57" si="27">AI57-AH57</f>
        <v>0.7</v>
      </c>
      <c r="AK57" s="482"/>
      <c r="AL57" s="482"/>
      <c r="AM57" s="482"/>
      <c r="AN57" s="482"/>
      <c r="AO57" s="482"/>
      <c r="AP57" s="482"/>
      <c r="AQ57" s="482"/>
      <c r="AR57" s="482"/>
      <c r="AS57" s="482"/>
      <c r="AT57" s="482"/>
      <c r="AU57" s="482"/>
      <c r="AV57" s="482"/>
      <c r="AW57" s="482"/>
      <c r="AX57" s="482"/>
      <c r="AY57" s="482"/>
      <c r="AZ57" s="482"/>
      <c r="BA57" s="482"/>
      <c r="BB57" s="482"/>
      <c r="BC57" s="482"/>
      <c r="BD57" s="482"/>
      <c r="BE57" s="482"/>
      <c r="BF57" s="482"/>
      <c r="BG57" s="482"/>
    </row>
    <row r="58" spans="1:59" s="574" customFormat="1" x14ac:dyDescent="0.35">
      <c r="A58" s="570" t="s">
        <v>173</v>
      </c>
      <c r="B58" s="554">
        <f t="shared" ref="B58:C58" si="28">IF(B$9=0,"",+(B40*10)/B$9)</f>
        <v>0</v>
      </c>
      <c r="C58" s="554">
        <f t="shared" si="28"/>
        <v>0</v>
      </c>
      <c r="D58" s="554" t="str">
        <f t="shared" si="17"/>
        <v/>
      </c>
      <c r="E58" s="554" t="str">
        <f t="shared" si="17"/>
        <v/>
      </c>
      <c r="F58" s="554" t="str">
        <f t="shared" si="17"/>
        <v/>
      </c>
      <c r="G58" s="554" t="str">
        <f t="shared" ref="G58:AE58" si="29">IF(G$9=0,"",+(G40*10)/G$9)</f>
        <v/>
      </c>
      <c r="H58" s="554">
        <f t="shared" si="29"/>
        <v>0</v>
      </c>
      <c r="I58" s="554">
        <f t="shared" si="29"/>
        <v>0</v>
      </c>
      <c r="J58" s="554">
        <f t="shared" si="29"/>
        <v>0</v>
      </c>
      <c r="K58" s="554">
        <f t="shared" si="29"/>
        <v>0</v>
      </c>
      <c r="L58" s="554" t="str">
        <f t="shared" si="29"/>
        <v/>
      </c>
      <c r="M58" s="554" t="str">
        <f t="shared" si="29"/>
        <v/>
      </c>
      <c r="N58" s="554">
        <f t="shared" si="29"/>
        <v>0</v>
      </c>
      <c r="O58" s="554">
        <f t="shared" si="29"/>
        <v>0</v>
      </c>
      <c r="P58" s="554">
        <f t="shared" si="29"/>
        <v>0</v>
      </c>
      <c r="Q58" s="554">
        <f t="shared" si="29"/>
        <v>0</v>
      </c>
      <c r="R58" s="554">
        <f t="shared" si="29"/>
        <v>0</v>
      </c>
      <c r="S58" s="554" t="str">
        <f t="shared" si="29"/>
        <v/>
      </c>
      <c r="T58" s="554">
        <f t="shared" si="19"/>
        <v>0</v>
      </c>
      <c r="U58" s="554">
        <f t="shared" si="29"/>
        <v>0</v>
      </c>
      <c r="V58" s="554">
        <f t="shared" si="29"/>
        <v>0</v>
      </c>
      <c r="W58" s="554">
        <f t="shared" si="29"/>
        <v>0</v>
      </c>
      <c r="X58" s="554">
        <f t="shared" si="29"/>
        <v>0</v>
      </c>
      <c r="Y58" s="554">
        <f t="shared" si="20"/>
        <v>0</v>
      </c>
      <c r="Z58" s="554" t="str">
        <f t="shared" si="29"/>
        <v/>
      </c>
      <c r="AA58" s="554" t="str">
        <f t="shared" ref="AA58" si="30">IF(AA$9=0,"",+(AA40*10)/AA$9)</f>
        <v/>
      </c>
      <c r="AB58" s="554">
        <f t="shared" si="29"/>
        <v>0</v>
      </c>
      <c r="AC58" s="554">
        <f t="shared" si="22"/>
        <v>0</v>
      </c>
      <c r="AD58" s="554">
        <f t="shared" si="29"/>
        <v>0</v>
      </c>
      <c r="AE58" s="554">
        <f t="shared" si="29"/>
        <v>0</v>
      </c>
      <c r="AF58" s="554" t="str">
        <f t="shared" si="23"/>
        <v/>
      </c>
      <c r="AG58" s="554"/>
      <c r="AH58" s="564">
        <f t="shared" si="15"/>
        <v>0</v>
      </c>
      <c r="AI58" s="571">
        <v>1</v>
      </c>
      <c r="AJ58" s="572">
        <f>AI58-AH58</f>
        <v>1</v>
      </c>
      <c r="AK58" s="573"/>
      <c r="AL58" s="573"/>
      <c r="AM58" s="573"/>
      <c r="AN58" s="573"/>
      <c r="AO58" s="573"/>
      <c r="AP58" s="573"/>
      <c r="AQ58" s="573" t="s">
        <v>58</v>
      </c>
      <c r="AR58" s="573"/>
      <c r="AS58" s="573"/>
      <c r="AT58" s="573"/>
      <c r="AU58" s="573"/>
      <c r="AV58" s="573"/>
      <c r="AW58" s="573"/>
      <c r="AX58" s="573"/>
      <c r="AY58" s="573"/>
      <c r="AZ58" s="573"/>
      <c r="BA58" s="573"/>
      <c r="BB58" s="573"/>
      <c r="BC58" s="573"/>
      <c r="BD58" s="573"/>
      <c r="BE58" s="573"/>
      <c r="BF58" s="573"/>
      <c r="BG58" s="573"/>
    </row>
    <row r="59" spans="1:59" s="512" customFormat="1" x14ac:dyDescent="0.35">
      <c r="A59" s="547" t="s">
        <v>99</v>
      </c>
      <c r="B59" s="558">
        <f t="shared" ref="B59:C59" si="31">IF(B$9=0,"",+(B41*10)/B$9)</f>
        <v>3.2450489143402526</v>
      </c>
      <c r="C59" s="558">
        <f t="shared" si="31"/>
        <v>1.2150796669625121</v>
      </c>
      <c r="D59" s="558" t="str">
        <f t="shared" si="17"/>
        <v/>
      </c>
      <c r="E59" s="558" t="str">
        <f t="shared" si="17"/>
        <v/>
      </c>
      <c r="F59" s="558" t="str">
        <f t="shared" si="17"/>
        <v/>
      </c>
      <c r="G59" s="558" t="str">
        <f t="shared" ref="G59:AE59" si="32">IF(G$9=0,"",+(G41*10)/G$9)</f>
        <v/>
      </c>
      <c r="H59" s="558">
        <f t="shared" si="32"/>
        <v>5.9031877213695383</v>
      </c>
      <c r="I59" s="558">
        <f t="shared" si="32"/>
        <v>0.79631307048366062</v>
      </c>
      <c r="J59" s="558">
        <f t="shared" si="32"/>
        <v>0.47588345460685882</v>
      </c>
      <c r="K59" s="558">
        <f t="shared" si="32"/>
        <v>0.70178393476216538</v>
      </c>
      <c r="L59" s="558" t="str">
        <f t="shared" si="32"/>
        <v/>
      </c>
      <c r="M59" s="558" t="str">
        <f t="shared" si="32"/>
        <v/>
      </c>
      <c r="N59" s="558">
        <f t="shared" si="32"/>
        <v>1.722306742830898</v>
      </c>
      <c r="O59" s="558">
        <f t="shared" si="32"/>
        <v>1.6324357448176443</v>
      </c>
      <c r="P59" s="558">
        <f t="shared" si="32"/>
        <v>1.6129493288905767</v>
      </c>
      <c r="Q59" s="558">
        <f t="shared" si="32"/>
        <v>0.32127894723314565</v>
      </c>
      <c r="R59" s="558">
        <f t="shared" si="32"/>
        <v>0.48397732566229273</v>
      </c>
      <c r="S59" s="558" t="str">
        <f t="shared" si="32"/>
        <v/>
      </c>
      <c r="T59" s="558">
        <f t="shared" si="19"/>
        <v>1.3438150910434723</v>
      </c>
      <c r="U59" s="558">
        <f t="shared" si="32"/>
        <v>2.4960024960024958</v>
      </c>
      <c r="V59" s="558">
        <f t="shared" si="32"/>
        <v>0.57530117016258009</v>
      </c>
      <c r="W59" s="558">
        <f t="shared" si="32"/>
        <v>0.86988795843095412</v>
      </c>
      <c r="X59" s="558">
        <f t="shared" si="32"/>
        <v>1.4481240587193618</v>
      </c>
      <c r="Y59" s="558">
        <f t="shared" si="20"/>
        <v>1.7384792318596378</v>
      </c>
      <c r="Z59" s="558" t="str">
        <f t="shared" si="32"/>
        <v/>
      </c>
      <c r="AA59" s="558" t="str">
        <f t="shared" ref="AA59" si="33">IF(AA$9=0,"",+(AA41*10)/AA$9)</f>
        <v/>
      </c>
      <c r="AB59" s="558">
        <f t="shared" si="32"/>
        <v>0.81955457209006899</v>
      </c>
      <c r="AC59" s="558">
        <f t="shared" si="22"/>
        <v>0.66298928609313668</v>
      </c>
      <c r="AD59" s="558">
        <f t="shared" si="32"/>
        <v>0.87692528947303805</v>
      </c>
      <c r="AE59" s="558">
        <f t="shared" si="32"/>
        <v>0.63764874383197456</v>
      </c>
      <c r="AF59" s="558" t="str">
        <f t="shared" si="23"/>
        <v/>
      </c>
      <c r="AG59" s="558"/>
      <c r="AH59" s="558">
        <f t="shared" si="15"/>
        <v>1.1021072477374578</v>
      </c>
      <c r="AI59" s="559">
        <v>0.7</v>
      </c>
      <c r="AJ59" s="560">
        <f t="shared" ref="AJ59:AJ60" si="34">AI59-AH59</f>
        <v>-0.40210724773745787</v>
      </c>
      <c r="AK59" s="482"/>
      <c r="AL59" s="482"/>
      <c r="AM59" s="482"/>
      <c r="AN59" s="482"/>
      <c r="AO59" s="482"/>
      <c r="AP59" s="482"/>
      <c r="AQ59" s="482"/>
      <c r="AR59" s="482"/>
      <c r="AS59" s="482"/>
      <c r="AT59" s="482"/>
      <c r="AU59" s="482"/>
      <c r="AV59" s="482"/>
      <c r="AW59" s="482"/>
      <c r="AX59" s="482"/>
      <c r="AY59" s="482"/>
      <c r="AZ59" s="482"/>
      <c r="BA59" s="482"/>
      <c r="BB59" s="482"/>
      <c r="BC59" s="482"/>
      <c r="BD59" s="482"/>
      <c r="BE59" s="482"/>
      <c r="BF59" s="482"/>
      <c r="BG59" s="482"/>
    </row>
    <row r="60" spans="1:59" x14ac:dyDescent="0.35">
      <c r="A60" s="575" t="s">
        <v>128</v>
      </c>
      <c r="B60" s="554">
        <f t="shared" ref="B60" si="35">IF(B$9=0,"",+(B42*10)/B$9)</f>
        <v>2.863278453829635</v>
      </c>
      <c r="C60" s="554">
        <f>IF(C$9=0,"",+(C42*10)/C$9)</f>
        <v>3.0112843920375298</v>
      </c>
      <c r="D60" s="554" t="str">
        <f t="shared" si="17"/>
        <v/>
      </c>
      <c r="E60" s="554" t="str">
        <f t="shared" si="17"/>
        <v/>
      </c>
      <c r="F60" s="576" t="str">
        <f t="shared" si="17"/>
        <v/>
      </c>
      <c r="G60" s="554" t="str">
        <f t="shared" ref="G60:AE60" si="36">IF(G$9=0,"",+(G42*10)/G$9)</f>
        <v/>
      </c>
      <c r="H60" s="554">
        <f t="shared" si="36"/>
        <v>5.340979366953392</v>
      </c>
      <c r="I60" s="554">
        <f t="shared" si="36"/>
        <v>1.9907826762091516</v>
      </c>
      <c r="J60" s="554">
        <f t="shared" si="36"/>
        <v>2.0877467685978321</v>
      </c>
      <c r="K60" s="554">
        <f t="shared" si="36"/>
        <v>1.8480310282070356</v>
      </c>
      <c r="L60" s="554" t="str">
        <f>IF(L$9=0,"",+(L42*10)/L$9)</f>
        <v/>
      </c>
      <c r="M60" s="554" t="str">
        <f t="shared" si="36"/>
        <v/>
      </c>
      <c r="N60" s="554">
        <f t="shared" si="36"/>
        <v>2.4638554793275347</v>
      </c>
      <c r="O60" s="554">
        <f t="shared" si="36"/>
        <v>2.3607532309670551</v>
      </c>
      <c r="P60" s="554">
        <f t="shared" si="36"/>
        <v>2.7154716549676796</v>
      </c>
      <c r="Q60" s="554">
        <f t="shared" si="36"/>
        <v>1.8152260518672731</v>
      </c>
      <c r="R60" s="554">
        <f t="shared" si="36"/>
        <v>2.4803837940192501</v>
      </c>
      <c r="S60" s="554" t="str">
        <f t="shared" si="36"/>
        <v/>
      </c>
      <c r="T60" s="554">
        <f t="shared" si="19"/>
        <v>8.8691796008869179</v>
      </c>
      <c r="U60" s="554">
        <f t="shared" si="36"/>
        <v>2.7300027300027296</v>
      </c>
      <c r="V60" s="554">
        <f t="shared" si="36"/>
        <v>2.0902609182573744</v>
      </c>
      <c r="W60" s="554">
        <f t="shared" si="36"/>
        <v>2.4356862836066715</v>
      </c>
      <c r="X60" s="554">
        <f t="shared" si="36"/>
        <v>3.4754977409264685</v>
      </c>
      <c r="Y60" s="554">
        <f t="shared" si="20"/>
        <v>1.6047500601781273</v>
      </c>
      <c r="Z60" s="554" t="str">
        <f t="shared" si="36"/>
        <v/>
      </c>
      <c r="AA60" s="554" t="str">
        <f t="shared" ref="AA60" si="37">IF(AA$9=0,"",+(AA42*10)/AA$9)</f>
        <v/>
      </c>
      <c r="AB60" s="554">
        <f t="shared" si="36"/>
        <v>2.7659966808039829</v>
      </c>
      <c r="AC60" s="554">
        <f t="shared" si="22"/>
        <v>2.1436653583678087</v>
      </c>
      <c r="AD60" s="554">
        <f t="shared" si="36"/>
        <v>2.0169281657879874</v>
      </c>
      <c r="AE60" s="554">
        <f t="shared" si="36"/>
        <v>2.2317706034119111</v>
      </c>
      <c r="AF60" s="554" t="str">
        <f t="shared" si="23"/>
        <v/>
      </c>
      <c r="AG60" s="554"/>
      <c r="AH60" s="577">
        <f t="shared" si="15"/>
        <v>2.4869018912222636</v>
      </c>
      <c r="AI60" s="564">
        <v>2.1</v>
      </c>
      <c r="AJ60" s="556">
        <f t="shared" si="34"/>
        <v>-0.38690189122226348</v>
      </c>
    </row>
    <row r="61" spans="1:59" s="512" customFormat="1" x14ac:dyDescent="0.35">
      <c r="A61" s="547" t="s">
        <v>169</v>
      </c>
      <c r="B61" s="558">
        <f t="shared" ref="B61:C61" si="38">IF(B$9=0,"",+(B43*10)/B$9)</f>
        <v>0.62037699832975424</v>
      </c>
      <c r="C61" s="558">
        <f t="shared" si="38"/>
        <v>1.1094205654875111</v>
      </c>
      <c r="D61" s="558" t="str">
        <f t="shared" si="17"/>
        <v/>
      </c>
      <c r="E61" s="558" t="str">
        <f t="shared" si="17"/>
        <v/>
      </c>
      <c r="F61" s="558" t="str">
        <f t="shared" si="17"/>
        <v/>
      </c>
      <c r="G61" s="558" t="str">
        <f t="shared" ref="G61:AE61" si="39">IF(G$9=0,"",+(G43*10)/G$9)</f>
        <v/>
      </c>
      <c r="H61" s="558">
        <f t="shared" si="39"/>
        <v>2.3893855062686229</v>
      </c>
      <c r="I61" s="558">
        <f t="shared" si="39"/>
        <v>0.53087538032244042</v>
      </c>
      <c r="J61" s="558">
        <f t="shared" si="39"/>
        <v>0.50658561296859161</v>
      </c>
      <c r="K61" s="558">
        <f t="shared" si="39"/>
        <v>0.58481994563513784</v>
      </c>
      <c r="L61" s="558" t="str">
        <f t="shared" si="39"/>
        <v/>
      </c>
      <c r="M61" s="558" t="str">
        <f t="shared" si="39"/>
        <v/>
      </c>
      <c r="N61" s="558">
        <f t="shared" si="39"/>
        <v>0.66978595554534925</v>
      </c>
      <c r="O61" s="558">
        <f t="shared" si="39"/>
        <v>0.72831748614941061</v>
      </c>
      <c r="P61" s="558">
        <f t="shared" si="39"/>
        <v>0.69418072382632412</v>
      </c>
      <c r="Q61" s="558">
        <f t="shared" si="39"/>
        <v>0.49798236821137581</v>
      </c>
      <c r="R61" s="558">
        <f t="shared" si="39"/>
        <v>0.66546882278565256</v>
      </c>
      <c r="S61" s="558" t="str">
        <f t="shared" si="39"/>
        <v/>
      </c>
      <c r="T61" s="558">
        <f t="shared" si="19"/>
        <v>0</v>
      </c>
      <c r="U61" s="558">
        <f t="shared" si="39"/>
        <v>1.0140010140010138</v>
      </c>
      <c r="V61" s="558">
        <f t="shared" si="39"/>
        <v>0.61365458150675212</v>
      </c>
      <c r="W61" s="558">
        <f t="shared" si="39"/>
        <v>0.6379178361826997</v>
      </c>
      <c r="X61" s="558">
        <f t="shared" si="39"/>
        <v>1.1584992469754893</v>
      </c>
      <c r="Y61" s="558">
        <f t="shared" si="20"/>
        <v>0.71322224896805653</v>
      </c>
      <c r="Z61" s="558" t="str">
        <f t="shared" si="39"/>
        <v/>
      </c>
      <c r="AA61" s="558" t="str">
        <f t="shared" ref="AA61" si="40">IF(AA$9=0,"",+(AA43*10)/AA$9)</f>
        <v/>
      </c>
      <c r="AB61" s="558">
        <f t="shared" si="39"/>
        <v>0.71711025057881039</v>
      </c>
      <c r="AC61" s="558">
        <f t="shared" si="22"/>
        <v>0.55249107174428058</v>
      </c>
      <c r="AD61" s="558">
        <f t="shared" si="39"/>
        <v>0.56123218526274443</v>
      </c>
      <c r="AE61" s="558">
        <f t="shared" si="39"/>
        <v>0.68669864720366491</v>
      </c>
      <c r="AF61" s="558" t="str">
        <f t="shared" si="23"/>
        <v/>
      </c>
      <c r="AG61" s="558"/>
      <c r="AH61" s="559">
        <f t="shared" si="15"/>
        <v>0.66749094326246039</v>
      </c>
      <c r="AI61" s="559">
        <v>0.7</v>
      </c>
      <c r="AJ61" s="560">
        <f>AI61-AH61</f>
        <v>3.2509056737539566E-2</v>
      </c>
      <c r="AK61" s="482"/>
      <c r="AL61" s="482"/>
      <c r="AM61" s="482"/>
      <c r="AN61" s="482"/>
      <c r="AO61" s="482"/>
      <c r="AP61" s="482"/>
      <c r="AQ61" s="482"/>
      <c r="AR61" s="482"/>
      <c r="AS61" s="482"/>
      <c r="AT61" s="482"/>
      <c r="AU61" s="482"/>
      <c r="AV61" s="482"/>
      <c r="AW61" s="482"/>
      <c r="AX61" s="482"/>
      <c r="AY61" s="482"/>
      <c r="AZ61" s="482"/>
      <c r="BA61" s="482"/>
      <c r="BB61" s="482"/>
      <c r="BC61" s="482"/>
      <c r="BD61" s="482"/>
      <c r="BE61" s="482"/>
      <c r="BF61" s="482"/>
      <c r="BG61" s="482"/>
    </row>
    <row r="62" spans="1:59" x14ac:dyDescent="0.35">
      <c r="A62" s="515" t="s">
        <v>127</v>
      </c>
      <c r="B62" s="554">
        <f t="shared" ref="B62:C62" si="41">IF(B$9=0,"",+(B44*10)/B$9)</f>
        <v>9.5442615127654493E-2</v>
      </c>
      <c r="C62" s="554">
        <f t="shared" si="41"/>
        <v>0.10565910147500104</v>
      </c>
      <c r="D62" s="554" t="str">
        <f t="shared" si="17"/>
        <v/>
      </c>
      <c r="E62" s="554" t="str">
        <f t="shared" si="17"/>
        <v/>
      </c>
      <c r="F62" s="554" t="str">
        <f t="shared" si="17"/>
        <v/>
      </c>
      <c r="G62" s="554" t="str">
        <f t="shared" ref="G62:AE62" si="42">IF(G$9=0,"",+(G44*10)/G$9)</f>
        <v/>
      </c>
      <c r="H62" s="554">
        <f t="shared" si="42"/>
        <v>0.42165626581210991</v>
      </c>
      <c r="I62" s="554">
        <f t="shared" si="42"/>
        <v>1.6589855635076263E-2</v>
      </c>
      <c r="J62" s="554">
        <f t="shared" si="42"/>
        <v>1.5351079180866414E-2</v>
      </c>
      <c r="K62" s="554">
        <f t="shared" si="42"/>
        <v>0</v>
      </c>
      <c r="L62" s="554" t="str">
        <f t="shared" si="42"/>
        <v/>
      </c>
      <c r="M62" s="554" t="str">
        <f t="shared" si="42"/>
        <v/>
      </c>
      <c r="N62" s="554">
        <f t="shared" si="42"/>
        <v>4.7841853967524946E-2</v>
      </c>
      <c r="O62" s="554">
        <f t="shared" si="42"/>
        <v>0</v>
      </c>
      <c r="P62" s="554">
        <f t="shared" si="42"/>
        <v>0</v>
      </c>
      <c r="Q62" s="554">
        <f t="shared" si="42"/>
        <v>0</v>
      </c>
      <c r="R62" s="554">
        <f t="shared" si="42"/>
        <v>0</v>
      </c>
      <c r="S62" s="554" t="str">
        <f t="shared" si="42"/>
        <v/>
      </c>
      <c r="T62" s="554">
        <f t="shared" si="19"/>
        <v>0</v>
      </c>
      <c r="U62" s="554">
        <f t="shared" si="42"/>
        <v>0.23400023400023398</v>
      </c>
      <c r="V62" s="554">
        <f t="shared" si="42"/>
        <v>0</v>
      </c>
      <c r="W62" s="554">
        <f t="shared" si="42"/>
        <v>0</v>
      </c>
      <c r="X62" s="554">
        <f t="shared" si="42"/>
        <v>0.16549989242506991</v>
      </c>
      <c r="Y62" s="554">
        <f t="shared" si="20"/>
        <v>0</v>
      </c>
      <c r="Z62" s="554" t="str">
        <f t="shared" si="42"/>
        <v/>
      </c>
      <c r="AA62" s="554" t="str">
        <f t="shared" ref="AA62" si="43">IF(AA$9=0,"",+(AA44*10)/AA$9)</f>
        <v/>
      </c>
      <c r="AB62" s="554">
        <f t="shared" si="42"/>
        <v>0.10244432151125862</v>
      </c>
      <c r="AC62" s="554">
        <f t="shared" si="22"/>
        <v>2.2099642869771223E-2</v>
      </c>
      <c r="AD62" s="554">
        <f t="shared" si="42"/>
        <v>0</v>
      </c>
      <c r="AE62" s="554">
        <f t="shared" si="42"/>
        <v>4.9049903371690351E-2</v>
      </c>
      <c r="AF62" s="554" t="str">
        <f t="shared" si="23"/>
        <v/>
      </c>
      <c r="AG62" s="554"/>
      <c r="AH62" s="564">
        <f t="shared" si="15"/>
        <v>3.4868929871919571E-2</v>
      </c>
      <c r="AI62" s="564">
        <v>0.1</v>
      </c>
      <c r="AJ62" s="556">
        <f>AI62-AH62</f>
        <v>6.5131070128080434E-2</v>
      </c>
    </row>
    <row r="63" spans="1:59" s="512" customFormat="1" x14ac:dyDescent="0.35">
      <c r="A63" s="547" t="s">
        <v>129</v>
      </c>
      <c r="B63" s="558">
        <f t="shared" ref="B63:C63" si="44">IF(B$9=0,"",+(B45*10)/B$9)</f>
        <v>0.62037699832975424</v>
      </c>
      <c r="C63" s="558">
        <f t="shared" si="44"/>
        <v>0.21131820295000209</v>
      </c>
      <c r="D63" s="558" t="str">
        <f>IF(D$9=0,"",+(D45*10)/D$9)</f>
        <v/>
      </c>
      <c r="E63" s="578" t="str">
        <f t="shared" ref="E63:AE63" si="45">IF(E$9=0,"",+(E45*10)/E$9)</f>
        <v/>
      </c>
      <c r="F63" s="578" t="str">
        <f t="shared" si="45"/>
        <v/>
      </c>
      <c r="G63" s="578" t="str">
        <f t="shared" si="45"/>
        <v/>
      </c>
      <c r="H63" s="578">
        <f t="shared" si="45"/>
        <v>2.1082813290605493</v>
      </c>
      <c r="I63" s="578">
        <f t="shared" si="45"/>
        <v>0.24884783452614395</v>
      </c>
      <c r="J63" s="578">
        <f t="shared" si="45"/>
        <v>0.26096834607472902</v>
      </c>
      <c r="K63" s="578">
        <f t="shared" si="45"/>
        <v>0.37428476520648818</v>
      </c>
      <c r="L63" s="578" t="str">
        <f t="shared" si="45"/>
        <v/>
      </c>
      <c r="M63" s="578" t="str">
        <f t="shared" si="45"/>
        <v/>
      </c>
      <c r="N63" s="578">
        <f t="shared" si="45"/>
        <v>0.45449761269148697</v>
      </c>
      <c r="O63" s="578">
        <f t="shared" si="45"/>
        <v>0.4520591293341169</v>
      </c>
      <c r="P63" s="558">
        <f t="shared" si="45"/>
        <v>0.46959284258839573</v>
      </c>
      <c r="Q63" s="558">
        <f t="shared" si="45"/>
        <v>0.19276736833988742</v>
      </c>
      <c r="R63" s="578">
        <f t="shared" si="45"/>
        <v>0.45372874280839942</v>
      </c>
      <c r="S63" s="578" t="str">
        <f t="shared" si="45"/>
        <v/>
      </c>
      <c r="T63" s="558">
        <f t="shared" si="19"/>
        <v>3.2251562185043334</v>
      </c>
      <c r="U63" s="558">
        <f t="shared" si="45"/>
        <v>0.62400062400062395</v>
      </c>
      <c r="V63" s="558">
        <f t="shared" si="45"/>
        <v>0.49859434747423609</v>
      </c>
      <c r="W63" s="558">
        <f t="shared" si="45"/>
        <v>0.5219327750585725</v>
      </c>
      <c r="X63" s="558">
        <f t="shared" si="45"/>
        <v>1.117124273869222</v>
      </c>
      <c r="Y63" s="558">
        <f t="shared" si="20"/>
        <v>1.1144097640125883</v>
      </c>
      <c r="Z63" s="558" t="str">
        <f t="shared" si="45"/>
        <v/>
      </c>
      <c r="AA63" s="558" t="str">
        <f t="shared" ref="AA63" si="46">IF(AA$9=0,"",+(AA45*10)/AA$9)</f>
        <v/>
      </c>
      <c r="AB63" s="558">
        <f t="shared" si="45"/>
        <v>0.46099944680066379</v>
      </c>
      <c r="AC63" s="558">
        <f t="shared" si="22"/>
        <v>0.28729535730702588</v>
      </c>
      <c r="AD63" s="558">
        <f t="shared" si="45"/>
        <v>0.29815459842083297</v>
      </c>
      <c r="AE63" s="558">
        <f t="shared" si="45"/>
        <v>0.53954893708859386</v>
      </c>
      <c r="AF63" s="558" t="str">
        <f t="shared" si="23"/>
        <v/>
      </c>
      <c r="AG63" s="558"/>
      <c r="AH63" s="559">
        <f>+(AH45*10)/AH$9</f>
        <v>0.50684480206683091</v>
      </c>
      <c r="AI63" s="559">
        <v>0.6</v>
      </c>
      <c r="AJ63" s="560">
        <f t="shared" ref="AJ63:AJ67" si="47">AI63-AH63</f>
        <v>9.3155197933169065E-2</v>
      </c>
      <c r="AK63" s="482"/>
      <c r="AL63" s="482"/>
      <c r="AM63" s="482"/>
      <c r="AN63" s="482"/>
      <c r="AO63" s="482"/>
      <c r="AP63" s="482"/>
      <c r="AQ63" s="482"/>
      <c r="AR63" s="482"/>
      <c r="AS63" s="482"/>
      <c r="AT63" s="482"/>
      <c r="AU63" s="482"/>
      <c r="AV63" s="482"/>
      <c r="AW63" s="482"/>
      <c r="AX63" s="482"/>
      <c r="AY63" s="482"/>
      <c r="AZ63" s="482"/>
      <c r="BA63" s="482"/>
      <c r="BB63" s="482"/>
      <c r="BC63" s="482"/>
      <c r="BD63" s="482"/>
      <c r="BE63" s="482"/>
      <c r="BF63" s="482"/>
      <c r="BG63" s="482"/>
    </row>
    <row r="64" spans="1:59" s="583" customFormat="1" x14ac:dyDescent="0.35">
      <c r="A64" s="579" t="s">
        <v>166</v>
      </c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4"/>
      <c r="P64" s="554"/>
      <c r="Q64" s="554"/>
      <c r="R64" s="554"/>
      <c r="S64" s="554"/>
      <c r="T64" s="554"/>
      <c r="U64" s="554"/>
      <c r="V64" s="554"/>
      <c r="W64" s="554"/>
      <c r="X64" s="554"/>
      <c r="Y64" s="554"/>
      <c r="Z64" s="554"/>
      <c r="AA64" s="554"/>
      <c r="AB64" s="554"/>
      <c r="AC64" s="554"/>
      <c r="AD64" s="554"/>
      <c r="AE64" s="554"/>
      <c r="AF64" s="554"/>
      <c r="AG64" s="554"/>
      <c r="AH64" s="564"/>
      <c r="AI64" s="580">
        <v>0.5</v>
      </c>
      <c r="AJ64" s="581">
        <f t="shared" si="47"/>
        <v>0.5</v>
      </c>
      <c r="AK64" s="582"/>
      <c r="AL64" s="292"/>
      <c r="AM64" s="582"/>
      <c r="AN64" s="582"/>
      <c r="AO64" s="582"/>
      <c r="AP64" s="582"/>
      <c r="AQ64" s="582"/>
      <c r="AR64" s="582"/>
      <c r="AS64" s="582"/>
      <c r="AT64" s="582"/>
      <c r="AU64" s="582"/>
      <c r="AV64" s="582"/>
      <c r="AW64" s="582"/>
      <c r="AX64" s="582"/>
      <c r="AY64" s="582"/>
      <c r="AZ64" s="582"/>
      <c r="BA64" s="582"/>
      <c r="BB64" s="582"/>
      <c r="BC64" s="582"/>
      <c r="BD64" s="582"/>
      <c r="BE64" s="582"/>
      <c r="BF64" s="582"/>
      <c r="BG64" s="582"/>
    </row>
    <row r="65" spans="1:59" s="512" customFormat="1" x14ac:dyDescent="0.35">
      <c r="A65" s="547" t="s">
        <v>201</v>
      </c>
      <c r="B65" s="558">
        <f t="shared" ref="B65:C65" si="48">IF(B$9=0,"",+(B46*10)/B$9)</f>
        <v>0</v>
      </c>
      <c r="C65" s="558">
        <f t="shared" si="48"/>
        <v>0</v>
      </c>
      <c r="D65" s="558" t="str">
        <f>IF(D$9=0,"",+(D46*10)/D$9)</f>
        <v/>
      </c>
      <c r="E65" s="584" t="str">
        <f t="shared" ref="E65:AE65" si="49">IF(E$9=0,"",+(E46*10)/E$9)</f>
        <v/>
      </c>
      <c r="F65" s="584" t="str">
        <f t="shared" si="49"/>
        <v/>
      </c>
      <c r="G65" s="584" t="str">
        <f t="shared" si="49"/>
        <v/>
      </c>
      <c r="H65" s="558">
        <f t="shared" si="49"/>
        <v>0</v>
      </c>
      <c r="I65" s="558">
        <f t="shared" si="49"/>
        <v>0</v>
      </c>
      <c r="J65" s="558">
        <f>IF(J$9=0,"",+(J46*10)/J$9)</f>
        <v>0</v>
      </c>
      <c r="K65" s="558">
        <f t="shared" si="49"/>
        <v>0</v>
      </c>
      <c r="L65" s="584" t="str">
        <f t="shared" si="49"/>
        <v/>
      </c>
      <c r="M65" s="558" t="str">
        <f t="shared" si="49"/>
        <v/>
      </c>
      <c r="N65" s="558">
        <f t="shared" si="49"/>
        <v>0</v>
      </c>
      <c r="O65" s="558">
        <f t="shared" si="49"/>
        <v>0</v>
      </c>
      <c r="P65" s="558">
        <f t="shared" si="49"/>
        <v>0</v>
      </c>
      <c r="Q65" s="558">
        <f t="shared" si="49"/>
        <v>0</v>
      </c>
      <c r="R65" s="558">
        <f t="shared" si="49"/>
        <v>0</v>
      </c>
      <c r="S65" s="558" t="str">
        <f t="shared" si="49"/>
        <v/>
      </c>
      <c r="T65" s="558">
        <f>IF(AF$9=0,"",+(T46*10)/AF$9)</f>
        <v>0</v>
      </c>
      <c r="U65" s="558">
        <f t="shared" si="49"/>
        <v>0</v>
      </c>
      <c r="V65" s="584">
        <f t="shared" si="49"/>
        <v>0</v>
      </c>
      <c r="W65" s="584">
        <f t="shared" si="49"/>
        <v>0</v>
      </c>
      <c r="X65" s="584">
        <f t="shared" si="49"/>
        <v>0</v>
      </c>
      <c r="Y65" s="584">
        <f>IF(Y$9=0,"",+(Y46*10)/Y$9)</f>
        <v>0</v>
      </c>
      <c r="Z65" s="584" t="str">
        <f t="shared" si="49"/>
        <v/>
      </c>
      <c r="AA65" s="584" t="str">
        <f t="shared" ref="AA65" si="50">IF(AA$9=0,"",+(AA46*10)/AA$9)</f>
        <v/>
      </c>
      <c r="AB65" s="584">
        <f t="shared" si="49"/>
        <v>0</v>
      </c>
      <c r="AC65" s="584">
        <f>IF(AC$9=0,"",+(AC46*10)/AC$9)</f>
        <v>0</v>
      </c>
      <c r="AD65" s="584">
        <f t="shared" si="49"/>
        <v>0</v>
      </c>
      <c r="AE65" s="584">
        <f t="shared" si="49"/>
        <v>0</v>
      </c>
      <c r="AF65" s="584" t="str">
        <f>IF(AA$9=0,"",+(AF46*10)/AA$9)</f>
        <v/>
      </c>
      <c r="AG65" s="584"/>
      <c r="AH65" s="559">
        <f>+(AH46*10)/AH$9</f>
        <v>0</v>
      </c>
      <c r="AI65" s="559">
        <v>0.3</v>
      </c>
      <c r="AJ65" s="560">
        <f t="shared" si="47"/>
        <v>0.3</v>
      </c>
      <c r="AK65" s="482"/>
      <c r="AL65" s="482"/>
      <c r="AM65" s="482"/>
      <c r="AN65" s="482"/>
      <c r="AO65" s="482"/>
      <c r="AP65" s="482"/>
      <c r="AQ65" s="482"/>
      <c r="AR65" s="482"/>
      <c r="AS65" s="482"/>
      <c r="AT65" s="482"/>
      <c r="AU65" s="482"/>
      <c r="AV65" s="482"/>
      <c r="AW65" s="482"/>
      <c r="AX65" s="482"/>
      <c r="AY65" s="482"/>
      <c r="AZ65" s="482"/>
      <c r="BA65" s="482"/>
      <c r="BB65" s="482"/>
      <c r="BC65" s="482"/>
      <c r="BD65" s="482"/>
      <c r="BE65" s="482"/>
      <c r="BF65" s="482"/>
      <c r="BG65" s="482"/>
    </row>
    <row r="66" spans="1:59" s="583" customFormat="1" hidden="1" x14ac:dyDescent="0.35">
      <c r="A66" s="579" t="s">
        <v>187</v>
      </c>
      <c r="B66" s="585"/>
      <c r="C66" s="585"/>
      <c r="D66" s="585"/>
      <c r="E66" s="585"/>
      <c r="F66" s="585"/>
      <c r="G66" s="585"/>
      <c r="H66" s="585"/>
      <c r="I66" s="585"/>
      <c r="J66" s="586"/>
      <c r="K66" s="586"/>
      <c r="L66" s="586"/>
      <c r="M66" s="586"/>
      <c r="N66" s="586"/>
      <c r="O66" s="586"/>
      <c r="P66" s="586"/>
      <c r="Q66" s="586"/>
      <c r="R66" s="586"/>
      <c r="S66" s="586"/>
      <c r="T66" s="586"/>
      <c r="U66" s="586"/>
      <c r="V66" s="586"/>
      <c r="W66" s="586"/>
      <c r="X66" s="586"/>
      <c r="Y66" s="586"/>
      <c r="Z66" s="586"/>
      <c r="AA66" s="586"/>
      <c r="AB66" s="586"/>
      <c r="AC66" s="586"/>
      <c r="AD66" s="586"/>
      <c r="AE66" s="586"/>
      <c r="AF66" s="586"/>
      <c r="AG66" s="586"/>
      <c r="AH66" s="580"/>
      <c r="AI66" s="580">
        <v>0.4</v>
      </c>
      <c r="AJ66" s="581">
        <f t="shared" si="47"/>
        <v>0.4</v>
      </c>
      <c r="AK66" s="582"/>
      <c r="AL66" s="292"/>
      <c r="AM66" s="582"/>
      <c r="AN66" s="582"/>
      <c r="AO66" s="582"/>
      <c r="AP66" s="582"/>
      <c r="AQ66" s="582"/>
      <c r="AR66" s="582"/>
      <c r="AS66" s="582"/>
      <c r="AT66" s="582"/>
      <c r="AU66" s="582"/>
      <c r="AV66" s="582"/>
      <c r="AW66" s="582"/>
      <c r="AX66" s="582"/>
      <c r="AY66" s="582"/>
      <c r="AZ66" s="582"/>
      <c r="BA66" s="582"/>
      <c r="BB66" s="582"/>
      <c r="BC66" s="582"/>
      <c r="BD66" s="582"/>
      <c r="BE66" s="582"/>
      <c r="BF66" s="582"/>
      <c r="BG66" s="582"/>
    </row>
    <row r="67" spans="1:59" s="562" customFormat="1" hidden="1" x14ac:dyDescent="0.35">
      <c r="A67" s="587" t="s">
        <v>200</v>
      </c>
      <c r="B67" s="588"/>
      <c r="C67" s="588"/>
      <c r="D67" s="588"/>
      <c r="E67" s="588"/>
      <c r="F67" s="588"/>
      <c r="G67" s="588"/>
      <c r="H67" s="588"/>
      <c r="I67" s="588"/>
      <c r="J67" s="589"/>
      <c r="K67" s="589"/>
      <c r="L67" s="589"/>
      <c r="M67" s="589"/>
      <c r="N67" s="589"/>
      <c r="O67" s="589"/>
      <c r="P67" s="589"/>
      <c r="Q67" s="589"/>
      <c r="R67" s="589"/>
      <c r="S67" s="589"/>
      <c r="T67" s="589"/>
      <c r="U67" s="589"/>
      <c r="V67" s="589"/>
      <c r="W67" s="589"/>
      <c r="X67" s="589"/>
      <c r="Y67" s="589"/>
      <c r="Z67" s="589"/>
      <c r="AA67" s="589"/>
      <c r="AB67" s="589"/>
      <c r="AC67" s="589"/>
      <c r="AD67" s="589"/>
      <c r="AE67" s="589"/>
      <c r="AF67" s="589"/>
      <c r="AG67" s="589"/>
      <c r="AH67" s="590"/>
      <c r="AI67" s="590">
        <v>0.2</v>
      </c>
      <c r="AJ67" s="591">
        <f t="shared" si="47"/>
        <v>0.2</v>
      </c>
      <c r="AK67" s="561"/>
      <c r="AL67" s="482"/>
      <c r="AM67" s="561"/>
      <c r="AN67" s="561"/>
      <c r="AO67" s="561"/>
      <c r="AP67" s="561"/>
      <c r="AQ67" s="561"/>
      <c r="AR67" s="561"/>
      <c r="AS67" s="561"/>
      <c r="AT67" s="561"/>
      <c r="AU67" s="561"/>
      <c r="AV67" s="561"/>
      <c r="AW67" s="561"/>
      <c r="AX67" s="561"/>
      <c r="AY67" s="561"/>
      <c r="AZ67" s="561"/>
      <c r="BA67" s="561"/>
      <c r="BB67" s="561"/>
      <c r="BC67" s="561"/>
      <c r="BD67" s="561"/>
      <c r="BE67" s="561"/>
      <c r="BF67" s="561"/>
      <c r="BG67" s="561"/>
    </row>
    <row r="68" spans="1:59" s="479" customFormat="1" ht="30" x14ac:dyDescent="0.4">
      <c r="A68" s="592" t="s">
        <v>224</v>
      </c>
      <c r="B68" s="593">
        <f>SUM(B54:B63,B65)</f>
        <v>12.025769506084465</v>
      </c>
      <c r="C68" s="593">
        <f>SUM(C54:C63,C65)</f>
        <v>9.6678077849625961</v>
      </c>
      <c r="D68" s="593">
        <f>SUM(D54:D63,D65)</f>
        <v>0</v>
      </c>
      <c r="E68" s="593">
        <f>SUM(E54:E63,E65)</f>
        <v>0</v>
      </c>
      <c r="F68" s="593">
        <f t="shared" ref="F68:AJ68" si="51">SUM(F54:F63,F65)</f>
        <v>0</v>
      </c>
      <c r="G68" s="593">
        <f t="shared" si="51"/>
        <v>0</v>
      </c>
      <c r="H68" s="593">
        <f t="shared" si="51"/>
        <v>35.840782594029335</v>
      </c>
      <c r="I68" s="593">
        <f t="shared" si="51"/>
        <v>4.4626711658355145</v>
      </c>
      <c r="J68" s="594">
        <f t="shared" si="51"/>
        <v>5.9101654846335689</v>
      </c>
      <c r="K68" s="594">
        <f t="shared" si="51"/>
        <v>6.1289130302562436</v>
      </c>
      <c r="L68" s="594">
        <f t="shared" si="51"/>
        <v>0</v>
      </c>
      <c r="M68" s="594">
        <f t="shared" si="51"/>
        <v>0</v>
      </c>
      <c r="N68" s="594">
        <f t="shared" si="51"/>
        <v>9.137794107797264</v>
      </c>
      <c r="O68" s="594">
        <f t="shared" si="51"/>
        <v>9.1165257749046908</v>
      </c>
      <c r="P68" s="594">
        <f t="shared" si="51"/>
        <v>9.1060177301923702</v>
      </c>
      <c r="Q68" s="594">
        <f t="shared" si="51"/>
        <v>5.4135502608785044</v>
      </c>
      <c r="R68" s="594">
        <f t="shared" si="51"/>
        <v>5.8077279079475135</v>
      </c>
      <c r="S68" s="594">
        <f t="shared" si="51"/>
        <v>0</v>
      </c>
      <c r="T68" s="594">
        <f t="shared" si="51"/>
        <v>13.706913928643418</v>
      </c>
      <c r="U68" s="594">
        <f t="shared" si="51"/>
        <v>12.168012168012167</v>
      </c>
      <c r="V68" s="594">
        <f t="shared" si="51"/>
        <v>7.344678272408939</v>
      </c>
      <c r="W68" s="594">
        <f t="shared" si="51"/>
        <v>6.2052007701408067</v>
      </c>
      <c r="X68" s="594">
        <f t="shared" si="51"/>
        <v>13.446866259536932</v>
      </c>
      <c r="Y68" s="594">
        <f t="shared" si="51"/>
        <v>11.411555983488904</v>
      </c>
      <c r="Z68" s="594">
        <f t="shared" si="51"/>
        <v>0</v>
      </c>
      <c r="AA68" s="594">
        <f t="shared" ref="AA68" si="52">SUM(AA54:AA63,AA65)</f>
        <v>0</v>
      </c>
      <c r="AB68" s="594">
        <f t="shared" si="51"/>
        <v>9.8858770258364572</v>
      </c>
      <c r="AC68" s="594">
        <f t="shared" si="51"/>
        <v>7.2265832184151906</v>
      </c>
      <c r="AD68" s="594">
        <f t="shared" si="51"/>
        <v>6.1034000147323448</v>
      </c>
      <c r="AE68" s="594">
        <f t="shared" si="51"/>
        <v>4.2673415933370613</v>
      </c>
      <c r="AF68" s="594">
        <f t="shared" si="51"/>
        <v>0</v>
      </c>
      <c r="AG68" s="594"/>
      <c r="AH68" s="593">
        <f>SUM(AH54:AH63,AH65)</f>
        <v>8.2203502173050378</v>
      </c>
      <c r="AI68" s="593">
        <f>SUM(AI54:AI63,AI65)</f>
        <v>9.6</v>
      </c>
      <c r="AJ68" s="556">
        <f t="shared" si="51"/>
        <v>1.3796497826949612</v>
      </c>
      <c r="AK68" s="476"/>
      <c r="AL68" s="292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</row>
    <row r="69" spans="1:59" s="599" customFormat="1" ht="25.5" x14ac:dyDescent="0.35">
      <c r="A69" s="595" t="s">
        <v>203</v>
      </c>
      <c r="B69" s="596">
        <f t="shared" ref="B69" si="53">SUM(B60:B62)</f>
        <v>3.5790980672870436</v>
      </c>
      <c r="C69" s="596">
        <f>SUM(C60:C62)</f>
        <v>4.2263640590000415</v>
      </c>
      <c r="D69" s="596">
        <f t="shared" ref="D69:AJ69" si="54">SUM(D60:D62)</f>
        <v>0</v>
      </c>
      <c r="E69" s="596">
        <f t="shared" si="54"/>
        <v>0</v>
      </c>
      <c r="F69" s="596">
        <f t="shared" si="54"/>
        <v>0</v>
      </c>
      <c r="G69" s="596">
        <f t="shared" si="54"/>
        <v>0</v>
      </c>
      <c r="H69" s="596">
        <f t="shared" si="54"/>
        <v>8.152021139034126</v>
      </c>
      <c r="I69" s="596">
        <f t="shared" si="54"/>
        <v>2.5382479121666686</v>
      </c>
      <c r="J69" s="597">
        <f t="shared" si="54"/>
        <v>2.6096834607472901</v>
      </c>
      <c r="K69" s="597">
        <f t="shared" si="54"/>
        <v>2.4328509738421733</v>
      </c>
      <c r="L69" s="597">
        <f t="shared" si="54"/>
        <v>0</v>
      </c>
      <c r="M69" s="597">
        <f t="shared" si="54"/>
        <v>0</v>
      </c>
      <c r="N69" s="597">
        <f t="shared" si="54"/>
        <v>3.181483288840409</v>
      </c>
      <c r="O69" s="597">
        <f t="shared" si="54"/>
        <v>3.0890707171164657</v>
      </c>
      <c r="P69" s="597">
        <f t="shared" si="54"/>
        <v>3.4096523787940036</v>
      </c>
      <c r="Q69" s="597">
        <f t="shared" si="54"/>
        <v>2.3132084200786491</v>
      </c>
      <c r="R69" s="597">
        <f t="shared" si="54"/>
        <v>3.1458526168049028</v>
      </c>
      <c r="S69" s="597">
        <f t="shared" si="54"/>
        <v>0</v>
      </c>
      <c r="T69" s="597">
        <f t="shared" si="54"/>
        <v>8.8691796008869179</v>
      </c>
      <c r="U69" s="597">
        <f t="shared" si="54"/>
        <v>3.9780039780039771</v>
      </c>
      <c r="V69" s="597">
        <f t="shared" si="54"/>
        <v>2.7039154997641264</v>
      </c>
      <c r="W69" s="597">
        <f t="shared" si="54"/>
        <v>3.0736041197893713</v>
      </c>
      <c r="X69" s="597">
        <f t="shared" si="54"/>
        <v>4.7994968803270268</v>
      </c>
      <c r="Y69" s="597">
        <f t="shared" si="54"/>
        <v>2.3179723091461839</v>
      </c>
      <c r="Z69" s="597">
        <f t="shared" si="54"/>
        <v>0</v>
      </c>
      <c r="AA69" s="597">
        <f t="shared" ref="AA69" si="55">SUM(AA60:AA62)</f>
        <v>0</v>
      </c>
      <c r="AB69" s="597">
        <f t="shared" si="54"/>
        <v>3.5855512528940521</v>
      </c>
      <c r="AC69" s="597">
        <f t="shared" si="54"/>
        <v>2.7182560729818603</v>
      </c>
      <c r="AD69" s="597">
        <f t="shared" si="54"/>
        <v>2.578160351050732</v>
      </c>
      <c r="AE69" s="597">
        <f t="shared" si="54"/>
        <v>2.9675191539872667</v>
      </c>
      <c r="AF69" s="597">
        <f t="shared" si="54"/>
        <v>0</v>
      </c>
      <c r="AG69" s="597"/>
      <c r="AH69" s="596">
        <f t="shared" si="54"/>
        <v>3.1892617643566434</v>
      </c>
      <c r="AI69" s="596">
        <f t="shared" si="54"/>
        <v>2.9</v>
      </c>
      <c r="AJ69" s="596">
        <f t="shared" si="54"/>
        <v>-0.28926176435664347</v>
      </c>
      <c r="AK69" s="598"/>
      <c r="AL69" s="292"/>
      <c r="AM69" s="598"/>
      <c r="AN69" s="598"/>
      <c r="AO69" s="598"/>
      <c r="AP69" s="598"/>
      <c r="AQ69" s="598"/>
      <c r="AR69" s="598"/>
      <c r="AS69" s="598"/>
      <c r="AT69" s="598"/>
      <c r="AU69" s="598"/>
      <c r="AV69" s="598"/>
      <c r="AW69" s="598"/>
      <c r="AX69" s="598"/>
      <c r="AY69" s="598"/>
      <c r="AZ69" s="598"/>
      <c r="BA69" s="598"/>
      <c r="BB69" s="598"/>
      <c r="BC69" s="598"/>
      <c r="BD69" s="598"/>
      <c r="BE69" s="598"/>
      <c r="BF69" s="598"/>
      <c r="BG69" s="598"/>
    </row>
    <row r="70" spans="1:59" x14ac:dyDescent="0.35">
      <c r="A70" s="539"/>
      <c r="B70" s="492"/>
      <c r="C70" s="492"/>
      <c r="D70" s="492"/>
      <c r="E70" s="492"/>
      <c r="F70" s="492"/>
      <c r="G70" s="492"/>
      <c r="H70" s="492"/>
      <c r="I70" s="492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8"/>
      <c r="AB70" s="528"/>
      <c r="AC70" s="528"/>
      <c r="AD70" s="528"/>
      <c r="AE70" s="528"/>
      <c r="AH70" s="492"/>
      <c r="AI70" s="492"/>
    </row>
    <row r="71" spans="1:59" s="605" customFormat="1" x14ac:dyDescent="0.4">
      <c r="A71" s="600" t="s">
        <v>233</v>
      </c>
      <c r="B71" s="601">
        <f>+'Water '!$F7</f>
        <v>164</v>
      </c>
      <c r="C71" s="601">
        <f>+'Water '!$F8</f>
        <v>177</v>
      </c>
      <c r="D71" s="601" t="str">
        <f>+'Water '!$F9</f>
        <v>0</v>
      </c>
      <c r="E71" s="601">
        <f>+'Water '!$F10</f>
        <v>126</v>
      </c>
      <c r="F71" s="601" t="str">
        <f>+'Water '!$F11</f>
        <v>0</v>
      </c>
      <c r="G71" s="601" t="str">
        <f>+'Water '!$F12</f>
        <v>0</v>
      </c>
      <c r="H71" s="601">
        <f>+'Water '!$F13</f>
        <v>193</v>
      </c>
      <c r="I71" s="601">
        <f>+'Water '!$F14</f>
        <v>155</v>
      </c>
      <c r="J71" s="602">
        <f>+'Water '!$F15</f>
        <v>144</v>
      </c>
      <c r="K71" s="602">
        <f>+'Water '!$F16</f>
        <v>174</v>
      </c>
      <c r="L71" s="602">
        <f>+'Water '!$F17</f>
        <v>34</v>
      </c>
      <c r="M71" s="602" t="str">
        <f>+'Water '!$F18</f>
        <v>0</v>
      </c>
      <c r="N71" s="602">
        <f>+'Water '!$F19</f>
        <v>158</v>
      </c>
      <c r="O71" s="602">
        <f>+'Water '!$F20</f>
        <v>151</v>
      </c>
      <c r="P71" s="602">
        <f>+'Water '!$F21</f>
        <v>172</v>
      </c>
      <c r="Q71" s="602">
        <f>+'Water '!$F22</f>
        <v>115</v>
      </c>
      <c r="R71" s="602">
        <f>+'Water '!$F23</f>
        <v>186</v>
      </c>
      <c r="S71" s="602">
        <f>+'Water '!$F24</f>
        <v>35</v>
      </c>
      <c r="T71" s="602">
        <f>+'Water '!$F25</f>
        <v>73</v>
      </c>
      <c r="U71" s="602">
        <f>+'Water '!$F26</f>
        <v>113</v>
      </c>
      <c r="V71" s="602">
        <f>+'Water '!$F27</f>
        <v>132</v>
      </c>
      <c r="W71" s="602">
        <f>+'Water '!$F28</f>
        <v>180</v>
      </c>
      <c r="X71" s="602">
        <f>+'Water '!$F29</f>
        <v>152</v>
      </c>
      <c r="Y71" s="602">
        <f>+'Water '!$F30</f>
        <v>169</v>
      </c>
      <c r="Z71" s="602">
        <f>+'Water '!$F31</f>
        <v>41</v>
      </c>
      <c r="AA71" s="602">
        <f>+'Water '!$F32</f>
        <v>77</v>
      </c>
      <c r="AB71" s="602">
        <f>+'Water '!$F33</f>
        <v>122</v>
      </c>
      <c r="AC71" s="602">
        <f>+'Water '!$F34</f>
        <v>141</v>
      </c>
      <c r="AD71" s="602">
        <f>+'Water '!$F35</f>
        <v>132</v>
      </c>
      <c r="AE71" s="602">
        <f>+'Water '!$F36</f>
        <v>140</v>
      </c>
      <c r="AF71" s="602" t="str">
        <f>+'Water '!$F37</f>
        <v>0</v>
      </c>
      <c r="AG71" s="602"/>
      <c r="AH71" s="603">
        <f>SUM($B71:AF71)</f>
        <v>3456</v>
      </c>
      <c r="AI71" s="603"/>
      <c r="AJ71" s="604"/>
      <c r="AK71" s="604"/>
      <c r="AL71" s="604"/>
      <c r="AM71" s="604"/>
      <c r="AN71" s="604"/>
      <c r="AO71" s="604"/>
      <c r="AP71" s="604"/>
      <c r="AQ71" s="604"/>
      <c r="AR71" s="604"/>
      <c r="AS71" s="604"/>
      <c r="AT71" s="604"/>
      <c r="AU71" s="604"/>
      <c r="AV71" s="604"/>
      <c r="AW71" s="604"/>
      <c r="AX71" s="604"/>
      <c r="AY71" s="604"/>
      <c r="AZ71" s="604"/>
      <c r="BA71" s="604"/>
      <c r="BB71" s="604"/>
      <c r="BC71" s="604"/>
      <c r="BD71" s="604"/>
      <c r="BE71" s="604"/>
      <c r="BF71" s="604"/>
      <c r="BG71" s="604"/>
    </row>
    <row r="72" spans="1:59" x14ac:dyDescent="0.35">
      <c r="A72" s="539"/>
      <c r="B72" s="492"/>
      <c r="C72" s="492"/>
      <c r="D72" s="492"/>
      <c r="E72" s="492"/>
      <c r="F72" s="492"/>
      <c r="G72" s="492"/>
      <c r="H72" s="492"/>
      <c r="I72" s="492"/>
      <c r="J72" s="528"/>
      <c r="K72" s="528"/>
      <c r="L72" s="528"/>
      <c r="M72" s="528"/>
      <c r="N72" s="528"/>
      <c r="O72" s="528"/>
      <c r="P72" s="528"/>
      <c r="Q72" s="528"/>
      <c r="R72" s="528"/>
      <c r="S72" s="528"/>
      <c r="T72" s="528"/>
      <c r="U72" s="528"/>
      <c r="V72" s="528"/>
      <c r="W72" s="528"/>
      <c r="X72" s="528"/>
      <c r="Y72" s="528"/>
      <c r="Z72" s="528"/>
      <c r="AA72" s="528"/>
      <c r="AB72" s="528"/>
      <c r="AC72" s="528"/>
      <c r="AD72" s="528"/>
      <c r="AE72" s="528"/>
      <c r="AH72" s="492"/>
      <c r="AI72" s="492"/>
    </row>
    <row r="73" spans="1:59" ht="25.5" hidden="1" customHeight="1" x14ac:dyDescent="0.5">
      <c r="A73" s="606" t="s">
        <v>241</v>
      </c>
      <c r="B73" s="492"/>
      <c r="C73" s="492"/>
      <c r="D73" s="492"/>
      <c r="E73" s="492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8"/>
      <c r="AB73" s="528"/>
      <c r="AC73" s="528"/>
      <c r="AD73" s="528"/>
      <c r="AE73" s="528"/>
      <c r="AF73" s="528"/>
      <c r="AG73" s="528"/>
      <c r="AH73" s="528">
        <f>SUM(B73:AF73)</f>
        <v>0</v>
      </c>
      <c r="AI73" s="607"/>
    </row>
    <row r="74" spans="1:59" s="512" customFormat="1" ht="37.5" customHeight="1" x14ac:dyDescent="0.5">
      <c r="A74" s="538" t="s">
        <v>223</v>
      </c>
      <c r="B74" s="609">
        <v>1200</v>
      </c>
      <c r="C74" s="609">
        <v>1400</v>
      </c>
      <c r="D74" s="609"/>
      <c r="E74" s="801"/>
      <c r="F74" s="801"/>
      <c r="G74" s="802">
        <v>600</v>
      </c>
      <c r="H74" s="609">
        <v>700</v>
      </c>
      <c r="I74" s="803">
        <f>1900+1300+500</f>
        <v>3700</v>
      </c>
      <c r="J74" s="804">
        <v>4000</v>
      </c>
      <c r="K74" s="804">
        <v>0</v>
      </c>
      <c r="L74" s="609">
        <v>0</v>
      </c>
      <c r="M74" s="609">
        <v>0</v>
      </c>
      <c r="N74" s="609">
        <v>2600</v>
      </c>
      <c r="O74" s="609">
        <v>2000</v>
      </c>
      <c r="P74" s="806">
        <f>2200+400</f>
        <v>2600</v>
      </c>
      <c r="Q74" s="608">
        <v>2100</v>
      </c>
      <c r="R74" s="608">
        <v>1600</v>
      </c>
      <c r="S74" s="608"/>
      <c r="T74" s="809">
        <v>1600</v>
      </c>
      <c r="U74" s="608">
        <v>1600</v>
      </c>
      <c r="V74" s="608">
        <v>1700</v>
      </c>
      <c r="W74" s="752">
        <f>1600+1400</f>
        <v>3000</v>
      </c>
      <c r="X74" s="608">
        <f>1600+0</f>
        <v>1600</v>
      </c>
      <c r="Y74" s="609">
        <v>1800</v>
      </c>
      <c r="Z74" s="609"/>
      <c r="AA74" s="609"/>
      <c r="AB74" s="609">
        <v>1600</v>
      </c>
      <c r="AC74" s="806">
        <f>1600+1300</f>
        <v>2900</v>
      </c>
      <c r="AD74" s="806">
        <f>1900+900</f>
        <v>2800</v>
      </c>
      <c r="AE74" s="609">
        <v>2000</v>
      </c>
      <c r="AF74" s="609"/>
      <c r="AG74" s="608"/>
      <c r="AH74" s="524">
        <f>SUM(B74:AF74)</f>
        <v>43100</v>
      </c>
      <c r="AI74" s="546"/>
      <c r="AJ74" s="546"/>
      <c r="AK74" s="482"/>
      <c r="AL74" s="482" t="s">
        <v>58</v>
      </c>
      <c r="AM74" s="482"/>
      <c r="AN74" s="482"/>
      <c r="AO74" s="482"/>
      <c r="AP74" s="482"/>
      <c r="AQ74" s="482"/>
      <c r="AR74" s="482"/>
      <c r="AS74" s="482"/>
      <c r="AT74" s="482"/>
      <c r="AU74" s="482"/>
      <c r="AV74" s="482"/>
      <c r="AW74" s="482"/>
      <c r="AX74" s="482"/>
      <c r="AY74" s="482"/>
      <c r="AZ74" s="482"/>
      <c r="BA74" s="482"/>
      <c r="BB74" s="482"/>
      <c r="BC74" s="482"/>
      <c r="BD74" s="482"/>
      <c r="BE74" s="482"/>
      <c r="BF74" s="482"/>
      <c r="BG74" s="482"/>
    </row>
    <row r="75" spans="1:59" s="614" customFormat="1" x14ac:dyDescent="0.4">
      <c r="A75" s="612" t="s">
        <v>290</v>
      </c>
      <c r="B75" s="613" cm="1">
        <f t="array" ref="B75:AF75">TRANSPOSE('CO2'!D7:D37)</f>
        <v>1627.3800000000047</v>
      </c>
      <c r="C75" s="613">
        <v>1816.5</v>
      </c>
      <c r="D75" s="613" t="str">
        <v>0</v>
      </c>
      <c r="E75" s="613" t="str">
        <v>0</v>
      </c>
      <c r="F75" s="613" t="str">
        <v>0</v>
      </c>
      <c r="G75" s="613" t="str">
        <v>0</v>
      </c>
      <c r="H75" s="613">
        <v>672.97999999998137</v>
      </c>
      <c r="I75" s="613">
        <v>3112.1500000000233</v>
      </c>
      <c r="J75" s="613">
        <v>3511.679999999993</v>
      </c>
      <c r="K75" s="613">
        <v>3094.1900000000023</v>
      </c>
      <c r="L75" s="613" t="str">
        <v>0</v>
      </c>
      <c r="M75" s="613" t="str">
        <v>0</v>
      </c>
      <c r="N75" s="613">
        <v>2093.3099999999977</v>
      </c>
      <c r="O75" s="613">
        <v>2123.5</v>
      </c>
      <c r="P75" s="613">
        <v>2343.9199999999837</v>
      </c>
      <c r="Q75" s="613">
        <v>2492.7300000000396</v>
      </c>
      <c r="R75" s="613">
        <v>1931.8499999999767</v>
      </c>
      <c r="S75" s="613" t="str">
        <v>0</v>
      </c>
      <c r="T75" s="613" t="str">
        <v>0</v>
      </c>
      <c r="U75" s="613">
        <v>1606.9799999999814</v>
      </c>
      <c r="V75" s="613">
        <v>1961.0200000000186</v>
      </c>
      <c r="W75" s="613">
        <v>3292.0900000000256</v>
      </c>
      <c r="X75" s="613">
        <v>1349.8799999999464</v>
      </c>
      <c r="Y75" s="610">
        <v>1990.5</v>
      </c>
      <c r="Z75" s="611">
        <v>8.3099999999976717</v>
      </c>
      <c r="AA75" s="611" t="str">
        <v>0</v>
      </c>
      <c r="AB75" s="610">
        <v>1913.1300000000047</v>
      </c>
      <c r="AC75" s="611">
        <v>3199.1900000000023</v>
      </c>
      <c r="AD75" s="611">
        <v>3021.0599999999977</v>
      </c>
      <c r="AE75" s="610">
        <v>2267.4300000000512</v>
      </c>
      <c r="AF75" s="611" t="str">
        <v>0</v>
      </c>
      <c r="AG75" s="610"/>
      <c r="AH75" s="524">
        <f>SUM(B75:AF75)</f>
        <v>45429.780000000028</v>
      </c>
      <c r="AI75" s="611"/>
      <c r="AJ75" s="611"/>
      <c r="AK75" s="611"/>
      <c r="AL75" s="611"/>
      <c r="AM75" s="611"/>
      <c r="AN75" s="611"/>
      <c r="AO75" s="611"/>
      <c r="AP75" s="611"/>
      <c r="AQ75" s="611"/>
      <c r="AR75" s="611"/>
      <c r="AS75" s="611"/>
      <c r="AT75" s="611"/>
      <c r="AU75" s="611"/>
      <c r="AV75" s="611"/>
      <c r="AW75" s="611"/>
      <c r="AX75" s="611"/>
      <c r="AY75" s="611"/>
      <c r="AZ75" s="611"/>
      <c r="BA75" s="611"/>
      <c r="BB75" s="611"/>
      <c r="BC75" s="611"/>
      <c r="BD75" s="611"/>
      <c r="BE75" s="611"/>
      <c r="BF75" s="611"/>
    </row>
    <row r="76" spans="1:59" s="615" customFormat="1" x14ac:dyDescent="0.2">
      <c r="A76" s="615" t="s">
        <v>284</v>
      </c>
      <c r="B76" s="616" cm="1">
        <f t="array" ref="B76:AF76">TRANSPOSE('CO2'!B7:B37)</f>
        <v>117.81999999999971</v>
      </c>
      <c r="C76" s="616">
        <v>140.04999999999563</v>
      </c>
      <c r="D76" s="616" t="str">
        <v>0</v>
      </c>
      <c r="E76" s="616" t="str">
        <v>0</v>
      </c>
      <c r="F76" s="616" t="str">
        <v>0</v>
      </c>
      <c r="G76" s="616" t="str">
        <v>0</v>
      </c>
      <c r="H76" s="616">
        <v>136.22000000000116</v>
      </c>
      <c r="I76" s="616">
        <v>317.34000000000378</v>
      </c>
      <c r="J76" s="616">
        <v>408.63999999999942</v>
      </c>
      <c r="K76" s="616">
        <v>286.47999999999593</v>
      </c>
      <c r="L76" s="616" t="str">
        <v>0</v>
      </c>
      <c r="M76" s="616" t="str">
        <v>0</v>
      </c>
      <c r="N76" s="616">
        <v>272.67000000000553</v>
      </c>
      <c r="O76" s="616">
        <v>257.64999999999418</v>
      </c>
      <c r="P76" s="616">
        <v>331.28000000000611</v>
      </c>
      <c r="Q76" s="616">
        <v>356.82999999999447</v>
      </c>
      <c r="R76" s="616">
        <v>199.20999999999913</v>
      </c>
      <c r="S76" s="616" t="str">
        <v>0</v>
      </c>
      <c r="T76" s="616" t="str">
        <v>0</v>
      </c>
      <c r="U76" s="616">
        <v>154.29000000000087</v>
      </c>
      <c r="V76" s="616">
        <v>311.68000000000029</v>
      </c>
      <c r="W76" s="616">
        <v>303.60000000000582</v>
      </c>
      <c r="X76" s="616">
        <v>141.7899999999936</v>
      </c>
      <c r="Y76" s="616">
        <v>134.45000000000437</v>
      </c>
      <c r="Z76" s="616" t="str">
        <v>0</v>
      </c>
      <c r="AA76" s="616" t="str">
        <v>0</v>
      </c>
      <c r="AB76" s="616">
        <v>276.15000000000146</v>
      </c>
      <c r="AC76" s="616">
        <v>244.75</v>
      </c>
      <c r="AD76" s="616">
        <v>363.0199999999968</v>
      </c>
      <c r="AE76" s="616">
        <v>344.15000000000146</v>
      </c>
      <c r="AF76" s="616" t="str">
        <v>0</v>
      </c>
      <c r="AG76" s="616"/>
      <c r="AH76" s="616">
        <f>SUM($B76:AF76)</f>
        <v>5098.07</v>
      </c>
      <c r="AI76" s="617"/>
      <c r="AJ76" s="618"/>
      <c r="AK76" s="618"/>
      <c r="AL76" s="618"/>
      <c r="AM76" s="618"/>
      <c r="AN76" s="618"/>
      <c r="AO76" s="618"/>
      <c r="AP76" s="618"/>
      <c r="AQ76" s="618"/>
      <c r="AR76" s="618"/>
      <c r="AS76" s="618"/>
      <c r="AT76" s="618"/>
      <c r="AU76" s="618"/>
      <c r="AV76" s="618"/>
      <c r="AW76" s="618"/>
      <c r="AX76" s="618"/>
      <c r="AY76" s="618"/>
      <c r="AZ76" s="618"/>
      <c r="BA76" s="618"/>
      <c r="BB76" s="618"/>
      <c r="BC76" s="618"/>
      <c r="BD76" s="618"/>
      <c r="BE76" s="618"/>
      <c r="BF76" s="618"/>
      <c r="BG76" s="618"/>
    </row>
    <row r="77" spans="1:59" s="623" customFormat="1" x14ac:dyDescent="0.35">
      <c r="A77" s="719" t="s">
        <v>288</v>
      </c>
      <c r="B77" s="619" cm="1">
        <f t="array" ref="B77:AF77">TRANSPOSE('CO2'!C7:C37)</f>
        <v>111.80999999999767</v>
      </c>
      <c r="C77" s="619">
        <v>238.18000000000029</v>
      </c>
      <c r="D77" s="619" t="str">
        <v>0</v>
      </c>
      <c r="E77" s="619" t="str">
        <v>0</v>
      </c>
      <c r="F77" s="619" t="str">
        <v>0</v>
      </c>
      <c r="G77" s="619" t="str">
        <v>0</v>
      </c>
      <c r="H77" s="619">
        <v>27.580000000001746</v>
      </c>
      <c r="I77" s="619">
        <v>159.61000000000058</v>
      </c>
      <c r="J77" s="620">
        <v>274.72999999999956</v>
      </c>
      <c r="K77" s="620">
        <v>335.48999999999796</v>
      </c>
      <c r="L77" s="620" t="str">
        <v>0</v>
      </c>
      <c r="M77" s="620" t="str">
        <v>0</v>
      </c>
      <c r="N77" s="620">
        <v>111.03000000000247</v>
      </c>
      <c r="O77" s="620">
        <v>104.28999999999724</v>
      </c>
      <c r="P77" s="620">
        <v>164.25</v>
      </c>
      <c r="Q77" s="620">
        <v>203.38000000000102</v>
      </c>
      <c r="R77" s="620">
        <v>32.700000000000728</v>
      </c>
      <c r="S77" s="620" t="str">
        <v>0</v>
      </c>
      <c r="T77" s="620" t="str">
        <v>0</v>
      </c>
      <c r="U77" s="620">
        <v>109.71999999999753</v>
      </c>
      <c r="V77" s="620">
        <v>118.9800000000032</v>
      </c>
      <c r="W77" s="620">
        <v>759.19999999999709</v>
      </c>
      <c r="X77" s="620">
        <v>170.01000000000204</v>
      </c>
      <c r="Y77" s="620">
        <v>481.31999999999971</v>
      </c>
      <c r="Z77" s="620" t="str">
        <v>0</v>
      </c>
      <c r="AA77" s="620" t="str">
        <v>0</v>
      </c>
      <c r="AB77" s="620">
        <v>552.15999999999985</v>
      </c>
      <c r="AC77" s="620">
        <v>380.45000000000073</v>
      </c>
      <c r="AD77" s="620">
        <v>356.11000000000058</v>
      </c>
      <c r="AE77" s="620" t="str">
        <v>0</v>
      </c>
      <c r="AF77" s="620" t="str">
        <v>0</v>
      </c>
      <c r="AG77" s="621"/>
      <c r="AH77" s="616">
        <f>SUM($B77:AF77)</f>
        <v>4691</v>
      </c>
      <c r="AI77" s="622"/>
      <c r="AJ77" s="622"/>
      <c r="AK77" s="622"/>
      <c r="AL77" s="622"/>
      <c r="AM77" s="622"/>
      <c r="AN77" s="622"/>
      <c r="AO77" s="622"/>
      <c r="AP77" s="622"/>
      <c r="AQ77" s="622"/>
      <c r="AR77" s="622"/>
      <c r="AS77" s="622"/>
      <c r="AT77" s="622"/>
      <c r="AU77" s="622"/>
      <c r="AV77" s="622"/>
      <c r="AW77" s="622"/>
      <c r="AX77" s="622"/>
      <c r="AY77" s="622"/>
      <c r="AZ77" s="622"/>
      <c r="BA77" s="622"/>
      <c r="BB77" s="622"/>
      <c r="BC77" s="622"/>
      <c r="BD77" s="622"/>
      <c r="BE77" s="622"/>
      <c r="BF77" s="622"/>
    </row>
    <row r="78" spans="1:59" x14ac:dyDescent="0.4">
      <c r="A78" s="538"/>
      <c r="B78" s="493"/>
      <c r="C78" s="493"/>
      <c r="D78" s="493"/>
      <c r="E78" s="493"/>
      <c r="F78" s="493"/>
      <c r="G78" s="493"/>
      <c r="H78" s="493"/>
      <c r="I78" s="493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529"/>
      <c r="AG78" s="529"/>
      <c r="AH78" s="523">
        <f>SUM($B78:AF78)</f>
        <v>0</v>
      </c>
      <c r="AI78" s="492"/>
    </row>
    <row r="79" spans="1:59" ht="35.450000000000003" hidden="1" customHeight="1" x14ac:dyDescent="0.5">
      <c r="A79" s="624" t="s">
        <v>235</v>
      </c>
      <c r="B79" s="625">
        <f>'Daily KPIs CO2'!B47</f>
        <v>1627.3800000000047</v>
      </c>
      <c r="C79" s="625">
        <f>'Daily KPIs CO2'!C47</f>
        <v>1816.5</v>
      </c>
      <c r="D79" s="625">
        <f>'Daily KPIs CO2'!D47</f>
        <v>0</v>
      </c>
      <c r="E79" s="625">
        <f>'Daily KPIs CO2'!E47</f>
        <v>0</v>
      </c>
      <c r="F79" s="625">
        <f>'Daily KPIs CO2'!F47</f>
        <v>0</v>
      </c>
      <c r="G79" s="625" t="e">
        <f>'Daily KPIs CO2'!G47</f>
        <v>#REF!</v>
      </c>
      <c r="H79" s="625" t="e">
        <f>'Daily KPIs CO2'!H47</f>
        <v>#REF!</v>
      </c>
      <c r="I79" s="625">
        <f>'Daily KPIs CO2'!I47</f>
        <v>3112.1500000000233</v>
      </c>
      <c r="J79" s="626">
        <f>'Daily KPIs CO2'!J47</f>
        <v>3511.679999999993</v>
      </c>
      <c r="K79" s="626">
        <f>'Daily KPIs CO2'!K47</f>
        <v>3094.1900000000023</v>
      </c>
      <c r="L79" s="626" t="s">
        <v>240</v>
      </c>
      <c r="M79" s="626">
        <f>'Daily KPIs CO2'!M47</f>
        <v>0</v>
      </c>
      <c r="N79" s="626"/>
      <c r="O79" s="626">
        <f>'Daily KPIs CO2'!O47</f>
        <v>2123.5</v>
      </c>
      <c r="P79" s="626">
        <f>'Daily KPIs CO2'!P47</f>
        <v>2343.9199999999837</v>
      </c>
      <c r="Q79" s="626">
        <f>'Daily KPIs CO2'!Q47</f>
        <v>2492.7300000000396</v>
      </c>
      <c r="R79" s="626">
        <f>'Daily KPIs CO2'!R47</f>
        <v>1931.8499999999767</v>
      </c>
      <c r="S79" s="626">
        <f>'Daily KPIs CO2'!S47</f>
        <v>199.20999999999913</v>
      </c>
      <c r="T79" s="626">
        <f>'Daily KPIs CO2'!T47</f>
        <v>182</v>
      </c>
      <c r="U79" s="626">
        <f>'Daily KPIs CO2'!U47</f>
        <v>180</v>
      </c>
      <c r="V79" s="626">
        <f>'Daily KPIs CO2'!V47</f>
        <v>0</v>
      </c>
      <c r="W79" s="626">
        <f>'Daily KPIs CO2'!W47</f>
        <v>32</v>
      </c>
      <c r="X79" s="626">
        <f>'Daily KPIs CO2'!X47</f>
        <v>52</v>
      </c>
      <c r="Y79" s="626">
        <f>'Daily KPIs CO2'!Y47</f>
        <v>0</v>
      </c>
      <c r="Z79" s="626">
        <f>'Daily KPIs CO2'!Z47</f>
        <v>0</v>
      </c>
      <c r="AA79" s="626">
        <f>'Daily KPIs CO2'!AA47</f>
        <v>0</v>
      </c>
      <c r="AB79" s="626">
        <f>'Daily KPIs CO2'!AB47</f>
        <v>0</v>
      </c>
      <c r="AC79" s="625">
        <f>'Daily KPIs CO2'!AC47</f>
        <v>35</v>
      </c>
      <c r="AD79" s="626">
        <f>'Daily KPIs CO2'!AF47</f>
        <v>4</v>
      </c>
      <c r="AE79" s="625" t="e">
        <f>'Daily KPIs CO2'!AG47</f>
        <v>#REF!</v>
      </c>
      <c r="AF79" s="626">
        <f>'Daily KPIs CO2'!AH47</f>
        <v>0</v>
      </c>
      <c r="AG79" s="626"/>
      <c r="AH79" s="627"/>
      <c r="AI79" s="492"/>
      <c r="AL79" s="191"/>
    </row>
    <row r="80" spans="1:59" s="631" customFormat="1" ht="32.450000000000003" customHeight="1" x14ac:dyDescent="0.4">
      <c r="A80" s="605" t="s">
        <v>295</v>
      </c>
      <c r="B80" s="628" cm="1">
        <f t="array" ref="B80:AF80">TRANSPOSE('Elec.April 2026'!B7:B37)</f>
        <v>5927</v>
      </c>
      <c r="C80" s="628">
        <v>5832</v>
      </c>
      <c r="D80" s="628">
        <v>2694</v>
      </c>
      <c r="E80" s="628">
        <v>2971</v>
      </c>
      <c r="F80" s="628">
        <v>2911</v>
      </c>
      <c r="G80" s="628">
        <v>2599</v>
      </c>
      <c r="H80" s="628">
        <v>5214</v>
      </c>
      <c r="I80" s="628">
        <v>5850</v>
      </c>
      <c r="J80" s="628">
        <v>6901</v>
      </c>
      <c r="K80" s="629">
        <v>6846</v>
      </c>
      <c r="L80" s="629">
        <v>2983</v>
      </c>
      <c r="M80" s="629">
        <v>1952</v>
      </c>
      <c r="N80" s="629">
        <v>6237</v>
      </c>
      <c r="O80" s="629">
        <v>7380</v>
      </c>
      <c r="P80" s="629">
        <v>6949</v>
      </c>
      <c r="Q80" s="629">
        <v>6258</v>
      </c>
      <c r="R80" s="629">
        <v>5872</v>
      </c>
      <c r="S80" s="629">
        <v>3482</v>
      </c>
      <c r="T80" s="629">
        <v>1989</v>
      </c>
      <c r="U80" s="629">
        <v>5497</v>
      </c>
      <c r="V80" s="629">
        <v>5959</v>
      </c>
      <c r="W80" s="629">
        <v>7375</v>
      </c>
      <c r="X80" s="629">
        <v>7064</v>
      </c>
      <c r="Y80" s="629">
        <v>4121</v>
      </c>
      <c r="Z80" s="629">
        <v>3680</v>
      </c>
      <c r="AA80" s="629">
        <v>3443</v>
      </c>
      <c r="AB80" s="629">
        <v>6546</v>
      </c>
      <c r="AC80" s="629">
        <v>5953</v>
      </c>
      <c r="AD80" s="629">
        <v>6553</v>
      </c>
      <c r="AE80" s="629">
        <v>6457</v>
      </c>
      <c r="AF80" s="629">
        <v>0</v>
      </c>
      <c r="AG80" s="629"/>
      <c r="AH80" s="603">
        <f>SUM(B80:AF80)</f>
        <v>153495</v>
      </c>
      <c r="AI80" s="603"/>
      <c r="AJ80" s="630"/>
      <c r="AK80" s="630"/>
      <c r="AL80" s="630"/>
      <c r="AM80" s="630"/>
      <c r="AN80" s="630"/>
      <c r="AO80" s="630"/>
      <c r="AP80" s="630"/>
      <c r="AQ80" s="630"/>
      <c r="AR80" s="630"/>
      <c r="AS80" s="630"/>
      <c r="AT80" s="630"/>
      <c r="AU80" s="630"/>
      <c r="AV80" s="630"/>
      <c r="AW80" s="630"/>
      <c r="AX80" s="630"/>
      <c r="AY80" s="630"/>
      <c r="AZ80" s="630"/>
      <c r="BA80" s="630"/>
      <c r="BB80" s="630"/>
      <c r="BC80" s="630"/>
      <c r="BD80" s="630"/>
      <c r="BE80" s="630"/>
      <c r="BF80" s="630"/>
      <c r="BG80" s="630"/>
    </row>
    <row r="81" spans="1:59" s="631" customFormat="1" hidden="1" x14ac:dyDescent="0.4">
      <c r="A81" s="605"/>
      <c r="B81" s="628" t="e" cm="1" vm="1">
        <f t="array" aca="1" ref="B81" ca="1">TRANSPOSE('Elec.April 2026'!E8:E38)</f>
        <v>#VALUE!</v>
      </c>
      <c r="C81" s="628"/>
      <c r="D81" s="628" t="s">
        <v>58</v>
      </c>
      <c r="E81" s="628"/>
      <c r="F81" s="628"/>
      <c r="G81" s="628"/>
      <c r="H81" s="628"/>
      <c r="I81" s="628"/>
      <c r="J81" s="629"/>
      <c r="K81" s="629"/>
      <c r="L81" s="629"/>
      <c r="M81" s="629"/>
      <c r="N81" s="629"/>
      <c r="O81" s="629"/>
      <c r="P81" s="632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29"/>
      <c r="AB81" s="629"/>
      <c r="AC81" s="629"/>
      <c r="AD81" s="629"/>
      <c r="AE81" s="629"/>
      <c r="AF81" s="629"/>
      <c r="AG81" s="629"/>
      <c r="AH81" s="603" t="e" vm="2">
        <f t="shared" ref="AH81:AH82" ca="1" si="56">SUM(B81:AF81)</f>
        <v>#VALUE!</v>
      </c>
      <c r="AI81" s="603"/>
      <c r="AJ81" s="630"/>
      <c r="AK81" s="630"/>
      <c r="AL81" s="630"/>
      <c r="AM81" s="630"/>
      <c r="AN81" s="630"/>
      <c r="AO81" s="630"/>
      <c r="AP81" s="630"/>
      <c r="AQ81" s="630"/>
      <c r="AR81" s="630"/>
      <c r="AS81" s="630"/>
      <c r="AT81" s="630"/>
      <c r="AU81" s="630"/>
      <c r="AV81" s="630"/>
      <c r="AW81" s="630"/>
      <c r="AX81" s="630"/>
      <c r="AY81" s="630"/>
      <c r="AZ81" s="630"/>
      <c r="BA81" s="630"/>
      <c r="BB81" s="630"/>
      <c r="BC81" s="630"/>
      <c r="BD81" s="630"/>
      <c r="BE81" s="630"/>
      <c r="BF81" s="630"/>
      <c r="BG81" s="630"/>
    </row>
    <row r="82" spans="1:59" s="631" customFormat="1" hidden="1" x14ac:dyDescent="0.4">
      <c r="A82" s="605"/>
      <c r="B82" s="628" cm="1">
        <f t="array" ref="B82:AF82">TRANSPOSE('Elec.April 2026'!E9:E39)</f>
        <v>3908.2</v>
      </c>
      <c r="C82" s="630">
        <v>4056.9</v>
      </c>
      <c r="D82" s="630">
        <v>4149.7</v>
      </c>
      <c r="E82" s="630">
        <v>4087</v>
      </c>
      <c r="F82" s="630">
        <v>6761.2</v>
      </c>
      <c r="G82" s="630">
        <v>7448.2</v>
      </c>
      <c r="H82" s="630">
        <v>8613.9</v>
      </c>
      <c r="I82" s="630">
        <v>8463.5</v>
      </c>
      <c r="J82" s="633">
        <v>4472.3999999999996</v>
      </c>
      <c r="K82" s="633">
        <v>3607.2</v>
      </c>
      <c r="L82" s="633">
        <v>7137.9</v>
      </c>
      <c r="M82" s="633">
        <v>8792.9</v>
      </c>
      <c r="N82" s="633">
        <v>8270</v>
      </c>
      <c r="O82" s="633">
        <v>7543.2</v>
      </c>
      <c r="P82" s="633">
        <v>7157.2</v>
      </c>
      <c r="Q82" s="633">
        <v>4832.8999999999996</v>
      </c>
      <c r="R82" s="633">
        <v>3586.3</v>
      </c>
      <c r="S82" s="633">
        <v>6812.8</v>
      </c>
      <c r="T82" s="633">
        <v>7390.7</v>
      </c>
      <c r="U82" s="633">
        <v>8222.7000000000007</v>
      </c>
      <c r="V82" s="633">
        <v>8142.7</v>
      </c>
      <c r="W82" s="633">
        <v>5806.9</v>
      </c>
      <c r="X82" s="633">
        <v>5057</v>
      </c>
      <c r="Y82" s="634">
        <v>4774.8</v>
      </c>
      <c r="Z82" s="634">
        <v>8028.7</v>
      </c>
      <c r="AA82" s="633">
        <v>7341.9</v>
      </c>
      <c r="AB82" s="633">
        <v>6553</v>
      </c>
      <c r="AC82" s="633">
        <v>6457</v>
      </c>
      <c r="AD82" s="633">
        <v>0</v>
      </c>
      <c r="AE82" s="633">
        <v>192570.8</v>
      </c>
      <c r="AF82" s="633">
        <v>0</v>
      </c>
      <c r="AG82" s="633"/>
      <c r="AH82" s="603">
        <f t="shared" si="56"/>
        <v>370047.6</v>
      </c>
      <c r="AI82" s="603"/>
      <c r="AJ82" s="630"/>
      <c r="AK82" s="630"/>
      <c r="AL82" s="630"/>
      <c r="AM82" s="630"/>
      <c r="AN82" s="630"/>
      <c r="AO82" s="630"/>
      <c r="AP82" s="630"/>
      <c r="AQ82" s="630"/>
      <c r="AR82" s="630"/>
      <c r="AS82" s="630"/>
      <c r="AT82" s="630"/>
      <c r="AU82" s="630"/>
      <c r="AV82" s="630"/>
      <c r="AW82" s="630"/>
      <c r="AX82" s="630"/>
      <c r="AY82" s="630"/>
      <c r="AZ82" s="630"/>
      <c r="BA82" s="630"/>
      <c r="BB82" s="630"/>
      <c r="BC82" s="630"/>
      <c r="BD82" s="630"/>
      <c r="BE82" s="630"/>
      <c r="BF82" s="630"/>
      <c r="BG82" s="630"/>
    </row>
    <row r="83" spans="1:59" s="721" customFormat="1" x14ac:dyDescent="0.4">
      <c r="A83" s="721" t="s">
        <v>306</v>
      </c>
      <c r="B83" s="603" cm="1">
        <f t="array" ref="B83:AF83">TRANSPOSE('Elec.April 2026'!D7:D37)</f>
        <v>1739.4</v>
      </c>
      <c r="C83" s="603">
        <v>1604.4</v>
      </c>
      <c r="D83" s="603">
        <v>1730.6</v>
      </c>
      <c r="E83" s="603">
        <v>1214.2</v>
      </c>
      <c r="F83" s="603">
        <v>1085.9000000000001</v>
      </c>
      <c r="G83" s="603">
        <v>1238.7</v>
      </c>
      <c r="H83" s="603">
        <v>1488</v>
      </c>
      <c r="I83" s="603">
        <v>1547.2</v>
      </c>
      <c r="J83" s="637">
        <v>1598.2</v>
      </c>
      <c r="K83" s="637">
        <v>1712.9</v>
      </c>
      <c r="L83" s="637">
        <v>1617.5</v>
      </c>
      <c r="M83" s="637">
        <v>1489.4</v>
      </c>
      <c r="N83" s="637">
        <v>1655.2</v>
      </c>
      <c r="O83" s="637">
        <v>900.9</v>
      </c>
      <c r="P83" s="637">
        <v>1412.9</v>
      </c>
      <c r="Q83" s="637">
        <v>1321</v>
      </c>
      <c r="R83" s="637">
        <v>1285.2</v>
      </c>
      <c r="S83" s="637">
        <v>1350.9</v>
      </c>
      <c r="T83" s="637">
        <v>1597.3</v>
      </c>
      <c r="U83" s="637">
        <v>1315.8</v>
      </c>
      <c r="V83" s="637">
        <v>1431.7</v>
      </c>
      <c r="W83" s="637">
        <v>847.7</v>
      </c>
      <c r="X83" s="637">
        <v>1078.7</v>
      </c>
      <c r="Y83" s="727">
        <v>1685.9</v>
      </c>
      <c r="Z83" s="727">
        <v>1377</v>
      </c>
      <c r="AA83" s="637">
        <v>1331.8</v>
      </c>
      <c r="AB83" s="637">
        <v>1482.7</v>
      </c>
      <c r="AC83" s="637">
        <v>1388.9</v>
      </c>
      <c r="AD83" s="637">
        <v>1613.3</v>
      </c>
      <c r="AE83" s="637">
        <v>1713.9</v>
      </c>
      <c r="AF83" s="637">
        <v>0</v>
      </c>
      <c r="AG83" s="637"/>
      <c r="AH83" s="603">
        <f>SUM(B83:AF83)</f>
        <v>42857.200000000012</v>
      </c>
      <c r="AI83" s="603"/>
      <c r="AJ83" s="603"/>
      <c r="AK83" s="603"/>
      <c r="AL83" s="603"/>
      <c r="AM83" s="603"/>
      <c r="AN83" s="603"/>
      <c r="AO83" s="603"/>
      <c r="AP83" s="603"/>
      <c r="AQ83" s="603"/>
      <c r="AR83" s="603"/>
      <c r="AS83" s="603"/>
      <c r="AT83" s="603"/>
      <c r="AU83" s="603"/>
      <c r="AV83" s="603"/>
      <c r="AW83" s="603"/>
      <c r="AX83" s="603"/>
      <c r="AY83" s="603"/>
      <c r="AZ83" s="603"/>
      <c r="BA83" s="603"/>
      <c r="BB83" s="603"/>
      <c r="BC83" s="603"/>
      <c r="BD83" s="603"/>
      <c r="BE83" s="603"/>
      <c r="BF83" s="603"/>
      <c r="BG83" s="603"/>
    </row>
    <row r="84" spans="1:59" s="631" customFormat="1" x14ac:dyDescent="0.4">
      <c r="A84" s="605" t="s">
        <v>133</v>
      </c>
      <c r="B84" s="635">
        <f>+'Fuel '!$K7</f>
        <v>2700</v>
      </c>
      <c r="C84" s="635">
        <f>+'Fuel '!$K8</f>
        <v>2450</v>
      </c>
      <c r="D84" s="635">
        <f>+'Fuel '!$K9</f>
        <v>150</v>
      </c>
      <c r="E84" s="635">
        <f>+'Fuel '!$K10</f>
        <v>360</v>
      </c>
      <c r="F84" s="635">
        <f>+'Fuel '!$K11</f>
        <v>0</v>
      </c>
      <c r="G84" s="635">
        <f>+'Fuel '!$K12</f>
        <v>780</v>
      </c>
      <c r="H84" s="635">
        <f>+'Fuel '!$K13</f>
        <v>3230</v>
      </c>
      <c r="I84" s="635">
        <f>+'Fuel '!$K14</f>
        <v>2800</v>
      </c>
      <c r="J84" s="636">
        <f>+'Fuel '!$K15</f>
        <v>3790</v>
      </c>
      <c r="K84" s="636">
        <f>+'Fuel '!$K16</f>
        <v>2400</v>
      </c>
      <c r="L84" s="636">
        <f>+'Fuel '!$K17</f>
        <v>0</v>
      </c>
      <c r="M84" s="636">
        <f>+'Fuel '!$K18</f>
        <v>700</v>
      </c>
      <c r="N84" s="636">
        <f>+'Fuel '!$K19</f>
        <v>3520</v>
      </c>
      <c r="O84" s="636">
        <f>+'Fuel '!$K20</f>
        <v>3090</v>
      </c>
      <c r="P84" s="636">
        <f>+'Fuel '!$K21</f>
        <v>3370</v>
      </c>
      <c r="Q84" s="636">
        <f>+'Fuel '!$K22</f>
        <v>3340</v>
      </c>
      <c r="R84" s="636">
        <f>+'Fuel '!$K23</f>
        <v>2190</v>
      </c>
      <c r="S84" s="636">
        <f>+'Fuel '!$K24</f>
        <v>0</v>
      </c>
      <c r="T84" s="636">
        <f>+'Fuel '!$K25</f>
        <v>1180</v>
      </c>
      <c r="U84" s="636">
        <f>+'Fuel '!$K26</f>
        <v>3070</v>
      </c>
      <c r="V84" s="636">
        <f>+'Fuel '!$K27</f>
        <v>3580</v>
      </c>
      <c r="W84" s="636">
        <f>+'Fuel '!$K28</f>
        <v>3550</v>
      </c>
      <c r="X84" s="636">
        <f>+'Fuel '!$K29</f>
        <v>2580</v>
      </c>
      <c r="Y84" s="636">
        <f>+'Fuel '!$K30</f>
        <v>2520</v>
      </c>
      <c r="Z84" s="636">
        <f>+'Fuel '!$K31</f>
        <v>1290</v>
      </c>
      <c r="AA84" s="636">
        <f>+'Fuel '!$K32</f>
        <v>1200</v>
      </c>
      <c r="AB84" s="636">
        <f>+'Fuel '!$K33</f>
        <v>3290</v>
      </c>
      <c r="AC84" s="636">
        <f>+'Fuel '!$K34</f>
        <v>3050</v>
      </c>
      <c r="AD84" s="636">
        <f>+'Fuel '!$K35</f>
        <v>3140</v>
      </c>
      <c r="AE84" s="636">
        <f>+'Fuel '!$K36</f>
        <v>3130</v>
      </c>
      <c r="AF84" s="636">
        <f>+'Fuel '!$K37</f>
        <v>0</v>
      </c>
      <c r="AG84" s="636"/>
      <c r="AH84" s="637">
        <f>SUM($B84:AF84)</f>
        <v>66450</v>
      </c>
      <c r="AI84" s="604"/>
      <c r="AJ84" s="630"/>
      <c r="AK84" s="630"/>
      <c r="AL84" s="630"/>
      <c r="AM84" s="630"/>
      <c r="AN84" s="630"/>
      <c r="AO84" s="630"/>
      <c r="AP84" s="630"/>
      <c r="AQ84" s="630"/>
      <c r="AR84" s="630"/>
      <c r="AS84" s="630"/>
      <c r="AT84" s="630"/>
      <c r="AU84" s="630"/>
      <c r="AV84" s="630"/>
      <c r="AW84" s="630"/>
      <c r="AX84" s="630"/>
      <c r="AY84" s="630"/>
      <c r="AZ84" s="630"/>
      <c r="BA84" s="630"/>
      <c r="BB84" s="630"/>
      <c r="BC84" s="630"/>
      <c r="BD84" s="630"/>
      <c r="BE84" s="630"/>
      <c r="BF84" s="630"/>
      <c r="BG84" s="630"/>
    </row>
    <row r="85" spans="1:59" s="642" customFormat="1" x14ac:dyDescent="0.4">
      <c r="A85" s="638" t="s">
        <v>237</v>
      </c>
      <c r="B85" s="639">
        <f>'Steam Mass Flow '!B5</f>
        <v>529.10800000000745</v>
      </c>
      <c r="C85" s="639" t="str">
        <f>'Steam Mass Flow '!B6</f>
        <v>0</v>
      </c>
      <c r="D85" s="639" t="str">
        <f>'Steam Mass Flow '!B7</f>
        <v>0</v>
      </c>
      <c r="E85" s="639" t="str">
        <f>'Steam Mass Flow '!B8</f>
        <v>0</v>
      </c>
      <c r="F85" s="639" t="str">
        <f>'Steam Mass Flow '!B9</f>
        <v>0</v>
      </c>
      <c r="G85" s="639" t="str">
        <f>'Steam Mass Flow '!B10</f>
        <v>0</v>
      </c>
      <c r="H85" s="639">
        <f>'Steam Mass Flow '!B11</f>
        <v>427.66600000020117</v>
      </c>
      <c r="I85" s="639" t="str">
        <f>'Steam Mass Flow '!B12</f>
        <v>0</v>
      </c>
      <c r="J85" s="639" t="str">
        <f>'Steam Mass Flow '!B13</f>
        <v>0</v>
      </c>
      <c r="K85" s="639" t="str">
        <f>'Steam Mass Flow '!B14</f>
        <v>0</v>
      </c>
      <c r="L85" s="639" t="str">
        <f>'Steam Mass Flow '!B15</f>
        <v>0</v>
      </c>
      <c r="M85" s="639" t="str">
        <f>'Steam Mass Flow '!B16</f>
        <v>0</v>
      </c>
      <c r="N85" s="639" t="str">
        <f>'Steam Mass Flow '!B17</f>
        <v>0</v>
      </c>
      <c r="O85" s="639">
        <f>'Steam Mass Flow '!B18</f>
        <v>261.43900000024587</v>
      </c>
      <c r="P85" s="639" t="str">
        <f>'Steam Mass Flow '!B19</f>
        <v>0</v>
      </c>
      <c r="Q85" s="639">
        <f>'Steam Mass Flow '!B20</f>
        <v>25.015999999828637</v>
      </c>
      <c r="R85" s="639">
        <f>'Steam Mass Flow '!B21</f>
        <v>36.673999999649823</v>
      </c>
      <c r="S85" s="639" t="str">
        <f>'Steam Mass Flow '!B22</f>
        <v>0</v>
      </c>
      <c r="T85" s="639" t="str">
        <f>'Steam Mass Flow '!B23</f>
        <v>0</v>
      </c>
      <c r="U85" s="639" t="str">
        <f>'Steam Mass Flow '!B24</f>
        <v>0</v>
      </c>
      <c r="V85" s="639">
        <f>'Steam Mass Flow '!B25</f>
        <v>429.26600000075996</v>
      </c>
      <c r="W85" s="639" t="str">
        <f>'Steam Mass Flow '!B26</f>
        <v>0</v>
      </c>
      <c r="X85" s="639" t="str">
        <f>'Steam Mass Flow '!B27</f>
        <v>0</v>
      </c>
      <c r="Y85" s="639">
        <f>'Steam Mass Flow '!B28</f>
        <v>41.915999999269843</v>
      </c>
      <c r="Z85" s="639" t="str">
        <f>'Steam Mass Flow '!B29</f>
        <v>0</v>
      </c>
      <c r="AA85" s="639" t="str">
        <f>'Steam Mass Flow '!B30</f>
        <v>0</v>
      </c>
      <c r="AB85" s="639" t="str">
        <f>'Steam Mass Flow '!B31</f>
        <v>0</v>
      </c>
      <c r="AC85" s="639" t="str">
        <f>'Steam Mass Flow '!B32</f>
        <v>0</v>
      </c>
      <c r="AD85" s="639" t="str">
        <f>'Steam Mass Flow '!B33</f>
        <v>0</v>
      </c>
      <c r="AE85" s="639" t="str">
        <f>'Steam Mass Flow '!B34</f>
        <v>0</v>
      </c>
      <c r="AF85" s="639">
        <f>'Steam Mass Flow '!B35</f>
        <v>0</v>
      </c>
      <c r="AG85" s="639"/>
      <c r="AH85" s="640">
        <f>SUM($B85:AF85)</f>
        <v>1751.0849999999627</v>
      </c>
      <c r="AI85" s="639"/>
      <c r="AJ85" s="641"/>
      <c r="AK85" s="641"/>
      <c r="AL85" s="641"/>
      <c r="AM85" s="641"/>
      <c r="AN85" s="641"/>
      <c r="AO85" s="641"/>
      <c r="AP85" s="641"/>
      <c r="AQ85" s="641"/>
      <c r="AR85" s="641"/>
      <c r="AS85" s="641"/>
      <c r="AT85" s="641"/>
      <c r="AU85" s="641"/>
      <c r="AV85" s="641"/>
      <c r="AW85" s="641"/>
      <c r="AX85" s="641"/>
      <c r="AY85" s="641"/>
      <c r="AZ85" s="641"/>
      <c r="BA85" s="641"/>
      <c r="BB85" s="641"/>
      <c r="BC85" s="641"/>
      <c r="BD85" s="641"/>
      <c r="BE85" s="641"/>
      <c r="BF85" s="641"/>
      <c r="BG85" s="641"/>
    </row>
    <row r="86" spans="1:59" x14ac:dyDescent="0.4">
      <c r="A86" s="479"/>
      <c r="B86" s="476"/>
      <c r="C86" s="476"/>
      <c r="D86" s="476"/>
      <c r="E86" s="476"/>
      <c r="F86" s="476"/>
      <c r="G86" s="476"/>
      <c r="H86" s="476"/>
      <c r="I86" s="476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04"/>
      <c r="Y86" s="504"/>
      <c r="Z86" s="504"/>
      <c r="AA86" s="504"/>
      <c r="AB86" s="504"/>
      <c r="AC86" s="504"/>
      <c r="AD86" s="504"/>
      <c r="AE86" s="504"/>
      <c r="AH86" s="492"/>
      <c r="AI86" s="492"/>
    </row>
    <row r="87" spans="1:59" hidden="1" x14ac:dyDescent="0.35">
      <c r="B87" s="476"/>
      <c r="C87" s="476"/>
      <c r="D87" s="476"/>
      <c r="E87" s="476"/>
      <c r="F87" s="476"/>
      <c r="G87" s="476"/>
      <c r="H87" s="476"/>
      <c r="I87" s="476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04"/>
      <c r="Y87" s="504"/>
      <c r="Z87" s="504"/>
      <c r="AA87" s="504"/>
      <c r="AB87" s="504"/>
      <c r="AC87" s="504"/>
      <c r="AD87" s="504"/>
      <c r="AE87" s="504"/>
      <c r="AH87" s="492"/>
      <c r="AI87" s="492"/>
    </row>
    <row r="88" spans="1:59" ht="27.75" customHeight="1" thickBot="1" x14ac:dyDescent="0.45">
      <c r="A88" s="479" t="s">
        <v>221</v>
      </c>
      <c r="M88" s="477"/>
    </row>
    <row r="89" spans="1:59" ht="27" thickBot="1" x14ac:dyDescent="0.45">
      <c r="A89" s="479" t="s">
        <v>123</v>
      </c>
      <c r="B89" s="292">
        <v>1</v>
      </c>
      <c r="C89" s="292">
        <v>2</v>
      </c>
      <c r="D89" s="292">
        <v>3</v>
      </c>
      <c r="E89" s="292">
        <v>4</v>
      </c>
      <c r="F89" s="292">
        <v>5</v>
      </c>
      <c r="G89" s="292">
        <v>6</v>
      </c>
      <c r="H89" s="292">
        <v>7</v>
      </c>
      <c r="I89" s="292">
        <v>8</v>
      </c>
      <c r="J89" s="292">
        <v>9</v>
      </c>
      <c r="K89" s="292">
        <v>10</v>
      </c>
      <c r="L89" s="292">
        <v>11</v>
      </c>
      <c r="M89" s="292">
        <v>12</v>
      </c>
      <c r="N89" s="292">
        <v>13</v>
      </c>
      <c r="O89" s="292">
        <v>14</v>
      </c>
      <c r="P89" s="292">
        <v>15</v>
      </c>
      <c r="Q89" s="292">
        <v>16</v>
      </c>
      <c r="R89" s="292">
        <v>17</v>
      </c>
      <c r="S89" s="292">
        <v>18</v>
      </c>
      <c r="T89" s="292">
        <v>19</v>
      </c>
      <c r="U89" s="292">
        <v>20</v>
      </c>
      <c r="V89" s="292">
        <v>21</v>
      </c>
      <c r="W89" s="292">
        <v>22</v>
      </c>
      <c r="X89" s="292">
        <v>23</v>
      </c>
      <c r="Y89" s="292">
        <v>24</v>
      </c>
      <c r="Z89" s="292">
        <v>25</v>
      </c>
      <c r="AA89" s="292">
        <v>26</v>
      </c>
      <c r="AB89" s="292">
        <v>27</v>
      </c>
      <c r="AC89" s="292">
        <v>28</v>
      </c>
      <c r="AD89" s="292">
        <v>29</v>
      </c>
      <c r="AE89" s="292">
        <v>30</v>
      </c>
      <c r="AF89" s="292">
        <v>31</v>
      </c>
      <c r="AG89" s="292"/>
      <c r="AH89" s="676" t="s">
        <v>85</v>
      </c>
      <c r="AI89" s="679" t="s">
        <v>153</v>
      </c>
      <c r="AJ89" s="682" t="s">
        <v>202</v>
      </c>
      <c r="AK89" s="684" t="s">
        <v>251</v>
      </c>
    </row>
    <row r="90" spans="1:59" s="648" customFormat="1" x14ac:dyDescent="0.4">
      <c r="A90" s="643" t="s">
        <v>137</v>
      </c>
      <c r="B90" s="670">
        <f t="shared" ref="B90:AD90" si="57">IF(B$9=0,"",+(B22*10)/B$9)</f>
        <v>17.322834645669289</v>
      </c>
      <c r="C90" s="670">
        <f>IF(C$9=0,"",+(C22*10)/C$9)</f>
        <v>15.426228815350154</v>
      </c>
      <c r="D90" s="670" t="str">
        <f t="shared" si="57"/>
        <v/>
      </c>
      <c r="E90" s="670" t="str">
        <f t="shared" si="57"/>
        <v/>
      </c>
      <c r="F90" s="670" t="str">
        <f t="shared" si="57"/>
        <v/>
      </c>
      <c r="G90" s="670" t="str">
        <f t="shared" si="57"/>
        <v/>
      </c>
      <c r="H90" s="670">
        <f t="shared" si="57"/>
        <v>30.640355315679987</v>
      </c>
      <c r="I90" s="670">
        <f t="shared" si="57"/>
        <v>5.2921639475893283</v>
      </c>
      <c r="J90" s="670">
        <f t="shared" si="57"/>
        <v>5.7566546928249052</v>
      </c>
      <c r="K90" s="670">
        <f t="shared" si="57"/>
        <v>8.819084780177878</v>
      </c>
      <c r="L90" s="670" t="str">
        <f t="shared" si="57"/>
        <v/>
      </c>
      <c r="M90" s="670" t="str">
        <f t="shared" si="57"/>
        <v/>
      </c>
      <c r="N90" s="670">
        <f t="shared" si="57"/>
        <v>9.3291615236673646</v>
      </c>
      <c r="O90" s="670">
        <f t="shared" si="57"/>
        <v>11.477279005871745</v>
      </c>
      <c r="P90" s="670">
        <f t="shared" si="57"/>
        <v>7.9014100035525718</v>
      </c>
      <c r="Q90" s="670">
        <f t="shared" si="57"/>
        <v>5.1725910504536454</v>
      </c>
      <c r="R90" s="670">
        <f t="shared" si="57"/>
        <v>10.949986993109373</v>
      </c>
      <c r="S90" s="670" t="str">
        <f t="shared" si="57"/>
        <v/>
      </c>
      <c r="T90" s="670">
        <f>IF(AF$9=0,"",+(T22*10)/AF$9)</f>
        <v>47.033528186521529</v>
      </c>
      <c r="U90" s="670">
        <f>IF(U$9=0,"",+(U22*10)/U$9)</f>
        <v>12.090012090012088</v>
      </c>
      <c r="V90" s="670">
        <f t="shared" si="57"/>
        <v>6.0214855810350052</v>
      </c>
      <c r="W90" s="670">
        <f t="shared" si="57"/>
        <v>8.5442328361440385</v>
      </c>
      <c r="X90" s="670">
        <f t="shared" si="57"/>
        <v>11.791867335286232</v>
      </c>
      <c r="Y90" s="670">
        <f t="shared" si="57"/>
        <v>13.016306043667033</v>
      </c>
      <c r="Z90" s="670" t="str">
        <f t="shared" si="57"/>
        <v/>
      </c>
      <c r="AA90" s="670" t="str">
        <f t="shared" ref="AA90" si="58">IF(AA$9=0,"",+(AA22*10)/AA$9)</f>
        <v/>
      </c>
      <c r="AB90" s="670">
        <f t="shared" si="57"/>
        <v>9.271211096768905</v>
      </c>
      <c r="AC90" s="670">
        <f t="shared" si="57"/>
        <v>7.3370814327640463</v>
      </c>
      <c r="AD90" s="670">
        <f t="shared" si="57"/>
        <v>6.1910925436796491</v>
      </c>
      <c r="AE90" s="670">
        <f>IF(AE$9=0,"",+(AE22*10)/AE$9)</f>
        <v>10.570254176599271</v>
      </c>
      <c r="AF90" s="671" t="str">
        <f>IF(AA$9=0,"",+(AF22*10)/AA$9)</f>
        <v/>
      </c>
      <c r="AG90" s="644"/>
      <c r="AH90" s="677">
        <f>IF(AH$9=0,"0",+(AH22*10)/AH$9)</f>
        <v>9.590201033701879</v>
      </c>
      <c r="AI90" s="680">
        <v>10.199999999999999</v>
      </c>
      <c r="AJ90" s="683">
        <f>+AI90-AH90</f>
        <v>0.60979896629812025</v>
      </c>
      <c r="AK90" s="685">
        <f>AH90/AI90*100</f>
        <v>94.021578761783132</v>
      </c>
      <c r="AL90" s="646"/>
      <c r="AM90" s="647"/>
      <c r="AN90" s="647"/>
      <c r="AO90" s="647"/>
      <c r="AP90" s="647"/>
      <c r="AQ90" s="647"/>
      <c r="AR90" s="647"/>
      <c r="AS90" s="647"/>
      <c r="AT90" s="647"/>
      <c r="AU90" s="647"/>
      <c r="AV90" s="647"/>
      <c r="AW90" s="647"/>
      <c r="AX90" s="647"/>
      <c r="AY90" s="647"/>
      <c r="AZ90" s="647"/>
      <c r="BA90" s="647"/>
      <c r="BB90" s="647"/>
      <c r="BC90" s="647"/>
      <c r="BD90" s="647"/>
      <c r="BE90" s="647"/>
      <c r="BF90" s="647"/>
      <c r="BG90" s="647"/>
    </row>
    <row r="91" spans="1:59" s="651" customFormat="1" hidden="1" x14ac:dyDescent="0.35">
      <c r="A91" s="649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72"/>
      <c r="P91" s="672"/>
      <c r="Q91" s="672"/>
      <c r="R91" s="672"/>
      <c r="S91" s="672"/>
      <c r="T91" s="672"/>
      <c r="U91" s="672"/>
      <c r="V91" s="672"/>
      <c r="W91" s="672"/>
      <c r="X91" s="672"/>
      <c r="Y91" s="672"/>
      <c r="Z91" s="672"/>
      <c r="AA91" s="672"/>
      <c r="AB91" s="672"/>
      <c r="AC91" s="672"/>
      <c r="AD91" s="672"/>
      <c r="AE91" s="672"/>
      <c r="AF91" s="673"/>
      <c r="AG91" s="650"/>
      <c r="AH91" s="688">
        <f>IF(AH$9=0,"0",+(AH23*10)/AH$9)</f>
        <v>0</v>
      </c>
      <c r="AI91" s="689"/>
      <c r="AJ91" s="690"/>
      <c r="AK91" s="691" t="e">
        <f t="shared" ref="AK91:AK96" si="59">AH91/AI91*100</f>
        <v>#DIV/0!</v>
      </c>
      <c r="AL91" s="646"/>
      <c r="AM91" s="646"/>
      <c r="AN91" s="646"/>
      <c r="AO91" s="646"/>
      <c r="AP91" s="646"/>
      <c r="AQ91" s="646"/>
      <c r="AR91" s="646"/>
      <c r="AS91" s="646"/>
      <c r="AT91" s="646"/>
      <c r="AU91" s="646"/>
      <c r="AV91" s="646"/>
      <c r="AW91" s="646"/>
      <c r="AX91" s="646"/>
      <c r="AY91" s="646"/>
      <c r="AZ91" s="646"/>
      <c r="BA91" s="646"/>
      <c r="BB91" s="646"/>
      <c r="BC91" s="646"/>
      <c r="BD91" s="646"/>
      <c r="BE91" s="646"/>
      <c r="BF91" s="646"/>
      <c r="BG91" s="646"/>
    </row>
    <row r="92" spans="1:59" s="648" customFormat="1" ht="29.25" x14ac:dyDescent="0.5">
      <c r="A92" s="648" t="s">
        <v>225</v>
      </c>
      <c r="B92" s="670">
        <f t="shared" ref="B92:AE92" si="60">IF(B$9=0,"",+B74/B$9)</f>
        <v>5.7265569076592699</v>
      </c>
      <c r="C92" s="670">
        <f t="shared" si="60"/>
        <v>7.3961371032500738</v>
      </c>
      <c r="D92" s="670" t="str">
        <f t="shared" si="60"/>
        <v/>
      </c>
      <c r="E92" s="670" t="str">
        <f t="shared" si="60"/>
        <v/>
      </c>
      <c r="F92" s="670" t="str">
        <f t="shared" si="60"/>
        <v/>
      </c>
      <c r="G92" s="670" t="str">
        <f t="shared" si="60"/>
        <v/>
      </c>
      <c r="H92" s="670">
        <f t="shared" si="60"/>
        <v>9.8386462022825647</v>
      </c>
      <c r="I92" s="670">
        <f t="shared" si="60"/>
        <v>6.1382465849782175</v>
      </c>
      <c r="J92" s="670">
        <f t="shared" si="60"/>
        <v>6.1404316723465655</v>
      </c>
      <c r="K92" s="670">
        <f>IF(K$9=0,"",+K74/K$9)</f>
        <v>0</v>
      </c>
      <c r="L92" s="670" t="str">
        <f t="shared" si="60"/>
        <v/>
      </c>
      <c r="M92" s="670" t="str">
        <f t="shared" si="60"/>
        <v/>
      </c>
      <c r="N92" s="670">
        <f t="shared" si="60"/>
        <v>6.2194410157782425</v>
      </c>
      <c r="O92" s="670">
        <f t="shared" si="60"/>
        <v>5.0228792148235213</v>
      </c>
      <c r="P92" s="670">
        <f t="shared" si="60"/>
        <v>5.3084408292601255</v>
      </c>
      <c r="Q92" s="670">
        <f t="shared" si="60"/>
        <v>3.3734289459480298</v>
      </c>
      <c r="R92" s="670">
        <f t="shared" si="60"/>
        <v>4.8397732566229275</v>
      </c>
      <c r="S92" s="670" t="str">
        <f t="shared" si="60"/>
        <v/>
      </c>
      <c r="T92" s="670">
        <f>IF(AF$9=0,"",+T74/AF$9)</f>
        <v>43.002082913391114</v>
      </c>
      <c r="U92" s="670">
        <f t="shared" si="60"/>
        <v>6.240006240006239</v>
      </c>
      <c r="V92" s="670">
        <f t="shared" si="60"/>
        <v>3.2600399642546205</v>
      </c>
      <c r="W92" s="670">
        <f t="shared" si="60"/>
        <v>5.7992530562063607</v>
      </c>
      <c r="X92" s="670">
        <f t="shared" si="60"/>
        <v>6.6199956970027971</v>
      </c>
      <c r="Y92" s="670">
        <f t="shared" si="60"/>
        <v>8.0237503008906366</v>
      </c>
      <c r="Z92" s="670" t="str">
        <f t="shared" si="60"/>
        <v/>
      </c>
      <c r="AA92" s="670" t="str">
        <f t="shared" ref="AA92" si="61">IF(AA$9=0,"",+AA74/AA$9)</f>
        <v/>
      </c>
      <c r="AB92" s="670">
        <f t="shared" si="60"/>
        <v>4.0977728604503447</v>
      </c>
      <c r="AC92" s="670">
        <f t="shared" si="60"/>
        <v>6.4088964322336546</v>
      </c>
      <c r="AD92" s="670">
        <f t="shared" si="60"/>
        <v>4.9107816210490132</v>
      </c>
      <c r="AE92" s="670">
        <f t="shared" si="60"/>
        <v>4.9049903371690355</v>
      </c>
      <c r="AF92" s="670" t="str">
        <f>IF(AA$9=0,"",+AF74/AA$9)</f>
        <v/>
      </c>
      <c r="AG92" s="645"/>
      <c r="AH92" s="688">
        <f>IF(AH$9=0,"0",+(AH74)/AH$9)</f>
        <v>5.36732456242762</v>
      </c>
      <c r="AI92" s="692">
        <v>5</v>
      </c>
      <c r="AJ92" s="693">
        <f>AI92-AH92</f>
        <v>-0.36732456242762002</v>
      </c>
      <c r="AK92" s="691">
        <f t="shared" si="59"/>
        <v>107.3464912485524</v>
      </c>
      <c r="AL92" s="646"/>
      <c r="AM92" s="647"/>
      <c r="AN92" s="647"/>
      <c r="AO92" s="647" t="s">
        <v>211</v>
      </c>
      <c r="AP92" s="647"/>
      <c r="AQ92" s="647"/>
      <c r="AR92" s="647"/>
      <c r="AS92" s="647"/>
      <c r="AT92" s="647"/>
      <c r="AU92" s="647"/>
      <c r="AV92" s="647"/>
      <c r="AW92" s="647"/>
      <c r="AX92" s="647"/>
      <c r="AY92" s="647"/>
      <c r="AZ92" s="647"/>
      <c r="BA92" s="647"/>
      <c r="BB92" s="647"/>
      <c r="BC92" s="647"/>
      <c r="BD92" s="647"/>
      <c r="BE92" s="647"/>
      <c r="BF92" s="647"/>
      <c r="BG92" s="647"/>
    </row>
    <row r="93" spans="1:59" s="648" customFormat="1" ht="29.25" x14ac:dyDescent="0.5">
      <c r="A93" s="648" t="s">
        <v>285</v>
      </c>
      <c r="B93" s="670">
        <f t="shared" ref="B93:AE93" si="62">IF(B$9=0,"",+B76/B$9)</f>
        <v>0.56225244571701127</v>
      </c>
      <c r="C93" s="670">
        <f t="shared" si="62"/>
        <v>0.73987785807867179</v>
      </c>
      <c r="D93" s="670" t="str">
        <f t="shared" si="62"/>
        <v/>
      </c>
      <c r="E93" s="670" t="str">
        <f t="shared" si="62"/>
        <v/>
      </c>
      <c r="F93" s="670" t="str">
        <f t="shared" si="62"/>
        <v/>
      </c>
      <c r="G93" s="670" t="str">
        <f t="shared" si="62"/>
        <v/>
      </c>
      <c r="H93" s="670">
        <f t="shared" si="62"/>
        <v>1.9146005509642035</v>
      </c>
      <c r="I93" s="670">
        <f t="shared" si="62"/>
        <v>0.52646247872351637</v>
      </c>
      <c r="J93" s="670">
        <f t="shared" si="62"/>
        <v>0.6273064996469242</v>
      </c>
      <c r="K93" s="670">
        <f t="shared" si="62"/>
        <v>0.67015687210220765</v>
      </c>
      <c r="L93" s="670" t="str">
        <f t="shared" si="62"/>
        <v/>
      </c>
      <c r="M93" s="670" t="str">
        <f t="shared" si="62"/>
        <v/>
      </c>
      <c r="N93" s="670">
        <f t="shared" si="62"/>
        <v>0.65225191606626454</v>
      </c>
      <c r="O93" s="670">
        <f t="shared" si="62"/>
        <v>0.64707241484962552</v>
      </c>
      <c r="P93" s="670">
        <f t="shared" si="62"/>
        <v>0.6763770299682027</v>
      </c>
      <c r="Q93" s="670">
        <f t="shared" si="62"/>
        <v>0.57320983370600798</v>
      </c>
      <c r="R93" s="670">
        <f t="shared" si="62"/>
        <v>0.60258201903240571</v>
      </c>
      <c r="S93" s="670" t="str">
        <f t="shared" si="62"/>
        <v/>
      </c>
      <c r="T93" s="670">
        <f>IF(AF$9=0,"",+T76/AF$9)</f>
        <v>0</v>
      </c>
      <c r="U93" s="670">
        <f t="shared" si="62"/>
        <v>0.60173160173160511</v>
      </c>
      <c r="V93" s="670">
        <f t="shared" si="62"/>
        <v>0.59769956238757715</v>
      </c>
      <c r="W93" s="670">
        <f t="shared" si="62"/>
        <v>0.58688440928809493</v>
      </c>
      <c r="X93" s="670">
        <f t="shared" si="62"/>
        <v>0.58665574367374007</v>
      </c>
      <c r="Y93" s="670">
        <f t="shared" si="62"/>
        <v>0.5993295710859895</v>
      </c>
      <c r="Z93" s="670" t="str">
        <f t="shared" si="62"/>
        <v/>
      </c>
      <c r="AA93" s="670" t="str">
        <f t="shared" ref="AA93" si="63">IF(AA$9=0,"",+AA76/AA$9)</f>
        <v/>
      </c>
      <c r="AB93" s="670">
        <f t="shared" si="62"/>
        <v>0.70724998463335542</v>
      </c>
      <c r="AC93" s="670">
        <f t="shared" si="62"/>
        <v>0.54088875923765067</v>
      </c>
      <c r="AD93" s="670">
        <f t="shared" si="62"/>
        <v>0.63668283716899898</v>
      </c>
      <c r="AE93" s="670">
        <f t="shared" si="62"/>
        <v>0.84402621226836527</v>
      </c>
      <c r="AF93" s="670" t="str">
        <f>IF(AA$9=0,"",+AF76/AA$9)</f>
        <v/>
      </c>
      <c r="AG93" s="645"/>
      <c r="AH93" s="688">
        <f>IF(AH$9=0,"0",+AH76/AH$9)</f>
        <v>0.63487230468620359</v>
      </c>
      <c r="AI93" s="692">
        <v>1.7</v>
      </c>
      <c r="AJ93" s="694">
        <f>AI93-AH93</f>
        <v>1.0651276953137963</v>
      </c>
      <c r="AK93" s="691">
        <f t="shared" si="59"/>
        <v>37.345429687423746</v>
      </c>
      <c r="AL93" s="652"/>
      <c r="AM93" s="653"/>
      <c r="AN93" s="653"/>
      <c r="AO93" s="653"/>
      <c r="AP93" s="653"/>
      <c r="AQ93" s="653"/>
      <c r="AR93" s="653"/>
      <c r="AS93" s="653"/>
      <c r="AT93" s="653"/>
      <c r="AU93" s="653"/>
      <c r="AV93" s="653"/>
      <c r="AW93" s="653"/>
      <c r="AX93" s="653"/>
      <c r="AY93" s="653"/>
      <c r="AZ93" s="653"/>
      <c r="BA93" s="653"/>
      <c r="BB93" s="653"/>
      <c r="BC93" s="653"/>
      <c r="BD93" s="653"/>
      <c r="BE93" s="653"/>
      <c r="BF93" s="653"/>
      <c r="BG93" s="653"/>
    </row>
    <row r="94" spans="1:59" s="648" customFormat="1" x14ac:dyDescent="0.4">
      <c r="A94" s="648" t="s">
        <v>189</v>
      </c>
      <c r="B94" s="670">
        <f>IF(B$9=0,"",(B80+B83)/B$9)</f>
        <v>36.585063230732516</v>
      </c>
      <c r="C94" s="670">
        <f>IF(C$9=0,"",(C80+C83)/C$9)</f>
        <v>39.286167110434889</v>
      </c>
      <c r="D94" s="670" t="str">
        <f>IF(D$9=0,"",(D80+D83)/D$9)</f>
        <v/>
      </c>
      <c r="E94" s="670" t="str">
        <f t="shared" ref="E94:AE94" si="64">IF(E$9=0,"",(E80+E83)/E$9)</f>
        <v/>
      </c>
      <c r="F94" s="670" t="str">
        <f t="shared" si="64"/>
        <v/>
      </c>
      <c r="G94" s="670" t="str">
        <f t="shared" si="64"/>
        <v/>
      </c>
      <c r="H94" s="670">
        <f t="shared" si="64"/>
        <v>94.198009782425359</v>
      </c>
      <c r="I94" s="670">
        <f t="shared" si="64"/>
        <v>12.271848010378614</v>
      </c>
      <c r="J94" s="670">
        <f t="shared" si="64"/>
        <v>13.047189217401984</v>
      </c>
      <c r="K94" s="670">
        <f>IF(K$9=0,"",(K80+K83)/K$9)</f>
        <v>20.021661730786324</v>
      </c>
      <c r="L94" s="670" t="str">
        <f t="shared" si="64"/>
        <v/>
      </c>
      <c r="M94" s="670" t="str">
        <f t="shared" si="64"/>
        <v/>
      </c>
      <c r="N94" s="670">
        <f t="shared" si="64"/>
        <v>18.878873994125019</v>
      </c>
      <c r="O94" s="670">
        <f t="shared" si="64"/>
        <v>20.796980245016048</v>
      </c>
      <c r="P94" s="670">
        <f t="shared" si="64"/>
        <v>17.072558219303939</v>
      </c>
      <c r="Q94" s="670">
        <f t="shared" si="64"/>
        <v>12.174865705400055</v>
      </c>
      <c r="R94" s="670">
        <f t="shared" si="64"/>
        <v>21.649515720188511</v>
      </c>
      <c r="S94" s="670" t="str">
        <f t="shared" si="64"/>
        <v/>
      </c>
      <c r="T94" s="670">
        <f>IF(AF$9=0,"",(T80+T83)/AF$9)</f>
        <v>96.386481220184095</v>
      </c>
      <c r="U94" s="670">
        <f t="shared" si="64"/>
        <v>26.56994656994657</v>
      </c>
      <c r="V94" s="670">
        <f t="shared" si="64"/>
        <v>14.172927861068603</v>
      </c>
      <c r="W94" s="670">
        <f t="shared" si="64"/>
        <v>15.895172701756016</v>
      </c>
      <c r="X94" s="670">
        <f>IF(X$9=0,"",(X80+X83)/X$9)</f>
        <v>33.690399351240423</v>
      </c>
      <c r="Y94" s="670">
        <f t="shared" si="64"/>
        <v>25.885064234578795</v>
      </c>
      <c r="Z94" s="670" t="str">
        <f t="shared" si="64"/>
        <v/>
      </c>
      <c r="AA94" s="670" t="str">
        <f t="shared" ref="AA94" si="65">IF(AA$9=0,"",(AA80+AA83)/AA$9)</f>
        <v/>
      </c>
      <c r="AB94" s="670">
        <f>IF(AB$9=0,"",(AB80+AB83)/AB$9)</f>
        <v>20.562368102936052</v>
      </c>
      <c r="AC94" s="670">
        <f>IF(AC$9=0,"",(AC80+AC83)/AC$9)</f>
        <v>16.225336798557333</v>
      </c>
      <c r="AD94" s="670">
        <f t="shared" si="64"/>
        <v>14.322469982847343</v>
      </c>
      <c r="AE94" s="670">
        <f t="shared" si="64"/>
        <v>20.039092772987235</v>
      </c>
      <c r="AF94" s="670" t="str">
        <f>IF(AA$9=0,"",(AF80+AF83)/AA$9)</f>
        <v/>
      </c>
      <c r="AG94" s="644"/>
      <c r="AH94" s="688">
        <f>IF(AH$9=0,"0",+(AH80+AH83)/AH$9)</f>
        <v>24.45211104284688</v>
      </c>
      <c r="AI94" s="692">
        <v>22</v>
      </c>
      <c r="AJ94" s="693">
        <f>AI94-AH94</f>
        <v>-2.4521110428468802</v>
      </c>
      <c r="AK94" s="691">
        <f>AH94/AI94*100</f>
        <v>111.14595928566764</v>
      </c>
      <c r="AL94" s="646"/>
      <c r="AM94" s="647"/>
      <c r="AN94" s="647"/>
      <c r="AO94" s="647"/>
      <c r="AP94" s="647"/>
      <c r="AQ94" s="647"/>
      <c r="AR94" s="647"/>
      <c r="AS94" s="647"/>
      <c r="AT94" s="647"/>
      <c r="AU94" s="647"/>
      <c r="AV94" s="647"/>
      <c r="AW94" s="647"/>
      <c r="AX94" s="647"/>
      <c r="AY94" s="647"/>
      <c r="AZ94" s="647"/>
      <c r="BA94" s="647"/>
      <c r="BB94" s="647"/>
      <c r="BC94" s="647"/>
      <c r="BD94" s="647"/>
      <c r="BE94" s="647"/>
      <c r="BF94" s="647"/>
      <c r="BG94" s="647"/>
    </row>
    <row r="95" spans="1:59" s="648" customFormat="1" hidden="1" x14ac:dyDescent="0.4"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70"/>
      <c r="AB95" s="670"/>
      <c r="AC95" s="670"/>
      <c r="AD95" s="670"/>
      <c r="AE95" s="670"/>
      <c r="AF95" s="671"/>
      <c r="AG95" s="654"/>
      <c r="AH95" s="688">
        <f>IF(AH$9=0,"0",+(AH78*10)/AH$9)</f>
        <v>0</v>
      </c>
      <c r="AI95" s="692"/>
      <c r="AJ95" s="694"/>
      <c r="AK95" s="691" t="e">
        <f t="shared" si="59"/>
        <v>#DIV/0!</v>
      </c>
      <c r="AL95" s="646"/>
      <c r="AM95" s="647"/>
      <c r="AN95" s="647"/>
      <c r="AO95" s="647"/>
      <c r="AP95" s="647"/>
      <c r="AQ95" s="647"/>
      <c r="AR95" s="647"/>
      <c r="AS95" s="647"/>
      <c r="AT95" s="647"/>
      <c r="AU95" s="647"/>
      <c r="AV95" s="647"/>
      <c r="AW95" s="647"/>
      <c r="AX95" s="647"/>
      <c r="AY95" s="647"/>
      <c r="AZ95" s="647"/>
      <c r="BA95" s="647"/>
      <c r="BB95" s="647"/>
      <c r="BC95" s="647"/>
      <c r="BD95" s="647"/>
      <c r="BE95" s="647"/>
      <c r="BF95" s="647"/>
      <c r="BG95" s="647"/>
    </row>
    <row r="96" spans="1:59" s="648" customFormat="1" ht="27" thickBot="1" x14ac:dyDescent="0.45">
      <c r="A96" s="648" t="s">
        <v>190</v>
      </c>
      <c r="B96" s="670">
        <f t="shared" ref="B96:H96" si="66">IF(B$9=0,"",B84/B$9)</f>
        <v>12.884753042233356</v>
      </c>
      <c r="C96" s="670">
        <f>IF(C$9=0,"",C84/C$9)</f>
        <v>12.943239930687628</v>
      </c>
      <c r="D96" s="671" t="str">
        <f t="shared" si="66"/>
        <v/>
      </c>
      <c r="E96" s="670" t="str">
        <f>IF(E$9=0,"",E84/E$9)</f>
        <v/>
      </c>
      <c r="F96" s="670" t="str">
        <f>IF(F$9=0,"",F84/F$9)</f>
        <v/>
      </c>
      <c r="G96" s="670" t="str">
        <f t="shared" si="66"/>
        <v/>
      </c>
      <c r="H96" s="671">
        <f t="shared" si="66"/>
        <v>45.398324619103832</v>
      </c>
      <c r="I96" s="671">
        <f>IF(I$9=0,"",I84/I$9)</f>
        <v>4.6451595778213539</v>
      </c>
      <c r="J96" s="671">
        <f t="shared" ref="J96:AE96" si="67">IF(J$9=0,"",J84/J$9)</f>
        <v>5.8180590095483709</v>
      </c>
      <c r="K96" s="671">
        <f t="shared" si="67"/>
        <v>5.6142714780973231</v>
      </c>
      <c r="L96" s="671" t="str">
        <f t="shared" si="67"/>
        <v/>
      </c>
      <c r="M96" s="671" t="str">
        <f t="shared" si="67"/>
        <v/>
      </c>
      <c r="N96" s="671">
        <f t="shared" si="67"/>
        <v>8.420166298284391</v>
      </c>
      <c r="O96" s="671">
        <f t="shared" si="67"/>
        <v>7.76034838690234</v>
      </c>
      <c r="P96" s="671">
        <f>IF(P$9=0,"",P84/P$9)</f>
        <v>6.880555997925625</v>
      </c>
      <c r="Q96" s="671">
        <f t="shared" si="67"/>
        <v>5.3653584187935328</v>
      </c>
      <c r="R96" s="671">
        <f t="shared" si="67"/>
        <v>6.6244396450026315</v>
      </c>
      <c r="S96" s="671" t="str">
        <f t="shared" si="67"/>
        <v/>
      </c>
      <c r="T96" s="671">
        <f>IF(AF$9=0,"",T84/AF$9)</f>
        <v>31.714036148625947</v>
      </c>
      <c r="U96" s="671">
        <f t="shared" si="67"/>
        <v>11.973011973011971</v>
      </c>
      <c r="V96" s="671">
        <f t="shared" si="67"/>
        <v>6.8652606306067891</v>
      </c>
      <c r="W96" s="671">
        <f t="shared" si="67"/>
        <v>6.8624494498441937</v>
      </c>
      <c r="X96" s="671">
        <f t="shared" si="67"/>
        <v>10.67474306141701</v>
      </c>
      <c r="Y96" s="671">
        <f>IF(Y$9=0,"",Y84/Y$9)</f>
        <v>11.23325042124689</v>
      </c>
      <c r="Z96" s="671" t="str">
        <f t="shared" si="67"/>
        <v/>
      </c>
      <c r="AA96" s="671" t="str">
        <f t="shared" ref="AA96" si="68">IF(AA$9=0,"",AA84/AA$9)</f>
        <v/>
      </c>
      <c r="AB96" s="671">
        <f t="shared" si="67"/>
        <v>8.4260454443010229</v>
      </c>
      <c r="AC96" s="671">
        <f>IF(AC$9=0,"",AC84/AC$9)</f>
        <v>6.7403910752802227</v>
      </c>
      <c r="AD96" s="671">
        <f t="shared" si="67"/>
        <v>5.5070908178906794</v>
      </c>
      <c r="AE96" s="671">
        <f t="shared" si="67"/>
        <v>7.6763098776695404</v>
      </c>
      <c r="AF96" s="671" t="str">
        <f>IF(AA$9=0,"",AF84/AA$9)</f>
        <v/>
      </c>
      <c r="AG96" s="644"/>
      <c r="AH96" s="678">
        <f>IF(AH$9=0,"0",+(AH84)/AH$9)</f>
        <v>8.2751442499609134</v>
      </c>
      <c r="AI96" s="681">
        <v>7.2</v>
      </c>
      <c r="AJ96" s="695">
        <f>AI96-AH96</f>
        <v>-1.0751442499609132</v>
      </c>
      <c r="AK96" s="686">
        <f t="shared" si="59"/>
        <v>114.93255902723492</v>
      </c>
      <c r="AL96" s="646"/>
      <c r="AM96" s="647"/>
      <c r="AN96" s="647"/>
      <c r="AO96" s="647"/>
      <c r="AP96" s="647"/>
      <c r="AQ96" s="647"/>
      <c r="AR96" s="647"/>
      <c r="AS96" s="647"/>
      <c r="AT96" s="647"/>
      <c r="AU96" s="647"/>
      <c r="AV96" s="647"/>
      <c r="AW96" s="647"/>
      <c r="AX96" s="647"/>
      <c r="AY96" s="647"/>
      <c r="AZ96" s="647"/>
      <c r="BA96" s="647"/>
      <c r="BB96" s="647"/>
      <c r="BC96" s="647"/>
      <c r="BD96" s="647"/>
      <c r="BE96" s="647"/>
      <c r="BF96" s="647"/>
      <c r="BG96" s="647"/>
    </row>
    <row r="97" spans="1:79" s="479" customFormat="1" hidden="1" x14ac:dyDescent="0.4">
      <c r="B97" s="476"/>
      <c r="C97" s="476"/>
      <c r="D97" s="476"/>
      <c r="E97" s="476"/>
      <c r="F97" s="476"/>
      <c r="G97" s="476"/>
      <c r="H97" s="476"/>
      <c r="I97" s="476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04"/>
      <c r="Y97" s="504"/>
      <c r="Z97" s="504"/>
      <c r="AA97" s="504"/>
      <c r="AB97" s="504"/>
      <c r="AC97" s="504"/>
      <c r="AD97" s="504"/>
      <c r="AE97" s="504"/>
      <c r="AF97" s="504"/>
      <c r="AG97" s="504"/>
      <c r="AH97" s="647"/>
      <c r="AI97" s="476"/>
      <c r="AJ97" s="476"/>
      <c r="AK97" s="476"/>
      <c r="AL97" s="292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</row>
    <row r="98" spans="1:79" s="479" customFormat="1" hidden="1" x14ac:dyDescent="0.4">
      <c r="B98" s="476"/>
      <c r="C98" s="476"/>
      <c r="D98" s="476"/>
      <c r="E98" s="476"/>
      <c r="F98" s="476"/>
      <c r="G98" s="476"/>
      <c r="H98" s="476"/>
      <c r="I98" s="476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04"/>
      <c r="Y98" s="504"/>
      <c r="Z98" s="504"/>
      <c r="AA98" s="504"/>
      <c r="AB98" s="504"/>
      <c r="AC98" s="504"/>
      <c r="AD98" s="504"/>
      <c r="AE98" s="504"/>
      <c r="AF98" s="504"/>
      <c r="AG98" s="504"/>
      <c r="AH98" s="647"/>
      <c r="AI98" s="476"/>
      <c r="AJ98" s="476"/>
      <c r="AK98" s="476"/>
      <c r="AL98" s="292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</row>
    <row r="99" spans="1:79" ht="25.5" hidden="1" x14ac:dyDescent="0.35">
      <c r="A99" s="599" t="s">
        <v>217</v>
      </c>
      <c r="B99" s="655"/>
      <c r="C99" s="655"/>
      <c r="D99" s="655"/>
      <c r="E99" s="655"/>
      <c r="F99" s="655"/>
      <c r="G99" s="655"/>
      <c r="H99" s="655"/>
      <c r="I99" s="655"/>
      <c r="J99" s="656"/>
      <c r="K99" s="656"/>
      <c r="L99" s="656"/>
      <c r="M99" s="656"/>
      <c r="N99" s="656"/>
      <c r="O99" s="656"/>
      <c r="P99" s="656"/>
      <c r="Q99" s="656"/>
      <c r="R99" s="656"/>
      <c r="S99" s="656"/>
      <c r="T99" s="656"/>
      <c r="U99" s="656"/>
      <c r="V99" s="656"/>
      <c r="W99" s="656"/>
      <c r="X99" s="656"/>
      <c r="Y99" s="656"/>
      <c r="Z99" s="656"/>
      <c r="AA99" s="656"/>
      <c r="AB99" s="656"/>
      <c r="AC99" s="656"/>
      <c r="AD99" s="656"/>
      <c r="AE99" s="656"/>
      <c r="AF99" s="656"/>
      <c r="AG99" s="656"/>
      <c r="AH99" s="657">
        <f>SUM($B99:AF99)</f>
        <v>0</v>
      </c>
      <c r="AI99" s="658"/>
      <c r="AJ99" s="655" t="s">
        <v>186</v>
      </c>
    </row>
    <row r="100" spans="1:79" s="512" customFormat="1" ht="25.5" hidden="1" x14ac:dyDescent="0.35">
      <c r="A100" s="659" t="s">
        <v>218</v>
      </c>
      <c r="B100" s="508" t="str">
        <f t="shared" ref="B100:AF100" si="69">IF(B$99=0,"",+(B42*10)/B$99)</f>
        <v/>
      </c>
      <c r="C100" s="508" t="str">
        <f t="shared" si="69"/>
        <v/>
      </c>
      <c r="D100" s="508" t="str">
        <f t="shared" si="69"/>
        <v/>
      </c>
      <c r="E100" s="508" t="str">
        <f t="shared" si="69"/>
        <v/>
      </c>
      <c r="F100" s="508" t="str">
        <f t="shared" si="69"/>
        <v/>
      </c>
      <c r="G100" s="508" t="str">
        <f t="shared" si="69"/>
        <v/>
      </c>
      <c r="H100" s="508" t="str">
        <f t="shared" si="69"/>
        <v/>
      </c>
      <c r="I100" s="508" t="str">
        <f t="shared" si="69"/>
        <v/>
      </c>
      <c r="J100" s="509" t="str">
        <f t="shared" si="69"/>
        <v/>
      </c>
      <c r="K100" s="509" t="str">
        <f t="shared" si="69"/>
        <v/>
      </c>
      <c r="L100" s="509" t="str">
        <f t="shared" si="69"/>
        <v/>
      </c>
      <c r="M100" s="509" t="str">
        <f t="shared" si="69"/>
        <v/>
      </c>
      <c r="N100" s="509" t="str">
        <f t="shared" si="69"/>
        <v/>
      </c>
      <c r="O100" s="509" t="str">
        <f t="shared" si="69"/>
        <v/>
      </c>
      <c r="P100" s="509" t="str">
        <f t="shared" si="69"/>
        <v/>
      </c>
      <c r="Q100" s="509" t="str">
        <f t="shared" si="69"/>
        <v/>
      </c>
      <c r="R100" s="509" t="str">
        <f t="shared" si="69"/>
        <v/>
      </c>
      <c r="S100" s="509" t="str">
        <f t="shared" si="69"/>
        <v/>
      </c>
      <c r="T100" s="509" t="str">
        <f t="shared" si="69"/>
        <v/>
      </c>
      <c r="U100" s="509" t="str">
        <f t="shared" si="69"/>
        <v/>
      </c>
      <c r="V100" s="509" t="str">
        <f t="shared" si="69"/>
        <v/>
      </c>
      <c r="W100" s="509" t="str">
        <f t="shared" si="69"/>
        <v/>
      </c>
      <c r="X100" s="509" t="str">
        <f t="shared" si="69"/>
        <v/>
      </c>
      <c r="Y100" s="509" t="str">
        <f t="shared" si="69"/>
        <v/>
      </c>
      <c r="Z100" s="509" t="str">
        <f t="shared" si="69"/>
        <v/>
      </c>
      <c r="AA100" s="509" t="str">
        <f t="shared" si="69"/>
        <v/>
      </c>
      <c r="AB100" s="509" t="str">
        <f t="shared" si="69"/>
        <v/>
      </c>
      <c r="AC100" s="509" t="str">
        <f t="shared" si="69"/>
        <v/>
      </c>
      <c r="AD100" s="509" t="str">
        <f t="shared" si="69"/>
        <v/>
      </c>
      <c r="AE100" s="509" t="str">
        <f t="shared" si="69"/>
        <v/>
      </c>
      <c r="AF100" s="509" t="str">
        <f t="shared" si="69"/>
        <v/>
      </c>
      <c r="AG100" s="509"/>
      <c r="AH100" s="510" t="e">
        <f>+(AH42*10)/AH$99</f>
        <v>#DIV/0!</v>
      </c>
      <c r="AI100" s="510">
        <v>2.6</v>
      </c>
      <c r="AJ100" s="660" t="e">
        <f>AI100-AH100</f>
        <v>#DIV/0!</v>
      </c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475"/>
      <c r="BI100" s="475"/>
      <c r="BJ100" s="475"/>
      <c r="BK100" s="475"/>
      <c r="BL100" s="475"/>
      <c r="BM100" s="475"/>
      <c r="BN100" s="475"/>
      <c r="BO100" s="475"/>
      <c r="BP100" s="475"/>
      <c r="BQ100" s="475"/>
      <c r="BR100" s="475"/>
      <c r="BS100" s="475"/>
      <c r="BT100" s="475"/>
      <c r="BU100" s="475"/>
      <c r="BV100" s="475"/>
      <c r="BW100" s="475"/>
      <c r="BX100" s="475"/>
      <c r="BY100" s="475"/>
      <c r="BZ100" s="475"/>
      <c r="CA100" s="475"/>
    </row>
    <row r="101" spans="1:79" ht="25.5" hidden="1" x14ac:dyDescent="0.35">
      <c r="A101" s="661"/>
      <c r="B101" s="662"/>
      <c r="C101" s="662"/>
      <c r="D101" s="662"/>
      <c r="E101" s="662"/>
      <c r="F101" s="662"/>
      <c r="G101" s="662"/>
      <c r="H101" s="662"/>
      <c r="I101" s="662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  <c r="AH101" s="664"/>
      <c r="AI101" s="664"/>
      <c r="AJ101" s="665"/>
    </row>
    <row r="102" spans="1:79" ht="25.5" hidden="1" x14ac:dyDescent="0.35">
      <c r="A102" s="661"/>
      <c r="B102" s="662"/>
      <c r="C102" s="662"/>
      <c r="D102" s="662"/>
      <c r="E102" s="662"/>
      <c r="F102" s="662"/>
      <c r="G102" s="662"/>
      <c r="H102" s="662"/>
      <c r="I102" s="662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  <c r="AH102" s="664"/>
      <c r="AI102" s="664"/>
      <c r="AJ102" s="665"/>
    </row>
    <row r="103" spans="1:79" ht="29.25" hidden="1" x14ac:dyDescent="0.5">
      <c r="A103" s="479" t="s">
        <v>226</v>
      </c>
      <c r="B103" s="666">
        <f>IF('Entries April 2026'!L7-'Entries April 2026'!L6&lt;1,0,'Entries April 2026'!L7-'Entries April 2026'!L6)</f>
        <v>111.80999999999767</v>
      </c>
      <c r="C103" s="666">
        <f>IF('Entries April 2026'!L8-'Entries April 2026'!L7&lt;1,0,'Entries April 2026'!L8-'Entries April 2026'!L7)</f>
        <v>238.18000000000029</v>
      </c>
      <c r="D103" s="666">
        <f>IF('Entries April 2026'!L9-'Entries April 2026'!L8&lt;1,0,'Entries April 2026'!L9-'Entries April 2026'!L8)</f>
        <v>0</v>
      </c>
      <c r="E103" s="666">
        <f>IF('Entries April 2026'!L10-'Entries April 2026'!L9&lt;1,0,'Entries April 2026'!L10-'Entries April 2026'!L9)</f>
        <v>0</v>
      </c>
      <c r="F103" s="666">
        <f>IF('Entries April 2026'!L11-'Entries April 2026'!L10&lt;1,0,'Entries April 2026'!L11-'Entries April 2026'!L10)</f>
        <v>0</v>
      </c>
      <c r="G103" s="666">
        <f>IF('Entries April 2026'!L12-'Entries April 2026'!L11&lt;1,0,'Entries April 2026'!L12-'Entries April 2026'!L11)</f>
        <v>0</v>
      </c>
      <c r="H103" s="666">
        <f>IF('Entries April 2026'!M12-'Entries April 2026'!L12&lt;1,0,'Entries April 2026'!M12-'Entries April 2026'!L12)</f>
        <v>361452.49</v>
      </c>
      <c r="I103" s="666">
        <f>IF('Entries April 2026'!L14-'Entries April 2026'!M12&lt;1,0,'Entries April 2026'!L14-'Entries April 2026'!M12)</f>
        <v>0</v>
      </c>
      <c r="J103" s="667">
        <f>IF('Entries April 2026'!L15-'Entries April 2026'!L14&lt;1,0,'Entries April 2026'!L15-'Entries April 2026'!L14)</f>
        <v>274.72999999999956</v>
      </c>
      <c r="K103" s="667">
        <f>IF('Entries April 2026'!L16-'Entries April 2026'!L15&lt;1,0,'Entries April 2026'!L16-'Entries April 2026'!L15)</f>
        <v>335.48999999999796</v>
      </c>
      <c r="L103" s="667">
        <f>IF('Entries April 2026'!L17-'Entries April 2026'!L16&lt;1,0,'Entries April 2026'!L17-'Entries April 2026'!L16)</f>
        <v>0</v>
      </c>
      <c r="M103" s="667">
        <f>IF('Entries April 2026'!L18-'Entries April 2026'!L17&lt;1,0,'Entries April 2026'!L18-'Entries April 2026'!L17)</f>
        <v>0</v>
      </c>
      <c r="N103" s="529">
        <f>IF('Entries April 2026'!L19-'Entries April 2026'!L18&lt;1,0,'Entries April 2026'!L19-'Entries April 2026'!L18)</f>
        <v>111.03000000000247</v>
      </c>
      <c r="O103" s="529">
        <f>IF('Entries April 2026'!L20-'Entries April 2026'!L19&lt;1,0,'Entries April 2026'!L20-'Entries April 2026'!L19)</f>
        <v>104.28999999999724</v>
      </c>
      <c r="P103" s="529">
        <f>IF('Entries April 2026'!L21-'Entries April 2026'!L20&lt;1,0,'Entries April 2026'!L21-'Entries April 2026'!L20)</f>
        <v>164.25</v>
      </c>
      <c r="Q103" s="529">
        <f>IF('Entries April 2026'!L22-'Entries April 2026'!L21&lt;1,0,'Entries April 2026'!L22-'Entries April 2026'!L21)</f>
        <v>203.38000000000102</v>
      </c>
      <c r="R103" s="529">
        <f>IF('Entries April 2026'!L23-'Entries April 2026'!L22&lt;1,0,'Entries April 2026'!L23-'Entries April 2026'!L22)</f>
        <v>32.700000000000728</v>
      </c>
      <c r="S103" s="529">
        <f>IF('Entries April 2026'!L24-'Entries April 2026'!L23&lt;1,0,'Entries April 2026'!L24-'Entries April 2026'!L23)</f>
        <v>0</v>
      </c>
      <c r="T103" s="529">
        <f>IF('Entries April 2026'!L25-'Entries April 2026'!L24&lt;1,0,'Entries April 2026'!L25-'Entries April 2026'!L24)</f>
        <v>0</v>
      </c>
      <c r="U103" s="529">
        <f>IF('Entries April 2026'!L26-'Entries April 2026'!L25&lt;1,0,'Entries April 2026'!L26-'Entries April 2026'!L25)</f>
        <v>109.71999999999753</v>
      </c>
      <c r="V103" s="529">
        <f>IF('Entries April 2026'!L27-'Entries April 2026'!L26&lt;1,0,'Entries April 2026'!L27-'Entries April 2026'!L26)</f>
        <v>118.9800000000032</v>
      </c>
      <c r="W103" s="529">
        <f>IF('Entries April 2026'!L28-'Entries April 2026'!L27&lt;1,0,'Entries April 2026'!L28-'Entries April 2026'!L27)</f>
        <v>759.19999999999709</v>
      </c>
      <c r="X103" s="529">
        <f>IF('Entries April 2026'!L29-'Entries April 2026'!L28&lt;1,0,'Entries April 2026'!L29-'Entries April 2026'!L28)</f>
        <v>170.01000000000204</v>
      </c>
      <c r="Y103" s="529">
        <f>IF('Entries April 2026'!L30-'Entries April 2026'!L29&lt;1,0,'Entries April 2026'!L30-'Entries April 2026'!L29)</f>
        <v>481.31999999999971</v>
      </c>
      <c r="Z103" s="529">
        <f>IF('Entries April 2026'!L31-'Entries April 2026'!L30&lt;1,0,'Entries April 2026'!L31-'Entries April 2026'!L30)</f>
        <v>0</v>
      </c>
      <c r="AA103" s="529">
        <f>IF('Entries April 2026'!L32-'Entries April 2026'!L31&lt;1,0,'Entries April 2026'!L32-'Entries April 2026'!L31)</f>
        <v>0</v>
      </c>
      <c r="AB103" s="529">
        <f>IF('Entries April 2026'!L33-'Entries April 2026'!L32&lt;1,0,'Entries April 2026'!L33-'Entries April 2026'!L32)</f>
        <v>552.15999999999985</v>
      </c>
      <c r="AC103" s="529">
        <f>IF('Entries April 2026'!L34-'Entries April 2026'!L33&lt;1,0,'Entries April 2026'!L34-'Entries April 2026'!L33)</f>
        <v>380.45000000000073</v>
      </c>
      <c r="AD103" s="529" t="e">
        <f>IF('Entries April 2026'!#REF!-'Entries April 2026'!L34&lt;1,0,'Entries April 2026'!#REF!-'Entries April 2026'!L34)</f>
        <v>#REF!</v>
      </c>
      <c r="AE103" s="529" t="e">
        <f>IF('Entries April 2026'!L35-'Entries April 2026'!#REF!&lt;1,0,'Entries April 2026'!L35-'Entries April 2026'!#REF!)</f>
        <v>#REF!</v>
      </c>
      <c r="AF103" s="529">
        <f>IF('Entries April 2026'!L36-'Entries April 2026'!L35&lt;1,0,'Entries April 2026'!L36-'Entries April 2026'!L35)</f>
        <v>0</v>
      </c>
      <c r="AG103" s="529"/>
      <c r="AH103" s="492" t="e">
        <f>SUM($B103:AF103)</f>
        <v>#REF!</v>
      </c>
      <c r="AI103" s="492"/>
    </row>
    <row r="104" spans="1:79" hidden="1" x14ac:dyDescent="0.4">
      <c r="A104" s="479" t="s">
        <v>205</v>
      </c>
      <c r="M104" s="477"/>
      <c r="AH104" s="476">
        <f>SUM(B104:AF104)</f>
        <v>0</v>
      </c>
      <c r="AK104" s="292" t="s">
        <v>231</v>
      </c>
    </row>
    <row r="105" spans="1:79" hidden="1" x14ac:dyDescent="0.4">
      <c r="A105" s="479" t="s">
        <v>206</v>
      </c>
      <c r="B105" s="668">
        <f t="shared" ref="B105:AF105" si="70">IF(B103=0,"",B104/B103)</f>
        <v>0</v>
      </c>
      <c r="C105" s="668">
        <f>IF(C103=0,"",C104/C103)</f>
        <v>0</v>
      </c>
      <c r="D105" s="668" t="str">
        <f t="shared" si="70"/>
        <v/>
      </c>
      <c r="E105" s="668" t="str">
        <f t="shared" si="70"/>
        <v/>
      </c>
      <c r="F105" s="668" t="str">
        <f t="shared" si="70"/>
        <v/>
      </c>
      <c r="G105" s="668" t="s">
        <v>58</v>
      </c>
      <c r="H105" s="668">
        <f t="shared" si="70"/>
        <v>0</v>
      </c>
      <c r="I105" s="668" t="str">
        <f>IF(I103=0,"",I104/I103)</f>
        <v/>
      </c>
      <c r="J105" s="669">
        <f t="shared" si="70"/>
        <v>0</v>
      </c>
      <c r="K105" s="669">
        <f t="shared" si="70"/>
        <v>0</v>
      </c>
      <c r="L105" s="669" t="str">
        <f t="shared" si="70"/>
        <v/>
      </c>
      <c r="M105" s="669" t="str">
        <f t="shared" si="70"/>
        <v/>
      </c>
      <c r="N105" s="669">
        <f t="shared" si="70"/>
        <v>0</v>
      </c>
      <c r="O105" s="669">
        <f t="shared" si="70"/>
        <v>0</v>
      </c>
      <c r="P105" s="669">
        <f t="shared" si="70"/>
        <v>0</v>
      </c>
      <c r="Q105" s="669">
        <f t="shared" si="70"/>
        <v>0</v>
      </c>
      <c r="R105" s="669">
        <f t="shared" si="70"/>
        <v>0</v>
      </c>
      <c r="S105" s="669" t="str">
        <f t="shared" si="70"/>
        <v/>
      </c>
      <c r="T105" s="669" t="str">
        <f t="shared" si="70"/>
        <v/>
      </c>
      <c r="U105" s="669">
        <f>IF(U103=0,"",U104/U103)</f>
        <v>0</v>
      </c>
      <c r="V105" s="669">
        <f t="shared" si="70"/>
        <v>0</v>
      </c>
      <c r="W105" s="669">
        <f t="shared" si="70"/>
        <v>0</v>
      </c>
      <c r="X105" s="669">
        <f t="shared" si="70"/>
        <v>0</v>
      </c>
      <c r="Y105" s="669">
        <f t="shared" si="70"/>
        <v>0</v>
      </c>
      <c r="Z105" s="669" t="str">
        <f t="shared" si="70"/>
        <v/>
      </c>
      <c r="AA105" s="669" t="str">
        <f t="shared" si="70"/>
        <v/>
      </c>
      <c r="AB105" s="669">
        <f t="shared" si="70"/>
        <v>0</v>
      </c>
      <c r="AC105" s="669">
        <f t="shared" si="70"/>
        <v>0</v>
      </c>
      <c r="AD105" s="669" t="e">
        <f t="shared" si="70"/>
        <v>#REF!</v>
      </c>
      <c r="AE105" s="669" t="e">
        <f t="shared" si="70"/>
        <v>#REF!</v>
      </c>
      <c r="AF105" s="669" t="str">
        <f t="shared" si="70"/>
        <v/>
      </c>
      <c r="AG105" s="669"/>
      <c r="AH105" s="668" t="e">
        <f>IF(AH103=0,"",AH104/AH103)</f>
        <v>#REF!</v>
      </c>
    </row>
    <row r="106" spans="1:79" ht="30" hidden="1" x14ac:dyDescent="0.4">
      <c r="A106" s="479" t="s">
        <v>227</v>
      </c>
      <c r="B106" s="666">
        <f>IF('Entries April 2026'!$AF7-'Entries April 2026'!$AF6&lt;1,0,'Entries April 2026'!$AF7-'Entries April 2026'!$AF6)</f>
        <v>0</v>
      </c>
      <c r="C106" s="666">
        <f>IF('Entries April 2026'!$AF8-'Entries April 2026'!$AF7&lt;1,0,'Entries April 2026'!$AF8-'Entries April 2026'!$AF7)</f>
        <v>0</v>
      </c>
      <c r="D106" s="666">
        <f>IF('Entries April 2026'!$AF9-'Entries April 2026'!$AF8&lt;1,0,'Entries April 2026'!$AF9-'Entries April 2026'!$AF8)</f>
        <v>0</v>
      </c>
      <c r="E106" s="666">
        <f>IF('Entries April 2026'!$AF10-'Entries April 2026'!$AF9&lt;1,0,'Entries April 2026'!$AF10-'Entries April 2026'!$AF9)</f>
        <v>0</v>
      </c>
      <c r="F106" s="666">
        <f>IF('Entries April 2026'!$AF11-'Entries April 2026'!$AF10&lt;1,0,'Entries April 2026'!$AF11-'Entries April 2026'!$AF10)</f>
        <v>0</v>
      </c>
      <c r="G106" s="666">
        <f>IF('Entries April 2026'!$AF12-'Entries April 2026'!$AF11&lt;1,0,'Entries April 2026'!$AF12-'Entries April 2026'!$AF11)</f>
        <v>0</v>
      </c>
      <c r="H106" s="666">
        <f>IF('Entries April 2026'!$AF13-'Entries April 2026'!$AF12&lt;1,0,'Entries April 2026'!$AF13-'Entries April 2026'!$AF12)</f>
        <v>0</v>
      </c>
      <c r="I106" s="666">
        <f>IF('Entries April 2026'!AF14-'Entries April 2026'!AF13&lt;1,0,'Entries April 2026'!AF14-'Entries April 2026'!AF13)</f>
        <v>0</v>
      </c>
      <c r="J106" s="667">
        <f>IF('Entries April 2026'!AF15-'Entries April 2026'!AF14&lt;1,0,'Entries April 2026'!AF15-'Entries April 2026'!AF14)</f>
        <v>0</v>
      </c>
      <c r="K106" s="667">
        <f>IF('Entries April 2026'!AF16-'Entries April 2026'!AF15&lt;1,0,'Entries April 2026'!AF16-'Entries April 2026'!AF15)</f>
        <v>0</v>
      </c>
      <c r="L106" s="667">
        <f>IF('Entries April 2026'!$AF17-'Entries April 2026'!$AF16&lt;1,0,'Entries April 2026'!$AF17-'Entries April 2026'!$AF16)</f>
        <v>0</v>
      </c>
      <c r="M106" s="667">
        <f>IF('Entries April 2026'!$AF18-'Entries April 2026'!$AF17&lt;1,0,'Entries April 2026'!$AF18-'Entries April 2026'!$AF17)</f>
        <v>0</v>
      </c>
      <c r="N106" s="667">
        <f>IF('Entries April 2026'!$AF19-'Entries April 2026'!$AF18&lt;1,0,'Entries April 2026'!$AF19-'Entries April 2026'!$AF18)</f>
        <v>0</v>
      </c>
      <c r="O106" s="667">
        <f>IF('Entries April 2026'!$AF20-'Entries April 2026'!$AF19&lt;1,0,'Entries April 2026'!$AF20-'Entries April 2026'!$AF19)</f>
        <v>0</v>
      </c>
      <c r="P106" s="667">
        <f>IF('Entries April 2026'!$AF21-'Entries April 2026'!$AF20&lt;1,0,'Entries April 2026'!$AF21-'Entries April 2026'!$AF20)</f>
        <v>0</v>
      </c>
      <c r="Q106" s="667">
        <f>IF('Entries April 2026'!$AF22-'Entries April 2026'!$AF21&lt;1,0,'Entries April 2026'!$AF22-'Entries April 2026'!$AF21)</f>
        <v>0</v>
      </c>
      <c r="R106" s="667">
        <f>IF('Entries April 2026'!$AF23-'Entries April 2026'!$AF22&lt;1,0,'Entries April 2026'!$AF23-'Entries April 2026'!$AF22)</f>
        <v>0</v>
      </c>
      <c r="S106" s="667">
        <f>IF('Entries April 2026'!$AF24-'Entries April 2026'!$AF23&lt;1,0,'Entries April 2026'!$AF24-'Entries April 2026'!$AF23)</f>
        <v>0</v>
      </c>
      <c r="T106" s="667">
        <f>IF('Entries April 2026'!$AF25-'Entries April 2026'!$AF24&lt;1,0,'Entries April 2026'!$AF25-'Entries April 2026'!$AF24)</f>
        <v>0</v>
      </c>
      <c r="U106" s="667">
        <f>IF('Entries April 2026'!$AF26-'Entries April 2026'!$AF25&lt;1,0,'Entries April 2026'!$AF26-'Entries April 2026'!$AF25)</f>
        <v>0</v>
      </c>
      <c r="V106" s="667">
        <f>IF('Entries April 2026'!$AF27-'Entries April 2026'!$AF26&lt;1,0,'Entries April 2026'!$AF27-'Entries April 2026'!$AF26)</f>
        <v>0</v>
      </c>
      <c r="W106" s="667">
        <f>IF('Entries April 2026'!$AF28-'Entries April 2026'!$AF27&lt;1,0,'Entries April 2026'!$AF28-'Entries April 2026'!$AF27)</f>
        <v>0</v>
      </c>
      <c r="X106" s="667">
        <f>IF('Entries April 2026'!$AF29-'Entries April 2026'!$AF28&lt;1,0,'Entries April 2026'!$AF29-'Entries April 2026'!$AF28)</f>
        <v>0</v>
      </c>
      <c r="Y106" s="667">
        <f>IF('Entries April 2026'!$AF30-'Entries April 2026'!$AF29&lt;1,0,'Entries April 2026'!$AF30-'Entries April 2026'!$AF29)</f>
        <v>0</v>
      </c>
      <c r="Z106" s="667">
        <f>IF('Entries April 2026'!$AF31-'Entries April 2026'!$AF30&lt;1,0,'Entries April 2026'!$AF31-'Entries April 2026'!$AF30)</f>
        <v>0</v>
      </c>
      <c r="AA106" s="667">
        <f>IF('Entries April 2026'!$AF32-'Entries April 2026'!$AF30&lt;1,0,'Entries April 2026'!$AF32-'Entries April 2026'!$AF30)</f>
        <v>0</v>
      </c>
      <c r="AB106" s="667">
        <f>IF('Entries April 2026'!$AF33-'Entries April 2026'!$AF32&lt;1,0,'Entries April 2026'!$AF33-'Entries April 2026'!$AF32)</f>
        <v>0</v>
      </c>
      <c r="AC106" s="667">
        <f>IF('Entries April 2026'!$AF34-'Entries April 2026'!$AF33&lt;1,0,'Entries April 2026'!$AF34-'Entries April 2026'!$AF33)</f>
        <v>0</v>
      </c>
      <c r="AD106" s="667" t="e">
        <f>IF('Entries April 2026'!#REF!-'Entries April 2026'!$AF34&lt;1,0,'Entries April 2026'!#REF!-'Entries April 2026'!$AF34)</f>
        <v>#REF!</v>
      </c>
      <c r="AE106" s="667" t="e">
        <f>IF('Entries April 2026'!$AF35-'Entries April 2026'!#REF!&lt;1,0,'Entries April 2026'!$AF35-'Entries April 2026'!#REF!)</f>
        <v>#REF!</v>
      </c>
      <c r="AF106" s="667">
        <f>IF('Entries April 2026'!$AF36-'Entries April 2026'!$AF35&lt;1,0,'Entries April 2026'!$AF36-'Entries April 2026'!$AF35)</f>
        <v>0</v>
      </c>
      <c r="AG106" s="667"/>
      <c r="AH106" s="492" t="e">
        <f>SUM(B106:AF106)</f>
        <v>#REF!</v>
      </c>
      <c r="AI106" s="492"/>
    </row>
    <row r="107" spans="1:79" hidden="1" x14ac:dyDescent="0.35">
      <c r="M107" s="477"/>
    </row>
    <row r="108" spans="1:79" hidden="1" x14ac:dyDescent="0.35">
      <c r="A108" s="475" t="s">
        <v>161</v>
      </c>
      <c r="M108" s="477"/>
    </row>
    <row r="109" spans="1:79" hidden="1" x14ac:dyDescent="0.35">
      <c r="M109" s="477"/>
    </row>
    <row r="110" spans="1:79" hidden="1" x14ac:dyDescent="0.35">
      <c r="M110" s="477"/>
    </row>
    <row r="111" spans="1:79" hidden="1" x14ac:dyDescent="0.35">
      <c r="M111" s="477"/>
    </row>
    <row r="112" spans="1:79" hidden="1" x14ac:dyDescent="0.35">
      <c r="A112" s="475" t="s">
        <v>149</v>
      </c>
      <c r="B112" s="532" t="s">
        <v>150</v>
      </c>
      <c r="C112" s="516">
        <f>+'Water '!$F8</f>
        <v>177</v>
      </c>
      <c r="M112" s="477"/>
      <c r="AB112" s="477" t="s">
        <v>150</v>
      </c>
      <c r="AC112" s="477" t="s">
        <v>150</v>
      </c>
      <c r="AF112" s="477" t="s">
        <v>150</v>
      </c>
      <c r="AH112" s="492">
        <f>SUM($B112:AC112)</f>
        <v>177</v>
      </c>
      <c r="AI112" s="492"/>
    </row>
    <row r="113" spans="2:34" hidden="1" x14ac:dyDescent="0.35">
      <c r="M113" s="477"/>
    </row>
    <row r="114" spans="2:34" hidden="1" x14ac:dyDescent="0.35">
      <c r="M114" s="477"/>
    </row>
    <row r="115" spans="2:34" hidden="1" x14ac:dyDescent="0.35">
      <c r="M115" s="477"/>
    </row>
    <row r="116" spans="2:34" hidden="1" x14ac:dyDescent="0.35">
      <c r="B116" s="666">
        <f>'Daily KPIs'!B80</f>
        <v>5927</v>
      </c>
      <c r="D116" s="666">
        <f>'Daily KPIs'!D80</f>
        <v>2694</v>
      </c>
      <c r="E116" s="666">
        <f>'Daily KPIs'!E80</f>
        <v>2971</v>
      </c>
      <c r="F116" s="666">
        <f>'Daily KPIs'!F80</f>
        <v>2911</v>
      </c>
      <c r="G116" s="666">
        <f>'Daily KPIs'!G80</f>
        <v>2599</v>
      </c>
      <c r="H116" s="666">
        <f>'Daily KPIs'!H80</f>
        <v>5214</v>
      </c>
      <c r="I116" s="666">
        <f>'Daily KPIs'!I80</f>
        <v>5850</v>
      </c>
      <c r="J116" s="667">
        <f>'Daily KPIs'!J80</f>
        <v>6901</v>
      </c>
      <c r="K116" s="667">
        <f>'Daily KPIs'!K80</f>
        <v>6846</v>
      </c>
      <c r="L116" s="667">
        <f>'Daily KPIs'!L80</f>
        <v>2983</v>
      </c>
      <c r="M116" s="667">
        <f>'Daily KPIs'!M80</f>
        <v>1952</v>
      </c>
      <c r="N116" s="667">
        <f>'Daily KPIs'!N80</f>
        <v>6237</v>
      </c>
      <c r="O116" s="667">
        <f>'Daily KPIs'!O80</f>
        <v>7380</v>
      </c>
      <c r="P116" s="667">
        <f>'Daily KPIs'!P80</f>
        <v>6949</v>
      </c>
      <c r="Q116" s="667">
        <f>'Daily KPIs'!Q80</f>
        <v>6258</v>
      </c>
      <c r="R116" s="667">
        <f>'Daily KPIs'!R80</f>
        <v>5872</v>
      </c>
      <c r="S116" s="667">
        <f>'Daily KPIs'!S80</f>
        <v>3482</v>
      </c>
      <c r="T116" s="667">
        <f>'Daily KPIs'!T80</f>
        <v>1989</v>
      </c>
      <c r="U116" s="667">
        <f>'Daily KPIs'!U80</f>
        <v>5497</v>
      </c>
      <c r="V116" s="667">
        <f>'Daily KPIs'!V80</f>
        <v>5959</v>
      </c>
      <c r="W116" s="667">
        <f>'Daily KPIs'!W80</f>
        <v>7375</v>
      </c>
      <c r="X116" s="667">
        <f>'Daily KPIs'!X80</f>
        <v>7064</v>
      </c>
      <c r="Y116" s="667">
        <f>'Daily KPIs'!Y80</f>
        <v>4121</v>
      </c>
      <c r="Z116" s="667">
        <f>'Daily KPIs'!Z80</f>
        <v>3680</v>
      </c>
      <c r="AA116" s="667">
        <f>'Daily KPIs'!AA80</f>
        <v>3443</v>
      </c>
      <c r="AB116" s="667">
        <f>'Daily KPIs'!AB80</f>
        <v>6546</v>
      </c>
      <c r="AC116" s="667">
        <f>'Daily KPIs'!AC80</f>
        <v>5953</v>
      </c>
      <c r="AD116" s="667">
        <f>'Daily KPIs'!AD80</f>
        <v>6553</v>
      </c>
      <c r="AE116" s="667">
        <f>'Daily KPIs'!AE80</f>
        <v>6457</v>
      </c>
      <c r="AF116" s="667">
        <f>'Daily KPIs'!AF80</f>
        <v>0</v>
      </c>
      <c r="AG116" s="667"/>
      <c r="AH116" s="666">
        <f>'Daily KPIs'!AH80</f>
        <v>153495</v>
      </c>
    </row>
    <row r="117" spans="2:34" hidden="1" x14ac:dyDescent="0.35">
      <c r="C117" s="666">
        <f>'Daily KPIs'!C80</f>
        <v>5832</v>
      </c>
      <c r="M117" s="477"/>
    </row>
    <row r="118" spans="2:34" hidden="1" x14ac:dyDescent="0.35">
      <c r="M118" s="477"/>
    </row>
    <row r="119" spans="2:34" hidden="1" x14ac:dyDescent="0.35">
      <c r="M119" s="477"/>
    </row>
    <row r="120" spans="2:34" hidden="1" x14ac:dyDescent="0.35">
      <c r="M120" s="477"/>
    </row>
    <row r="121" spans="2:34" hidden="1" x14ac:dyDescent="0.35">
      <c r="M121" s="477"/>
    </row>
    <row r="122" spans="2:34" hidden="1" x14ac:dyDescent="0.35">
      <c r="M122" s="477"/>
    </row>
    <row r="123" spans="2:34" hidden="1" x14ac:dyDescent="0.35">
      <c r="H123" s="292" t="s">
        <v>211</v>
      </c>
      <c r="M123" s="477"/>
      <c r="R123" s="504"/>
    </row>
    <row r="124" spans="2:34" hidden="1" x14ac:dyDescent="0.35">
      <c r="M124" s="477"/>
      <c r="R124" s="504"/>
    </row>
    <row r="125" spans="2:34" hidden="1" x14ac:dyDescent="0.35">
      <c r="M125" s="477"/>
    </row>
    <row r="126" spans="2:34" hidden="1" x14ac:dyDescent="0.35">
      <c r="M126" s="477"/>
    </row>
    <row r="127" spans="2:34" hidden="1" x14ac:dyDescent="0.35">
      <c r="M127" s="477"/>
    </row>
    <row r="128" spans="2:34" hidden="1" x14ac:dyDescent="0.35">
      <c r="M128" s="477"/>
    </row>
    <row r="129" spans="13:35" hidden="1" x14ac:dyDescent="0.35">
      <c r="M129" s="477"/>
    </row>
    <row r="130" spans="13:35" hidden="1" x14ac:dyDescent="0.35">
      <c r="M130" s="477"/>
    </row>
    <row r="131" spans="13:35" hidden="1" x14ac:dyDescent="0.35">
      <c r="M131" s="477"/>
    </row>
    <row r="132" spans="13:35" hidden="1" x14ac:dyDescent="0.35">
      <c r="M132" s="477"/>
    </row>
    <row r="133" spans="13:35" hidden="1" x14ac:dyDescent="0.35">
      <c r="M133" s="477"/>
    </row>
    <row r="134" spans="13:35" hidden="1" x14ac:dyDescent="0.35">
      <c r="M134" s="477"/>
    </row>
    <row r="135" spans="13:35" hidden="1" x14ac:dyDescent="0.35">
      <c r="M135" s="477"/>
    </row>
    <row r="136" spans="13:35" hidden="1" x14ac:dyDescent="0.35">
      <c r="M136" s="477"/>
    </row>
    <row r="137" spans="13:35" hidden="1" x14ac:dyDescent="0.35">
      <c r="M137" s="477"/>
    </row>
    <row r="138" spans="13:35" x14ac:dyDescent="0.35">
      <c r="M138" s="477"/>
    </row>
    <row r="139" spans="13:35" x14ac:dyDescent="0.35">
      <c r="M139" s="477"/>
    </row>
    <row r="140" spans="13:35" x14ac:dyDescent="0.35">
      <c r="M140" s="477" t="s">
        <v>58</v>
      </c>
      <c r="AE140" s="477" t="s">
        <v>58</v>
      </c>
      <c r="AH140" s="807">
        <f>AH83/(AH80+AH83)*100</f>
        <v>21.826697128934644</v>
      </c>
      <c r="AI140" s="808" t="s">
        <v>251</v>
      </c>
    </row>
    <row r="141" spans="13:35" x14ac:dyDescent="0.35">
      <c r="M141" s="477"/>
      <c r="S141" s="477" t="s">
        <v>58</v>
      </c>
    </row>
    <row r="142" spans="13:35" x14ac:dyDescent="0.35">
      <c r="M142" s="477"/>
      <c r="U142" s="477" t="s">
        <v>58</v>
      </c>
      <c r="Z142" s="477" t="s">
        <v>58</v>
      </c>
      <c r="AF142" s="477" t="s">
        <v>58</v>
      </c>
      <c r="AG142" s="477" t="s">
        <v>58</v>
      </c>
    </row>
    <row r="143" spans="13:35" x14ac:dyDescent="0.35">
      <c r="M143" s="477"/>
    </row>
    <row r="144" spans="13:35" x14ac:dyDescent="0.35">
      <c r="M144" s="477"/>
    </row>
    <row r="145" spans="10:13" x14ac:dyDescent="0.35">
      <c r="M145" s="477"/>
    </row>
    <row r="146" spans="10:13" x14ac:dyDescent="0.35">
      <c r="M146" s="477"/>
    </row>
    <row r="147" spans="10:13" x14ac:dyDescent="0.35">
      <c r="M147" s="477"/>
    </row>
    <row r="148" spans="10:13" x14ac:dyDescent="0.35">
      <c r="M148" s="477"/>
    </row>
    <row r="149" spans="10:13" x14ac:dyDescent="0.35">
      <c r="M149" s="477"/>
    </row>
    <row r="150" spans="10:13" x14ac:dyDescent="0.35">
      <c r="M150" s="477"/>
    </row>
    <row r="151" spans="10:13" x14ac:dyDescent="0.35">
      <c r="M151" s="477"/>
    </row>
    <row r="152" spans="10:13" x14ac:dyDescent="0.35">
      <c r="M152" s="477"/>
    </row>
    <row r="153" spans="10:13" x14ac:dyDescent="0.35">
      <c r="M153" s="477"/>
    </row>
    <row r="154" spans="10:13" x14ac:dyDescent="0.35">
      <c r="M154" s="477"/>
    </row>
    <row r="155" spans="10:13" x14ac:dyDescent="0.35">
      <c r="J155" s="477" t="s">
        <v>58</v>
      </c>
      <c r="M155" s="477"/>
    </row>
    <row r="156" spans="10:13" x14ac:dyDescent="0.35">
      <c r="M156" s="477"/>
    </row>
    <row r="157" spans="10:13" x14ac:dyDescent="0.35">
      <c r="M157" s="477"/>
    </row>
    <row r="158" spans="10:13" x14ac:dyDescent="0.35">
      <c r="M158" s="477"/>
    </row>
    <row r="159" spans="10:13" x14ac:dyDescent="0.35">
      <c r="M159" s="477"/>
    </row>
    <row r="160" spans="10:13" x14ac:dyDescent="0.35">
      <c r="M160" s="477"/>
    </row>
    <row r="161" spans="13:13" x14ac:dyDescent="0.35">
      <c r="M161" s="477"/>
    </row>
    <row r="162" spans="13:13" x14ac:dyDescent="0.35">
      <c r="M162" s="477"/>
    </row>
    <row r="163" spans="13:13" x14ac:dyDescent="0.35">
      <c r="M163" s="477"/>
    </row>
    <row r="164" spans="13:13" x14ac:dyDescent="0.35">
      <c r="M164" s="477"/>
    </row>
    <row r="165" spans="13:13" x14ac:dyDescent="0.35">
      <c r="M165" s="477"/>
    </row>
    <row r="166" spans="13:13" x14ac:dyDescent="0.35">
      <c r="M166" s="477"/>
    </row>
    <row r="167" spans="13:13" x14ac:dyDescent="0.35">
      <c r="M167" s="477"/>
    </row>
    <row r="168" spans="13:13" x14ac:dyDescent="0.35">
      <c r="M168" s="477"/>
    </row>
    <row r="169" spans="13:13" x14ac:dyDescent="0.35">
      <c r="M169" s="477"/>
    </row>
    <row r="170" spans="13:13" x14ac:dyDescent="0.35">
      <c r="M170" s="477"/>
    </row>
    <row r="171" spans="13:13" x14ac:dyDescent="0.35">
      <c r="M171" s="477"/>
    </row>
    <row r="172" spans="13:13" x14ac:dyDescent="0.35">
      <c r="M172" s="477"/>
    </row>
    <row r="173" spans="13:13" x14ac:dyDescent="0.35">
      <c r="M173" s="477"/>
    </row>
    <row r="174" spans="13:13" x14ac:dyDescent="0.35">
      <c r="M174" s="477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H28" sqref="H28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April 2026'!O6</f>
        <v>227533</v>
      </c>
      <c r="C7" s="55">
        <f>B8-B7</f>
        <v>207</v>
      </c>
      <c r="D7" s="55">
        <f>C7-G7</f>
        <v>43</v>
      </c>
      <c r="E7" s="56">
        <f>'Entries April 2026'!Y6</f>
        <v>59389</v>
      </c>
      <c r="F7" s="57">
        <f>'Entries April 2026'!V6</f>
        <v>1341402</v>
      </c>
      <c r="G7" s="57">
        <f>F8-F7</f>
        <v>164</v>
      </c>
      <c r="H7" s="57">
        <f>'Entries April 2026'!AA6</f>
        <v>97122</v>
      </c>
      <c r="I7" s="58">
        <f>H8-H7</f>
        <v>0</v>
      </c>
      <c r="J7" s="57">
        <f>'Entries April 2026'!V6</f>
        <v>1341402</v>
      </c>
      <c r="K7" s="58">
        <f>J8-J7</f>
        <v>-1341402</v>
      </c>
      <c r="L7" s="58">
        <f>K7+I7</f>
        <v>-1341402</v>
      </c>
      <c r="M7" s="57">
        <f>'Entries April 2026'!R6</f>
        <v>0</v>
      </c>
      <c r="N7" s="57">
        <f>'Entries April 2026'!AC7-'Entries April 2026'!AC6</f>
        <v>13</v>
      </c>
      <c r="O7" s="57">
        <f>C7+D7+G7</f>
        <v>414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April 2026'!O7</f>
        <v>227740</v>
      </c>
      <c r="C8" s="55">
        <f t="shared" ref="C8:C34" si="1">B9-B8</f>
        <v>124</v>
      </c>
      <c r="D8" s="55">
        <f t="shared" ref="D8:D35" si="2">C8-G8</f>
        <v>-53</v>
      </c>
      <c r="E8" s="56">
        <f>'Entries April 2026'!W7</f>
        <v>0</v>
      </c>
      <c r="F8" s="57">
        <f>'Entries April 2026'!V7</f>
        <v>1341566</v>
      </c>
      <c r="G8" s="43">
        <f>F9-F8</f>
        <v>177</v>
      </c>
      <c r="H8" s="57">
        <f>'Entries April 2026'!AA7</f>
        <v>97122</v>
      </c>
      <c r="I8" s="58">
        <f t="shared" ref="I8:I34" si="3">H9-H8</f>
        <v>0</v>
      </c>
      <c r="J8" s="57">
        <f>'Entries April 2026'!T7</f>
        <v>0</v>
      </c>
      <c r="K8" s="58">
        <f t="shared" ref="K8:K34" si="4">J9-J8</f>
        <v>0</v>
      </c>
      <c r="L8" s="58">
        <f>K8+I8</f>
        <v>0</v>
      </c>
      <c r="M8" s="57">
        <f>'Entries April 2026'!R7</f>
        <v>0</v>
      </c>
      <c r="N8" s="57">
        <f>'Entries April 2026'!AC8-'Entries April 2026'!AC7</f>
        <v>21</v>
      </c>
      <c r="O8" s="57">
        <f t="shared" ref="O8:O34" si="5">C8+D8+G8</f>
        <v>248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April 2026'!O8</f>
        <v>227864</v>
      </c>
      <c r="C9" s="55">
        <f t="shared" si="1"/>
        <v>0</v>
      </c>
      <c r="D9" s="55">
        <f t="shared" si="2"/>
        <v>0</v>
      </c>
      <c r="E9" s="56">
        <f>'Entries April 2026'!W8</f>
        <v>0</v>
      </c>
      <c r="F9" s="57">
        <f>'Entries April 2026'!V8</f>
        <v>1341743</v>
      </c>
      <c r="G9" s="57">
        <f>F10-F9</f>
        <v>0</v>
      </c>
      <c r="H9" s="57">
        <f>'Entries April 2026'!AA8</f>
        <v>97122</v>
      </c>
      <c r="I9" s="58">
        <f t="shared" si="3"/>
        <v>0</v>
      </c>
      <c r="J9" s="57">
        <f>'Entries April 2026'!T8</f>
        <v>0</v>
      </c>
      <c r="K9" s="58">
        <f t="shared" si="4"/>
        <v>0</v>
      </c>
      <c r="L9" s="58">
        <f t="shared" ref="L9:L34" si="6">K9+I9</f>
        <v>0</v>
      </c>
      <c r="M9" s="57">
        <f>'Entries April 2026'!R10</f>
        <v>0</v>
      </c>
      <c r="N9" s="57">
        <f>'Entries April 2026'!AC9-'Entries April 2026'!AC8</f>
        <v>0</v>
      </c>
      <c r="O9" s="57">
        <f t="shared" si="5"/>
        <v>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April 2026'!O9</f>
        <v>227864</v>
      </c>
      <c r="C10" s="55">
        <f t="shared" si="1"/>
        <v>27</v>
      </c>
      <c r="D10" s="55">
        <f t="shared" si="2"/>
        <v>-99</v>
      </c>
      <c r="E10" s="56">
        <f>'Entries April 2026'!W9</f>
        <v>0</v>
      </c>
      <c r="F10" s="57">
        <f>'Entries April 2026'!V9</f>
        <v>1341743</v>
      </c>
      <c r="G10" s="43">
        <f t="shared" ref="G10:G34" si="7">F11-F10</f>
        <v>126</v>
      </c>
      <c r="H10" s="57">
        <f>'Entries April 2026'!AA9</f>
        <v>97122</v>
      </c>
      <c r="I10" s="58">
        <f t="shared" si="3"/>
        <v>0</v>
      </c>
      <c r="J10" s="57">
        <f>'Entries April 2026'!T9</f>
        <v>0</v>
      </c>
      <c r="K10" s="58">
        <f t="shared" si="4"/>
        <v>0</v>
      </c>
      <c r="L10" s="58">
        <f t="shared" si="6"/>
        <v>0</v>
      </c>
      <c r="M10" s="57">
        <f>'Entries April 2026'!R9</f>
        <v>0</v>
      </c>
      <c r="N10" s="57">
        <f>'Entries April 2026'!AC10-'Entries April 2026'!AC9</f>
        <v>0</v>
      </c>
      <c r="O10" s="57">
        <f t="shared" si="5"/>
        <v>54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April 2026'!O10</f>
        <v>227891</v>
      </c>
      <c r="C11" s="55">
        <f t="shared" si="1"/>
        <v>0</v>
      </c>
      <c r="D11" s="55">
        <f t="shared" si="2"/>
        <v>0</v>
      </c>
      <c r="E11" s="56">
        <f>'Entries April 2026'!W10</f>
        <v>0</v>
      </c>
      <c r="F11" s="57">
        <f>'Entries April 2026'!V10</f>
        <v>1341869</v>
      </c>
      <c r="G11" s="57">
        <f t="shared" si="7"/>
        <v>0</v>
      </c>
      <c r="H11" s="57">
        <f>'Entries April 2026'!AA10</f>
        <v>97122</v>
      </c>
      <c r="I11" s="58">
        <f t="shared" si="3"/>
        <v>0</v>
      </c>
      <c r="J11" s="57">
        <f>'Entries April 2026'!T10</f>
        <v>0</v>
      </c>
      <c r="K11" s="58">
        <f t="shared" si="4"/>
        <v>0</v>
      </c>
      <c r="L11" s="58">
        <f t="shared" si="6"/>
        <v>0</v>
      </c>
      <c r="M11" s="57">
        <f>'Entries April 2026'!R10</f>
        <v>0</v>
      </c>
      <c r="N11" s="57">
        <f>'Entries April 2026'!AC11-'Entries April 2026'!AC10</f>
        <v>0</v>
      </c>
      <c r="O11" s="57">
        <f t="shared" si="5"/>
        <v>0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April 2026'!O11</f>
        <v>227891</v>
      </c>
      <c r="C12" s="55">
        <f t="shared" si="1"/>
        <v>0</v>
      </c>
      <c r="D12" s="55">
        <f t="shared" si="2"/>
        <v>0</v>
      </c>
      <c r="E12" s="56">
        <f>'Entries April 2026'!W11</f>
        <v>0</v>
      </c>
      <c r="F12" s="57">
        <f>'Entries April 2026'!V11</f>
        <v>1341869</v>
      </c>
      <c r="G12" s="57">
        <f t="shared" si="7"/>
        <v>0</v>
      </c>
      <c r="H12" s="57">
        <f>'Entries April 2026'!AA11</f>
        <v>97122</v>
      </c>
      <c r="I12" s="58">
        <f t="shared" si="3"/>
        <v>0</v>
      </c>
      <c r="J12" s="57">
        <f>'Entries April 2026'!T11</f>
        <v>0</v>
      </c>
      <c r="K12" s="58">
        <f t="shared" si="4"/>
        <v>22563</v>
      </c>
      <c r="L12" s="58">
        <f t="shared" si="6"/>
        <v>22563</v>
      </c>
      <c r="M12" s="57">
        <f>'Entries April 2026'!R11</f>
        <v>0</v>
      </c>
      <c r="N12" s="57">
        <f>'Entries April 2026'!AC12-'Entries April 2026'!AC11</f>
        <v>0</v>
      </c>
      <c r="O12" s="57">
        <f t="shared" si="5"/>
        <v>0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April 2026'!O12</f>
        <v>227891</v>
      </c>
      <c r="C13" s="55">
        <f t="shared" si="1"/>
        <v>34</v>
      </c>
      <c r="D13" s="55">
        <f t="shared" si="2"/>
        <v>-159</v>
      </c>
      <c r="E13" s="56">
        <f>'Entries April 2026'!W12</f>
        <v>0</v>
      </c>
      <c r="F13" s="57">
        <f>'Entries April 2026'!V12</f>
        <v>1341869</v>
      </c>
      <c r="G13" s="57">
        <f t="shared" si="7"/>
        <v>193</v>
      </c>
      <c r="H13" s="57">
        <f>'Entries April 2026'!AA12</f>
        <v>97122</v>
      </c>
      <c r="I13" s="58">
        <f t="shared" si="3"/>
        <v>0</v>
      </c>
      <c r="J13" s="57">
        <f>'Entries April 2026'!U12</f>
        <v>22563</v>
      </c>
      <c r="K13" s="58">
        <f t="shared" si="4"/>
        <v>-22563</v>
      </c>
      <c r="L13" s="58">
        <f t="shared" si="6"/>
        <v>-22563</v>
      </c>
      <c r="M13" s="57">
        <f>'Entries April 2026'!R12</f>
        <v>0</v>
      </c>
      <c r="N13" s="57">
        <f>'Entries April 2026'!AC13-'Entries April 2026'!AC12</f>
        <v>17</v>
      </c>
      <c r="O13" s="57">
        <f t="shared" si="5"/>
        <v>68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April 2026'!O13</f>
        <v>227925</v>
      </c>
      <c r="C14" s="55">
        <f t="shared" si="1"/>
        <v>172</v>
      </c>
      <c r="D14" s="55">
        <f t="shared" si="2"/>
        <v>17</v>
      </c>
      <c r="E14" s="56">
        <f>'Entries April 2026'!W13</f>
        <v>0</v>
      </c>
      <c r="F14" s="57">
        <f>'Entries April 2026'!V13</f>
        <v>1342062</v>
      </c>
      <c r="G14" s="57">
        <f>F15-F14</f>
        <v>155</v>
      </c>
      <c r="H14" s="57">
        <f>'Entries April 2026'!AA13</f>
        <v>97122</v>
      </c>
      <c r="I14" s="58">
        <f t="shared" si="3"/>
        <v>0</v>
      </c>
      <c r="J14" s="57">
        <f>'Entries April 2026'!T13</f>
        <v>0</v>
      </c>
      <c r="K14" s="58">
        <f t="shared" si="4"/>
        <v>0</v>
      </c>
      <c r="L14" s="58">
        <f t="shared" si="6"/>
        <v>0</v>
      </c>
      <c r="M14" s="57">
        <f>'Entries April 2026'!R13</f>
        <v>0</v>
      </c>
      <c r="N14" s="57">
        <f>'Entries April 2026'!AC14-'Entries April 2026'!AC13</f>
        <v>32</v>
      </c>
      <c r="O14" s="57">
        <f t="shared" si="5"/>
        <v>344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April 2026'!O14</f>
        <v>228097</v>
      </c>
      <c r="C15" s="55">
        <f t="shared" si="1"/>
        <v>237</v>
      </c>
      <c r="D15" s="55">
        <f t="shared" si="2"/>
        <v>93</v>
      </c>
      <c r="E15" s="56">
        <f>'Entries April 2026'!W14</f>
        <v>0</v>
      </c>
      <c r="F15" s="57">
        <f>'Entries April 2026'!V14</f>
        <v>1342217</v>
      </c>
      <c r="G15" s="57">
        <f t="shared" si="7"/>
        <v>144</v>
      </c>
      <c r="H15" s="57">
        <f>'Entries April 2026'!AA14</f>
        <v>97122</v>
      </c>
      <c r="I15" s="58">
        <f t="shared" si="3"/>
        <v>0</v>
      </c>
      <c r="J15" s="57">
        <f>'Entries April 2026'!T14</f>
        <v>0</v>
      </c>
      <c r="K15" s="58">
        <f t="shared" si="4"/>
        <v>0</v>
      </c>
      <c r="L15" s="58">
        <f t="shared" si="6"/>
        <v>0</v>
      </c>
      <c r="M15" s="57">
        <f>'Entries April 2026'!R14</f>
        <v>0</v>
      </c>
      <c r="N15" s="57">
        <f>'Entries April 2026'!AC15-'Entries April 2026'!AC14</f>
        <v>33</v>
      </c>
      <c r="O15" s="57">
        <f t="shared" si="5"/>
        <v>474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April 2026'!O15</f>
        <v>228334</v>
      </c>
      <c r="C16" s="55">
        <f t="shared" si="1"/>
        <v>211</v>
      </c>
      <c r="D16" s="55">
        <f t="shared" si="2"/>
        <v>37</v>
      </c>
      <c r="E16" s="56">
        <f>'Entries April 2026'!W15</f>
        <v>0</v>
      </c>
      <c r="F16" s="57">
        <f>'Entries April 2026'!V15</f>
        <v>1342361</v>
      </c>
      <c r="G16" s="57">
        <f t="shared" si="7"/>
        <v>174</v>
      </c>
      <c r="H16" s="57">
        <f>'Entries April 2026'!AA15</f>
        <v>97122</v>
      </c>
      <c r="I16" s="58">
        <f t="shared" si="3"/>
        <v>0</v>
      </c>
      <c r="J16" s="57">
        <f>'Entries April 2026'!T15</f>
        <v>0</v>
      </c>
      <c r="K16" s="58">
        <f t="shared" si="4"/>
        <v>0</v>
      </c>
      <c r="L16" s="58">
        <f t="shared" si="6"/>
        <v>0</v>
      </c>
      <c r="M16" s="57">
        <f>'Entries April 2026'!R15</f>
        <v>0</v>
      </c>
      <c r="N16" s="57">
        <f>'Entries April 2026'!AC16-'Entries April 2026'!AC15</f>
        <v>25</v>
      </c>
      <c r="O16" s="57">
        <f t="shared" si="5"/>
        <v>422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April 2026'!O16</f>
        <v>228545</v>
      </c>
      <c r="C17" s="55">
        <f t="shared" si="1"/>
        <v>31</v>
      </c>
      <c r="D17" s="55">
        <f t="shared" si="2"/>
        <v>-3</v>
      </c>
      <c r="E17" s="56">
        <f>'Entries April 2026'!W16</f>
        <v>0</v>
      </c>
      <c r="F17" s="57">
        <f>'Entries April 2026'!V16</f>
        <v>1342535</v>
      </c>
      <c r="G17" s="57">
        <f t="shared" si="7"/>
        <v>34</v>
      </c>
      <c r="H17" s="57">
        <f>'Entries April 2026'!AA16</f>
        <v>97122</v>
      </c>
      <c r="I17" s="58">
        <f t="shared" si="3"/>
        <v>0</v>
      </c>
      <c r="J17" s="57">
        <f>'Entries April 2026'!T16</f>
        <v>0</v>
      </c>
      <c r="K17" s="58">
        <f t="shared" si="4"/>
        <v>0</v>
      </c>
      <c r="L17" s="58">
        <f t="shared" si="6"/>
        <v>0</v>
      </c>
      <c r="M17" s="57">
        <f>'Entries April 2026'!R16</f>
        <v>0</v>
      </c>
      <c r="N17" s="57">
        <f>'Entries April 2026'!AC17-'Entries April 2026'!AC16</f>
        <v>0</v>
      </c>
      <c r="O17" s="57">
        <f t="shared" si="5"/>
        <v>62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April 2026'!O17</f>
        <v>228576</v>
      </c>
      <c r="C18" s="55">
        <f t="shared" si="1"/>
        <v>2</v>
      </c>
      <c r="D18" s="55">
        <f t="shared" si="2"/>
        <v>2</v>
      </c>
      <c r="E18" s="56">
        <f>'Entries April 2026'!W17</f>
        <v>0</v>
      </c>
      <c r="F18" s="57">
        <f>'Entries April 2026'!V17</f>
        <v>1342569</v>
      </c>
      <c r="G18" s="57">
        <f t="shared" si="7"/>
        <v>0</v>
      </c>
      <c r="H18" s="57">
        <f>'Entries April 2026'!AA17</f>
        <v>97122</v>
      </c>
      <c r="I18" s="58">
        <f t="shared" si="3"/>
        <v>0</v>
      </c>
      <c r="J18" s="57">
        <f>'Entries April 2026'!T17</f>
        <v>0</v>
      </c>
      <c r="K18" s="58">
        <f t="shared" si="4"/>
        <v>0</v>
      </c>
      <c r="L18" s="58">
        <f t="shared" si="6"/>
        <v>0</v>
      </c>
      <c r="M18" s="57">
        <f>'Entries April 2026'!R17</f>
        <v>0</v>
      </c>
      <c r="N18" s="57">
        <f>'Entries April 2026'!AC18-'Entries April 2026'!AC17</f>
        <v>0</v>
      </c>
      <c r="O18" s="57">
        <f t="shared" si="5"/>
        <v>4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April 2026'!O18</f>
        <v>228578</v>
      </c>
      <c r="C19" s="55">
        <f t="shared" si="1"/>
        <v>240</v>
      </c>
      <c r="D19" s="55">
        <f t="shared" si="2"/>
        <v>82</v>
      </c>
      <c r="E19" s="56">
        <f>'Entries April 2026'!W18</f>
        <v>0</v>
      </c>
      <c r="F19" s="57">
        <f>'Entries April 2026'!V18</f>
        <v>1342569</v>
      </c>
      <c r="G19" s="57">
        <f t="shared" si="7"/>
        <v>158</v>
      </c>
      <c r="H19" s="57">
        <f>'Entries April 2026'!AA18</f>
        <v>97122</v>
      </c>
      <c r="I19" s="58">
        <f t="shared" si="3"/>
        <v>0</v>
      </c>
      <c r="J19" s="57">
        <f>'Entries April 2026'!T18</f>
        <v>0</v>
      </c>
      <c r="K19" s="58">
        <f>J20-J19</f>
        <v>0</v>
      </c>
      <c r="L19" s="58">
        <f t="shared" si="6"/>
        <v>0</v>
      </c>
      <c r="M19" s="57">
        <f>'Entries April 2026'!R18</f>
        <v>0</v>
      </c>
      <c r="N19" s="57">
        <f>'Entries April 2026'!AC19-'Entries April 2026'!AC18</f>
        <v>28</v>
      </c>
      <c r="O19" s="57">
        <f t="shared" si="5"/>
        <v>480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April 2026'!O19</f>
        <v>228818</v>
      </c>
      <c r="C20" s="55">
        <f t="shared" si="1"/>
        <v>312</v>
      </c>
      <c r="D20" s="55">
        <f t="shared" si="2"/>
        <v>161</v>
      </c>
      <c r="E20" s="56">
        <f>'Entries April 2026'!W19</f>
        <v>0</v>
      </c>
      <c r="F20" s="57">
        <f>'Entries April 2026'!V19</f>
        <v>1342727</v>
      </c>
      <c r="G20" s="57">
        <f t="shared" si="7"/>
        <v>151</v>
      </c>
      <c r="H20" s="57">
        <f>'Entries April 2026'!AA19</f>
        <v>97122</v>
      </c>
      <c r="I20" s="58">
        <f t="shared" si="3"/>
        <v>0</v>
      </c>
      <c r="J20" s="57">
        <f>'Entries April 2026'!T19</f>
        <v>0</v>
      </c>
      <c r="K20" s="58">
        <f t="shared" si="4"/>
        <v>0</v>
      </c>
      <c r="L20" s="58">
        <f t="shared" si="6"/>
        <v>0</v>
      </c>
      <c r="M20" s="57">
        <f>'Entries April 2026'!R19</f>
        <v>0</v>
      </c>
      <c r="N20" s="57">
        <f>'Entries April 2026'!AC20-'Entries April 2026'!AC19</f>
        <v>29</v>
      </c>
      <c r="O20" s="57">
        <f t="shared" si="5"/>
        <v>624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April 2026'!O20</f>
        <v>229130</v>
      </c>
      <c r="C21" s="55">
        <f t="shared" si="1"/>
        <v>288</v>
      </c>
      <c r="D21" s="55">
        <f t="shared" si="2"/>
        <v>116</v>
      </c>
      <c r="E21" s="56">
        <f>'Entries April 2026'!W20</f>
        <v>0</v>
      </c>
      <c r="F21" s="57">
        <f>'Entries April 2026'!V20</f>
        <v>1342878</v>
      </c>
      <c r="G21" s="57">
        <f t="shared" si="7"/>
        <v>172</v>
      </c>
      <c r="H21" s="57">
        <f>'Entries April 2026'!AA20</f>
        <v>97122</v>
      </c>
      <c r="I21" s="58">
        <f t="shared" si="3"/>
        <v>0</v>
      </c>
      <c r="J21" s="57">
        <f>'Entries April 2026'!T20</f>
        <v>0</v>
      </c>
      <c r="K21" s="58">
        <f t="shared" si="4"/>
        <v>0</v>
      </c>
      <c r="L21" s="58">
        <f t="shared" si="6"/>
        <v>0</v>
      </c>
      <c r="M21" s="57">
        <f>'Entries April 2026'!R20</f>
        <v>0</v>
      </c>
      <c r="N21" s="57">
        <f>'Entries April 2026'!AC21-'Entries April 2026'!AC20</f>
        <v>34</v>
      </c>
      <c r="O21" s="57">
        <f t="shared" si="5"/>
        <v>576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April 2026'!O21</f>
        <v>229418</v>
      </c>
      <c r="C22" s="55">
        <f t="shared" si="1"/>
        <v>147</v>
      </c>
      <c r="D22" s="55">
        <f t="shared" si="2"/>
        <v>32</v>
      </c>
      <c r="E22" s="56">
        <f>'Entries April 2026'!W21</f>
        <v>0</v>
      </c>
      <c r="F22" s="57">
        <f>'Entries April 2026'!V21</f>
        <v>1343050</v>
      </c>
      <c r="G22" s="57">
        <f t="shared" si="7"/>
        <v>115</v>
      </c>
      <c r="H22" s="57">
        <f>'Entries April 2026'!AA21</f>
        <v>97122</v>
      </c>
      <c r="I22" s="58">
        <f t="shared" si="3"/>
        <v>0</v>
      </c>
      <c r="J22" s="57">
        <f>'Entries April 2026'!T21</f>
        <v>0</v>
      </c>
      <c r="K22" s="58">
        <f t="shared" si="4"/>
        <v>0</v>
      </c>
      <c r="L22" s="58">
        <f t="shared" si="6"/>
        <v>0</v>
      </c>
      <c r="M22" s="57">
        <f>'Entries April 2026'!R21</f>
        <v>0</v>
      </c>
      <c r="N22" s="57">
        <f>'Entries April 2026'!AC22-'Entries April 2026'!AC21</f>
        <v>31</v>
      </c>
      <c r="O22" s="57">
        <f t="shared" si="5"/>
        <v>294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April 2026'!O22</f>
        <v>229565</v>
      </c>
      <c r="C23" s="55">
        <f t="shared" si="1"/>
        <v>182</v>
      </c>
      <c r="D23" s="55">
        <f t="shared" si="2"/>
        <v>-4</v>
      </c>
      <c r="E23" s="56">
        <f>'Entries April 2026'!W22</f>
        <v>0</v>
      </c>
      <c r="F23" s="57">
        <f>'Entries April 2026'!V22</f>
        <v>1343165</v>
      </c>
      <c r="G23" s="57">
        <f t="shared" si="7"/>
        <v>186</v>
      </c>
      <c r="H23" s="57">
        <f>'Entries April 2026'!AA22</f>
        <v>97122</v>
      </c>
      <c r="I23" s="58">
        <f t="shared" si="3"/>
        <v>0</v>
      </c>
      <c r="J23" s="57">
        <f>'Entries April 2026'!T22</f>
        <v>0</v>
      </c>
      <c r="K23" s="58">
        <f t="shared" si="4"/>
        <v>0</v>
      </c>
      <c r="L23" s="58">
        <f t="shared" si="6"/>
        <v>0</v>
      </c>
      <c r="M23" s="57">
        <f>'Entries April 2026'!R22</f>
        <v>0</v>
      </c>
      <c r="N23" s="57">
        <f>'Entries April 2026'!AC23-'Entries April 2026'!AC22</f>
        <v>22</v>
      </c>
      <c r="O23" s="57">
        <f t="shared" si="5"/>
        <v>364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April 2026'!O23</f>
        <v>229747</v>
      </c>
      <c r="C24" s="55">
        <f t="shared" si="1"/>
        <v>0</v>
      </c>
      <c r="D24" s="55">
        <f t="shared" si="2"/>
        <v>-35</v>
      </c>
      <c r="E24" s="56">
        <f>'Entries April 2026'!W23</f>
        <v>0</v>
      </c>
      <c r="F24" s="57">
        <f>'Entries April 2026'!V23</f>
        <v>1343351</v>
      </c>
      <c r="G24" s="57">
        <f t="shared" si="7"/>
        <v>35</v>
      </c>
      <c r="H24" s="57">
        <f>'Entries April 2026'!AA23</f>
        <v>97122</v>
      </c>
      <c r="I24" s="58">
        <f t="shared" si="3"/>
        <v>0</v>
      </c>
      <c r="J24" s="57">
        <f>'Entries April 2026'!T23</f>
        <v>0</v>
      </c>
      <c r="K24" s="58">
        <f t="shared" si="4"/>
        <v>0</v>
      </c>
      <c r="L24" s="58">
        <f t="shared" si="6"/>
        <v>0</v>
      </c>
      <c r="M24" s="57">
        <f>'Entries April 2026'!R23</f>
        <v>0</v>
      </c>
      <c r="N24" s="57">
        <f>'Entries April 2026'!AC24-'Entries April 2026'!AC23</f>
        <v>0</v>
      </c>
      <c r="O24" s="57">
        <f t="shared" si="5"/>
        <v>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April 2026'!O24</f>
        <v>229747</v>
      </c>
      <c r="C25" s="55">
        <f t="shared" si="1"/>
        <v>106</v>
      </c>
      <c r="D25" s="55">
        <f t="shared" si="2"/>
        <v>33</v>
      </c>
      <c r="E25" s="56">
        <f>'Entries April 2026'!W24</f>
        <v>0</v>
      </c>
      <c r="F25" s="57">
        <f>'Entries April 2026'!V24</f>
        <v>1343386</v>
      </c>
      <c r="G25" s="57">
        <f t="shared" si="7"/>
        <v>73</v>
      </c>
      <c r="H25" s="57">
        <f>'Entries April 2026'!AA24</f>
        <v>97122</v>
      </c>
      <c r="I25" s="58">
        <f t="shared" si="3"/>
        <v>0</v>
      </c>
      <c r="J25" s="57">
        <f>'Entries April 2026'!T24</f>
        <v>0</v>
      </c>
      <c r="K25" s="58">
        <f t="shared" si="4"/>
        <v>0</v>
      </c>
      <c r="L25" s="58">
        <f t="shared" si="6"/>
        <v>0</v>
      </c>
      <c r="M25" s="57">
        <f>'Entries April 2026'!R24</f>
        <v>0</v>
      </c>
      <c r="N25" s="57">
        <f>'Entries April 2026'!AC25-'Entries April 2026'!AC24</f>
        <v>0</v>
      </c>
      <c r="O25" s="57">
        <f t="shared" si="5"/>
        <v>212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April 2026'!O25</f>
        <v>229853</v>
      </c>
      <c r="C26" s="55">
        <f t="shared" si="1"/>
        <v>202</v>
      </c>
      <c r="D26" s="55">
        <f t="shared" si="2"/>
        <v>89</v>
      </c>
      <c r="E26" s="56">
        <f>'Entries April 2026'!W25</f>
        <v>0</v>
      </c>
      <c r="F26" s="57">
        <f>'Entries April 2026'!V25</f>
        <v>1343459</v>
      </c>
      <c r="G26" s="57">
        <f t="shared" si="7"/>
        <v>113</v>
      </c>
      <c r="H26" s="57">
        <f>'Entries April 2026'!AA25</f>
        <v>97122</v>
      </c>
      <c r="I26" s="58">
        <f t="shared" si="3"/>
        <v>0</v>
      </c>
      <c r="J26" s="57">
        <f>'Entries April 2026'!T25</f>
        <v>0</v>
      </c>
      <c r="K26" s="58">
        <f t="shared" si="4"/>
        <v>0</v>
      </c>
      <c r="L26" s="58">
        <f t="shared" si="6"/>
        <v>0</v>
      </c>
      <c r="M26" s="57">
        <f>'Entries April 2026'!R25</f>
        <v>0</v>
      </c>
      <c r="N26" s="57">
        <f>'Entries April 2026'!AC26-'Entries April 2026'!AC25</f>
        <v>26</v>
      </c>
      <c r="O26" s="57">
        <f t="shared" si="5"/>
        <v>404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April 2026'!O26</f>
        <v>230055</v>
      </c>
      <c r="C27" s="55">
        <f t="shared" si="1"/>
        <v>189</v>
      </c>
      <c r="D27" s="55">
        <f t="shared" si="2"/>
        <v>57</v>
      </c>
      <c r="E27" s="56">
        <f>'Entries April 2026'!W26</f>
        <v>0</v>
      </c>
      <c r="F27" s="57">
        <f>'Entries April 2026'!V26</f>
        <v>1343572</v>
      </c>
      <c r="G27" s="57">
        <f t="shared" si="7"/>
        <v>132</v>
      </c>
      <c r="H27" s="57">
        <f>'Entries April 2026'!AA26</f>
        <v>97122</v>
      </c>
      <c r="I27" s="58">
        <f t="shared" si="3"/>
        <v>0</v>
      </c>
      <c r="J27" s="57">
        <f>'Entries April 2026'!T26</f>
        <v>0</v>
      </c>
      <c r="K27" s="58">
        <f t="shared" si="4"/>
        <v>0</v>
      </c>
      <c r="L27" s="58">
        <f t="shared" si="6"/>
        <v>0</v>
      </c>
      <c r="M27" s="57">
        <f>'Entries April 2026'!R26</f>
        <v>0</v>
      </c>
      <c r="N27" s="57">
        <f>'Entries April 2026'!AC27-'Entries April 2026'!AC26</f>
        <v>32</v>
      </c>
      <c r="O27" s="57">
        <f t="shared" si="5"/>
        <v>378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April 2026'!O27</f>
        <v>230244</v>
      </c>
      <c r="C28" s="55">
        <f t="shared" si="1"/>
        <v>271</v>
      </c>
      <c r="D28" s="55">
        <f t="shared" si="2"/>
        <v>91</v>
      </c>
      <c r="E28" s="56">
        <f>'Entries April 2026'!W27</f>
        <v>0</v>
      </c>
      <c r="F28" s="57">
        <f>'Entries April 2026'!V27</f>
        <v>1343704</v>
      </c>
      <c r="G28" s="57">
        <f t="shared" si="7"/>
        <v>180</v>
      </c>
      <c r="H28" s="57">
        <f>'Entries April 2026'!AA27</f>
        <v>97122</v>
      </c>
      <c r="I28" s="58">
        <f t="shared" si="3"/>
        <v>0</v>
      </c>
      <c r="J28" s="57">
        <f>'Entries April 2026'!T27</f>
        <v>0</v>
      </c>
      <c r="K28" s="58">
        <f t="shared" si="4"/>
        <v>0</v>
      </c>
      <c r="L28" s="58">
        <f t="shared" si="6"/>
        <v>0</v>
      </c>
      <c r="M28" s="57">
        <f>'Entries April 2026'!R27</f>
        <v>0</v>
      </c>
      <c r="N28" s="57">
        <f>'Entries April 2026'!AC28-'Entries April 2026'!AC27</f>
        <v>33</v>
      </c>
      <c r="O28" s="57">
        <f t="shared" si="5"/>
        <v>542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April 2026'!O28</f>
        <v>230515</v>
      </c>
      <c r="C29" s="55">
        <f t="shared" si="1"/>
        <v>140</v>
      </c>
      <c r="D29" s="55">
        <f t="shared" si="2"/>
        <v>-12</v>
      </c>
      <c r="E29" s="56">
        <f>'Entries April 2026'!W28</f>
        <v>0</v>
      </c>
      <c r="F29" s="57">
        <f>'Entries April 2026'!V28</f>
        <v>1343884</v>
      </c>
      <c r="G29" s="57">
        <f t="shared" si="7"/>
        <v>152</v>
      </c>
      <c r="H29" s="57">
        <f>'Entries April 2026'!AA28</f>
        <v>97122</v>
      </c>
      <c r="I29" s="58">
        <f t="shared" si="3"/>
        <v>0</v>
      </c>
      <c r="J29" s="57">
        <f>'Entries April 2026'!T28</f>
        <v>0</v>
      </c>
      <c r="K29" s="58">
        <f t="shared" si="4"/>
        <v>0</v>
      </c>
      <c r="L29" s="58">
        <f t="shared" si="6"/>
        <v>0</v>
      </c>
      <c r="M29" s="57">
        <f>'Entries April 2026'!R28</f>
        <v>0</v>
      </c>
      <c r="N29" s="57">
        <f>'Entries April 2026'!AC29-'Entries April 2026'!AC28</f>
        <v>28</v>
      </c>
      <c r="O29" s="57">
        <f t="shared" si="5"/>
        <v>280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April 2026'!O29</f>
        <v>230655</v>
      </c>
      <c r="C30" s="55">
        <f t="shared" si="1"/>
        <v>131</v>
      </c>
      <c r="D30" s="55">
        <f t="shared" si="2"/>
        <v>-38</v>
      </c>
      <c r="E30" s="56">
        <f>'Entries April 2026'!W29</f>
        <v>0</v>
      </c>
      <c r="F30" s="57">
        <f>'Entries April 2026'!V29</f>
        <v>1344036</v>
      </c>
      <c r="G30" s="57">
        <f t="shared" si="7"/>
        <v>169</v>
      </c>
      <c r="H30" s="57">
        <f>'Entries April 2026'!AA29</f>
        <v>97122</v>
      </c>
      <c r="I30" s="58">
        <f t="shared" si="3"/>
        <v>0</v>
      </c>
      <c r="J30" s="57">
        <f>'Entries April 2026'!T29</f>
        <v>0</v>
      </c>
      <c r="K30" s="58">
        <f t="shared" si="4"/>
        <v>0</v>
      </c>
      <c r="L30" s="58">
        <f t="shared" si="6"/>
        <v>0</v>
      </c>
      <c r="M30" s="57">
        <f>'Entries April 2026'!R29</f>
        <v>0</v>
      </c>
      <c r="N30" s="57">
        <f>'Entries April 2026'!AC30-'Entries April 2026'!AC29</f>
        <v>16</v>
      </c>
      <c r="O30" s="57">
        <f t="shared" si="5"/>
        <v>262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April 2026'!O30</f>
        <v>230786</v>
      </c>
      <c r="C31" s="55">
        <f t="shared" si="1"/>
        <v>77</v>
      </c>
      <c r="D31" s="55">
        <f t="shared" si="2"/>
        <v>36</v>
      </c>
      <c r="E31" s="56">
        <f>'Entries April 2026'!W30</f>
        <v>0</v>
      </c>
      <c r="F31" s="57">
        <f>'Entries April 2026'!V30</f>
        <v>1344205</v>
      </c>
      <c r="G31" s="57">
        <f t="shared" si="7"/>
        <v>41</v>
      </c>
      <c r="H31" s="57">
        <f>'Entries April 2026'!AA30</f>
        <v>97122</v>
      </c>
      <c r="I31" s="58">
        <f t="shared" si="3"/>
        <v>0</v>
      </c>
      <c r="J31" s="57">
        <f>'Entries April 2026'!T30</f>
        <v>0</v>
      </c>
      <c r="K31" s="58">
        <f t="shared" si="4"/>
        <v>0</v>
      </c>
      <c r="L31" s="58">
        <f t="shared" si="6"/>
        <v>0</v>
      </c>
      <c r="M31" s="57">
        <f>'Entries April 2026'!R30</f>
        <v>0</v>
      </c>
      <c r="N31" s="57">
        <f>'Entries April 2026'!AC31-'Entries April 2026'!AC30</f>
        <v>3</v>
      </c>
      <c r="O31" s="57">
        <f t="shared" si="5"/>
        <v>154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April 2026'!O31</f>
        <v>230863</v>
      </c>
      <c r="C32" s="55">
        <f t="shared" si="1"/>
        <v>95</v>
      </c>
      <c r="D32" s="55">
        <f t="shared" si="2"/>
        <v>18</v>
      </c>
      <c r="E32" s="56">
        <f>'Entries April 2026'!W31</f>
        <v>0</v>
      </c>
      <c r="F32" s="57">
        <f>'Entries April 2026'!V31</f>
        <v>1344246</v>
      </c>
      <c r="G32" s="57">
        <f t="shared" si="7"/>
        <v>77</v>
      </c>
      <c r="H32" s="57">
        <f>'Entries April 2026'!AA31</f>
        <v>97122</v>
      </c>
      <c r="I32" s="58">
        <f t="shared" si="3"/>
        <v>0</v>
      </c>
      <c r="J32" s="57">
        <f>'Entries April 2026'!T31</f>
        <v>0</v>
      </c>
      <c r="K32" s="58">
        <f t="shared" si="4"/>
        <v>0</v>
      </c>
      <c r="L32" s="58">
        <f t="shared" si="6"/>
        <v>0</v>
      </c>
      <c r="M32" s="57">
        <f>'Entries April 2026'!R31</f>
        <v>0</v>
      </c>
      <c r="N32" s="57">
        <f>'Entries April 2026'!AC32-'Entries April 2026'!AC31</f>
        <v>0</v>
      </c>
      <c r="O32" s="57">
        <f t="shared" si="5"/>
        <v>190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April 2026'!O32</f>
        <v>230958</v>
      </c>
      <c r="C33" s="55">
        <f t="shared" si="1"/>
        <v>260</v>
      </c>
      <c r="D33" s="55">
        <f t="shared" si="2"/>
        <v>138</v>
      </c>
      <c r="E33" s="56">
        <f>'Entries April 2026'!W32</f>
        <v>0</v>
      </c>
      <c r="F33" s="57">
        <f>'Entries April 2026'!V32</f>
        <v>1344323</v>
      </c>
      <c r="G33" s="57">
        <f t="shared" si="7"/>
        <v>122</v>
      </c>
      <c r="H33" s="57">
        <f>'Entries April 2026'!AA32</f>
        <v>97122</v>
      </c>
      <c r="I33" s="58">
        <f t="shared" si="3"/>
        <v>0</v>
      </c>
      <c r="J33" s="57">
        <f>'Entries April 2026'!T32</f>
        <v>0</v>
      </c>
      <c r="K33" s="58">
        <f t="shared" si="4"/>
        <v>0</v>
      </c>
      <c r="L33" s="58">
        <f t="shared" si="6"/>
        <v>0</v>
      </c>
      <c r="M33" s="57">
        <f>'Entries April 2026'!R32</f>
        <v>0</v>
      </c>
      <c r="N33" s="57">
        <f>'Entries April 2026'!AC33-'Entries April 2026'!AC32</f>
        <v>28</v>
      </c>
      <c r="O33" s="57">
        <f t="shared" si="5"/>
        <v>520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April 2026'!O33</f>
        <v>231218</v>
      </c>
      <c r="C34" s="55">
        <f t="shared" si="1"/>
        <v>198</v>
      </c>
      <c r="D34" s="55">
        <f t="shared" si="2"/>
        <v>57</v>
      </c>
      <c r="E34" s="56">
        <f>'Entries April 2026'!W33</f>
        <v>0</v>
      </c>
      <c r="F34" s="57">
        <f>'Entries April 2026'!V33</f>
        <v>1344445</v>
      </c>
      <c r="G34" s="57">
        <f t="shared" si="7"/>
        <v>141</v>
      </c>
      <c r="H34" s="57">
        <f>'Entries April 2026'!AA33</f>
        <v>97122</v>
      </c>
      <c r="I34" s="58">
        <f t="shared" si="3"/>
        <v>0</v>
      </c>
      <c r="J34" s="57">
        <f>'Entries April 2026'!T33</f>
        <v>0</v>
      </c>
      <c r="K34" s="58">
        <f t="shared" si="4"/>
        <v>0</v>
      </c>
      <c r="L34" s="58">
        <f t="shared" si="6"/>
        <v>0</v>
      </c>
      <c r="M34" s="57">
        <f>'Entries April 2026'!R33</f>
        <v>0</v>
      </c>
      <c r="N34" s="57">
        <f>'Entries April 2026'!AC34-'Entries April 2026'!AC33</f>
        <v>25</v>
      </c>
      <c r="O34" s="57">
        <f t="shared" si="5"/>
        <v>396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April 2026'!O34</f>
        <v>231416</v>
      </c>
      <c r="C35" s="63"/>
      <c r="D35" s="55">
        <f t="shared" si="2"/>
        <v>0</v>
      </c>
      <c r="E35" s="56"/>
      <c r="F35" s="57">
        <f>'Entries April 2026'!V34</f>
        <v>1344586</v>
      </c>
      <c r="G35" s="57"/>
      <c r="H35" s="57">
        <f>'Entries April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3883</v>
      </c>
      <c r="D38" s="65">
        <f>SUM(D7:D34)</f>
        <v>699</v>
      </c>
      <c r="E38" s="65"/>
      <c r="F38" s="65"/>
      <c r="G38" s="65">
        <f t="shared" ref="G38:R38" si="8">SUM(G7:G34)</f>
        <v>3184</v>
      </c>
      <c r="H38" s="65"/>
      <c r="I38" s="65">
        <f t="shared" si="8"/>
        <v>0</v>
      </c>
      <c r="J38" s="65">
        <f t="shared" si="8"/>
        <v>1363965</v>
      </c>
      <c r="K38" s="65">
        <f t="shared" si="8"/>
        <v>-1341402</v>
      </c>
      <c r="L38" s="65">
        <f t="shared" si="8"/>
        <v>-1341402</v>
      </c>
      <c r="M38" s="65">
        <f t="shared" si="8"/>
        <v>0</v>
      </c>
      <c r="N38" s="65">
        <f t="shared" si="8"/>
        <v>476</v>
      </c>
      <c r="O38" s="65">
        <f t="shared" si="8"/>
        <v>7766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April 2026</vt:lpstr>
      <vt:lpstr>Utility Analysis April 2026</vt:lpstr>
      <vt:lpstr>Steam Mass Flow </vt:lpstr>
      <vt:lpstr>Fuel </vt:lpstr>
      <vt:lpstr>Water </vt:lpstr>
      <vt:lpstr>Elec.April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April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2026-05-08T12:11:04Z</dcterms:modified>
</cp:coreProperties>
</file>