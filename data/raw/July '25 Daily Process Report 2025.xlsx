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.xml" ContentType="application/vnd.openxmlformats-officedocument.drawing+xml"/>
  <Override PartName="/xl/comments2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311C0460-3962-4FE8-A986-42CF95E50C94}" xr6:coauthVersionLast="47" xr6:coauthVersionMax="47" xr10:uidLastSave="{00000000-0000-0000-0000-000000000000}"/>
  <bookViews>
    <workbookView xWindow="-108" yWindow="-108" windowWidth="23256" windowHeight="12456" tabRatio="599" firstSheet="16" activeTab="21" xr2:uid="{1120807F-7390-4E10-A66F-84111922E872}"/>
  </bookViews>
  <sheets>
    <sheet name="Dec 18th" sheetId="658" state="hidden" r:id="rId1"/>
    <sheet name="July 1st" sheetId="781" r:id="rId2"/>
    <sheet name="July 2nd" sheetId="782" r:id="rId3"/>
    <sheet name="July 3rd" sheetId="783" r:id="rId4"/>
    <sheet name="July 4th" sheetId="784" r:id="rId5"/>
    <sheet name="July 7th " sheetId="785" r:id="rId6"/>
    <sheet name="July 8th " sheetId="786" r:id="rId7"/>
    <sheet name="July 9th  " sheetId="787" r:id="rId8"/>
    <sheet name="July 10th " sheetId="788" r:id="rId9"/>
    <sheet name="July 11th  " sheetId="789" r:id="rId10"/>
    <sheet name="July 14th" sheetId="790" r:id="rId11"/>
    <sheet name="July 15th" sheetId="791" r:id="rId12"/>
    <sheet name="July 16th " sheetId="792" r:id="rId13"/>
    <sheet name="July 17th " sheetId="793" r:id="rId14"/>
    <sheet name="July 18th" sheetId="794" r:id="rId15"/>
    <sheet name="July 21st" sheetId="795" r:id="rId16"/>
    <sheet name="July 22nd" sheetId="796" r:id="rId17"/>
    <sheet name="July 23rd" sheetId="797" r:id="rId18"/>
    <sheet name="July 24th" sheetId="798" r:id="rId19"/>
    <sheet name="July 25th" sheetId="799" r:id="rId20"/>
    <sheet name="July 28th" sheetId="800" r:id="rId21"/>
    <sheet name="July 29th " sheetId="801" r:id="rId22"/>
    <sheet name="MTD_Links" sheetId="18" r:id="rId23"/>
    <sheet name="YTD_Links" sheetId="19" r:id="rId24"/>
    <sheet name="KPIs" sheetId="20" state="hidden" r:id="rId25"/>
    <sheet name="Brewer Performance" sheetId="21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nm.Print_Area" localSheetId="25">'Brewer Performance'!$B$2:$K$35</definedName>
    <definedName name="_xlnm.Print_Area" localSheetId="22">MTD_Links!$B$2:$K$65</definedName>
    <definedName name="_xlnm.Print_Area" localSheetId="23">YTD_Links!$B$2:$K$65</definedName>
    <definedName name="ProductList" localSheetId="2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9" i="801" l="1"/>
  <c r="K34" i="801" l="1"/>
  <c r="L34" i="801"/>
  <c r="M49" i="801"/>
  <c r="C35" i="801" l="1"/>
  <c r="C36" i="801"/>
  <c r="C37" i="801"/>
  <c r="C38" i="801"/>
  <c r="C39" i="801"/>
  <c r="C34" i="801"/>
  <c r="G65" i="801"/>
  <c r="K65" i="801"/>
  <c r="B65" i="801" l="1"/>
  <c r="L49" i="801"/>
  <c r="M39" i="801"/>
  <c r="M34" i="801"/>
  <c r="O17" i="801"/>
  <c r="N17" i="801"/>
  <c r="M17" i="801"/>
  <c r="L17" i="801"/>
  <c r="K17" i="801"/>
  <c r="J17" i="801"/>
  <c r="I17" i="801"/>
  <c r="J34" i="801" s="1"/>
  <c r="G17" i="801"/>
  <c r="F17" i="801"/>
  <c r="E17" i="801"/>
  <c r="D17" i="801"/>
  <c r="C17" i="801"/>
  <c r="Z17" i="801"/>
  <c r="Y17" i="801"/>
  <c r="X17" i="801"/>
  <c r="W17" i="801"/>
  <c r="V17" i="801"/>
  <c r="U17" i="801"/>
  <c r="T17" i="801"/>
  <c r="S17" i="801"/>
  <c r="R17" i="801"/>
  <c r="I12" i="801"/>
  <c r="J12" i="801"/>
  <c r="K12" i="801"/>
  <c r="L12" i="801"/>
  <c r="M12" i="801"/>
  <c r="N12" i="801"/>
  <c r="O12" i="801"/>
  <c r="I13" i="801"/>
  <c r="J13" i="801"/>
  <c r="K13" i="801"/>
  <c r="L13" i="801"/>
  <c r="M13" i="801"/>
  <c r="N13" i="801"/>
  <c r="O13" i="801"/>
  <c r="I14" i="801"/>
  <c r="J14" i="801"/>
  <c r="K14" i="801"/>
  <c r="L14" i="801"/>
  <c r="M14" i="801"/>
  <c r="N14" i="801"/>
  <c r="O14" i="801"/>
  <c r="C12" i="801"/>
  <c r="D12" i="801"/>
  <c r="E12" i="801"/>
  <c r="F12" i="801"/>
  <c r="G12" i="801"/>
  <c r="C13" i="801"/>
  <c r="D13" i="801"/>
  <c r="E13" i="801"/>
  <c r="F13" i="801"/>
  <c r="G13" i="801"/>
  <c r="C14" i="801"/>
  <c r="D14" i="801"/>
  <c r="E14" i="801"/>
  <c r="F14" i="801"/>
  <c r="G14" i="801"/>
  <c r="F77" i="801"/>
  <c r="AX63" i="801"/>
  <c r="AW63" i="801"/>
  <c r="AV63" i="801"/>
  <c r="AU63" i="801"/>
  <c r="AT63" i="801"/>
  <c r="AS63" i="801"/>
  <c r="AR63" i="801"/>
  <c r="AQ63" i="801"/>
  <c r="AP63" i="801"/>
  <c r="AO63" i="801"/>
  <c r="AN63" i="801"/>
  <c r="AM63" i="801"/>
  <c r="AL63" i="801"/>
  <c r="AK63" i="801"/>
  <c r="AJ63" i="801"/>
  <c r="AI63" i="801"/>
  <c r="AH63" i="801"/>
  <c r="AG63" i="801"/>
  <c r="AF63" i="801"/>
  <c r="AE63" i="801"/>
  <c r="AD63" i="801"/>
  <c r="AC63" i="801"/>
  <c r="AB63" i="801"/>
  <c r="L63" i="801"/>
  <c r="K63" i="801"/>
  <c r="B63" i="801"/>
  <c r="K58" i="801"/>
  <c r="D56" i="801"/>
  <c r="M43" i="801"/>
  <c r="M42" i="801"/>
  <c r="M41" i="801"/>
  <c r="M40" i="801"/>
  <c r="L40" i="801"/>
  <c r="K40" i="801"/>
  <c r="K39" i="801"/>
  <c r="M37" i="801"/>
  <c r="L37" i="801"/>
  <c r="K37" i="801"/>
  <c r="M36" i="801"/>
  <c r="L36" i="801"/>
  <c r="K36" i="801"/>
  <c r="M35" i="801"/>
  <c r="L35" i="801"/>
  <c r="K35" i="801"/>
  <c r="B34" i="801"/>
  <c r="Z33" i="801"/>
  <c r="Y33" i="801"/>
  <c r="X33" i="801"/>
  <c r="W33" i="801"/>
  <c r="V33" i="801"/>
  <c r="U33" i="801"/>
  <c r="T33" i="801"/>
  <c r="S33" i="801"/>
  <c r="R33" i="801"/>
  <c r="Z32" i="801"/>
  <c r="Y32" i="801"/>
  <c r="X32" i="801"/>
  <c r="W32" i="801"/>
  <c r="V32" i="801"/>
  <c r="U32" i="801"/>
  <c r="T32" i="801"/>
  <c r="S32" i="801"/>
  <c r="R32" i="801"/>
  <c r="Z31" i="801"/>
  <c r="Y31" i="801"/>
  <c r="X31" i="801"/>
  <c r="W31" i="801"/>
  <c r="V31" i="801"/>
  <c r="U31" i="801"/>
  <c r="T31" i="801"/>
  <c r="S31" i="801"/>
  <c r="R31" i="801"/>
  <c r="Z30" i="801"/>
  <c r="Y30" i="801"/>
  <c r="X30" i="801"/>
  <c r="W30" i="801"/>
  <c r="V30" i="801"/>
  <c r="U30" i="801"/>
  <c r="T30" i="801"/>
  <c r="S30" i="801"/>
  <c r="R30" i="801"/>
  <c r="Z29" i="801"/>
  <c r="Y29" i="801"/>
  <c r="X29" i="801"/>
  <c r="W29" i="801"/>
  <c r="V29" i="801"/>
  <c r="U29" i="801"/>
  <c r="T29" i="801"/>
  <c r="S29" i="801"/>
  <c r="R29" i="801"/>
  <c r="Z28" i="801"/>
  <c r="Y28" i="801"/>
  <c r="X28" i="801"/>
  <c r="W28" i="801"/>
  <c r="V28" i="801"/>
  <c r="U28" i="801"/>
  <c r="T28" i="801"/>
  <c r="S28" i="801"/>
  <c r="R28" i="801"/>
  <c r="Z27" i="801"/>
  <c r="Y27" i="801"/>
  <c r="X27" i="801"/>
  <c r="W27" i="801"/>
  <c r="V27" i="801"/>
  <c r="U27" i="801"/>
  <c r="T27" i="801"/>
  <c r="S27" i="801"/>
  <c r="R27" i="801"/>
  <c r="Z26" i="801"/>
  <c r="Y26" i="801"/>
  <c r="X26" i="801"/>
  <c r="W26" i="801"/>
  <c r="V26" i="801"/>
  <c r="U26" i="801"/>
  <c r="T26" i="801"/>
  <c r="S26" i="801"/>
  <c r="R26" i="801"/>
  <c r="Z25" i="801"/>
  <c r="Y25" i="801"/>
  <c r="X25" i="801"/>
  <c r="W25" i="801"/>
  <c r="V25" i="801"/>
  <c r="U25" i="801"/>
  <c r="T25" i="801"/>
  <c r="S25" i="801"/>
  <c r="R25" i="801"/>
  <c r="Z24" i="801"/>
  <c r="Y24" i="801"/>
  <c r="X24" i="801"/>
  <c r="W24" i="801"/>
  <c r="V24" i="801"/>
  <c r="U24" i="801"/>
  <c r="T24" i="801"/>
  <c r="S24" i="801"/>
  <c r="R24" i="801"/>
  <c r="Z23" i="801"/>
  <c r="Y23" i="801"/>
  <c r="X23" i="801"/>
  <c r="W23" i="801"/>
  <c r="V23" i="801"/>
  <c r="U23" i="801"/>
  <c r="T23" i="801"/>
  <c r="S23" i="801"/>
  <c r="R23" i="801"/>
  <c r="Z22" i="801"/>
  <c r="Y22" i="801"/>
  <c r="X22" i="801"/>
  <c r="W22" i="801"/>
  <c r="V22" i="801"/>
  <c r="U22" i="801"/>
  <c r="T22" i="801"/>
  <c r="S22" i="801"/>
  <c r="R22" i="801"/>
  <c r="Z21" i="801"/>
  <c r="Y21" i="801"/>
  <c r="X21" i="801"/>
  <c r="W21" i="801"/>
  <c r="V21" i="801"/>
  <c r="U21" i="801"/>
  <c r="T21" i="801"/>
  <c r="S21" i="801"/>
  <c r="R21" i="801"/>
  <c r="Z20" i="801"/>
  <c r="Y20" i="801"/>
  <c r="X20" i="801"/>
  <c r="W20" i="801"/>
  <c r="V20" i="801"/>
  <c r="U20" i="801"/>
  <c r="T20" i="801"/>
  <c r="S20" i="801"/>
  <c r="R20" i="801"/>
  <c r="Z19" i="801"/>
  <c r="Y19" i="801"/>
  <c r="X19" i="801"/>
  <c r="W19" i="801"/>
  <c r="V19" i="801"/>
  <c r="U19" i="801"/>
  <c r="T19" i="801"/>
  <c r="S19" i="801"/>
  <c r="R19" i="801"/>
  <c r="Z18" i="801"/>
  <c r="Y18" i="801"/>
  <c r="X18" i="801"/>
  <c r="W18" i="801"/>
  <c r="V18" i="801"/>
  <c r="U18" i="801"/>
  <c r="T18" i="801"/>
  <c r="S18" i="801"/>
  <c r="R18" i="801"/>
  <c r="Z16" i="801"/>
  <c r="Y16" i="801"/>
  <c r="X16" i="801"/>
  <c r="W16" i="801"/>
  <c r="V16" i="801"/>
  <c r="U16" i="801"/>
  <c r="T16" i="801"/>
  <c r="S16" i="801"/>
  <c r="R16" i="801"/>
  <c r="Z15" i="801"/>
  <c r="Y15" i="801"/>
  <c r="X15" i="801"/>
  <c r="W15" i="801"/>
  <c r="V15" i="801"/>
  <c r="U15" i="801"/>
  <c r="T15" i="801"/>
  <c r="S15" i="801"/>
  <c r="R15" i="801"/>
  <c r="Z14" i="801"/>
  <c r="Y14" i="801"/>
  <c r="X14" i="801"/>
  <c r="W14" i="801"/>
  <c r="V14" i="801"/>
  <c r="U14" i="801"/>
  <c r="T14" i="801"/>
  <c r="S14" i="801"/>
  <c r="R14" i="801"/>
  <c r="Z13" i="801"/>
  <c r="Y13" i="801"/>
  <c r="X13" i="801"/>
  <c r="W13" i="801"/>
  <c r="V13" i="801"/>
  <c r="U13" i="801"/>
  <c r="T13" i="801"/>
  <c r="S13" i="801"/>
  <c r="R13" i="801"/>
  <c r="Z12" i="801"/>
  <c r="Y12" i="801"/>
  <c r="X12" i="801"/>
  <c r="W12" i="801"/>
  <c r="V12" i="801"/>
  <c r="U12" i="801"/>
  <c r="T12" i="801"/>
  <c r="S12" i="801"/>
  <c r="R12" i="801"/>
  <c r="Z11" i="801"/>
  <c r="Y11" i="801"/>
  <c r="X11" i="801"/>
  <c r="W11" i="801"/>
  <c r="V11" i="801"/>
  <c r="U11" i="801"/>
  <c r="T11" i="801"/>
  <c r="S11" i="801"/>
  <c r="R11" i="801"/>
  <c r="Z10" i="801"/>
  <c r="Y10" i="801"/>
  <c r="X10" i="801"/>
  <c r="W10" i="801"/>
  <c r="V10" i="801"/>
  <c r="U10" i="801"/>
  <c r="T10" i="801"/>
  <c r="S10" i="801"/>
  <c r="R10" i="801"/>
  <c r="K51" i="800"/>
  <c r="O20" i="800"/>
  <c r="N20" i="800"/>
  <c r="M20" i="800"/>
  <c r="L20" i="800"/>
  <c r="K20" i="800"/>
  <c r="G20" i="800"/>
  <c r="F20" i="800"/>
  <c r="E20" i="800"/>
  <c r="D20" i="800"/>
  <c r="C20" i="800"/>
  <c r="J39" i="801" l="1"/>
  <c r="K44" i="801"/>
  <c r="L44" i="801" s="1"/>
  <c r="M44" i="801" s="1"/>
  <c r="M46" i="800"/>
  <c r="L46" i="800"/>
  <c r="K46" i="800"/>
  <c r="C11" i="800"/>
  <c r="D11" i="800"/>
  <c r="E11" i="800"/>
  <c r="F11" i="800"/>
  <c r="G11" i="800"/>
  <c r="I11" i="800"/>
  <c r="J11" i="800"/>
  <c r="K11" i="800"/>
  <c r="L11" i="800"/>
  <c r="M11" i="800"/>
  <c r="N11" i="800"/>
  <c r="O11" i="800"/>
  <c r="C12" i="800"/>
  <c r="D12" i="800"/>
  <c r="E12" i="800"/>
  <c r="F12" i="800"/>
  <c r="G12" i="800"/>
  <c r="I12" i="800"/>
  <c r="J12" i="800"/>
  <c r="K12" i="800"/>
  <c r="L12" i="800"/>
  <c r="M12" i="800"/>
  <c r="N12" i="800"/>
  <c r="O12" i="800"/>
  <c r="C13" i="800"/>
  <c r="D13" i="800"/>
  <c r="E13" i="800"/>
  <c r="F13" i="800"/>
  <c r="G13" i="800"/>
  <c r="I13" i="800"/>
  <c r="J13" i="800"/>
  <c r="K13" i="800"/>
  <c r="L13" i="800"/>
  <c r="M13" i="800"/>
  <c r="N13" i="800"/>
  <c r="O13" i="800"/>
  <c r="C14" i="800"/>
  <c r="D14" i="800"/>
  <c r="E14" i="800"/>
  <c r="F14" i="800"/>
  <c r="G14" i="800"/>
  <c r="I14" i="800"/>
  <c r="J14" i="800"/>
  <c r="K14" i="800"/>
  <c r="L14" i="800"/>
  <c r="M14" i="800"/>
  <c r="N14" i="800"/>
  <c r="O14" i="800"/>
  <c r="C15" i="800"/>
  <c r="D15" i="800"/>
  <c r="E15" i="800"/>
  <c r="F15" i="800"/>
  <c r="G15" i="800"/>
  <c r="I15" i="800"/>
  <c r="J15" i="800"/>
  <c r="K15" i="800"/>
  <c r="L15" i="800"/>
  <c r="M15" i="800"/>
  <c r="N15" i="800"/>
  <c r="O15" i="800"/>
  <c r="C16" i="800"/>
  <c r="D16" i="800"/>
  <c r="E16" i="800"/>
  <c r="F16" i="800"/>
  <c r="G16" i="800"/>
  <c r="I16" i="800"/>
  <c r="J16" i="800"/>
  <c r="K16" i="800"/>
  <c r="L16" i="800"/>
  <c r="M16" i="800"/>
  <c r="N16" i="800"/>
  <c r="O16" i="800"/>
  <c r="C17" i="800"/>
  <c r="D17" i="800"/>
  <c r="E17" i="800"/>
  <c r="F17" i="800"/>
  <c r="G17" i="800"/>
  <c r="I17" i="800"/>
  <c r="J17" i="800"/>
  <c r="K17" i="800"/>
  <c r="L17" i="800"/>
  <c r="M17" i="800"/>
  <c r="N17" i="800"/>
  <c r="O17" i="800"/>
  <c r="M10" i="800"/>
  <c r="O10" i="800"/>
  <c r="N10" i="800"/>
  <c r="L10" i="800"/>
  <c r="K10" i="800"/>
  <c r="J10" i="800"/>
  <c r="I10" i="800"/>
  <c r="G10" i="800"/>
  <c r="F10" i="800"/>
  <c r="E10" i="800"/>
  <c r="D10" i="800"/>
  <c r="C10" i="800"/>
  <c r="K75" i="800"/>
  <c r="J46" i="800" l="1"/>
  <c r="J20" i="800"/>
  <c r="C46" i="800"/>
  <c r="C47" i="800"/>
  <c r="C48" i="800"/>
  <c r="C49" i="800"/>
  <c r="C50" i="800"/>
  <c r="C51" i="800"/>
  <c r="C52" i="800"/>
  <c r="C53" i="800"/>
  <c r="B46" i="800"/>
  <c r="B75" i="800"/>
  <c r="F89" i="800"/>
  <c r="AX75" i="800"/>
  <c r="AW75" i="800"/>
  <c r="AV75" i="800"/>
  <c r="AU75" i="800"/>
  <c r="AT75" i="800"/>
  <c r="AS75" i="800"/>
  <c r="AR75" i="800"/>
  <c r="AQ75" i="800"/>
  <c r="AP75" i="800"/>
  <c r="AO75" i="800"/>
  <c r="AN75" i="800"/>
  <c r="AM75" i="800"/>
  <c r="AL75" i="800"/>
  <c r="AK75" i="800"/>
  <c r="AJ75" i="800"/>
  <c r="AI75" i="800"/>
  <c r="AH75" i="800"/>
  <c r="AG75" i="800"/>
  <c r="AF75" i="800"/>
  <c r="AE75" i="800"/>
  <c r="AD75" i="800"/>
  <c r="AC75" i="800"/>
  <c r="AB75" i="800"/>
  <c r="L75" i="800"/>
  <c r="K70" i="800"/>
  <c r="D68" i="800"/>
  <c r="M55" i="800"/>
  <c r="M54" i="800"/>
  <c r="M53" i="800"/>
  <c r="L52" i="800"/>
  <c r="K52" i="800"/>
  <c r="M49" i="800"/>
  <c r="L49" i="800"/>
  <c r="K49" i="800"/>
  <c r="M48" i="800"/>
  <c r="L48" i="800"/>
  <c r="K48" i="800"/>
  <c r="M47" i="800"/>
  <c r="L47" i="800"/>
  <c r="K47" i="800"/>
  <c r="Z45" i="800"/>
  <c r="Y45" i="800"/>
  <c r="X45" i="800"/>
  <c r="W45" i="800"/>
  <c r="V45" i="800"/>
  <c r="U45" i="800"/>
  <c r="T45" i="800"/>
  <c r="S45" i="800"/>
  <c r="R45" i="800"/>
  <c r="Z44" i="800"/>
  <c r="Y44" i="800"/>
  <c r="X44" i="800"/>
  <c r="W44" i="800"/>
  <c r="V44" i="800"/>
  <c r="U44" i="800"/>
  <c r="T44" i="800"/>
  <c r="S44" i="800"/>
  <c r="R44" i="800"/>
  <c r="Z43" i="800"/>
  <c r="Y43" i="800"/>
  <c r="X43" i="800"/>
  <c r="W43" i="800"/>
  <c r="V43" i="800"/>
  <c r="U43" i="800"/>
  <c r="T43" i="800"/>
  <c r="S43" i="800"/>
  <c r="R43" i="800"/>
  <c r="Z42" i="800"/>
  <c r="Y42" i="800"/>
  <c r="X42" i="800"/>
  <c r="W42" i="800"/>
  <c r="V42" i="800"/>
  <c r="U42" i="800"/>
  <c r="T42" i="800"/>
  <c r="S42" i="800"/>
  <c r="R42" i="800"/>
  <c r="Z41" i="800"/>
  <c r="Y41" i="800"/>
  <c r="X41" i="800"/>
  <c r="W41" i="800"/>
  <c r="V41" i="800"/>
  <c r="U41" i="800"/>
  <c r="T41" i="800"/>
  <c r="S41" i="800"/>
  <c r="R41" i="800"/>
  <c r="Z40" i="800"/>
  <c r="Y40" i="800"/>
  <c r="X40" i="800"/>
  <c r="W40" i="800"/>
  <c r="V40" i="800"/>
  <c r="U40" i="800"/>
  <c r="T40" i="800"/>
  <c r="S40" i="800"/>
  <c r="R40" i="800"/>
  <c r="Z39" i="800"/>
  <c r="Y39" i="800"/>
  <c r="X39" i="800"/>
  <c r="W39" i="800"/>
  <c r="V39" i="800"/>
  <c r="U39" i="800"/>
  <c r="T39" i="800"/>
  <c r="S39" i="800"/>
  <c r="R39" i="800"/>
  <c r="Z38" i="800"/>
  <c r="Y38" i="800"/>
  <c r="X38" i="800"/>
  <c r="W38" i="800"/>
  <c r="V38" i="800"/>
  <c r="U38" i="800"/>
  <c r="T38" i="800"/>
  <c r="S38" i="800"/>
  <c r="R38" i="800"/>
  <c r="Z37" i="800"/>
  <c r="Y37" i="800"/>
  <c r="X37" i="800"/>
  <c r="W37" i="800"/>
  <c r="V37" i="800"/>
  <c r="U37" i="800"/>
  <c r="T37" i="800"/>
  <c r="S37" i="800"/>
  <c r="R37" i="800"/>
  <c r="Z36" i="800"/>
  <c r="Y36" i="800"/>
  <c r="X36" i="800"/>
  <c r="W36" i="800"/>
  <c r="V36" i="800"/>
  <c r="U36" i="800"/>
  <c r="T36" i="800"/>
  <c r="S36" i="800"/>
  <c r="R36" i="800"/>
  <c r="Z35" i="800"/>
  <c r="Y35" i="800"/>
  <c r="X35" i="800"/>
  <c r="W35" i="800"/>
  <c r="V35" i="800"/>
  <c r="U35" i="800"/>
  <c r="T35" i="800"/>
  <c r="S35" i="800"/>
  <c r="R35" i="800"/>
  <c r="Z34" i="800"/>
  <c r="Y34" i="800"/>
  <c r="X34" i="800"/>
  <c r="W34" i="800"/>
  <c r="V34" i="800"/>
  <c r="U34" i="800"/>
  <c r="T34" i="800"/>
  <c r="S34" i="800"/>
  <c r="R34" i="800"/>
  <c r="Z33" i="800"/>
  <c r="Y33" i="800"/>
  <c r="X33" i="800"/>
  <c r="W33" i="800"/>
  <c r="V33" i="800"/>
  <c r="U33" i="800"/>
  <c r="T33" i="800"/>
  <c r="S33" i="800"/>
  <c r="R33" i="800"/>
  <c r="Z32" i="800"/>
  <c r="Y32" i="800"/>
  <c r="X32" i="800"/>
  <c r="W32" i="800"/>
  <c r="V32" i="800"/>
  <c r="U32" i="800"/>
  <c r="T32" i="800"/>
  <c r="S32" i="800"/>
  <c r="R32" i="800"/>
  <c r="Z31" i="800"/>
  <c r="Y31" i="800"/>
  <c r="X31" i="800"/>
  <c r="W31" i="800"/>
  <c r="V31" i="800"/>
  <c r="U31" i="800"/>
  <c r="T31" i="800"/>
  <c r="S31" i="800"/>
  <c r="R31" i="800"/>
  <c r="Z30" i="800"/>
  <c r="Y30" i="800"/>
  <c r="X30" i="800"/>
  <c r="W30" i="800"/>
  <c r="V30" i="800"/>
  <c r="U30" i="800"/>
  <c r="T30" i="800"/>
  <c r="S30" i="800"/>
  <c r="R30" i="800"/>
  <c r="Z29" i="800"/>
  <c r="Y29" i="800"/>
  <c r="X29" i="800"/>
  <c r="W29" i="800"/>
  <c r="V29" i="800"/>
  <c r="U29" i="800"/>
  <c r="T29" i="800"/>
  <c r="S29" i="800"/>
  <c r="R29" i="800"/>
  <c r="Z28" i="800"/>
  <c r="Y28" i="800"/>
  <c r="X28" i="800"/>
  <c r="W28" i="800"/>
  <c r="V28" i="800"/>
  <c r="U28" i="800"/>
  <c r="T28" i="800"/>
  <c r="S28" i="800"/>
  <c r="R28" i="800"/>
  <c r="Z27" i="800"/>
  <c r="Y27" i="800"/>
  <c r="X27" i="800"/>
  <c r="W27" i="800"/>
  <c r="V27" i="800"/>
  <c r="U27" i="800"/>
  <c r="T27" i="800"/>
  <c r="S27" i="800"/>
  <c r="R27" i="800"/>
  <c r="Z26" i="800"/>
  <c r="Y26" i="800"/>
  <c r="X26" i="800"/>
  <c r="W26" i="800"/>
  <c r="V26" i="800"/>
  <c r="U26" i="800"/>
  <c r="T26" i="800"/>
  <c r="S26" i="800"/>
  <c r="R26" i="800"/>
  <c r="Z25" i="800"/>
  <c r="Y25" i="800"/>
  <c r="X25" i="800"/>
  <c r="W25" i="800"/>
  <c r="V25" i="800"/>
  <c r="U25" i="800"/>
  <c r="T25" i="800"/>
  <c r="S25" i="800"/>
  <c r="R25" i="800"/>
  <c r="Z24" i="800"/>
  <c r="Y24" i="800"/>
  <c r="X24" i="800"/>
  <c r="W24" i="800"/>
  <c r="V24" i="800"/>
  <c r="U24" i="800"/>
  <c r="T24" i="800"/>
  <c r="S24" i="800"/>
  <c r="R24" i="800"/>
  <c r="Z23" i="800"/>
  <c r="Y23" i="800"/>
  <c r="X23" i="800"/>
  <c r="W23" i="800"/>
  <c r="V23" i="800"/>
  <c r="U23" i="800"/>
  <c r="T23" i="800"/>
  <c r="S23" i="800"/>
  <c r="R23" i="800"/>
  <c r="Z22" i="800"/>
  <c r="Y22" i="800"/>
  <c r="X22" i="800"/>
  <c r="W22" i="800"/>
  <c r="V22" i="800"/>
  <c r="U22" i="800"/>
  <c r="T22" i="800"/>
  <c r="S22" i="800"/>
  <c r="R22" i="800"/>
  <c r="Z21" i="800"/>
  <c r="Y21" i="800"/>
  <c r="X21" i="800"/>
  <c r="W21" i="800"/>
  <c r="V21" i="800"/>
  <c r="U21" i="800"/>
  <c r="T21" i="800"/>
  <c r="S21" i="800"/>
  <c r="R21" i="800"/>
  <c r="Z20" i="800"/>
  <c r="Y20" i="800"/>
  <c r="X20" i="800"/>
  <c r="W20" i="800"/>
  <c r="V20" i="800"/>
  <c r="U20" i="800"/>
  <c r="T20" i="800"/>
  <c r="S20" i="800"/>
  <c r="R20" i="800"/>
  <c r="Z19" i="800"/>
  <c r="Y19" i="800"/>
  <c r="X19" i="800"/>
  <c r="W19" i="800"/>
  <c r="V19" i="800"/>
  <c r="U19" i="800"/>
  <c r="T19" i="800"/>
  <c r="S19" i="800"/>
  <c r="R19" i="800"/>
  <c r="Z18" i="800"/>
  <c r="Y18" i="800"/>
  <c r="X18" i="800"/>
  <c r="W18" i="800"/>
  <c r="V18" i="800"/>
  <c r="U18" i="800"/>
  <c r="T18" i="800"/>
  <c r="S18" i="800"/>
  <c r="R18" i="800"/>
  <c r="Z17" i="800"/>
  <c r="Y17" i="800"/>
  <c r="X17" i="800"/>
  <c r="W17" i="800"/>
  <c r="V17" i="800"/>
  <c r="U17" i="800"/>
  <c r="T17" i="800"/>
  <c r="S17" i="800"/>
  <c r="R17" i="800"/>
  <c r="Z16" i="800"/>
  <c r="Y16" i="800"/>
  <c r="X16" i="800"/>
  <c r="W16" i="800"/>
  <c r="V16" i="800"/>
  <c r="U16" i="800"/>
  <c r="T16" i="800"/>
  <c r="S16" i="800"/>
  <c r="R16" i="800"/>
  <c r="Z15" i="800"/>
  <c r="Y15" i="800"/>
  <c r="X15" i="800"/>
  <c r="W15" i="800"/>
  <c r="V15" i="800"/>
  <c r="U15" i="800"/>
  <c r="T15" i="800"/>
  <c r="S15" i="800"/>
  <c r="R15" i="800"/>
  <c r="Z14" i="800"/>
  <c r="Y14" i="800"/>
  <c r="X14" i="800"/>
  <c r="W14" i="800"/>
  <c r="V14" i="800"/>
  <c r="U14" i="800"/>
  <c r="T14" i="800"/>
  <c r="S14" i="800"/>
  <c r="R14" i="800"/>
  <c r="Z13" i="800"/>
  <c r="Y13" i="800"/>
  <c r="X13" i="800"/>
  <c r="W13" i="800"/>
  <c r="V13" i="800"/>
  <c r="U13" i="800"/>
  <c r="T13" i="800"/>
  <c r="S13" i="800"/>
  <c r="R13" i="800"/>
  <c r="Z12" i="800"/>
  <c r="Y12" i="800"/>
  <c r="X12" i="800"/>
  <c r="W12" i="800"/>
  <c r="V12" i="800"/>
  <c r="U12" i="800"/>
  <c r="T12" i="800"/>
  <c r="S12" i="800"/>
  <c r="R12" i="800"/>
  <c r="Z11" i="800"/>
  <c r="Y11" i="800"/>
  <c r="X11" i="800"/>
  <c r="W11" i="800"/>
  <c r="V11" i="800"/>
  <c r="U11" i="800"/>
  <c r="T11" i="800"/>
  <c r="S11" i="800"/>
  <c r="R11" i="800"/>
  <c r="Z10" i="800"/>
  <c r="Y10" i="800"/>
  <c r="X10" i="800"/>
  <c r="W10" i="800"/>
  <c r="V10" i="800"/>
  <c r="U10" i="800"/>
  <c r="T10" i="800"/>
  <c r="S10" i="800"/>
  <c r="R10" i="800"/>
  <c r="L52" i="799"/>
  <c r="K52" i="799"/>
  <c r="C46" i="799"/>
  <c r="C47" i="799"/>
  <c r="C48" i="799"/>
  <c r="C49" i="799"/>
  <c r="C50" i="799"/>
  <c r="C51" i="799"/>
  <c r="C52" i="799"/>
  <c r="C53" i="799"/>
  <c r="C54" i="799"/>
  <c r="C55" i="799"/>
  <c r="C56" i="799"/>
  <c r="C57" i="799"/>
  <c r="C24" i="799"/>
  <c r="D24" i="799"/>
  <c r="E24" i="799"/>
  <c r="F24" i="799"/>
  <c r="G24" i="799"/>
  <c r="K24" i="799"/>
  <c r="L24" i="799"/>
  <c r="M24" i="799"/>
  <c r="N24" i="799"/>
  <c r="O24" i="799"/>
  <c r="C25" i="799"/>
  <c r="D25" i="799"/>
  <c r="E25" i="799"/>
  <c r="F25" i="799"/>
  <c r="G25" i="799"/>
  <c r="K25" i="799"/>
  <c r="L25" i="799"/>
  <c r="M25" i="799"/>
  <c r="N25" i="799"/>
  <c r="O25" i="799"/>
  <c r="C26" i="799"/>
  <c r="D26" i="799"/>
  <c r="E26" i="799"/>
  <c r="F26" i="799"/>
  <c r="G26" i="799"/>
  <c r="K26" i="799"/>
  <c r="L26" i="799"/>
  <c r="M26" i="799"/>
  <c r="N26" i="799"/>
  <c r="O26" i="799"/>
  <c r="C27" i="799"/>
  <c r="D27" i="799"/>
  <c r="E27" i="799"/>
  <c r="F27" i="799"/>
  <c r="G27" i="799"/>
  <c r="K27" i="799"/>
  <c r="L27" i="799"/>
  <c r="M27" i="799"/>
  <c r="N27" i="799"/>
  <c r="O27" i="799"/>
  <c r="C28" i="799"/>
  <c r="D28" i="799"/>
  <c r="E28" i="799"/>
  <c r="F28" i="799"/>
  <c r="G28" i="799"/>
  <c r="K28" i="799"/>
  <c r="L28" i="799"/>
  <c r="M28" i="799"/>
  <c r="N28" i="799"/>
  <c r="O28" i="799"/>
  <c r="K75" i="799"/>
  <c r="K85" i="799" s="1"/>
  <c r="G75" i="799"/>
  <c r="L61" i="800" l="1"/>
  <c r="M61" i="800" s="1"/>
  <c r="K56" i="800"/>
  <c r="G77" i="798"/>
  <c r="G79" i="798"/>
  <c r="F89" i="799"/>
  <c r="AX75" i="799"/>
  <c r="AW75" i="799"/>
  <c r="AV75" i="799"/>
  <c r="AU75" i="799"/>
  <c r="AT75" i="799"/>
  <c r="AS75" i="799"/>
  <c r="AR75" i="799"/>
  <c r="AQ75" i="799"/>
  <c r="AP75" i="799"/>
  <c r="AO75" i="799"/>
  <c r="AN75" i="799"/>
  <c r="AM75" i="799"/>
  <c r="AL75" i="799"/>
  <c r="AK75" i="799"/>
  <c r="AJ75" i="799"/>
  <c r="AI75" i="799"/>
  <c r="AH75" i="799"/>
  <c r="AG75" i="799"/>
  <c r="AF75" i="799"/>
  <c r="AE75" i="799"/>
  <c r="AD75" i="799"/>
  <c r="AC75" i="799"/>
  <c r="AB75" i="799"/>
  <c r="B75" i="799"/>
  <c r="K70" i="799"/>
  <c r="D68" i="799"/>
  <c r="M55" i="799"/>
  <c r="M54" i="799"/>
  <c r="M53" i="799"/>
  <c r="M51" i="799"/>
  <c r="M49" i="799"/>
  <c r="L49" i="799"/>
  <c r="K49" i="799"/>
  <c r="M48" i="799"/>
  <c r="L48" i="799"/>
  <c r="K48" i="799"/>
  <c r="M47" i="799"/>
  <c r="L47" i="799"/>
  <c r="K47" i="799"/>
  <c r="M46" i="799"/>
  <c r="L46" i="799"/>
  <c r="K46" i="799"/>
  <c r="B46" i="799"/>
  <c r="Z45" i="799"/>
  <c r="Y45" i="799"/>
  <c r="X45" i="799"/>
  <c r="W45" i="799"/>
  <c r="V45" i="799"/>
  <c r="U45" i="799"/>
  <c r="T45" i="799"/>
  <c r="S45" i="799"/>
  <c r="R45" i="799"/>
  <c r="Z44" i="799"/>
  <c r="Y44" i="799"/>
  <c r="X44" i="799"/>
  <c r="W44" i="799"/>
  <c r="V44" i="799"/>
  <c r="U44" i="799"/>
  <c r="T44" i="799"/>
  <c r="S44" i="799"/>
  <c r="R44" i="799"/>
  <c r="Z43" i="799"/>
  <c r="Y43" i="799"/>
  <c r="X43" i="799"/>
  <c r="W43" i="799"/>
  <c r="V43" i="799"/>
  <c r="U43" i="799"/>
  <c r="T43" i="799"/>
  <c r="S43" i="799"/>
  <c r="R43" i="799"/>
  <c r="Z42" i="799"/>
  <c r="Y42" i="799"/>
  <c r="X42" i="799"/>
  <c r="W42" i="799"/>
  <c r="V42" i="799"/>
  <c r="U42" i="799"/>
  <c r="T42" i="799"/>
  <c r="S42" i="799"/>
  <c r="R42" i="799"/>
  <c r="Z41" i="799"/>
  <c r="Y41" i="799"/>
  <c r="X41" i="799"/>
  <c r="W41" i="799"/>
  <c r="V41" i="799"/>
  <c r="U41" i="799"/>
  <c r="T41" i="799"/>
  <c r="S41" i="799"/>
  <c r="R41" i="799"/>
  <c r="Z40" i="799"/>
  <c r="Y40" i="799"/>
  <c r="X40" i="799"/>
  <c r="W40" i="799"/>
  <c r="V40" i="799"/>
  <c r="U40" i="799"/>
  <c r="T40" i="799"/>
  <c r="S40" i="799"/>
  <c r="R40" i="799"/>
  <c r="Z39" i="799"/>
  <c r="Y39" i="799"/>
  <c r="X39" i="799"/>
  <c r="W39" i="799"/>
  <c r="V39" i="799"/>
  <c r="U39" i="799"/>
  <c r="T39" i="799"/>
  <c r="S39" i="799"/>
  <c r="R39" i="799"/>
  <c r="Z38" i="799"/>
  <c r="Y38" i="799"/>
  <c r="X38" i="799"/>
  <c r="W38" i="799"/>
  <c r="V38" i="799"/>
  <c r="U38" i="799"/>
  <c r="T38" i="799"/>
  <c r="S38" i="799"/>
  <c r="R38" i="799"/>
  <c r="Z37" i="799"/>
  <c r="Y37" i="799"/>
  <c r="X37" i="799"/>
  <c r="W37" i="799"/>
  <c r="V37" i="799"/>
  <c r="U37" i="799"/>
  <c r="T37" i="799"/>
  <c r="S37" i="799"/>
  <c r="R37" i="799"/>
  <c r="Z36" i="799"/>
  <c r="Y36" i="799"/>
  <c r="X36" i="799"/>
  <c r="W36" i="799"/>
  <c r="V36" i="799"/>
  <c r="U36" i="799"/>
  <c r="T36" i="799"/>
  <c r="S36" i="799"/>
  <c r="R36" i="799"/>
  <c r="Z35" i="799"/>
  <c r="Y35" i="799"/>
  <c r="X35" i="799"/>
  <c r="W35" i="799"/>
  <c r="V35" i="799"/>
  <c r="U35" i="799"/>
  <c r="T35" i="799"/>
  <c r="S35" i="799"/>
  <c r="R35" i="799"/>
  <c r="Z34" i="799"/>
  <c r="Y34" i="799"/>
  <c r="X34" i="799"/>
  <c r="W34" i="799"/>
  <c r="V34" i="799"/>
  <c r="U34" i="799"/>
  <c r="T34" i="799"/>
  <c r="S34" i="799"/>
  <c r="R34" i="799"/>
  <c r="Z33" i="799"/>
  <c r="Y33" i="799"/>
  <c r="X33" i="799"/>
  <c r="W33" i="799"/>
  <c r="V33" i="799"/>
  <c r="U33" i="799"/>
  <c r="T33" i="799"/>
  <c r="S33" i="799"/>
  <c r="R33" i="799"/>
  <c r="Z32" i="799"/>
  <c r="Y32" i="799"/>
  <c r="X32" i="799"/>
  <c r="W32" i="799"/>
  <c r="V32" i="799"/>
  <c r="U32" i="799"/>
  <c r="T32" i="799"/>
  <c r="S32" i="799"/>
  <c r="R32" i="799"/>
  <c r="Z31" i="799"/>
  <c r="Y31" i="799"/>
  <c r="X31" i="799"/>
  <c r="W31" i="799"/>
  <c r="V31" i="799"/>
  <c r="U31" i="799"/>
  <c r="T31" i="799"/>
  <c r="S31" i="799"/>
  <c r="R31" i="799"/>
  <c r="Z30" i="799"/>
  <c r="Y30" i="799"/>
  <c r="X30" i="799"/>
  <c r="W30" i="799"/>
  <c r="V30" i="799"/>
  <c r="U30" i="799"/>
  <c r="T30" i="799"/>
  <c r="S30" i="799"/>
  <c r="R30" i="799"/>
  <c r="Z29" i="799"/>
  <c r="Y29" i="799"/>
  <c r="X29" i="799"/>
  <c r="W29" i="799"/>
  <c r="V29" i="799"/>
  <c r="U29" i="799"/>
  <c r="T29" i="799"/>
  <c r="S29" i="799"/>
  <c r="R29" i="799"/>
  <c r="Z28" i="799"/>
  <c r="Y28" i="799"/>
  <c r="X28" i="799"/>
  <c r="W28" i="799"/>
  <c r="V28" i="799"/>
  <c r="U28" i="799"/>
  <c r="T28" i="799"/>
  <c r="S28" i="799"/>
  <c r="R28" i="799"/>
  <c r="Z27" i="799"/>
  <c r="Y27" i="799"/>
  <c r="X27" i="799"/>
  <c r="W27" i="799"/>
  <c r="V27" i="799"/>
  <c r="U27" i="799"/>
  <c r="T27" i="799"/>
  <c r="S27" i="799"/>
  <c r="R27" i="799"/>
  <c r="Z26" i="799"/>
  <c r="Y26" i="799"/>
  <c r="X26" i="799"/>
  <c r="W26" i="799"/>
  <c r="V26" i="799"/>
  <c r="U26" i="799"/>
  <c r="T26" i="799"/>
  <c r="S26" i="799"/>
  <c r="R26" i="799"/>
  <c r="Z25" i="799"/>
  <c r="Y25" i="799"/>
  <c r="X25" i="799"/>
  <c r="W25" i="799"/>
  <c r="V25" i="799"/>
  <c r="U25" i="799"/>
  <c r="T25" i="799"/>
  <c r="S25" i="799"/>
  <c r="R25" i="799"/>
  <c r="Z24" i="799"/>
  <c r="Y24" i="799"/>
  <c r="X24" i="799"/>
  <c r="W24" i="799"/>
  <c r="V24" i="799"/>
  <c r="U24" i="799"/>
  <c r="T24" i="799"/>
  <c r="S24" i="799"/>
  <c r="R24" i="799"/>
  <c r="Z23" i="799"/>
  <c r="Y23" i="799"/>
  <c r="X23" i="799"/>
  <c r="W23" i="799"/>
  <c r="V23" i="799"/>
  <c r="U23" i="799"/>
  <c r="T23" i="799"/>
  <c r="S23" i="799"/>
  <c r="R23" i="799"/>
  <c r="Z22" i="799"/>
  <c r="Y22" i="799"/>
  <c r="X22" i="799"/>
  <c r="W22" i="799"/>
  <c r="V22" i="799"/>
  <c r="U22" i="799"/>
  <c r="T22" i="799"/>
  <c r="S22" i="799"/>
  <c r="R22" i="799"/>
  <c r="Z21" i="799"/>
  <c r="Y21" i="799"/>
  <c r="X21" i="799"/>
  <c r="W21" i="799"/>
  <c r="V21" i="799"/>
  <c r="U21" i="799"/>
  <c r="T21" i="799"/>
  <c r="S21" i="799"/>
  <c r="R21" i="799"/>
  <c r="Z20" i="799"/>
  <c r="Y20" i="799"/>
  <c r="X20" i="799"/>
  <c r="W20" i="799"/>
  <c r="V20" i="799"/>
  <c r="U20" i="799"/>
  <c r="T20" i="799"/>
  <c r="S20" i="799"/>
  <c r="R20" i="799"/>
  <c r="Z19" i="799"/>
  <c r="Y19" i="799"/>
  <c r="X19" i="799"/>
  <c r="W19" i="799"/>
  <c r="V19" i="799"/>
  <c r="U19" i="799"/>
  <c r="T19" i="799"/>
  <c r="S19" i="799"/>
  <c r="R19" i="799"/>
  <c r="Z18" i="799"/>
  <c r="Y18" i="799"/>
  <c r="X18" i="799"/>
  <c r="W18" i="799"/>
  <c r="V18" i="799"/>
  <c r="U18" i="799"/>
  <c r="T18" i="799"/>
  <c r="S18" i="799"/>
  <c r="R18" i="799"/>
  <c r="Z17" i="799"/>
  <c r="Y17" i="799"/>
  <c r="X17" i="799"/>
  <c r="W17" i="799"/>
  <c r="V17" i="799"/>
  <c r="U17" i="799"/>
  <c r="T17" i="799"/>
  <c r="S17" i="799"/>
  <c r="R17" i="799"/>
  <c r="Z16" i="799"/>
  <c r="Y16" i="799"/>
  <c r="X16" i="799"/>
  <c r="W16" i="799"/>
  <c r="V16" i="799"/>
  <c r="U16" i="799"/>
  <c r="T16" i="799"/>
  <c r="S16" i="799"/>
  <c r="R16" i="799"/>
  <c r="Z15" i="799"/>
  <c r="Y15" i="799"/>
  <c r="X15" i="799"/>
  <c r="W15" i="799"/>
  <c r="V15" i="799"/>
  <c r="U15" i="799"/>
  <c r="T15" i="799"/>
  <c r="S15" i="799"/>
  <c r="R15" i="799"/>
  <c r="Z14" i="799"/>
  <c r="Y14" i="799"/>
  <c r="X14" i="799"/>
  <c r="W14" i="799"/>
  <c r="V14" i="799"/>
  <c r="U14" i="799"/>
  <c r="T14" i="799"/>
  <c r="S14" i="799"/>
  <c r="R14" i="799"/>
  <c r="Z13" i="799"/>
  <c r="Y13" i="799"/>
  <c r="X13" i="799"/>
  <c r="W13" i="799"/>
  <c r="V13" i="799"/>
  <c r="U13" i="799"/>
  <c r="T13" i="799"/>
  <c r="S13" i="799"/>
  <c r="R13" i="799"/>
  <c r="Z12" i="799"/>
  <c r="Y12" i="799"/>
  <c r="X12" i="799"/>
  <c r="W12" i="799"/>
  <c r="V12" i="799"/>
  <c r="U12" i="799"/>
  <c r="T12" i="799"/>
  <c r="S12" i="799"/>
  <c r="R12" i="799"/>
  <c r="Z11" i="799"/>
  <c r="Y11" i="799"/>
  <c r="X11" i="799"/>
  <c r="W11" i="799"/>
  <c r="V11" i="799"/>
  <c r="U11" i="799"/>
  <c r="T11" i="799"/>
  <c r="S11" i="799"/>
  <c r="R11" i="799"/>
  <c r="Z10" i="799"/>
  <c r="Y10" i="799"/>
  <c r="X10" i="799"/>
  <c r="W10" i="799"/>
  <c r="V10" i="799"/>
  <c r="U10" i="799"/>
  <c r="T10" i="799"/>
  <c r="S10" i="799"/>
  <c r="R10" i="799"/>
  <c r="G75" i="798"/>
  <c r="K77" i="798"/>
  <c r="K84" i="798" s="1"/>
  <c r="K79" i="798"/>
  <c r="K75" i="798"/>
  <c r="M51" i="800" l="1"/>
  <c r="L51" i="800"/>
  <c r="L56" i="800" s="1"/>
  <c r="M56" i="800" s="1"/>
  <c r="I20" i="800"/>
  <c r="J51" i="800" s="1"/>
  <c r="M52" i="800"/>
  <c r="M52" i="799"/>
  <c r="L61" i="799"/>
  <c r="M61" i="799" s="1"/>
  <c r="J27" i="799"/>
  <c r="I26" i="799"/>
  <c r="J26" i="799"/>
  <c r="I28" i="799"/>
  <c r="J28" i="799"/>
  <c r="J25" i="799"/>
  <c r="J24" i="799"/>
  <c r="I25" i="799"/>
  <c r="I24" i="799"/>
  <c r="K56" i="799"/>
  <c r="B79" i="798"/>
  <c r="C79" i="798"/>
  <c r="B77" i="798"/>
  <c r="C77" i="798"/>
  <c r="C46" i="798"/>
  <c r="C47" i="798"/>
  <c r="C48" i="798"/>
  <c r="C49" i="798"/>
  <c r="C50" i="798"/>
  <c r="C51" i="798"/>
  <c r="C52" i="798"/>
  <c r="C53" i="798"/>
  <c r="B56" i="798"/>
  <c r="C60" i="798"/>
  <c r="C61" i="798"/>
  <c r="C62" i="798"/>
  <c r="C63" i="798"/>
  <c r="C64" i="798"/>
  <c r="C65" i="798"/>
  <c r="C66" i="798"/>
  <c r="C67" i="798"/>
  <c r="L56" i="799" l="1"/>
  <c r="M56" i="799" s="1"/>
  <c r="I27" i="799"/>
  <c r="J52" i="799" s="1"/>
  <c r="B58" i="798"/>
  <c r="B46" i="798" l="1"/>
  <c r="M47" i="798"/>
  <c r="L47" i="798"/>
  <c r="K47" i="798"/>
  <c r="D23" i="798"/>
  <c r="E23" i="798"/>
  <c r="F23" i="798"/>
  <c r="G23" i="798"/>
  <c r="L23" i="798"/>
  <c r="M23" i="798"/>
  <c r="O23" i="798"/>
  <c r="C21" i="798"/>
  <c r="D21" i="798"/>
  <c r="E21" i="798"/>
  <c r="F21" i="798"/>
  <c r="G21" i="798"/>
  <c r="L21" i="798"/>
  <c r="M21" i="798"/>
  <c r="O21" i="798"/>
  <c r="C22" i="798"/>
  <c r="D22" i="798"/>
  <c r="E22" i="798"/>
  <c r="F22" i="798"/>
  <c r="G22" i="798"/>
  <c r="L22" i="798"/>
  <c r="M22" i="798"/>
  <c r="N22" i="798"/>
  <c r="O22" i="798"/>
  <c r="K21" i="798"/>
  <c r="K22" i="798"/>
  <c r="K23" i="798"/>
  <c r="K52" i="798"/>
  <c r="C23" i="798"/>
  <c r="N21" i="798"/>
  <c r="N23" i="798"/>
  <c r="J23" i="798" l="1"/>
  <c r="J21" i="798"/>
  <c r="I23" i="798"/>
  <c r="I21" i="798"/>
  <c r="J22" i="798"/>
  <c r="I22" i="798" l="1"/>
  <c r="J52" i="798" s="1"/>
  <c r="M52" i="798"/>
  <c r="L52" i="798"/>
  <c r="N16" i="798" l="1"/>
  <c r="N17" i="798"/>
  <c r="C14" i="798"/>
  <c r="C11" i="798"/>
  <c r="D11" i="798"/>
  <c r="E11" i="798"/>
  <c r="F11" i="798"/>
  <c r="G11" i="798"/>
  <c r="L11" i="798"/>
  <c r="M11" i="798"/>
  <c r="N11" i="798"/>
  <c r="O11" i="798"/>
  <c r="C12" i="798"/>
  <c r="D12" i="798"/>
  <c r="E12" i="798"/>
  <c r="F12" i="798"/>
  <c r="G12" i="798"/>
  <c r="L12" i="798"/>
  <c r="M12" i="798"/>
  <c r="N12" i="798"/>
  <c r="O12" i="798"/>
  <c r="C13" i="798"/>
  <c r="D13" i="798"/>
  <c r="E13" i="798"/>
  <c r="F13" i="798"/>
  <c r="G13" i="798"/>
  <c r="L13" i="798"/>
  <c r="M13" i="798"/>
  <c r="N13" i="798"/>
  <c r="O13" i="798"/>
  <c r="D14" i="798"/>
  <c r="E14" i="798"/>
  <c r="F14" i="798"/>
  <c r="G14" i="798"/>
  <c r="L14" i="798"/>
  <c r="M14" i="798"/>
  <c r="N14" i="798"/>
  <c r="O14" i="798"/>
  <c r="C15" i="798"/>
  <c r="D15" i="798"/>
  <c r="E15" i="798"/>
  <c r="F15" i="798"/>
  <c r="G15" i="798"/>
  <c r="L15" i="798"/>
  <c r="M15" i="798"/>
  <c r="N15" i="798"/>
  <c r="O15" i="798"/>
  <c r="C16" i="798"/>
  <c r="D16" i="798"/>
  <c r="E16" i="798"/>
  <c r="F16" i="798"/>
  <c r="G16" i="798"/>
  <c r="L16" i="798"/>
  <c r="M16" i="798"/>
  <c r="O16" i="798"/>
  <c r="C17" i="798"/>
  <c r="D17" i="798"/>
  <c r="E17" i="798"/>
  <c r="F17" i="798"/>
  <c r="G17" i="798"/>
  <c r="L17" i="798"/>
  <c r="M17" i="798"/>
  <c r="O17" i="798"/>
  <c r="O10" i="798"/>
  <c r="N10" i="798"/>
  <c r="M10" i="798"/>
  <c r="L10" i="798"/>
  <c r="J10" i="798"/>
  <c r="I10" i="798"/>
  <c r="G10" i="798"/>
  <c r="F10" i="798"/>
  <c r="E10" i="798"/>
  <c r="D10" i="798"/>
  <c r="C10" i="798"/>
  <c r="F89" i="798"/>
  <c r="AX75" i="798"/>
  <c r="AW75" i="798"/>
  <c r="AV75" i="798"/>
  <c r="AU75" i="798"/>
  <c r="AT75" i="798"/>
  <c r="AS75" i="798"/>
  <c r="AR75" i="798"/>
  <c r="AQ75" i="798"/>
  <c r="AP75" i="798"/>
  <c r="AO75" i="798"/>
  <c r="AN75" i="798"/>
  <c r="AM75" i="798"/>
  <c r="AL75" i="798"/>
  <c r="AK75" i="798"/>
  <c r="AJ75" i="798"/>
  <c r="AI75" i="798"/>
  <c r="AH75" i="798"/>
  <c r="AG75" i="798"/>
  <c r="AF75" i="798"/>
  <c r="AE75" i="798"/>
  <c r="AD75" i="798"/>
  <c r="AC75" i="798"/>
  <c r="AB75" i="798"/>
  <c r="K85" i="798"/>
  <c r="B75" i="798"/>
  <c r="K70" i="798"/>
  <c r="L61" i="798" s="1"/>
  <c r="M61" i="798" s="1"/>
  <c r="D68" i="798"/>
  <c r="M55" i="798"/>
  <c r="M54" i="798"/>
  <c r="M53" i="798"/>
  <c r="M51" i="798"/>
  <c r="M49" i="798"/>
  <c r="L49" i="798"/>
  <c r="K49" i="798"/>
  <c r="M48" i="798"/>
  <c r="L48" i="798"/>
  <c r="K48" i="798"/>
  <c r="M46" i="798"/>
  <c r="L46" i="798"/>
  <c r="K46" i="798"/>
  <c r="Z45" i="798"/>
  <c r="Y45" i="798"/>
  <c r="X45" i="798"/>
  <c r="W45" i="798"/>
  <c r="V45" i="798"/>
  <c r="U45" i="798"/>
  <c r="T45" i="798"/>
  <c r="S45" i="798"/>
  <c r="R45" i="798"/>
  <c r="Z44" i="798"/>
  <c r="Y44" i="798"/>
  <c r="X44" i="798"/>
  <c r="W44" i="798"/>
  <c r="V44" i="798"/>
  <c r="U44" i="798"/>
  <c r="T44" i="798"/>
  <c r="S44" i="798"/>
  <c r="R44" i="798"/>
  <c r="Z43" i="798"/>
  <c r="Y43" i="798"/>
  <c r="X43" i="798"/>
  <c r="W43" i="798"/>
  <c r="V43" i="798"/>
  <c r="U43" i="798"/>
  <c r="T43" i="798"/>
  <c r="S43" i="798"/>
  <c r="R43" i="798"/>
  <c r="Z42" i="798"/>
  <c r="Y42" i="798"/>
  <c r="X42" i="798"/>
  <c r="W42" i="798"/>
  <c r="V42" i="798"/>
  <c r="U42" i="798"/>
  <c r="T42" i="798"/>
  <c r="S42" i="798"/>
  <c r="R42" i="798"/>
  <c r="Z41" i="798"/>
  <c r="Y41" i="798"/>
  <c r="X41" i="798"/>
  <c r="W41" i="798"/>
  <c r="V41" i="798"/>
  <c r="U41" i="798"/>
  <c r="T41" i="798"/>
  <c r="S41" i="798"/>
  <c r="R41" i="798"/>
  <c r="Z40" i="798"/>
  <c r="Y40" i="798"/>
  <c r="X40" i="798"/>
  <c r="W40" i="798"/>
  <c r="V40" i="798"/>
  <c r="U40" i="798"/>
  <c r="T40" i="798"/>
  <c r="S40" i="798"/>
  <c r="R40" i="798"/>
  <c r="Z39" i="798"/>
  <c r="Y39" i="798"/>
  <c r="X39" i="798"/>
  <c r="W39" i="798"/>
  <c r="V39" i="798"/>
  <c r="U39" i="798"/>
  <c r="T39" i="798"/>
  <c r="S39" i="798"/>
  <c r="R39" i="798"/>
  <c r="Z38" i="798"/>
  <c r="Y38" i="798"/>
  <c r="X38" i="798"/>
  <c r="W38" i="798"/>
  <c r="V38" i="798"/>
  <c r="U38" i="798"/>
  <c r="T38" i="798"/>
  <c r="S38" i="798"/>
  <c r="R38" i="798"/>
  <c r="Z37" i="798"/>
  <c r="Y37" i="798"/>
  <c r="X37" i="798"/>
  <c r="W37" i="798"/>
  <c r="V37" i="798"/>
  <c r="U37" i="798"/>
  <c r="T37" i="798"/>
  <c r="S37" i="798"/>
  <c r="R37" i="798"/>
  <c r="Z36" i="798"/>
  <c r="Y36" i="798"/>
  <c r="X36" i="798"/>
  <c r="W36" i="798"/>
  <c r="V36" i="798"/>
  <c r="U36" i="798"/>
  <c r="T36" i="798"/>
  <c r="S36" i="798"/>
  <c r="R36" i="798"/>
  <c r="Z35" i="798"/>
  <c r="Y35" i="798"/>
  <c r="X35" i="798"/>
  <c r="W35" i="798"/>
  <c r="V35" i="798"/>
  <c r="U35" i="798"/>
  <c r="T35" i="798"/>
  <c r="S35" i="798"/>
  <c r="R35" i="798"/>
  <c r="Z34" i="798"/>
  <c r="Y34" i="798"/>
  <c r="X34" i="798"/>
  <c r="W34" i="798"/>
  <c r="V34" i="798"/>
  <c r="U34" i="798"/>
  <c r="T34" i="798"/>
  <c r="S34" i="798"/>
  <c r="R34" i="798"/>
  <c r="Z33" i="798"/>
  <c r="Y33" i="798"/>
  <c r="X33" i="798"/>
  <c r="W33" i="798"/>
  <c r="V33" i="798"/>
  <c r="U33" i="798"/>
  <c r="T33" i="798"/>
  <c r="S33" i="798"/>
  <c r="R33" i="798"/>
  <c r="Z32" i="798"/>
  <c r="Y32" i="798"/>
  <c r="X32" i="798"/>
  <c r="W32" i="798"/>
  <c r="V32" i="798"/>
  <c r="U32" i="798"/>
  <c r="T32" i="798"/>
  <c r="S32" i="798"/>
  <c r="R32" i="798"/>
  <c r="Z31" i="798"/>
  <c r="Y31" i="798"/>
  <c r="X31" i="798"/>
  <c r="W31" i="798"/>
  <c r="V31" i="798"/>
  <c r="U31" i="798"/>
  <c r="T31" i="798"/>
  <c r="S31" i="798"/>
  <c r="R31" i="798"/>
  <c r="Z30" i="798"/>
  <c r="Y30" i="798"/>
  <c r="X30" i="798"/>
  <c r="W30" i="798"/>
  <c r="V30" i="798"/>
  <c r="U30" i="798"/>
  <c r="T30" i="798"/>
  <c r="S30" i="798"/>
  <c r="R30" i="798"/>
  <c r="Z29" i="798"/>
  <c r="Y29" i="798"/>
  <c r="X29" i="798"/>
  <c r="W29" i="798"/>
  <c r="V29" i="798"/>
  <c r="U29" i="798"/>
  <c r="T29" i="798"/>
  <c r="S29" i="798"/>
  <c r="R29" i="798"/>
  <c r="Z28" i="798"/>
  <c r="Y28" i="798"/>
  <c r="X28" i="798"/>
  <c r="W28" i="798"/>
  <c r="V28" i="798"/>
  <c r="U28" i="798"/>
  <c r="T28" i="798"/>
  <c r="S28" i="798"/>
  <c r="R28" i="798"/>
  <c r="Z27" i="798"/>
  <c r="Y27" i="798"/>
  <c r="X27" i="798"/>
  <c r="W27" i="798"/>
  <c r="V27" i="798"/>
  <c r="U27" i="798"/>
  <c r="T27" i="798"/>
  <c r="S27" i="798"/>
  <c r="R27" i="798"/>
  <c r="Z26" i="798"/>
  <c r="Y26" i="798"/>
  <c r="X26" i="798"/>
  <c r="W26" i="798"/>
  <c r="V26" i="798"/>
  <c r="U26" i="798"/>
  <c r="T26" i="798"/>
  <c r="S26" i="798"/>
  <c r="R26" i="798"/>
  <c r="Z25" i="798"/>
  <c r="Y25" i="798"/>
  <c r="X25" i="798"/>
  <c r="W25" i="798"/>
  <c r="V25" i="798"/>
  <c r="U25" i="798"/>
  <c r="T25" i="798"/>
  <c r="S25" i="798"/>
  <c r="R25" i="798"/>
  <c r="Z24" i="798"/>
  <c r="Y24" i="798"/>
  <c r="X24" i="798"/>
  <c r="W24" i="798"/>
  <c r="V24" i="798"/>
  <c r="U24" i="798"/>
  <c r="T24" i="798"/>
  <c r="S24" i="798"/>
  <c r="R24" i="798"/>
  <c r="Z23" i="798"/>
  <c r="Y23" i="798"/>
  <c r="X23" i="798"/>
  <c r="W23" i="798"/>
  <c r="V23" i="798"/>
  <c r="U23" i="798"/>
  <c r="T23" i="798"/>
  <c r="S23" i="798"/>
  <c r="R23" i="798"/>
  <c r="Z22" i="798"/>
  <c r="Y22" i="798"/>
  <c r="X22" i="798"/>
  <c r="W22" i="798"/>
  <c r="V22" i="798"/>
  <c r="U22" i="798"/>
  <c r="T22" i="798"/>
  <c r="S22" i="798"/>
  <c r="R22" i="798"/>
  <c r="Z21" i="798"/>
  <c r="Y21" i="798"/>
  <c r="X21" i="798"/>
  <c r="W21" i="798"/>
  <c r="V21" i="798"/>
  <c r="U21" i="798"/>
  <c r="T21" i="798"/>
  <c r="S21" i="798"/>
  <c r="R21" i="798"/>
  <c r="Z20" i="798"/>
  <c r="Y20" i="798"/>
  <c r="X20" i="798"/>
  <c r="W20" i="798"/>
  <c r="V20" i="798"/>
  <c r="U20" i="798"/>
  <c r="T20" i="798"/>
  <c r="S20" i="798"/>
  <c r="R20" i="798"/>
  <c r="Z19" i="798"/>
  <c r="Y19" i="798"/>
  <c r="X19" i="798"/>
  <c r="W19" i="798"/>
  <c r="V19" i="798"/>
  <c r="U19" i="798"/>
  <c r="T19" i="798"/>
  <c r="S19" i="798"/>
  <c r="R19" i="798"/>
  <c r="Z18" i="798"/>
  <c r="Y18" i="798"/>
  <c r="X18" i="798"/>
  <c r="W18" i="798"/>
  <c r="V18" i="798"/>
  <c r="U18" i="798"/>
  <c r="T18" i="798"/>
  <c r="S18" i="798"/>
  <c r="R18" i="798"/>
  <c r="Z17" i="798"/>
  <c r="Y17" i="798"/>
  <c r="X17" i="798"/>
  <c r="W17" i="798"/>
  <c r="V17" i="798"/>
  <c r="U17" i="798"/>
  <c r="T17" i="798"/>
  <c r="S17" i="798"/>
  <c r="R17" i="798"/>
  <c r="Z16" i="798"/>
  <c r="Y16" i="798"/>
  <c r="X16" i="798"/>
  <c r="W16" i="798"/>
  <c r="V16" i="798"/>
  <c r="U16" i="798"/>
  <c r="T16" i="798"/>
  <c r="S16" i="798"/>
  <c r="R16" i="798"/>
  <c r="Z15" i="798"/>
  <c r="Y15" i="798"/>
  <c r="X15" i="798"/>
  <c r="W15" i="798"/>
  <c r="V15" i="798"/>
  <c r="U15" i="798"/>
  <c r="T15" i="798"/>
  <c r="S15" i="798"/>
  <c r="R15" i="798"/>
  <c r="Z14" i="798"/>
  <c r="Y14" i="798"/>
  <c r="X14" i="798"/>
  <c r="W14" i="798"/>
  <c r="V14" i="798"/>
  <c r="U14" i="798"/>
  <c r="T14" i="798"/>
  <c r="S14" i="798"/>
  <c r="R14" i="798"/>
  <c r="Z13" i="798"/>
  <c r="Y13" i="798"/>
  <c r="X13" i="798"/>
  <c r="W13" i="798"/>
  <c r="V13" i="798"/>
  <c r="U13" i="798"/>
  <c r="T13" i="798"/>
  <c r="S13" i="798"/>
  <c r="R13" i="798"/>
  <c r="Z12" i="798"/>
  <c r="Y12" i="798"/>
  <c r="X12" i="798"/>
  <c r="W12" i="798"/>
  <c r="V12" i="798"/>
  <c r="U12" i="798"/>
  <c r="T12" i="798"/>
  <c r="S12" i="798"/>
  <c r="R12" i="798"/>
  <c r="Z11" i="798"/>
  <c r="Y11" i="798"/>
  <c r="X11" i="798"/>
  <c r="W11" i="798"/>
  <c r="V11" i="798"/>
  <c r="U11" i="798"/>
  <c r="T11" i="798"/>
  <c r="S11" i="798"/>
  <c r="R11" i="798"/>
  <c r="Z10" i="798"/>
  <c r="Y10" i="798"/>
  <c r="X10" i="798"/>
  <c r="W10" i="798"/>
  <c r="V10" i="798"/>
  <c r="U10" i="798"/>
  <c r="T10" i="798"/>
  <c r="S10" i="798"/>
  <c r="R10" i="798"/>
  <c r="M46" i="797"/>
  <c r="L46" i="797"/>
  <c r="K46" i="797"/>
  <c r="M47" i="797"/>
  <c r="L47" i="797"/>
  <c r="K47" i="797"/>
  <c r="C19" i="797"/>
  <c r="D19" i="797"/>
  <c r="E19" i="797"/>
  <c r="F19" i="797"/>
  <c r="G19" i="797"/>
  <c r="I19" i="797"/>
  <c r="J19" i="797"/>
  <c r="L19" i="797"/>
  <c r="M19" i="797"/>
  <c r="N19" i="797"/>
  <c r="O19" i="797"/>
  <c r="C20" i="797"/>
  <c r="D20" i="797"/>
  <c r="E20" i="797"/>
  <c r="F20" i="797"/>
  <c r="G20" i="797"/>
  <c r="I20" i="797"/>
  <c r="J20" i="797"/>
  <c r="L20" i="797"/>
  <c r="M20" i="797"/>
  <c r="N20" i="797"/>
  <c r="O20" i="797"/>
  <c r="C21" i="797"/>
  <c r="D21" i="797"/>
  <c r="E21" i="797"/>
  <c r="F21" i="797"/>
  <c r="G21" i="797"/>
  <c r="I21" i="797"/>
  <c r="J21" i="797"/>
  <c r="L21" i="797"/>
  <c r="M21" i="797"/>
  <c r="N21" i="797"/>
  <c r="O21" i="797"/>
  <c r="O18" i="797"/>
  <c r="N18" i="797"/>
  <c r="M18" i="797"/>
  <c r="L18" i="797"/>
  <c r="J18" i="797"/>
  <c r="I18" i="797"/>
  <c r="G18" i="797"/>
  <c r="F18" i="797"/>
  <c r="E18" i="797"/>
  <c r="D18" i="797"/>
  <c r="C18" i="797"/>
  <c r="D11" i="797"/>
  <c r="E11" i="797"/>
  <c r="F11" i="797"/>
  <c r="G11" i="797"/>
  <c r="I11" i="797"/>
  <c r="J11" i="797"/>
  <c r="K11" i="797"/>
  <c r="L11" i="797"/>
  <c r="M11" i="797"/>
  <c r="N11" i="797"/>
  <c r="O11" i="797"/>
  <c r="D12" i="797"/>
  <c r="E12" i="797"/>
  <c r="F12" i="797"/>
  <c r="G12" i="797"/>
  <c r="I12" i="797"/>
  <c r="J12" i="797"/>
  <c r="K12" i="797"/>
  <c r="L12" i="797"/>
  <c r="M12" i="797"/>
  <c r="N12" i="797"/>
  <c r="O12" i="797"/>
  <c r="D13" i="797"/>
  <c r="E13" i="797"/>
  <c r="F13" i="797"/>
  <c r="G13" i="797"/>
  <c r="I13" i="797"/>
  <c r="J13" i="797"/>
  <c r="K13" i="797"/>
  <c r="L13" i="797"/>
  <c r="M13" i="797"/>
  <c r="N13" i="797"/>
  <c r="O13" i="797"/>
  <c r="D14" i="797"/>
  <c r="E14" i="797"/>
  <c r="F14" i="797"/>
  <c r="G14" i="797"/>
  <c r="I14" i="797"/>
  <c r="J14" i="797"/>
  <c r="K14" i="797"/>
  <c r="L14" i="797"/>
  <c r="M14" i="797"/>
  <c r="N14" i="797"/>
  <c r="O14" i="797"/>
  <c r="D15" i="797"/>
  <c r="E15" i="797"/>
  <c r="F15" i="797"/>
  <c r="G15" i="797"/>
  <c r="I15" i="797"/>
  <c r="J15" i="797"/>
  <c r="K15" i="797"/>
  <c r="L15" i="797"/>
  <c r="M15" i="797"/>
  <c r="N15" i="797"/>
  <c r="O15" i="797"/>
  <c r="O10" i="797"/>
  <c r="N10" i="797"/>
  <c r="M10" i="797"/>
  <c r="L10" i="797"/>
  <c r="K10" i="797"/>
  <c r="J10" i="797"/>
  <c r="I10" i="797"/>
  <c r="G10" i="797"/>
  <c r="F10" i="797"/>
  <c r="E10" i="797"/>
  <c r="D10" i="797"/>
  <c r="C10" i="797"/>
  <c r="J47" i="797" l="1"/>
  <c r="J46" i="797"/>
  <c r="K56" i="798"/>
  <c r="L56" i="798" s="1"/>
  <c r="M56" i="798" s="1"/>
  <c r="J14" i="798"/>
  <c r="J12" i="798"/>
  <c r="J11" i="798"/>
  <c r="I14" i="798"/>
  <c r="I16" i="798"/>
  <c r="I15" i="798"/>
  <c r="J17" i="798"/>
  <c r="J13" i="798"/>
  <c r="J16" i="798"/>
  <c r="J15" i="798"/>
  <c r="C13" i="797"/>
  <c r="C12" i="797"/>
  <c r="C15" i="797"/>
  <c r="C14" i="797"/>
  <c r="C11" i="797"/>
  <c r="I12" i="798" l="1"/>
  <c r="I11" i="798"/>
  <c r="I13" i="798"/>
  <c r="I17" i="798"/>
  <c r="C46" i="797"/>
  <c r="C47" i="797"/>
  <c r="C48" i="797"/>
  <c r="C49" i="797"/>
  <c r="C50" i="797"/>
  <c r="C51" i="797"/>
  <c r="C52" i="797"/>
  <c r="C53" i="797"/>
  <c r="K75" i="797"/>
  <c r="K85" i="797" s="1"/>
  <c r="G75" i="797"/>
  <c r="J47" i="798" l="1"/>
  <c r="B75" i="797"/>
  <c r="B46" i="797"/>
  <c r="F89" i="797"/>
  <c r="L79" i="797"/>
  <c r="L77" i="797"/>
  <c r="AX75" i="797"/>
  <c r="AW75" i="797"/>
  <c r="AV75" i="797"/>
  <c r="AU75" i="797"/>
  <c r="AT75" i="797"/>
  <c r="AS75" i="797"/>
  <c r="AR75" i="797"/>
  <c r="AQ75" i="797"/>
  <c r="AP75" i="797"/>
  <c r="AO75" i="797"/>
  <c r="AN75" i="797"/>
  <c r="AM75" i="797"/>
  <c r="AL75" i="797"/>
  <c r="AK75" i="797"/>
  <c r="AJ75" i="797"/>
  <c r="AI75" i="797"/>
  <c r="AH75" i="797"/>
  <c r="AG75" i="797"/>
  <c r="AF75" i="797"/>
  <c r="AE75" i="797"/>
  <c r="AD75" i="797"/>
  <c r="AC75" i="797"/>
  <c r="AB75" i="797"/>
  <c r="K70" i="797"/>
  <c r="L61" i="797" s="1"/>
  <c r="M61" i="797" s="1"/>
  <c r="D68" i="797"/>
  <c r="M55" i="797"/>
  <c r="M54" i="797"/>
  <c r="M53" i="797"/>
  <c r="M52" i="797"/>
  <c r="L52" i="797"/>
  <c r="K52" i="797"/>
  <c r="M51" i="797"/>
  <c r="M49" i="797"/>
  <c r="L49" i="797"/>
  <c r="K49" i="797"/>
  <c r="M48" i="797"/>
  <c r="L48" i="797"/>
  <c r="K48" i="797"/>
  <c r="Z45" i="797"/>
  <c r="Y45" i="797"/>
  <c r="X45" i="797"/>
  <c r="W45" i="797"/>
  <c r="V45" i="797"/>
  <c r="U45" i="797"/>
  <c r="T45" i="797"/>
  <c r="S45" i="797"/>
  <c r="R45" i="797"/>
  <c r="Z44" i="797"/>
  <c r="Y44" i="797"/>
  <c r="X44" i="797"/>
  <c r="W44" i="797"/>
  <c r="V44" i="797"/>
  <c r="U44" i="797"/>
  <c r="T44" i="797"/>
  <c r="S44" i="797"/>
  <c r="R44" i="797"/>
  <c r="Z43" i="797"/>
  <c r="Y43" i="797"/>
  <c r="X43" i="797"/>
  <c r="W43" i="797"/>
  <c r="V43" i="797"/>
  <c r="U43" i="797"/>
  <c r="T43" i="797"/>
  <c r="S43" i="797"/>
  <c r="R43" i="797"/>
  <c r="Z42" i="797"/>
  <c r="Y42" i="797"/>
  <c r="X42" i="797"/>
  <c r="W42" i="797"/>
  <c r="V42" i="797"/>
  <c r="U42" i="797"/>
  <c r="T42" i="797"/>
  <c r="S42" i="797"/>
  <c r="R42" i="797"/>
  <c r="Z41" i="797"/>
  <c r="Y41" i="797"/>
  <c r="X41" i="797"/>
  <c r="W41" i="797"/>
  <c r="V41" i="797"/>
  <c r="U41" i="797"/>
  <c r="T41" i="797"/>
  <c r="S41" i="797"/>
  <c r="R41" i="797"/>
  <c r="Z40" i="797"/>
  <c r="Y40" i="797"/>
  <c r="X40" i="797"/>
  <c r="W40" i="797"/>
  <c r="V40" i="797"/>
  <c r="U40" i="797"/>
  <c r="T40" i="797"/>
  <c r="S40" i="797"/>
  <c r="R40" i="797"/>
  <c r="Z39" i="797"/>
  <c r="Y39" i="797"/>
  <c r="X39" i="797"/>
  <c r="W39" i="797"/>
  <c r="V39" i="797"/>
  <c r="U39" i="797"/>
  <c r="T39" i="797"/>
  <c r="S39" i="797"/>
  <c r="R39" i="797"/>
  <c r="Z38" i="797"/>
  <c r="Y38" i="797"/>
  <c r="X38" i="797"/>
  <c r="W38" i="797"/>
  <c r="V38" i="797"/>
  <c r="U38" i="797"/>
  <c r="T38" i="797"/>
  <c r="S38" i="797"/>
  <c r="R38" i="797"/>
  <c r="Z37" i="797"/>
  <c r="Y37" i="797"/>
  <c r="X37" i="797"/>
  <c r="W37" i="797"/>
  <c r="V37" i="797"/>
  <c r="U37" i="797"/>
  <c r="T37" i="797"/>
  <c r="S37" i="797"/>
  <c r="R37" i="797"/>
  <c r="Z36" i="797"/>
  <c r="Y36" i="797"/>
  <c r="X36" i="797"/>
  <c r="W36" i="797"/>
  <c r="V36" i="797"/>
  <c r="U36" i="797"/>
  <c r="T36" i="797"/>
  <c r="S36" i="797"/>
  <c r="R36" i="797"/>
  <c r="Z35" i="797"/>
  <c r="Y35" i="797"/>
  <c r="X35" i="797"/>
  <c r="W35" i="797"/>
  <c r="V35" i="797"/>
  <c r="U35" i="797"/>
  <c r="T35" i="797"/>
  <c r="S35" i="797"/>
  <c r="R35" i="797"/>
  <c r="Z34" i="797"/>
  <c r="Y34" i="797"/>
  <c r="X34" i="797"/>
  <c r="W34" i="797"/>
  <c r="V34" i="797"/>
  <c r="U34" i="797"/>
  <c r="T34" i="797"/>
  <c r="S34" i="797"/>
  <c r="R34" i="797"/>
  <c r="Z33" i="797"/>
  <c r="Y33" i="797"/>
  <c r="X33" i="797"/>
  <c r="W33" i="797"/>
  <c r="V33" i="797"/>
  <c r="U33" i="797"/>
  <c r="T33" i="797"/>
  <c r="S33" i="797"/>
  <c r="R33" i="797"/>
  <c r="Z32" i="797"/>
  <c r="Y32" i="797"/>
  <c r="X32" i="797"/>
  <c r="W32" i="797"/>
  <c r="V32" i="797"/>
  <c r="U32" i="797"/>
  <c r="T32" i="797"/>
  <c r="S32" i="797"/>
  <c r="R32" i="797"/>
  <c r="Z31" i="797"/>
  <c r="Y31" i="797"/>
  <c r="X31" i="797"/>
  <c r="W31" i="797"/>
  <c r="V31" i="797"/>
  <c r="U31" i="797"/>
  <c r="T31" i="797"/>
  <c r="S31" i="797"/>
  <c r="R31" i="797"/>
  <c r="Z30" i="797"/>
  <c r="Y30" i="797"/>
  <c r="X30" i="797"/>
  <c r="W30" i="797"/>
  <c r="V30" i="797"/>
  <c r="U30" i="797"/>
  <c r="T30" i="797"/>
  <c r="S30" i="797"/>
  <c r="R30" i="797"/>
  <c r="Z29" i="797"/>
  <c r="Y29" i="797"/>
  <c r="X29" i="797"/>
  <c r="W29" i="797"/>
  <c r="V29" i="797"/>
  <c r="U29" i="797"/>
  <c r="T29" i="797"/>
  <c r="S29" i="797"/>
  <c r="R29" i="797"/>
  <c r="Z28" i="797"/>
  <c r="Y28" i="797"/>
  <c r="X28" i="797"/>
  <c r="W28" i="797"/>
  <c r="V28" i="797"/>
  <c r="U28" i="797"/>
  <c r="T28" i="797"/>
  <c r="S28" i="797"/>
  <c r="R28" i="797"/>
  <c r="Z27" i="797"/>
  <c r="Y27" i="797"/>
  <c r="X27" i="797"/>
  <c r="W27" i="797"/>
  <c r="V27" i="797"/>
  <c r="U27" i="797"/>
  <c r="T27" i="797"/>
  <c r="S27" i="797"/>
  <c r="R27" i="797"/>
  <c r="Z26" i="797"/>
  <c r="Y26" i="797"/>
  <c r="X26" i="797"/>
  <c r="W26" i="797"/>
  <c r="V26" i="797"/>
  <c r="U26" i="797"/>
  <c r="T26" i="797"/>
  <c r="S26" i="797"/>
  <c r="R26" i="797"/>
  <c r="Z25" i="797"/>
  <c r="Y25" i="797"/>
  <c r="X25" i="797"/>
  <c r="W25" i="797"/>
  <c r="V25" i="797"/>
  <c r="U25" i="797"/>
  <c r="T25" i="797"/>
  <c r="S25" i="797"/>
  <c r="R25" i="797"/>
  <c r="Z24" i="797"/>
  <c r="Y24" i="797"/>
  <c r="X24" i="797"/>
  <c r="W24" i="797"/>
  <c r="V24" i="797"/>
  <c r="U24" i="797"/>
  <c r="T24" i="797"/>
  <c r="S24" i="797"/>
  <c r="R24" i="797"/>
  <c r="Z23" i="797"/>
  <c r="Y23" i="797"/>
  <c r="X23" i="797"/>
  <c r="W23" i="797"/>
  <c r="V23" i="797"/>
  <c r="U23" i="797"/>
  <c r="T23" i="797"/>
  <c r="S23" i="797"/>
  <c r="R23" i="797"/>
  <c r="Z22" i="797"/>
  <c r="Y22" i="797"/>
  <c r="X22" i="797"/>
  <c r="W22" i="797"/>
  <c r="V22" i="797"/>
  <c r="U22" i="797"/>
  <c r="T22" i="797"/>
  <c r="S22" i="797"/>
  <c r="R22" i="797"/>
  <c r="Z21" i="797"/>
  <c r="Y21" i="797"/>
  <c r="X21" i="797"/>
  <c r="W21" i="797"/>
  <c r="V21" i="797"/>
  <c r="U21" i="797"/>
  <c r="T21" i="797"/>
  <c r="S21" i="797"/>
  <c r="R21" i="797"/>
  <c r="Z20" i="797"/>
  <c r="Y20" i="797"/>
  <c r="X20" i="797"/>
  <c r="W20" i="797"/>
  <c r="V20" i="797"/>
  <c r="U20" i="797"/>
  <c r="T20" i="797"/>
  <c r="S20" i="797"/>
  <c r="R20" i="797"/>
  <c r="Z19" i="797"/>
  <c r="Y19" i="797"/>
  <c r="X19" i="797"/>
  <c r="W19" i="797"/>
  <c r="V19" i="797"/>
  <c r="U19" i="797"/>
  <c r="T19" i="797"/>
  <c r="S19" i="797"/>
  <c r="R19" i="797"/>
  <c r="Z18" i="797"/>
  <c r="Y18" i="797"/>
  <c r="X18" i="797"/>
  <c r="W18" i="797"/>
  <c r="V18" i="797"/>
  <c r="U18" i="797"/>
  <c r="T18" i="797"/>
  <c r="S18" i="797"/>
  <c r="R18" i="797"/>
  <c r="Z17" i="797"/>
  <c r="Y17" i="797"/>
  <c r="X17" i="797"/>
  <c r="W17" i="797"/>
  <c r="V17" i="797"/>
  <c r="U17" i="797"/>
  <c r="T17" i="797"/>
  <c r="S17" i="797"/>
  <c r="R17" i="797"/>
  <c r="Z16" i="797"/>
  <c r="Y16" i="797"/>
  <c r="X16" i="797"/>
  <c r="W16" i="797"/>
  <c r="V16" i="797"/>
  <c r="U16" i="797"/>
  <c r="T16" i="797"/>
  <c r="S16" i="797"/>
  <c r="R16" i="797"/>
  <c r="Z15" i="797"/>
  <c r="Y15" i="797"/>
  <c r="X15" i="797"/>
  <c r="W15" i="797"/>
  <c r="V15" i="797"/>
  <c r="U15" i="797"/>
  <c r="T15" i="797"/>
  <c r="S15" i="797"/>
  <c r="R15" i="797"/>
  <c r="Z14" i="797"/>
  <c r="Y14" i="797"/>
  <c r="X14" i="797"/>
  <c r="W14" i="797"/>
  <c r="V14" i="797"/>
  <c r="U14" i="797"/>
  <c r="T14" i="797"/>
  <c r="S14" i="797"/>
  <c r="R14" i="797"/>
  <c r="Z13" i="797"/>
  <c r="Y13" i="797"/>
  <c r="X13" i="797"/>
  <c r="W13" i="797"/>
  <c r="V13" i="797"/>
  <c r="U13" i="797"/>
  <c r="T13" i="797"/>
  <c r="S13" i="797"/>
  <c r="R13" i="797"/>
  <c r="Z12" i="797"/>
  <c r="Y12" i="797"/>
  <c r="X12" i="797"/>
  <c r="W12" i="797"/>
  <c r="V12" i="797"/>
  <c r="U12" i="797"/>
  <c r="T12" i="797"/>
  <c r="S12" i="797"/>
  <c r="R12" i="797"/>
  <c r="Z11" i="797"/>
  <c r="Y11" i="797"/>
  <c r="X11" i="797"/>
  <c r="W11" i="797"/>
  <c r="V11" i="797"/>
  <c r="U11" i="797"/>
  <c r="T11" i="797"/>
  <c r="S11" i="797"/>
  <c r="R11" i="797"/>
  <c r="Z10" i="797"/>
  <c r="Y10" i="797"/>
  <c r="X10" i="797"/>
  <c r="W10" i="797"/>
  <c r="V10" i="797"/>
  <c r="U10" i="797"/>
  <c r="T10" i="797"/>
  <c r="S10" i="797"/>
  <c r="R10" i="797"/>
  <c r="K56" i="797" l="1"/>
  <c r="L56" i="797" s="1"/>
  <c r="M56" i="797" s="1"/>
  <c r="M46" i="796"/>
  <c r="L46" i="796"/>
  <c r="K46" i="796"/>
  <c r="C18" i="796"/>
  <c r="D18" i="796"/>
  <c r="E18" i="796"/>
  <c r="F18" i="796"/>
  <c r="G18" i="796"/>
  <c r="I18" i="796"/>
  <c r="J18" i="796"/>
  <c r="K18" i="796"/>
  <c r="L18" i="796"/>
  <c r="M18" i="796"/>
  <c r="N18" i="796"/>
  <c r="O18" i="796"/>
  <c r="C19" i="796"/>
  <c r="D19" i="796"/>
  <c r="E19" i="796"/>
  <c r="F19" i="796"/>
  <c r="G19" i="796"/>
  <c r="I19" i="796"/>
  <c r="J19" i="796"/>
  <c r="K19" i="796"/>
  <c r="L19" i="796"/>
  <c r="M19" i="796"/>
  <c r="N19" i="796"/>
  <c r="O19" i="796"/>
  <c r="K79" i="796" l="1"/>
  <c r="K88" i="796" s="1"/>
  <c r="K77" i="796"/>
  <c r="K91" i="796" s="1"/>
  <c r="C58" i="796"/>
  <c r="C59" i="796"/>
  <c r="C62" i="796"/>
  <c r="C63" i="796"/>
  <c r="G79" i="796"/>
  <c r="G77" i="796"/>
  <c r="C48" i="796"/>
  <c r="C49" i="796"/>
  <c r="C50" i="796"/>
  <c r="C51" i="796"/>
  <c r="C52" i="796"/>
  <c r="C53" i="796"/>
  <c r="C46" i="796"/>
  <c r="C47" i="796"/>
  <c r="G75" i="796"/>
  <c r="C11" i="796" l="1"/>
  <c r="D11" i="796"/>
  <c r="E11" i="796"/>
  <c r="F11" i="796"/>
  <c r="G11" i="796"/>
  <c r="I11" i="796"/>
  <c r="J11" i="796"/>
  <c r="K11" i="796"/>
  <c r="L11" i="796"/>
  <c r="M11" i="796"/>
  <c r="N11" i="796"/>
  <c r="O11" i="796"/>
  <c r="C12" i="796"/>
  <c r="D12" i="796"/>
  <c r="E12" i="796"/>
  <c r="F12" i="796"/>
  <c r="G12" i="796"/>
  <c r="I12" i="796"/>
  <c r="J12" i="796"/>
  <c r="K12" i="796"/>
  <c r="L12" i="796"/>
  <c r="M12" i="796"/>
  <c r="N12" i="796"/>
  <c r="O12" i="796"/>
  <c r="C13" i="796"/>
  <c r="D13" i="796"/>
  <c r="E13" i="796"/>
  <c r="F13" i="796"/>
  <c r="G13" i="796"/>
  <c r="I13" i="796"/>
  <c r="J13" i="796"/>
  <c r="K13" i="796"/>
  <c r="L13" i="796"/>
  <c r="M13" i="796"/>
  <c r="N13" i="796"/>
  <c r="O13" i="796"/>
  <c r="C14" i="796"/>
  <c r="D14" i="796"/>
  <c r="E14" i="796"/>
  <c r="F14" i="796"/>
  <c r="G14" i="796"/>
  <c r="I14" i="796"/>
  <c r="J14" i="796"/>
  <c r="K14" i="796"/>
  <c r="L14" i="796"/>
  <c r="M14" i="796"/>
  <c r="N14" i="796"/>
  <c r="O14" i="796"/>
  <c r="C15" i="796"/>
  <c r="D15" i="796"/>
  <c r="E15" i="796"/>
  <c r="F15" i="796"/>
  <c r="G15" i="796"/>
  <c r="I15" i="796"/>
  <c r="J15" i="796"/>
  <c r="K15" i="796"/>
  <c r="L15" i="796"/>
  <c r="M15" i="796"/>
  <c r="N15" i="796"/>
  <c r="O15" i="796"/>
  <c r="C16" i="796"/>
  <c r="D16" i="796"/>
  <c r="E16" i="796"/>
  <c r="F16" i="796"/>
  <c r="G16" i="796"/>
  <c r="I16" i="796"/>
  <c r="J16" i="796"/>
  <c r="K16" i="796"/>
  <c r="L16" i="796"/>
  <c r="M16" i="796"/>
  <c r="N16" i="796"/>
  <c r="O16" i="796"/>
  <c r="C17" i="796"/>
  <c r="D17" i="796"/>
  <c r="E17" i="796"/>
  <c r="F17" i="796"/>
  <c r="G17" i="796"/>
  <c r="I17" i="796"/>
  <c r="J17" i="796"/>
  <c r="K17" i="796"/>
  <c r="L17" i="796"/>
  <c r="M17" i="796"/>
  <c r="N17" i="796"/>
  <c r="O17" i="796"/>
  <c r="O10" i="796"/>
  <c r="N10" i="796"/>
  <c r="M10" i="796"/>
  <c r="L10" i="796"/>
  <c r="K10" i="796"/>
  <c r="J10" i="796"/>
  <c r="I10" i="796"/>
  <c r="G10" i="796"/>
  <c r="F10" i="796"/>
  <c r="E10" i="796"/>
  <c r="D10" i="796"/>
  <c r="C10" i="796"/>
  <c r="F89" i="796"/>
  <c r="AX75" i="796"/>
  <c r="AW75" i="796"/>
  <c r="AV75" i="796"/>
  <c r="AU75" i="796"/>
  <c r="AT75" i="796"/>
  <c r="AS75" i="796"/>
  <c r="AR75" i="796"/>
  <c r="AQ75" i="796"/>
  <c r="AP75" i="796"/>
  <c r="AO75" i="796"/>
  <c r="AN75" i="796"/>
  <c r="AM75" i="796"/>
  <c r="AL75" i="796"/>
  <c r="AK75" i="796"/>
  <c r="AJ75" i="796"/>
  <c r="AI75" i="796"/>
  <c r="AH75" i="796"/>
  <c r="AG75" i="796"/>
  <c r="AF75" i="796"/>
  <c r="AE75" i="796"/>
  <c r="AD75" i="796"/>
  <c r="AC75" i="796"/>
  <c r="AB75" i="796"/>
  <c r="B75" i="796"/>
  <c r="K70" i="796"/>
  <c r="L61" i="796" s="1"/>
  <c r="M61" i="796" s="1"/>
  <c r="D68" i="796"/>
  <c r="M55" i="796"/>
  <c r="M54" i="796"/>
  <c r="M53" i="796"/>
  <c r="M52" i="796"/>
  <c r="L52" i="796"/>
  <c r="K52" i="796"/>
  <c r="M51" i="796"/>
  <c r="M49" i="796"/>
  <c r="L49" i="796"/>
  <c r="K49" i="796"/>
  <c r="M48" i="796"/>
  <c r="L48" i="796"/>
  <c r="K48" i="796"/>
  <c r="M47" i="796"/>
  <c r="L47" i="796"/>
  <c r="K47" i="796"/>
  <c r="B46" i="796"/>
  <c r="Z45" i="796"/>
  <c r="Y45" i="796"/>
  <c r="X45" i="796"/>
  <c r="W45" i="796"/>
  <c r="V45" i="796"/>
  <c r="U45" i="796"/>
  <c r="T45" i="796"/>
  <c r="S45" i="796"/>
  <c r="R45" i="796"/>
  <c r="Z44" i="796"/>
  <c r="Y44" i="796"/>
  <c r="X44" i="796"/>
  <c r="W44" i="796"/>
  <c r="V44" i="796"/>
  <c r="U44" i="796"/>
  <c r="T44" i="796"/>
  <c r="S44" i="796"/>
  <c r="R44" i="796"/>
  <c r="Z43" i="796"/>
  <c r="Y43" i="796"/>
  <c r="X43" i="796"/>
  <c r="W43" i="796"/>
  <c r="V43" i="796"/>
  <c r="U43" i="796"/>
  <c r="T43" i="796"/>
  <c r="S43" i="796"/>
  <c r="R43" i="796"/>
  <c r="Z42" i="796"/>
  <c r="Y42" i="796"/>
  <c r="X42" i="796"/>
  <c r="W42" i="796"/>
  <c r="V42" i="796"/>
  <c r="U42" i="796"/>
  <c r="T42" i="796"/>
  <c r="S42" i="796"/>
  <c r="R42" i="796"/>
  <c r="Z41" i="796"/>
  <c r="Y41" i="796"/>
  <c r="X41" i="796"/>
  <c r="W41" i="796"/>
  <c r="V41" i="796"/>
  <c r="U41" i="796"/>
  <c r="T41" i="796"/>
  <c r="S41" i="796"/>
  <c r="R41" i="796"/>
  <c r="Z40" i="796"/>
  <c r="Y40" i="796"/>
  <c r="X40" i="796"/>
  <c r="W40" i="796"/>
  <c r="V40" i="796"/>
  <c r="U40" i="796"/>
  <c r="T40" i="796"/>
  <c r="S40" i="796"/>
  <c r="R40" i="796"/>
  <c r="Z39" i="796"/>
  <c r="Y39" i="796"/>
  <c r="X39" i="796"/>
  <c r="W39" i="796"/>
  <c r="V39" i="796"/>
  <c r="U39" i="796"/>
  <c r="T39" i="796"/>
  <c r="S39" i="796"/>
  <c r="R39" i="796"/>
  <c r="Z38" i="796"/>
  <c r="Y38" i="796"/>
  <c r="X38" i="796"/>
  <c r="W38" i="796"/>
  <c r="V38" i="796"/>
  <c r="U38" i="796"/>
  <c r="T38" i="796"/>
  <c r="S38" i="796"/>
  <c r="R38" i="796"/>
  <c r="Z37" i="796"/>
  <c r="Y37" i="796"/>
  <c r="X37" i="796"/>
  <c r="W37" i="796"/>
  <c r="V37" i="796"/>
  <c r="U37" i="796"/>
  <c r="T37" i="796"/>
  <c r="S37" i="796"/>
  <c r="R37" i="796"/>
  <c r="Z36" i="796"/>
  <c r="Y36" i="796"/>
  <c r="X36" i="796"/>
  <c r="W36" i="796"/>
  <c r="V36" i="796"/>
  <c r="U36" i="796"/>
  <c r="T36" i="796"/>
  <c r="S36" i="796"/>
  <c r="R36" i="796"/>
  <c r="Z35" i="796"/>
  <c r="Y35" i="796"/>
  <c r="X35" i="796"/>
  <c r="W35" i="796"/>
  <c r="V35" i="796"/>
  <c r="U35" i="796"/>
  <c r="T35" i="796"/>
  <c r="S35" i="796"/>
  <c r="R35" i="796"/>
  <c r="Z34" i="796"/>
  <c r="Y34" i="796"/>
  <c r="X34" i="796"/>
  <c r="W34" i="796"/>
  <c r="V34" i="796"/>
  <c r="U34" i="796"/>
  <c r="T34" i="796"/>
  <c r="S34" i="796"/>
  <c r="R34" i="796"/>
  <c r="Z33" i="796"/>
  <c r="Y33" i="796"/>
  <c r="X33" i="796"/>
  <c r="W33" i="796"/>
  <c r="V33" i="796"/>
  <c r="U33" i="796"/>
  <c r="T33" i="796"/>
  <c r="S33" i="796"/>
  <c r="R33" i="796"/>
  <c r="Z32" i="796"/>
  <c r="Y32" i="796"/>
  <c r="X32" i="796"/>
  <c r="W32" i="796"/>
  <c r="V32" i="796"/>
  <c r="U32" i="796"/>
  <c r="T32" i="796"/>
  <c r="S32" i="796"/>
  <c r="R32" i="796"/>
  <c r="Z31" i="796"/>
  <c r="Y31" i="796"/>
  <c r="X31" i="796"/>
  <c r="W31" i="796"/>
  <c r="V31" i="796"/>
  <c r="U31" i="796"/>
  <c r="T31" i="796"/>
  <c r="S31" i="796"/>
  <c r="R31" i="796"/>
  <c r="Z30" i="796"/>
  <c r="Y30" i="796"/>
  <c r="X30" i="796"/>
  <c r="W30" i="796"/>
  <c r="V30" i="796"/>
  <c r="U30" i="796"/>
  <c r="T30" i="796"/>
  <c r="S30" i="796"/>
  <c r="R30" i="796"/>
  <c r="Z29" i="796"/>
  <c r="Y29" i="796"/>
  <c r="X29" i="796"/>
  <c r="W29" i="796"/>
  <c r="V29" i="796"/>
  <c r="U29" i="796"/>
  <c r="T29" i="796"/>
  <c r="S29" i="796"/>
  <c r="R29" i="796"/>
  <c r="Z28" i="796"/>
  <c r="Y28" i="796"/>
  <c r="X28" i="796"/>
  <c r="W28" i="796"/>
  <c r="V28" i="796"/>
  <c r="U28" i="796"/>
  <c r="T28" i="796"/>
  <c r="S28" i="796"/>
  <c r="R28" i="796"/>
  <c r="Z27" i="796"/>
  <c r="Y27" i="796"/>
  <c r="X27" i="796"/>
  <c r="W27" i="796"/>
  <c r="V27" i="796"/>
  <c r="U27" i="796"/>
  <c r="T27" i="796"/>
  <c r="S27" i="796"/>
  <c r="R27" i="796"/>
  <c r="Z26" i="796"/>
  <c r="Y26" i="796"/>
  <c r="X26" i="796"/>
  <c r="W26" i="796"/>
  <c r="V26" i="796"/>
  <c r="U26" i="796"/>
  <c r="T26" i="796"/>
  <c r="S26" i="796"/>
  <c r="R26" i="796"/>
  <c r="Z25" i="796"/>
  <c r="Y25" i="796"/>
  <c r="X25" i="796"/>
  <c r="W25" i="796"/>
  <c r="V25" i="796"/>
  <c r="U25" i="796"/>
  <c r="T25" i="796"/>
  <c r="S25" i="796"/>
  <c r="R25" i="796"/>
  <c r="Z24" i="796"/>
  <c r="Y24" i="796"/>
  <c r="X24" i="796"/>
  <c r="W24" i="796"/>
  <c r="V24" i="796"/>
  <c r="U24" i="796"/>
  <c r="T24" i="796"/>
  <c r="S24" i="796"/>
  <c r="R24" i="796"/>
  <c r="Z23" i="796"/>
  <c r="Y23" i="796"/>
  <c r="X23" i="796"/>
  <c r="W23" i="796"/>
  <c r="V23" i="796"/>
  <c r="U23" i="796"/>
  <c r="T23" i="796"/>
  <c r="S23" i="796"/>
  <c r="R23" i="796"/>
  <c r="Z22" i="796"/>
  <c r="Y22" i="796"/>
  <c r="X22" i="796"/>
  <c r="W22" i="796"/>
  <c r="V22" i="796"/>
  <c r="U22" i="796"/>
  <c r="T22" i="796"/>
  <c r="S22" i="796"/>
  <c r="R22" i="796"/>
  <c r="Z21" i="796"/>
  <c r="Y21" i="796"/>
  <c r="X21" i="796"/>
  <c r="W21" i="796"/>
  <c r="V21" i="796"/>
  <c r="U21" i="796"/>
  <c r="T21" i="796"/>
  <c r="S21" i="796"/>
  <c r="R21" i="796"/>
  <c r="Z20" i="796"/>
  <c r="Y20" i="796"/>
  <c r="X20" i="796"/>
  <c r="W20" i="796"/>
  <c r="V20" i="796"/>
  <c r="U20" i="796"/>
  <c r="T20" i="796"/>
  <c r="S20" i="796"/>
  <c r="R20" i="796"/>
  <c r="Z19" i="796"/>
  <c r="Y19" i="796"/>
  <c r="X19" i="796"/>
  <c r="W19" i="796"/>
  <c r="V19" i="796"/>
  <c r="U19" i="796"/>
  <c r="T19" i="796"/>
  <c r="S19" i="796"/>
  <c r="R19" i="796"/>
  <c r="Z18" i="796"/>
  <c r="Y18" i="796"/>
  <c r="X18" i="796"/>
  <c r="W18" i="796"/>
  <c r="V18" i="796"/>
  <c r="U18" i="796"/>
  <c r="T18" i="796"/>
  <c r="S18" i="796"/>
  <c r="R18" i="796"/>
  <c r="Z17" i="796"/>
  <c r="Y17" i="796"/>
  <c r="X17" i="796"/>
  <c r="W17" i="796"/>
  <c r="V17" i="796"/>
  <c r="U17" i="796"/>
  <c r="T17" i="796"/>
  <c r="S17" i="796"/>
  <c r="R17" i="796"/>
  <c r="Z16" i="796"/>
  <c r="Y16" i="796"/>
  <c r="X16" i="796"/>
  <c r="W16" i="796"/>
  <c r="V16" i="796"/>
  <c r="U16" i="796"/>
  <c r="T16" i="796"/>
  <c r="S16" i="796"/>
  <c r="R16" i="796"/>
  <c r="Z15" i="796"/>
  <c r="Y15" i="796"/>
  <c r="X15" i="796"/>
  <c r="W15" i="796"/>
  <c r="V15" i="796"/>
  <c r="U15" i="796"/>
  <c r="T15" i="796"/>
  <c r="S15" i="796"/>
  <c r="R15" i="796"/>
  <c r="Z14" i="796"/>
  <c r="Y14" i="796"/>
  <c r="X14" i="796"/>
  <c r="W14" i="796"/>
  <c r="V14" i="796"/>
  <c r="U14" i="796"/>
  <c r="T14" i="796"/>
  <c r="S14" i="796"/>
  <c r="R14" i="796"/>
  <c r="Z13" i="796"/>
  <c r="Y13" i="796"/>
  <c r="X13" i="796"/>
  <c r="W13" i="796"/>
  <c r="V13" i="796"/>
  <c r="U13" i="796"/>
  <c r="T13" i="796"/>
  <c r="S13" i="796"/>
  <c r="R13" i="796"/>
  <c r="Z12" i="796"/>
  <c r="Y12" i="796"/>
  <c r="X12" i="796"/>
  <c r="W12" i="796"/>
  <c r="V12" i="796"/>
  <c r="U12" i="796"/>
  <c r="T12" i="796"/>
  <c r="S12" i="796"/>
  <c r="R12" i="796"/>
  <c r="Z11" i="796"/>
  <c r="Y11" i="796"/>
  <c r="X11" i="796"/>
  <c r="W11" i="796"/>
  <c r="V11" i="796"/>
  <c r="U11" i="796"/>
  <c r="T11" i="796"/>
  <c r="S11" i="796"/>
  <c r="R11" i="796"/>
  <c r="Z10" i="796"/>
  <c r="Y10" i="796"/>
  <c r="X10" i="796"/>
  <c r="W10" i="796"/>
  <c r="V10" i="796"/>
  <c r="U10" i="796"/>
  <c r="T10" i="796"/>
  <c r="S10" i="796"/>
  <c r="R10" i="796"/>
  <c r="N10" i="795"/>
  <c r="I11" i="795"/>
  <c r="K13" i="795"/>
  <c r="K14" i="795"/>
  <c r="K15" i="795"/>
  <c r="K16" i="795"/>
  <c r="K17" i="795"/>
  <c r="J14" i="795"/>
  <c r="C56" i="795"/>
  <c r="C57" i="795"/>
  <c r="C55" i="795"/>
  <c r="C54" i="795"/>
  <c r="C46" i="795"/>
  <c r="C47" i="795"/>
  <c r="C48" i="795"/>
  <c r="C49" i="795"/>
  <c r="C50" i="795"/>
  <c r="C51" i="795"/>
  <c r="C52" i="795"/>
  <c r="C53" i="795"/>
  <c r="K75" i="795"/>
  <c r="K82" i="795" s="1"/>
  <c r="G75" i="795"/>
  <c r="B46" i="795"/>
  <c r="K48" i="795"/>
  <c r="C11" i="795"/>
  <c r="D11" i="795"/>
  <c r="E11" i="795"/>
  <c r="F11" i="795"/>
  <c r="G11" i="795"/>
  <c r="K11" i="795"/>
  <c r="L11" i="795"/>
  <c r="M11" i="795"/>
  <c r="N11" i="795"/>
  <c r="O11" i="795"/>
  <c r="C12" i="795"/>
  <c r="D12" i="795"/>
  <c r="E12" i="795"/>
  <c r="F12" i="795"/>
  <c r="G12" i="795"/>
  <c r="K12" i="795"/>
  <c r="L12" i="795"/>
  <c r="M12" i="795"/>
  <c r="N12" i="795"/>
  <c r="O12" i="795"/>
  <c r="C13" i="795"/>
  <c r="D13" i="795"/>
  <c r="E13" i="795"/>
  <c r="F13" i="795"/>
  <c r="G13" i="795"/>
  <c r="L13" i="795"/>
  <c r="M13" i="795"/>
  <c r="N13" i="795"/>
  <c r="O13" i="795"/>
  <c r="C14" i="795"/>
  <c r="D14" i="795"/>
  <c r="E14" i="795"/>
  <c r="F14" i="795"/>
  <c r="G14" i="795"/>
  <c r="L14" i="795"/>
  <c r="M14" i="795"/>
  <c r="N14" i="795"/>
  <c r="O14" i="795"/>
  <c r="C15" i="795"/>
  <c r="D15" i="795"/>
  <c r="E15" i="795"/>
  <c r="F15" i="795"/>
  <c r="G15" i="795"/>
  <c r="L15" i="795"/>
  <c r="M15" i="795"/>
  <c r="N15" i="795"/>
  <c r="O15" i="795"/>
  <c r="C16" i="795"/>
  <c r="D16" i="795"/>
  <c r="E16" i="795"/>
  <c r="F16" i="795"/>
  <c r="G16" i="795"/>
  <c r="L16" i="795"/>
  <c r="M16" i="795"/>
  <c r="N16" i="795"/>
  <c r="O16" i="795"/>
  <c r="C17" i="795"/>
  <c r="D17" i="795"/>
  <c r="E17" i="795"/>
  <c r="F17" i="795"/>
  <c r="G17" i="795"/>
  <c r="L17" i="795"/>
  <c r="M17" i="795"/>
  <c r="N17" i="795"/>
  <c r="O17" i="795"/>
  <c r="O10" i="795"/>
  <c r="M10" i="795"/>
  <c r="L10" i="795"/>
  <c r="K10" i="795"/>
  <c r="G10" i="795"/>
  <c r="F10" i="795"/>
  <c r="E10" i="795"/>
  <c r="D10" i="795"/>
  <c r="C10" i="795"/>
  <c r="J46" i="796" l="1"/>
  <c r="K56" i="796"/>
  <c r="L56" i="796" s="1"/>
  <c r="M56" i="796" s="1"/>
  <c r="J15" i="795"/>
  <c r="J11" i="795"/>
  <c r="I16" i="795"/>
  <c r="J10" i="795"/>
  <c r="I17" i="795"/>
  <c r="I15" i="795"/>
  <c r="I14" i="795"/>
  <c r="J13" i="795"/>
  <c r="I12" i="795"/>
  <c r="J12" i="795"/>
  <c r="J16" i="795"/>
  <c r="J17" i="795"/>
  <c r="B75" i="795"/>
  <c r="F87" i="795"/>
  <c r="L77" i="795"/>
  <c r="I77" i="795"/>
  <c r="H77" i="795"/>
  <c r="B77" i="795"/>
  <c r="AX75" i="795"/>
  <c r="AW75" i="795"/>
  <c r="AV75" i="795"/>
  <c r="AU75" i="795"/>
  <c r="AT75" i="795"/>
  <c r="AS75" i="795"/>
  <c r="AR75" i="795"/>
  <c r="AQ75" i="795"/>
  <c r="AP75" i="795"/>
  <c r="AO75" i="795"/>
  <c r="AN75" i="795"/>
  <c r="AM75" i="795"/>
  <c r="AL75" i="795"/>
  <c r="AK75" i="795"/>
  <c r="AJ75" i="795"/>
  <c r="AI75" i="795"/>
  <c r="AH75" i="795"/>
  <c r="AG75" i="795"/>
  <c r="AF75" i="795"/>
  <c r="AE75" i="795"/>
  <c r="AD75" i="795"/>
  <c r="AC75" i="795"/>
  <c r="AB75" i="795"/>
  <c r="K70" i="795"/>
  <c r="D68" i="795"/>
  <c r="L61" i="795"/>
  <c r="M61" i="795" s="1"/>
  <c r="M55" i="795"/>
  <c r="M54" i="795"/>
  <c r="M53" i="795"/>
  <c r="M52" i="795"/>
  <c r="L52" i="795"/>
  <c r="K52" i="795"/>
  <c r="M51" i="795"/>
  <c r="M49" i="795"/>
  <c r="L49" i="795"/>
  <c r="K49" i="795"/>
  <c r="M47" i="795"/>
  <c r="L47" i="795"/>
  <c r="K47" i="795"/>
  <c r="M46" i="795"/>
  <c r="L46" i="795"/>
  <c r="K46" i="795"/>
  <c r="Z45" i="795"/>
  <c r="Y45" i="795"/>
  <c r="X45" i="795"/>
  <c r="W45" i="795"/>
  <c r="V45" i="795"/>
  <c r="U45" i="795"/>
  <c r="T45" i="795"/>
  <c r="S45" i="795"/>
  <c r="R45" i="795"/>
  <c r="Z44" i="795"/>
  <c r="Y44" i="795"/>
  <c r="X44" i="795"/>
  <c r="W44" i="795"/>
  <c r="V44" i="795"/>
  <c r="U44" i="795"/>
  <c r="T44" i="795"/>
  <c r="S44" i="795"/>
  <c r="R44" i="795"/>
  <c r="Z43" i="795"/>
  <c r="Y43" i="795"/>
  <c r="X43" i="795"/>
  <c r="W43" i="795"/>
  <c r="V43" i="795"/>
  <c r="U43" i="795"/>
  <c r="T43" i="795"/>
  <c r="S43" i="795"/>
  <c r="R43" i="795"/>
  <c r="Z42" i="795"/>
  <c r="Y42" i="795"/>
  <c r="X42" i="795"/>
  <c r="W42" i="795"/>
  <c r="V42" i="795"/>
  <c r="U42" i="795"/>
  <c r="T42" i="795"/>
  <c r="S42" i="795"/>
  <c r="R42" i="795"/>
  <c r="Z41" i="795"/>
  <c r="Y41" i="795"/>
  <c r="X41" i="795"/>
  <c r="W41" i="795"/>
  <c r="V41" i="795"/>
  <c r="U41" i="795"/>
  <c r="T41" i="795"/>
  <c r="S41" i="795"/>
  <c r="R41" i="795"/>
  <c r="Z40" i="795"/>
  <c r="Y40" i="795"/>
  <c r="X40" i="795"/>
  <c r="W40" i="795"/>
  <c r="V40" i="795"/>
  <c r="U40" i="795"/>
  <c r="T40" i="795"/>
  <c r="S40" i="795"/>
  <c r="R40" i="795"/>
  <c r="Z39" i="795"/>
  <c r="Y39" i="795"/>
  <c r="X39" i="795"/>
  <c r="W39" i="795"/>
  <c r="V39" i="795"/>
  <c r="U39" i="795"/>
  <c r="T39" i="795"/>
  <c r="S39" i="795"/>
  <c r="R39" i="795"/>
  <c r="Z38" i="795"/>
  <c r="Y38" i="795"/>
  <c r="X38" i="795"/>
  <c r="W38" i="795"/>
  <c r="V38" i="795"/>
  <c r="U38" i="795"/>
  <c r="T38" i="795"/>
  <c r="S38" i="795"/>
  <c r="R38" i="795"/>
  <c r="Z37" i="795"/>
  <c r="Y37" i="795"/>
  <c r="X37" i="795"/>
  <c r="W37" i="795"/>
  <c r="V37" i="795"/>
  <c r="U37" i="795"/>
  <c r="T37" i="795"/>
  <c r="S37" i="795"/>
  <c r="R37" i="795"/>
  <c r="Z36" i="795"/>
  <c r="Y36" i="795"/>
  <c r="X36" i="795"/>
  <c r="W36" i="795"/>
  <c r="V36" i="795"/>
  <c r="U36" i="795"/>
  <c r="T36" i="795"/>
  <c r="S36" i="795"/>
  <c r="R36" i="795"/>
  <c r="Z35" i="795"/>
  <c r="Y35" i="795"/>
  <c r="X35" i="795"/>
  <c r="W35" i="795"/>
  <c r="V35" i="795"/>
  <c r="U35" i="795"/>
  <c r="T35" i="795"/>
  <c r="S35" i="795"/>
  <c r="R35" i="795"/>
  <c r="Z34" i="795"/>
  <c r="Y34" i="795"/>
  <c r="X34" i="795"/>
  <c r="W34" i="795"/>
  <c r="V34" i="795"/>
  <c r="U34" i="795"/>
  <c r="T34" i="795"/>
  <c r="S34" i="795"/>
  <c r="R34" i="795"/>
  <c r="Z33" i="795"/>
  <c r="Y33" i="795"/>
  <c r="X33" i="795"/>
  <c r="W33" i="795"/>
  <c r="V33" i="795"/>
  <c r="U33" i="795"/>
  <c r="T33" i="795"/>
  <c r="S33" i="795"/>
  <c r="R33" i="795"/>
  <c r="Z32" i="795"/>
  <c r="Y32" i="795"/>
  <c r="X32" i="795"/>
  <c r="W32" i="795"/>
  <c r="V32" i="795"/>
  <c r="U32" i="795"/>
  <c r="T32" i="795"/>
  <c r="S32" i="795"/>
  <c r="R32" i="795"/>
  <c r="Z31" i="795"/>
  <c r="Y31" i="795"/>
  <c r="X31" i="795"/>
  <c r="W31" i="795"/>
  <c r="V31" i="795"/>
  <c r="U31" i="795"/>
  <c r="T31" i="795"/>
  <c r="S31" i="795"/>
  <c r="R31" i="795"/>
  <c r="Z30" i="795"/>
  <c r="Y30" i="795"/>
  <c r="X30" i="795"/>
  <c r="W30" i="795"/>
  <c r="V30" i="795"/>
  <c r="U30" i="795"/>
  <c r="T30" i="795"/>
  <c r="S30" i="795"/>
  <c r="R30" i="795"/>
  <c r="Z29" i="795"/>
  <c r="Y29" i="795"/>
  <c r="X29" i="795"/>
  <c r="W29" i="795"/>
  <c r="V29" i="795"/>
  <c r="U29" i="795"/>
  <c r="T29" i="795"/>
  <c r="S29" i="795"/>
  <c r="R29" i="795"/>
  <c r="Z28" i="795"/>
  <c r="Y28" i="795"/>
  <c r="X28" i="795"/>
  <c r="W28" i="795"/>
  <c r="V28" i="795"/>
  <c r="U28" i="795"/>
  <c r="T28" i="795"/>
  <c r="S28" i="795"/>
  <c r="R28" i="795"/>
  <c r="Z27" i="795"/>
  <c r="Y27" i="795"/>
  <c r="X27" i="795"/>
  <c r="W27" i="795"/>
  <c r="V27" i="795"/>
  <c r="U27" i="795"/>
  <c r="T27" i="795"/>
  <c r="S27" i="795"/>
  <c r="R27" i="795"/>
  <c r="Z26" i="795"/>
  <c r="Y26" i="795"/>
  <c r="X26" i="795"/>
  <c r="W26" i="795"/>
  <c r="V26" i="795"/>
  <c r="U26" i="795"/>
  <c r="T26" i="795"/>
  <c r="S26" i="795"/>
  <c r="R26" i="795"/>
  <c r="Z25" i="795"/>
  <c r="Y25" i="795"/>
  <c r="X25" i="795"/>
  <c r="W25" i="795"/>
  <c r="V25" i="795"/>
  <c r="U25" i="795"/>
  <c r="T25" i="795"/>
  <c r="S25" i="795"/>
  <c r="R25" i="795"/>
  <c r="Z24" i="795"/>
  <c r="Y24" i="795"/>
  <c r="X24" i="795"/>
  <c r="W24" i="795"/>
  <c r="V24" i="795"/>
  <c r="U24" i="795"/>
  <c r="T24" i="795"/>
  <c r="S24" i="795"/>
  <c r="R24" i="795"/>
  <c r="Z23" i="795"/>
  <c r="Y23" i="795"/>
  <c r="X23" i="795"/>
  <c r="W23" i="795"/>
  <c r="V23" i="795"/>
  <c r="U23" i="795"/>
  <c r="T23" i="795"/>
  <c r="S23" i="795"/>
  <c r="R23" i="795"/>
  <c r="Z22" i="795"/>
  <c r="Y22" i="795"/>
  <c r="X22" i="795"/>
  <c r="W22" i="795"/>
  <c r="V22" i="795"/>
  <c r="U22" i="795"/>
  <c r="T22" i="795"/>
  <c r="S22" i="795"/>
  <c r="R22" i="795"/>
  <c r="Z21" i="795"/>
  <c r="Y21" i="795"/>
  <c r="X21" i="795"/>
  <c r="W21" i="795"/>
  <c r="V21" i="795"/>
  <c r="U21" i="795"/>
  <c r="T21" i="795"/>
  <c r="S21" i="795"/>
  <c r="R21" i="795"/>
  <c r="Z20" i="795"/>
  <c r="Y20" i="795"/>
  <c r="X20" i="795"/>
  <c r="W20" i="795"/>
  <c r="V20" i="795"/>
  <c r="U20" i="795"/>
  <c r="T20" i="795"/>
  <c r="S20" i="795"/>
  <c r="R20" i="795"/>
  <c r="Z19" i="795"/>
  <c r="Y19" i="795"/>
  <c r="X19" i="795"/>
  <c r="W19" i="795"/>
  <c r="V19" i="795"/>
  <c r="U19" i="795"/>
  <c r="T19" i="795"/>
  <c r="S19" i="795"/>
  <c r="R19" i="795"/>
  <c r="Z18" i="795"/>
  <c r="Y18" i="795"/>
  <c r="X18" i="795"/>
  <c r="W18" i="795"/>
  <c r="V18" i="795"/>
  <c r="U18" i="795"/>
  <c r="T18" i="795"/>
  <c r="S18" i="795"/>
  <c r="R18" i="795"/>
  <c r="Z17" i="795"/>
  <c r="Y17" i="795"/>
  <c r="X17" i="795"/>
  <c r="W17" i="795"/>
  <c r="V17" i="795"/>
  <c r="U17" i="795"/>
  <c r="T17" i="795"/>
  <c r="S17" i="795"/>
  <c r="R17" i="795"/>
  <c r="Z16" i="795"/>
  <c r="Y16" i="795"/>
  <c r="X16" i="795"/>
  <c r="W16" i="795"/>
  <c r="V16" i="795"/>
  <c r="U16" i="795"/>
  <c r="T16" i="795"/>
  <c r="S16" i="795"/>
  <c r="R16" i="795"/>
  <c r="Z15" i="795"/>
  <c r="Y15" i="795"/>
  <c r="X15" i="795"/>
  <c r="W15" i="795"/>
  <c r="V15" i="795"/>
  <c r="U15" i="795"/>
  <c r="T15" i="795"/>
  <c r="S15" i="795"/>
  <c r="R15" i="795"/>
  <c r="Z14" i="795"/>
  <c r="Y14" i="795"/>
  <c r="X14" i="795"/>
  <c r="W14" i="795"/>
  <c r="V14" i="795"/>
  <c r="U14" i="795"/>
  <c r="T14" i="795"/>
  <c r="S14" i="795"/>
  <c r="R14" i="795"/>
  <c r="Z13" i="795"/>
  <c r="Y13" i="795"/>
  <c r="X13" i="795"/>
  <c r="W13" i="795"/>
  <c r="V13" i="795"/>
  <c r="U13" i="795"/>
  <c r="T13" i="795"/>
  <c r="S13" i="795"/>
  <c r="R13" i="795"/>
  <c r="Z12" i="795"/>
  <c r="Y12" i="795"/>
  <c r="X12" i="795"/>
  <c r="W12" i="795"/>
  <c r="V12" i="795"/>
  <c r="U12" i="795"/>
  <c r="T12" i="795"/>
  <c r="S12" i="795"/>
  <c r="R12" i="795"/>
  <c r="Z11" i="795"/>
  <c r="Y11" i="795"/>
  <c r="X11" i="795"/>
  <c r="W11" i="795"/>
  <c r="V11" i="795"/>
  <c r="U11" i="795"/>
  <c r="T11" i="795"/>
  <c r="S11" i="795"/>
  <c r="R11" i="795"/>
  <c r="Z10" i="795"/>
  <c r="Y10" i="795"/>
  <c r="X10" i="795"/>
  <c r="W10" i="795"/>
  <c r="V10" i="795"/>
  <c r="U10" i="795"/>
  <c r="T10" i="795"/>
  <c r="S10" i="795"/>
  <c r="R10" i="795"/>
  <c r="L61" i="794"/>
  <c r="M61" i="794" s="1"/>
  <c r="M46" i="794"/>
  <c r="L46" i="794"/>
  <c r="K46" i="794"/>
  <c r="C24" i="794"/>
  <c r="D24" i="794"/>
  <c r="E24" i="794"/>
  <c r="F24" i="794"/>
  <c r="G24" i="794"/>
  <c r="I24" i="794"/>
  <c r="J24" i="794"/>
  <c r="K24" i="794"/>
  <c r="L24" i="794"/>
  <c r="M24" i="794"/>
  <c r="N24" i="794"/>
  <c r="O24" i="794"/>
  <c r="C25" i="794"/>
  <c r="D25" i="794"/>
  <c r="E25" i="794"/>
  <c r="F25" i="794"/>
  <c r="G25" i="794"/>
  <c r="I25" i="794"/>
  <c r="J25" i="794"/>
  <c r="K25" i="794"/>
  <c r="L25" i="794"/>
  <c r="M25" i="794"/>
  <c r="N25" i="794"/>
  <c r="O25" i="794"/>
  <c r="F87" i="794"/>
  <c r="L77" i="794"/>
  <c r="I77" i="794"/>
  <c r="H77" i="794"/>
  <c r="B77" i="794"/>
  <c r="AX75" i="794"/>
  <c r="AW75" i="794"/>
  <c r="AV75" i="794"/>
  <c r="AU75" i="794"/>
  <c r="AT75" i="794"/>
  <c r="AS75" i="794"/>
  <c r="AR75" i="794"/>
  <c r="AQ75" i="794"/>
  <c r="AP75" i="794"/>
  <c r="AO75" i="794"/>
  <c r="AN75" i="794"/>
  <c r="AM75" i="794"/>
  <c r="AL75" i="794"/>
  <c r="AK75" i="794"/>
  <c r="AJ75" i="794"/>
  <c r="AI75" i="794"/>
  <c r="AH75" i="794"/>
  <c r="AG75" i="794"/>
  <c r="AF75" i="794"/>
  <c r="AE75" i="794"/>
  <c r="AD75" i="794"/>
  <c r="AC75" i="794"/>
  <c r="AB75" i="794"/>
  <c r="H75" i="794"/>
  <c r="I75" i="794"/>
  <c r="L75" i="794"/>
  <c r="B75" i="794"/>
  <c r="K70" i="794"/>
  <c r="D68" i="794"/>
  <c r="M55" i="794"/>
  <c r="M54" i="794"/>
  <c r="M53" i="794"/>
  <c r="M52" i="794"/>
  <c r="L52" i="794"/>
  <c r="K52" i="794"/>
  <c r="M51" i="794"/>
  <c r="M49" i="794"/>
  <c r="L49" i="794"/>
  <c r="K49" i="794"/>
  <c r="K48" i="794"/>
  <c r="M47" i="794"/>
  <c r="L47" i="794"/>
  <c r="K47" i="794"/>
  <c r="Z45" i="794"/>
  <c r="Y45" i="794"/>
  <c r="X45" i="794"/>
  <c r="W45" i="794"/>
  <c r="V45" i="794"/>
  <c r="U45" i="794"/>
  <c r="T45" i="794"/>
  <c r="S45" i="794"/>
  <c r="R45" i="794"/>
  <c r="Z44" i="794"/>
  <c r="Y44" i="794"/>
  <c r="X44" i="794"/>
  <c r="W44" i="794"/>
  <c r="V44" i="794"/>
  <c r="U44" i="794"/>
  <c r="T44" i="794"/>
  <c r="S44" i="794"/>
  <c r="R44" i="794"/>
  <c r="Z43" i="794"/>
  <c r="Y43" i="794"/>
  <c r="X43" i="794"/>
  <c r="W43" i="794"/>
  <c r="V43" i="794"/>
  <c r="U43" i="794"/>
  <c r="T43" i="794"/>
  <c r="S43" i="794"/>
  <c r="R43" i="794"/>
  <c r="Z42" i="794"/>
  <c r="Y42" i="794"/>
  <c r="X42" i="794"/>
  <c r="W42" i="794"/>
  <c r="V42" i="794"/>
  <c r="U42" i="794"/>
  <c r="T42" i="794"/>
  <c r="S42" i="794"/>
  <c r="R42" i="794"/>
  <c r="Z41" i="794"/>
  <c r="Y41" i="794"/>
  <c r="X41" i="794"/>
  <c r="W41" i="794"/>
  <c r="V41" i="794"/>
  <c r="U41" i="794"/>
  <c r="T41" i="794"/>
  <c r="S41" i="794"/>
  <c r="R41" i="794"/>
  <c r="Z40" i="794"/>
  <c r="Y40" i="794"/>
  <c r="X40" i="794"/>
  <c r="W40" i="794"/>
  <c r="V40" i="794"/>
  <c r="U40" i="794"/>
  <c r="T40" i="794"/>
  <c r="S40" i="794"/>
  <c r="R40" i="794"/>
  <c r="Z39" i="794"/>
  <c r="Y39" i="794"/>
  <c r="X39" i="794"/>
  <c r="W39" i="794"/>
  <c r="V39" i="794"/>
  <c r="U39" i="794"/>
  <c r="T39" i="794"/>
  <c r="S39" i="794"/>
  <c r="R39" i="794"/>
  <c r="Z38" i="794"/>
  <c r="Y38" i="794"/>
  <c r="X38" i="794"/>
  <c r="W38" i="794"/>
  <c r="V38" i="794"/>
  <c r="U38" i="794"/>
  <c r="T38" i="794"/>
  <c r="S38" i="794"/>
  <c r="R38" i="794"/>
  <c r="Z37" i="794"/>
  <c r="Y37" i="794"/>
  <c r="X37" i="794"/>
  <c r="W37" i="794"/>
  <c r="V37" i="794"/>
  <c r="U37" i="794"/>
  <c r="T37" i="794"/>
  <c r="S37" i="794"/>
  <c r="R37" i="794"/>
  <c r="Z36" i="794"/>
  <c r="Y36" i="794"/>
  <c r="X36" i="794"/>
  <c r="W36" i="794"/>
  <c r="V36" i="794"/>
  <c r="U36" i="794"/>
  <c r="T36" i="794"/>
  <c r="S36" i="794"/>
  <c r="R36" i="794"/>
  <c r="Z35" i="794"/>
  <c r="Y35" i="794"/>
  <c r="X35" i="794"/>
  <c r="W35" i="794"/>
  <c r="V35" i="794"/>
  <c r="U35" i="794"/>
  <c r="T35" i="794"/>
  <c r="S35" i="794"/>
  <c r="R35" i="794"/>
  <c r="Z34" i="794"/>
  <c r="Y34" i="794"/>
  <c r="X34" i="794"/>
  <c r="W34" i="794"/>
  <c r="V34" i="794"/>
  <c r="U34" i="794"/>
  <c r="T34" i="794"/>
  <c r="S34" i="794"/>
  <c r="R34" i="794"/>
  <c r="Z33" i="794"/>
  <c r="Y33" i="794"/>
  <c r="X33" i="794"/>
  <c r="W33" i="794"/>
  <c r="V33" i="794"/>
  <c r="U33" i="794"/>
  <c r="T33" i="794"/>
  <c r="S33" i="794"/>
  <c r="R33" i="794"/>
  <c r="Z32" i="794"/>
  <c r="Y32" i="794"/>
  <c r="X32" i="794"/>
  <c r="W32" i="794"/>
  <c r="V32" i="794"/>
  <c r="U32" i="794"/>
  <c r="T32" i="794"/>
  <c r="S32" i="794"/>
  <c r="R32" i="794"/>
  <c r="Z31" i="794"/>
  <c r="Y31" i="794"/>
  <c r="X31" i="794"/>
  <c r="W31" i="794"/>
  <c r="V31" i="794"/>
  <c r="U31" i="794"/>
  <c r="T31" i="794"/>
  <c r="S31" i="794"/>
  <c r="R31" i="794"/>
  <c r="Z30" i="794"/>
  <c r="Y30" i="794"/>
  <c r="X30" i="794"/>
  <c r="W30" i="794"/>
  <c r="V30" i="794"/>
  <c r="U30" i="794"/>
  <c r="T30" i="794"/>
  <c r="S30" i="794"/>
  <c r="R30" i="794"/>
  <c r="Z29" i="794"/>
  <c r="Y29" i="794"/>
  <c r="X29" i="794"/>
  <c r="W29" i="794"/>
  <c r="V29" i="794"/>
  <c r="U29" i="794"/>
  <c r="T29" i="794"/>
  <c r="S29" i="794"/>
  <c r="R29" i="794"/>
  <c r="Z28" i="794"/>
  <c r="Y28" i="794"/>
  <c r="X28" i="794"/>
  <c r="W28" i="794"/>
  <c r="V28" i="794"/>
  <c r="U28" i="794"/>
  <c r="T28" i="794"/>
  <c r="S28" i="794"/>
  <c r="R28" i="794"/>
  <c r="Z27" i="794"/>
  <c r="Y27" i="794"/>
  <c r="X27" i="794"/>
  <c r="W27" i="794"/>
  <c r="V27" i="794"/>
  <c r="U27" i="794"/>
  <c r="T27" i="794"/>
  <c r="S27" i="794"/>
  <c r="R27" i="794"/>
  <c r="Z26" i="794"/>
  <c r="Y26" i="794"/>
  <c r="X26" i="794"/>
  <c r="W26" i="794"/>
  <c r="V26" i="794"/>
  <c r="U26" i="794"/>
  <c r="T26" i="794"/>
  <c r="S26" i="794"/>
  <c r="R26" i="794"/>
  <c r="Z25" i="794"/>
  <c r="Y25" i="794"/>
  <c r="X25" i="794"/>
  <c r="W25" i="794"/>
  <c r="V25" i="794"/>
  <c r="U25" i="794"/>
  <c r="T25" i="794"/>
  <c r="S25" i="794"/>
  <c r="R25" i="794"/>
  <c r="Z24" i="794"/>
  <c r="Y24" i="794"/>
  <c r="X24" i="794"/>
  <c r="W24" i="794"/>
  <c r="V24" i="794"/>
  <c r="U24" i="794"/>
  <c r="T24" i="794"/>
  <c r="S24" i="794"/>
  <c r="R24" i="794"/>
  <c r="Z23" i="794"/>
  <c r="Y23" i="794"/>
  <c r="X23" i="794"/>
  <c r="W23" i="794"/>
  <c r="V23" i="794"/>
  <c r="U23" i="794"/>
  <c r="T23" i="794"/>
  <c r="S23" i="794"/>
  <c r="R23" i="794"/>
  <c r="Z22" i="794"/>
  <c r="Y22" i="794"/>
  <c r="X22" i="794"/>
  <c r="W22" i="794"/>
  <c r="V22" i="794"/>
  <c r="U22" i="794"/>
  <c r="T22" i="794"/>
  <c r="S22" i="794"/>
  <c r="R22" i="794"/>
  <c r="Z21" i="794"/>
  <c r="Y21" i="794"/>
  <c r="X21" i="794"/>
  <c r="W21" i="794"/>
  <c r="V21" i="794"/>
  <c r="U21" i="794"/>
  <c r="T21" i="794"/>
  <c r="S21" i="794"/>
  <c r="R21" i="794"/>
  <c r="Z20" i="794"/>
  <c r="Y20" i="794"/>
  <c r="X20" i="794"/>
  <c r="W20" i="794"/>
  <c r="V20" i="794"/>
  <c r="U20" i="794"/>
  <c r="T20" i="794"/>
  <c r="S20" i="794"/>
  <c r="R20" i="794"/>
  <c r="Z19" i="794"/>
  <c r="Y19" i="794"/>
  <c r="X19" i="794"/>
  <c r="W19" i="794"/>
  <c r="V19" i="794"/>
  <c r="U19" i="794"/>
  <c r="T19" i="794"/>
  <c r="S19" i="794"/>
  <c r="R19" i="794"/>
  <c r="Z18" i="794"/>
  <c r="Y18" i="794"/>
  <c r="X18" i="794"/>
  <c r="W18" i="794"/>
  <c r="V18" i="794"/>
  <c r="U18" i="794"/>
  <c r="T18" i="794"/>
  <c r="S18" i="794"/>
  <c r="R18" i="794"/>
  <c r="Z17" i="794"/>
  <c r="Y17" i="794"/>
  <c r="X17" i="794"/>
  <c r="W17" i="794"/>
  <c r="V17" i="794"/>
  <c r="U17" i="794"/>
  <c r="T17" i="794"/>
  <c r="S17" i="794"/>
  <c r="R17" i="794"/>
  <c r="Z16" i="794"/>
  <c r="Y16" i="794"/>
  <c r="X16" i="794"/>
  <c r="W16" i="794"/>
  <c r="V16" i="794"/>
  <c r="U16" i="794"/>
  <c r="T16" i="794"/>
  <c r="S16" i="794"/>
  <c r="R16" i="794"/>
  <c r="Z15" i="794"/>
  <c r="Y15" i="794"/>
  <c r="X15" i="794"/>
  <c r="W15" i="794"/>
  <c r="V15" i="794"/>
  <c r="U15" i="794"/>
  <c r="T15" i="794"/>
  <c r="S15" i="794"/>
  <c r="R15" i="794"/>
  <c r="Z14" i="794"/>
  <c r="Y14" i="794"/>
  <c r="X14" i="794"/>
  <c r="W14" i="794"/>
  <c r="V14" i="794"/>
  <c r="U14" i="794"/>
  <c r="T14" i="794"/>
  <c r="S14" i="794"/>
  <c r="R14" i="794"/>
  <c r="Z13" i="794"/>
  <c r="Y13" i="794"/>
  <c r="X13" i="794"/>
  <c r="W13" i="794"/>
  <c r="V13" i="794"/>
  <c r="U13" i="794"/>
  <c r="T13" i="794"/>
  <c r="S13" i="794"/>
  <c r="R13" i="794"/>
  <c r="Z12" i="794"/>
  <c r="Y12" i="794"/>
  <c r="X12" i="794"/>
  <c r="W12" i="794"/>
  <c r="V12" i="794"/>
  <c r="U12" i="794"/>
  <c r="T12" i="794"/>
  <c r="S12" i="794"/>
  <c r="R12" i="794"/>
  <c r="Z11" i="794"/>
  <c r="Y11" i="794"/>
  <c r="X11" i="794"/>
  <c r="W11" i="794"/>
  <c r="V11" i="794"/>
  <c r="U11" i="794"/>
  <c r="T11" i="794"/>
  <c r="S11" i="794"/>
  <c r="R11" i="794"/>
  <c r="Z10" i="794"/>
  <c r="Y10" i="794"/>
  <c r="X10" i="794"/>
  <c r="W10" i="794"/>
  <c r="V10" i="794"/>
  <c r="U10" i="794"/>
  <c r="T10" i="794"/>
  <c r="S10" i="794"/>
  <c r="R10" i="794"/>
  <c r="M46" i="793"/>
  <c r="L46" i="793"/>
  <c r="K46" i="793"/>
  <c r="M47" i="793"/>
  <c r="L47" i="793"/>
  <c r="K47" i="793"/>
  <c r="I10" i="795" l="1"/>
  <c r="L48" i="794"/>
  <c r="I13" i="795"/>
  <c r="K56" i="795"/>
  <c r="J46" i="794"/>
  <c r="K56" i="794"/>
  <c r="C19" i="793"/>
  <c r="D19" i="793"/>
  <c r="E19" i="793"/>
  <c r="F19" i="793"/>
  <c r="G19" i="793"/>
  <c r="I19" i="793"/>
  <c r="J19" i="793"/>
  <c r="K19" i="793"/>
  <c r="L19" i="793"/>
  <c r="M19" i="793"/>
  <c r="N19" i="793"/>
  <c r="O19" i="793"/>
  <c r="C20" i="793"/>
  <c r="D20" i="793"/>
  <c r="E20" i="793"/>
  <c r="F20" i="793"/>
  <c r="G20" i="793"/>
  <c r="I20" i="793"/>
  <c r="J20" i="793"/>
  <c r="K20" i="793"/>
  <c r="L20" i="793"/>
  <c r="M20" i="793"/>
  <c r="N20" i="793"/>
  <c r="O20" i="793"/>
  <c r="C21" i="793"/>
  <c r="D21" i="793"/>
  <c r="E21" i="793"/>
  <c r="F21" i="793"/>
  <c r="G21" i="793"/>
  <c r="I21" i="793"/>
  <c r="J21" i="793"/>
  <c r="K21" i="793"/>
  <c r="L21" i="793"/>
  <c r="M21" i="793"/>
  <c r="N21" i="793"/>
  <c r="O21" i="793"/>
  <c r="C22" i="793"/>
  <c r="D22" i="793"/>
  <c r="E22" i="793"/>
  <c r="F22" i="793"/>
  <c r="G22" i="793"/>
  <c r="I22" i="793"/>
  <c r="J22" i="793"/>
  <c r="K22" i="793"/>
  <c r="L22" i="793"/>
  <c r="M22" i="793"/>
  <c r="N22" i="793"/>
  <c r="O22" i="793"/>
  <c r="C23" i="793"/>
  <c r="D23" i="793"/>
  <c r="E23" i="793"/>
  <c r="F23" i="793"/>
  <c r="G23" i="793"/>
  <c r="I23" i="793"/>
  <c r="J23" i="793"/>
  <c r="K23" i="793"/>
  <c r="L23" i="793"/>
  <c r="M23" i="793"/>
  <c r="N23" i="793"/>
  <c r="O23" i="793"/>
  <c r="O18" i="793"/>
  <c r="N18" i="793"/>
  <c r="M18" i="793"/>
  <c r="L18" i="793"/>
  <c r="K18" i="793"/>
  <c r="J18" i="793"/>
  <c r="I18" i="793"/>
  <c r="G18" i="793"/>
  <c r="F18" i="793"/>
  <c r="E18" i="793"/>
  <c r="D18" i="793"/>
  <c r="C18" i="793"/>
  <c r="L61" i="793"/>
  <c r="J48" i="795" l="1"/>
  <c r="L48" i="795"/>
  <c r="L56" i="795" s="1"/>
  <c r="M56" i="795" s="1"/>
  <c r="M48" i="795"/>
  <c r="L56" i="794"/>
  <c r="M56" i="794" s="1"/>
  <c r="M48" i="794"/>
  <c r="J46" i="793"/>
  <c r="G75" i="793"/>
  <c r="E75" i="793"/>
  <c r="B75" i="793"/>
  <c r="K75" i="793"/>
  <c r="K83" i="793" s="1"/>
  <c r="C46" i="793" l="1"/>
  <c r="C47" i="793"/>
  <c r="C48" i="793"/>
  <c r="C49" i="793"/>
  <c r="C50" i="793"/>
  <c r="C51" i="793"/>
  <c r="C52" i="793"/>
  <c r="C53" i="793"/>
  <c r="B46" i="793"/>
  <c r="C11" i="793" l="1"/>
  <c r="C12" i="793"/>
  <c r="J12" i="793"/>
  <c r="C13" i="793"/>
  <c r="J11" i="793"/>
  <c r="I11" i="793"/>
  <c r="R10" i="793"/>
  <c r="S10" i="793"/>
  <c r="T10" i="793"/>
  <c r="U10" i="793"/>
  <c r="V10" i="793"/>
  <c r="W10" i="793"/>
  <c r="X10" i="793"/>
  <c r="Y10" i="793"/>
  <c r="Z10" i="793"/>
  <c r="C10" i="793"/>
  <c r="D10" i="793"/>
  <c r="E10" i="793"/>
  <c r="F10" i="793"/>
  <c r="G10" i="793"/>
  <c r="I10" i="793"/>
  <c r="J10" i="793"/>
  <c r="L10" i="793"/>
  <c r="M10" i="793"/>
  <c r="N10" i="793"/>
  <c r="O10" i="793"/>
  <c r="D12" i="793"/>
  <c r="E12" i="793"/>
  <c r="F12" i="793"/>
  <c r="G12" i="793"/>
  <c r="L12" i="793"/>
  <c r="M12" i="793"/>
  <c r="N12" i="793"/>
  <c r="O12" i="793"/>
  <c r="D13" i="793"/>
  <c r="E13" i="793"/>
  <c r="F13" i="793"/>
  <c r="G13" i="793"/>
  <c r="L13" i="793"/>
  <c r="M13" i="793"/>
  <c r="N13" i="793"/>
  <c r="O13" i="793"/>
  <c r="C14" i="793"/>
  <c r="D14" i="793"/>
  <c r="E14" i="793"/>
  <c r="F14" i="793"/>
  <c r="G14" i="793"/>
  <c r="L14" i="793"/>
  <c r="M14" i="793"/>
  <c r="N14" i="793"/>
  <c r="O14" i="793"/>
  <c r="C15" i="793"/>
  <c r="D15" i="793"/>
  <c r="E15" i="793"/>
  <c r="F15" i="793"/>
  <c r="G15" i="793"/>
  <c r="L15" i="793"/>
  <c r="M15" i="793"/>
  <c r="N15" i="793"/>
  <c r="O15" i="793"/>
  <c r="O11" i="793"/>
  <c r="N11" i="793"/>
  <c r="M11" i="793"/>
  <c r="L11" i="793"/>
  <c r="G11" i="793"/>
  <c r="F11" i="793"/>
  <c r="E11" i="793"/>
  <c r="D11" i="793"/>
  <c r="F87" i="793"/>
  <c r="L77" i="793"/>
  <c r="I77" i="793"/>
  <c r="H77" i="793"/>
  <c r="B77" i="793"/>
  <c r="AX75" i="793"/>
  <c r="AW75" i="793"/>
  <c r="AV75" i="793"/>
  <c r="AU75" i="793"/>
  <c r="AT75" i="793"/>
  <c r="AS75" i="793"/>
  <c r="AR75" i="793"/>
  <c r="AQ75" i="793"/>
  <c r="AP75" i="793"/>
  <c r="AO75" i="793"/>
  <c r="AN75" i="793"/>
  <c r="AM75" i="793"/>
  <c r="AL75" i="793"/>
  <c r="AK75" i="793"/>
  <c r="AJ75" i="793"/>
  <c r="AI75" i="793"/>
  <c r="AH75" i="793"/>
  <c r="AG75" i="793"/>
  <c r="AF75" i="793"/>
  <c r="AE75" i="793"/>
  <c r="AD75" i="793"/>
  <c r="AC75" i="793"/>
  <c r="AB75" i="793"/>
  <c r="K70" i="793"/>
  <c r="M61" i="793" s="1"/>
  <c r="D68" i="793"/>
  <c r="M55" i="793"/>
  <c r="M54" i="793"/>
  <c r="M53" i="793"/>
  <c r="M52" i="793"/>
  <c r="L52" i="793"/>
  <c r="K52" i="793"/>
  <c r="M51" i="793"/>
  <c r="M49" i="793"/>
  <c r="L49" i="793"/>
  <c r="K49" i="793"/>
  <c r="M48" i="793"/>
  <c r="L48" i="793"/>
  <c r="K48" i="793"/>
  <c r="Z45" i="793"/>
  <c r="Y45" i="793"/>
  <c r="X45" i="793"/>
  <c r="W45" i="793"/>
  <c r="V45" i="793"/>
  <c r="U45" i="793"/>
  <c r="T45" i="793"/>
  <c r="S45" i="793"/>
  <c r="R45" i="793"/>
  <c r="Z44" i="793"/>
  <c r="Y44" i="793"/>
  <c r="X44" i="793"/>
  <c r="W44" i="793"/>
  <c r="V44" i="793"/>
  <c r="U44" i="793"/>
  <c r="T44" i="793"/>
  <c r="S44" i="793"/>
  <c r="R44" i="793"/>
  <c r="Z43" i="793"/>
  <c r="Y43" i="793"/>
  <c r="X43" i="793"/>
  <c r="W43" i="793"/>
  <c r="V43" i="793"/>
  <c r="U43" i="793"/>
  <c r="T43" i="793"/>
  <c r="S43" i="793"/>
  <c r="R43" i="793"/>
  <c r="Z42" i="793"/>
  <c r="Y42" i="793"/>
  <c r="X42" i="793"/>
  <c r="W42" i="793"/>
  <c r="V42" i="793"/>
  <c r="U42" i="793"/>
  <c r="T42" i="793"/>
  <c r="S42" i="793"/>
  <c r="R42" i="793"/>
  <c r="Z41" i="793"/>
  <c r="Y41" i="793"/>
  <c r="X41" i="793"/>
  <c r="W41" i="793"/>
  <c r="V41" i="793"/>
  <c r="U41" i="793"/>
  <c r="T41" i="793"/>
  <c r="S41" i="793"/>
  <c r="R41" i="793"/>
  <c r="Z40" i="793"/>
  <c r="Y40" i="793"/>
  <c r="X40" i="793"/>
  <c r="W40" i="793"/>
  <c r="V40" i="793"/>
  <c r="U40" i="793"/>
  <c r="T40" i="793"/>
  <c r="S40" i="793"/>
  <c r="R40" i="793"/>
  <c r="Z39" i="793"/>
  <c r="Y39" i="793"/>
  <c r="X39" i="793"/>
  <c r="W39" i="793"/>
  <c r="V39" i="793"/>
  <c r="U39" i="793"/>
  <c r="T39" i="793"/>
  <c r="S39" i="793"/>
  <c r="R39" i="793"/>
  <c r="Z38" i="793"/>
  <c r="Y38" i="793"/>
  <c r="X38" i="793"/>
  <c r="W38" i="793"/>
  <c r="V38" i="793"/>
  <c r="U38" i="793"/>
  <c r="T38" i="793"/>
  <c r="S38" i="793"/>
  <c r="R38" i="793"/>
  <c r="Z37" i="793"/>
  <c r="Y37" i="793"/>
  <c r="X37" i="793"/>
  <c r="W37" i="793"/>
  <c r="V37" i="793"/>
  <c r="U37" i="793"/>
  <c r="T37" i="793"/>
  <c r="S37" i="793"/>
  <c r="R37" i="793"/>
  <c r="Z36" i="793"/>
  <c r="Y36" i="793"/>
  <c r="X36" i="793"/>
  <c r="W36" i="793"/>
  <c r="V36" i="793"/>
  <c r="U36" i="793"/>
  <c r="T36" i="793"/>
  <c r="S36" i="793"/>
  <c r="R36" i="793"/>
  <c r="Z35" i="793"/>
  <c r="Y35" i="793"/>
  <c r="X35" i="793"/>
  <c r="W35" i="793"/>
  <c r="V35" i="793"/>
  <c r="U35" i="793"/>
  <c r="T35" i="793"/>
  <c r="S35" i="793"/>
  <c r="R35" i="793"/>
  <c r="Z34" i="793"/>
  <c r="Y34" i="793"/>
  <c r="X34" i="793"/>
  <c r="W34" i="793"/>
  <c r="V34" i="793"/>
  <c r="U34" i="793"/>
  <c r="T34" i="793"/>
  <c r="S34" i="793"/>
  <c r="R34" i="793"/>
  <c r="Z33" i="793"/>
  <c r="Y33" i="793"/>
  <c r="X33" i="793"/>
  <c r="W33" i="793"/>
  <c r="V33" i="793"/>
  <c r="U33" i="793"/>
  <c r="T33" i="793"/>
  <c r="S33" i="793"/>
  <c r="R33" i="793"/>
  <c r="Z32" i="793"/>
  <c r="Y32" i="793"/>
  <c r="X32" i="793"/>
  <c r="W32" i="793"/>
  <c r="V32" i="793"/>
  <c r="U32" i="793"/>
  <c r="T32" i="793"/>
  <c r="S32" i="793"/>
  <c r="R32" i="793"/>
  <c r="Z31" i="793"/>
  <c r="Y31" i="793"/>
  <c r="X31" i="793"/>
  <c r="W31" i="793"/>
  <c r="V31" i="793"/>
  <c r="U31" i="793"/>
  <c r="T31" i="793"/>
  <c r="S31" i="793"/>
  <c r="R31" i="793"/>
  <c r="Z30" i="793"/>
  <c r="Y30" i="793"/>
  <c r="X30" i="793"/>
  <c r="W30" i="793"/>
  <c r="V30" i="793"/>
  <c r="U30" i="793"/>
  <c r="T30" i="793"/>
  <c r="S30" i="793"/>
  <c r="R30" i="793"/>
  <c r="Z29" i="793"/>
  <c r="Y29" i="793"/>
  <c r="X29" i="793"/>
  <c r="W29" i="793"/>
  <c r="V29" i="793"/>
  <c r="U29" i="793"/>
  <c r="T29" i="793"/>
  <c r="S29" i="793"/>
  <c r="R29" i="793"/>
  <c r="Z28" i="793"/>
  <c r="Y28" i="793"/>
  <c r="X28" i="793"/>
  <c r="W28" i="793"/>
  <c r="V28" i="793"/>
  <c r="U28" i="793"/>
  <c r="T28" i="793"/>
  <c r="S28" i="793"/>
  <c r="R28" i="793"/>
  <c r="Z27" i="793"/>
  <c r="Y27" i="793"/>
  <c r="X27" i="793"/>
  <c r="W27" i="793"/>
  <c r="V27" i="793"/>
  <c r="U27" i="793"/>
  <c r="T27" i="793"/>
  <c r="S27" i="793"/>
  <c r="R27" i="793"/>
  <c r="Z26" i="793"/>
  <c r="Y26" i="793"/>
  <c r="X26" i="793"/>
  <c r="W26" i="793"/>
  <c r="V26" i="793"/>
  <c r="U26" i="793"/>
  <c r="T26" i="793"/>
  <c r="S26" i="793"/>
  <c r="R26" i="793"/>
  <c r="Z25" i="793"/>
  <c r="Y25" i="793"/>
  <c r="X25" i="793"/>
  <c r="W25" i="793"/>
  <c r="V25" i="793"/>
  <c r="U25" i="793"/>
  <c r="T25" i="793"/>
  <c r="S25" i="793"/>
  <c r="R25" i="793"/>
  <c r="Z24" i="793"/>
  <c r="Y24" i="793"/>
  <c r="X24" i="793"/>
  <c r="W24" i="793"/>
  <c r="V24" i="793"/>
  <c r="U24" i="793"/>
  <c r="T24" i="793"/>
  <c r="S24" i="793"/>
  <c r="R24" i="793"/>
  <c r="Z23" i="793"/>
  <c r="Y23" i="793"/>
  <c r="X23" i="793"/>
  <c r="W23" i="793"/>
  <c r="V23" i="793"/>
  <c r="U23" i="793"/>
  <c r="T23" i="793"/>
  <c r="S23" i="793"/>
  <c r="R23" i="793"/>
  <c r="Z22" i="793"/>
  <c r="Y22" i="793"/>
  <c r="X22" i="793"/>
  <c r="W22" i="793"/>
  <c r="V22" i="793"/>
  <c r="U22" i="793"/>
  <c r="T22" i="793"/>
  <c r="S22" i="793"/>
  <c r="R22" i="793"/>
  <c r="Z21" i="793"/>
  <c r="Y21" i="793"/>
  <c r="X21" i="793"/>
  <c r="W21" i="793"/>
  <c r="V21" i="793"/>
  <c r="U21" i="793"/>
  <c r="T21" i="793"/>
  <c r="S21" i="793"/>
  <c r="R21" i="793"/>
  <c r="Z20" i="793"/>
  <c r="Y20" i="793"/>
  <c r="X20" i="793"/>
  <c r="W20" i="793"/>
  <c r="V20" i="793"/>
  <c r="U20" i="793"/>
  <c r="T20" i="793"/>
  <c r="S20" i="793"/>
  <c r="R20" i="793"/>
  <c r="Z19" i="793"/>
  <c r="Y19" i="793"/>
  <c r="X19" i="793"/>
  <c r="W19" i="793"/>
  <c r="V19" i="793"/>
  <c r="U19" i="793"/>
  <c r="T19" i="793"/>
  <c r="S19" i="793"/>
  <c r="R19" i="793"/>
  <c r="Z18" i="793"/>
  <c r="Y18" i="793"/>
  <c r="X18" i="793"/>
  <c r="W18" i="793"/>
  <c r="V18" i="793"/>
  <c r="U18" i="793"/>
  <c r="T18" i="793"/>
  <c r="S18" i="793"/>
  <c r="R18" i="793"/>
  <c r="Z17" i="793"/>
  <c r="Y17" i="793"/>
  <c r="X17" i="793"/>
  <c r="W17" i="793"/>
  <c r="V17" i="793"/>
  <c r="U17" i="793"/>
  <c r="T17" i="793"/>
  <c r="S17" i="793"/>
  <c r="R17" i="793"/>
  <c r="Z16" i="793"/>
  <c r="Y16" i="793"/>
  <c r="X16" i="793"/>
  <c r="W16" i="793"/>
  <c r="V16" i="793"/>
  <c r="U16" i="793"/>
  <c r="T16" i="793"/>
  <c r="S16" i="793"/>
  <c r="R16" i="793"/>
  <c r="Z15" i="793"/>
  <c r="Y15" i="793"/>
  <c r="X15" i="793"/>
  <c r="W15" i="793"/>
  <c r="V15" i="793"/>
  <c r="U15" i="793"/>
  <c r="T15" i="793"/>
  <c r="S15" i="793"/>
  <c r="R15" i="793"/>
  <c r="Z14" i="793"/>
  <c r="Y14" i="793"/>
  <c r="X14" i="793"/>
  <c r="W14" i="793"/>
  <c r="V14" i="793"/>
  <c r="U14" i="793"/>
  <c r="T14" i="793"/>
  <c r="S14" i="793"/>
  <c r="R14" i="793"/>
  <c r="Z13" i="793"/>
  <c r="Y13" i="793"/>
  <c r="X13" i="793"/>
  <c r="W13" i="793"/>
  <c r="V13" i="793"/>
  <c r="U13" i="793"/>
  <c r="T13" i="793"/>
  <c r="S13" i="793"/>
  <c r="R13" i="793"/>
  <c r="Z12" i="793"/>
  <c r="Y12" i="793"/>
  <c r="X12" i="793"/>
  <c r="W12" i="793"/>
  <c r="V12" i="793"/>
  <c r="U12" i="793"/>
  <c r="T12" i="793"/>
  <c r="S12" i="793"/>
  <c r="R12" i="793"/>
  <c r="Z11" i="793"/>
  <c r="Y11" i="793"/>
  <c r="X11" i="793"/>
  <c r="W11" i="793"/>
  <c r="V11" i="793"/>
  <c r="U11" i="793"/>
  <c r="T11" i="793"/>
  <c r="S11" i="793"/>
  <c r="R11" i="793"/>
  <c r="O40" i="792"/>
  <c r="N40" i="792"/>
  <c r="M40" i="792"/>
  <c r="L40" i="792"/>
  <c r="J40" i="792"/>
  <c r="I40" i="792"/>
  <c r="G40" i="792"/>
  <c r="F40" i="792"/>
  <c r="E40" i="792"/>
  <c r="D40" i="792"/>
  <c r="C40" i="792"/>
  <c r="I13" i="793" l="1"/>
  <c r="I12" i="793"/>
  <c r="J15" i="793"/>
  <c r="J14" i="793"/>
  <c r="J13" i="793"/>
  <c r="K56" i="793"/>
  <c r="L56" i="793" s="1"/>
  <c r="M56" i="793" s="1"/>
  <c r="E74" i="792"/>
  <c r="I14" i="793" l="1"/>
  <c r="I15" i="793"/>
  <c r="K74" i="792"/>
  <c r="K84" i="792" s="1"/>
  <c r="G74" i="792"/>
  <c r="J47" i="793" l="1"/>
  <c r="C45" i="792"/>
  <c r="C46" i="792"/>
  <c r="C47" i="792"/>
  <c r="C48" i="792"/>
  <c r="C49" i="792"/>
  <c r="C50" i="792"/>
  <c r="C51" i="792"/>
  <c r="C52" i="792"/>
  <c r="B45" i="792"/>
  <c r="B74" i="792"/>
  <c r="K45" i="792"/>
  <c r="C30" i="792"/>
  <c r="D30" i="792"/>
  <c r="E30" i="792"/>
  <c r="F30" i="792"/>
  <c r="G30" i="792"/>
  <c r="I30" i="792"/>
  <c r="J30" i="792"/>
  <c r="K30" i="792"/>
  <c r="L30" i="792"/>
  <c r="M30" i="792"/>
  <c r="N30" i="792"/>
  <c r="O30" i="792"/>
  <c r="C31" i="792"/>
  <c r="D31" i="792"/>
  <c r="E31" i="792"/>
  <c r="F31" i="792"/>
  <c r="G31" i="792"/>
  <c r="I31" i="792"/>
  <c r="J31" i="792"/>
  <c r="K31" i="792"/>
  <c r="L31" i="792"/>
  <c r="M31" i="792"/>
  <c r="N31" i="792"/>
  <c r="O31" i="792"/>
  <c r="C32" i="792"/>
  <c r="D32" i="792"/>
  <c r="E32" i="792"/>
  <c r="F32" i="792"/>
  <c r="G32" i="792"/>
  <c r="I32" i="792"/>
  <c r="J32" i="792"/>
  <c r="L32" i="792"/>
  <c r="M32" i="792"/>
  <c r="N32" i="792"/>
  <c r="O32" i="792"/>
  <c r="C33" i="792"/>
  <c r="D33" i="792"/>
  <c r="E33" i="792"/>
  <c r="F33" i="792"/>
  <c r="G33" i="792"/>
  <c r="I33" i="792"/>
  <c r="J33" i="792"/>
  <c r="K33" i="792"/>
  <c r="L33" i="792"/>
  <c r="M33" i="792"/>
  <c r="N33" i="792"/>
  <c r="O33" i="792"/>
  <c r="C34" i="792"/>
  <c r="D34" i="792"/>
  <c r="E34" i="792"/>
  <c r="F34" i="792"/>
  <c r="G34" i="792"/>
  <c r="I34" i="792"/>
  <c r="J34" i="792"/>
  <c r="K34" i="792"/>
  <c r="L34" i="792"/>
  <c r="M34" i="792"/>
  <c r="N34" i="792"/>
  <c r="O34" i="792"/>
  <c r="C35" i="792"/>
  <c r="D35" i="792"/>
  <c r="E35" i="792"/>
  <c r="F35" i="792"/>
  <c r="G35" i="792"/>
  <c r="I35" i="792"/>
  <c r="J35" i="792"/>
  <c r="K35" i="792"/>
  <c r="L35" i="792"/>
  <c r="M35" i="792"/>
  <c r="N35" i="792"/>
  <c r="O35" i="792"/>
  <c r="C36" i="792"/>
  <c r="D36" i="792"/>
  <c r="E36" i="792"/>
  <c r="F36" i="792"/>
  <c r="G36" i="792"/>
  <c r="I36" i="792"/>
  <c r="J36" i="792"/>
  <c r="K36" i="792"/>
  <c r="L36" i="792"/>
  <c r="M36" i="792"/>
  <c r="N36" i="792"/>
  <c r="O36" i="792"/>
  <c r="C37" i="792"/>
  <c r="D37" i="792"/>
  <c r="E37" i="792"/>
  <c r="F37" i="792"/>
  <c r="G37" i="792"/>
  <c r="K37" i="792"/>
  <c r="L37" i="792"/>
  <c r="M37" i="792"/>
  <c r="N37" i="792"/>
  <c r="O37" i="792"/>
  <c r="F86" i="792"/>
  <c r="I76" i="792"/>
  <c r="L76" i="792"/>
  <c r="B76" i="792"/>
  <c r="AX74" i="792"/>
  <c r="AW74" i="792"/>
  <c r="AV74" i="792"/>
  <c r="AU74" i="792"/>
  <c r="AT74" i="792"/>
  <c r="AS74" i="792"/>
  <c r="AR74" i="792"/>
  <c r="AQ74" i="792"/>
  <c r="AP74" i="792"/>
  <c r="AO74" i="792"/>
  <c r="AN74" i="792"/>
  <c r="AM74" i="792"/>
  <c r="AL74" i="792"/>
  <c r="AK74" i="792"/>
  <c r="AJ74" i="792"/>
  <c r="AI74" i="792"/>
  <c r="AH74" i="792"/>
  <c r="AG74" i="792"/>
  <c r="AF74" i="792"/>
  <c r="AE74" i="792"/>
  <c r="AD74" i="792"/>
  <c r="AC74" i="792"/>
  <c r="AB74" i="792"/>
  <c r="K69" i="792"/>
  <c r="L60" i="792" s="1"/>
  <c r="D67" i="792"/>
  <c r="M54" i="792"/>
  <c r="M53" i="792"/>
  <c r="M52" i="792"/>
  <c r="M51" i="792"/>
  <c r="L51" i="792"/>
  <c r="K51" i="792"/>
  <c r="M50" i="792"/>
  <c r="M48" i="792"/>
  <c r="L48" i="792"/>
  <c r="K48" i="792"/>
  <c r="M47" i="792"/>
  <c r="L47" i="792"/>
  <c r="K47" i="792"/>
  <c r="M46" i="792"/>
  <c r="L46" i="792"/>
  <c r="K46" i="792"/>
  <c r="Z44" i="792"/>
  <c r="Y44" i="792"/>
  <c r="X44" i="792"/>
  <c r="W44" i="792"/>
  <c r="V44" i="792"/>
  <c r="U44" i="792"/>
  <c r="T44" i="792"/>
  <c r="S44" i="792"/>
  <c r="R44" i="792"/>
  <c r="Z43" i="792"/>
  <c r="Y43" i="792"/>
  <c r="X43" i="792"/>
  <c r="W43" i="792"/>
  <c r="V43" i="792"/>
  <c r="U43" i="792"/>
  <c r="T43" i="792"/>
  <c r="S43" i="792"/>
  <c r="R43" i="792"/>
  <c r="Z42" i="792"/>
  <c r="Y42" i="792"/>
  <c r="X42" i="792"/>
  <c r="W42" i="792"/>
  <c r="V42" i="792"/>
  <c r="U42" i="792"/>
  <c r="T42" i="792"/>
  <c r="S42" i="792"/>
  <c r="R42" i="792"/>
  <c r="Z41" i="792"/>
  <c r="Y41" i="792"/>
  <c r="X41" i="792"/>
  <c r="W41" i="792"/>
  <c r="V41" i="792"/>
  <c r="U41" i="792"/>
  <c r="T41" i="792"/>
  <c r="S41" i="792"/>
  <c r="R41" i="792"/>
  <c r="Z40" i="792"/>
  <c r="Y40" i="792"/>
  <c r="X40" i="792"/>
  <c r="W40" i="792"/>
  <c r="V40" i="792"/>
  <c r="U40" i="792"/>
  <c r="T40" i="792"/>
  <c r="S40" i="792"/>
  <c r="R40" i="792"/>
  <c r="Z39" i="792"/>
  <c r="Y39" i="792"/>
  <c r="X39" i="792"/>
  <c r="W39" i="792"/>
  <c r="V39" i="792"/>
  <c r="U39" i="792"/>
  <c r="T39" i="792"/>
  <c r="S39" i="792"/>
  <c r="R39" i="792"/>
  <c r="Z38" i="792"/>
  <c r="Y38" i="792"/>
  <c r="X38" i="792"/>
  <c r="W38" i="792"/>
  <c r="V38" i="792"/>
  <c r="U38" i="792"/>
  <c r="T38" i="792"/>
  <c r="S38" i="792"/>
  <c r="R38" i="792"/>
  <c r="Z37" i="792"/>
  <c r="Y37" i="792"/>
  <c r="X37" i="792"/>
  <c r="W37" i="792"/>
  <c r="V37" i="792"/>
  <c r="U37" i="792"/>
  <c r="T37" i="792"/>
  <c r="S37" i="792"/>
  <c r="R37" i="792"/>
  <c r="Z36" i="792"/>
  <c r="Y36" i="792"/>
  <c r="X36" i="792"/>
  <c r="W36" i="792"/>
  <c r="V36" i="792"/>
  <c r="U36" i="792"/>
  <c r="T36" i="792"/>
  <c r="S36" i="792"/>
  <c r="R36" i="792"/>
  <c r="Z35" i="792"/>
  <c r="Y35" i="792"/>
  <c r="X35" i="792"/>
  <c r="W35" i="792"/>
  <c r="V35" i="792"/>
  <c r="U35" i="792"/>
  <c r="T35" i="792"/>
  <c r="S35" i="792"/>
  <c r="R35" i="792"/>
  <c r="Z34" i="792"/>
  <c r="Y34" i="792"/>
  <c r="X34" i="792"/>
  <c r="W34" i="792"/>
  <c r="V34" i="792"/>
  <c r="U34" i="792"/>
  <c r="T34" i="792"/>
  <c r="S34" i="792"/>
  <c r="R34" i="792"/>
  <c r="Z33" i="792"/>
  <c r="Y33" i="792"/>
  <c r="X33" i="792"/>
  <c r="W33" i="792"/>
  <c r="V33" i="792"/>
  <c r="U33" i="792"/>
  <c r="T33" i="792"/>
  <c r="S33" i="792"/>
  <c r="R33" i="792"/>
  <c r="Z32" i="792"/>
  <c r="Y32" i="792"/>
  <c r="X32" i="792"/>
  <c r="W32" i="792"/>
  <c r="V32" i="792"/>
  <c r="U32" i="792"/>
  <c r="T32" i="792"/>
  <c r="S32" i="792"/>
  <c r="R32" i="792"/>
  <c r="Z31" i="792"/>
  <c r="Y31" i="792"/>
  <c r="X31" i="792"/>
  <c r="W31" i="792"/>
  <c r="V31" i="792"/>
  <c r="U31" i="792"/>
  <c r="T31" i="792"/>
  <c r="S31" i="792"/>
  <c r="R31" i="792"/>
  <c r="Z30" i="792"/>
  <c r="Y30" i="792"/>
  <c r="X30" i="792"/>
  <c r="W30" i="792"/>
  <c r="V30" i="792"/>
  <c r="U30" i="792"/>
  <c r="T30" i="792"/>
  <c r="S30" i="792"/>
  <c r="R30" i="792"/>
  <c r="Z29" i="792"/>
  <c r="Y29" i="792"/>
  <c r="X29" i="792"/>
  <c r="W29" i="792"/>
  <c r="V29" i="792"/>
  <c r="U29" i="792"/>
  <c r="T29" i="792"/>
  <c r="S29" i="792"/>
  <c r="R29" i="792"/>
  <c r="Z28" i="792"/>
  <c r="Y28" i="792"/>
  <c r="X28" i="792"/>
  <c r="W28" i="792"/>
  <c r="V28" i="792"/>
  <c r="U28" i="792"/>
  <c r="T28" i="792"/>
  <c r="S28" i="792"/>
  <c r="R28" i="792"/>
  <c r="Z27" i="792"/>
  <c r="Y27" i="792"/>
  <c r="X27" i="792"/>
  <c r="W27" i="792"/>
  <c r="V27" i="792"/>
  <c r="U27" i="792"/>
  <c r="T27" i="792"/>
  <c r="S27" i="792"/>
  <c r="R27" i="792"/>
  <c r="Z26" i="792"/>
  <c r="Y26" i="792"/>
  <c r="X26" i="792"/>
  <c r="W26" i="792"/>
  <c r="V26" i="792"/>
  <c r="U26" i="792"/>
  <c r="T26" i="792"/>
  <c r="S26" i="792"/>
  <c r="R26" i="792"/>
  <c r="Z25" i="792"/>
  <c r="Y25" i="792"/>
  <c r="X25" i="792"/>
  <c r="W25" i="792"/>
  <c r="V25" i="792"/>
  <c r="U25" i="792"/>
  <c r="T25" i="792"/>
  <c r="S25" i="792"/>
  <c r="R25" i="792"/>
  <c r="Z24" i="792"/>
  <c r="Y24" i="792"/>
  <c r="X24" i="792"/>
  <c r="W24" i="792"/>
  <c r="V24" i="792"/>
  <c r="U24" i="792"/>
  <c r="T24" i="792"/>
  <c r="S24" i="792"/>
  <c r="R24" i="792"/>
  <c r="Z23" i="792"/>
  <c r="Y23" i="792"/>
  <c r="X23" i="792"/>
  <c r="W23" i="792"/>
  <c r="V23" i="792"/>
  <c r="U23" i="792"/>
  <c r="T23" i="792"/>
  <c r="S23" i="792"/>
  <c r="R23" i="792"/>
  <c r="Z22" i="792"/>
  <c r="Y22" i="792"/>
  <c r="X22" i="792"/>
  <c r="W22" i="792"/>
  <c r="V22" i="792"/>
  <c r="U22" i="792"/>
  <c r="T22" i="792"/>
  <c r="S22" i="792"/>
  <c r="R22" i="792"/>
  <c r="Z21" i="792"/>
  <c r="Y21" i="792"/>
  <c r="X21" i="792"/>
  <c r="W21" i="792"/>
  <c r="V21" i="792"/>
  <c r="U21" i="792"/>
  <c r="T21" i="792"/>
  <c r="S21" i="792"/>
  <c r="R21" i="792"/>
  <c r="Z20" i="792"/>
  <c r="Y20" i="792"/>
  <c r="X20" i="792"/>
  <c r="W20" i="792"/>
  <c r="V20" i="792"/>
  <c r="U20" i="792"/>
  <c r="T20" i="792"/>
  <c r="S20" i="792"/>
  <c r="R20" i="792"/>
  <c r="Z19" i="792"/>
  <c r="Y19" i="792"/>
  <c r="X19" i="792"/>
  <c r="W19" i="792"/>
  <c r="V19" i="792"/>
  <c r="U19" i="792"/>
  <c r="T19" i="792"/>
  <c r="S19" i="792"/>
  <c r="R19" i="792"/>
  <c r="Z18" i="792"/>
  <c r="Y18" i="792"/>
  <c r="X18" i="792"/>
  <c r="W18" i="792"/>
  <c r="V18" i="792"/>
  <c r="U18" i="792"/>
  <c r="T18" i="792"/>
  <c r="S18" i="792"/>
  <c r="R18" i="792"/>
  <c r="Z17" i="792"/>
  <c r="Y17" i="792"/>
  <c r="X17" i="792"/>
  <c r="W17" i="792"/>
  <c r="V17" i="792"/>
  <c r="U17" i="792"/>
  <c r="T17" i="792"/>
  <c r="S17" i="792"/>
  <c r="R17" i="792"/>
  <c r="Z16" i="792"/>
  <c r="Y16" i="792"/>
  <c r="X16" i="792"/>
  <c r="W16" i="792"/>
  <c r="V16" i="792"/>
  <c r="U16" i="792"/>
  <c r="T16" i="792"/>
  <c r="S16" i="792"/>
  <c r="R16" i="792"/>
  <c r="Z15" i="792"/>
  <c r="Y15" i="792"/>
  <c r="X15" i="792"/>
  <c r="W15" i="792"/>
  <c r="V15" i="792"/>
  <c r="U15" i="792"/>
  <c r="T15" i="792"/>
  <c r="S15" i="792"/>
  <c r="R15" i="792"/>
  <c r="Z14" i="792"/>
  <c r="Y14" i="792"/>
  <c r="X14" i="792"/>
  <c r="W14" i="792"/>
  <c r="V14" i="792"/>
  <c r="U14" i="792"/>
  <c r="T14" i="792"/>
  <c r="S14" i="792"/>
  <c r="R14" i="792"/>
  <c r="Z13" i="792"/>
  <c r="Y13" i="792"/>
  <c r="X13" i="792"/>
  <c r="W13" i="792"/>
  <c r="V13" i="792"/>
  <c r="U13" i="792"/>
  <c r="T13" i="792"/>
  <c r="S13" i="792"/>
  <c r="R13" i="792"/>
  <c r="Z12" i="792"/>
  <c r="Y12" i="792"/>
  <c r="X12" i="792"/>
  <c r="W12" i="792"/>
  <c r="V12" i="792"/>
  <c r="U12" i="792"/>
  <c r="T12" i="792"/>
  <c r="S12" i="792"/>
  <c r="R12" i="792"/>
  <c r="Z11" i="792"/>
  <c r="Y11" i="792"/>
  <c r="X11" i="792"/>
  <c r="W11" i="792"/>
  <c r="V11" i="792"/>
  <c r="U11" i="792"/>
  <c r="T11" i="792"/>
  <c r="S11" i="792"/>
  <c r="R11" i="792"/>
  <c r="Z10" i="792"/>
  <c r="Y10" i="792"/>
  <c r="X10" i="792"/>
  <c r="W10" i="792"/>
  <c r="V10" i="792"/>
  <c r="U10" i="792"/>
  <c r="T10" i="792"/>
  <c r="S10" i="792"/>
  <c r="R10" i="792"/>
  <c r="M60" i="792" l="1"/>
  <c r="K55" i="792"/>
  <c r="H76" i="792"/>
  <c r="G74" i="791"/>
  <c r="G76" i="791"/>
  <c r="K76" i="791"/>
  <c r="K82" i="791" s="1"/>
  <c r="K74" i="791"/>
  <c r="K81" i="791" s="1"/>
  <c r="B76" i="791" l="1"/>
  <c r="C57" i="791"/>
  <c r="C58" i="791"/>
  <c r="C59" i="791"/>
  <c r="C60" i="791"/>
  <c r="B57" i="791"/>
  <c r="M45" i="791"/>
  <c r="L45" i="791"/>
  <c r="K45" i="791"/>
  <c r="L60" i="791"/>
  <c r="M48" i="791" l="1"/>
  <c r="L48" i="791"/>
  <c r="K48" i="791"/>
  <c r="C45" i="791"/>
  <c r="C46" i="791"/>
  <c r="C47" i="791"/>
  <c r="C48" i="791"/>
  <c r="C49" i="791"/>
  <c r="C50" i="791"/>
  <c r="C51" i="791"/>
  <c r="C52" i="791"/>
  <c r="C23" i="791"/>
  <c r="D23" i="791"/>
  <c r="E23" i="791"/>
  <c r="F23" i="791"/>
  <c r="G23" i="791"/>
  <c r="I23" i="791"/>
  <c r="J23" i="791"/>
  <c r="K23" i="791"/>
  <c r="L23" i="791"/>
  <c r="M23" i="791"/>
  <c r="N23" i="791"/>
  <c r="O23" i="791"/>
  <c r="C24" i="791"/>
  <c r="D24" i="791"/>
  <c r="E24" i="791"/>
  <c r="F24" i="791"/>
  <c r="G24" i="791"/>
  <c r="I24" i="791"/>
  <c r="J24" i="791"/>
  <c r="K24" i="791"/>
  <c r="L24" i="791"/>
  <c r="M24" i="791"/>
  <c r="N24" i="791"/>
  <c r="O24" i="791"/>
  <c r="C25" i="791"/>
  <c r="D25" i="791"/>
  <c r="E25" i="791"/>
  <c r="F25" i="791"/>
  <c r="G25" i="791"/>
  <c r="I25" i="791"/>
  <c r="J25" i="791"/>
  <c r="K25" i="791"/>
  <c r="L25" i="791"/>
  <c r="M25" i="791"/>
  <c r="N25" i="791"/>
  <c r="O25" i="791"/>
  <c r="C26" i="791"/>
  <c r="D26" i="791"/>
  <c r="E26" i="791"/>
  <c r="F26" i="791"/>
  <c r="G26" i="791"/>
  <c r="I26" i="791"/>
  <c r="J26" i="791"/>
  <c r="K26" i="791"/>
  <c r="L26" i="791"/>
  <c r="M26" i="791"/>
  <c r="N26" i="791"/>
  <c r="O26" i="791"/>
  <c r="C27" i="791"/>
  <c r="D27" i="791"/>
  <c r="E27" i="791"/>
  <c r="F27" i="791"/>
  <c r="G27" i="791"/>
  <c r="I27" i="791"/>
  <c r="J27" i="791"/>
  <c r="K27" i="791"/>
  <c r="L27" i="791"/>
  <c r="M27" i="791"/>
  <c r="N27" i="791"/>
  <c r="O27" i="791"/>
  <c r="C28" i="791"/>
  <c r="D28" i="791"/>
  <c r="E28" i="791"/>
  <c r="F28" i="791"/>
  <c r="G28" i="791"/>
  <c r="I28" i="791"/>
  <c r="J28" i="791"/>
  <c r="K28" i="791"/>
  <c r="L28" i="791"/>
  <c r="M28" i="791"/>
  <c r="N28" i="791"/>
  <c r="O28" i="791"/>
  <c r="C29" i="791"/>
  <c r="D29" i="791"/>
  <c r="E29" i="791"/>
  <c r="F29" i="791"/>
  <c r="G29" i="791"/>
  <c r="I29" i="791"/>
  <c r="J29" i="791"/>
  <c r="K29" i="791"/>
  <c r="L29" i="791"/>
  <c r="M29" i="791"/>
  <c r="N29" i="791"/>
  <c r="O29" i="791"/>
  <c r="O22" i="791"/>
  <c r="N22" i="791"/>
  <c r="M22" i="791"/>
  <c r="L22" i="791"/>
  <c r="K22" i="791"/>
  <c r="J22" i="791"/>
  <c r="I22" i="791"/>
  <c r="G22" i="791"/>
  <c r="F22" i="791"/>
  <c r="E22" i="791"/>
  <c r="D22" i="791"/>
  <c r="C22" i="791"/>
  <c r="J45" i="791" l="1"/>
  <c r="C18" i="791"/>
  <c r="D18" i="791"/>
  <c r="E18" i="791"/>
  <c r="F18" i="791"/>
  <c r="G18" i="791"/>
  <c r="I18" i="791"/>
  <c r="J18" i="791"/>
  <c r="K18" i="791"/>
  <c r="L18" i="791"/>
  <c r="M18" i="791"/>
  <c r="N18" i="791"/>
  <c r="O18" i="791"/>
  <c r="C19" i="791"/>
  <c r="D19" i="791"/>
  <c r="E19" i="791"/>
  <c r="F19" i="791"/>
  <c r="G19" i="791"/>
  <c r="I19" i="791"/>
  <c r="J19" i="791"/>
  <c r="K19" i="791"/>
  <c r="L19" i="791"/>
  <c r="M19" i="791"/>
  <c r="N19" i="791"/>
  <c r="O19" i="791"/>
  <c r="F86" i="791"/>
  <c r="AX74" i="791"/>
  <c r="AW74" i="791"/>
  <c r="AV74" i="791"/>
  <c r="AU74" i="791"/>
  <c r="AT74" i="791"/>
  <c r="AS74" i="791"/>
  <c r="AR74" i="791"/>
  <c r="AQ74" i="791"/>
  <c r="AP74" i="791"/>
  <c r="AO74" i="791"/>
  <c r="AN74" i="791"/>
  <c r="AM74" i="791"/>
  <c r="AL74" i="791"/>
  <c r="AK74" i="791"/>
  <c r="AJ74" i="791"/>
  <c r="AI74" i="791"/>
  <c r="AH74" i="791"/>
  <c r="AG74" i="791"/>
  <c r="AF74" i="791"/>
  <c r="AE74" i="791"/>
  <c r="AD74" i="791"/>
  <c r="AC74" i="791"/>
  <c r="AB74" i="791"/>
  <c r="B74" i="791"/>
  <c r="K69" i="791"/>
  <c r="D67" i="791"/>
  <c r="M54" i="791"/>
  <c r="M53" i="791"/>
  <c r="M52" i="791"/>
  <c r="M51" i="791"/>
  <c r="L51" i="791"/>
  <c r="K51" i="791"/>
  <c r="M50" i="791"/>
  <c r="M47" i="791"/>
  <c r="L47" i="791"/>
  <c r="K47" i="791"/>
  <c r="M46" i="791"/>
  <c r="L46" i="791"/>
  <c r="K46" i="791"/>
  <c r="B45" i="791"/>
  <c r="Z44" i="791"/>
  <c r="Y44" i="791"/>
  <c r="X44" i="791"/>
  <c r="W44" i="791"/>
  <c r="V44" i="791"/>
  <c r="U44" i="791"/>
  <c r="T44" i="791"/>
  <c r="S44" i="791"/>
  <c r="R44" i="791"/>
  <c r="Z43" i="791"/>
  <c r="Y43" i="791"/>
  <c r="X43" i="791"/>
  <c r="W43" i="791"/>
  <c r="V43" i="791"/>
  <c r="U43" i="791"/>
  <c r="T43" i="791"/>
  <c r="S43" i="791"/>
  <c r="R43" i="791"/>
  <c r="Z42" i="791"/>
  <c r="Y42" i="791"/>
  <c r="X42" i="791"/>
  <c r="W42" i="791"/>
  <c r="V42" i="791"/>
  <c r="U42" i="791"/>
  <c r="T42" i="791"/>
  <c r="S42" i="791"/>
  <c r="R42" i="791"/>
  <c r="Z41" i="791"/>
  <c r="Y41" i="791"/>
  <c r="X41" i="791"/>
  <c r="W41" i="791"/>
  <c r="V41" i="791"/>
  <c r="U41" i="791"/>
  <c r="T41" i="791"/>
  <c r="S41" i="791"/>
  <c r="R41" i="791"/>
  <c r="Z40" i="791"/>
  <c r="Y40" i="791"/>
  <c r="X40" i="791"/>
  <c r="W40" i="791"/>
  <c r="V40" i="791"/>
  <c r="U40" i="791"/>
  <c r="T40" i="791"/>
  <c r="S40" i="791"/>
  <c r="R40" i="791"/>
  <c r="Z39" i="791"/>
  <c r="Y39" i="791"/>
  <c r="X39" i="791"/>
  <c r="W39" i="791"/>
  <c r="V39" i="791"/>
  <c r="U39" i="791"/>
  <c r="T39" i="791"/>
  <c r="S39" i="791"/>
  <c r="R39" i="791"/>
  <c r="Z38" i="791"/>
  <c r="Y38" i="791"/>
  <c r="X38" i="791"/>
  <c r="W38" i="791"/>
  <c r="V38" i="791"/>
  <c r="U38" i="791"/>
  <c r="T38" i="791"/>
  <c r="S38" i="791"/>
  <c r="R38" i="791"/>
  <c r="Z37" i="791"/>
  <c r="Y37" i="791"/>
  <c r="X37" i="791"/>
  <c r="W37" i="791"/>
  <c r="V37" i="791"/>
  <c r="U37" i="791"/>
  <c r="T37" i="791"/>
  <c r="S37" i="791"/>
  <c r="R37" i="791"/>
  <c r="Z36" i="791"/>
  <c r="Y36" i="791"/>
  <c r="X36" i="791"/>
  <c r="W36" i="791"/>
  <c r="V36" i="791"/>
  <c r="U36" i="791"/>
  <c r="T36" i="791"/>
  <c r="S36" i="791"/>
  <c r="R36" i="791"/>
  <c r="Z35" i="791"/>
  <c r="Y35" i="791"/>
  <c r="X35" i="791"/>
  <c r="W35" i="791"/>
  <c r="V35" i="791"/>
  <c r="U35" i="791"/>
  <c r="T35" i="791"/>
  <c r="S35" i="791"/>
  <c r="R35" i="791"/>
  <c r="Z34" i="791"/>
  <c r="Y34" i="791"/>
  <c r="X34" i="791"/>
  <c r="W34" i="791"/>
  <c r="V34" i="791"/>
  <c r="U34" i="791"/>
  <c r="T34" i="791"/>
  <c r="S34" i="791"/>
  <c r="R34" i="791"/>
  <c r="Z33" i="791"/>
  <c r="Y33" i="791"/>
  <c r="X33" i="791"/>
  <c r="W33" i="791"/>
  <c r="V33" i="791"/>
  <c r="U33" i="791"/>
  <c r="T33" i="791"/>
  <c r="S33" i="791"/>
  <c r="R33" i="791"/>
  <c r="Z32" i="791"/>
  <c r="Y32" i="791"/>
  <c r="X32" i="791"/>
  <c r="W32" i="791"/>
  <c r="V32" i="791"/>
  <c r="U32" i="791"/>
  <c r="T32" i="791"/>
  <c r="S32" i="791"/>
  <c r="R32" i="791"/>
  <c r="Z31" i="791"/>
  <c r="Y31" i="791"/>
  <c r="X31" i="791"/>
  <c r="W31" i="791"/>
  <c r="V31" i="791"/>
  <c r="U31" i="791"/>
  <c r="T31" i="791"/>
  <c r="S31" i="791"/>
  <c r="R31" i="791"/>
  <c r="Z30" i="791"/>
  <c r="Y30" i="791"/>
  <c r="X30" i="791"/>
  <c r="W30" i="791"/>
  <c r="V30" i="791"/>
  <c r="U30" i="791"/>
  <c r="T30" i="791"/>
  <c r="S30" i="791"/>
  <c r="R30" i="791"/>
  <c r="Z29" i="791"/>
  <c r="Y29" i="791"/>
  <c r="X29" i="791"/>
  <c r="W29" i="791"/>
  <c r="V29" i="791"/>
  <c r="U29" i="791"/>
  <c r="T29" i="791"/>
  <c r="S29" i="791"/>
  <c r="R29" i="791"/>
  <c r="Z28" i="791"/>
  <c r="Y28" i="791"/>
  <c r="X28" i="791"/>
  <c r="W28" i="791"/>
  <c r="V28" i="791"/>
  <c r="U28" i="791"/>
  <c r="T28" i="791"/>
  <c r="S28" i="791"/>
  <c r="R28" i="791"/>
  <c r="Z27" i="791"/>
  <c r="Y27" i="791"/>
  <c r="X27" i="791"/>
  <c r="W27" i="791"/>
  <c r="V27" i="791"/>
  <c r="U27" i="791"/>
  <c r="T27" i="791"/>
  <c r="S27" i="791"/>
  <c r="R27" i="791"/>
  <c r="Z26" i="791"/>
  <c r="Y26" i="791"/>
  <c r="X26" i="791"/>
  <c r="W26" i="791"/>
  <c r="V26" i="791"/>
  <c r="U26" i="791"/>
  <c r="T26" i="791"/>
  <c r="S26" i="791"/>
  <c r="R26" i="791"/>
  <c r="Z25" i="791"/>
  <c r="Y25" i="791"/>
  <c r="X25" i="791"/>
  <c r="W25" i="791"/>
  <c r="V25" i="791"/>
  <c r="U25" i="791"/>
  <c r="T25" i="791"/>
  <c r="S25" i="791"/>
  <c r="R25" i="791"/>
  <c r="Z24" i="791"/>
  <c r="Y24" i="791"/>
  <c r="X24" i="791"/>
  <c r="W24" i="791"/>
  <c r="V24" i="791"/>
  <c r="U24" i="791"/>
  <c r="T24" i="791"/>
  <c r="S24" i="791"/>
  <c r="R24" i="791"/>
  <c r="Z23" i="791"/>
  <c r="Y23" i="791"/>
  <c r="X23" i="791"/>
  <c r="W23" i="791"/>
  <c r="V23" i="791"/>
  <c r="U23" i="791"/>
  <c r="T23" i="791"/>
  <c r="S23" i="791"/>
  <c r="R23" i="791"/>
  <c r="Z22" i="791"/>
  <c r="Y22" i="791"/>
  <c r="X22" i="791"/>
  <c r="W22" i="791"/>
  <c r="V22" i="791"/>
  <c r="U22" i="791"/>
  <c r="T22" i="791"/>
  <c r="S22" i="791"/>
  <c r="R22" i="791"/>
  <c r="Z21" i="791"/>
  <c r="Y21" i="791"/>
  <c r="X21" i="791"/>
  <c r="W21" i="791"/>
  <c r="V21" i="791"/>
  <c r="U21" i="791"/>
  <c r="T21" i="791"/>
  <c r="S21" i="791"/>
  <c r="R21" i="791"/>
  <c r="Z20" i="791"/>
  <c r="Y20" i="791"/>
  <c r="X20" i="791"/>
  <c r="W20" i="791"/>
  <c r="V20" i="791"/>
  <c r="U20" i="791"/>
  <c r="T20" i="791"/>
  <c r="S20" i="791"/>
  <c r="R20" i="791"/>
  <c r="Z19" i="791"/>
  <c r="Y19" i="791"/>
  <c r="X19" i="791"/>
  <c r="W19" i="791"/>
  <c r="V19" i="791"/>
  <c r="U19" i="791"/>
  <c r="T19" i="791"/>
  <c r="S19" i="791"/>
  <c r="R19" i="791"/>
  <c r="Z18" i="791"/>
  <c r="Y18" i="791"/>
  <c r="X18" i="791"/>
  <c r="W18" i="791"/>
  <c r="V18" i="791"/>
  <c r="U18" i="791"/>
  <c r="T18" i="791"/>
  <c r="S18" i="791"/>
  <c r="R18" i="791"/>
  <c r="Z17" i="791"/>
  <c r="Y17" i="791"/>
  <c r="X17" i="791"/>
  <c r="W17" i="791"/>
  <c r="V17" i="791"/>
  <c r="U17" i="791"/>
  <c r="T17" i="791"/>
  <c r="S17" i="791"/>
  <c r="R17" i="791"/>
  <c r="Z16" i="791"/>
  <c r="Y16" i="791"/>
  <c r="X16" i="791"/>
  <c r="W16" i="791"/>
  <c r="V16" i="791"/>
  <c r="U16" i="791"/>
  <c r="T16" i="791"/>
  <c r="S16" i="791"/>
  <c r="R16" i="791"/>
  <c r="Z15" i="791"/>
  <c r="Y15" i="791"/>
  <c r="X15" i="791"/>
  <c r="W15" i="791"/>
  <c r="V15" i="791"/>
  <c r="U15" i="791"/>
  <c r="T15" i="791"/>
  <c r="S15" i="791"/>
  <c r="R15" i="791"/>
  <c r="Z14" i="791"/>
  <c r="Y14" i="791"/>
  <c r="X14" i="791"/>
  <c r="W14" i="791"/>
  <c r="V14" i="791"/>
  <c r="U14" i="791"/>
  <c r="T14" i="791"/>
  <c r="S14" i="791"/>
  <c r="R14" i="791"/>
  <c r="Z13" i="791"/>
  <c r="Y13" i="791"/>
  <c r="X13" i="791"/>
  <c r="W13" i="791"/>
  <c r="V13" i="791"/>
  <c r="U13" i="791"/>
  <c r="T13" i="791"/>
  <c r="S13" i="791"/>
  <c r="R13" i="791"/>
  <c r="Z12" i="791"/>
  <c r="Y12" i="791"/>
  <c r="X12" i="791"/>
  <c r="W12" i="791"/>
  <c r="V12" i="791"/>
  <c r="U12" i="791"/>
  <c r="T12" i="791"/>
  <c r="S12" i="791"/>
  <c r="R12" i="791"/>
  <c r="Z11" i="791"/>
  <c r="Y11" i="791"/>
  <c r="X11" i="791"/>
  <c r="W11" i="791"/>
  <c r="V11" i="791"/>
  <c r="U11" i="791"/>
  <c r="T11" i="791"/>
  <c r="S11" i="791"/>
  <c r="R11" i="791"/>
  <c r="Z10" i="791"/>
  <c r="Y10" i="791"/>
  <c r="X10" i="791"/>
  <c r="W10" i="791"/>
  <c r="V10" i="791"/>
  <c r="U10" i="791"/>
  <c r="T10" i="791"/>
  <c r="S10" i="791"/>
  <c r="R10" i="791"/>
  <c r="C53" i="790"/>
  <c r="C54" i="790"/>
  <c r="C55" i="790"/>
  <c r="C56" i="790"/>
  <c r="K55" i="791" l="1"/>
  <c r="L55" i="791" s="1"/>
  <c r="M55" i="791" s="1"/>
  <c r="J48" i="791"/>
  <c r="M60" i="791"/>
  <c r="M48" i="790"/>
  <c r="L48" i="790"/>
  <c r="K48" i="790"/>
  <c r="K74" i="790" l="1"/>
  <c r="K81" i="790" s="1"/>
  <c r="G74" i="790"/>
  <c r="C49" i="790"/>
  <c r="C50" i="790"/>
  <c r="C51" i="790"/>
  <c r="C52" i="790"/>
  <c r="C45" i="790"/>
  <c r="C46" i="790"/>
  <c r="C47" i="790"/>
  <c r="C48" i="790"/>
  <c r="I13" i="790" l="1"/>
  <c r="J13" i="790"/>
  <c r="J12" i="790"/>
  <c r="J17" i="790"/>
  <c r="J14" i="790"/>
  <c r="J15" i="790"/>
  <c r="I16" i="790"/>
  <c r="J16" i="790"/>
  <c r="C13" i="790"/>
  <c r="D13" i="790"/>
  <c r="E13" i="790"/>
  <c r="F13" i="790"/>
  <c r="G13" i="790"/>
  <c r="K13" i="790"/>
  <c r="L13" i="790"/>
  <c r="M13" i="790"/>
  <c r="N13" i="790"/>
  <c r="O13" i="790"/>
  <c r="C14" i="790"/>
  <c r="D14" i="790"/>
  <c r="E14" i="790"/>
  <c r="F14" i="790"/>
  <c r="G14" i="790"/>
  <c r="K14" i="790"/>
  <c r="L14" i="790"/>
  <c r="M14" i="790"/>
  <c r="N14" i="790"/>
  <c r="O14" i="790"/>
  <c r="C15" i="790"/>
  <c r="D15" i="790"/>
  <c r="E15" i="790"/>
  <c r="F15" i="790"/>
  <c r="G15" i="790"/>
  <c r="K15" i="790"/>
  <c r="L15" i="790"/>
  <c r="M15" i="790"/>
  <c r="N15" i="790"/>
  <c r="O15" i="790"/>
  <c r="C16" i="790"/>
  <c r="D16" i="790"/>
  <c r="E16" i="790"/>
  <c r="F16" i="790"/>
  <c r="G16" i="790"/>
  <c r="K16" i="790"/>
  <c r="L16" i="790"/>
  <c r="M16" i="790"/>
  <c r="N16" i="790"/>
  <c r="O16" i="790"/>
  <c r="C17" i="790"/>
  <c r="D17" i="790"/>
  <c r="E17" i="790"/>
  <c r="F17" i="790"/>
  <c r="G17" i="790"/>
  <c r="K17" i="790"/>
  <c r="L17" i="790"/>
  <c r="M17" i="790"/>
  <c r="N17" i="790"/>
  <c r="O17" i="790"/>
  <c r="O12" i="790"/>
  <c r="N12" i="790"/>
  <c r="M12" i="790"/>
  <c r="L12" i="790"/>
  <c r="K12" i="790"/>
  <c r="G12" i="790"/>
  <c r="F12" i="790"/>
  <c r="E12" i="790"/>
  <c r="D12" i="790"/>
  <c r="C12" i="790"/>
  <c r="I17" i="790" l="1"/>
  <c r="I12" i="790"/>
  <c r="I15" i="790"/>
  <c r="I14" i="790"/>
  <c r="I10" i="790"/>
  <c r="J46" i="790" s="1"/>
  <c r="K46" i="790"/>
  <c r="O10" i="790"/>
  <c r="N10" i="790"/>
  <c r="M10" i="790"/>
  <c r="L10" i="790"/>
  <c r="J10" i="790"/>
  <c r="G10" i="790"/>
  <c r="F10" i="790"/>
  <c r="E10" i="790"/>
  <c r="D10" i="790"/>
  <c r="C10" i="790"/>
  <c r="F86" i="790"/>
  <c r="AX74" i="790"/>
  <c r="AW74" i="790"/>
  <c r="AV74" i="790"/>
  <c r="AU74" i="790"/>
  <c r="AT74" i="790"/>
  <c r="AS74" i="790"/>
  <c r="AR74" i="790"/>
  <c r="AQ74" i="790"/>
  <c r="AP74" i="790"/>
  <c r="AO74" i="790"/>
  <c r="AN74" i="790"/>
  <c r="AM74" i="790"/>
  <c r="AL74" i="790"/>
  <c r="AK74" i="790"/>
  <c r="AJ74" i="790"/>
  <c r="AI74" i="790"/>
  <c r="AH74" i="790"/>
  <c r="AG74" i="790"/>
  <c r="AF74" i="790"/>
  <c r="AE74" i="790"/>
  <c r="AD74" i="790"/>
  <c r="AC74" i="790"/>
  <c r="AB74" i="790"/>
  <c r="B74" i="790"/>
  <c r="K69" i="790"/>
  <c r="D67" i="790"/>
  <c r="M54" i="790"/>
  <c r="M53" i="790"/>
  <c r="M52" i="790"/>
  <c r="M51" i="790"/>
  <c r="L51" i="790"/>
  <c r="K51" i="790"/>
  <c r="M50" i="790"/>
  <c r="M47" i="790"/>
  <c r="L47" i="790"/>
  <c r="K47" i="790"/>
  <c r="M45" i="790"/>
  <c r="L45" i="790"/>
  <c r="K45" i="790"/>
  <c r="B45" i="790"/>
  <c r="Z44" i="790"/>
  <c r="Y44" i="790"/>
  <c r="X44" i="790"/>
  <c r="W44" i="790"/>
  <c r="V44" i="790"/>
  <c r="U44" i="790"/>
  <c r="T44" i="790"/>
  <c r="S44" i="790"/>
  <c r="R44" i="790"/>
  <c r="Z43" i="790"/>
  <c r="Y43" i="790"/>
  <c r="X43" i="790"/>
  <c r="W43" i="790"/>
  <c r="V43" i="790"/>
  <c r="U43" i="790"/>
  <c r="T43" i="790"/>
  <c r="S43" i="790"/>
  <c r="R43" i="790"/>
  <c r="Z42" i="790"/>
  <c r="Y42" i="790"/>
  <c r="X42" i="790"/>
  <c r="W42" i="790"/>
  <c r="V42" i="790"/>
  <c r="U42" i="790"/>
  <c r="T42" i="790"/>
  <c r="S42" i="790"/>
  <c r="R42" i="790"/>
  <c r="Z41" i="790"/>
  <c r="Y41" i="790"/>
  <c r="X41" i="790"/>
  <c r="W41" i="790"/>
  <c r="V41" i="790"/>
  <c r="U41" i="790"/>
  <c r="T41" i="790"/>
  <c r="S41" i="790"/>
  <c r="R41" i="790"/>
  <c r="Z40" i="790"/>
  <c r="Y40" i="790"/>
  <c r="X40" i="790"/>
  <c r="W40" i="790"/>
  <c r="V40" i="790"/>
  <c r="U40" i="790"/>
  <c r="T40" i="790"/>
  <c r="S40" i="790"/>
  <c r="R40" i="790"/>
  <c r="Z39" i="790"/>
  <c r="Y39" i="790"/>
  <c r="X39" i="790"/>
  <c r="W39" i="790"/>
  <c r="V39" i="790"/>
  <c r="U39" i="790"/>
  <c r="T39" i="790"/>
  <c r="S39" i="790"/>
  <c r="R39" i="790"/>
  <c r="Z38" i="790"/>
  <c r="Y38" i="790"/>
  <c r="X38" i="790"/>
  <c r="W38" i="790"/>
  <c r="V38" i="790"/>
  <c r="U38" i="790"/>
  <c r="T38" i="790"/>
  <c r="S38" i="790"/>
  <c r="R38" i="790"/>
  <c r="Z37" i="790"/>
  <c r="Y37" i="790"/>
  <c r="X37" i="790"/>
  <c r="W37" i="790"/>
  <c r="V37" i="790"/>
  <c r="U37" i="790"/>
  <c r="T37" i="790"/>
  <c r="S37" i="790"/>
  <c r="R37" i="790"/>
  <c r="Z36" i="790"/>
  <c r="Y36" i="790"/>
  <c r="X36" i="790"/>
  <c r="W36" i="790"/>
  <c r="V36" i="790"/>
  <c r="U36" i="790"/>
  <c r="T36" i="790"/>
  <c r="S36" i="790"/>
  <c r="R36" i="790"/>
  <c r="Z35" i="790"/>
  <c r="Y35" i="790"/>
  <c r="X35" i="790"/>
  <c r="W35" i="790"/>
  <c r="V35" i="790"/>
  <c r="U35" i="790"/>
  <c r="T35" i="790"/>
  <c r="S35" i="790"/>
  <c r="R35" i="790"/>
  <c r="Z34" i="790"/>
  <c r="Y34" i="790"/>
  <c r="X34" i="790"/>
  <c r="W34" i="790"/>
  <c r="V34" i="790"/>
  <c r="U34" i="790"/>
  <c r="T34" i="790"/>
  <c r="S34" i="790"/>
  <c r="R34" i="790"/>
  <c r="Z33" i="790"/>
  <c r="Y33" i="790"/>
  <c r="X33" i="790"/>
  <c r="W33" i="790"/>
  <c r="V33" i="790"/>
  <c r="U33" i="790"/>
  <c r="T33" i="790"/>
  <c r="S33" i="790"/>
  <c r="R33" i="790"/>
  <c r="Z32" i="790"/>
  <c r="Y32" i="790"/>
  <c r="X32" i="790"/>
  <c r="W32" i="790"/>
  <c r="V32" i="790"/>
  <c r="U32" i="790"/>
  <c r="T32" i="790"/>
  <c r="S32" i="790"/>
  <c r="R32" i="790"/>
  <c r="Z31" i="790"/>
  <c r="Y31" i="790"/>
  <c r="X31" i="790"/>
  <c r="W31" i="790"/>
  <c r="V31" i="790"/>
  <c r="U31" i="790"/>
  <c r="T31" i="790"/>
  <c r="S31" i="790"/>
  <c r="R31" i="790"/>
  <c r="Z30" i="790"/>
  <c r="Y30" i="790"/>
  <c r="X30" i="790"/>
  <c r="W30" i="790"/>
  <c r="V30" i="790"/>
  <c r="U30" i="790"/>
  <c r="T30" i="790"/>
  <c r="S30" i="790"/>
  <c r="R30" i="790"/>
  <c r="Z29" i="790"/>
  <c r="Y29" i="790"/>
  <c r="X29" i="790"/>
  <c r="W29" i="790"/>
  <c r="V29" i="790"/>
  <c r="U29" i="790"/>
  <c r="T29" i="790"/>
  <c r="S29" i="790"/>
  <c r="R29" i="790"/>
  <c r="Z28" i="790"/>
  <c r="Y28" i="790"/>
  <c r="X28" i="790"/>
  <c r="W28" i="790"/>
  <c r="V28" i="790"/>
  <c r="U28" i="790"/>
  <c r="T28" i="790"/>
  <c r="S28" i="790"/>
  <c r="R28" i="790"/>
  <c r="Z27" i="790"/>
  <c r="Y27" i="790"/>
  <c r="X27" i="790"/>
  <c r="W27" i="790"/>
  <c r="V27" i="790"/>
  <c r="U27" i="790"/>
  <c r="T27" i="790"/>
  <c r="S27" i="790"/>
  <c r="R27" i="790"/>
  <c r="Z26" i="790"/>
  <c r="Y26" i="790"/>
  <c r="X26" i="790"/>
  <c r="W26" i="790"/>
  <c r="V26" i="790"/>
  <c r="U26" i="790"/>
  <c r="T26" i="790"/>
  <c r="S26" i="790"/>
  <c r="R26" i="790"/>
  <c r="Z25" i="790"/>
  <c r="Y25" i="790"/>
  <c r="X25" i="790"/>
  <c r="W25" i="790"/>
  <c r="V25" i="790"/>
  <c r="U25" i="790"/>
  <c r="T25" i="790"/>
  <c r="S25" i="790"/>
  <c r="R25" i="790"/>
  <c r="Z24" i="790"/>
  <c r="Y24" i="790"/>
  <c r="X24" i="790"/>
  <c r="W24" i="790"/>
  <c r="V24" i="790"/>
  <c r="U24" i="790"/>
  <c r="T24" i="790"/>
  <c r="S24" i="790"/>
  <c r="R24" i="790"/>
  <c r="Z23" i="790"/>
  <c r="Y23" i="790"/>
  <c r="X23" i="790"/>
  <c r="W23" i="790"/>
  <c r="V23" i="790"/>
  <c r="U23" i="790"/>
  <c r="T23" i="790"/>
  <c r="S23" i="790"/>
  <c r="R23" i="790"/>
  <c r="Z22" i="790"/>
  <c r="Y22" i="790"/>
  <c r="X22" i="790"/>
  <c r="W22" i="790"/>
  <c r="V22" i="790"/>
  <c r="U22" i="790"/>
  <c r="T22" i="790"/>
  <c r="S22" i="790"/>
  <c r="R22" i="790"/>
  <c r="Z21" i="790"/>
  <c r="Y21" i="790"/>
  <c r="X21" i="790"/>
  <c r="W21" i="790"/>
  <c r="V21" i="790"/>
  <c r="U21" i="790"/>
  <c r="T21" i="790"/>
  <c r="S21" i="790"/>
  <c r="R21" i="790"/>
  <c r="Z20" i="790"/>
  <c r="Y20" i="790"/>
  <c r="X20" i="790"/>
  <c r="W20" i="790"/>
  <c r="V20" i="790"/>
  <c r="U20" i="790"/>
  <c r="T20" i="790"/>
  <c r="S20" i="790"/>
  <c r="R20" i="790"/>
  <c r="Z19" i="790"/>
  <c r="Y19" i="790"/>
  <c r="X19" i="790"/>
  <c r="W19" i="790"/>
  <c r="V19" i="790"/>
  <c r="U19" i="790"/>
  <c r="T19" i="790"/>
  <c r="S19" i="790"/>
  <c r="R19" i="790"/>
  <c r="Z18" i="790"/>
  <c r="Y18" i="790"/>
  <c r="X18" i="790"/>
  <c r="W18" i="790"/>
  <c r="V18" i="790"/>
  <c r="U18" i="790"/>
  <c r="T18" i="790"/>
  <c r="S18" i="790"/>
  <c r="R18" i="790"/>
  <c r="Z17" i="790"/>
  <c r="Y17" i="790"/>
  <c r="X17" i="790"/>
  <c r="W17" i="790"/>
  <c r="V17" i="790"/>
  <c r="U17" i="790"/>
  <c r="T17" i="790"/>
  <c r="S17" i="790"/>
  <c r="R17" i="790"/>
  <c r="Z16" i="790"/>
  <c r="Y16" i="790"/>
  <c r="X16" i="790"/>
  <c r="W16" i="790"/>
  <c r="V16" i="790"/>
  <c r="U16" i="790"/>
  <c r="T16" i="790"/>
  <c r="S16" i="790"/>
  <c r="R16" i="790"/>
  <c r="Z15" i="790"/>
  <c r="Y15" i="790"/>
  <c r="X15" i="790"/>
  <c r="W15" i="790"/>
  <c r="V15" i="790"/>
  <c r="U15" i="790"/>
  <c r="T15" i="790"/>
  <c r="S15" i="790"/>
  <c r="R15" i="790"/>
  <c r="Z14" i="790"/>
  <c r="Y14" i="790"/>
  <c r="X14" i="790"/>
  <c r="W14" i="790"/>
  <c r="V14" i="790"/>
  <c r="U14" i="790"/>
  <c r="T14" i="790"/>
  <c r="S14" i="790"/>
  <c r="R14" i="790"/>
  <c r="Z13" i="790"/>
  <c r="Y13" i="790"/>
  <c r="X13" i="790"/>
  <c r="W13" i="790"/>
  <c r="V13" i="790"/>
  <c r="U13" i="790"/>
  <c r="T13" i="790"/>
  <c r="S13" i="790"/>
  <c r="R13" i="790"/>
  <c r="Z12" i="790"/>
  <c r="Y12" i="790"/>
  <c r="X12" i="790"/>
  <c r="W12" i="790"/>
  <c r="V12" i="790"/>
  <c r="U12" i="790"/>
  <c r="T12" i="790"/>
  <c r="S12" i="790"/>
  <c r="R12" i="790"/>
  <c r="Z11" i="790"/>
  <c r="Y11" i="790"/>
  <c r="X11" i="790"/>
  <c r="W11" i="790"/>
  <c r="V11" i="790"/>
  <c r="U11" i="790"/>
  <c r="T11" i="790"/>
  <c r="S11" i="790"/>
  <c r="R11" i="790"/>
  <c r="Z10" i="790"/>
  <c r="Y10" i="790"/>
  <c r="X10" i="790"/>
  <c r="W10" i="790"/>
  <c r="V10" i="790"/>
  <c r="U10" i="790"/>
  <c r="T10" i="790"/>
  <c r="S10" i="790"/>
  <c r="R10" i="790"/>
  <c r="J48" i="790" l="1"/>
  <c r="L46" i="790"/>
  <c r="M46" i="790"/>
  <c r="L60" i="790"/>
  <c r="M60" i="790" s="1"/>
  <c r="K55" i="790"/>
  <c r="L60" i="789"/>
  <c r="L55" i="790" l="1"/>
  <c r="M55" i="790" s="1"/>
  <c r="M29" i="789"/>
  <c r="M47" i="789"/>
  <c r="I22" i="789"/>
  <c r="J23" i="789"/>
  <c r="N22" i="789"/>
  <c r="N23" i="789"/>
  <c r="N26" i="789"/>
  <c r="J24" i="789"/>
  <c r="K22" i="789"/>
  <c r="K23" i="789"/>
  <c r="K24" i="789"/>
  <c r="K25" i="789"/>
  <c r="K26" i="789"/>
  <c r="J22" i="789"/>
  <c r="I23" i="789"/>
  <c r="K47" i="789"/>
  <c r="O29" i="789"/>
  <c r="L29" i="789"/>
  <c r="G29" i="789"/>
  <c r="F29" i="789"/>
  <c r="E29" i="789"/>
  <c r="D29" i="789"/>
  <c r="C22" i="789"/>
  <c r="D22" i="789"/>
  <c r="E22" i="789"/>
  <c r="F22" i="789"/>
  <c r="G22" i="789"/>
  <c r="L22" i="789"/>
  <c r="M22" i="789"/>
  <c r="O22" i="789"/>
  <c r="C23" i="789"/>
  <c r="D23" i="789"/>
  <c r="E23" i="789"/>
  <c r="F23" i="789"/>
  <c r="G23" i="789"/>
  <c r="L23" i="789"/>
  <c r="M23" i="789"/>
  <c r="O23" i="789"/>
  <c r="C24" i="789"/>
  <c r="D24" i="789"/>
  <c r="E24" i="789"/>
  <c r="F24" i="789"/>
  <c r="G24" i="789"/>
  <c r="L24" i="789"/>
  <c r="M24" i="789"/>
  <c r="N24" i="789"/>
  <c r="O24" i="789"/>
  <c r="C25" i="789"/>
  <c r="D25" i="789"/>
  <c r="E25" i="789"/>
  <c r="F25" i="789"/>
  <c r="G25" i="789"/>
  <c r="L25" i="789"/>
  <c r="M25" i="789"/>
  <c r="N25" i="789"/>
  <c r="O25" i="789"/>
  <c r="C26" i="789"/>
  <c r="D26" i="789"/>
  <c r="E26" i="789"/>
  <c r="F26" i="789"/>
  <c r="G26" i="789"/>
  <c r="L26" i="789"/>
  <c r="M26" i="789"/>
  <c r="O26" i="789"/>
  <c r="C29" i="789"/>
  <c r="N29" i="789"/>
  <c r="C47" i="789"/>
  <c r="C48" i="789"/>
  <c r="C49" i="789"/>
  <c r="C50" i="789"/>
  <c r="C51" i="789"/>
  <c r="C52" i="789"/>
  <c r="C45" i="789"/>
  <c r="C46" i="789"/>
  <c r="B45" i="789"/>
  <c r="G74" i="789"/>
  <c r="K74" i="789"/>
  <c r="K81" i="789" s="1"/>
  <c r="B74" i="789"/>
  <c r="F86" i="789"/>
  <c r="L76" i="789"/>
  <c r="AX74" i="789"/>
  <c r="AW74" i="789"/>
  <c r="AV74" i="789"/>
  <c r="AU74" i="789"/>
  <c r="AT74" i="789"/>
  <c r="AS74" i="789"/>
  <c r="AR74" i="789"/>
  <c r="AQ74" i="789"/>
  <c r="AP74" i="789"/>
  <c r="AO74" i="789"/>
  <c r="AN74" i="789"/>
  <c r="AM74" i="789"/>
  <c r="AL74" i="789"/>
  <c r="AK74" i="789"/>
  <c r="AJ74" i="789"/>
  <c r="AI74" i="789"/>
  <c r="AH74" i="789"/>
  <c r="AG74" i="789"/>
  <c r="AF74" i="789"/>
  <c r="AE74" i="789"/>
  <c r="AD74" i="789"/>
  <c r="AC74" i="789"/>
  <c r="AB74" i="789"/>
  <c r="K69" i="789"/>
  <c r="M60" i="789" s="1"/>
  <c r="D67" i="789"/>
  <c r="M54" i="789"/>
  <c r="M53" i="789"/>
  <c r="M52" i="789"/>
  <c r="M51" i="789"/>
  <c r="L51" i="789"/>
  <c r="K51" i="789"/>
  <c r="M50" i="789"/>
  <c r="M48" i="789"/>
  <c r="M45" i="789"/>
  <c r="L45" i="789"/>
  <c r="K45" i="789"/>
  <c r="Z44" i="789"/>
  <c r="Y44" i="789"/>
  <c r="X44" i="789"/>
  <c r="W44" i="789"/>
  <c r="V44" i="789"/>
  <c r="U44" i="789"/>
  <c r="T44" i="789"/>
  <c r="S44" i="789"/>
  <c r="R44" i="789"/>
  <c r="Z43" i="789"/>
  <c r="Y43" i="789"/>
  <c r="X43" i="789"/>
  <c r="W43" i="789"/>
  <c r="V43" i="789"/>
  <c r="U43" i="789"/>
  <c r="T43" i="789"/>
  <c r="S43" i="789"/>
  <c r="R43" i="789"/>
  <c r="Z42" i="789"/>
  <c r="Y42" i="789"/>
  <c r="X42" i="789"/>
  <c r="W42" i="789"/>
  <c r="V42" i="789"/>
  <c r="U42" i="789"/>
  <c r="T42" i="789"/>
  <c r="S42" i="789"/>
  <c r="R42" i="789"/>
  <c r="Z41" i="789"/>
  <c r="Y41" i="789"/>
  <c r="X41" i="789"/>
  <c r="W41" i="789"/>
  <c r="V41" i="789"/>
  <c r="U41" i="789"/>
  <c r="T41" i="789"/>
  <c r="S41" i="789"/>
  <c r="R41" i="789"/>
  <c r="Z40" i="789"/>
  <c r="Y40" i="789"/>
  <c r="X40" i="789"/>
  <c r="W40" i="789"/>
  <c r="V40" i="789"/>
  <c r="U40" i="789"/>
  <c r="T40" i="789"/>
  <c r="S40" i="789"/>
  <c r="R40" i="789"/>
  <c r="Z39" i="789"/>
  <c r="Y39" i="789"/>
  <c r="X39" i="789"/>
  <c r="W39" i="789"/>
  <c r="V39" i="789"/>
  <c r="U39" i="789"/>
  <c r="T39" i="789"/>
  <c r="S39" i="789"/>
  <c r="R39" i="789"/>
  <c r="Z38" i="789"/>
  <c r="Y38" i="789"/>
  <c r="X38" i="789"/>
  <c r="W38" i="789"/>
  <c r="V38" i="789"/>
  <c r="U38" i="789"/>
  <c r="T38" i="789"/>
  <c r="S38" i="789"/>
  <c r="R38" i="789"/>
  <c r="Z37" i="789"/>
  <c r="Y37" i="789"/>
  <c r="X37" i="789"/>
  <c r="W37" i="789"/>
  <c r="V37" i="789"/>
  <c r="U37" i="789"/>
  <c r="T37" i="789"/>
  <c r="S37" i="789"/>
  <c r="R37" i="789"/>
  <c r="Z36" i="789"/>
  <c r="Y36" i="789"/>
  <c r="X36" i="789"/>
  <c r="W36" i="789"/>
  <c r="V36" i="789"/>
  <c r="U36" i="789"/>
  <c r="T36" i="789"/>
  <c r="S36" i="789"/>
  <c r="R36" i="789"/>
  <c r="Z35" i="789"/>
  <c r="Y35" i="789"/>
  <c r="X35" i="789"/>
  <c r="W35" i="789"/>
  <c r="V35" i="789"/>
  <c r="U35" i="789"/>
  <c r="T35" i="789"/>
  <c r="S35" i="789"/>
  <c r="R35" i="789"/>
  <c r="Z34" i="789"/>
  <c r="Y34" i="789"/>
  <c r="X34" i="789"/>
  <c r="W34" i="789"/>
  <c r="V34" i="789"/>
  <c r="U34" i="789"/>
  <c r="T34" i="789"/>
  <c r="S34" i="789"/>
  <c r="R34" i="789"/>
  <c r="Z33" i="789"/>
  <c r="Y33" i="789"/>
  <c r="X33" i="789"/>
  <c r="W33" i="789"/>
  <c r="V33" i="789"/>
  <c r="U33" i="789"/>
  <c r="T33" i="789"/>
  <c r="S33" i="789"/>
  <c r="R33" i="789"/>
  <c r="Z32" i="789"/>
  <c r="Y32" i="789"/>
  <c r="X32" i="789"/>
  <c r="W32" i="789"/>
  <c r="V32" i="789"/>
  <c r="U32" i="789"/>
  <c r="T32" i="789"/>
  <c r="S32" i="789"/>
  <c r="R32" i="789"/>
  <c r="Z31" i="789"/>
  <c r="Y31" i="789"/>
  <c r="X31" i="789"/>
  <c r="W31" i="789"/>
  <c r="V31" i="789"/>
  <c r="U31" i="789"/>
  <c r="T31" i="789"/>
  <c r="S31" i="789"/>
  <c r="R31" i="789"/>
  <c r="Z30" i="789"/>
  <c r="Y30" i="789"/>
  <c r="X30" i="789"/>
  <c r="W30" i="789"/>
  <c r="V30" i="789"/>
  <c r="U30" i="789"/>
  <c r="T30" i="789"/>
  <c r="S30" i="789"/>
  <c r="R30" i="789"/>
  <c r="Z29" i="789"/>
  <c r="Y29" i="789"/>
  <c r="X29" i="789"/>
  <c r="W29" i="789"/>
  <c r="V29" i="789"/>
  <c r="U29" i="789"/>
  <c r="T29" i="789"/>
  <c r="S29" i="789"/>
  <c r="R29" i="789"/>
  <c r="Z28" i="789"/>
  <c r="Y28" i="789"/>
  <c r="X28" i="789"/>
  <c r="W28" i="789"/>
  <c r="V28" i="789"/>
  <c r="U28" i="789"/>
  <c r="T28" i="789"/>
  <c r="S28" i="789"/>
  <c r="R28" i="789"/>
  <c r="Z27" i="789"/>
  <c r="Y27" i="789"/>
  <c r="X27" i="789"/>
  <c r="W27" i="789"/>
  <c r="V27" i="789"/>
  <c r="U27" i="789"/>
  <c r="T27" i="789"/>
  <c r="S27" i="789"/>
  <c r="R27" i="789"/>
  <c r="Z26" i="789"/>
  <c r="Y26" i="789"/>
  <c r="X26" i="789"/>
  <c r="W26" i="789"/>
  <c r="V26" i="789"/>
  <c r="U26" i="789"/>
  <c r="T26" i="789"/>
  <c r="S26" i="789"/>
  <c r="R26" i="789"/>
  <c r="Z25" i="789"/>
  <c r="Y25" i="789"/>
  <c r="X25" i="789"/>
  <c r="W25" i="789"/>
  <c r="V25" i="789"/>
  <c r="U25" i="789"/>
  <c r="T25" i="789"/>
  <c r="S25" i="789"/>
  <c r="R25" i="789"/>
  <c r="Z24" i="789"/>
  <c r="Y24" i="789"/>
  <c r="X24" i="789"/>
  <c r="W24" i="789"/>
  <c r="V24" i="789"/>
  <c r="U24" i="789"/>
  <c r="T24" i="789"/>
  <c r="S24" i="789"/>
  <c r="R24" i="789"/>
  <c r="Z23" i="789"/>
  <c r="Y23" i="789"/>
  <c r="X23" i="789"/>
  <c r="W23" i="789"/>
  <c r="V23" i="789"/>
  <c r="U23" i="789"/>
  <c r="T23" i="789"/>
  <c r="S23" i="789"/>
  <c r="R23" i="789"/>
  <c r="Z22" i="789"/>
  <c r="Y22" i="789"/>
  <c r="X22" i="789"/>
  <c r="W22" i="789"/>
  <c r="V22" i="789"/>
  <c r="U22" i="789"/>
  <c r="T22" i="789"/>
  <c r="S22" i="789"/>
  <c r="R22" i="789"/>
  <c r="Z21" i="789"/>
  <c r="Y21" i="789"/>
  <c r="X21" i="789"/>
  <c r="W21" i="789"/>
  <c r="V21" i="789"/>
  <c r="U21" i="789"/>
  <c r="T21" i="789"/>
  <c r="S21" i="789"/>
  <c r="R21" i="789"/>
  <c r="Z20" i="789"/>
  <c r="Y20" i="789"/>
  <c r="X20" i="789"/>
  <c r="W20" i="789"/>
  <c r="V20" i="789"/>
  <c r="U20" i="789"/>
  <c r="T20" i="789"/>
  <c r="S20" i="789"/>
  <c r="R20" i="789"/>
  <c r="Z19" i="789"/>
  <c r="Y19" i="789"/>
  <c r="X19" i="789"/>
  <c r="W19" i="789"/>
  <c r="V19" i="789"/>
  <c r="U19" i="789"/>
  <c r="T19" i="789"/>
  <c r="S19" i="789"/>
  <c r="R19" i="789"/>
  <c r="Z18" i="789"/>
  <c r="Y18" i="789"/>
  <c r="X18" i="789"/>
  <c r="W18" i="789"/>
  <c r="V18" i="789"/>
  <c r="U18" i="789"/>
  <c r="T18" i="789"/>
  <c r="S18" i="789"/>
  <c r="R18" i="789"/>
  <c r="Z17" i="789"/>
  <c r="Y17" i="789"/>
  <c r="X17" i="789"/>
  <c r="W17" i="789"/>
  <c r="V17" i="789"/>
  <c r="U17" i="789"/>
  <c r="T17" i="789"/>
  <c r="S17" i="789"/>
  <c r="R17" i="789"/>
  <c r="Z16" i="789"/>
  <c r="Y16" i="789"/>
  <c r="X16" i="789"/>
  <c r="W16" i="789"/>
  <c r="V16" i="789"/>
  <c r="U16" i="789"/>
  <c r="T16" i="789"/>
  <c r="S16" i="789"/>
  <c r="R16" i="789"/>
  <c r="Z15" i="789"/>
  <c r="Y15" i="789"/>
  <c r="X15" i="789"/>
  <c r="W15" i="789"/>
  <c r="V15" i="789"/>
  <c r="U15" i="789"/>
  <c r="T15" i="789"/>
  <c r="S15" i="789"/>
  <c r="R15" i="789"/>
  <c r="Z14" i="789"/>
  <c r="Y14" i="789"/>
  <c r="X14" i="789"/>
  <c r="W14" i="789"/>
  <c r="V14" i="789"/>
  <c r="U14" i="789"/>
  <c r="T14" i="789"/>
  <c r="S14" i="789"/>
  <c r="R14" i="789"/>
  <c r="Z13" i="789"/>
  <c r="Y13" i="789"/>
  <c r="X13" i="789"/>
  <c r="W13" i="789"/>
  <c r="V13" i="789"/>
  <c r="U13" i="789"/>
  <c r="T13" i="789"/>
  <c r="S13" i="789"/>
  <c r="R13" i="789"/>
  <c r="Z12" i="789"/>
  <c r="Y12" i="789"/>
  <c r="X12" i="789"/>
  <c r="W12" i="789"/>
  <c r="V12" i="789"/>
  <c r="U12" i="789"/>
  <c r="T12" i="789"/>
  <c r="S12" i="789"/>
  <c r="R12" i="789"/>
  <c r="Z11" i="789"/>
  <c r="Y11" i="789"/>
  <c r="X11" i="789"/>
  <c r="W11" i="789"/>
  <c r="V11" i="789"/>
  <c r="U11" i="789"/>
  <c r="T11" i="789"/>
  <c r="S11" i="789"/>
  <c r="R11" i="789"/>
  <c r="Z10" i="789"/>
  <c r="Y10" i="789"/>
  <c r="X10" i="789"/>
  <c r="W10" i="789"/>
  <c r="V10" i="789"/>
  <c r="U10" i="789"/>
  <c r="T10" i="789"/>
  <c r="S10" i="789"/>
  <c r="R10" i="789"/>
  <c r="J26" i="789" l="1"/>
  <c r="I25" i="789"/>
  <c r="I26" i="789"/>
  <c r="I24" i="789"/>
  <c r="J25" i="789"/>
  <c r="L47" i="789"/>
  <c r="J29" i="789"/>
  <c r="K46" i="789"/>
  <c r="K55" i="789" s="1"/>
  <c r="J47" i="789" l="1"/>
  <c r="M46" i="789"/>
  <c r="L46" i="789"/>
  <c r="L55" i="789" s="1"/>
  <c r="M55" i="789" s="1"/>
  <c r="I29" i="789"/>
  <c r="J46" i="789" s="1"/>
  <c r="K74" i="788" l="1"/>
  <c r="K76" i="787"/>
  <c r="K74" i="787"/>
  <c r="M47" i="788"/>
  <c r="L47" i="788"/>
  <c r="K47" i="788"/>
  <c r="K48" i="788"/>
  <c r="L21" i="788"/>
  <c r="D19" i="788"/>
  <c r="E19" i="788"/>
  <c r="F19" i="788"/>
  <c r="G19" i="788"/>
  <c r="L19" i="788"/>
  <c r="M19" i="788"/>
  <c r="O19" i="788"/>
  <c r="D20" i="788"/>
  <c r="E20" i="788"/>
  <c r="F20" i="788"/>
  <c r="G20" i="788"/>
  <c r="L20" i="788"/>
  <c r="M20" i="788"/>
  <c r="O20" i="788"/>
  <c r="D21" i="788"/>
  <c r="E21" i="788"/>
  <c r="F21" i="788"/>
  <c r="G21" i="788"/>
  <c r="M21" i="788"/>
  <c r="O21" i="788"/>
  <c r="C20" i="788" l="1"/>
  <c r="C21" i="788"/>
  <c r="C19" i="788"/>
  <c r="J19" i="788"/>
  <c r="N19" i="788"/>
  <c r="N20" i="788"/>
  <c r="N21" i="788"/>
  <c r="K19" i="788"/>
  <c r="K20" i="788"/>
  <c r="K21" i="788"/>
  <c r="M46" i="788"/>
  <c r="L46" i="788"/>
  <c r="K46" i="788"/>
  <c r="R12" i="787"/>
  <c r="S12" i="787"/>
  <c r="T12" i="787"/>
  <c r="U12" i="787"/>
  <c r="V12" i="787"/>
  <c r="W12" i="787"/>
  <c r="X12" i="787"/>
  <c r="Y12" i="787"/>
  <c r="Z12" i="787"/>
  <c r="R13" i="787"/>
  <c r="S13" i="787"/>
  <c r="T13" i="787"/>
  <c r="U13" i="787"/>
  <c r="V13" i="787"/>
  <c r="W13" i="787"/>
  <c r="X13" i="787"/>
  <c r="Y13" i="787"/>
  <c r="Z13" i="787"/>
  <c r="R14" i="787"/>
  <c r="S14" i="787"/>
  <c r="T14" i="787"/>
  <c r="U14" i="787"/>
  <c r="V14" i="787"/>
  <c r="W14" i="787"/>
  <c r="X14" i="787"/>
  <c r="Y14" i="787"/>
  <c r="Z14" i="787"/>
  <c r="R15" i="787"/>
  <c r="S15" i="787"/>
  <c r="T15" i="787"/>
  <c r="U15" i="787"/>
  <c r="V15" i="787"/>
  <c r="W15" i="787"/>
  <c r="X15" i="787"/>
  <c r="Y15" i="787"/>
  <c r="Z15" i="787"/>
  <c r="R16" i="787"/>
  <c r="S16" i="787"/>
  <c r="T16" i="787"/>
  <c r="U16" i="787"/>
  <c r="V16" i="787"/>
  <c r="W16" i="787"/>
  <c r="X16" i="787"/>
  <c r="Y16" i="787"/>
  <c r="Z16" i="787"/>
  <c r="R17" i="787"/>
  <c r="S17" i="787"/>
  <c r="T17" i="787"/>
  <c r="U17" i="787"/>
  <c r="V17" i="787"/>
  <c r="W17" i="787"/>
  <c r="X17" i="787"/>
  <c r="Y17" i="787"/>
  <c r="Z17" i="787"/>
  <c r="R18" i="787"/>
  <c r="S18" i="787"/>
  <c r="T18" i="787"/>
  <c r="U18" i="787"/>
  <c r="V18" i="787"/>
  <c r="W18" i="787"/>
  <c r="X18" i="787"/>
  <c r="Y18" i="787"/>
  <c r="Z18" i="787"/>
  <c r="R19" i="787"/>
  <c r="S19" i="787"/>
  <c r="T19" i="787"/>
  <c r="U19" i="787"/>
  <c r="V19" i="787"/>
  <c r="W19" i="787"/>
  <c r="X19" i="787"/>
  <c r="Y19" i="787"/>
  <c r="Z19" i="787"/>
  <c r="R20" i="787"/>
  <c r="S20" i="787"/>
  <c r="T20" i="787"/>
  <c r="U20" i="787"/>
  <c r="V20" i="787"/>
  <c r="W20" i="787"/>
  <c r="X20" i="787"/>
  <c r="Y20" i="787"/>
  <c r="Z20" i="787"/>
  <c r="R21" i="787"/>
  <c r="S21" i="787"/>
  <c r="T21" i="787"/>
  <c r="U21" i="787"/>
  <c r="V21" i="787"/>
  <c r="W21" i="787"/>
  <c r="X21" i="787"/>
  <c r="Y21" i="787"/>
  <c r="Z21" i="787"/>
  <c r="R22" i="787"/>
  <c r="S22" i="787"/>
  <c r="T22" i="787"/>
  <c r="U22" i="787"/>
  <c r="V22" i="787"/>
  <c r="W22" i="787"/>
  <c r="X22" i="787"/>
  <c r="Y22" i="787"/>
  <c r="Z22" i="787"/>
  <c r="R23" i="787"/>
  <c r="S23" i="787"/>
  <c r="T23" i="787"/>
  <c r="U23" i="787"/>
  <c r="V23" i="787"/>
  <c r="W23" i="787"/>
  <c r="X23" i="787"/>
  <c r="Y23" i="787"/>
  <c r="Z23" i="787"/>
  <c r="R24" i="787"/>
  <c r="S24" i="787"/>
  <c r="T24" i="787"/>
  <c r="U24" i="787"/>
  <c r="V24" i="787"/>
  <c r="W24" i="787"/>
  <c r="X24" i="787"/>
  <c r="Y24" i="787"/>
  <c r="Z24" i="787"/>
  <c r="R25" i="787"/>
  <c r="S25" i="787"/>
  <c r="T25" i="787"/>
  <c r="U25" i="787"/>
  <c r="V25" i="787"/>
  <c r="W25" i="787"/>
  <c r="X25" i="787"/>
  <c r="Y25" i="787"/>
  <c r="Z25" i="787"/>
  <c r="R26" i="787"/>
  <c r="S26" i="787"/>
  <c r="T26" i="787"/>
  <c r="U26" i="787"/>
  <c r="V26" i="787"/>
  <c r="W26" i="787"/>
  <c r="X26" i="787"/>
  <c r="Y26" i="787"/>
  <c r="Z26" i="787"/>
  <c r="R27" i="787"/>
  <c r="S27" i="787"/>
  <c r="T27" i="787"/>
  <c r="U27" i="787"/>
  <c r="V27" i="787"/>
  <c r="W27" i="787"/>
  <c r="X27" i="787"/>
  <c r="Y27" i="787"/>
  <c r="Z27" i="787"/>
  <c r="R28" i="787"/>
  <c r="S28" i="787"/>
  <c r="T28" i="787"/>
  <c r="U28" i="787"/>
  <c r="V28" i="787"/>
  <c r="W28" i="787"/>
  <c r="X28" i="787"/>
  <c r="Y28" i="787"/>
  <c r="Z28" i="787"/>
  <c r="R29" i="787"/>
  <c r="S29" i="787"/>
  <c r="T29" i="787"/>
  <c r="U29" i="787"/>
  <c r="V29" i="787"/>
  <c r="W29" i="787"/>
  <c r="X29" i="787"/>
  <c r="Y29" i="787"/>
  <c r="Z29" i="787"/>
  <c r="R30" i="787"/>
  <c r="S30" i="787"/>
  <c r="T30" i="787"/>
  <c r="U30" i="787"/>
  <c r="V30" i="787"/>
  <c r="W30" i="787"/>
  <c r="X30" i="787"/>
  <c r="Y30" i="787"/>
  <c r="Z30" i="787"/>
  <c r="R31" i="787"/>
  <c r="S31" i="787"/>
  <c r="T31" i="787"/>
  <c r="U31" i="787"/>
  <c r="V31" i="787"/>
  <c r="W31" i="787"/>
  <c r="X31" i="787"/>
  <c r="Y31" i="787"/>
  <c r="Z31" i="787"/>
  <c r="R32" i="787"/>
  <c r="S32" i="787"/>
  <c r="T32" i="787"/>
  <c r="U32" i="787"/>
  <c r="V32" i="787"/>
  <c r="W32" i="787"/>
  <c r="X32" i="787"/>
  <c r="Y32" i="787"/>
  <c r="Z32" i="787"/>
  <c r="R33" i="787"/>
  <c r="S33" i="787"/>
  <c r="T33" i="787"/>
  <c r="U33" i="787"/>
  <c r="V33" i="787"/>
  <c r="W33" i="787"/>
  <c r="X33" i="787"/>
  <c r="Y33" i="787"/>
  <c r="Z33" i="787"/>
  <c r="R34" i="787"/>
  <c r="S34" i="787"/>
  <c r="T34" i="787"/>
  <c r="U34" i="787"/>
  <c r="V34" i="787"/>
  <c r="W34" i="787"/>
  <c r="X34" i="787"/>
  <c r="Y34" i="787"/>
  <c r="Z34" i="787"/>
  <c r="R35" i="787"/>
  <c r="S35" i="787"/>
  <c r="T35" i="787"/>
  <c r="U35" i="787"/>
  <c r="V35" i="787"/>
  <c r="W35" i="787"/>
  <c r="X35" i="787"/>
  <c r="Y35" i="787"/>
  <c r="Z35" i="787"/>
  <c r="R36" i="787"/>
  <c r="S36" i="787"/>
  <c r="T36" i="787"/>
  <c r="U36" i="787"/>
  <c r="V36" i="787"/>
  <c r="W36" i="787"/>
  <c r="X36" i="787"/>
  <c r="Y36" i="787"/>
  <c r="Z36" i="787"/>
  <c r="R37" i="787"/>
  <c r="S37" i="787"/>
  <c r="T37" i="787"/>
  <c r="U37" i="787"/>
  <c r="V37" i="787"/>
  <c r="W37" i="787"/>
  <c r="X37" i="787"/>
  <c r="Y37" i="787"/>
  <c r="Z37" i="787"/>
  <c r="R38" i="787"/>
  <c r="S38" i="787"/>
  <c r="T38" i="787"/>
  <c r="U38" i="787"/>
  <c r="V38" i="787"/>
  <c r="W38" i="787"/>
  <c r="X38" i="787"/>
  <c r="Y38" i="787"/>
  <c r="Z38" i="787"/>
  <c r="R39" i="787"/>
  <c r="S39" i="787"/>
  <c r="T39" i="787"/>
  <c r="U39" i="787"/>
  <c r="V39" i="787"/>
  <c r="W39" i="787"/>
  <c r="X39" i="787"/>
  <c r="Y39" i="787"/>
  <c r="Z39" i="787"/>
  <c r="R40" i="787"/>
  <c r="S40" i="787"/>
  <c r="T40" i="787"/>
  <c r="U40" i="787"/>
  <c r="V40" i="787"/>
  <c r="W40" i="787"/>
  <c r="X40" i="787"/>
  <c r="Y40" i="787"/>
  <c r="Z40" i="787"/>
  <c r="R41" i="787"/>
  <c r="S41" i="787"/>
  <c r="T41" i="787"/>
  <c r="U41" i="787"/>
  <c r="V41" i="787"/>
  <c r="W41" i="787"/>
  <c r="X41" i="787"/>
  <c r="Y41" i="787"/>
  <c r="Z41" i="787"/>
  <c r="R42" i="787"/>
  <c r="S42" i="787"/>
  <c r="T42" i="787"/>
  <c r="U42" i="787"/>
  <c r="V42" i="787"/>
  <c r="W42" i="787"/>
  <c r="X42" i="787"/>
  <c r="Y42" i="787"/>
  <c r="Z42" i="787"/>
  <c r="R43" i="787"/>
  <c r="S43" i="787"/>
  <c r="T43" i="787"/>
  <c r="U43" i="787"/>
  <c r="V43" i="787"/>
  <c r="W43" i="787"/>
  <c r="X43" i="787"/>
  <c r="Y43" i="787"/>
  <c r="Z43" i="787"/>
  <c r="R44" i="787"/>
  <c r="S44" i="787"/>
  <c r="T44" i="787"/>
  <c r="U44" i="787"/>
  <c r="V44" i="787"/>
  <c r="W44" i="787"/>
  <c r="X44" i="787"/>
  <c r="Y44" i="787"/>
  <c r="Z44" i="787"/>
  <c r="R45" i="787"/>
  <c r="S45" i="787"/>
  <c r="T45" i="787"/>
  <c r="U45" i="787"/>
  <c r="V45" i="787"/>
  <c r="W45" i="787"/>
  <c r="X45" i="787"/>
  <c r="Y45" i="787"/>
  <c r="Z45" i="787"/>
  <c r="R12" i="788"/>
  <c r="S12" i="788"/>
  <c r="T12" i="788"/>
  <c r="U12" i="788"/>
  <c r="V12" i="788"/>
  <c r="W12" i="788"/>
  <c r="X12" i="788"/>
  <c r="Y12" i="788"/>
  <c r="Z12" i="788"/>
  <c r="R13" i="788"/>
  <c r="S13" i="788"/>
  <c r="T13" i="788"/>
  <c r="U13" i="788"/>
  <c r="V13" i="788"/>
  <c r="W13" i="788"/>
  <c r="X13" i="788"/>
  <c r="Y13" i="788"/>
  <c r="Z13" i="788"/>
  <c r="R14" i="788"/>
  <c r="S14" i="788"/>
  <c r="T14" i="788"/>
  <c r="U14" i="788"/>
  <c r="V14" i="788"/>
  <c r="W14" i="788"/>
  <c r="X14" i="788"/>
  <c r="Y14" i="788"/>
  <c r="Z14" i="788"/>
  <c r="R15" i="788"/>
  <c r="S15" i="788"/>
  <c r="T15" i="788"/>
  <c r="U15" i="788"/>
  <c r="V15" i="788"/>
  <c r="W15" i="788"/>
  <c r="X15" i="788"/>
  <c r="Y15" i="788"/>
  <c r="Z15" i="788"/>
  <c r="R16" i="788"/>
  <c r="S16" i="788"/>
  <c r="T16" i="788"/>
  <c r="U16" i="788"/>
  <c r="V16" i="788"/>
  <c r="W16" i="788"/>
  <c r="X16" i="788"/>
  <c r="Y16" i="788"/>
  <c r="Z16" i="788"/>
  <c r="R17" i="788"/>
  <c r="S17" i="788"/>
  <c r="T17" i="788"/>
  <c r="U17" i="788"/>
  <c r="V17" i="788"/>
  <c r="W17" i="788"/>
  <c r="X17" i="788"/>
  <c r="Y17" i="788"/>
  <c r="Z17" i="788"/>
  <c r="R18" i="788"/>
  <c r="S18" i="788"/>
  <c r="T18" i="788"/>
  <c r="U18" i="788"/>
  <c r="V18" i="788"/>
  <c r="W18" i="788"/>
  <c r="X18" i="788"/>
  <c r="Y18" i="788"/>
  <c r="Z18" i="788"/>
  <c r="R19" i="788"/>
  <c r="S19" i="788"/>
  <c r="T19" i="788"/>
  <c r="U19" i="788"/>
  <c r="V19" i="788"/>
  <c r="W19" i="788"/>
  <c r="X19" i="788"/>
  <c r="Y19" i="788"/>
  <c r="Z19" i="788"/>
  <c r="R20" i="788"/>
  <c r="S20" i="788"/>
  <c r="T20" i="788"/>
  <c r="U20" i="788"/>
  <c r="V20" i="788"/>
  <c r="W20" i="788"/>
  <c r="X20" i="788"/>
  <c r="Y20" i="788"/>
  <c r="Z20" i="788"/>
  <c r="R21" i="788"/>
  <c r="S21" i="788"/>
  <c r="T21" i="788"/>
  <c r="U21" i="788"/>
  <c r="V21" i="788"/>
  <c r="W21" i="788"/>
  <c r="X21" i="788"/>
  <c r="Y21" i="788"/>
  <c r="Z21" i="788"/>
  <c r="R22" i="788"/>
  <c r="S22" i="788"/>
  <c r="T22" i="788"/>
  <c r="U22" i="788"/>
  <c r="V22" i="788"/>
  <c r="W22" i="788"/>
  <c r="X22" i="788"/>
  <c r="Y22" i="788"/>
  <c r="Z22" i="788"/>
  <c r="R23" i="788"/>
  <c r="S23" i="788"/>
  <c r="T23" i="788"/>
  <c r="U23" i="788"/>
  <c r="V23" i="788"/>
  <c r="W23" i="788"/>
  <c r="X23" i="788"/>
  <c r="Y23" i="788"/>
  <c r="Z23" i="788"/>
  <c r="R24" i="788"/>
  <c r="S24" i="788"/>
  <c r="T24" i="788"/>
  <c r="U24" i="788"/>
  <c r="V24" i="788"/>
  <c r="W24" i="788"/>
  <c r="X24" i="788"/>
  <c r="Y24" i="788"/>
  <c r="Z24" i="788"/>
  <c r="R25" i="788"/>
  <c r="S25" i="788"/>
  <c r="T25" i="788"/>
  <c r="U25" i="788"/>
  <c r="V25" i="788"/>
  <c r="W25" i="788"/>
  <c r="X25" i="788"/>
  <c r="Y25" i="788"/>
  <c r="Z25" i="788"/>
  <c r="R26" i="788"/>
  <c r="S26" i="788"/>
  <c r="T26" i="788"/>
  <c r="U26" i="788"/>
  <c r="V26" i="788"/>
  <c r="W26" i="788"/>
  <c r="X26" i="788"/>
  <c r="Y26" i="788"/>
  <c r="Z26" i="788"/>
  <c r="R27" i="788"/>
  <c r="S27" i="788"/>
  <c r="T27" i="788"/>
  <c r="U27" i="788"/>
  <c r="V27" i="788"/>
  <c r="W27" i="788"/>
  <c r="X27" i="788"/>
  <c r="Y27" i="788"/>
  <c r="Z27" i="788"/>
  <c r="R28" i="788"/>
  <c r="S28" i="788"/>
  <c r="T28" i="788"/>
  <c r="U28" i="788"/>
  <c r="V28" i="788"/>
  <c r="W28" i="788"/>
  <c r="X28" i="788"/>
  <c r="Y28" i="788"/>
  <c r="Z28" i="788"/>
  <c r="I21" i="788" l="1"/>
  <c r="I20" i="788"/>
  <c r="J20" i="788"/>
  <c r="J21" i="788"/>
  <c r="I19" i="788"/>
  <c r="J47" i="788" s="1"/>
  <c r="C11" i="788"/>
  <c r="D11" i="788"/>
  <c r="E11" i="788"/>
  <c r="F11" i="788"/>
  <c r="G11" i="788"/>
  <c r="L11" i="788"/>
  <c r="M11" i="788"/>
  <c r="O11" i="788"/>
  <c r="D12" i="788"/>
  <c r="E12" i="788"/>
  <c r="F12" i="788"/>
  <c r="G12" i="788"/>
  <c r="L12" i="788"/>
  <c r="M12" i="788"/>
  <c r="O12" i="788"/>
  <c r="D13" i="788"/>
  <c r="E13" i="788"/>
  <c r="F13" i="788"/>
  <c r="G13" i="788"/>
  <c r="L13" i="788"/>
  <c r="M13" i="788"/>
  <c r="O13" i="788"/>
  <c r="D14" i="788"/>
  <c r="E14" i="788"/>
  <c r="F14" i="788"/>
  <c r="G14" i="788"/>
  <c r="L14" i="788"/>
  <c r="M14" i="788"/>
  <c r="O14" i="788"/>
  <c r="D15" i="788"/>
  <c r="E15" i="788"/>
  <c r="F15" i="788"/>
  <c r="G15" i="788"/>
  <c r="L15" i="788"/>
  <c r="M15" i="788"/>
  <c r="O15" i="788"/>
  <c r="O10" i="788"/>
  <c r="N10" i="788"/>
  <c r="M10" i="788"/>
  <c r="L10" i="788"/>
  <c r="J10" i="788"/>
  <c r="I10" i="788"/>
  <c r="G10" i="788"/>
  <c r="F10" i="788"/>
  <c r="E10" i="788"/>
  <c r="D10" i="788"/>
  <c r="C10" i="788"/>
  <c r="C45" i="788"/>
  <c r="C46" i="788"/>
  <c r="C47" i="788"/>
  <c r="C48" i="788"/>
  <c r="B45" i="788"/>
  <c r="L60" i="788"/>
  <c r="M60" i="788" s="1"/>
  <c r="G74" i="788"/>
  <c r="B74" i="788"/>
  <c r="F86" i="788"/>
  <c r="L76" i="788"/>
  <c r="AX74" i="788"/>
  <c r="AW74" i="788"/>
  <c r="AV74" i="788"/>
  <c r="AU74" i="788"/>
  <c r="AT74" i="788"/>
  <c r="AS74" i="788"/>
  <c r="AR74" i="788"/>
  <c r="AQ74" i="788"/>
  <c r="AP74" i="788"/>
  <c r="AO74" i="788"/>
  <c r="AN74" i="788"/>
  <c r="AM74" i="788"/>
  <c r="AL74" i="788"/>
  <c r="AK74" i="788"/>
  <c r="AJ74" i="788"/>
  <c r="AI74" i="788"/>
  <c r="AH74" i="788"/>
  <c r="AG74" i="788"/>
  <c r="AF74" i="788"/>
  <c r="AE74" i="788"/>
  <c r="AD74" i="788"/>
  <c r="AC74" i="788"/>
  <c r="AB74" i="788"/>
  <c r="K69" i="788"/>
  <c r="D67" i="788"/>
  <c r="M54" i="788"/>
  <c r="M53" i="788"/>
  <c r="M52" i="788"/>
  <c r="M51" i="788"/>
  <c r="L51" i="788"/>
  <c r="K51" i="788"/>
  <c r="M50" i="788"/>
  <c r="M48" i="788"/>
  <c r="M45" i="788"/>
  <c r="L45" i="788"/>
  <c r="K45" i="788"/>
  <c r="Z44" i="788"/>
  <c r="Y44" i="788"/>
  <c r="X44" i="788"/>
  <c r="W44" i="788"/>
  <c r="V44" i="788"/>
  <c r="U44" i="788"/>
  <c r="T44" i="788"/>
  <c r="S44" i="788"/>
  <c r="R44" i="788"/>
  <c r="Z43" i="788"/>
  <c r="Y43" i="788"/>
  <c r="X43" i="788"/>
  <c r="W43" i="788"/>
  <c r="V43" i="788"/>
  <c r="U43" i="788"/>
  <c r="T43" i="788"/>
  <c r="S43" i="788"/>
  <c r="R43" i="788"/>
  <c r="Z42" i="788"/>
  <c r="Y42" i="788"/>
  <c r="X42" i="788"/>
  <c r="W42" i="788"/>
  <c r="V42" i="788"/>
  <c r="U42" i="788"/>
  <c r="T42" i="788"/>
  <c r="S42" i="788"/>
  <c r="R42" i="788"/>
  <c r="Z41" i="788"/>
  <c r="Y41" i="788"/>
  <c r="X41" i="788"/>
  <c r="W41" i="788"/>
  <c r="V41" i="788"/>
  <c r="U41" i="788"/>
  <c r="T41" i="788"/>
  <c r="S41" i="788"/>
  <c r="R41" i="788"/>
  <c r="Z40" i="788"/>
  <c r="Y40" i="788"/>
  <c r="X40" i="788"/>
  <c r="W40" i="788"/>
  <c r="V40" i="788"/>
  <c r="U40" i="788"/>
  <c r="T40" i="788"/>
  <c r="S40" i="788"/>
  <c r="R40" i="788"/>
  <c r="Z39" i="788"/>
  <c r="Y39" i="788"/>
  <c r="X39" i="788"/>
  <c r="W39" i="788"/>
  <c r="V39" i="788"/>
  <c r="U39" i="788"/>
  <c r="T39" i="788"/>
  <c r="S39" i="788"/>
  <c r="R39" i="788"/>
  <c r="Z38" i="788"/>
  <c r="Y38" i="788"/>
  <c r="X38" i="788"/>
  <c r="W38" i="788"/>
  <c r="V38" i="788"/>
  <c r="U38" i="788"/>
  <c r="T38" i="788"/>
  <c r="S38" i="788"/>
  <c r="R38" i="788"/>
  <c r="Z37" i="788"/>
  <c r="Y37" i="788"/>
  <c r="X37" i="788"/>
  <c r="W37" i="788"/>
  <c r="V37" i="788"/>
  <c r="U37" i="788"/>
  <c r="T37" i="788"/>
  <c r="S37" i="788"/>
  <c r="R37" i="788"/>
  <c r="Z36" i="788"/>
  <c r="Y36" i="788"/>
  <c r="X36" i="788"/>
  <c r="W36" i="788"/>
  <c r="V36" i="788"/>
  <c r="U36" i="788"/>
  <c r="T36" i="788"/>
  <c r="S36" i="788"/>
  <c r="R36" i="788"/>
  <c r="Z35" i="788"/>
  <c r="Y35" i="788"/>
  <c r="X35" i="788"/>
  <c r="W35" i="788"/>
  <c r="V35" i="788"/>
  <c r="U35" i="788"/>
  <c r="T35" i="788"/>
  <c r="S35" i="788"/>
  <c r="R35" i="788"/>
  <c r="Z34" i="788"/>
  <c r="Y34" i="788"/>
  <c r="X34" i="788"/>
  <c r="W34" i="788"/>
  <c r="V34" i="788"/>
  <c r="U34" i="788"/>
  <c r="T34" i="788"/>
  <c r="S34" i="788"/>
  <c r="R34" i="788"/>
  <c r="Z33" i="788"/>
  <c r="Y33" i="788"/>
  <c r="X33" i="788"/>
  <c r="W33" i="788"/>
  <c r="V33" i="788"/>
  <c r="U33" i="788"/>
  <c r="T33" i="788"/>
  <c r="S33" i="788"/>
  <c r="R33" i="788"/>
  <c r="Z32" i="788"/>
  <c r="Y32" i="788"/>
  <c r="X32" i="788"/>
  <c r="W32" i="788"/>
  <c r="V32" i="788"/>
  <c r="U32" i="788"/>
  <c r="T32" i="788"/>
  <c r="S32" i="788"/>
  <c r="R32" i="788"/>
  <c r="Z31" i="788"/>
  <c r="Y31" i="788"/>
  <c r="X31" i="788"/>
  <c r="W31" i="788"/>
  <c r="V31" i="788"/>
  <c r="U31" i="788"/>
  <c r="T31" i="788"/>
  <c r="S31" i="788"/>
  <c r="R31" i="788"/>
  <c r="Z30" i="788"/>
  <c r="Y30" i="788"/>
  <c r="X30" i="788"/>
  <c r="W30" i="788"/>
  <c r="V30" i="788"/>
  <c r="U30" i="788"/>
  <c r="T30" i="788"/>
  <c r="S30" i="788"/>
  <c r="R30" i="788"/>
  <c r="Z29" i="788"/>
  <c r="Y29" i="788"/>
  <c r="X29" i="788"/>
  <c r="W29" i="788"/>
  <c r="V29" i="788"/>
  <c r="U29" i="788"/>
  <c r="T29" i="788"/>
  <c r="S29" i="788"/>
  <c r="R29" i="788"/>
  <c r="Z11" i="788"/>
  <c r="Y11" i="788"/>
  <c r="X11" i="788"/>
  <c r="W11" i="788"/>
  <c r="V11" i="788"/>
  <c r="U11" i="788"/>
  <c r="T11" i="788"/>
  <c r="S11" i="788"/>
  <c r="R11" i="788"/>
  <c r="Z10" i="788"/>
  <c r="Y10" i="788"/>
  <c r="X10" i="788"/>
  <c r="W10" i="788"/>
  <c r="V10" i="788"/>
  <c r="U10" i="788"/>
  <c r="T10" i="788"/>
  <c r="S10" i="788"/>
  <c r="R10" i="788"/>
  <c r="C47" i="787"/>
  <c r="C48" i="787"/>
  <c r="C45" i="787"/>
  <c r="C46" i="787"/>
  <c r="C57" i="787"/>
  <c r="C58" i="787"/>
  <c r="C59" i="787"/>
  <c r="C60" i="787"/>
  <c r="M45" i="787"/>
  <c r="L45" i="787"/>
  <c r="K45" i="787"/>
  <c r="K46" i="787"/>
  <c r="B57" i="787"/>
  <c r="B45" i="787"/>
  <c r="L60" i="787"/>
  <c r="L15" i="787"/>
  <c r="M15" i="787"/>
  <c r="O15" i="787"/>
  <c r="L16" i="787"/>
  <c r="M16" i="787"/>
  <c r="O16" i="787"/>
  <c r="L17" i="787"/>
  <c r="M17" i="787"/>
  <c r="O17" i="787"/>
  <c r="L18" i="787"/>
  <c r="M18" i="787"/>
  <c r="O18" i="787"/>
  <c r="L19" i="787"/>
  <c r="M19" i="787"/>
  <c r="O19" i="787"/>
  <c r="L21" i="787"/>
  <c r="M21" i="787"/>
  <c r="O21" i="787"/>
  <c r="C15" i="787"/>
  <c r="D15" i="787"/>
  <c r="E15" i="787"/>
  <c r="F15" i="787"/>
  <c r="G15" i="787"/>
  <c r="C16" i="787"/>
  <c r="D16" i="787"/>
  <c r="E16" i="787"/>
  <c r="F16" i="787"/>
  <c r="G16" i="787"/>
  <c r="C17" i="787"/>
  <c r="D17" i="787"/>
  <c r="E17" i="787"/>
  <c r="F17" i="787"/>
  <c r="G17" i="787"/>
  <c r="C18" i="787"/>
  <c r="D18" i="787"/>
  <c r="E18" i="787"/>
  <c r="F18" i="787"/>
  <c r="G18" i="787"/>
  <c r="C19" i="787"/>
  <c r="D19" i="787"/>
  <c r="E19" i="787"/>
  <c r="F19" i="787"/>
  <c r="G19" i="787"/>
  <c r="C21" i="787"/>
  <c r="D21" i="787"/>
  <c r="E21" i="787"/>
  <c r="F21" i="787"/>
  <c r="G21" i="787"/>
  <c r="O14" i="787"/>
  <c r="M14" i="787"/>
  <c r="L14" i="787"/>
  <c r="G14" i="787"/>
  <c r="F14" i="787"/>
  <c r="E14" i="787"/>
  <c r="D14" i="787"/>
  <c r="C14" i="787"/>
  <c r="K55" i="788" l="1"/>
  <c r="L55" i="788" s="1"/>
  <c r="M55" i="788" s="1"/>
  <c r="M47" i="787"/>
  <c r="C11" i="787"/>
  <c r="D11" i="787"/>
  <c r="E11" i="787"/>
  <c r="F11" i="787"/>
  <c r="G11" i="787"/>
  <c r="I11" i="787"/>
  <c r="J11" i="787"/>
  <c r="K11" i="787"/>
  <c r="L11" i="787"/>
  <c r="M11" i="787"/>
  <c r="N11" i="787"/>
  <c r="O11" i="787"/>
  <c r="O10" i="787"/>
  <c r="N10" i="787"/>
  <c r="M10" i="787"/>
  <c r="L10" i="787"/>
  <c r="K10" i="787"/>
  <c r="J10" i="787"/>
  <c r="I10" i="787"/>
  <c r="G10" i="787"/>
  <c r="F10" i="787"/>
  <c r="E10" i="787"/>
  <c r="D10" i="787"/>
  <c r="C10" i="787"/>
  <c r="G76" i="787"/>
  <c r="G74" i="787"/>
  <c r="B76" i="787"/>
  <c r="B74" i="787"/>
  <c r="K82" i="787"/>
  <c r="F86" i="787"/>
  <c r="AX74" i="787"/>
  <c r="AW74" i="787"/>
  <c r="AV74" i="787"/>
  <c r="AU74" i="787"/>
  <c r="AT74" i="787"/>
  <c r="AS74" i="787"/>
  <c r="AR74" i="787"/>
  <c r="AQ74" i="787"/>
  <c r="AP74" i="787"/>
  <c r="AO74" i="787"/>
  <c r="AN74" i="787"/>
  <c r="AM74" i="787"/>
  <c r="AL74" i="787"/>
  <c r="AK74" i="787"/>
  <c r="AJ74" i="787"/>
  <c r="AI74" i="787"/>
  <c r="AH74" i="787"/>
  <c r="AG74" i="787"/>
  <c r="AF74" i="787"/>
  <c r="AE74" i="787"/>
  <c r="AD74" i="787"/>
  <c r="AC74" i="787"/>
  <c r="AB74" i="787"/>
  <c r="K69" i="787"/>
  <c r="M60" i="787" s="1"/>
  <c r="D67" i="787"/>
  <c r="M54" i="787"/>
  <c r="M53" i="787"/>
  <c r="M52" i="787"/>
  <c r="M51" i="787"/>
  <c r="L51" i="787"/>
  <c r="K51" i="787"/>
  <c r="K55" i="787" s="1"/>
  <c r="M50" i="787"/>
  <c r="M48" i="787"/>
  <c r="Z11" i="787"/>
  <c r="Y11" i="787"/>
  <c r="X11" i="787"/>
  <c r="W11" i="787"/>
  <c r="V11" i="787"/>
  <c r="U11" i="787"/>
  <c r="T11" i="787"/>
  <c r="S11" i="787"/>
  <c r="R11" i="787"/>
  <c r="Z10" i="787"/>
  <c r="Y10" i="787"/>
  <c r="X10" i="787"/>
  <c r="W10" i="787"/>
  <c r="V10" i="787"/>
  <c r="U10" i="787"/>
  <c r="T10" i="787"/>
  <c r="S10" i="787"/>
  <c r="R10" i="787"/>
  <c r="M44" i="786"/>
  <c r="L44" i="786"/>
  <c r="K44" i="786"/>
  <c r="J45" i="787" l="1"/>
  <c r="L75" i="786"/>
  <c r="C33" i="786"/>
  <c r="D33" i="786"/>
  <c r="E33" i="786"/>
  <c r="F33" i="786"/>
  <c r="G33" i="786"/>
  <c r="I33" i="786"/>
  <c r="J33" i="786"/>
  <c r="K33" i="786"/>
  <c r="L33" i="786"/>
  <c r="M33" i="786"/>
  <c r="N33" i="786"/>
  <c r="O33" i="786"/>
  <c r="C34" i="786"/>
  <c r="D34" i="786"/>
  <c r="E34" i="786"/>
  <c r="F34" i="786"/>
  <c r="G34" i="786"/>
  <c r="I34" i="786"/>
  <c r="J34" i="786"/>
  <c r="K34" i="786"/>
  <c r="L34" i="786"/>
  <c r="M34" i="786"/>
  <c r="N34" i="786"/>
  <c r="O34" i="786"/>
  <c r="C35" i="786"/>
  <c r="D35" i="786"/>
  <c r="E35" i="786"/>
  <c r="F35" i="786"/>
  <c r="G35" i="786"/>
  <c r="I35" i="786"/>
  <c r="J35" i="786"/>
  <c r="K35" i="786"/>
  <c r="L35" i="786"/>
  <c r="M35" i="786"/>
  <c r="N35" i="786"/>
  <c r="O35" i="786"/>
  <c r="C36" i="786"/>
  <c r="D36" i="786"/>
  <c r="E36" i="786"/>
  <c r="F36" i="786"/>
  <c r="G36" i="786"/>
  <c r="I36" i="786"/>
  <c r="J36" i="786"/>
  <c r="K36" i="786"/>
  <c r="L36" i="786"/>
  <c r="M36" i="786"/>
  <c r="N36" i="786"/>
  <c r="O36" i="786"/>
  <c r="C37" i="786"/>
  <c r="D37" i="786"/>
  <c r="E37" i="786"/>
  <c r="F37" i="786"/>
  <c r="G37" i="786"/>
  <c r="I37" i="786"/>
  <c r="J37" i="786"/>
  <c r="K37" i="786"/>
  <c r="L37" i="786"/>
  <c r="M37" i="786"/>
  <c r="N37" i="786"/>
  <c r="O37" i="786"/>
  <c r="C38" i="786"/>
  <c r="D38" i="786"/>
  <c r="E38" i="786"/>
  <c r="F38" i="786"/>
  <c r="G38" i="786"/>
  <c r="I38" i="786"/>
  <c r="J38" i="786"/>
  <c r="K38" i="786"/>
  <c r="L38" i="786"/>
  <c r="M38" i="786"/>
  <c r="N38" i="786"/>
  <c r="O38" i="786"/>
  <c r="F85" i="786"/>
  <c r="AX73" i="786"/>
  <c r="AW73" i="786"/>
  <c r="AV73" i="786"/>
  <c r="AU73" i="786"/>
  <c r="AT73" i="786"/>
  <c r="AS73" i="786"/>
  <c r="AR73" i="786"/>
  <c r="AQ73" i="786"/>
  <c r="AP73" i="786"/>
  <c r="AO73" i="786"/>
  <c r="AN73" i="786"/>
  <c r="AM73" i="786"/>
  <c r="AL73" i="786"/>
  <c r="AK73" i="786"/>
  <c r="AJ73" i="786"/>
  <c r="AI73" i="786"/>
  <c r="AH73" i="786"/>
  <c r="AG73" i="786"/>
  <c r="AF73" i="786"/>
  <c r="AE73" i="786"/>
  <c r="AD73" i="786"/>
  <c r="AC73" i="786"/>
  <c r="AB73" i="786"/>
  <c r="I73" i="786"/>
  <c r="K68" i="786"/>
  <c r="L59" i="786" s="1"/>
  <c r="M59" i="786" s="1"/>
  <c r="D66" i="786"/>
  <c r="M53" i="786"/>
  <c r="M52" i="786"/>
  <c r="M51" i="786"/>
  <c r="M50" i="786"/>
  <c r="L50" i="786"/>
  <c r="K50" i="786"/>
  <c r="M49" i="786"/>
  <c r="M47" i="786"/>
  <c r="M46" i="786"/>
  <c r="K45" i="786"/>
  <c r="Z43" i="786"/>
  <c r="Y43" i="786"/>
  <c r="X43" i="786"/>
  <c r="W43" i="786"/>
  <c r="V43" i="786"/>
  <c r="U43" i="786"/>
  <c r="T43" i="786"/>
  <c r="S43" i="786"/>
  <c r="R43" i="786"/>
  <c r="Z42" i="786"/>
  <c r="Y42" i="786"/>
  <c r="X42" i="786"/>
  <c r="W42" i="786"/>
  <c r="V42" i="786"/>
  <c r="U42" i="786"/>
  <c r="T42" i="786"/>
  <c r="S42" i="786"/>
  <c r="R42" i="786"/>
  <c r="Z41" i="786"/>
  <c r="Y41" i="786"/>
  <c r="X41" i="786"/>
  <c r="W41" i="786"/>
  <c r="V41" i="786"/>
  <c r="U41" i="786"/>
  <c r="T41" i="786"/>
  <c r="S41" i="786"/>
  <c r="R41" i="786"/>
  <c r="Z40" i="786"/>
  <c r="Y40" i="786"/>
  <c r="X40" i="786"/>
  <c r="W40" i="786"/>
  <c r="V40" i="786"/>
  <c r="U40" i="786"/>
  <c r="T40" i="786"/>
  <c r="S40" i="786"/>
  <c r="R40" i="786"/>
  <c r="Z39" i="786"/>
  <c r="Y39" i="786"/>
  <c r="X39" i="786"/>
  <c r="W39" i="786"/>
  <c r="V39" i="786"/>
  <c r="U39" i="786"/>
  <c r="T39" i="786"/>
  <c r="S39" i="786"/>
  <c r="R39" i="786"/>
  <c r="Z38" i="786"/>
  <c r="Y38" i="786"/>
  <c r="X38" i="786"/>
  <c r="W38" i="786"/>
  <c r="V38" i="786"/>
  <c r="U38" i="786"/>
  <c r="T38" i="786"/>
  <c r="S38" i="786"/>
  <c r="R38" i="786"/>
  <c r="Z37" i="786"/>
  <c r="Y37" i="786"/>
  <c r="X37" i="786"/>
  <c r="W37" i="786"/>
  <c r="V37" i="786"/>
  <c r="U37" i="786"/>
  <c r="T37" i="786"/>
  <c r="S37" i="786"/>
  <c r="R37" i="786"/>
  <c r="Z36" i="786"/>
  <c r="Y36" i="786"/>
  <c r="X36" i="786"/>
  <c r="W36" i="786"/>
  <c r="V36" i="786"/>
  <c r="U36" i="786"/>
  <c r="T36" i="786"/>
  <c r="S36" i="786"/>
  <c r="R36" i="786"/>
  <c r="Z35" i="786"/>
  <c r="Y35" i="786"/>
  <c r="X35" i="786"/>
  <c r="W35" i="786"/>
  <c r="V35" i="786"/>
  <c r="U35" i="786"/>
  <c r="T35" i="786"/>
  <c r="S35" i="786"/>
  <c r="R35" i="786"/>
  <c r="Z34" i="786"/>
  <c r="Y34" i="786"/>
  <c r="X34" i="786"/>
  <c r="W34" i="786"/>
  <c r="V34" i="786"/>
  <c r="U34" i="786"/>
  <c r="T34" i="786"/>
  <c r="S34" i="786"/>
  <c r="R34" i="786"/>
  <c r="Z33" i="786"/>
  <c r="Y33" i="786"/>
  <c r="X33" i="786"/>
  <c r="W33" i="786"/>
  <c r="V33" i="786"/>
  <c r="U33" i="786"/>
  <c r="T33" i="786"/>
  <c r="S33" i="786"/>
  <c r="R33" i="786"/>
  <c r="Z32" i="786"/>
  <c r="Y32" i="786"/>
  <c r="X32" i="786"/>
  <c r="W32" i="786"/>
  <c r="V32" i="786"/>
  <c r="U32" i="786"/>
  <c r="T32" i="786"/>
  <c r="S32" i="786"/>
  <c r="R32" i="786"/>
  <c r="Z31" i="786"/>
  <c r="Y31" i="786"/>
  <c r="X31" i="786"/>
  <c r="W31" i="786"/>
  <c r="V31" i="786"/>
  <c r="U31" i="786"/>
  <c r="T31" i="786"/>
  <c r="S31" i="786"/>
  <c r="R31" i="786"/>
  <c r="Z30" i="786"/>
  <c r="Y30" i="786"/>
  <c r="X30" i="786"/>
  <c r="W30" i="786"/>
  <c r="V30" i="786"/>
  <c r="U30" i="786"/>
  <c r="T30" i="786"/>
  <c r="S30" i="786"/>
  <c r="R30" i="786"/>
  <c r="Z29" i="786"/>
  <c r="Y29" i="786"/>
  <c r="X29" i="786"/>
  <c r="W29" i="786"/>
  <c r="V29" i="786"/>
  <c r="U29" i="786"/>
  <c r="T29" i="786"/>
  <c r="S29" i="786"/>
  <c r="R29" i="786"/>
  <c r="Z28" i="786"/>
  <c r="Y28" i="786"/>
  <c r="X28" i="786"/>
  <c r="W28" i="786"/>
  <c r="V28" i="786"/>
  <c r="U28" i="786"/>
  <c r="T28" i="786"/>
  <c r="S28" i="786"/>
  <c r="R28" i="786"/>
  <c r="Z27" i="786"/>
  <c r="Y27" i="786"/>
  <c r="X27" i="786"/>
  <c r="W27" i="786"/>
  <c r="V27" i="786"/>
  <c r="U27" i="786"/>
  <c r="T27" i="786"/>
  <c r="S27" i="786"/>
  <c r="R27" i="786"/>
  <c r="Z26" i="786"/>
  <c r="Y26" i="786"/>
  <c r="X26" i="786"/>
  <c r="W26" i="786"/>
  <c r="V26" i="786"/>
  <c r="U26" i="786"/>
  <c r="T26" i="786"/>
  <c r="S26" i="786"/>
  <c r="R26" i="786"/>
  <c r="Z25" i="786"/>
  <c r="Y25" i="786"/>
  <c r="X25" i="786"/>
  <c r="W25" i="786"/>
  <c r="V25" i="786"/>
  <c r="U25" i="786"/>
  <c r="T25" i="786"/>
  <c r="S25" i="786"/>
  <c r="R25" i="786"/>
  <c r="Z24" i="786"/>
  <c r="Y24" i="786"/>
  <c r="X24" i="786"/>
  <c r="W24" i="786"/>
  <c r="V24" i="786"/>
  <c r="U24" i="786"/>
  <c r="T24" i="786"/>
  <c r="S24" i="786"/>
  <c r="R24" i="786"/>
  <c r="Z23" i="786"/>
  <c r="Y23" i="786"/>
  <c r="X23" i="786"/>
  <c r="W23" i="786"/>
  <c r="V23" i="786"/>
  <c r="U23" i="786"/>
  <c r="T23" i="786"/>
  <c r="S23" i="786"/>
  <c r="R23" i="786"/>
  <c r="Z22" i="786"/>
  <c r="Y22" i="786"/>
  <c r="X22" i="786"/>
  <c r="W22" i="786"/>
  <c r="V22" i="786"/>
  <c r="U22" i="786"/>
  <c r="T22" i="786"/>
  <c r="S22" i="786"/>
  <c r="R22" i="786"/>
  <c r="Z21" i="786"/>
  <c r="Y21" i="786"/>
  <c r="X21" i="786"/>
  <c r="W21" i="786"/>
  <c r="V21" i="786"/>
  <c r="U21" i="786"/>
  <c r="T21" i="786"/>
  <c r="S21" i="786"/>
  <c r="R21" i="786"/>
  <c r="Z20" i="786"/>
  <c r="Y20" i="786"/>
  <c r="X20" i="786"/>
  <c r="W20" i="786"/>
  <c r="V20" i="786"/>
  <c r="U20" i="786"/>
  <c r="R20" i="786"/>
  <c r="Z19" i="786"/>
  <c r="Y19" i="786"/>
  <c r="X19" i="786"/>
  <c r="W19" i="786"/>
  <c r="V19" i="786"/>
  <c r="U19" i="786"/>
  <c r="R19" i="786"/>
  <c r="Z18" i="786"/>
  <c r="Y18" i="786"/>
  <c r="X18" i="786"/>
  <c r="W18" i="786"/>
  <c r="V18" i="786"/>
  <c r="U18" i="786"/>
  <c r="R18" i="786"/>
  <c r="Z17" i="786"/>
  <c r="Y17" i="786"/>
  <c r="X17" i="786"/>
  <c r="W17" i="786"/>
  <c r="V17" i="786"/>
  <c r="U17" i="786"/>
  <c r="R17" i="786"/>
  <c r="Z16" i="786"/>
  <c r="Y16" i="786"/>
  <c r="X16" i="786"/>
  <c r="W16" i="786"/>
  <c r="V16" i="786"/>
  <c r="U16" i="786"/>
  <c r="R16" i="786"/>
  <c r="Z15" i="786"/>
  <c r="Y15" i="786"/>
  <c r="X15" i="786"/>
  <c r="W15" i="786"/>
  <c r="V15" i="786"/>
  <c r="U15" i="786"/>
  <c r="R15" i="786"/>
  <c r="Z13" i="786"/>
  <c r="Y13" i="786"/>
  <c r="X13" i="786"/>
  <c r="W13" i="786"/>
  <c r="V13" i="786"/>
  <c r="U13" i="786"/>
  <c r="T13" i="786"/>
  <c r="S13" i="786"/>
  <c r="R13" i="786"/>
  <c r="Z12" i="786"/>
  <c r="Y12" i="786"/>
  <c r="X12" i="786"/>
  <c r="W12" i="786"/>
  <c r="V12" i="786"/>
  <c r="U12" i="786"/>
  <c r="T12" i="786"/>
  <c r="S12" i="786"/>
  <c r="R12" i="786"/>
  <c r="Z11" i="786"/>
  <c r="Y11" i="786"/>
  <c r="X11" i="786"/>
  <c r="W11" i="786"/>
  <c r="V11" i="786"/>
  <c r="U11" i="786"/>
  <c r="T11" i="786"/>
  <c r="S11" i="786"/>
  <c r="R11" i="786"/>
  <c r="Z10" i="786"/>
  <c r="Y10" i="786"/>
  <c r="X10" i="786"/>
  <c r="W10" i="786"/>
  <c r="V10" i="786"/>
  <c r="U10" i="786"/>
  <c r="T10" i="786"/>
  <c r="S10" i="786"/>
  <c r="R10" i="786"/>
  <c r="J44" i="786" l="1"/>
  <c r="K54" i="786"/>
  <c r="L73" i="786"/>
  <c r="H73" i="786"/>
  <c r="B73" i="785" l="1"/>
  <c r="G73" i="785"/>
  <c r="K73" i="785"/>
  <c r="K86" i="785" s="1"/>
  <c r="M44" i="785"/>
  <c r="L44" i="785"/>
  <c r="K44" i="785"/>
  <c r="C44" i="785"/>
  <c r="C45" i="785"/>
  <c r="C46" i="785"/>
  <c r="C47" i="785"/>
  <c r="B44" i="785"/>
  <c r="C25" i="785"/>
  <c r="D25" i="785"/>
  <c r="E25" i="785"/>
  <c r="F25" i="785"/>
  <c r="G25" i="785"/>
  <c r="I25" i="785"/>
  <c r="J25" i="785"/>
  <c r="K25" i="785"/>
  <c r="L25" i="785"/>
  <c r="M25" i="785"/>
  <c r="N25" i="785"/>
  <c r="O25" i="785"/>
  <c r="C26" i="785"/>
  <c r="D26" i="785"/>
  <c r="E26" i="785"/>
  <c r="F26" i="785"/>
  <c r="G26" i="785"/>
  <c r="I26" i="785"/>
  <c r="J26" i="785"/>
  <c r="K26" i="785"/>
  <c r="L26" i="785"/>
  <c r="M26" i="785"/>
  <c r="N26" i="785"/>
  <c r="O26" i="785"/>
  <c r="C27" i="785"/>
  <c r="D27" i="785"/>
  <c r="E27" i="785"/>
  <c r="F27" i="785"/>
  <c r="G27" i="785"/>
  <c r="I27" i="785"/>
  <c r="J27" i="785"/>
  <c r="K27" i="785"/>
  <c r="L27" i="785"/>
  <c r="M27" i="785"/>
  <c r="N27" i="785"/>
  <c r="O27" i="785"/>
  <c r="C28" i="785"/>
  <c r="D28" i="785"/>
  <c r="E28" i="785"/>
  <c r="F28" i="785"/>
  <c r="G28" i="785"/>
  <c r="I28" i="785"/>
  <c r="J28" i="785"/>
  <c r="K28" i="785"/>
  <c r="L28" i="785"/>
  <c r="M28" i="785"/>
  <c r="N28" i="785"/>
  <c r="O28" i="785"/>
  <c r="C29" i="785"/>
  <c r="D29" i="785"/>
  <c r="E29" i="785"/>
  <c r="F29" i="785"/>
  <c r="G29" i="785"/>
  <c r="I29" i="785"/>
  <c r="J29" i="785"/>
  <c r="K29" i="785"/>
  <c r="L29" i="785"/>
  <c r="M29" i="785"/>
  <c r="N29" i="785"/>
  <c r="O29" i="785"/>
  <c r="C30" i="785"/>
  <c r="D30" i="785"/>
  <c r="E30" i="785"/>
  <c r="F30" i="785"/>
  <c r="G30" i="785"/>
  <c r="I30" i="785"/>
  <c r="J30" i="785"/>
  <c r="K30" i="785"/>
  <c r="L30" i="785"/>
  <c r="M30" i="785"/>
  <c r="N30" i="785"/>
  <c r="O30" i="785"/>
  <c r="C31" i="785"/>
  <c r="D31" i="785"/>
  <c r="E31" i="785"/>
  <c r="F31" i="785"/>
  <c r="G31" i="785"/>
  <c r="I31" i="785"/>
  <c r="J31" i="785"/>
  <c r="K31" i="785"/>
  <c r="L31" i="785"/>
  <c r="M31" i="785"/>
  <c r="N31" i="785"/>
  <c r="O31" i="785"/>
  <c r="C32" i="785"/>
  <c r="D32" i="785"/>
  <c r="E32" i="785"/>
  <c r="F32" i="785"/>
  <c r="G32" i="785"/>
  <c r="I32" i="785"/>
  <c r="J32" i="785"/>
  <c r="K32" i="785"/>
  <c r="L32" i="785"/>
  <c r="M32" i="785"/>
  <c r="N32" i="785"/>
  <c r="O32" i="785"/>
  <c r="F83" i="785"/>
  <c r="AX73" i="785"/>
  <c r="AW73" i="785"/>
  <c r="AV73" i="785"/>
  <c r="AU73" i="785"/>
  <c r="AT73" i="785"/>
  <c r="AS73" i="785"/>
  <c r="AR73" i="785"/>
  <c r="AQ73" i="785"/>
  <c r="AP73" i="785"/>
  <c r="AO73" i="785"/>
  <c r="AN73" i="785"/>
  <c r="AM73" i="785"/>
  <c r="AL73" i="785"/>
  <c r="AK73" i="785"/>
  <c r="AJ73" i="785"/>
  <c r="AI73" i="785"/>
  <c r="AH73" i="785"/>
  <c r="AG73" i="785"/>
  <c r="AF73" i="785"/>
  <c r="AE73" i="785"/>
  <c r="AD73" i="785"/>
  <c r="AC73" i="785"/>
  <c r="AB73" i="785"/>
  <c r="K68" i="785"/>
  <c r="L59" i="785" s="1"/>
  <c r="M59" i="785" s="1"/>
  <c r="D66" i="785"/>
  <c r="M53" i="785"/>
  <c r="M52" i="785"/>
  <c r="M51" i="785"/>
  <c r="M50" i="785"/>
  <c r="L50" i="785"/>
  <c r="K50" i="785"/>
  <c r="M49" i="785"/>
  <c r="M47" i="785"/>
  <c r="M46" i="785"/>
  <c r="K45" i="785"/>
  <c r="Z43" i="785"/>
  <c r="Y43" i="785"/>
  <c r="X43" i="785"/>
  <c r="W43" i="785"/>
  <c r="V43" i="785"/>
  <c r="U43" i="785"/>
  <c r="T43" i="785"/>
  <c r="S43" i="785"/>
  <c r="R43" i="785"/>
  <c r="Z42" i="785"/>
  <c r="Y42" i="785"/>
  <c r="X42" i="785"/>
  <c r="W42" i="785"/>
  <c r="V42" i="785"/>
  <c r="U42" i="785"/>
  <c r="T42" i="785"/>
  <c r="S42" i="785"/>
  <c r="R42" i="785"/>
  <c r="Z41" i="785"/>
  <c r="Y41" i="785"/>
  <c r="X41" i="785"/>
  <c r="W41" i="785"/>
  <c r="V41" i="785"/>
  <c r="U41" i="785"/>
  <c r="T41" i="785"/>
  <c r="S41" i="785"/>
  <c r="R41" i="785"/>
  <c r="Z40" i="785"/>
  <c r="Y40" i="785"/>
  <c r="X40" i="785"/>
  <c r="W40" i="785"/>
  <c r="V40" i="785"/>
  <c r="U40" i="785"/>
  <c r="T40" i="785"/>
  <c r="S40" i="785"/>
  <c r="R40" i="785"/>
  <c r="Z39" i="785"/>
  <c r="Y39" i="785"/>
  <c r="X39" i="785"/>
  <c r="W39" i="785"/>
  <c r="V39" i="785"/>
  <c r="U39" i="785"/>
  <c r="T39" i="785"/>
  <c r="S39" i="785"/>
  <c r="R39" i="785"/>
  <c r="Z38" i="785"/>
  <c r="Y38" i="785"/>
  <c r="X38" i="785"/>
  <c r="W38" i="785"/>
  <c r="V38" i="785"/>
  <c r="U38" i="785"/>
  <c r="T38" i="785"/>
  <c r="S38" i="785"/>
  <c r="R38" i="785"/>
  <c r="Z37" i="785"/>
  <c r="Y37" i="785"/>
  <c r="X37" i="785"/>
  <c r="W37" i="785"/>
  <c r="V37" i="785"/>
  <c r="U37" i="785"/>
  <c r="T37" i="785"/>
  <c r="S37" i="785"/>
  <c r="R37" i="785"/>
  <c r="Z36" i="785"/>
  <c r="Y36" i="785"/>
  <c r="X36" i="785"/>
  <c r="W36" i="785"/>
  <c r="V36" i="785"/>
  <c r="U36" i="785"/>
  <c r="T36" i="785"/>
  <c r="S36" i="785"/>
  <c r="R36" i="785"/>
  <c r="Z35" i="785"/>
  <c r="Y35" i="785"/>
  <c r="X35" i="785"/>
  <c r="W35" i="785"/>
  <c r="V35" i="785"/>
  <c r="U35" i="785"/>
  <c r="T35" i="785"/>
  <c r="S35" i="785"/>
  <c r="R35" i="785"/>
  <c r="Z34" i="785"/>
  <c r="Y34" i="785"/>
  <c r="X34" i="785"/>
  <c r="W34" i="785"/>
  <c r="V34" i="785"/>
  <c r="U34" i="785"/>
  <c r="T34" i="785"/>
  <c r="S34" i="785"/>
  <c r="R34" i="785"/>
  <c r="Z33" i="785"/>
  <c r="Y33" i="785"/>
  <c r="X33" i="785"/>
  <c r="W33" i="785"/>
  <c r="V33" i="785"/>
  <c r="U33" i="785"/>
  <c r="T33" i="785"/>
  <c r="S33" i="785"/>
  <c r="R33" i="785"/>
  <c r="Z32" i="785"/>
  <c r="Y32" i="785"/>
  <c r="X32" i="785"/>
  <c r="W32" i="785"/>
  <c r="V32" i="785"/>
  <c r="U32" i="785"/>
  <c r="T32" i="785"/>
  <c r="S32" i="785"/>
  <c r="R32" i="785"/>
  <c r="Z31" i="785"/>
  <c r="Y31" i="785"/>
  <c r="X31" i="785"/>
  <c r="W31" i="785"/>
  <c r="V31" i="785"/>
  <c r="U31" i="785"/>
  <c r="T31" i="785"/>
  <c r="S31" i="785"/>
  <c r="R31" i="785"/>
  <c r="Z30" i="785"/>
  <c r="Y30" i="785"/>
  <c r="X30" i="785"/>
  <c r="W30" i="785"/>
  <c r="V30" i="785"/>
  <c r="U30" i="785"/>
  <c r="T30" i="785"/>
  <c r="S30" i="785"/>
  <c r="R30" i="785"/>
  <c r="Z29" i="785"/>
  <c r="Y29" i="785"/>
  <c r="X29" i="785"/>
  <c r="W29" i="785"/>
  <c r="V29" i="785"/>
  <c r="U29" i="785"/>
  <c r="T29" i="785"/>
  <c r="S29" i="785"/>
  <c r="R29" i="785"/>
  <c r="Z28" i="785"/>
  <c r="Y28" i="785"/>
  <c r="X28" i="785"/>
  <c r="W28" i="785"/>
  <c r="V28" i="785"/>
  <c r="U28" i="785"/>
  <c r="T28" i="785"/>
  <c r="S28" i="785"/>
  <c r="R28" i="785"/>
  <c r="Z27" i="785"/>
  <c r="Y27" i="785"/>
  <c r="X27" i="785"/>
  <c r="W27" i="785"/>
  <c r="V27" i="785"/>
  <c r="U27" i="785"/>
  <c r="T27" i="785"/>
  <c r="S27" i="785"/>
  <c r="R27" i="785"/>
  <c r="Z26" i="785"/>
  <c r="Y26" i="785"/>
  <c r="X26" i="785"/>
  <c r="W26" i="785"/>
  <c r="V26" i="785"/>
  <c r="U26" i="785"/>
  <c r="T26" i="785"/>
  <c r="S26" i="785"/>
  <c r="R26" i="785"/>
  <c r="Z25" i="785"/>
  <c r="Y25" i="785"/>
  <c r="X25" i="785"/>
  <c r="W25" i="785"/>
  <c r="V25" i="785"/>
  <c r="U25" i="785"/>
  <c r="T25" i="785"/>
  <c r="S25" i="785"/>
  <c r="R25" i="785"/>
  <c r="Z24" i="785"/>
  <c r="Y24" i="785"/>
  <c r="X24" i="785"/>
  <c r="W24" i="785"/>
  <c r="V24" i="785"/>
  <c r="U24" i="785"/>
  <c r="T24" i="785"/>
  <c r="S24" i="785"/>
  <c r="R24" i="785"/>
  <c r="Z23" i="785"/>
  <c r="Y23" i="785"/>
  <c r="X23" i="785"/>
  <c r="W23" i="785"/>
  <c r="V23" i="785"/>
  <c r="U23" i="785"/>
  <c r="T23" i="785"/>
  <c r="S23" i="785"/>
  <c r="R23" i="785"/>
  <c r="Z22" i="785"/>
  <c r="Y22" i="785"/>
  <c r="X22" i="785"/>
  <c r="W22" i="785"/>
  <c r="V22" i="785"/>
  <c r="U22" i="785"/>
  <c r="T22" i="785"/>
  <c r="S22" i="785"/>
  <c r="R22" i="785"/>
  <c r="Z21" i="785"/>
  <c r="Y21" i="785"/>
  <c r="X21" i="785"/>
  <c r="W21" i="785"/>
  <c r="V21" i="785"/>
  <c r="U21" i="785"/>
  <c r="T21" i="785"/>
  <c r="S21" i="785"/>
  <c r="R21" i="785"/>
  <c r="Z20" i="785"/>
  <c r="Y20" i="785"/>
  <c r="X20" i="785"/>
  <c r="W20" i="785"/>
  <c r="V20" i="785"/>
  <c r="U20" i="785"/>
  <c r="R20" i="785"/>
  <c r="Z19" i="785"/>
  <c r="Y19" i="785"/>
  <c r="X19" i="785"/>
  <c r="W19" i="785"/>
  <c r="V19" i="785"/>
  <c r="U19" i="785"/>
  <c r="R19" i="785"/>
  <c r="Z18" i="785"/>
  <c r="Y18" i="785"/>
  <c r="X18" i="785"/>
  <c r="W18" i="785"/>
  <c r="V18" i="785"/>
  <c r="U18" i="785"/>
  <c r="R18" i="785"/>
  <c r="Z17" i="785"/>
  <c r="Y17" i="785"/>
  <c r="X17" i="785"/>
  <c r="W17" i="785"/>
  <c r="V17" i="785"/>
  <c r="U17" i="785"/>
  <c r="R17" i="785"/>
  <c r="Z16" i="785"/>
  <c r="Y16" i="785"/>
  <c r="X16" i="785"/>
  <c r="W16" i="785"/>
  <c r="V16" i="785"/>
  <c r="U16" i="785"/>
  <c r="R16" i="785"/>
  <c r="Z15" i="785"/>
  <c r="Y15" i="785"/>
  <c r="X15" i="785"/>
  <c r="W15" i="785"/>
  <c r="V15" i="785"/>
  <c r="U15" i="785"/>
  <c r="R15" i="785"/>
  <c r="Z13" i="785"/>
  <c r="Y13" i="785"/>
  <c r="X13" i="785"/>
  <c r="W13" i="785"/>
  <c r="V13" i="785"/>
  <c r="U13" i="785"/>
  <c r="T13" i="785"/>
  <c r="S13" i="785"/>
  <c r="R13" i="785"/>
  <c r="Z12" i="785"/>
  <c r="Y12" i="785"/>
  <c r="X12" i="785"/>
  <c r="W12" i="785"/>
  <c r="V12" i="785"/>
  <c r="U12" i="785"/>
  <c r="T12" i="785"/>
  <c r="S12" i="785"/>
  <c r="R12" i="785"/>
  <c r="Z11" i="785"/>
  <c r="Y11" i="785"/>
  <c r="X11" i="785"/>
  <c r="W11" i="785"/>
  <c r="V11" i="785"/>
  <c r="U11" i="785"/>
  <c r="T11" i="785"/>
  <c r="S11" i="785"/>
  <c r="R11" i="785"/>
  <c r="Z10" i="785"/>
  <c r="Y10" i="785"/>
  <c r="X10" i="785"/>
  <c r="W10" i="785"/>
  <c r="V10" i="785"/>
  <c r="U10" i="785"/>
  <c r="T10" i="785"/>
  <c r="S10" i="785"/>
  <c r="R10" i="785"/>
  <c r="R27" i="784"/>
  <c r="S27" i="784"/>
  <c r="T27" i="784"/>
  <c r="U27" i="784"/>
  <c r="V27" i="784"/>
  <c r="W27" i="784"/>
  <c r="X27" i="784"/>
  <c r="Y27" i="784"/>
  <c r="Z27" i="784"/>
  <c r="R28" i="784"/>
  <c r="S28" i="784"/>
  <c r="T28" i="784"/>
  <c r="U28" i="784"/>
  <c r="V28" i="784"/>
  <c r="W28" i="784"/>
  <c r="X28" i="784"/>
  <c r="Y28" i="784"/>
  <c r="Z28" i="784"/>
  <c r="R29" i="784"/>
  <c r="S29" i="784"/>
  <c r="T29" i="784"/>
  <c r="U29" i="784"/>
  <c r="V29" i="784"/>
  <c r="W29" i="784"/>
  <c r="X29" i="784"/>
  <c r="Y29" i="784"/>
  <c r="Z29" i="784"/>
  <c r="R30" i="784"/>
  <c r="S30" i="784"/>
  <c r="T30" i="784"/>
  <c r="U30" i="784"/>
  <c r="V30" i="784"/>
  <c r="W30" i="784"/>
  <c r="X30" i="784"/>
  <c r="Y30" i="784"/>
  <c r="Z30" i="784"/>
  <c r="R31" i="784"/>
  <c r="S31" i="784"/>
  <c r="T31" i="784"/>
  <c r="U31" i="784"/>
  <c r="V31" i="784"/>
  <c r="W31" i="784"/>
  <c r="X31" i="784"/>
  <c r="Y31" i="784"/>
  <c r="Z31" i="784"/>
  <c r="R32" i="784"/>
  <c r="S32" i="784"/>
  <c r="T32" i="784"/>
  <c r="U32" i="784"/>
  <c r="V32" i="784"/>
  <c r="W32" i="784"/>
  <c r="X32" i="784"/>
  <c r="Y32" i="784"/>
  <c r="Z32" i="784"/>
  <c r="R33" i="784"/>
  <c r="S33" i="784"/>
  <c r="T33" i="784"/>
  <c r="U33" i="784"/>
  <c r="V33" i="784"/>
  <c r="W33" i="784"/>
  <c r="X33" i="784"/>
  <c r="Y33" i="784"/>
  <c r="Z33" i="784"/>
  <c r="K45" i="784"/>
  <c r="J44" i="785" l="1"/>
  <c r="K54" i="785"/>
  <c r="M44" i="784"/>
  <c r="L44" i="784"/>
  <c r="K44" i="784"/>
  <c r="K73" i="784"/>
  <c r="K84" i="784" s="1"/>
  <c r="G73" i="784"/>
  <c r="B73" i="784" l="1"/>
  <c r="C44" i="784"/>
  <c r="C45" i="784"/>
  <c r="C46" i="784"/>
  <c r="C47" i="784"/>
  <c r="C48" i="784"/>
  <c r="C49" i="784"/>
  <c r="C50" i="784"/>
  <c r="C51" i="784"/>
  <c r="C52" i="784"/>
  <c r="C53" i="784"/>
  <c r="B44" i="784"/>
  <c r="D28" i="784"/>
  <c r="E28" i="784"/>
  <c r="F28" i="784"/>
  <c r="G28" i="784"/>
  <c r="L28" i="784"/>
  <c r="M28" i="784"/>
  <c r="O28" i="784"/>
  <c r="C29" i="784"/>
  <c r="D29" i="784"/>
  <c r="E29" i="784"/>
  <c r="F29" i="784"/>
  <c r="G29" i="784"/>
  <c r="L29" i="784"/>
  <c r="M29" i="784"/>
  <c r="O29" i="784"/>
  <c r="C30" i="784"/>
  <c r="D30" i="784"/>
  <c r="E30" i="784"/>
  <c r="F30" i="784"/>
  <c r="G30" i="784"/>
  <c r="L30" i="784"/>
  <c r="M30" i="784"/>
  <c r="O30" i="784"/>
  <c r="C31" i="784"/>
  <c r="D31" i="784"/>
  <c r="E31" i="784"/>
  <c r="F31" i="784"/>
  <c r="G31" i="784"/>
  <c r="L31" i="784"/>
  <c r="M31" i="784"/>
  <c r="O31" i="784"/>
  <c r="C32" i="784"/>
  <c r="D32" i="784"/>
  <c r="E32" i="784"/>
  <c r="F32" i="784"/>
  <c r="G32" i="784"/>
  <c r="L32" i="784"/>
  <c r="M32" i="784"/>
  <c r="N32" i="784"/>
  <c r="O32" i="784"/>
  <c r="C33" i="784"/>
  <c r="D33" i="784"/>
  <c r="E33" i="784"/>
  <c r="F33" i="784"/>
  <c r="G33" i="784"/>
  <c r="L33" i="784"/>
  <c r="M33" i="784"/>
  <c r="N33" i="784"/>
  <c r="O33" i="784"/>
  <c r="C34" i="784"/>
  <c r="D34" i="784"/>
  <c r="E34" i="784"/>
  <c r="F34" i="784"/>
  <c r="G34" i="784"/>
  <c r="L34" i="784"/>
  <c r="M34" i="784"/>
  <c r="N34" i="784"/>
  <c r="O34" i="784"/>
  <c r="O27" i="784"/>
  <c r="M27" i="784"/>
  <c r="L27" i="784"/>
  <c r="G27" i="784"/>
  <c r="F27" i="784"/>
  <c r="E27" i="784"/>
  <c r="D27" i="784"/>
  <c r="D24" i="784"/>
  <c r="E24" i="784"/>
  <c r="F24" i="784"/>
  <c r="G24" i="784"/>
  <c r="L24" i="784"/>
  <c r="M24" i="784"/>
  <c r="O24" i="784"/>
  <c r="F83" i="784"/>
  <c r="AX73" i="784"/>
  <c r="AW73" i="784"/>
  <c r="AV73" i="784"/>
  <c r="AU73" i="784"/>
  <c r="AT73" i="784"/>
  <c r="AS73" i="784"/>
  <c r="AR73" i="784"/>
  <c r="AQ73" i="784"/>
  <c r="AP73" i="784"/>
  <c r="AO73" i="784"/>
  <c r="AN73" i="784"/>
  <c r="AM73" i="784"/>
  <c r="AL73" i="784"/>
  <c r="AK73" i="784"/>
  <c r="AJ73" i="784"/>
  <c r="AI73" i="784"/>
  <c r="AH73" i="784"/>
  <c r="AG73" i="784"/>
  <c r="AF73" i="784"/>
  <c r="AE73" i="784"/>
  <c r="AD73" i="784"/>
  <c r="AC73" i="784"/>
  <c r="AB73" i="784"/>
  <c r="K68" i="784"/>
  <c r="L59" i="784" s="1"/>
  <c r="M59" i="784" s="1"/>
  <c r="D66" i="784"/>
  <c r="M53" i="784"/>
  <c r="M52" i="784"/>
  <c r="M51" i="784"/>
  <c r="L50" i="784"/>
  <c r="K50" i="784"/>
  <c r="K54" i="784" s="1"/>
  <c r="M49" i="784"/>
  <c r="M47" i="784"/>
  <c r="M46" i="784"/>
  <c r="Z43" i="784"/>
  <c r="Y43" i="784"/>
  <c r="X43" i="784"/>
  <c r="W43" i="784"/>
  <c r="V43" i="784"/>
  <c r="U43" i="784"/>
  <c r="T43" i="784"/>
  <c r="S43" i="784"/>
  <c r="R43" i="784"/>
  <c r="Z42" i="784"/>
  <c r="Y42" i="784"/>
  <c r="X42" i="784"/>
  <c r="W42" i="784"/>
  <c r="V42" i="784"/>
  <c r="U42" i="784"/>
  <c r="T42" i="784"/>
  <c r="S42" i="784"/>
  <c r="R42" i="784"/>
  <c r="Z41" i="784"/>
  <c r="Y41" i="784"/>
  <c r="X41" i="784"/>
  <c r="W41" i="784"/>
  <c r="V41" i="784"/>
  <c r="U41" i="784"/>
  <c r="T41" i="784"/>
  <c r="S41" i="784"/>
  <c r="R41" i="784"/>
  <c r="Z40" i="784"/>
  <c r="Y40" i="784"/>
  <c r="X40" i="784"/>
  <c r="W40" i="784"/>
  <c r="V40" i="784"/>
  <c r="U40" i="784"/>
  <c r="T40" i="784"/>
  <c r="S40" i="784"/>
  <c r="R40" i="784"/>
  <c r="Z39" i="784"/>
  <c r="Y39" i="784"/>
  <c r="X39" i="784"/>
  <c r="W39" i="784"/>
  <c r="V39" i="784"/>
  <c r="U39" i="784"/>
  <c r="T39" i="784"/>
  <c r="S39" i="784"/>
  <c r="R39" i="784"/>
  <c r="Z38" i="784"/>
  <c r="Y38" i="784"/>
  <c r="X38" i="784"/>
  <c r="W38" i="784"/>
  <c r="V38" i="784"/>
  <c r="U38" i="784"/>
  <c r="T38" i="784"/>
  <c r="S38" i="784"/>
  <c r="R38" i="784"/>
  <c r="Z37" i="784"/>
  <c r="Y37" i="784"/>
  <c r="X37" i="784"/>
  <c r="W37" i="784"/>
  <c r="V37" i="784"/>
  <c r="U37" i="784"/>
  <c r="T37" i="784"/>
  <c r="S37" i="784"/>
  <c r="R37" i="784"/>
  <c r="Z36" i="784"/>
  <c r="Y36" i="784"/>
  <c r="X36" i="784"/>
  <c r="W36" i="784"/>
  <c r="V36" i="784"/>
  <c r="U36" i="784"/>
  <c r="T36" i="784"/>
  <c r="S36" i="784"/>
  <c r="R36" i="784"/>
  <c r="Z35" i="784"/>
  <c r="Y35" i="784"/>
  <c r="X35" i="784"/>
  <c r="W35" i="784"/>
  <c r="V35" i="784"/>
  <c r="U35" i="784"/>
  <c r="T35" i="784"/>
  <c r="S35" i="784"/>
  <c r="R35" i="784"/>
  <c r="Z34" i="784"/>
  <c r="Y34" i="784"/>
  <c r="X34" i="784"/>
  <c r="W34" i="784"/>
  <c r="V34" i="784"/>
  <c r="U34" i="784"/>
  <c r="T34" i="784"/>
  <c r="S34" i="784"/>
  <c r="R34" i="784"/>
  <c r="Z26" i="784"/>
  <c r="Y26" i="784"/>
  <c r="X26" i="784"/>
  <c r="W26" i="784"/>
  <c r="V26" i="784"/>
  <c r="U26" i="784"/>
  <c r="T26" i="784"/>
  <c r="S26" i="784"/>
  <c r="R26" i="784"/>
  <c r="Z25" i="784"/>
  <c r="Y25" i="784"/>
  <c r="X25" i="784"/>
  <c r="W25" i="784"/>
  <c r="V25" i="784"/>
  <c r="U25" i="784"/>
  <c r="T25" i="784"/>
  <c r="S25" i="784"/>
  <c r="R25" i="784"/>
  <c r="Z24" i="784"/>
  <c r="Y24" i="784"/>
  <c r="X24" i="784"/>
  <c r="W24" i="784"/>
  <c r="V24" i="784"/>
  <c r="U24" i="784"/>
  <c r="T24" i="784"/>
  <c r="S24" i="784"/>
  <c r="R24" i="784"/>
  <c r="Z23" i="784"/>
  <c r="Y23" i="784"/>
  <c r="X23" i="784"/>
  <c r="W23" i="784"/>
  <c r="V23" i="784"/>
  <c r="U23" i="784"/>
  <c r="T23" i="784"/>
  <c r="S23" i="784"/>
  <c r="R23" i="784"/>
  <c r="Z22" i="784"/>
  <c r="Y22" i="784"/>
  <c r="X22" i="784"/>
  <c r="W22" i="784"/>
  <c r="V22" i="784"/>
  <c r="U22" i="784"/>
  <c r="T22" i="784"/>
  <c r="S22" i="784"/>
  <c r="R22" i="784"/>
  <c r="Z21" i="784"/>
  <c r="Y21" i="784"/>
  <c r="X21" i="784"/>
  <c r="W21" i="784"/>
  <c r="V21" i="784"/>
  <c r="U21" i="784"/>
  <c r="T21" i="784"/>
  <c r="S21" i="784"/>
  <c r="R21" i="784"/>
  <c r="Z20" i="784"/>
  <c r="Y20" i="784"/>
  <c r="X20" i="784"/>
  <c r="W20" i="784"/>
  <c r="V20" i="784"/>
  <c r="U20" i="784"/>
  <c r="R20" i="784"/>
  <c r="Z19" i="784"/>
  <c r="Y19" i="784"/>
  <c r="X19" i="784"/>
  <c r="W19" i="784"/>
  <c r="V19" i="784"/>
  <c r="U19" i="784"/>
  <c r="R19" i="784"/>
  <c r="Z18" i="784"/>
  <c r="Y18" i="784"/>
  <c r="X18" i="784"/>
  <c r="W18" i="784"/>
  <c r="V18" i="784"/>
  <c r="U18" i="784"/>
  <c r="R18" i="784"/>
  <c r="Z17" i="784"/>
  <c r="Y17" i="784"/>
  <c r="X17" i="784"/>
  <c r="W17" i="784"/>
  <c r="V17" i="784"/>
  <c r="U17" i="784"/>
  <c r="R17" i="784"/>
  <c r="Z16" i="784"/>
  <c r="Y16" i="784"/>
  <c r="X16" i="784"/>
  <c r="W16" i="784"/>
  <c r="V16" i="784"/>
  <c r="U16" i="784"/>
  <c r="R16" i="784"/>
  <c r="Z15" i="784"/>
  <c r="Y15" i="784"/>
  <c r="X15" i="784"/>
  <c r="W15" i="784"/>
  <c r="V15" i="784"/>
  <c r="U15" i="784"/>
  <c r="R15" i="784"/>
  <c r="Z13" i="784"/>
  <c r="Y13" i="784"/>
  <c r="X13" i="784"/>
  <c r="W13" i="784"/>
  <c r="V13" i="784"/>
  <c r="U13" i="784"/>
  <c r="T13" i="784"/>
  <c r="S13" i="784"/>
  <c r="R13" i="784"/>
  <c r="Z12" i="784"/>
  <c r="Y12" i="784"/>
  <c r="X12" i="784"/>
  <c r="W12" i="784"/>
  <c r="V12" i="784"/>
  <c r="U12" i="784"/>
  <c r="T12" i="784"/>
  <c r="S12" i="784"/>
  <c r="R12" i="784"/>
  <c r="Z11" i="784"/>
  <c r="Y11" i="784"/>
  <c r="X11" i="784"/>
  <c r="W11" i="784"/>
  <c r="V11" i="784"/>
  <c r="U11" i="784"/>
  <c r="T11" i="784"/>
  <c r="S11" i="784"/>
  <c r="R11" i="784"/>
  <c r="Z10" i="784"/>
  <c r="Y10" i="784"/>
  <c r="X10" i="784"/>
  <c r="W10" i="784"/>
  <c r="V10" i="784"/>
  <c r="U10" i="784"/>
  <c r="T10" i="784"/>
  <c r="S10" i="784"/>
  <c r="R10" i="784"/>
  <c r="M44" i="783"/>
  <c r="L44" i="783"/>
  <c r="K44" i="783"/>
  <c r="C21" i="783"/>
  <c r="C22" i="783"/>
  <c r="C23" i="783"/>
  <c r="D21" i="783"/>
  <c r="E21" i="783"/>
  <c r="F21" i="783"/>
  <c r="G21" i="783"/>
  <c r="I21" i="783"/>
  <c r="J21" i="783"/>
  <c r="K21" i="783"/>
  <c r="L21" i="783"/>
  <c r="M21" i="783"/>
  <c r="N21" i="783"/>
  <c r="O21" i="783"/>
  <c r="D22" i="783"/>
  <c r="E22" i="783"/>
  <c r="F22" i="783"/>
  <c r="G22" i="783"/>
  <c r="I22" i="783"/>
  <c r="J22" i="783"/>
  <c r="K22" i="783"/>
  <c r="L22" i="783"/>
  <c r="M22" i="783"/>
  <c r="N22" i="783"/>
  <c r="O22" i="783"/>
  <c r="D23" i="783"/>
  <c r="E23" i="783"/>
  <c r="F23" i="783"/>
  <c r="G23" i="783"/>
  <c r="I23" i="783"/>
  <c r="J23" i="783"/>
  <c r="K23" i="783"/>
  <c r="L23" i="783"/>
  <c r="M23" i="783"/>
  <c r="N23" i="783"/>
  <c r="O23" i="783"/>
  <c r="K45" i="783"/>
  <c r="J44" i="783" l="1"/>
  <c r="M50" i="784"/>
  <c r="C15" i="783"/>
  <c r="C16" i="783"/>
  <c r="C11" i="783"/>
  <c r="D11" i="783"/>
  <c r="E11" i="783"/>
  <c r="F11" i="783"/>
  <c r="G11" i="783"/>
  <c r="L11" i="783"/>
  <c r="M11" i="783"/>
  <c r="O11" i="783"/>
  <c r="C12" i="783"/>
  <c r="D12" i="783"/>
  <c r="E12" i="783"/>
  <c r="F12" i="783"/>
  <c r="G12" i="783"/>
  <c r="L12" i="783"/>
  <c r="M12" i="783"/>
  <c r="O12" i="783"/>
  <c r="C13" i="783"/>
  <c r="D13" i="783"/>
  <c r="E13" i="783"/>
  <c r="F13" i="783"/>
  <c r="G13" i="783"/>
  <c r="L13" i="783"/>
  <c r="M13" i="783"/>
  <c r="O13" i="783"/>
  <c r="C14" i="783"/>
  <c r="D14" i="783"/>
  <c r="E14" i="783"/>
  <c r="F14" i="783"/>
  <c r="G14" i="783"/>
  <c r="L14" i="783"/>
  <c r="M14" i="783"/>
  <c r="O14" i="783"/>
  <c r="D15" i="783"/>
  <c r="E15" i="783"/>
  <c r="F15" i="783"/>
  <c r="G15" i="783"/>
  <c r="L15" i="783"/>
  <c r="M15" i="783"/>
  <c r="N15" i="783"/>
  <c r="O15" i="783"/>
  <c r="D16" i="783"/>
  <c r="E16" i="783"/>
  <c r="F16" i="783"/>
  <c r="G16" i="783"/>
  <c r="L16" i="783"/>
  <c r="M16" i="783"/>
  <c r="N16" i="783"/>
  <c r="O16" i="783"/>
  <c r="O10" i="783"/>
  <c r="N10" i="783"/>
  <c r="M10" i="783"/>
  <c r="L10" i="783"/>
  <c r="J10" i="783"/>
  <c r="I10" i="783"/>
  <c r="G10" i="783"/>
  <c r="F10" i="783"/>
  <c r="E10" i="783"/>
  <c r="D10" i="783"/>
  <c r="C10" i="783"/>
  <c r="N11" i="783"/>
  <c r="N12" i="783"/>
  <c r="N13" i="783"/>
  <c r="N14" i="783"/>
  <c r="J13" i="783"/>
  <c r="K73" i="783"/>
  <c r="K78" i="783" s="1"/>
  <c r="G73" i="783"/>
  <c r="J14" i="783" l="1"/>
  <c r="J11" i="783"/>
  <c r="I14" i="783"/>
  <c r="J12" i="783"/>
  <c r="I11" i="783"/>
  <c r="J15" i="783"/>
  <c r="L59" i="783"/>
  <c r="C56" i="783"/>
  <c r="C57" i="783"/>
  <c r="C58" i="783"/>
  <c r="C59" i="783"/>
  <c r="C60" i="783"/>
  <c r="C61" i="783"/>
  <c r="C62" i="783"/>
  <c r="C63" i="783"/>
  <c r="B56" i="783"/>
  <c r="F83" i="783"/>
  <c r="AX73" i="783"/>
  <c r="AW73" i="783"/>
  <c r="AV73" i="783"/>
  <c r="AU73" i="783"/>
  <c r="AT73" i="783"/>
  <c r="AS73" i="783"/>
  <c r="AR73" i="783"/>
  <c r="AQ73" i="783"/>
  <c r="AP73" i="783"/>
  <c r="AO73" i="783"/>
  <c r="AN73" i="783"/>
  <c r="AM73" i="783"/>
  <c r="AL73" i="783"/>
  <c r="AK73" i="783"/>
  <c r="AJ73" i="783"/>
  <c r="AI73" i="783"/>
  <c r="AH73" i="783"/>
  <c r="AG73" i="783"/>
  <c r="AF73" i="783"/>
  <c r="AE73" i="783"/>
  <c r="AD73" i="783"/>
  <c r="AC73" i="783"/>
  <c r="AB73" i="783"/>
  <c r="B73" i="783"/>
  <c r="K68" i="783"/>
  <c r="D66" i="783"/>
  <c r="M53" i="783"/>
  <c r="M52" i="783"/>
  <c r="M51" i="783"/>
  <c r="M50" i="783"/>
  <c r="L50" i="783"/>
  <c r="K50" i="783"/>
  <c r="M49" i="783"/>
  <c r="M47" i="783"/>
  <c r="M46" i="783"/>
  <c r="Z43" i="783"/>
  <c r="Y43" i="783"/>
  <c r="X43" i="783"/>
  <c r="W43" i="783"/>
  <c r="V43" i="783"/>
  <c r="U43" i="783"/>
  <c r="T43" i="783"/>
  <c r="S43" i="783"/>
  <c r="R43" i="783"/>
  <c r="Z42" i="783"/>
  <c r="Y42" i="783"/>
  <c r="X42" i="783"/>
  <c r="W42" i="783"/>
  <c r="V42" i="783"/>
  <c r="U42" i="783"/>
  <c r="T42" i="783"/>
  <c r="S42" i="783"/>
  <c r="R42" i="783"/>
  <c r="Z41" i="783"/>
  <c r="Y41" i="783"/>
  <c r="X41" i="783"/>
  <c r="W41" i="783"/>
  <c r="V41" i="783"/>
  <c r="U41" i="783"/>
  <c r="T41" i="783"/>
  <c r="S41" i="783"/>
  <c r="R41" i="783"/>
  <c r="Z40" i="783"/>
  <c r="Y40" i="783"/>
  <c r="X40" i="783"/>
  <c r="W40" i="783"/>
  <c r="V40" i="783"/>
  <c r="U40" i="783"/>
  <c r="T40" i="783"/>
  <c r="S40" i="783"/>
  <c r="R40" i="783"/>
  <c r="Z39" i="783"/>
  <c r="Y39" i="783"/>
  <c r="X39" i="783"/>
  <c r="W39" i="783"/>
  <c r="V39" i="783"/>
  <c r="U39" i="783"/>
  <c r="T39" i="783"/>
  <c r="S39" i="783"/>
  <c r="R39" i="783"/>
  <c r="Z38" i="783"/>
  <c r="Y38" i="783"/>
  <c r="X38" i="783"/>
  <c r="W38" i="783"/>
  <c r="V38" i="783"/>
  <c r="U38" i="783"/>
  <c r="T38" i="783"/>
  <c r="S38" i="783"/>
  <c r="R38" i="783"/>
  <c r="Z37" i="783"/>
  <c r="Y37" i="783"/>
  <c r="X37" i="783"/>
  <c r="W37" i="783"/>
  <c r="V37" i="783"/>
  <c r="U37" i="783"/>
  <c r="T37" i="783"/>
  <c r="S37" i="783"/>
  <c r="R37" i="783"/>
  <c r="Z36" i="783"/>
  <c r="Y36" i="783"/>
  <c r="X36" i="783"/>
  <c r="W36" i="783"/>
  <c r="V36" i="783"/>
  <c r="U36" i="783"/>
  <c r="T36" i="783"/>
  <c r="S36" i="783"/>
  <c r="R36" i="783"/>
  <c r="Z35" i="783"/>
  <c r="Y35" i="783"/>
  <c r="X35" i="783"/>
  <c r="W35" i="783"/>
  <c r="V35" i="783"/>
  <c r="U35" i="783"/>
  <c r="T35" i="783"/>
  <c r="S35" i="783"/>
  <c r="R35" i="783"/>
  <c r="Z34" i="783"/>
  <c r="Y34" i="783"/>
  <c r="X34" i="783"/>
  <c r="W34" i="783"/>
  <c r="V34" i="783"/>
  <c r="U34" i="783"/>
  <c r="T34" i="783"/>
  <c r="S34" i="783"/>
  <c r="R34" i="783"/>
  <c r="Z33" i="783"/>
  <c r="Y33" i="783"/>
  <c r="X33" i="783"/>
  <c r="W33" i="783"/>
  <c r="V33" i="783"/>
  <c r="U33" i="783"/>
  <c r="T33" i="783"/>
  <c r="S33" i="783"/>
  <c r="R33" i="783"/>
  <c r="Z32" i="783"/>
  <c r="Y32" i="783"/>
  <c r="X32" i="783"/>
  <c r="W32" i="783"/>
  <c r="V32" i="783"/>
  <c r="U32" i="783"/>
  <c r="T32" i="783"/>
  <c r="S32" i="783"/>
  <c r="R32" i="783"/>
  <c r="Z31" i="783"/>
  <c r="Y31" i="783"/>
  <c r="X31" i="783"/>
  <c r="W31" i="783"/>
  <c r="V31" i="783"/>
  <c r="U31" i="783"/>
  <c r="T31" i="783"/>
  <c r="S31" i="783"/>
  <c r="R31" i="783"/>
  <c r="Z30" i="783"/>
  <c r="Y30" i="783"/>
  <c r="X30" i="783"/>
  <c r="W30" i="783"/>
  <c r="V30" i="783"/>
  <c r="U30" i="783"/>
  <c r="T30" i="783"/>
  <c r="S30" i="783"/>
  <c r="R30" i="783"/>
  <c r="Z29" i="783"/>
  <c r="Y29" i="783"/>
  <c r="X29" i="783"/>
  <c r="W29" i="783"/>
  <c r="V29" i="783"/>
  <c r="U29" i="783"/>
  <c r="T29" i="783"/>
  <c r="S29" i="783"/>
  <c r="R29" i="783"/>
  <c r="Z26" i="783"/>
  <c r="Y26" i="783"/>
  <c r="X26" i="783"/>
  <c r="W26" i="783"/>
  <c r="V26" i="783"/>
  <c r="U26" i="783"/>
  <c r="T26" i="783"/>
  <c r="S26" i="783"/>
  <c r="R26" i="783"/>
  <c r="Z25" i="783"/>
  <c r="Y25" i="783"/>
  <c r="X25" i="783"/>
  <c r="W25" i="783"/>
  <c r="V25" i="783"/>
  <c r="U25" i="783"/>
  <c r="T25" i="783"/>
  <c r="S25" i="783"/>
  <c r="R25" i="783"/>
  <c r="Z24" i="783"/>
  <c r="Y24" i="783"/>
  <c r="X24" i="783"/>
  <c r="W24" i="783"/>
  <c r="V24" i="783"/>
  <c r="U24" i="783"/>
  <c r="T24" i="783"/>
  <c r="S24" i="783"/>
  <c r="R24" i="783"/>
  <c r="Z23" i="783"/>
  <c r="Y23" i="783"/>
  <c r="X23" i="783"/>
  <c r="W23" i="783"/>
  <c r="V23" i="783"/>
  <c r="U23" i="783"/>
  <c r="T23" i="783"/>
  <c r="S23" i="783"/>
  <c r="R23" i="783"/>
  <c r="Z22" i="783"/>
  <c r="Y22" i="783"/>
  <c r="X22" i="783"/>
  <c r="W22" i="783"/>
  <c r="V22" i="783"/>
  <c r="U22" i="783"/>
  <c r="T22" i="783"/>
  <c r="S22" i="783"/>
  <c r="R22" i="783"/>
  <c r="Z21" i="783"/>
  <c r="Y21" i="783"/>
  <c r="X21" i="783"/>
  <c r="W21" i="783"/>
  <c r="V21" i="783"/>
  <c r="U21" i="783"/>
  <c r="T21" i="783"/>
  <c r="S21" i="783"/>
  <c r="R21" i="783"/>
  <c r="Z20" i="783"/>
  <c r="Y20" i="783"/>
  <c r="X20" i="783"/>
  <c r="W20" i="783"/>
  <c r="V20" i="783"/>
  <c r="U20" i="783"/>
  <c r="R20" i="783"/>
  <c r="Z19" i="783"/>
  <c r="Y19" i="783"/>
  <c r="X19" i="783"/>
  <c r="W19" i="783"/>
  <c r="V19" i="783"/>
  <c r="U19" i="783"/>
  <c r="R19" i="783"/>
  <c r="Z18" i="783"/>
  <c r="Y18" i="783"/>
  <c r="X18" i="783"/>
  <c r="W18" i="783"/>
  <c r="V18" i="783"/>
  <c r="U18" i="783"/>
  <c r="R18" i="783"/>
  <c r="Z17" i="783"/>
  <c r="Y17" i="783"/>
  <c r="X17" i="783"/>
  <c r="W17" i="783"/>
  <c r="V17" i="783"/>
  <c r="U17" i="783"/>
  <c r="R17" i="783"/>
  <c r="Z16" i="783"/>
  <c r="Y16" i="783"/>
  <c r="X16" i="783"/>
  <c r="W16" i="783"/>
  <c r="V16" i="783"/>
  <c r="U16" i="783"/>
  <c r="R16" i="783"/>
  <c r="Z15" i="783"/>
  <c r="Y15" i="783"/>
  <c r="X15" i="783"/>
  <c r="W15" i="783"/>
  <c r="V15" i="783"/>
  <c r="U15" i="783"/>
  <c r="R15" i="783"/>
  <c r="Z13" i="783"/>
  <c r="Y13" i="783"/>
  <c r="X13" i="783"/>
  <c r="W13" i="783"/>
  <c r="V13" i="783"/>
  <c r="U13" i="783"/>
  <c r="T13" i="783"/>
  <c r="S13" i="783"/>
  <c r="R13" i="783"/>
  <c r="Z12" i="783"/>
  <c r="Y12" i="783"/>
  <c r="X12" i="783"/>
  <c r="W12" i="783"/>
  <c r="V12" i="783"/>
  <c r="U12" i="783"/>
  <c r="T12" i="783"/>
  <c r="S12" i="783"/>
  <c r="R12" i="783"/>
  <c r="Z11" i="783"/>
  <c r="Y11" i="783"/>
  <c r="X11" i="783"/>
  <c r="W11" i="783"/>
  <c r="V11" i="783"/>
  <c r="U11" i="783"/>
  <c r="T11" i="783"/>
  <c r="S11" i="783"/>
  <c r="R11" i="783"/>
  <c r="Z10" i="783"/>
  <c r="Y10" i="783"/>
  <c r="X10" i="783"/>
  <c r="W10" i="783"/>
  <c r="V10" i="783"/>
  <c r="U10" i="783"/>
  <c r="T10" i="783"/>
  <c r="S10" i="783"/>
  <c r="R10" i="783"/>
  <c r="K45" i="782"/>
  <c r="L59" i="782"/>
  <c r="M50" i="782"/>
  <c r="L50" i="782"/>
  <c r="K50" i="782"/>
  <c r="C26" i="782"/>
  <c r="D26" i="782"/>
  <c r="E26" i="782"/>
  <c r="F26" i="782"/>
  <c r="G26" i="782"/>
  <c r="I26" i="782"/>
  <c r="J45" i="782" s="1"/>
  <c r="J26" i="782"/>
  <c r="L26" i="782"/>
  <c r="M26" i="782"/>
  <c r="N26" i="782"/>
  <c r="O26" i="782"/>
  <c r="C28" i="782"/>
  <c r="D28" i="782"/>
  <c r="E28" i="782"/>
  <c r="F28" i="782"/>
  <c r="G28" i="782"/>
  <c r="L28" i="782"/>
  <c r="M28" i="782"/>
  <c r="N28" i="782"/>
  <c r="O28" i="782"/>
  <c r="I12" i="783" l="1"/>
  <c r="I13" i="783"/>
  <c r="I15" i="783"/>
  <c r="M59" i="783"/>
  <c r="K54" i="783"/>
  <c r="C16" i="782"/>
  <c r="D16" i="782"/>
  <c r="E16" i="782"/>
  <c r="F16" i="782"/>
  <c r="G16" i="782"/>
  <c r="I16" i="782"/>
  <c r="J16" i="782"/>
  <c r="K16" i="782"/>
  <c r="L16" i="782"/>
  <c r="M16" i="782"/>
  <c r="N16" i="782"/>
  <c r="O16" i="782"/>
  <c r="C17" i="782"/>
  <c r="D17" i="782"/>
  <c r="E17" i="782"/>
  <c r="F17" i="782"/>
  <c r="G17" i="782"/>
  <c r="I17" i="782"/>
  <c r="J17" i="782"/>
  <c r="K17" i="782"/>
  <c r="L17" i="782"/>
  <c r="M17" i="782"/>
  <c r="N17" i="782"/>
  <c r="O17" i="782"/>
  <c r="C18" i="782"/>
  <c r="D18" i="782"/>
  <c r="E18" i="782"/>
  <c r="F18" i="782"/>
  <c r="G18" i="782"/>
  <c r="I18" i="782"/>
  <c r="J18" i="782"/>
  <c r="K18" i="782"/>
  <c r="L18" i="782"/>
  <c r="M18" i="782"/>
  <c r="N18" i="782"/>
  <c r="O18" i="782"/>
  <c r="C19" i="782"/>
  <c r="D19" i="782"/>
  <c r="E19" i="782"/>
  <c r="F19" i="782"/>
  <c r="G19" i="782"/>
  <c r="I19" i="782"/>
  <c r="J19" i="782"/>
  <c r="K19" i="782"/>
  <c r="L19" i="782"/>
  <c r="M19" i="782"/>
  <c r="N19" i="782"/>
  <c r="O19" i="782"/>
  <c r="C20" i="782"/>
  <c r="D20" i="782"/>
  <c r="E20" i="782"/>
  <c r="F20" i="782"/>
  <c r="G20" i="782"/>
  <c r="I20" i="782"/>
  <c r="J20" i="782"/>
  <c r="K20" i="782"/>
  <c r="L20" i="782"/>
  <c r="M20" i="782"/>
  <c r="N20" i="782"/>
  <c r="O20" i="782"/>
  <c r="F83" i="782"/>
  <c r="AX73" i="782"/>
  <c r="AW73" i="782"/>
  <c r="AV73" i="782"/>
  <c r="AU73" i="782"/>
  <c r="AT73" i="782"/>
  <c r="AS73" i="782"/>
  <c r="AR73" i="782"/>
  <c r="AQ73" i="782"/>
  <c r="AP73" i="782"/>
  <c r="AO73" i="782"/>
  <c r="AN73" i="782"/>
  <c r="AM73" i="782"/>
  <c r="AL73" i="782"/>
  <c r="AK73" i="782"/>
  <c r="AJ73" i="782"/>
  <c r="AI73" i="782"/>
  <c r="AH73" i="782"/>
  <c r="AG73" i="782"/>
  <c r="AF73" i="782"/>
  <c r="AE73" i="782"/>
  <c r="AD73" i="782"/>
  <c r="AC73" i="782"/>
  <c r="AB73" i="782"/>
  <c r="B73" i="782"/>
  <c r="D66" i="782"/>
  <c r="K68" i="782"/>
  <c r="M59" i="782" s="1"/>
  <c r="M53" i="782"/>
  <c r="M52" i="782"/>
  <c r="M51" i="782"/>
  <c r="M49" i="782"/>
  <c r="M47" i="782"/>
  <c r="M46" i="782"/>
  <c r="K44" i="782"/>
  <c r="K54" i="782" s="1"/>
  <c r="Z43" i="782"/>
  <c r="Y43" i="782"/>
  <c r="X43" i="782"/>
  <c r="W43" i="782"/>
  <c r="V43" i="782"/>
  <c r="U43" i="782"/>
  <c r="T43" i="782"/>
  <c r="S43" i="782"/>
  <c r="R43" i="782"/>
  <c r="Z42" i="782"/>
  <c r="Y42" i="782"/>
  <c r="X42" i="782"/>
  <c r="W42" i="782"/>
  <c r="V42" i="782"/>
  <c r="U42" i="782"/>
  <c r="T42" i="782"/>
  <c r="S42" i="782"/>
  <c r="R42" i="782"/>
  <c r="Z41" i="782"/>
  <c r="Y41" i="782"/>
  <c r="X41" i="782"/>
  <c r="W41" i="782"/>
  <c r="V41" i="782"/>
  <c r="U41" i="782"/>
  <c r="T41" i="782"/>
  <c r="S41" i="782"/>
  <c r="R41" i="782"/>
  <c r="Z40" i="782"/>
  <c r="Y40" i="782"/>
  <c r="X40" i="782"/>
  <c r="W40" i="782"/>
  <c r="V40" i="782"/>
  <c r="U40" i="782"/>
  <c r="T40" i="782"/>
  <c r="S40" i="782"/>
  <c r="R40" i="782"/>
  <c r="Z39" i="782"/>
  <c r="Y39" i="782"/>
  <c r="X39" i="782"/>
  <c r="W39" i="782"/>
  <c r="V39" i="782"/>
  <c r="U39" i="782"/>
  <c r="T39" i="782"/>
  <c r="S39" i="782"/>
  <c r="R39" i="782"/>
  <c r="Z38" i="782"/>
  <c r="Y38" i="782"/>
  <c r="X38" i="782"/>
  <c r="W38" i="782"/>
  <c r="V38" i="782"/>
  <c r="U38" i="782"/>
  <c r="T38" i="782"/>
  <c r="S38" i="782"/>
  <c r="R38" i="782"/>
  <c r="Z37" i="782"/>
  <c r="Y37" i="782"/>
  <c r="X37" i="782"/>
  <c r="W37" i="782"/>
  <c r="V37" i="782"/>
  <c r="U37" i="782"/>
  <c r="T37" i="782"/>
  <c r="S37" i="782"/>
  <c r="R37" i="782"/>
  <c r="Z36" i="782"/>
  <c r="Y36" i="782"/>
  <c r="X36" i="782"/>
  <c r="W36" i="782"/>
  <c r="V36" i="782"/>
  <c r="U36" i="782"/>
  <c r="T36" i="782"/>
  <c r="S36" i="782"/>
  <c r="R36" i="782"/>
  <c r="Z35" i="782"/>
  <c r="Y35" i="782"/>
  <c r="X35" i="782"/>
  <c r="W35" i="782"/>
  <c r="V35" i="782"/>
  <c r="U35" i="782"/>
  <c r="T35" i="782"/>
  <c r="S35" i="782"/>
  <c r="R35" i="782"/>
  <c r="Z34" i="782"/>
  <c r="Y34" i="782"/>
  <c r="X34" i="782"/>
  <c r="W34" i="782"/>
  <c r="V34" i="782"/>
  <c r="U34" i="782"/>
  <c r="T34" i="782"/>
  <c r="S34" i="782"/>
  <c r="R34" i="782"/>
  <c r="Z33" i="782"/>
  <c r="Y33" i="782"/>
  <c r="X33" i="782"/>
  <c r="W33" i="782"/>
  <c r="V33" i="782"/>
  <c r="U33" i="782"/>
  <c r="T33" i="782"/>
  <c r="S33" i="782"/>
  <c r="R33" i="782"/>
  <c r="Z32" i="782"/>
  <c r="Y32" i="782"/>
  <c r="X32" i="782"/>
  <c r="W32" i="782"/>
  <c r="V32" i="782"/>
  <c r="U32" i="782"/>
  <c r="T32" i="782"/>
  <c r="S32" i="782"/>
  <c r="R32" i="782"/>
  <c r="Z31" i="782"/>
  <c r="Y31" i="782"/>
  <c r="X31" i="782"/>
  <c r="W31" i="782"/>
  <c r="V31" i="782"/>
  <c r="U31" i="782"/>
  <c r="T31" i="782"/>
  <c r="S31" i="782"/>
  <c r="R31" i="782"/>
  <c r="Z30" i="782"/>
  <c r="Y30" i="782"/>
  <c r="X30" i="782"/>
  <c r="W30" i="782"/>
  <c r="V30" i="782"/>
  <c r="U30" i="782"/>
  <c r="T30" i="782"/>
  <c r="S30" i="782"/>
  <c r="R30" i="782"/>
  <c r="Z29" i="782"/>
  <c r="Y29" i="782"/>
  <c r="X29" i="782"/>
  <c r="W29" i="782"/>
  <c r="V29" i="782"/>
  <c r="U29" i="782"/>
  <c r="T29" i="782"/>
  <c r="S29" i="782"/>
  <c r="R29" i="782"/>
  <c r="Z26" i="782"/>
  <c r="Y26" i="782"/>
  <c r="X26" i="782"/>
  <c r="W26" i="782"/>
  <c r="V26" i="782"/>
  <c r="U26" i="782"/>
  <c r="T26" i="782"/>
  <c r="S26" i="782"/>
  <c r="R26" i="782"/>
  <c r="Z25" i="782"/>
  <c r="Y25" i="782"/>
  <c r="X25" i="782"/>
  <c r="W25" i="782"/>
  <c r="V25" i="782"/>
  <c r="U25" i="782"/>
  <c r="T25" i="782"/>
  <c r="S25" i="782"/>
  <c r="R25" i="782"/>
  <c r="Z24" i="782"/>
  <c r="Y24" i="782"/>
  <c r="X24" i="782"/>
  <c r="W24" i="782"/>
  <c r="V24" i="782"/>
  <c r="U24" i="782"/>
  <c r="T24" i="782"/>
  <c r="S24" i="782"/>
  <c r="R24" i="782"/>
  <c r="Z23" i="782"/>
  <c r="Y23" i="782"/>
  <c r="X23" i="782"/>
  <c r="W23" i="782"/>
  <c r="V23" i="782"/>
  <c r="U23" i="782"/>
  <c r="T23" i="782"/>
  <c r="S23" i="782"/>
  <c r="R23" i="782"/>
  <c r="Z22" i="782"/>
  <c r="Y22" i="782"/>
  <c r="X22" i="782"/>
  <c r="W22" i="782"/>
  <c r="V22" i="782"/>
  <c r="U22" i="782"/>
  <c r="T22" i="782"/>
  <c r="S22" i="782"/>
  <c r="R22" i="782"/>
  <c r="Z21" i="782"/>
  <c r="Y21" i="782"/>
  <c r="X21" i="782"/>
  <c r="W21" i="782"/>
  <c r="V21" i="782"/>
  <c r="U21" i="782"/>
  <c r="T21" i="782"/>
  <c r="S21" i="782"/>
  <c r="R21" i="782"/>
  <c r="Z20" i="782"/>
  <c r="Y20" i="782"/>
  <c r="X20" i="782"/>
  <c r="W20" i="782"/>
  <c r="V20" i="782"/>
  <c r="U20" i="782"/>
  <c r="R20" i="782"/>
  <c r="Z19" i="782"/>
  <c r="Y19" i="782"/>
  <c r="X19" i="782"/>
  <c r="W19" i="782"/>
  <c r="V19" i="782"/>
  <c r="U19" i="782"/>
  <c r="R19" i="782"/>
  <c r="Z18" i="782"/>
  <c r="Y18" i="782"/>
  <c r="X18" i="782"/>
  <c r="W18" i="782"/>
  <c r="V18" i="782"/>
  <c r="U18" i="782"/>
  <c r="R18" i="782"/>
  <c r="Z17" i="782"/>
  <c r="Y17" i="782"/>
  <c r="X17" i="782"/>
  <c r="W17" i="782"/>
  <c r="V17" i="782"/>
  <c r="U17" i="782"/>
  <c r="R17" i="782"/>
  <c r="Z16" i="782"/>
  <c r="Y16" i="782"/>
  <c r="X16" i="782"/>
  <c r="W16" i="782"/>
  <c r="V16" i="782"/>
  <c r="U16" i="782"/>
  <c r="R16" i="782"/>
  <c r="Z15" i="782"/>
  <c r="Y15" i="782"/>
  <c r="X15" i="782"/>
  <c r="W15" i="782"/>
  <c r="V15" i="782"/>
  <c r="U15" i="782"/>
  <c r="R15" i="782"/>
  <c r="O15" i="782"/>
  <c r="N15" i="782"/>
  <c r="M15" i="782"/>
  <c r="L15" i="782"/>
  <c r="K15" i="782"/>
  <c r="J15" i="782"/>
  <c r="I15" i="782"/>
  <c r="G15" i="782"/>
  <c r="F15" i="782"/>
  <c r="E15" i="782"/>
  <c r="D15" i="782"/>
  <c r="C15" i="782"/>
  <c r="Z13" i="782"/>
  <c r="Y13" i="782"/>
  <c r="X13" i="782"/>
  <c r="W13" i="782"/>
  <c r="V13" i="782"/>
  <c r="U13" i="782"/>
  <c r="T13" i="782"/>
  <c r="S13" i="782"/>
  <c r="R13" i="782"/>
  <c r="Z12" i="782"/>
  <c r="Y12" i="782"/>
  <c r="X12" i="782"/>
  <c r="W12" i="782"/>
  <c r="V12" i="782"/>
  <c r="U12" i="782"/>
  <c r="T12" i="782"/>
  <c r="S12" i="782"/>
  <c r="R12" i="782"/>
  <c r="Z11" i="782"/>
  <c r="Y11" i="782"/>
  <c r="X11" i="782"/>
  <c r="W11" i="782"/>
  <c r="V11" i="782"/>
  <c r="U11" i="782"/>
  <c r="T11" i="782"/>
  <c r="S11" i="782"/>
  <c r="R11" i="782"/>
  <c r="Z10" i="782"/>
  <c r="Y10" i="782"/>
  <c r="X10" i="782"/>
  <c r="W10" i="782"/>
  <c r="V10" i="782"/>
  <c r="U10" i="782"/>
  <c r="T10" i="782"/>
  <c r="S10" i="782"/>
  <c r="R10" i="782"/>
  <c r="C43" i="781" a="1"/>
  <c r="C43" i="781" s="1"/>
  <c r="J64" i="18"/>
  <c r="J62" i="18"/>
  <c r="J61" i="18"/>
  <c r="J59" i="18"/>
  <c r="J58" i="18"/>
  <c r="G61" i="18"/>
  <c r="D61" i="18"/>
  <c r="K61" i="781"/>
  <c r="J50" i="782" l="1"/>
  <c r="L73" i="782"/>
  <c r="K72" i="781"/>
  <c r="K77" i="781" s="1"/>
  <c r="G72" i="781" l="1"/>
  <c r="L49" i="781"/>
  <c r="K49" i="781"/>
  <c r="K43" i="781"/>
  <c r="K57" i="781" l="1"/>
  <c r="R10" i="781"/>
  <c r="S10" i="781"/>
  <c r="T10" i="781"/>
  <c r="U10" i="781"/>
  <c r="V10" i="781"/>
  <c r="W10" i="781"/>
  <c r="X10" i="781"/>
  <c r="Y10" i="781"/>
  <c r="Z10" i="781"/>
  <c r="R11" i="781"/>
  <c r="S11" i="781"/>
  <c r="T11" i="781"/>
  <c r="U11" i="781"/>
  <c r="V11" i="781"/>
  <c r="W11" i="781"/>
  <c r="X11" i="781"/>
  <c r="Y11" i="781"/>
  <c r="Z11" i="781"/>
  <c r="R12" i="781"/>
  <c r="S12" i="781"/>
  <c r="T12" i="781"/>
  <c r="U12" i="781"/>
  <c r="V12" i="781"/>
  <c r="W12" i="781"/>
  <c r="X12" i="781"/>
  <c r="Y12" i="781"/>
  <c r="Z12" i="781"/>
  <c r="R13" i="781"/>
  <c r="S13" i="781"/>
  <c r="T13" i="781"/>
  <c r="U13" i="781"/>
  <c r="V13" i="781"/>
  <c r="W13" i="781"/>
  <c r="X13" i="781"/>
  <c r="Y13" i="781"/>
  <c r="Z13" i="781"/>
  <c r="R15" i="781"/>
  <c r="S15" i="781"/>
  <c r="T15" i="781"/>
  <c r="U15" i="781"/>
  <c r="V15" i="781"/>
  <c r="W15" i="781"/>
  <c r="X15" i="781"/>
  <c r="Y15" i="781"/>
  <c r="Z15" i="781"/>
  <c r="R16" i="781"/>
  <c r="S16" i="781"/>
  <c r="T16" i="781"/>
  <c r="U16" i="781"/>
  <c r="V16" i="781"/>
  <c r="W16" i="781"/>
  <c r="X16" i="781"/>
  <c r="Y16" i="781"/>
  <c r="Z16" i="781"/>
  <c r="I19" i="781"/>
  <c r="J19" i="781"/>
  <c r="K19" i="781"/>
  <c r="L19" i="781"/>
  <c r="M19" i="781"/>
  <c r="N19" i="781"/>
  <c r="O19" i="781"/>
  <c r="K20" i="781"/>
  <c r="L20" i="781"/>
  <c r="M20" i="781"/>
  <c r="N20" i="781"/>
  <c r="O20" i="781"/>
  <c r="I17" i="781"/>
  <c r="J17" i="781"/>
  <c r="K17" i="781"/>
  <c r="L17" i="781"/>
  <c r="M17" i="781"/>
  <c r="N17" i="781"/>
  <c r="O17" i="781"/>
  <c r="I18" i="781"/>
  <c r="J18" i="781"/>
  <c r="K18" i="781"/>
  <c r="L18" i="781"/>
  <c r="M18" i="781"/>
  <c r="N18" i="781"/>
  <c r="O18" i="781"/>
  <c r="D17" i="781"/>
  <c r="E17" i="781"/>
  <c r="F17" i="781"/>
  <c r="G17" i="781"/>
  <c r="D18" i="781"/>
  <c r="E18" i="781"/>
  <c r="F18" i="781"/>
  <c r="G18" i="781"/>
  <c r="D19" i="781"/>
  <c r="E19" i="781"/>
  <c r="F19" i="781"/>
  <c r="G19" i="781"/>
  <c r="D20" i="781"/>
  <c r="E20" i="781"/>
  <c r="F20" i="781"/>
  <c r="G20" i="781"/>
  <c r="C20" i="781"/>
  <c r="C17" i="781"/>
  <c r="C18" i="781"/>
  <c r="C19" i="781"/>
  <c r="C12" i="781"/>
  <c r="D12" i="781"/>
  <c r="E12" i="781"/>
  <c r="F12" i="781"/>
  <c r="G12" i="781"/>
  <c r="I12" i="781"/>
  <c r="J12" i="781"/>
  <c r="K12" i="781"/>
  <c r="L12" i="781"/>
  <c r="M12" i="781"/>
  <c r="N12" i="781"/>
  <c r="O12" i="781"/>
  <c r="C13" i="781"/>
  <c r="D13" i="781"/>
  <c r="E13" i="781"/>
  <c r="F13" i="781"/>
  <c r="G13" i="781"/>
  <c r="I13" i="781"/>
  <c r="J13" i="781"/>
  <c r="K13" i="781"/>
  <c r="L13" i="781"/>
  <c r="M13" i="781"/>
  <c r="N13" i="781"/>
  <c r="O13" i="781"/>
  <c r="C15" i="781"/>
  <c r="D15" i="781"/>
  <c r="E15" i="781"/>
  <c r="F15" i="781"/>
  <c r="G15" i="781"/>
  <c r="I15" i="781"/>
  <c r="J15" i="781"/>
  <c r="K15" i="781"/>
  <c r="L15" i="781"/>
  <c r="M15" i="781"/>
  <c r="N15" i="781"/>
  <c r="O15" i="781"/>
  <c r="C10" i="781"/>
  <c r="D10" i="781"/>
  <c r="E10" i="781"/>
  <c r="F10" i="781"/>
  <c r="G10" i="781"/>
  <c r="I10" i="781"/>
  <c r="J10" i="781"/>
  <c r="K10" i="781"/>
  <c r="L10" i="781"/>
  <c r="M10" i="781"/>
  <c r="N10" i="781"/>
  <c r="O10" i="781"/>
  <c r="C11" i="781"/>
  <c r="D11" i="781"/>
  <c r="E11" i="781"/>
  <c r="F11" i="781"/>
  <c r="G11" i="781"/>
  <c r="I11" i="781"/>
  <c r="J11" i="781"/>
  <c r="K11" i="781"/>
  <c r="L11" i="781"/>
  <c r="M11" i="781"/>
  <c r="N11" i="781"/>
  <c r="O11" i="781"/>
  <c r="J49" i="781" l="1"/>
  <c r="J64" i="19" l="1"/>
  <c r="F82" i="781"/>
  <c r="AX72" i="781"/>
  <c r="AW72" i="781"/>
  <c r="AV72" i="781"/>
  <c r="AU72" i="781"/>
  <c r="AT72" i="781"/>
  <c r="AS72" i="781"/>
  <c r="AR72" i="781"/>
  <c r="AQ72" i="781"/>
  <c r="AP72" i="781"/>
  <c r="AO72" i="781"/>
  <c r="AN72" i="781"/>
  <c r="AM72" i="781"/>
  <c r="AL72" i="781"/>
  <c r="AK72" i="781"/>
  <c r="AJ72" i="781"/>
  <c r="AI72" i="781"/>
  <c r="AH72" i="781"/>
  <c r="AG72" i="781"/>
  <c r="AF72" i="781"/>
  <c r="AE72" i="781"/>
  <c r="AD72" i="781"/>
  <c r="AC72" i="781"/>
  <c r="AB72" i="781"/>
  <c r="B72" i="781"/>
  <c r="K67" i="781"/>
  <c r="D65" i="781"/>
  <c r="M52" i="781"/>
  <c r="M51" i="781"/>
  <c r="M50" i="781"/>
  <c r="M48" i="781"/>
  <c r="M46" i="781"/>
  <c r="M45" i="781"/>
  <c r="M44" i="781"/>
  <c r="Z42" i="781"/>
  <c r="Y42" i="781"/>
  <c r="X42" i="781"/>
  <c r="W42" i="781"/>
  <c r="V42" i="781"/>
  <c r="U42" i="781"/>
  <c r="T42" i="781"/>
  <c r="S42" i="781"/>
  <c r="R42" i="781"/>
  <c r="Z41" i="781"/>
  <c r="Y41" i="781"/>
  <c r="X41" i="781"/>
  <c r="W41" i="781"/>
  <c r="V41" i="781"/>
  <c r="U41" i="781"/>
  <c r="T41" i="781"/>
  <c r="S41" i="781"/>
  <c r="R41" i="781"/>
  <c r="Z40" i="781"/>
  <c r="Y40" i="781"/>
  <c r="X40" i="781"/>
  <c r="W40" i="781"/>
  <c r="V40" i="781"/>
  <c r="U40" i="781"/>
  <c r="T40" i="781"/>
  <c r="S40" i="781"/>
  <c r="R40" i="781"/>
  <c r="Z39" i="781"/>
  <c r="Y39" i="781"/>
  <c r="X39" i="781"/>
  <c r="W39" i="781"/>
  <c r="V39" i="781"/>
  <c r="U39" i="781"/>
  <c r="T39" i="781"/>
  <c r="S39" i="781"/>
  <c r="R39" i="781"/>
  <c r="Z38" i="781"/>
  <c r="Y38" i="781"/>
  <c r="X38" i="781"/>
  <c r="W38" i="781"/>
  <c r="V38" i="781"/>
  <c r="U38" i="781"/>
  <c r="T38" i="781"/>
  <c r="S38" i="781"/>
  <c r="R38" i="781"/>
  <c r="Z37" i="781"/>
  <c r="Y37" i="781"/>
  <c r="X37" i="781"/>
  <c r="W37" i="781"/>
  <c r="V37" i="781"/>
  <c r="U37" i="781"/>
  <c r="T37" i="781"/>
  <c r="S37" i="781"/>
  <c r="R37" i="781"/>
  <c r="Z36" i="781"/>
  <c r="Y36" i="781"/>
  <c r="X36" i="781"/>
  <c r="W36" i="781"/>
  <c r="V36" i="781"/>
  <c r="U36" i="781"/>
  <c r="T36" i="781"/>
  <c r="S36" i="781"/>
  <c r="R36" i="781"/>
  <c r="Z35" i="781"/>
  <c r="Y35" i="781"/>
  <c r="X35" i="781"/>
  <c r="W35" i="781"/>
  <c r="V35" i="781"/>
  <c r="U35" i="781"/>
  <c r="T35" i="781"/>
  <c r="S35" i="781"/>
  <c r="R35" i="781"/>
  <c r="Z34" i="781"/>
  <c r="Y34" i="781"/>
  <c r="X34" i="781"/>
  <c r="W34" i="781"/>
  <c r="V34" i="781"/>
  <c r="U34" i="781"/>
  <c r="T34" i="781"/>
  <c r="S34" i="781"/>
  <c r="R34" i="781"/>
  <c r="Z33" i="781"/>
  <c r="Y33" i="781"/>
  <c r="X33" i="781"/>
  <c r="W33" i="781"/>
  <c r="V33" i="781"/>
  <c r="U33" i="781"/>
  <c r="T33" i="781"/>
  <c r="S33" i="781"/>
  <c r="R33" i="781"/>
  <c r="Z32" i="781"/>
  <c r="Y32" i="781"/>
  <c r="X32" i="781"/>
  <c r="W32" i="781"/>
  <c r="V32" i="781"/>
  <c r="U32" i="781"/>
  <c r="T32" i="781"/>
  <c r="S32" i="781"/>
  <c r="R32" i="781"/>
  <c r="Z31" i="781"/>
  <c r="Y31" i="781"/>
  <c r="X31" i="781"/>
  <c r="W31" i="781"/>
  <c r="V31" i="781"/>
  <c r="U31" i="781"/>
  <c r="T31" i="781"/>
  <c r="S31" i="781"/>
  <c r="R31" i="781"/>
  <c r="Z30" i="781"/>
  <c r="Y30" i="781"/>
  <c r="X30" i="781"/>
  <c r="W30" i="781"/>
  <c r="V30" i="781"/>
  <c r="U30" i="781"/>
  <c r="T30" i="781"/>
  <c r="S30" i="781"/>
  <c r="R30" i="781"/>
  <c r="Z29" i="781"/>
  <c r="Y29" i="781"/>
  <c r="X29" i="781"/>
  <c r="W29" i="781"/>
  <c r="V29" i="781"/>
  <c r="U29" i="781"/>
  <c r="T29" i="781"/>
  <c r="S29" i="781"/>
  <c r="R29" i="781"/>
  <c r="Z28" i="781"/>
  <c r="Y28" i="781"/>
  <c r="X28" i="781"/>
  <c r="W28" i="781"/>
  <c r="V28" i="781"/>
  <c r="U28" i="781"/>
  <c r="T28" i="781"/>
  <c r="S28" i="781"/>
  <c r="R28" i="781"/>
  <c r="Z26" i="781"/>
  <c r="Y26" i="781"/>
  <c r="X26" i="781"/>
  <c r="W26" i="781"/>
  <c r="V26" i="781"/>
  <c r="U26" i="781"/>
  <c r="T26" i="781"/>
  <c r="S26" i="781"/>
  <c r="R26" i="781"/>
  <c r="Z25" i="781"/>
  <c r="Y25" i="781"/>
  <c r="X25" i="781"/>
  <c r="W25" i="781"/>
  <c r="V25" i="781"/>
  <c r="U25" i="781"/>
  <c r="T25" i="781"/>
  <c r="S25" i="781"/>
  <c r="R25" i="781"/>
  <c r="Z24" i="781"/>
  <c r="Y24" i="781"/>
  <c r="X24" i="781"/>
  <c r="W24" i="781"/>
  <c r="V24" i="781"/>
  <c r="U24" i="781"/>
  <c r="T24" i="781"/>
  <c r="S24" i="781"/>
  <c r="R24" i="781"/>
  <c r="Z23" i="781"/>
  <c r="Y23" i="781"/>
  <c r="X23" i="781"/>
  <c r="W23" i="781"/>
  <c r="V23" i="781"/>
  <c r="U23" i="781"/>
  <c r="T23" i="781"/>
  <c r="S23" i="781"/>
  <c r="R23" i="781"/>
  <c r="Z22" i="781"/>
  <c r="Y22" i="781"/>
  <c r="X22" i="781"/>
  <c r="W22" i="781"/>
  <c r="V22" i="781"/>
  <c r="U22" i="781"/>
  <c r="T22" i="781"/>
  <c r="S22" i="781"/>
  <c r="R22" i="781"/>
  <c r="Z21" i="781"/>
  <c r="Y21" i="781"/>
  <c r="X21" i="781"/>
  <c r="W21" i="781"/>
  <c r="V21" i="781"/>
  <c r="U21" i="781"/>
  <c r="T21" i="781"/>
  <c r="S21" i="781"/>
  <c r="R21" i="781"/>
  <c r="Z20" i="781"/>
  <c r="Y20" i="781"/>
  <c r="X20" i="781"/>
  <c r="W20" i="781"/>
  <c r="V20" i="781"/>
  <c r="U20" i="781"/>
  <c r="T20" i="781"/>
  <c r="S20" i="781"/>
  <c r="R20" i="781"/>
  <c r="Z19" i="781"/>
  <c r="Y19" i="781"/>
  <c r="X19" i="781"/>
  <c r="W19" i="781"/>
  <c r="V19" i="781"/>
  <c r="U19" i="781"/>
  <c r="T19" i="781"/>
  <c r="S19" i="781"/>
  <c r="R19" i="781"/>
  <c r="Z18" i="781"/>
  <c r="Y18" i="781"/>
  <c r="X18" i="781"/>
  <c r="W18" i="781"/>
  <c r="V18" i="781"/>
  <c r="U18" i="781"/>
  <c r="T18" i="781"/>
  <c r="S18" i="781"/>
  <c r="R18" i="781"/>
  <c r="Z17" i="781"/>
  <c r="Y17" i="781"/>
  <c r="X17" i="781"/>
  <c r="W17" i="781"/>
  <c r="V17" i="781"/>
  <c r="U17" i="781"/>
  <c r="T17" i="781"/>
  <c r="S17" i="781"/>
  <c r="R17" i="781"/>
  <c r="L58" i="781" l="1"/>
  <c r="M58" i="781" s="1"/>
  <c r="K53" i="78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J28" i="782" l="1"/>
  <c r="I28" i="782" l="1"/>
  <c r="L45" i="782"/>
  <c r="M45" i="782"/>
  <c r="M49" i="781" l="1"/>
  <c r="J20" i="781" l="1"/>
  <c r="L44" i="782" l="1"/>
  <c r="L54" i="782" s="1"/>
  <c r="M54" i="782" s="1"/>
  <c r="M44" i="782"/>
  <c r="M43" i="781"/>
  <c r="L43" i="781"/>
  <c r="L53" i="781" s="1"/>
  <c r="M53" i="781" s="1"/>
  <c r="I20" i="781"/>
  <c r="J43" i="781" s="1"/>
  <c r="C27" i="784" l="1"/>
  <c r="C28" i="784"/>
  <c r="N27" i="784"/>
  <c r="N28" i="784"/>
  <c r="N29" i="784"/>
  <c r="N30" i="784"/>
  <c r="N31" i="784"/>
  <c r="I31" i="784"/>
  <c r="J31" i="784"/>
  <c r="I32" i="784"/>
  <c r="I33" i="784"/>
  <c r="J29" i="784" l="1"/>
  <c r="J16" i="783"/>
  <c r="J27" i="784"/>
  <c r="I28" i="784"/>
  <c r="J30" i="784"/>
  <c r="J33" i="784"/>
  <c r="J28" i="784"/>
  <c r="I29" i="784"/>
  <c r="I30" i="784"/>
  <c r="J32" i="784"/>
  <c r="K24" i="784"/>
  <c r="N24" i="784"/>
  <c r="M45" i="783" l="1"/>
  <c r="L45" i="783"/>
  <c r="L54" i="783" s="1"/>
  <c r="M54" i="783" s="1"/>
  <c r="I16" i="783"/>
  <c r="J45" i="783" s="1"/>
  <c r="I27" i="784"/>
  <c r="C24" i="784" l="1"/>
  <c r="I24" i="784"/>
  <c r="J44" i="784" s="1"/>
  <c r="J24" i="784"/>
  <c r="J58" i="19" l="1"/>
  <c r="J62" i="19"/>
  <c r="J59" i="19"/>
  <c r="J61" i="19" l="1"/>
  <c r="N14" i="787" l="1"/>
  <c r="N15" i="787"/>
  <c r="N16" i="787"/>
  <c r="N17" i="787"/>
  <c r="N18" i="787"/>
  <c r="N19" i="787"/>
  <c r="N21" i="787"/>
  <c r="J34" i="784"/>
  <c r="I19" i="787" l="1"/>
  <c r="J14" i="787"/>
  <c r="J15" i="787"/>
  <c r="J16" i="787"/>
  <c r="J18" i="787"/>
  <c r="J21" i="787"/>
  <c r="J19" i="787"/>
  <c r="I18" i="787"/>
  <c r="I17" i="787"/>
  <c r="J17" i="787"/>
  <c r="I21" i="787" l="1"/>
  <c r="I15" i="787"/>
  <c r="I14" i="787"/>
  <c r="I16" i="787"/>
  <c r="M45" i="786"/>
  <c r="L45" i="786"/>
  <c r="L54" i="786" s="1"/>
  <c r="M54" i="786" s="1"/>
  <c r="M45" i="785"/>
  <c r="L45" i="785"/>
  <c r="L54" i="785" s="1"/>
  <c r="M54" i="785" s="1"/>
  <c r="M45" i="784"/>
  <c r="L45" i="784"/>
  <c r="L54" i="784" s="1"/>
  <c r="M54" i="784" s="1"/>
  <c r="I34" i="784"/>
  <c r="J45" i="784" s="1"/>
  <c r="J46" i="787" l="1"/>
  <c r="M46" i="787"/>
  <c r="L46" i="787"/>
  <c r="L55" i="787" s="1"/>
  <c r="M55" i="787" s="1"/>
  <c r="C12" i="788" l="1"/>
  <c r="C13" i="788"/>
  <c r="C14" i="788"/>
  <c r="C15" i="788"/>
  <c r="J15" i="788"/>
  <c r="J11" i="788"/>
  <c r="I11" i="788"/>
  <c r="N11" i="788"/>
  <c r="N12" i="788"/>
  <c r="N13" i="788"/>
  <c r="N14" i="788"/>
  <c r="N15" i="788"/>
  <c r="K82" i="788"/>
  <c r="I12" i="788" l="1"/>
  <c r="I15" i="788"/>
  <c r="J14" i="788"/>
  <c r="J13" i="788"/>
  <c r="J12" i="788"/>
  <c r="I13" i="788" l="1"/>
  <c r="I14" i="788"/>
  <c r="J46" i="788" l="1"/>
  <c r="K81" i="787"/>
  <c r="J57" i="18" l="1"/>
  <c r="J57" i="19" l="1"/>
  <c r="J37" i="792" l="1"/>
  <c r="I37" i="792" l="1"/>
  <c r="J45" i="792" s="1"/>
  <c r="M45" i="792"/>
  <c r="L45" i="792"/>
  <c r="L55" i="792" s="1"/>
  <c r="M55" i="792" s="1"/>
  <c r="K75" i="796" l="1"/>
  <c r="K84" i="796" s="1"/>
  <c r="G61" i="19" l="1"/>
  <c r="J60" i="19" l="1"/>
  <c r="J60" i="18"/>
  <c r="J63" i="19" l="1"/>
  <c r="J63" i="18"/>
  <c r="J56" i="18" l="1"/>
  <c r="J65" i="18" l="1"/>
  <c r="J65" i="19" l="1"/>
  <c r="J56" i="19"/>
  <c r="K10" i="798" l="1"/>
  <c r="K11" i="798"/>
  <c r="K12" i="798"/>
  <c r="K13" i="798"/>
  <c r="K14" i="798"/>
  <c r="K15" i="798"/>
  <c r="K16" i="798"/>
  <c r="K17" i="798"/>
  <c r="K13" i="793"/>
  <c r="K14" i="793"/>
  <c r="K15" i="793"/>
  <c r="K18" i="797"/>
  <c r="K19" i="797"/>
  <c r="K20" i="797"/>
  <c r="K21" i="797"/>
  <c r="K11" i="788"/>
  <c r="K12" i="788"/>
  <c r="K13" i="788"/>
  <c r="K14" i="788"/>
  <c r="K15" i="788"/>
  <c r="K29" i="789"/>
  <c r="K10" i="790"/>
  <c r="K11" i="793"/>
  <c r="K12" i="793"/>
  <c r="K29" i="784"/>
  <c r="K30" i="784"/>
  <c r="K31" i="784"/>
  <c r="K32" i="784"/>
  <c r="K33" i="784"/>
  <c r="K34" i="784"/>
  <c r="K14" i="787"/>
  <c r="K15" i="787"/>
  <c r="K16" i="787"/>
  <c r="K17" i="787"/>
  <c r="K18" i="787"/>
  <c r="K19" i="787"/>
  <c r="K26" i="782"/>
  <c r="K11" i="783"/>
  <c r="K12" i="783"/>
  <c r="K13" i="783"/>
  <c r="K14" i="783"/>
  <c r="K15" i="783"/>
  <c r="K16" i="783"/>
  <c r="K27" i="784"/>
  <c r="K28" i="784"/>
  <c r="K40" i="792" l="1"/>
  <c r="K10" i="793"/>
  <c r="K10" i="783"/>
  <c r="K28" i="782"/>
  <c r="K10" i="788"/>
  <c r="K21" i="787"/>
  <c r="D61" i="19" l="1"/>
  <c r="D77" i="796"/>
  <c r="L77" i="796" s="1"/>
  <c r="C91" i="796" s="1"/>
  <c r="D72" i="781"/>
  <c r="L72" i="781" s="1"/>
  <c r="C77" i="781" s="1"/>
  <c r="D64" i="18"/>
  <c r="F76" i="791"/>
  <c r="D60" i="18"/>
  <c r="D62" i="18"/>
  <c r="D63" i="18"/>
  <c r="F75" i="799"/>
  <c r="F73" i="785"/>
  <c r="F75" i="793"/>
  <c r="D77" i="798" l="1"/>
  <c r="L77" i="798" s="1"/>
  <c r="G81" i="787"/>
  <c r="D74" i="787"/>
  <c r="L74" i="787" s="1"/>
  <c r="C81" i="787" s="1"/>
  <c r="D65" i="801"/>
  <c r="L65" i="801" s="1"/>
  <c r="C78" i="801" s="1"/>
  <c r="D75" i="798"/>
  <c r="L75" i="798" s="1"/>
  <c r="C85" i="798" s="1"/>
  <c r="G84" i="796"/>
  <c r="D75" i="796"/>
  <c r="L75" i="796" s="1"/>
  <c r="C84" i="796" s="1"/>
  <c r="D75" i="797"/>
  <c r="L75" i="797" s="1"/>
  <c r="C85" i="797" s="1"/>
  <c r="G82" i="791"/>
  <c r="D76" i="791"/>
  <c r="L76" i="791" s="1"/>
  <c r="C82" i="791" s="1"/>
  <c r="H76" i="791"/>
  <c r="G85" i="799"/>
  <c r="D75" i="799"/>
  <c r="L75" i="799" s="1"/>
  <c r="C85" i="799" s="1"/>
  <c r="D79" i="796"/>
  <c r="L79" i="796" s="1"/>
  <c r="C88" i="796" s="1"/>
  <c r="D76" i="787"/>
  <c r="L76" i="787" s="1"/>
  <c r="C82" i="787" s="1"/>
  <c r="D79" i="798"/>
  <c r="L79" i="798" s="1"/>
  <c r="G82" i="788"/>
  <c r="D74" i="788"/>
  <c r="L74" i="788" s="1"/>
  <c r="C82" i="788" s="1"/>
  <c r="G81" i="791"/>
  <c r="D74" i="791"/>
  <c r="L74" i="791" s="1"/>
  <c r="C81" i="791" s="1"/>
  <c r="D56" i="18"/>
  <c r="G81" i="789"/>
  <c r="D74" i="789"/>
  <c r="L74" i="789" s="1"/>
  <c r="C81" i="789" s="1"/>
  <c r="G78" i="783"/>
  <c r="D73" i="783"/>
  <c r="L73" i="783" s="1"/>
  <c r="C78" i="783" s="1"/>
  <c r="D73" i="784"/>
  <c r="L73" i="784" s="1"/>
  <c r="C84" i="784" s="1"/>
  <c r="D75" i="793"/>
  <c r="L75" i="793" s="1"/>
  <c r="C84" i="793" s="1"/>
  <c r="G81" i="790"/>
  <c r="D74" i="790"/>
  <c r="L74" i="790" s="1"/>
  <c r="C81" i="790" s="1"/>
  <c r="G82" i="795"/>
  <c r="D75" i="795"/>
  <c r="L75" i="795" s="1"/>
  <c r="C82" i="795" s="1"/>
  <c r="D74" i="792"/>
  <c r="L74" i="792" s="1"/>
  <c r="C84" i="792" s="1"/>
  <c r="G77" i="781"/>
  <c r="D73" i="785"/>
  <c r="L73" i="785" s="1"/>
  <c r="C86" i="785" s="1"/>
  <c r="G91" i="796"/>
  <c r="D57" i="18"/>
  <c r="D59" i="18"/>
  <c r="D62" i="19"/>
  <c r="I76" i="791"/>
  <c r="D60" i="19"/>
  <c r="D58" i="18"/>
  <c r="D63" i="19"/>
  <c r="H75" i="793"/>
  <c r="I75" i="793"/>
  <c r="I73" i="785"/>
  <c r="I75" i="799"/>
  <c r="G63" i="18" l="1"/>
  <c r="H75" i="799"/>
  <c r="G86" i="785"/>
  <c r="G85" i="798"/>
  <c r="G85" i="797"/>
  <c r="H73" i="785"/>
  <c r="G84" i="793"/>
  <c r="G84" i="792"/>
  <c r="G82" i="787"/>
  <c r="C84" i="798"/>
  <c r="G84" i="798"/>
  <c r="G84" i="784"/>
  <c r="G88" i="796"/>
  <c r="D64" i="19"/>
  <c r="D58" i="19"/>
  <c r="G58" i="18" l="1"/>
  <c r="G64" i="18"/>
  <c r="G62" i="18"/>
  <c r="G56" i="18"/>
  <c r="G57" i="18"/>
  <c r="G59" i="18"/>
  <c r="G60" i="18"/>
  <c r="G63" i="19"/>
  <c r="D57" i="19"/>
  <c r="D59" i="19"/>
  <c r="D56" i="19"/>
  <c r="D65" i="18"/>
  <c r="G62" i="19" l="1"/>
  <c r="G60" i="19"/>
  <c r="G57" i="19"/>
  <c r="G64" i="19"/>
  <c r="G59" i="19"/>
  <c r="G65" i="18"/>
  <c r="G58" i="19"/>
  <c r="D65" i="19"/>
  <c r="G65" i="19" l="1"/>
  <c r="G56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257D2343-F1AC-43FE-BB85-F654D4F50C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2478E4B-B8EA-4C0C-86C2-6325B2B157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6A13222-4252-49A3-A8B8-34D6420417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81D6D14-354E-4A40-A9C1-8BF16B9222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689082A-38A0-444D-A510-A360160013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44A83E0-F7E0-42D4-B715-A972033334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AA3B18E-6FAC-4640-8D8B-9BCABCE237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AE86703-E36C-48E3-BF09-0C8C9C646F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340C089D-5959-4722-A5B9-7B5112680D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4477A02A-7334-449F-87B5-BDC2DCFDA1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A4B5DD80-ED72-471A-9DD8-D2AA614356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2BD5AE6-CE1F-4FF1-8946-B618E48B98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87292ED-320F-42A2-BA15-EDDE4D96A1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3AF5B43-87B9-42C9-A4CA-0C958526E4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2D510C0-BB8B-4DAA-AB4A-69B2C90A41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C7339B5-B580-437C-B4E8-470FA0AA92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D89ABD7-AD20-4E3D-9B40-4A48418077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2598D3B-9072-4279-BBB7-8A9C106130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4958842-078E-4BDA-B52C-8975C0EEFE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979AABC-6B3F-4037-BAD7-1FF9B424BC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8AB6FC3A-CC5D-4223-95B0-7EF3B7A61C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8819DF5-D91C-4AC9-B4DE-59C8D96BCE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69E2632-5A9C-4058-994B-30A766E48F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BDD386F-45C6-4613-A651-7A26FE1EBD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6E0F617-CB5F-4278-A15E-A2CE55E86F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5665390-A91A-45B9-9F00-FEAAD0A71C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346DFA0-2BDF-401C-B86D-9B543FA13E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CD0CEA7-B713-45D1-B92C-D4B3CC751A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EBC08771-83E8-4A53-883E-93D6A561CE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2749D726-66D2-4372-BD96-52FE41AC3B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D049CF8-0778-4925-926F-1D6D3746E8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37C9C90-D84D-4132-96EF-143DA3C88E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2DBF38A-CFA2-4AE6-B0BC-AC19E6DF7B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83F7701-6EC7-4DD5-B97F-4B0D104167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15F0070-D61D-4CCF-BED5-BDAC145AFC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9021AF2-C1AF-4CB3-A32A-21527B6703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427E037-7F9F-47C5-AC11-C67203CFED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78ED68D-8DE0-4D08-8202-0B4C17367C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1EEB5560-5186-41E6-9EAE-8FC580CD13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3070C3E-55BD-4652-BF72-5BCFDDD614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94E9455F-14E3-4732-8D46-725EEBBFB0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0A8D6B4-0BD5-4537-855B-9D07C46D41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060740E-19AA-4F15-9A86-8938F46944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030D87A-562F-485B-8AF4-9E0CA17FF9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BB089B-756F-4983-8C18-BCD4741486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86B4912-D860-40ED-BFD9-FF877841F4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5ADDC79-6356-429E-95A1-FD75D75D97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A28BE71-A68B-445A-8B29-87F0F90633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22C3A708-B1D3-4721-93CE-C4693EF4DA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3E9E6B7-A441-4D9B-833D-8539D59602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F2266635-02D9-4134-AB73-C5F29C61E2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768D9C1-70CC-41C1-89F9-470E0786F2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2B7CD27-2904-42B4-9C6F-A52171B6E3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0C024C0-B10B-4210-A28A-563E6F5A92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FFABBC0-926D-43F2-BC72-9F55B78674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2662531-DF6A-4971-B4BD-D07F941141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52F15D3-6F16-4CC8-BFE0-0CAAB1B4CD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1D3EE88-F0AC-49F9-981C-C6A42D1F30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B8D2E162-F3A2-4393-935A-53E2B8EA9D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B4A007AF-CB5A-4F92-8F3F-946572C8E9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F903AE4-6788-4819-BD20-68D33B3129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D4B7F4D-66FA-49F5-8AD5-97E3CF0944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E511A1D-D5C9-42C7-B09D-00B722A22B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16486D0-20F8-4258-B9DF-20EA135EF5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89BA18F-342B-47C7-A003-E8FF7D2C29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ACA1985-51E1-4C12-85F6-BCA28DBC33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6EAF6E1-4659-409C-B499-DC3B5A8837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8625754-056A-4E6F-8486-C93892F959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3E0269C6-C4DE-48F1-87D6-42839E62AE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04062B4D-0453-473E-8455-ACE2F58492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2A4BA056-6EF6-4F50-B5DE-6241C8009B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EFB43B0-71CD-446C-889F-AF0A812DE1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E12848C-E74C-4C48-85FE-528DA4CEB6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78054A2-CC2A-463F-923C-75C57E842C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BA84383-1ACB-4F3A-B0A2-30F079B61E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856F55D-C6D5-417A-BB1C-2512D3C1CD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FE2959-FAB9-4C3D-9019-0002B845EB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F37924F-C4F9-4003-81A5-D53022B214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2843300-7EB4-40A5-9D9C-2424F6EB28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552C3BF-595C-44E1-8CB1-A76FB374A7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C7FF6494-B199-4CD1-95D8-D45DE3DFF1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28FC6A-F0CE-4734-AA08-502EC85004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17465E5-E40F-4126-A954-6DF2A6C801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4FE0848-3A35-4BF1-9F25-CF2CE985FD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5F953EF-D121-4B8F-8CD3-2BCDD2675E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0403A67-4559-4A2F-9D62-0FED858C4C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61B4DCE-F09C-49A1-97BA-2982B0F2EA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F500D0F-A4F2-4089-BC0D-E925B14E0E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8BD3920-9819-4019-BE77-F7AA0DB85E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CCC1B53-D24F-4834-BE88-13999BCBAA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91E184F-108E-4269-A44B-67904768FD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0E417FB-8CFC-412F-BD82-4E3D01E35A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C1205AA-9E5B-440C-9F91-E861CCF954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C3117F5-1752-4F15-8B52-A0E2C8D98B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CAA945B-B41A-4F50-BB5D-46280E388A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46662CF-9828-4446-9E9A-D08FF90333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D028E7F-7120-4984-983E-C6AAC52E46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F7C6007-0EE3-4A48-81A0-DAB0CC29BA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CCA1AF0-3285-4D01-B326-9FA13C6E85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DAE3AA0-9078-4359-B8B1-B170B79106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74" authorId="1" shapeId="0" xr:uid="{DA66F9C9-46D0-4ACA-A283-26BC57C975C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Stop to address leaking on BMF- seal needed to be changed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7D00B96-4370-4E10-AB1F-E28DC53202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B92D952-5C1D-4716-9C49-95E61A54D7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3EC6B2E-8AEF-4AF7-97D3-3DE23A3438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33F2A16-4540-4A23-A78C-795B6A1B0E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C811E5F-ED12-420B-AEA2-A3797BA669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27DA280-9E44-4630-A2D8-3783E80E42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DEFD98-EBFC-4034-B3EE-5EE7224986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91BD8AE-105C-47C8-A689-6C98B2BCBC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B7EE3380-67D0-4F39-8770-57521347B1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D0901E56-4FC5-4EE5-9A93-7616ACE3E4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9C0A1EC-0375-4AEF-A320-6001A3662B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D7AA2A2-6FD6-4345-B302-C140C9C7C1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12A7526-5A56-4462-9C04-28A9DFA361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0055641-66D5-4155-B2B5-3DD3EC9E92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833C14A-82D0-4A99-87F6-5187787E01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40D423C-6DA9-4DFD-B934-BBF0F1BFF1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24CC9B4-08E8-4CE5-862B-2DC79B9801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57118A6-B041-4FB5-9EE2-DF459B6F2E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0BB4486-0CDF-4B0E-8402-DE7CAAC9B0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15D8938-A089-46A6-AFBD-0DB0E832C2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ACE94DF3-363F-4B76-9F21-5A6575B302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CF79957-D9F4-482C-A401-AA5D804D0B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E7CFEFC-C9B6-4CA9-ABF2-34BA9BAFF4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DE0BBD0-2126-4E1D-8934-76F9AC7B18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8421D90-109E-4BB3-90CE-711E3F49E8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1A00893-9F84-4051-9DAC-8EEE6F24D2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8C8B6C4-5EA2-4AA2-AC7C-12E2CEEB6D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ADE5DE7-CA52-41CE-98E8-0722CCED5B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D6F5CC6E-4D4D-44B4-A9BE-0E6C3D331B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7B71136-1BBA-4929-8B48-64E2AD29F9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C943F90F-188D-4798-9D5F-BD154649B2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E995A0D-7042-4051-8249-4ECB26F84B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63201B-6868-49B6-9C9F-1EF25CD98C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4578FB2-A32D-4E91-82C4-F4DB533AAA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74CB149-8F50-499A-9352-462ABBB0C7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0D748AF-9DFC-4135-962B-C9AAFE1347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128BAFF-AB1F-4C44-BE70-25435EC830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6AF9457-2574-40E2-B5FF-78B30B5BF3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E37D6B34-69AF-4164-8EF7-B4C53C9F7B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435736D-558C-4664-896C-C5655B53F7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1015FB04-EE71-4D3F-9A50-BD502B9D60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64C0600-0D13-4F36-8C46-0D3F14A962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64D5297-CEC6-463F-8001-40CAE8AD81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760B9B0-3872-449C-AD5C-74EBA54C34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76832D3-C6EA-4752-99B0-5253D3CC8E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4FD5F35-C761-4284-B551-31E6B0EB92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D502CDD-3FAF-4356-BCD9-6B622E780C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63DF042-ADD6-4668-ABCD-8A71AB72A8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4905AD0C-054A-40F2-9052-EF6AA89A16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04B1F2C6-5489-43E3-8D23-B12E68A232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4811040C-32B0-4B98-AFA4-D9FF82BF07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47A035E-3561-465F-AE7A-43C0E138F9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1529759-F798-48DB-87DF-1E6EB97EC9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4553876-B24A-4444-AD57-9024FA6C45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C0423DD-0B12-4F81-AFFD-50D8A1E832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930D2F5-176C-492A-B4F1-F7DD0D0EF9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5D4F945-1271-4C0B-A0EA-001AC74BD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621BC2C-BBFB-4B86-8794-3538DE97B7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D61661A8-50DF-4474-AAC8-F8113C5FE1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5D069FB0-7934-477A-A1A3-03BB2024C6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DCFEA885-0283-4DFB-95BF-587A681A5C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8C3BD09-A4DE-43B2-B65E-16E9519CBC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F6FE824-9343-4DB0-9967-1DCF2F4DB4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CFFE847-487F-4023-963E-0F97D7DC1E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E1152E9-7A55-4F3D-BE53-63EE31DC11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38FC43C-ECB8-4824-AC51-B7175324F5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D6BC7A6-5C1A-4071-846E-D1989A6118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E51BAA3-47F5-4E53-B93E-EB39C1D64E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0589122-8BFC-4B73-9E7C-81C3695319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7ECF4658-755A-45F7-976A-3C9807F464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4DF3D566-4C03-403C-8EAE-A5C348FCBF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4DEB998-C271-41F4-B478-45184F0DA8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B1A1E48-16B3-49BB-A315-2D6A71E81B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025B5DA-3AE9-4C97-81F4-831159A9E4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40A5146-143A-4B4F-AEE4-A1EB2D6D98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F35EB2C-3F6E-4121-951D-F4A8334B07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0CE0B1-B5F8-4C9B-AD68-67183D6A5D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53B2583-0961-4F24-95FF-EBD6FBFF1F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CB6E09D1-41F8-4574-AA35-77776BD955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0F5E3BC-33C2-47FB-8474-507788E7B5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339B0E0D-0B8F-4E48-B7EB-4D2297D5C1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6A127A6-A38C-405A-83C9-2C5EA56EF3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B0D2850-7041-47E9-850B-7C2E034471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A914435-7FA7-4029-859F-01C3D60F4B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6D68042-06F8-4D0A-AC28-03A3279F9C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47F4BC7-C23D-42B6-9DA8-E43366DE63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B2FE155-A5E4-4A4A-8DF7-BD82518B09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5E40C33-2DC1-4EED-AA61-27BBE97713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F70BE25B-7C26-4A35-B2E7-1E46402CE3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838EE30C-4669-4D3E-96B8-DA84BC8CC3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8D1CF149-FFA6-4964-88F4-4D6234FAAF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1794FE2-A91D-43C7-AA5F-646AE474D2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F479BC-5762-4FEE-A6FF-2015AE957F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A18DAD3-1E0E-4584-B4A7-BB3A555533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DD21309-58E9-406E-861D-457A22318A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8F807A9-56A2-4242-8FE7-26331B0996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15CFEB4-6482-4C47-8DE8-60FE532A87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B43F809-DB59-47C3-BBFE-5ECF6CD471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1A8FEE2D-A3BE-4409-8117-7E5788685C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4643A706-3122-462A-B966-BB35D26F19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A55F6C0-5FE3-462D-80F0-9AC0E071DD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59BF595-AF9C-43C1-A2FC-B22AA2E1CC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1A85212-1D00-4687-802C-F3E1D600C3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53232AA-D5F2-4394-A948-48D8AD041B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1DCCB90-8CA7-43C5-90C3-93D138FE72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4316351-710E-4473-B5E9-2A05482107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A325FEE-65CC-4DF7-92E7-F4D5301A33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BBC523A-7577-4468-8A83-A466514BDF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54E0060-657E-4101-947C-BF75091080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0D4B77E-FCDE-4B09-8F0E-816DE9447F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4" authorId="1" shapeId="0" xr:uid="{5223D70A-88BD-4FD5-86DB-CCC61484789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 brew dumped in Sac. Rest stage . 73 Total brews completed 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<sst xmlns="http://schemas.openxmlformats.org/spreadsheetml/2006/main" count="3236" uniqueCount="206">
  <si>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</si>
  <si>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</si>
  <si>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</si>
  <si>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</si>
  <si>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</si>
  <si>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</si>
  <si>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</si>
  <si>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</si>
  <si>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</si>
  <si>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</si>
  <si>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</si>
  <si>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</si>
  <si>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</si>
  <si>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</si>
  <si>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</si>
  <si>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</si>
  <si>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</si>
  <si>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</si>
  <si>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</si>
  <si>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</si>
  <si>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</si>
  <si>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</si>
  <si>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</si>
  <si>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</si>
  <si>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</si>
  <si>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</si>
  <si>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</si>
  <si>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</si>
  <si>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</si>
  <si>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</si>
  <si>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</si>
  <si>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</si>
  <si>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</si>
  <si>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</si>
  <si>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</si>
  <si>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</si>
  <si>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</si>
  <si>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</si>
  <si>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</si>
  <si>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</si>
  <si>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</si>
  <si>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</si>
  <si>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</si>
  <si>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</si>
  <si>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</si>
  <si>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</si>
  <si>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</si>
  <si>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</si>
  <si>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</si>
  <si>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</si>
  <si>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</si>
  <si>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</si>
  <si>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</si>
  <si>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</si>
  <si>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</si>
  <si>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</si>
  <si>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</si>
  <si>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</si>
  <si>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</si>
  <si>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</si>
  <si>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</si>
  <si>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</si>
  <si>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</si>
  <si>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</si>
  <si>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</si>
  <si>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</si>
  <si>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</si>
  <si>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</si>
  <si>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</si>
  <si>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</si>
  <si>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</si>
  <si>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</si>
  <si>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</si>
  <si>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</si>
  <si>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</si>
  <si>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</si>
  <si>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</si>
  <si>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</si>
  <si>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</si>
  <si>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</si>
  <si>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</si>
  <si>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</si>
  <si>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</si>
  <si>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</si>
  <si>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</si>
  <si>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</si>
  <si>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</si>
  <si>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</si>
  <si>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</si>
  <si>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</si>
  <si>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</si>
  <si>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</si>
  <si>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</si>
  <si>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</si>
  <si>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</si>
  <si>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</si>
  <si>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</si>
  <si>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</si>
  <si>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</si>
  <si>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</si>
  <si>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</si>
  <si>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</si>
  <si>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</si>
  <si>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</si>
  <si>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</si>
  <si>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</si>
  <si>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</si>
  <si>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</si>
  <si>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</si>
  <si>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</si>
  <si>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</si>
  <si>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</si>
  <si>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</si>
  <si>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</si>
  <si>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</si>
  <si>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</si>
  <si>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</si>
  <si>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</si>
  <si>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</si>
  <si>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</si>
  <si>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</si>
  <si>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</si>
  <si>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</si>
  <si>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</si>
  <si>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</si>
  <si>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</si>
  <si>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</si>
  <si>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</si>
  <si>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</si>
  <si>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</si>
  <si>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</si>
  <si>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</si>
  <si>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</si>
  <si>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</si>
  <si>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</si>
  <si>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</si>
  <si>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</si>
  <si>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</si>
  <si>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</si>
  <si>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</si>
  <si>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</si>
  <si>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</si>
  <si>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</si>
  <si>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</si>
  <si>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</si>
  <si>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</si>
  <si>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</si>
  <si>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</si>
  <si>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</si>
  <si>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</si>
  <si>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</si>
  <si>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</si>
  <si>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</si>
  <si>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</si>
  <si>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</si>
  <si>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</si>
  <si>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</si>
  <si>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</si>
  <si>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</si>
  <si>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</si>
  <si>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</si>
  <si>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</si>
  <si>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>LOT WORT COLOUR: 3.3</t>
  </si>
  <si>
    <t xml:space="preserve">BRAND </t>
  </si>
  <si>
    <t>NO SBF</t>
  </si>
  <si>
    <t>Extr. Rec (79.4%)</t>
  </si>
  <si>
    <t>Compensation brew</t>
  </si>
  <si>
    <t>K. Neptune</t>
  </si>
  <si>
    <t>Brew was under grind</t>
  </si>
  <si>
    <t xml:space="preserve"> MALT LOT: Lot #40</t>
  </si>
  <si>
    <t>July 3rd 2025</t>
  </si>
  <si>
    <t>Shandy Sorrel</t>
  </si>
  <si>
    <t xml:space="preserve">Shandy Ginger </t>
  </si>
  <si>
    <t>1 SBF</t>
  </si>
  <si>
    <t>J. Nelson/ K. Neptune</t>
  </si>
  <si>
    <t xml:space="preserve"> K. Neptune/T. Charles </t>
  </si>
  <si>
    <t>K. Hosten</t>
  </si>
  <si>
    <t xml:space="preserve">D. Emery/G. Mason </t>
  </si>
  <si>
    <t>July 10th</t>
  </si>
  <si>
    <t>Switch to Silo #1  Lot 14</t>
  </si>
  <si>
    <t>3 SBF</t>
  </si>
  <si>
    <t>LOT WORT COLOUR: 3.2</t>
  </si>
  <si>
    <t>Extr. Rec (78.1%)</t>
  </si>
  <si>
    <t xml:space="preserve"> MALT LOT: Lot #14</t>
  </si>
  <si>
    <t>1 SBF- CIP</t>
  </si>
  <si>
    <t xml:space="preserve">K. Hosten </t>
  </si>
  <si>
    <t>D. Emery</t>
  </si>
  <si>
    <t xml:space="preserve">July 17th </t>
  </si>
  <si>
    <t>1 SBF- 3hls water added</t>
  </si>
  <si>
    <t>2 SBF</t>
  </si>
  <si>
    <t>G. Mason</t>
  </si>
  <si>
    <t>IPA</t>
  </si>
  <si>
    <t>APA</t>
  </si>
  <si>
    <t xml:space="preserve"> MALT LOT: Lot #14/41</t>
  </si>
  <si>
    <t>LOT WORT COLOUR: 3.2/3.0</t>
  </si>
  <si>
    <t>Switch Silo #1 to 2 Lot 41</t>
  </si>
  <si>
    <t>Waiting on Skip</t>
  </si>
  <si>
    <t>J. Nelson</t>
  </si>
  <si>
    <t xml:space="preserve"> MALT LOT: Lot #41</t>
  </si>
  <si>
    <t>LOT WORT COLOUR: 3.0</t>
  </si>
  <si>
    <t>Extr. Rec (77.9%)</t>
  </si>
  <si>
    <t>K.Neptune</t>
  </si>
  <si>
    <t>NO SBF- 2.5hls water added</t>
  </si>
  <si>
    <t>deep cuts (11) + extra boil (low steam)</t>
  </si>
  <si>
    <t>extra boil + deep bed rake (15)</t>
  </si>
  <si>
    <t>deep cuts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</si>
</sst>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5" tint="-0.249977111117893"/>
      <name val="Arial"/>
      <family val="2"/>
    </font>
    <font>
      <b/>
      <sz val="14"/>
      <color theme="1"/>
      <name val="Arial"/>
      <family val="2"/>
    </font>
    <font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9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5" fillId="0" borderId="13" xfId="3" applyFont="1" applyBorder="1" applyAlignment="1">
      <alignment horizontal="center" vertical="center"/>
    </xf>
    <xf numFmtId="16" fontId="9" fillId="0" borderId="10" xfId="3" applyNumberFormat="1" applyFont="1" applyBorder="1" applyAlignment="1">
      <alignment horizontal="center" vertical="center"/>
    </xf>
    <xf numFmtId="0" fontId="22" fillId="0" borderId="1" xfId="3" applyNumberFormat="1" applyFont="1" applyBorder="1" applyAlignment="1">
      <alignment vertical="top"/>
    </xf>
    <xf numFmtId="165" fontId="9" fillId="0" borderId="50" xfId="3" applyFont="1" applyBorder="1" applyAlignment="1">
      <alignment horizontal="center" vertical="center" wrapText="1"/>
    </xf>
    <xf numFmtId="165" fontId="9" fillId="0" borderId="13" xfId="3" applyFont="1" applyBorder="1" applyAlignment="1">
      <alignment horizontal="left"/>
    </xf>
    <xf numFmtId="166" fontId="10" fillId="4" borderId="0" xfId="0" applyNumberFormat="1" applyFont="1" applyFill="1" applyAlignment="1">
      <alignment vertical="center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31" fillId="4" borderId="13" xfId="3" applyFont="1" applyFill="1" applyBorder="1"/>
    <xf numFmtId="165" fontId="13" fillId="0" borderId="13" xfId="3" applyFont="1" applyBorder="1" applyAlignment="1">
      <alignment horizontal="center" vertical="center"/>
    </xf>
    <xf numFmtId="165" fontId="82" fillId="0" borderId="52" xfId="3" applyFont="1" applyBorder="1" applyAlignment="1">
      <alignment vertical="center"/>
    </xf>
    <xf numFmtId="165" fontId="27" fillId="0" borderId="13" xfId="3" applyFont="1" applyBorder="1" applyAlignment="1">
      <alignment horizontal="center" vertical="center"/>
    </xf>
    <xf numFmtId="165" fontId="88" fillId="0" borderId="13" xfId="3" applyFont="1" applyBorder="1"/>
    <xf numFmtId="165" fontId="9" fillId="0" borderId="81" xfId="3" applyFont="1" applyBorder="1" applyAlignment="1">
      <alignment vertical="center" wrapText="1"/>
    </xf>
    <xf numFmtId="165" fontId="9" fillId="0" borderId="22" xfId="3" applyFont="1" applyBorder="1" applyAlignment="1">
      <alignment vertical="center" wrapText="1"/>
    </xf>
    <xf numFmtId="2" fontId="9" fillId="23" borderId="1" xfId="3" applyNumberFormat="1" applyFont="1" applyFill="1" applyBorder="1" applyAlignment="1">
      <alignment horizontal="center" vertical="center"/>
    </xf>
    <xf numFmtId="165" fontId="9" fillId="0" borderId="40" xfId="3" applyFont="1" applyBorder="1" applyAlignment="1">
      <alignment horizontal="center" vertical="center" wrapText="1"/>
    </xf>
    <xf numFmtId="165" fontId="9" fillId="0" borderId="15" xfId="3" applyFont="1" applyBorder="1" applyAlignment="1">
      <alignment vertical="center" wrapText="1"/>
    </xf>
    <xf numFmtId="165" fontId="85" fillId="0" borderId="31" xfId="3" applyFont="1" applyBorder="1" applyAlignment="1">
      <alignment horizontal="center" vertical="center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2" fontId="31" fillId="0" borderId="53" xfId="4" applyNumberFormat="1" applyFont="1" applyFill="1" applyBorder="1" applyAlignment="1">
      <alignment horizontal="center" vertical="center"/>
    </xf>
    <xf numFmtId="2" fontId="9" fillId="0" borderId="32" xfId="3" applyNumberFormat="1" applyFont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2" fontId="79" fillId="0" borderId="32" xfId="3" applyNumberFormat="1" applyFont="1" applyBorder="1" applyAlignment="1">
      <alignment horizontal="center" vertical="center"/>
    </xf>
    <xf numFmtId="165" fontId="23" fillId="0" borderId="13" xfId="3" applyFont="1" applyBorder="1" applyAlignment="1">
      <alignment horizontal="center" vertical="center"/>
    </xf>
    <xf numFmtId="165" fontId="28" fillId="0" borderId="13" xfId="3" applyFont="1" applyBorder="1" applyAlignment="1">
      <alignment horizontal="center" vertical="center"/>
    </xf>
    <xf numFmtId="166" fontId="89" fillId="0" borderId="1" xfId="3" applyNumberFormat="1" applyFont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5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171" fontId="8" fillId="0" borderId="85" xfId="3" applyNumberFormat="1" applyFont="1" applyBorder="1" applyAlignment="1">
      <alignment horizontal="center" vertical="center"/>
    </xf>
    <xf numFmtId="2" fontId="8" fillId="0" borderId="85" xfId="3" applyNumberFormat="1" applyFont="1" applyBorder="1" applyAlignment="1">
      <alignment horizontal="center" vertical="center"/>
    </xf>
    <xf numFmtId="4" fontId="8" fillId="0" borderId="86" xfId="3" applyNumberFormat="1" applyFont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31" fillId="0" borderId="86" xfId="4" applyNumberFormat="1" applyFont="1" applyFill="1" applyBorder="1" applyAlignment="1">
      <alignment horizontal="center" vertical="center"/>
    </xf>
    <xf numFmtId="2" fontId="9" fillId="4" borderId="85" xfId="3" applyNumberFormat="1" applyFont="1" applyFill="1" applyBorder="1" applyAlignment="1">
      <alignment horizontal="center" vertical="center"/>
    </xf>
    <xf numFmtId="170" fontId="8" fillId="0" borderId="87" xfId="4" applyNumberFormat="1" applyFont="1" applyFill="1" applyBorder="1" applyAlignment="1">
      <alignment horizontal="center" vertical="center"/>
    </xf>
    <xf numFmtId="2" fontId="79" fillId="0" borderId="85" xfId="3" applyNumberFormat="1" applyFont="1" applyBorder="1" applyAlignment="1">
      <alignment horizontal="center" vertical="center"/>
    </xf>
    <xf numFmtId="165" fontId="9" fillId="0" borderId="88" xfId="3" applyFont="1" applyBorder="1" applyAlignment="1">
      <alignment vertical="center" wrapText="1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2" fillId="0" borderId="89" xfId="3" applyFont="1" applyBorder="1" applyAlignment="1">
      <alignment vertical="center"/>
    </xf>
    <xf numFmtId="165" fontId="26" fillId="0" borderId="84" xfId="3" applyFont="1" applyBorder="1" applyAlignment="1">
      <alignment horizontal="center" vertical="center"/>
    </xf>
    <xf numFmtId="165" fontId="87" fillId="0" borderId="84" xfId="3" applyFont="1" applyBorder="1" applyAlignment="1">
      <alignment horizontal="center" vertical="center"/>
    </xf>
    <xf numFmtId="165" fontId="87" fillId="0" borderId="89" xfId="3" applyFont="1" applyBorder="1" applyAlignment="1">
      <alignment horizontal="center" vertical="center"/>
    </xf>
    <xf numFmtId="2" fontId="9" fillId="0" borderId="85" xfId="3" applyNumberFormat="1" applyFont="1" applyBorder="1" applyAlignment="1">
      <alignment horizontal="center" vertical="center"/>
    </xf>
    <xf numFmtId="165" fontId="9" fillId="0" borderId="88" xfId="3" applyFont="1" applyBorder="1" applyAlignment="1">
      <alignment horizontal="center" vertical="center" wrapText="1"/>
    </xf>
    <xf numFmtId="165" fontId="9" fillId="0" borderId="40" xfId="3" applyFont="1" applyBorder="1" applyAlignment="1">
      <alignment vertical="center" wrapText="1"/>
    </xf>
    <xf numFmtId="165" fontId="9" fillId="0" borderId="22" xfId="3" applyFont="1" applyBorder="1" applyAlignment="1">
      <alignment horizontal="center" vertical="center" wrapText="1"/>
    </xf>
    <xf numFmtId="2" fontId="31" fillId="0" borderId="85" xfId="3" applyNumberFormat="1" applyFont="1" applyBorder="1" applyAlignment="1">
      <alignment horizontal="center" vertical="center"/>
    </xf>
    <xf numFmtId="166" fontId="21" fillId="7" borderId="1" xfId="3" applyNumberFormat="1" applyFont="1" applyFill="1" applyBorder="1" applyAlignment="1">
      <alignment horizontal="center" vertical="center"/>
    </xf>
    <xf numFmtId="166" fontId="9" fillId="0" borderId="18" xfId="3" applyNumberFormat="1" applyFont="1" applyBorder="1" applyAlignment="1">
      <alignment horizontal="center"/>
    </xf>
    <xf numFmtId="166" fontId="9" fillId="0" borderId="19" xfId="3" applyNumberFormat="1" applyFont="1" applyBorder="1" applyAlignment="1">
      <alignment horizontal="center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0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9" fillId="0" borderId="1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20" fillId="0" borderId="23" xfId="3" applyFont="1" applyBorder="1" applyAlignment="1">
      <alignment horizontal="center" vertical="center"/>
    </xf>
    <xf numFmtId="165" fontId="86" fillId="0" borderId="27" xfId="3" applyFont="1" applyBorder="1" applyAlignment="1">
      <alignment horizontal="center" vertical="center"/>
    </xf>
    <xf numFmtId="165" fontId="86" fillId="0" borderId="35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7" borderId="83" xfId="3" applyNumberFormat="1" applyFont="1" applyFill="1" applyBorder="1" applyAlignment="1">
      <alignment horizontal="center" vertical="center"/>
    </xf>
    <xf numFmtId="166" fontId="9" fillId="7" borderId="19" xfId="3" applyNumberFormat="1" applyFont="1" applyFill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85" fillId="0" borderId="66" xfId="3" applyFont="1" applyBorder="1" applyAlignment="1">
      <alignment horizontal="center" vertical="center"/>
    </xf>
    <xf numFmtId="165" fontId="85" fillId="0" borderId="27" xfId="3" applyFont="1" applyBorder="1" applyAlignment="1">
      <alignment horizontal="center" vertical="center"/>
    </xf>
    <xf numFmtId="165" fontId="85" fillId="0" borderId="35" xfId="3" applyFont="1" applyBorder="1" applyAlignment="1">
      <alignment horizontal="center" vertical="center"/>
    </xf>
    <xf numFmtId="165" fontId="82" fillId="0" borderId="23" xfId="3" applyFont="1" applyBorder="1" applyAlignment="1">
      <alignment horizontal="center" vertical="center"/>
    </xf>
    <xf numFmtId="165" fontId="82" fillId="0" borderId="27" xfId="3" applyFont="1" applyBorder="1" applyAlignment="1">
      <alignment horizontal="center" vertical="center"/>
    </xf>
    <xf numFmtId="165" fontId="82" fillId="0" borderId="35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5" fontId="9" fillId="0" borderId="81" xfId="3" applyFont="1" applyBorder="1" applyAlignment="1">
      <alignment horizontal="center" vertical="center" wrapText="1"/>
    </xf>
    <xf numFmtId="165" fontId="27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23" fillId="0" borderId="23" xfId="3" applyFont="1" applyBorder="1" applyAlignment="1">
      <alignment horizontal="center" vertical="center"/>
    </xf>
    <xf numFmtId="165" fontId="23" fillId="0" borderId="27" xfId="3" applyFont="1" applyBorder="1" applyAlignment="1">
      <alignment horizontal="center" vertical="center"/>
    </xf>
    <xf numFmtId="165" fontId="23" fillId="0" borderId="35" xfId="3" applyFont="1" applyBorder="1" applyAlignment="1">
      <alignment horizontal="center" vertical="center"/>
    </xf>
    <xf numFmtId="165" fontId="28" fillId="0" borderId="23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27" fillId="0" borderId="34" xfId="3" applyFont="1" applyBorder="1" applyAlignment="1">
      <alignment horizontal="center" vertical="center"/>
    </xf>
    <xf numFmtId="165" fontId="13" fillId="0" borderId="23" xfId="3" applyFont="1" applyBorder="1" applyAlignment="1">
      <alignment horizontal="center" vertical="center"/>
    </xf>
    <xf numFmtId="165" fontId="13" fillId="0" borderId="27" xfId="3" applyFont="1" applyBorder="1" applyAlignment="1">
      <alignment horizontal="center" vertical="center"/>
    </xf>
    <xf numFmtId="165" fontId="13" fillId="0" borderId="35" xfId="3" applyFont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062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4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40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43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72" Type="http://schemas.openxmlformats.org/officeDocument/2006/relationships/externalLink" Target="externalLinks/externalLink4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4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externalLink" Target="externalLinks/externalLink44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7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July_2025.xls" TargetMode="External"/><Relationship Id="rId1" Type="http://schemas.openxmlformats.org/officeDocument/2006/relationships/externalLinkPath" Target="/Operations/Brewing/Reports%20Local/Losses%202025/July_2025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ne%20'25%20Daily%20Process%20Report%202025.xlsx" TargetMode="External"/><Relationship Id="rId1" Type="http://schemas.openxmlformats.org/officeDocument/2006/relationships/externalLinkPath" Target="June%20'25%20Daily%20Process%20Report%202025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Y45">
            <v>97.680078712303157</v>
          </cell>
        </row>
        <row r="46">
          <cell r="AY46">
            <v>96.032533546760064</v>
          </cell>
        </row>
        <row r="47">
          <cell r="AY47">
            <v>96.368177969102391</v>
          </cell>
        </row>
        <row r="48">
          <cell r="AY48">
            <v>96.127420872417986</v>
          </cell>
        </row>
        <row r="49">
          <cell r="AY49">
            <v>94.281558174494734</v>
          </cell>
        </row>
        <row r="50">
          <cell r="AY50">
            <v>97.243639355509373</v>
          </cell>
        </row>
        <row r="56">
          <cell r="A56" t="str">
            <v>SM045</v>
          </cell>
          <cell r="T56">
            <v>61</v>
          </cell>
          <cell r="U56">
            <v>17.072310405643751</v>
          </cell>
          <cell r="X56">
            <v>0.73263888888888884</v>
          </cell>
          <cell r="Y56">
            <v>0.87222222222222223</v>
          </cell>
          <cell r="Z56">
            <v>81</v>
          </cell>
          <cell r="AD56">
            <v>0.29583333333333339</v>
          </cell>
          <cell r="AH56">
            <v>56.7</v>
          </cell>
          <cell r="AK56">
            <v>17.260000000000002</v>
          </cell>
          <cell r="AM56">
            <v>51.6</v>
          </cell>
          <cell r="AY56">
            <v>98.181053939282549</v>
          </cell>
          <cell r="AZ56">
            <v>98.962705801686042</v>
          </cell>
          <cell r="BC56" t="str">
            <v>D. Gomaz</v>
          </cell>
        </row>
        <row r="57">
          <cell r="A57" t="str">
            <v>SM046</v>
          </cell>
          <cell r="T57">
            <v>60</v>
          </cell>
          <cell r="U57">
            <v>9.9435028248587596</v>
          </cell>
          <cell r="X57">
            <v>0.82986111111111116</v>
          </cell>
          <cell r="Y57">
            <v>0.95625000000000004</v>
          </cell>
          <cell r="Z57">
            <v>77</v>
          </cell>
          <cell r="AD57">
            <v>0.27569444444444446</v>
          </cell>
          <cell r="AH57">
            <v>53.1</v>
          </cell>
          <cell r="AK57">
            <v>16.309999999999999</v>
          </cell>
          <cell r="AM57">
            <v>49.8</v>
          </cell>
          <cell r="AY57">
            <v>87.428386701544582</v>
          </cell>
          <cell r="AZ57">
            <v>88.137926647152227</v>
          </cell>
          <cell r="BC57" t="str">
            <v>D. Gomaz</v>
          </cell>
        </row>
        <row r="58">
          <cell r="A58" t="str">
            <v>SM047</v>
          </cell>
          <cell r="T58">
            <v>61</v>
          </cell>
          <cell r="U58">
            <v>9.869158878504674</v>
          </cell>
          <cell r="X58">
            <v>0.93541666666666667</v>
          </cell>
          <cell r="Y58">
            <v>1.0652777777777778</v>
          </cell>
          <cell r="Z58">
            <v>64</v>
          </cell>
          <cell r="AD58">
            <v>0.27847222222222223</v>
          </cell>
          <cell r="AH58">
            <v>53.5</v>
          </cell>
          <cell r="AK58">
            <v>18.47</v>
          </cell>
          <cell r="AM58">
            <v>53.9</v>
          </cell>
          <cell r="AY58">
            <v>110.11827495393527</v>
          </cell>
          <cell r="AZ58">
            <v>110.99578529011555</v>
          </cell>
          <cell r="BC58" t="str">
            <v>D. Gomaz</v>
          </cell>
        </row>
        <row r="59">
          <cell r="A59" t="str">
            <v>SM048</v>
          </cell>
          <cell r="T59">
            <v>58</v>
          </cell>
          <cell r="U59">
            <v>12.302025782688766</v>
          </cell>
          <cell r="X59">
            <v>1.0520833333333333</v>
          </cell>
          <cell r="Y59">
            <v>1.1736111111111112</v>
          </cell>
          <cell r="Z59">
            <v>64</v>
          </cell>
          <cell r="AD59">
            <v>0.28125</v>
          </cell>
          <cell r="AH59">
            <v>54.3</v>
          </cell>
          <cell r="AK59">
            <v>17.239999999999998</v>
          </cell>
          <cell r="AM59">
            <v>52.3</v>
          </cell>
          <cell r="AY59">
            <v>98.787376054162792</v>
          </cell>
          <cell r="AZ59">
            <v>99.574592741019913</v>
          </cell>
          <cell r="BC59" t="str">
            <v>R.Sookram</v>
          </cell>
        </row>
        <row r="60">
          <cell r="A60" t="str">
            <v>SM049</v>
          </cell>
          <cell r="T60">
            <v>58</v>
          </cell>
          <cell r="U60">
            <v>12.872727272727284</v>
          </cell>
          <cell r="X60">
            <v>1.1499999999999999</v>
          </cell>
          <cell r="Y60">
            <v>1.2875000000000001</v>
          </cell>
          <cell r="Z60">
            <v>71</v>
          </cell>
          <cell r="AD60">
            <v>0.28402777777777777</v>
          </cell>
          <cell r="AH60">
            <v>55</v>
          </cell>
          <cell r="AK60">
            <v>17.28</v>
          </cell>
          <cell r="AM60">
            <v>52.3</v>
          </cell>
          <cell r="AY60">
            <v>99.593723178345229</v>
          </cell>
          <cell r="AZ60">
            <v>100.3858768572243</v>
          </cell>
          <cell r="BC60" t="str">
            <v>R.Sookram</v>
          </cell>
        </row>
        <row r="61">
          <cell r="A61" t="str">
            <v>SM050</v>
          </cell>
          <cell r="T61">
            <v>61</v>
          </cell>
          <cell r="U61">
            <v>10.671506352087119</v>
          </cell>
          <cell r="X61">
            <v>0.23958333333333334</v>
          </cell>
          <cell r="Y61">
            <v>0.37152777777777779</v>
          </cell>
          <cell r="Z61">
            <v>65</v>
          </cell>
          <cell r="AD61">
            <v>0.27430555555555558</v>
          </cell>
          <cell r="AH61">
            <v>55.1</v>
          </cell>
          <cell r="AK61">
            <v>17.5</v>
          </cell>
          <cell r="AM61">
            <v>51.7</v>
          </cell>
          <cell r="AY61">
            <v>99.702836872398194</v>
          </cell>
          <cell r="AZ61">
            <v>100.49511149821224</v>
          </cell>
          <cell r="BC61" t="str">
            <v>R.Sookram</v>
          </cell>
        </row>
        <row r="62">
          <cell r="A62" t="str">
            <v>SM051</v>
          </cell>
          <cell r="T62">
            <v>61</v>
          </cell>
          <cell r="U62">
            <v>12.597864768683284</v>
          </cell>
          <cell r="X62">
            <v>0.35069444444444442</v>
          </cell>
          <cell r="Y62">
            <v>0.49583333333333335</v>
          </cell>
          <cell r="Z62">
            <v>94</v>
          </cell>
          <cell r="AD62">
            <v>0.30833333333333335</v>
          </cell>
          <cell r="AH62">
            <v>56.2</v>
          </cell>
          <cell r="AK62">
            <v>16.8</v>
          </cell>
          <cell r="AM62">
            <v>53.9</v>
          </cell>
          <cell r="AY62">
            <v>99.503394936483232</v>
          </cell>
          <cell r="AZ62">
            <v>100.29408472489341</v>
          </cell>
          <cell r="BC62" t="str">
            <v>R. Regis</v>
          </cell>
        </row>
        <row r="63">
          <cell r="A63" t="str">
            <v>SM052</v>
          </cell>
          <cell r="T63">
            <v>61</v>
          </cell>
          <cell r="U63">
            <v>5.795053003533571</v>
          </cell>
          <cell r="X63">
            <v>0.44166666666666665</v>
          </cell>
          <cell r="Y63">
            <v>0.62777777777777777</v>
          </cell>
          <cell r="Z63">
            <v>91</v>
          </cell>
          <cell r="AD63">
            <v>0.33611111111111108</v>
          </cell>
          <cell r="AH63">
            <v>56.6</v>
          </cell>
          <cell r="AK63">
            <v>17.600000000000001</v>
          </cell>
          <cell r="AM63">
            <v>51.6</v>
          </cell>
          <cell r="AY63">
            <v>100.14787259716714</v>
          </cell>
          <cell r="AZ63">
            <v>100.94368363702289</v>
          </cell>
          <cell r="BC63" t="str">
            <v>R. Regis</v>
          </cell>
        </row>
        <row r="64">
          <cell r="A64" t="str">
            <v>SM053</v>
          </cell>
          <cell r="T64">
            <v>61</v>
          </cell>
          <cell r="U64">
            <v>17.168458781362006</v>
          </cell>
          <cell r="X64">
            <v>0.56805555555555554</v>
          </cell>
          <cell r="Y64">
            <v>0.71527777777777779</v>
          </cell>
          <cell r="Z64">
            <v>74</v>
          </cell>
          <cell r="AD64">
            <v>0.31944444444444448</v>
          </cell>
          <cell r="AH64">
            <v>55.8</v>
          </cell>
          <cell r="AK64">
            <v>16.8</v>
          </cell>
          <cell r="AM64">
            <v>48.3</v>
          </cell>
          <cell r="AY64">
            <v>98.857519359317735</v>
          </cell>
          <cell r="AZ64">
            <v>99.738443785464469</v>
          </cell>
          <cell r="BC64" t="str">
            <v>R. Regis</v>
          </cell>
        </row>
        <row r="65">
          <cell r="A65" t="str">
            <v>SM054</v>
          </cell>
          <cell r="T65">
            <v>60</v>
          </cell>
          <cell r="U65">
            <v>12.117863720073663</v>
          </cell>
          <cell r="X65">
            <v>0.79374999999999996</v>
          </cell>
          <cell r="Y65">
            <v>0.92638888888888893</v>
          </cell>
          <cell r="Z65">
            <v>78</v>
          </cell>
          <cell r="AD65">
            <v>0.36041666666666672</v>
          </cell>
          <cell r="AH65">
            <v>54.3</v>
          </cell>
          <cell r="AK65">
            <v>17.399999999999999</v>
          </cell>
          <cell r="AM65">
            <v>52.6</v>
          </cell>
          <cell r="AY65">
            <v>100.43456778341326</v>
          </cell>
          <cell r="AZ65">
            <v>101.23640699003485</v>
          </cell>
          <cell r="BC65" t="str">
            <v>D. Gomaz</v>
          </cell>
        </row>
        <row r="66">
          <cell r="A66" t="str">
            <v>SM055</v>
          </cell>
          <cell r="T66">
            <v>60</v>
          </cell>
          <cell r="U66">
            <v>16.408317580340263</v>
          </cell>
          <cell r="X66">
            <v>0.96736111111111112</v>
          </cell>
          <cell r="Y66">
            <v>1.0909722222222222</v>
          </cell>
          <cell r="Z66">
            <v>60</v>
          </cell>
          <cell r="AD66">
            <v>0.27152777777777781</v>
          </cell>
          <cell r="AH66">
            <v>52.9</v>
          </cell>
          <cell r="AK66">
            <v>17.5</v>
          </cell>
          <cell r="AM66">
            <v>48.5</v>
          </cell>
          <cell r="AY66">
            <v>94.119623769471843</v>
          </cell>
          <cell r="AZ66">
            <v>94.35083813373393</v>
          </cell>
          <cell r="BC66" t="str">
            <v>K. Benjamin</v>
          </cell>
        </row>
        <row r="67">
          <cell r="A67" t="str">
            <v>SM056</v>
          </cell>
          <cell r="T67">
            <v>60</v>
          </cell>
          <cell r="U67">
            <v>14.937611408199647</v>
          </cell>
          <cell r="X67">
            <v>1.054861111111111</v>
          </cell>
          <cell r="Y67">
            <v>1.1861111111111111</v>
          </cell>
          <cell r="Z67">
            <v>62</v>
          </cell>
          <cell r="AD67">
            <v>0.27638888888888891</v>
          </cell>
          <cell r="AH67">
            <v>56.1</v>
          </cell>
          <cell r="AK67">
            <v>17.7</v>
          </cell>
          <cell r="AM67">
            <v>50.5</v>
          </cell>
          <cell r="AY67">
            <v>99.044919151670612</v>
          </cell>
          <cell r="AZ67">
            <v>99.288692579651936</v>
          </cell>
          <cell r="BC67" t="str">
            <v>K. Benjamin</v>
          </cell>
        </row>
        <row r="68">
          <cell r="A68" t="str">
            <v>SM057</v>
          </cell>
          <cell r="T68">
            <v>58</v>
          </cell>
          <cell r="U68">
            <v>12.798573975044574</v>
          </cell>
          <cell r="X68">
            <v>1.1451388888888889</v>
          </cell>
          <cell r="Y68">
            <v>1.2722222222222221</v>
          </cell>
          <cell r="Z68">
            <v>65</v>
          </cell>
          <cell r="AD68">
            <v>0.27569444444444435</v>
          </cell>
          <cell r="AH68">
            <v>56.1</v>
          </cell>
          <cell r="AK68">
            <v>17.5</v>
          </cell>
          <cell r="AM68">
            <v>50.8</v>
          </cell>
          <cell r="AY68">
            <v>98.26555370627031</v>
          </cell>
          <cell r="AZ68">
            <v>98.507863425500048</v>
          </cell>
          <cell r="BC68" t="str">
            <v>K. Benjamin</v>
          </cell>
        </row>
        <row r="69">
          <cell r="A69" t="str">
            <v>SM058</v>
          </cell>
          <cell r="T69">
            <v>60</v>
          </cell>
          <cell r="U69">
            <v>11.41818181818182</v>
          </cell>
          <cell r="X69">
            <v>0.23749999999999999</v>
          </cell>
          <cell r="Y69">
            <v>0.36666666666666664</v>
          </cell>
          <cell r="Z69">
            <v>72</v>
          </cell>
          <cell r="AD69">
            <v>0.28333333333333333</v>
          </cell>
          <cell r="AH69">
            <v>55</v>
          </cell>
          <cell r="AK69">
            <v>17.2</v>
          </cell>
          <cell r="AM69">
            <v>51.9</v>
          </cell>
          <cell r="AY69">
            <v>98.569967614948013</v>
          </cell>
          <cell r="AZ69">
            <v>98.813027978182276</v>
          </cell>
          <cell r="BC69" t="str">
            <v>K. Benjamin</v>
          </cell>
        </row>
        <row r="70">
          <cell r="A70" t="str">
            <v>SM059</v>
          </cell>
          <cell r="T70">
            <v>60</v>
          </cell>
          <cell r="U70">
            <v>14.838709677419356</v>
          </cell>
          <cell r="X70">
            <v>0.33611111111111114</v>
          </cell>
          <cell r="Y70">
            <v>0.46388888888888891</v>
          </cell>
          <cell r="Z70">
            <v>71</v>
          </cell>
          <cell r="AD70">
            <v>0.28333333333333333</v>
          </cell>
          <cell r="AH70">
            <v>55.8</v>
          </cell>
          <cell r="AK70">
            <v>17.8</v>
          </cell>
          <cell r="AM70">
            <v>49.8</v>
          </cell>
          <cell r="AY70">
            <v>98.132256373549936</v>
          </cell>
          <cell r="AZ70">
            <v>98.374237399376483</v>
          </cell>
          <cell r="BC70" t="str">
            <v>R. Regis</v>
          </cell>
        </row>
        <row r="71">
          <cell r="A71" t="str">
            <v>SM060</v>
          </cell>
          <cell r="T71">
            <v>61</v>
          </cell>
          <cell r="U71">
            <v>20.142857142857146</v>
          </cell>
          <cell r="X71">
            <v>0.43541666666666667</v>
          </cell>
          <cell r="Y71">
            <v>0.64027777777777772</v>
          </cell>
          <cell r="Z71">
            <v>77</v>
          </cell>
          <cell r="AD71">
            <v>0.36944444444444441</v>
          </cell>
          <cell r="AH71">
            <v>56</v>
          </cell>
          <cell r="AK71">
            <v>17</v>
          </cell>
          <cell r="AM71">
            <v>50.5</v>
          </cell>
          <cell r="AY71">
            <v>100.03514094829396</v>
          </cell>
          <cell r="AZ71">
            <v>100.29480868839788</v>
          </cell>
          <cell r="BC71" t="str">
            <v>R. Regis</v>
          </cell>
        </row>
        <row r="72">
          <cell r="A72" t="str">
            <v>SM061</v>
          </cell>
          <cell r="T72">
            <v>60</v>
          </cell>
          <cell r="U72">
            <v>15.583482944344714</v>
          </cell>
          <cell r="X72">
            <v>0.59305555555555556</v>
          </cell>
          <cell r="Y72">
            <v>0.7416666666666667</v>
          </cell>
          <cell r="Z72">
            <v>96</v>
          </cell>
          <cell r="AD72">
            <v>0.37361111111111112</v>
          </cell>
          <cell r="AH72">
            <v>55.7</v>
          </cell>
          <cell r="AK72">
            <v>16.600000000000001</v>
          </cell>
          <cell r="AM72">
            <v>54.3</v>
          </cell>
          <cell r="AY72">
            <v>99.39273336749045</v>
          </cell>
          <cell r="AZ72">
            <v>99.637592890277034</v>
          </cell>
          <cell r="BC72" t="str">
            <v>R. Regis</v>
          </cell>
        </row>
        <row r="73">
          <cell r="A73" t="str">
            <v>SM062</v>
          </cell>
          <cell r="T73">
            <v>61</v>
          </cell>
          <cell r="U73">
            <v>18.509090909090908</v>
          </cell>
          <cell r="X73">
            <v>0.6875</v>
          </cell>
          <cell r="Y73">
            <v>0.83819444444444446</v>
          </cell>
          <cell r="Z73">
            <v>99</v>
          </cell>
          <cell r="AD73">
            <v>0.29652777777777783</v>
          </cell>
          <cell r="AH73">
            <v>55</v>
          </cell>
          <cell r="AK73">
            <v>16.5</v>
          </cell>
          <cell r="AM73">
            <v>50.4</v>
          </cell>
          <cell r="AY73">
            <v>102.27737633882425</v>
          </cell>
          <cell r="AZ73">
            <v>102.55821415326321</v>
          </cell>
          <cell r="BC73" t="str">
            <v>D. Gomaz</v>
          </cell>
        </row>
      </sheetData>
      <sheetData sheetId="4">
        <row r="5">
          <cell r="D5">
            <v>17.399999999999999</v>
          </cell>
        </row>
        <row r="55">
          <cell r="D55">
            <v>17.260000000000002</v>
          </cell>
        </row>
        <row r="56">
          <cell r="D56">
            <v>16.309999999999999</v>
          </cell>
        </row>
        <row r="57">
          <cell r="D57">
            <v>18.47</v>
          </cell>
        </row>
        <row r="58">
          <cell r="D58">
            <v>17.239999999999998</v>
          </cell>
        </row>
        <row r="59">
          <cell r="D59">
            <v>17.28</v>
          </cell>
        </row>
        <row r="60">
          <cell r="D60">
            <v>17.5</v>
          </cell>
        </row>
        <row r="61">
          <cell r="D61">
            <v>16.8</v>
          </cell>
        </row>
        <row r="62">
          <cell r="D62">
            <v>17.600000000000001</v>
          </cell>
        </row>
        <row r="63">
          <cell r="D63">
            <v>16.8</v>
          </cell>
        </row>
        <row r="64">
          <cell r="D64">
            <v>17.399999999999999</v>
          </cell>
        </row>
        <row r="65">
          <cell r="D65">
            <v>17.5</v>
          </cell>
        </row>
        <row r="66">
          <cell r="D66">
            <v>17.7</v>
          </cell>
        </row>
        <row r="67">
          <cell r="D67">
            <v>17.5</v>
          </cell>
        </row>
        <row r="68">
          <cell r="D68">
            <v>17.2</v>
          </cell>
        </row>
        <row r="69">
          <cell r="D69">
            <v>17.8</v>
          </cell>
        </row>
        <row r="70">
          <cell r="D70">
            <v>17</v>
          </cell>
        </row>
        <row r="71">
          <cell r="D71">
            <v>16.600000000000001</v>
          </cell>
        </row>
        <row r="72">
          <cell r="D72">
            <v>16.5</v>
          </cell>
        </row>
      </sheetData>
      <sheetData sheetId="5"/>
      <sheetData sheetId="6">
        <row r="10">
          <cell r="H10">
            <v>99</v>
          </cell>
        </row>
      </sheetData>
      <sheetData sheetId="7">
        <row r="22">
          <cell r="E22">
            <v>7222</v>
          </cell>
        </row>
      </sheetData>
      <sheetData sheetId="8">
        <row r="22">
          <cell r="E22">
            <v>5885</v>
          </cell>
        </row>
      </sheetData>
      <sheetData sheetId="9">
        <row r="22">
          <cell r="E22">
            <v>3027</v>
          </cell>
        </row>
      </sheetData>
      <sheetData sheetId="10">
        <row r="22">
          <cell r="E22">
            <v>5769</v>
          </cell>
        </row>
      </sheetData>
      <sheetData sheetId="11">
        <row r="22">
          <cell r="E22">
            <v>4442</v>
          </cell>
        </row>
      </sheetData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U493">
            <v>94.264410009304427</v>
          </cell>
        </row>
        <row r="494">
          <cell r="AU494">
            <v>98.3990612176312</v>
          </cell>
        </row>
        <row r="495">
          <cell r="AU495">
            <v>94.297173444430044</v>
          </cell>
        </row>
        <row r="496">
          <cell r="AU496">
            <v>119.86186934898069</v>
          </cell>
        </row>
        <row r="497">
          <cell r="AU497">
            <v>92.79563444744052</v>
          </cell>
        </row>
        <row r="498">
          <cell r="AU498">
            <v>98.531405738757485</v>
          </cell>
        </row>
        <row r="499">
          <cell r="AU499">
            <v>98.232112519036946</v>
          </cell>
        </row>
        <row r="500">
          <cell r="AU500">
            <v>97.476480884275105</v>
          </cell>
        </row>
        <row r="501">
          <cell r="AU501">
            <v>95.636317134607069</v>
          </cell>
        </row>
        <row r="502">
          <cell r="AU502">
            <v>96.480040939898842</v>
          </cell>
        </row>
        <row r="503">
          <cell r="AU503">
            <v>97.20406658494251</v>
          </cell>
        </row>
        <row r="504">
          <cell r="AU504">
            <v>98.20551375276743</v>
          </cell>
        </row>
        <row r="505">
          <cell r="AU505">
            <v>97.425305329060635</v>
          </cell>
        </row>
        <row r="506">
          <cell r="AU506">
            <v>98.005016161360899</v>
          </cell>
        </row>
        <row r="507">
          <cell r="AU507">
            <v>97.308789773401159</v>
          </cell>
        </row>
        <row r="508">
          <cell r="AU508">
            <v>97.963623821913586</v>
          </cell>
        </row>
        <row r="509">
          <cell r="AU509">
            <v>95.193774896809018</v>
          </cell>
        </row>
        <row r="510">
          <cell r="AU510">
            <v>101.54691869481707</v>
          </cell>
        </row>
        <row r="511">
          <cell r="AU511">
            <v>98.522946643117706</v>
          </cell>
        </row>
        <row r="512">
          <cell r="AU512">
            <v>98.826663752636136</v>
          </cell>
        </row>
        <row r="513">
          <cell r="AU513">
            <v>95.464164524325369</v>
          </cell>
        </row>
        <row r="514">
          <cell r="AU514">
            <v>97.517026447740761</v>
          </cell>
        </row>
        <row r="515">
          <cell r="AU515">
            <v>96.153051693044588</v>
          </cell>
        </row>
        <row r="516">
          <cell r="AU516">
            <v>98.680823909592263</v>
          </cell>
        </row>
        <row r="517">
          <cell r="AU517">
            <v>97.011248461874814</v>
          </cell>
        </row>
        <row r="518">
          <cell r="AU518">
            <v>98.283916514367903</v>
          </cell>
        </row>
        <row r="519">
          <cell r="AU519">
            <v>98.396014539498395</v>
          </cell>
        </row>
        <row r="520">
          <cell r="AU520">
            <v>97.854296701656025</v>
          </cell>
        </row>
        <row r="521">
          <cell r="AU521">
            <v>95.428407789866725</v>
          </cell>
        </row>
        <row r="522">
          <cell r="AU522">
            <v>97.99538000287356</v>
          </cell>
        </row>
        <row r="523">
          <cell r="AU523">
            <v>95.729634833153412</v>
          </cell>
        </row>
        <row r="524">
          <cell r="AU524">
            <v>96.651238339921917</v>
          </cell>
        </row>
        <row r="525">
          <cell r="AU525">
            <v>95.154518668294898</v>
          </cell>
        </row>
        <row r="526">
          <cell r="AU526">
            <v>98.892713086542798</v>
          </cell>
        </row>
        <row r="527">
          <cell r="AU527">
            <v>97.520711041698107</v>
          </cell>
        </row>
        <row r="528">
          <cell r="AU528">
            <v>97.450970277914166</v>
          </cell>
        </row>
        <row r="529">
          <cell r="AU529">
            <v>97.733634215304093</v>
          </cell>
        </row>
        <row r="530">
          <cell r="AU530">
            <v>99.525778970395052</v>
          </cell>
        </row>
        <row r="531">
          <cell r="AU531">
            <v>98.681008627727124</v>
          </cell>
        </row>
        <row r="532">
          <cell r="AU532">
            <v>102.14224681645948</v>
          </cell>
        </row>
        <row r="533">
          <cell r="AU533">
            <v>94.522395450056479</v>
          </cell>
        </row>
        <row r="534">
          <cell r="AU534">
            <v>98.098897075542141</v>
          </cell>
        </row>
        <row r="535">
          <cell r="AU535">
            <v>97.520430517125718</v>
          </cell>
        </row>
        <row r="536">
          <cell r="AU536">
            <v>98.116820172982628</v>
          </cell>
        </row>
        <row r="537">
          <cell r="AU537">
            <v>99.289078263260194</v>
          </cell>
        </row>
        <row r="538">
          <cell r="AU538">
            <v>97.939517976186764</v>
          </cell>
        </row>
        <row r="539">
          <cell r="AU539">
            <v>99.02629043970073</v>
          </cell>
        </row>
        <row r="540">
          <cell r="AU540">
            <v>92.480657542018434</v>
          </cell>
        </row>
        <row r="541">
          <cell r="AU541">
            <v>99.412357848822381</v>
          </cell>
        </row>
        <row r="542">
          <cell r="AU542">
            <v>96.49844356306086</v>
          </cell>
        </row>
        <row r="543">
          <cell r="AU543">
            <v>96.942525007854016</v>
          </cell>
        </row>
        <row r="544">
          <cell r="AU544">
            <v>97.91935961128155</v>
          </cell>
        </row>
        <row r="545">
          <cell r="AU545">
            <v>98.363446655942425</v>
          </cell>
        </row>
        <row r="546">
          <cell r="AU546">
            <v>101.03394439430311</v>
          </cell>
        </row>
        <row r="547">
          <cell r="AU547">
            <v>99.732285524420973</v>
          </cell>
        </row>
        <row r="548">
          <cell r="AU548">
            <v>97.47590491831717</v>
          </cell>
        </row>
        <row r="549">
          <cell r="AU549">
            <v>99.289078263260194</v>
          </cell>
        </row>
        <row r="550">
          <cell r="AU550">
            <v>103.6522838624015</v>
          </cell>
        </row>
        <row r="551">
          <cell r="AU551">
            <v>98.416232687970393</v>
          </cell>
        </row>
        <row r="552">
          <cell r="AU552">
            <v>97.710255322201732</v>
          </cell>
        </row>
        <row r="553">
          <cell r="AU553">
            <v>100.99146882475272</v>
          </cell>
        </row>
        <row r="554">
          <cell r="AU554">
            <v>96.949674647987464</v>
          </cell>
        </row>
        <row r="555">
          <cell r="AU555">
            <v>101.72160029026291</v>
          </cell>
        </row>
        <row r="556">
          <cell r="AU556">
            <v>97.553132584643137</v>
          </cell>
        </row>
        <row r="557">
          <cell r="AU557">
            <v>99.5590993434582</v>
          </cell>
        </row>
        <row r="558">
          <cell r="AU558">
            <v>98.012550227443327</v>
          </cell>
        </row>
        <row r="559">
          <cell r="AU559">
            <v>96.331969753365684</v>
          </cell>
        </row>
        <row r="560">
          <cell r="AU560">
            <v>97.974745026258816</v>
          </cell>
        </row>
        <row r="561">
          <cell r="AU561">
            <v>97.469441737692662</v>
          </cell>
        </row>
        <row r="562">
          <cell r="AU562">
            <v>98.110462198248086</v>
          </cell>
        </row>
        <row r="563">
          <cell r="AU563">
            <v>98.709564869595852</v>
          </cell>
        </row>
        <row r="564">
          <cell r="AU564">
            <v>99.532596918424787</v>
          </cell>
        </row>
        <row r="565">
          <cell r="AU565">
            <v>98.714479401126994</v>
          </cell>
        </row>
        <row r="566">
          <cell r="AU566">
            <v>100.74778296899167</v>
          </cell>
        </row>
        <row r="567">
          <cell r="AU567">
            <v>95.259026995380694</v>
          </cell>
        </row>
        <row r="568">
          <cell r="AU568">
            <v>99.207063166935825</v>
          </cell>
        </row>
        <row r="569">
          <cell r="AU569">
            <v>96.139471578525743</v>
          </cell>
        </row>
        <row r="570">
          <cell r="AU570">
            <v>98.449159710442089</v>
          </cell>
        </row>
        <row r="571">
          <cell r="AU571">
            <v>99.224349944382595</v>
          </cell>
        </row>
        <row r="572">
          <cell r="AU572">
            <v>98.642957268927205</v>
          </cell>
        </row>
        <row r="573">
          <cell r="AU573">
            <v>98.174932925496933</v>
          </cell>
        </row>
        <row r="574">
          <cell r="AU574">
            <v>100.46060714075915</v>
          </cell>
        </row>
        <row r="575">
          <cell r="AU575">
            <v>96.755045495948551</v>
          </cell>
        </row>
        <row r="576">
          <cell r="AU576">
            <v>99.853992090356243</v>
          </cell>
        </row>
        <row r="577">
          <cell r="AU577">
            <v>96.738729431574484</v>
          </cell>
        </row>
        <row r="578">
          <cell r="AU578">
            <v>97.695306890721909</v>
          </cell>
        </row>
        <row r="580">
          <cell r="A580" t="str">
            <v>CA473</v>
          </cell>
          <cell r="P580">
            <v>56</v>
          </cell>
          <cell r="Q580">
            <v>4.5735027223230542</v>
          </cell>
          <cell r="T580">
            <v>0.21458333333333332</v>
          </cell>
          <cell r="U580">
            <v>0.32569444444444445</v>
          </cell>
          <cell r="V580">
            <v>59</v>
          </cell>
          <cell r="Z580">
            <v>0.25624999999999998</v>
          </cell>
          <cell r="AF580">
            <v>53.3</v>
          </cell>
          <cell r="AG580">
            <v>11.85</v>
          </cell>
          <cell r="AI580">
            <v>51.22</v>
          </cell>
          <cell r="AU580">
            <v>102.69776412900535</v>
          </cell>
          <cell r="AV580">
            <v>105.32765555998623</v>
          </cell>
          <cell r="AX580" t="str">
            <v>R. Sookram</v>
          </cell>
        </row>
        <row r="581">
          <cell r="A581" t="str">
            <v>CA474</v>
          </cell>
          <cell r="P581">
            <v>60</v>
          </cell>
          <cell r="Q581">
            <v>5.4512635379061303</v>
          </cell>
          <cell r="T581">
            <v>0.30763888888888891</v>
          </cell>
          <cell r="U581">
            <v>0.41666666666666669</v>
          </cell>
          <cell r="V581">
            <v>64</v>
          </cell>
          <cell r="Z581">
            <v>0.2638888888888889</v>
          </cell>
          <cell r="AF581">
            <v>53.1</v>
          </cell>
          <cell r="AG581">
            <v>11.66</v>
          </cell>
          <cell r="AI581">
            <v>51.1</v>
          </cell>
          <cell r="AU581">
            <v>97.88686631599785</v>
          </cell>
          <cell r="AV581">
            <v>100.39670379484258</v>
          </cell>
          <cell r="AX581" t="str">
            <v>R. Sookram</v>
          </cell>
        </row>
        <row r="582">
          <cell r="A582" t="str">
            <v>CA475</v>
          </cell>
          <cell r="P582">
            <v>60</v>
          </cell>
          <cell r="Q582">
            <v>7.6036036036036005</v>
          </cell>
          <cell r="T582">
            <v>0.40486111111111112</v>
          </cell>
          <cell r="U582">
            <v>0.51944444444444449</v>
          </cell>
          <cell r="V582">
            <v>64</v>
          </cell>
          <cell r="Z582">
            <v>0.28333333333333338</v>
          </cell>
          <cell r="AF582">
            <v>52</v>
          </cell>
          <cell r="AG582">
            <v>11.86</v>
          </cell>
          <cell r="AI582">
            <v>50.8</v>
          </cell>
          <cell r="AU582">
            <v>98.571257731235903</v>
          </cell>
          <cell r="AV582">
            <v>101.09920019896173</v>
          </cell>
          <cell r="AX582" t="str">
            <v>R. Regis</v>
          </cell>
        </row>
        <row r="583">
          <cell r="A583" t="str">
            <v>CA476</v>
          </cell>
          <cell r="P583">
            <v>63</v>
          </cell>
          <cell r="Q583">
            <v>5.4414414414414347</v>
          </cell>
          <cell r="T583">
            <v>0.50555555555555554</v>
          </cell>
          <cell r="U583">
            <v>0.61805555555555558</v>
          </cell>
          <cell r="V583">
            <v>66</v>
          </cell>
          <cell r="Z583">
            <v>0.25347222222222227</v>
          </cell>
          <cell r="AF583">
            <v>53.2</v>
          </cell>
          <cell r="AG583">
            <v>11.67</v>
          </cell>
          <cell r="AI583">
            <v>51</v>
          </cell>
          <cell r="AU583">
            <v>98.571043835715642</v>
          </cell>
          <cell r="AV583">
            <v>100.20023275023426</v>
          </cell>
          <cell r="AX583" t="str">
            <v>R. Regis</v>
          </cell>
        </row>
        <row r="584">
          <cell r="A584" t="str">
            <v>CA477</v>
          </cell>
          <cell r="P584">
            <v>60</v>
          </cell>
          <cell r="Q584">
            <v>10.948121645796061</v>
          </cell>
          <cell r="T584">
            <v>0.88888888888888884</v>
          </cell>
          <cell r="U584">
            <v>0.99652777777777779</v>
          </cell>
          <cell r="V584">
            <v>56</v>
          </cell>
          <cell r="Z584">
            <v>0.23958333333333337</v>
          </cell>
          <cell r="AF584">
            <v>50.9</v>
          </cell>
          <cell r="AG584">
            <v>11.9</v>
          </cell>
          <cell r="AI584">
            <v>48.8</v>
          </cell>
          <cell r="AU584">
            <v>95.185471356899995</v>
          </cell>
          <cell r="AV584">
            <v>96.75930788039679</v>
          </cell>
          <cell r="AX584" t="str">
            <v>D. Gomez</v>
          </cell>
        </row>
        <row r="585">
          <cell r="A585" t="str">
            <v>CA478</v>
          </cell>
          <cell r="P585">
            <v>62</v>
          </cell>
          <cell r="Q585">
            <v>9.8395721925133746</v>
          </cell>
          <cell r="T585">
            <v>0.97499999999999998</v>
          </cell>
          <cell r="U585">
            <v>1.0840277777777778</v>
          </cell>
          <cell r="V585">
            <v>58</v>
          </cell>
          <cell r="Z585">
            <v>0.24375000000000002</v>
          </cell>
          <cell r="AF585">
            <v>53</v>
          </cell>
          <cell r="AG585">
            <v>11.8</v>
          </cell>
          <cell r="AI585">
            <v>49.4</v>
          </cell>
          <cell r="AU585">
            <v>99.17946707080003</v>
          </cell>
          <cell r="AV585">
            <v>100.81656262404107</v>
          </cell>
          <cell r="AX585" t="str">
            <v>R. Sookram</v>
          </cell>
        </row>
        <row r="586">
          <cell r="A586" t="str">
            <v>CA479</v>
          </cell>
          <cell r="P586">
            <v>66</v>
          </cell>
          <cell r="Q586">
            <v>8.3687943262411331</v>
          </cell>
          <cell r="T586">
            <v>1.0645833333333334</v>
          </cell>
          <cell r="U586">
            <v>1.1722222222222223</v>
          </cell>
          <cell r="V586">
            <v>59</v>
          </cell>
          <cell r="Z586">
            <v>0.24861111111111112</v>
          </cell>
          <cell r="AF586">
            <v>52.4</v>
          </cell>
          <cell r="AG586">
            <v>12</v>
          </cell>
          <cell r="AI586">
            <v>50.4</v>
          </cell>
          <cell r="AU586">
            <v>99.543727878925864</v>
          </cell>
          <cell r="AV586">
            <v>101.18935601737272</v>
          </cell>
          <cell r="AX586" t="str">
            <v>R. Sookram</v>
          </cell>
        </row>
        <row r="587">
          <cell r="A587" t="str">
            <v>CA480</v>
          </cell>
          <cell r="P587">
            <v>58</v>
          </cell>
          <cell r="Q587">
            <v>5.3090909090909122</v>
          </cell>
          <cell r="T587">
            <v>1.1770833333333333</v>
          </cell>
          <cell r="U587">
            <v>1.336111111111111</v>
          </cell>
          <cell r="V587">
            <v>65</v>
          </cell>
          <cell r="Z587">
            <v>0.32916666666666661</v>
          </cell>
          <cell r="AF587">
            <v>52.8</v>
          </cell>
          <cell r="AG587">
            <v>11.7</v>
          </cell>
          <cell r="AI587">
            <v>50.9</v>
          </cell>
          <cell r="AU587">
            <v>97.889917934748922</v>
          </cell>
          <cell r="AV587">
            <v>99.508205765194731</v>
          </cell>
          <cell r="AX587" t="str">
            <v>R. Sookram</v>
          </cell>
        </row>
        <row r="588">
          <cell r="A588" t="str">
            <v>CA481</v>
          </cell>
          <cell r="P588">
            <v>62</v>
          </cell>
          <cell r="Q588">
            <v>9.1756272401433652</v>
          </cell>
          <cell r="T588">
            <v>0.32083333333333336</v>
          </cell>
          <cell r="U588">
            <v>0.42430555555555555</v>
          </cell>
          <cell r="V588">
            <v>51</v>
          </cell>
          <cell r="Z588">
            <v>0.25763888888888886</v>
          </cell>
          <cell r="AF588">
            <v>51.4</v>
          </cell>
          <cell r="AG588">
            <v>11.6</v>
          </cell>
          <cell r="AI588">
            <v>48.8</v>
          </cell>
          <cell r="AU588">
            <v>95.859275440725924</v>
          </cell>
          <cell r="AV588">
            <v>97.441844489817342</v>
          </cell>
          <cell r="AX588" t="str">
            <v>K.Benjamin</v>
          </cell>
        </row>
        <row r="589">
          <cell r="A589" t="str">
            <v>CA482</v>
          </cell>
          <cell r="P589">
            <v>72</v>
          </cell>
          <cell r="Q589">
            <v>9.6376811594202909</v>
          </cell>
          <cell r="T589">
            <v>0.40069444444444446</v>
          </cell>
          <cell r="U589">
            <v>0.51944444444444449</v>
          </cell>
          <cell r="V589">
            <v>57</v>
          </cell>
          <cell r="Z589">
            <v>0.26944444444444449</v>
          </cell>
          <cell r="AF589">
            <v>50.6</v>
          </cell>
          <cell r="AG589">
            <v>11.6</v>
          </cell>
          <cell r="AI589">
            <v>49.2</v>
          </cell>
          <cell r="AU589">
            <v>96.645007206633522</v>
          </cell>
          <cell r="AV589">
            <v>98.240548133176517</v>
          </cell>
          <cell r="AX589" t="str">
            <v>K.Benjamin</v>
          </cell>
        </row>
        <row r="590">
          <cell r="A590" t="str">
            <v>CA483</v>
          </cell>
          <cell r="P590">
            <v>59</v>
          </cell>
          <cell r="Q590">
            <v>5.6238361266294286</v>
          </cell>
          <cell r="T590">
            <v>0.48541666666666666</v>
          </cell>
          <cell r="U590">
            <v>0.6020833333333333</v>
          </cell>
          <cell r="V590">
            <v>60</v>
          </cell>
          <cell r="Z590">
            <v>0.26180555555555551</v>
          </cell>
          <cell r="AF590">
            <v>52.2</v>
          </cell>
          <cell r="AG590">
            <v>11.9</v>
          </cell>
          <cell r="AI590">
            <v>50.1</v>
          </cell>
          <cell r="AU590">
            <v>97.963146495004423</v>
          </cell>
          <cell r="AV590">
            <v>99.582733586357293</v>
          </cell>
          <cell r="AX590" t="str">
            <v>K.Benjamin</v>
          </cell>
        </row>
        <row r="591">
          <cell r="A591" t="str">
            <v>CA484</v>
          </cell>
          <cell r="P591">
            <v>60</v>
          </cell>
          <cell r="Q591">
            <v>2.5585585585585617</v>
          </cell>
          <cell r="T591">
            <v>0.56041666666666667</v>
          </cell>
          <cell r="U591">
            <v>0.67083333333333328</v>
          </cell>
          <cell r="V591">
            <v>56</v>
          </cell>
          <cell r="Z591">
            <v>0.24374999999999997</v>
          </cell>
          <cell r="AF591">
            <v>54.8</v>
          </cell>
          <cell r="AG591">
            <v>11.7</v>
          </cell>
          <cell r="AI591">
            <v>52.3</v>
          </cell>
          <cell r="AU591">
            <v>99.511669092016191</v>
          </cell>
          <cell r="AV591">
            <v>101.08978188835951</v>
          </cell>
          <cell r="AX591" t="str">
            <v>K.Benjamin</v>
          </cell>
        </row>
        <row r="592">
          <cell r="A592" t="str">
            <v>CA485</v>
          </cell>
          <cell r="P592">
            <v>60</v>
          </cell>
          <cell r="Q592">
            <v>5.5516014234875524</v>
          </cell>
          <cell r="T592">
            <v>0.65625</v>
          </cell>
          <cell r="U592">
            <v>0.7680555555555556</v>
          </cell>
          <cell r="V592">
            <v>62</v>
          </cell>
          <cell r="Z592">
            <v>0.24027777777777781</v>
          </cell>
          <cell r="AF592">
            <v>53.8</v>
          </cell>
          <cell r="AG592">
            <v>11.8</v>
          </cell>
          <cell r="AI592">
            <v>51.3</v>
          </cell>
          <cell r="AU592">
            <v>98.972456085637489</v>
          </cell>
          <cell r="AV592">
            <v>100.54133325899591</v>
          </cell>
          <cell r="AX592" t="str">
            <v>R. Regis</v>
          </cell>
        </row>
        <row r="593">
          <cell r="A593" t="str">
            <v>CA486</v>
          </cell>
          <cell r="P593">
            <v>60</v>
          </cell>
          <cell r="Q593">
            <v>5.8865248226950362</v>
          </cell>
          <cell r="T593">
            <v>0.76527777777777772</v>
          </cell>
          <cell r="U593">
            <v>0.87569444444444444</v>
          </cell>
          <cell r="V593">
            <v>60</v>
          </cell>
          <cell r="Z593">
            <v>0.26458333333333328</v>
          </cell>
          <cell r="AF593">
            <v>53.8</v>
          </cell>
          <cell r="AG593">
            <v>11.8</v>
          </cell>
          <cell r="AI593">
            <v>51.2</v>
          </cell>
          <cell r="AU593">
            <v>98.415610512021729</v>
          </cell>
          <cell r="AV593">
            <v>99.976171856224028</v>
          </cell>
          <cell r="AX593" t="str">
            <v>R. Regis</v>
          </cell>
        </row>
        <row r="594">
          <cell r="A594" t="str">
            <v>CA487</v>
          </cell>
          <cell r="P594">
            <v>75</v>
          </cell>
          <cell r="Q594">
            <v>6.4070796460176949</v>
          </cell>
          <cell r="T594">
            <v>0.87013888888888891</v>
          </cell>
          <cell r="U594">
            <v>0.99097222222222225</v>
          </cell>
          <cell r="V594">
            <v>50</v>
          </cell>
          <cell r="Z594">
            <v>0.29652777777777783</v>
          </cell>
          <cell r="AF594">
            <v>53.6</v>
          </cell>
          <cell r="AG594">
            <v>11.7</v>
          </cell>
          <cell r="AI594">
            <v>51.8</v>
          </cell>
          <cell r="AU594">
            <v>92.972627372087828</v>
          </cell>
          <cell r="AV594">
            <v>94.454434476121136</v>
          </cell>
          <cell r="AX594" t="str">
            <v>R. Regis</v>
          </cell>
        </row>
        <row r="595">
          <cell r="A595" t="str">
            <v>CA488</v>
          </cell>
          <cell r="P595">
            <v>61</v>
          </cell>
          <cell r="Q595">
            <v>3.9713774597495513</v>
          </cell>
          <cell r="T595">
            <v>0.9819444444444444</v>
          </cell>
          <cell r="U595">
            <v>1.1291666666666667</v>
          </cell>
          <cell r="V595">
            <v>64</v>
          </cell>
          <cell r="Z595">
            <v>0.29583333333333328</v>
          </cell>
          <cell r="AF595">
            <v>57.1</v>
          </cell>
          <cell r="AG595">
            <v>11.6</v>
          </cell>
          <cell r="AI595">
            <v>55</v>
          </cell>
          <cell r="AU595">
            <v>98.283084887352516</v>
          </cell>
          <cell r="AV595">
            <v>99.848925849042075</v>
          </cell>
          <cell r="AX595" t="str">
            <v>D. Gomez</v>
          </cell>
        </row>
        <row r="596">
          <cell r="A596" t="str">
            <v>CA489</v>
          </cell>
          <cell r="P596">
            <v>60</v>
          </cell>
          <cell r="Q596">
            <v>8.770053475935832</v>
          </cell>
          <cell r="T596">
            <v>0.64583333333333337</v>
          </cell>
          <cell r="U596">
            <v>0.75763888888888886</v>
          </cell>
          <cell r="V596">
            <v>59</v>
          </cell>
          <cell r="Z596">
            <v>0.25763888888888886</v>
          </cell>
          <cell r="AF596">
            <v>51.9</v>
          </cell>
          <cell r="AG596">
            <v>12.1</v>
          </cell>
          <cell r="AI596">
            <v>48.6</v>
          </cell>
          <cell r="AU596">
            <v>95.916153578466137</v>
          </cell>
          <cell r="AV596">
            <v>97.437081414816248</v>
          </cell>
          <cell r="AX596" t="str">
            <v>R. Regis</v>
          </cell>
        </row>
        <row r="597">
          <cell r="A597" t="str">
            <v>CA490</v>
          </cell>
          <cell r="P597">
            <v>60</v>
          </cell>
          <cell r="Q597">
            <v>4.4897959183673368</v>
          </cell>
          <cell r="T597">
            <v>0.73541666666666672</v>
          </cell>
          <cell r="U597">
            <v>0.85277777777777775</v>
          </cell>
          <cell r="V597">
            <v>67</v>
          </cell>
          <cell r="Z597">
            <v>0.24861111111111112</v>
          </cell>
          <cell r="AF597">
            <v>54</v>
          </cell>
          <cell r="AG597">
            <v>11.5</v>
          </cell>
          <cell r="AI597">
            <v>53.1</v>
          </cell>
          <cell r="AU597">
            <v>99.582809845661828</v>
          </cell>
          <cell r="AV597">
            <v>101.16153494508886</v>
          </cell>
          <cell r="AX597" t="str">
            <v>R. Regis</v>
          </cell>
        </row>
        <row r="598">
          <cell r="A598" t="str">
            <v>CA491</v>
          </cell>
          <cell r="P598">
            <v>61</v>
          </cell>
          <cell r="Q598">
            <v>7.0377019748653531</v>
          </cell>
          <cell r="T598">
            <v>0.82430555555555551</v>
          </cell>
          <cell r="U598">
            <v>0.93402777777777779</v>
          </cell>
          <cell r="V598">
            <v>62</v>
          </cell>
          <cell r="Z598">
            <v>0.24305555555555558</v>
          </cell>
          <cell r="AF598">
            <v>52.5</v>
          </cell>
          <cell r="AG598">
            <v>11.9</v>
          </cell>
          <cell r="AI598">
            <v>50.7</v>
          </cell>
          <cell r="AU598">
            <v>98.686815200406429</v>
          </cell>
          <cell r="AV598">
            <v>100.25116449315703</v>
          </cell>
          <cell r="AX598" t="str">
            <v>R. Regis</v>
          </cell>
        </row>
        <row r="599">
          <cell r="A599" t="str">
            <v>CA492</v>
          </cell>
          <cell r="P599">
            <v>60</v>
          </cell>
          <cell r="Q599">
            <v>6.4468864468864533</v>
          </cell>
          <cell r="T599">
            <v>0.90902777777777777</v>
          </cell>
          <cell r="U599">
            <v>1.0194444444444444</v>
          </cell>
          <cell r="V599">
            <v>63</v>
          </cell>
          <cell r="Z599">
            <v>0.2451388888888888</v>
          </cell>
          <cell r="AF599">
            <v>52.7</v>
          </cell>
          <cell r="AG599">
            <v>11.6</v>
          </cell>
          <cell r="AI599">
            <v>51.5</v>
          </cell>
          <cell r="AU599">
            <v>98.396971333088018</v>
          </cell>
          <cell r="AV599">
            <v>100.02346283978203</v>
          </cell>
          <cell r="AX599" t="str">
            <v>D. Gomez</v>
          </cell>
        </row>
        <row r="600">
          <cell r="A600" t="str">
            <v>CA493</v>
          </cell>
          <cell r="P600">
            <v>59</v>
          </cell>
          <cell r="Q600">
            <v>5.8122743682310452</v>
          </cell>
          <cell r="T600">
            <v>1.0854166666666667</v>
          </cell>
          <cell r="U600">
            <v>1.1930555555555555</v>
          </cell>
          <cell r="V600">
            <v>63</v>
          </cell>
          <cell r="Z600">
            <v>0.31805555555555554</v>
          </cell>
          <cell r="AF600">
            <v>52.9</v>
          </cell>
          <cell r="AG600">
            <v>11.9</v>
          </cell>
          <cell r="AI600">
            <v>50.6</v>
          </cell>
          <cell r="AU600">
            <v>99.186447868618828</v>
          </cell>
          <cell r="AV600">
            <v>100.826079559752</v>
          </cell>
          <cell r="AX600" t="str">
            <v>D. Gomez</v>
          </cell>
        </row>
        <row r="601">
          <cell r="A601" t="str">
            <v>CA494</v>
          </cell>
          <cell r="P601">
            <v>57</v>
          </cell>
          <cell r="Q601">
            <v>4.9816849816849791</v>
          </cell>
          <cell r="T601">
            <v>1.1736111111111112</v>
          </cell>
          <cell r="U601">
            <v>1.28125</v>
          </cell>
          <cell r="V601">
            <v>63</v>
          </cell>
          <cell r="Z601">
            <v>0.31944444444444442</v>
          </cell>
          <cell r="AF601">
            <v>52.6</v>
          </cell>
          <cell r="AG601">
            <v>11.8</v>
          </cell>
          <cell r="AI601">
            <v>50.7</v>
          </cell>
          <cell r="AU601">
            <v>98.626813340527619</v>
          </cell>
          <cell r="AV601">
            <v>100.25710411124284</v>
          </cell>
          <cell r="AX601" t="str">
            <v>D. Gomez</v>
          </cell>
        </row>
        <row r="602">
          <cell r="A602" t="str">
            <v>CA495</v>
          </cell>
          <cell r="P602">
            <v>58</v>
          </cell>
          <cell r="Q602">
            <v>4.416058394160574</v>
          </cell>
          <cell r="T602">
            <v>0.27847222222222223</v>
          </cell>
          <cell r="U602">
            <v>0.3840277777777778</v>
          </cell>
          <cell r="V602">
            <v>58</v>
          </cell>
          <cell r="Z602">
            <v>0.23819444444444446</v>
          </cell>
          <cell r="AF602">
            <v>53.1</v>
          </cell>
          <cell r="AG602">
            <v>11.7</v>
          </cell>
          <cell r="AI602">
            <v>51.2</v>
          </cell>
          <cell r="AU602">
            <v>99.453237334018112</v>
          </cell>
          <cell r="AV602">
            <v>101.09664126971761</v>
          </cell>
          <cell r="AX602" t="str">
            <v>D. Gomez</v>
          </cell>
        </row>
        <row r="603">
          <cell r="A603" t="str">
            <v>CA496</v>
          </cell>
          <cell r="P603">
            <v>60</v>
          </cell>
          <cell r="Q603">
            <v>6.2867647058823435</v>
          </cell>
          <cell r="T603">
            <v>0.36805555555555558</v>
          </cell>
          <cell r="U603">
            <v>0.47708333333333336</v>
          </cell>
          <cell r="V603">
            <v>61</v>
          </cell>
          <cell r="Z603">
            <v>0.24444444444444446</v>
          </cell>
          <cell r="AF603">
            <v>52.8</v>
          </cell>
          <cell r="AG603">
            <v>11.6</v>
          </cell>
          <cell r="AI603">
            <v>50.8</v>
          </cell>
          <cell r="AU603">
            <v>97.788737373526942</v>
          </cell>
          <cell r="AV603">
            <v>99.404636465147235</v>
          </cell>
          <cell r="AX603" t="str">
            <v>K.Benjamin</v>
          </cell>
        </row>
        <row r="604">
          <cell r="A604" t="str">
            <v>CA497</v>
          </cell>
          <cell r="P604">
            <v>60</v>
          </cell>
          <cell r="Q604">
            <v>9.1773308957952526</v>
          </cell>
          <cell r="T604">
            <v>0.46180555555555558</v>
          </cell>
          <cell r="U604">
            <v>0.64236111111111116</v>
          </cell>
          <cell r="V604">
            <v>61</v>
          </cell>
          <cell r="Z604">
            <v>0.35763888888888895</v>
          </cell>
          <cell r="AF604">
            <v>50.4</v>
          </cell>
          <cell r="AG604">
            <v>11.9</v>
          </cell>
          <cell r="AI604">
            <v>50</v>
          </cell>
          <cell r="AU604">
            <v>102.03955950290941</v>
          </cell>
          <cell r="AV604">
            <v>102.81887500974835</v>
          </cell>
          <cell r="AX604" t="str">
            <v>R. Sookram</v>
          </cell>
        </row>
        <row r="605">
          <cell r="A605" t="str">
            <v>CA498</v>
          </cell>
          <cell r="P605">
            <v>58</v>
          </cell>
          <cell r="Q605">
            <v>7.5182481751824781</v>
          </cell>
          <cell r="T605">
            <v>0.61458333333333337</v>
          </cell>
          <cell r="U605">
            <v>0.72013888888888888</v>
          </cell>
          <cell r="V605">
            <v>54</v>
          </cell>
          <cell r="Z605">
            <v>0.32430555555555557</v>
          </cell>
          <cell r="AF605">
            <v>53.1</v>
          </cell>
          <cell r="AG605">
            <v>11.9</v>
          </cell>
          <cell r="AI605">
            <v>51.7</v>
          </cell>
          <cell r="AU605">
            <v>102.10932922097018</v>
          </cell>
          <cell r="AV605">
            <v>102.89032776154174</v>
          </cell>
          <cell r="AX605" t="str">
            <v>K.Benjamin</v>
          </cell>
        </row>
        <row r="606">
          <cell r="A606" t="str">
            <v>CA499</v>
          </cell>
          <cell r="P606">
            <v>60</v>
          </cell>
          <cell r="Q606">
            <v>8.1294964028777041</v>
          </cell>
          <cell r="T606">
            <v>0.7006944444444444</v>
          </cell>
          <cell r="U606">
            <v>0.80347222222222225</v>
          </cell>
          <cell r="V606">
            <v>52</v>
          </cell>
          <cell r="Z606">
            <v>0.25138888888888888</v>
          </cell>
          <cell r="AF606">
            <v>51.8</v>
          </cell>
          <cell r="AG606">
            <v>12</v>
          </cell>
          <cell r="AI606">
            <v>50.2</v>
          </cell>
          <cell r="AU606">
            <v>100.02277176135468</v>
          </cell>
          <cell r="AV606">
            <v>100.78781095381173</v>
          </cell>
          <cell r="AX606" t="str">
            <v>K.Benjamin</v>
          </cell>
        </row>
        <row r="607">
          <cell r="A607" t="str">
            <v>CA500</v>
          </cell>
          <cell r="P607">
            <v>62</v>
          </cell>
          <cell r="Q607">
            <v>7.8119349005424832</v>
          </cell>
          <cell r="T607">
            <v>0.78541666666666665</v>
          </cell>
          <cell r="U607">
            <v>0.89097222222222228</v>
          </cell>
          <cell r="V607">
            <v>58</v>
          </cell>
          <cell r="Z607">
            <v>0.24861111111111112</v>
          </cell>
          <cell r="AF607">
            <v>52.1</v>
          </cell>
          <cell r="AG607">
            <v>11.9</v>
          </cell>
          <cell r="AI607">
            <v>50.1</v>
          </cell>
          <cell r="AU607">
            <v>99.31851681214593</v>
          </cell>
          <cell r="AV607">
            <v>100.07804401134408</v>
          </cell>
          <cell r="AX607" t="str">
            <v>K.Benjamin</v>
          </cell>
        </row>
        <row r="608">
          <cell r="A608" t="str">
            <v>CA501</v>
          </cell>
          <cell r="P608">
            <v>60</v>
          </cell>
          <cell r="Q608">
            <v>5.5109489051094824</v>
          </cell>
          <cell r="T608">
            <v>0.87222222222222223</v>
          </cell>
          <cell r="U608">
            <v>0.98402777777777772</v>
          </cell>
          <cell r="V608">
            <v>64</v>
          </cell>
          <cell r="Z608">
            <v>0.25486111111111109</v>
          </cell>
          <cell r="AF608">
            <v>53.4</v>
          </cell>
          <cell r="AG608">
            <v>11.7</v>
          </cell>
          <cell r="AI608">
            <v>51.7</v>
          </cell>
          <cell r="AU608">
            <v>104.17809812254752</v>
          </cell>
          <cell r="AV608">
            <v>104.97355897060523</v>
          </cell>
          <cell r="AX608" t="str">
            <v>K.Benjamin</v>
          </cell>
        </row>
        <row r="609">
          <cell r="A609" t="str">
            <v>CA502</v>
          </cell>
          <cell r="P609">
            <v>60</v>
          </cell>
          <cell r="Q609">
            <v>4.7810218978102146</v>
          </cell>
          <cell r="T609">
            <v>0.95277777777777772</v>
          </cell>
          <cell r="U609">
            <v>1.0618055555555554</v>
          </cell>
          <cell r="V609">
            <v>59</v>
          </cell>
          <cell r="Z609">
            <v>0.24236111111111103</v>
          </cell>
          <cell r="AF609">
            <v>52.9</v>
          </cell>
          <cell r="AG609">
            <v>11.7</v>
          </cell>
          <cell r="AI609">
            <v>50.9</v>
          </cell>
          <cell r="AU609">
            <v>99.244839917035478</v>
          </cell>
          <cell r="AV609">
            <v>100.00376170562595</v>
          </cell>
          <cell r="AX609" t="str">
            <v>R. Regis</v>
          </cell>
        </row>
        <row r="610">
          <cell r="A610" t="str">
            <v>CA503</v>
          </cell>
          <cell r="P610">
            <v>60</v>
          </cell>
          <cell r="Q610">
            <v>8.5918003565062389</v>
          </cell>
          <cell r="T610">
            <v>1.0430555555555556</v>
          </cell>
          <cell r="U610">
            <v>1.15625</v>
          </cell>
          <cell r="V610">
            <v>62</v>
          </cell>
          <cell r="Z610">
            <v>0.25347222222222221</v>
          </cell>
          <cell r="AF610">
            <v>52.9</v>
          </cell>
          <cell r="AG610">
            <v>11.7</v>
          </cell>
          <cell r="AI610">
            <v>51.7</v>
          </cell>
          <cell r="AU610">
            <v>100.18083762081626</v>
          </cell>
          <cell r="AV610">
            <v>100.94712775581598</v>
          </cell>
          <cell r="AX610" t="str">
            <v>R. Regis</v>
          </cell>
        </row>
        <row r="611">
          <cell r="A611" t="str">
            <v>CA504</v>
          </cell>
          <cell r="P611">
            <v>60</v>
          </cell>
          <cell r="Q611">
            <v>8.8489208633093543</v>
          </cell>
          <cell r="T611">
            <v>1.1340277777777779</v>
          </cell>
          <cell r="U611">
            <v>1.2465277777777777</v>
          </cell>
          <cell r="V611">
            <v>67</v>
          </cell>
          <cell r="Z611">
            <v>0.24999999999999989</v>
          </cell>
          <cell r="AF611">
            <v>51.4</v>
          </cell>
          <cell r="AG611">
            <v>11.8</v>
          </cell>
          <cell r="AI611">
            <v>50.6</v>
          </cell>
          <cell r="AU611">
            <v>98.931213213201133</v>
          </cell>
          <cell r="AV611">
            <v>99.68794488493829</v>
          </cell>
          <cell r="AX611" t="str">
            <v>R. Regis</v>
          </cell>
        </row>
        <row r="612">
          <cell r="A612" t="str">
            <v>CA505</v>
          </cell>
          <cell r="P612">
            <v>58</v>
          </cell>
          <cell r="Q612">
            <v>5.9315589353612115</v>
          </cell>
          <cell r="T612">
            <v>0.31736111111111109</v>
          </cell>
          <cell r="U612">
            <v>0.43125000000000002</v>
          </cell>
          <cell r="V612">
            <v>60</v>
          </cell>
          <cell r="Z612">
            <v>0.24375000000000002</v>
          </cell>
          <cell r="AF612">
            <v>51.8</v>
          </cell>
          <cell r="AG612">
            <v>11.4</v>
          </cell>
          <cell r="AI612">
            <v>51.1</v>
          </cell>
          <cell r="AU612">
            <v>95.871754585259907</v>
          </cell>
          <cell r="AV612">
            <v>96.605243848735881</v>
          </cell>
          <cell r="AX612" t="str">
            <v>R. Sookram</v>
          </cell>
        </row>
        <row r="613">
          <cell r="A613" t="str">
            <v>CA506</v>
          </cell>
          <cell r="P613">
            <v>59</v>
          </cell>
          <cell r="Q613">
            <v>7.8688524590163942</v>
          </cell>
          <cell r="T613">
            <v>0.45416666666666666</v>
          </cell>
          <cell r="U613">
            <v>0.5625</v>
          </cell>
          <cell r="V613">
            <v>61</v>
          </cell>
          <cell r="Z613">
            <v>0.29166666666666669</v>
          </cell>
          <cell r="AF613">
            <v>52.2</v>
          </cell>
          <cell r="AG613">
            <v>11.7</v>
          </cell>
          <cell r="AI613">
            <v>49.6</v>
          </cell>
          <cell r="AU613">
            <v>96.469806047070719</v>
          </cell>
          <cell r="AV613">
            <v>97.20758875054392</v>
          </cell>
          <cell r="AX613" t="str">
            <v>R. Sookram</v>
          </cell>
        </row>
        <row r="614">
          <cell r="A614" t="str">
            <v>CA507</v>
          </cell>
          <cell r="P614">
            <v>58</v>
          </cell>
          <cell r="T614">
            <v>0.54166666666666663</v>
          </cell>
          <cell r="U614">
            <v>0.65</v>
          </cell>
          <cell r="V614">
            <v>59</v>
          </cell>
          <cell r="Z614">
            <v>0.24027777777777781</v>
          </cell>
          <cell r="AF614">
            <v>52.9</v>
          </cell>
          <cell r="AG614">
            <v>11.6</v>
          </cell>
          <cell r="AI614">
            <v>52</v>
          </cell>
          <cell r="AU614">
            <v>99.97962239398484</v>
          </cell>
          <cell r="AV614">
            <v>100.74433155202485</v>
          </cell>
          <cell r="AX614" t="str">
            <v>R. Sookram</v>
          </cell>
        </row>
        <row r="615">
          <cell r="A615" t="str">
            <v>CA508</v>
          </cell>
          <cell r="P615">
            <v>59</v>
          </cell>
          <cell r="Q615">
            <v>7.7419354838709555</v>
          </cell>
          <cell r="T615">
            <v>0.62847222222222221</v>
          </cell>
          <cell r="U615">
            <v>0.73541666666666672</v>
          </cell>
          <cell r="V615">
            <v>56</v>
          </cell>
          <cell r="Z615">
            <v>0.24236111111111114</v>
          </cell>
          <cell r="AF615">
            <v>52.2</v>
          </cell>
          <cell r="AG615">
            <v>11.7</v>
          </cell>
          <cell r="AI615">
            <v>50.1</v>
          </cell>
          <cell r="AU615">
            <v>100.43692372257216</v>
          </cell>
          <cell r="AV615">
            <v>101.20399928128201</v>
          </cell>
          <cell r="AX615" t="str">
            <v>K.Benjamin</v>
          </cell>
        </row>
        <row r="616">
          <cell r="A616" t="str">
            <v>CA509</v>
          </cell>
          <cell r="P616">
            <v>62</v>
          </cell>
          <cell r="Q616">
            <v>9.2753623188405889</v>
          </cell>
          <cell r="T616">
            <v>0.71250000000000002</v>
          </cell>
          <cell r="U616">
            <v>0.82291666666666663</v>
          </cell>
          <cell r="V616">
            <v>58</v>
          </cell>
          <cell r="Z616">
            <v>0.23958333333333326</v>
          </cell>
          <cell r="AF616">
            <v>50.8</v>
          </cell>
          <cell r="AG616">
            <v>12</v>
          </cell>
          <cell r="AI616">
            <v>50.4</v>
          </cell>
          <cell r="AU616">
            <v>103.89768567471857</v>
          </cell>
          <cell r="AV616">
            <v>104.69114583842574</v>
          </cell>
          <cell r="AX616" t="str">
            <v>K.Benjamin</v>
          </cell>
        </row>
        <row r="617">
          <cell r="A617" t="str">
            <v>CA510</v>
          </cell>
          <cell r="P617">
            <v>59</v>
          </cell>
          <cell r="Q617">
            <v>10.886075949367081</v>
          </cell>
          <cell r="T617">
            <v>0.79513888888888884</v>
          </cell>
          <cell r="U617">
            <v>0.90833333333333333</v>
          </cell>
          <cell r="V617">
            <v>56</v>
          </cell>
          <cell r="Z617">
            <v>0.2416666666666667</v>
          </cell>
          <cell r="AF617">
            <v>50</v>
          </cell>
          <cell r="AG617">
            <v>11.6</v>
          </cell>
          <cell r="AI617">
            <v>50</v>
          </cell>
          <cell r="AU617">
            <v>99.462259754574006</v>
          </cell>
          <cell r="AV617">
            <v>100.22184684638495</v>
          </cell>
          <cell r="AX617" t="str">
            <v>K.Benjamin</v>
          </cell>
        </row>
        <row r="618">
          <cell r="A618" t="str">
            <v>CA511</v>
          </cell>
          <cell r="P618">
            <v>60</v>
          </cell>
          <cell r="Q618">
            <v>8.6379928315412062</v>
          </cell>
          <cell r="T618">
            <v>0.87916666666666665</v>
          </cell>
          <cell r="U618">
            <v>0.99236111111111114</v>
          </cell>
          <cell r="V618">
            <v>60</v>
          </cell>
          <cell r="Z618">
            <v>0.24236111111111114</v>
          </cell>
          <cell r="AF618">
            <v>51.7</v>
          </cell>
          <cell r="AG618">
            <v>12</v>
          </cell>
          <cell r="AI618">
            <v>51.4</v>
          </cell>
          <cell r="AU618">
            <v>105.95914769207411</v>
          </cell>
          <cell r="AV618">
            <v>106.76835111299769</v>
          </cell>
          <cell r="AX618" t="str">
            <v>K.Benjamin</v>
          </cell>
        </row>
        <row r="619">
          <cell r="A619" t="str">
            <v>CA512</v>
          </cell>
          <cell r="P619">
            <v>60</v>
          </cell>
          <cell r="Q619">
            <v>6.870503597122303</v>
          </cell>
          <cell r="T619">
            <v>0.97013888888888888</v>
          </cell>
          <cell r="U619">
            <v>1.0798611111111112</v>
          </cell>
          <cell r="V619">
            <v>66</v>
          </cell>
          <cell r="Z619">
            <v>0.24652777777777779</v>
          </cell>
          <cell r="AF619">
            <v>52.5</v>
          </cell>
          <cell r="AG619">
            <v>11.5</v>
          </cell>
          <cell r="AI619">
            <v>50.8</v>
          </cell>
          <cell r="AU619">
            <v>99.880376931714494</v>
          </cell>
          <cell r="AV619">
            <v>100.64324658259869</v>
          </cell>
          <cell r="AX619" t="str">
            <v>R. Regis</v>
          </cell>
        </row>
        <row r="620">
          <cell r="A620" t="str">
            <v>CA513</v>
          </cell>
          <cell r="P620">
            <v>60</v>
          </cell>
          <cell r="Q620">
            <v>9.8010849909583992</v>
          </cell>
          <cell r="T620">
            <v>0.7055555555555556</v>
          </cell>
          <cell r="U620">
            <v>0.82499999999999996</v>
          </cell>
          <cell r="V620">
            <v>58</v>
          </cell>
          <cell r="Z620">
            <v>0.25555555555555554</v>
          </cell>
          <cell r="AF620">
            <v>51.8</v>
          </cell>
          <cell r="AG620">
            <v>11.6</v>
          </cell>
          <cell r="AI620">
            <v>51.3</v>
          </cell>
          <cell r="AU620">
            <v>97.789021546474856</v>
          </cell>
          <cell r="AV620">
            <v>98.506364195935731</v>
          </cell>
          <cell r="AX620" t="str">
            <v>K.Benjamin</v>
          </cell>
        </row>
        <row r="621">
          <cell r="A621" t="str">
            <v>CA514</v>
          </cell>
          <cell r="P621">
            <v>59</v>
          </cell>
          <cell r="Q621">
            <v>6.003616636528017</v>
          </cell>
          <cell r="T621">
            <v>0.79305555555555551</v>
          </cell>
          <cell r="U621">
            <v>0.90138888888888891</v>
          </cell>
          <cell r="V621">
            <v>60</v>
          </cell>
          <cell r="Z621">
            <v>0.2416666666666667</v>
          </cell>
          <cell r="AF621">
            <v>52.7</v>
          </cell>
          <cell r="AG621">
            <v>11.7</v>
          </cell>
          <cell r="AI621">
            <v>50.9</v>
          </cell>
          <cell r="AU621">
            <v>99.121390865142828</v>
          </cell>
          <cell r="AV621">
            <v>99.879410565807774</v>
          </cell>
          <cell r="AX621" t="str">
            <v>K.Benjamin</v>
          </cell>
        </row>
        <row r="622">
          <cell r="A622" t="str">
            <v>CA515</v>
          </cell>
          <cell r="P622">
            <v>62</v>
          </cell>
          <cell r="Q622">
            <v>7.9496402877697863</v>
          </cell>
          <cell r="T622">
            <v>0.87916666666666665</v>
          </cell>
          <cell r="U622">
            <v>0.98333333333333328</v>
          </cell>
          <cell r="V622">
            <v>55</v>
          </cell>
          <cell r="Z622">
            <v>0.2402777777777777</v>
          </cell>
          <cell r="AF622">
            <v>52.8</v>
          </cell>
          <cell r="AG622">
            <v>11.8</v>
          </cell>
          <cell r="AI622">
            <v>51.2</v>
          </cell>
          <cell r="AU622">
            <v>100.60238313741721</v>
          </cell>
          <cell r="AV622">
            <v>101.37172856009953</v>
          </cell>
          <cell r="AX622" t="str">
            <v>K.Benjamin</v>
          </cell>
        </row>
        <row r="623">
          <cell r="A623" t="str">
            <v>CA516</v>
          </cell>
          <cell r="P623">
            <v>59</v>
          </cell>
          <cell r="Q623">
            <v>6.0694698354661796</v>
          </cell>
          <cell r="T623">
            <v>0.95833333333333337</v>
          </cell>
          <cell r="U623">
            <v>1.0631944444444446</v>
          </cell>
          <cell r="V623">
            <v>59</v>
          </cell>
          <cell r="Z623">
            <v>0.23680555555555571</v>
          </cell>
          <cell r="AF623">
            <v>52.1</v>
          </cell>
          <cell r="AG623">
            <v>11.8</v>
          </cell>
          <cell r="AI623">
            <v>50.7</v>
          </cell>
          <cell r="AU623">
            <v>99.619937989590866</v>
          </cell>
          <cell r="AV623">
            <v>100.38177027337983</v>
          </cell>
          <cell r="AX623" t="str">
            <v>R. Regis</v>
          </cell>
        </row>
        <row r="624">
          <cell r="A624" t="str">
            <v>CA517</v>
          </cell>
          <cell r="P624">
            <v>60</v>
          </cell>
          <cell r="Q624">
            <v>7.9927667269439322</v>
          </cell>
          <cell r="T624">
            <v>1.0444444444444445</v>
          </cell>
          <cell r="U624">
            <v>1.1499999999999999</v>
          </cell>
          <cell r="V624">
            <v>58</v>
          </cell>
          <cell r="Z624">
            <v>0.2402777777777777</v>
          </cell>
          <cell r="AF624">
            <v>51.6</v>
          </cell>
          <cell r="AG624">
            <v>11.7</v>
          </cell>
          <cell r="AI624">
            <v>49.8</v>
          </cell>
          <cell r="AU624">
            <v>96.02723351981524</v>
          </cell>
          <cell r="AV624">
            <v>96.73149836302251</v>
          </cell>
          <cell r="AX624" t="str">
            <v>R. Regis</v>
          </cell>
        </row>
        <row r="625">
          <cell r="A625" t="str">
            <v>CA518</v>
          </cell>
          <cell r="P625">
            <v>60</v>
          </cell>
          <cell r="Q625">
            <v>13.333333333333327</v>
          </cell>
          <cell r="T625">
            <v>1.1347222222222222</v>
          </cell>
          <cell r="U625">
            <v>1.2437499999999999</v>
          </cell>
          <cell r="V625">
            <v>62</v>
          </cell>
          <cell r="Z625">
            <v>0.24722222222222212</v>
          </cell>
          <cell r="AF625">
            <v>49.6</v>
          </cell>
          <cell r="AG625">
            <v>12</v>
          </cell>
          <cell r="AI625">
            <v>50.3</v>
          </cell>
          <cell r="AU625">
            <v>100.34637549466056</v>
          </cell>
          <cell r="AV625">
            <v>101.11384769323206</v>
          </cell>
          <cell r="AX625" t="str">
            <v>R. Regis</v>
          </cell>
        </row>
        <row r="626">
          <cell r="A626" t="str">
            <v>CA519</v>
          </cell>
          <cell r="P626">
            <v>60</v>
          </cell>
          <cell r="Q626">
            <v>6.9077757685352497</v>
          </cell>
          <cell r="T626">
            <v>0.22152777777777777</v>
          </cell>
          <cell r="U626">
            <v>0.32847222222222222</v>
          </cell>
          <cell r="V626">
            <v>61</v>
          </cell>
          <cell r="Z626">
            <v>0.24861111111111112</v>
          </cell>
          <cell r="AF626">
            <v>52.2</v>
          </cell>
          <cell r="AG626">
            <v>11.9</v>
          </cell>
          <cell r="AI626">
            <v>50.2</v>
          </cell>
          <cell r="AU626">
            <v>99.024059657078709</v>
          </cell>
          <cell r="AV626">
            <v>99.78150151766738</v>
          </cell>
          <cell r="AX626" t="str">
            <v>R. Regis</v>
          </cell>
        </row>
        <row r="627">
          <cell r="A627" t="str">
            <v>CA520</v>
          </cell>
          <cell r="P627">
            <v>60</v>
          </cell>
          <cell r="Q627">
            <v>7.2043010752688108</v>
          </cell>
          <cell r="T627">
            <v>0.36458333333333331</v>
          </cell>
          <cell r="U627">
            <v>0.47916666666666669</v>
          </cell>
          <cell r="V627">
            <v>64</v>
          </cell>
          <cell r="Z627">
            <v>0.30208333333333337</v>
          </cell>
          <cell r="AF627">
            <v>53.8</v>
          </cell>
          <cell r="AG627">
            <v>11.5</v>
          </cell>
          <cell r="AI627">
            <v>53</v>
          </cell>
          <cell r="AU627">
            <v>100.72779578911953</v>
          </cell>
          <cell r="AV627">
            <v>101.49831172173359</v>
          </cell>
          <cell r="AX627" t="str">
            <v>D. Gomez</v>
          </cell>
        </row>
        <row r="628">
          <cell r="A628" t="str">
            <v>CA521</v>
          </cell>
          <cell r="P628">
            <v>61</v>
          </cell>
          <cell r="Q628">
            <v>8.4460694698354732</v>
          </cell>
          <cell r="T628">
            <v>0.20833333333333334</v>
          </cell>
          <cell r="U628">
            <v>0.31527777777777777</v>
          </cell>
          <cell r="V628">
            <v>56</v>
          </cell>
          <cell r="Z628">
            <v>0.23194444444444445</v>
          </cell>
          <cell r="AF628">
            <v>50.8</v>
          </cell>
          <cell r="AG628">
            <v>11.8</v>
          </cell>
          <cell r="AI628">
            <v>48.8</v>
          </cell>
          <cell r="AU628">
            <v>95.062413786977345</v>
          </cell>
          <cell r="AV628">
            <v>95.759526119468532</v>
          </cell>
          <cell r="AX628" t="str">
            <v>K.Benjamin</v>
          </cell>
        </row>
        <row r="629">
          <cell r="A629" t="str">
            <v>CA522</v>
          </cell>
          <cell r="P629">
            <v>60</v>
          </cell>
          <cell r="Q629">
            <v>6.5185185185185111</v>
          </cell>
          <cell r="T629">
            <v>0.29444444444444445</v>
          </cell>
          <cell r="U629">
            <v>0.40555555555555556</v>
          </cell>
          <cell r="V629">
            <v>60</v>
          </cell>
          <cell r="Z629">
            <v>0.23194444444444445</v>
          </cell>
          <cell r="AF629">
            <v>52.1</v>
          </cell>
          <cell r="AG629">
            <v>11.7</v>
          </cell>
          <cell r="AI629">
            <v>51.9</v>
          </cell>
          <cell r="AU629">
            <v>100.19998827600605</v>
          </cell>
          <cell r="AV629">
            <v>100.93477550431274</v>
          </cell>
          <cell r="AX629" t="str">
            <v>R. Regis</v>
          </cell>
        </row>
        <row r="630">
          <cell r="A630" t="str">
            <v>CA523</v>
          </cell>
          <cell r="P630">
            <v>60</v>
          </cell>
          <cell r="Q630">
            <v>7.9927667269439322</v>
          </cell>
          <cell r="T630">
            <v>0.4201388888888889</v>
          </cell>
          <cell r="U630">
            <v>0.53402777777777777</v>
          </cell>
          <cell r="V630">
            <v>61</v>
          </cell>
          <cell r="Z630">
            <v>0.28402777777777777</v>
          </cell>
          <cell r="AF630">
            <v>51.6</v>
          </cell>
          <cell r="AG630">
            <v>11.7</v>
          </cell>
          <cell r="AI630">
            <v>50</v>
          </cell>
          <cell r="AU630">
            <v>96.770453619089452</v>
          </cell>
          <cell r="AV630">
            <v>97.479935010741045</v>
          </cell>
          <cell r="AX630" t="str">
            <v>R. Regis</v>
          </cell>
        </row>
        <row r="631">
          <cell r="A631" t="str">
            <v>CA524</v>
          </cell>
          <cell r="P631">
            <v>61</v>
          </cell>
          <cell r="Q631">
            <v>10.705244122965633</v>
          </cell>
          <cell r="T631">
            <v>0.50347222222222221</v>
          </cell>
          <cell r="U631">
            <v>0.61805555555555558</v>
          </cell>
          <cell r="V631">
            <v>61</v>
          </cell>
          <cell r="Z631">
            <v>0.24305555555555558</v>
          </cell>
          <cell r="AF631">
            <v>50.1</v>
          </cell>
          <cell r="AG631">
            <v>11.9</v>
          </cell>
          <cell r="AI631">
            <v>49.7</v>
          </cell>
          <cell r="AU631">
            <v>98.89554470892142</v>
          </cell>
          <cell r="AV631">
            <v>99.526533157856463</v>
          </cell>
          <cell r="AX631" t="str">
            <v>R. Regis</v>
          </cell>
        </row>
        <row r="632">
          <cell r="A632" t="str">
            <v>CA525</v>
          </cell>
          <cell r="P632">
            <v>55</v>
          </cell>
          <cell r="Q632">
            <v>7.3835125448028629</v>
          </cell>
          <cell r="T632">
            <v>0.59652777777777777</v>
          </cell>
          <cell r="U632">
            <v>0.70138888888888884</v>
          </cell>
          <cell r="V632">
            <v>63</v>
          </cell>
          <cell r="Z632">
            <v>0.24305555555555552</v>
          </cell>
          <cell r="AF632">
            <v>52.4</v>
          </cell>
          <cell r="AG632">
            <v>12</v>
          </cell>
          <cell r="AI632">
            <v>50.4</v>
          </cell>
          <cell r="AU632">
            <v>100.67434879413655</v>
          </cell>
          <cell r="AV632">
            <v>101.18935601737272</v>
          </cell>
          <cell r="AX632" t="str">
            <v>D. Gomez</v>
          </cell>
        </row>
        <row r="633">
          <cell r="A633" t="str">
            <v>CA526</v>
          </cell>
          <cell r="P633">
            <v>62</v>
          </cell>
          <cell r="Q633">
            <v>5.338208409506402</v>
          </cell>
          <cell r="T633">
            <v>0.67708333333333337</v>
          </cell>
          <cell r="U633">
            <v>0.7895833333333333</v>
          </cell>
          <cell r="V633">
            <v>65</v>
          </cell>
          <cell r="Z633">
            <v>0.24791666666666667</v>
          </cell>
          <cell r="AF633">
            <v>53.4</v>
          </cell>
          <cell r="AG633">
            <v>11.6</v>
          </cell>
          <cell r="AI633">
            <v>52.2</v>
          </cell>
          <cell r="AU633">
            <v>100.86706866858944</v>
          </cell>
          <cell r="AV633">
            <v>101.38300505313829</v>
          </cell>
          <cell r="AX633" t="str">
            <v>D. Gomez</v>
          </cell>
        </row>
        <row r="634">
          <cell r="A634" t="str">
            <v>CA527</v>
          </cell>
          <cell r="P634">
            <v>59</v>
          </cell>
          <cell r="Q634">
            <v>6.1956521739130466</v>
          </cell>
          <cell r="T634">
            <v>0.77638888888888891</v>
          </cell>
          <cell r="U634">
            <v>0.8833333333333333</v>
          </cell>
          <cell r="V634">
            <v>60</v>
          </cell>
          <cell r="Z634">
            <v>0.24444444444444446</v>
          </cell>
          <cell r="AF634">
            <v>52.5</v>
          </cell>
          <cell r="AG634">
            <v>11.7</v>
          </cell>
          <cell r="AI634">
            <v>50.6</v>
          </cell>
          <cell r="AU634">
            <v>98.908486249601395</v>
          </cell>
          <cell r="AV634">
            <v>99.414348571801057</v>
          </cell>
          <cell r="AX634" t="str">
            <v>D. Gomez</v>
          </cell>
        </row>
        <row r="635">
          <cell r="A635" t="str">
            <v>CA528</v>
          </cell>
          <cell r="P635">
            <v>60</v>
          </cell>
          <cell r="Q635">
            <v>7.1926605504587187</v>
          </cell>
          <cell r="T635">
            <v>0.86041666666666672</v>
          </cell>
          <cell r="U635">
            <v>0.97083333333333333</v>
          </cell>
          <cell r="V635">
            <v>62</v>
          </cell>
          <cell r="Z635">
            <v>0.24861111111111112</v>
          </cell>
          <cell r="AF635">
            <v>51.3</v>
          </cell>
          <cell r="AG635">
            <v>11.9</v>
          </cell>
          <cell r="AI635">
            <v>50.9</v>
          </cell>
          <cell r="AU635">
            <v>97.04819842597729</v>
          </cell>
          <cell r="AV635">
            <v>97.525547829167664</v>
          </cell>
          <cell r="AX635" t="str">
            <v>D. Gomez</v>
          </cell>
        </row>
        <row r="636">
          <cell r="A636" t="str">
            <v>CA529</v>
          </cell>
          <cell r="P636">
            <v>60</v>
          </cell>
          <cell r="Q636">
            <v>10.000000000000005</v>
          </cell>
          <cell r="T636">
            <v>1</v>
          </cell>
          <cell r="U636">
            <v>1.1111111111111112</v>
          </cell>
          <cell r="V636">
            <v>64</v>
          </cell>
          <cell r="Z636">
            <v>0.26388888888888895</v>
          </cell>
          <cell r="AF636">
            <v>50.4</v>
          </cell>
          <cell r="AG636">
            <v>11.9</v>
          </cell>
          <cell r="AI636">
            <v>48.1</v>
          </cell>
          <cell r="AU636">
            <v>94.762519708980534</v>
          </cell>
          <cell r="AV636">
            <v>95.227291991612532</v>
          </cell>
          <cell r="AX636" t="str">
            <v>K.Benjamin</v>
          </cell>
        </row>
        <row r="637">
          <cell r="A637" t="str">
            <v>CA530</v>
          </cell>
          <cell r="P637">
            <v>60</v>
          </cell>
          <cell r="Q637">
            <v>8.3243243243243192</v>
          </cell>
          <cell r="T637">
            <v>1.0791666666666666</v>
          </cell>
          <cell r="U637">
            <v>1.1847222222222222</v>
          </cell>
          <cell r="V637">
            <v>54</v>
          </cell>
          <cell r="Z637">
            <v>0.23333333333333339</v>
          </cell>
          <cell r="AF637">
            <v>51.6</v>
          </cell>
          <cell r="AG637">
            <v>11.9</v>
          </cell>
          <cell r="AI637">
            <v>49.7</v>
          </cell>
          <cell r="AU637">
            <v>97.914703316763664</v>
          </cell>
          <cell r="AV637">
            <v>98.394935800065326</v>
          </cell>
          <cell r="AX637" t="str">
            <v>K.Benjamin</v>
          </cell>
        </row>
        <row r="638">
          <cell r="A638" t="str">
            <v>CA531</v>
          </cell>
          <cell r="P638">
            <v>63</v>
          </cell>
          <cell r="Q638">
            <v>7.7978339350180521</v>
          </cell>
          <cell r="T638">
            <v>1.1680555555555556</v>
          </cell>
          <cell r="U638">
            <v>1.2798611111111111</v>
          </cell>
          <cell r="V638">
            <v>54</v>
          </cell>
          <cell r="Z638">
            <v>0.2451388888888888</v>
          </cell>
          <cell r="AF638">
            <v>51.8</v>
          </cell>
          <cell r="AG638">
            <v>12</v>
          </cell>
          <cell r="AI638">
            <v>49.9</v>
          </cell>
          <cell r="AU638">
            <v>99.055189518738786</v>
          </cell>
          <cell r="AV638">
            <v>99.54106895289118</v>
          </cell>
          <cell r="AX638" t="str">
            <v>K.Benjamin</v>
          </cell>
        </row>
        <row r="639">
          <cell r="A639" t="str">
            <v>CA532</v>
          </cell>
          <cell r="P639">
            <v>62</v>
          </cell>
          <cell r="Q639">
            <v>7.410071942446038</v>
          </cell>
          <cell r="T639">
            <v>0.25069444444444444</v>
          </cell>
          <cell r="U639">
            <v>0.36249999999999999</v>
          </cell>
          <cell r="V639">
            <v>61</v>
          </cell>
          <cell r="Z639">
            <v>0.24444444444444444</v>
          </cell>
          <cell r="AF639">
            <v>52.2</v>
          </cell>
          <cell r="AG639">
            <v>11.8</v>
          </cell>
          <cell r="AI639">
            <v>50.4</v>
          </cell>
          <cell r="AU639">
            <v>99.280004783298395</v>
          </cell>
          <cell r="AV639">
            <v>99.78779530134797</v>
          </cell>
          <cell r="AX639" t="str">
            <v>R. Regis</v>
          </cell>
        </row>
        <row r="640">
          <cell r="A640" t="str">
            <v>CA533</v>
          </cell>
          <cell r="P640">
            <v>60</v>
          </cell>
          <cell r="Q640">
            <v>7.7558348294434474</v>
          </cell>
          <cell r="T640">
            <v>0.34166666666666667</v>
          </cell>
          <cell r="U640">
            <v>0.4513888888888889</v>
          </cell>
          <cell r="V640">
            <v>64</v>
          </cell>
          <cell r="Z640">
            <v>0.25</v>
          </cell>
          <cell r="AF640">
            <v>52.5</v>
          </cell>
          <cell r="AG640">
            <v>11.6</v>
          </cell>
          <cell r="AI640">
            <v>50.5</v>
          </cell>
          <cell r="AU640">
            <v>97.703493169177563</v>
          </cell>
          <cell r="AV640">
            <v>98.203220254404059</v>
          </cell>
          <cell r="AX640" t="str">
            <v>R. Regis</v>
          </cell>
        </row>
        <row r="641">
          <cell r="A641" t="str">
            <v>CA534</v>
          </cell>
          <cell r="P641">
            <v>61</v>
          </cell>
          <cell r="Q641">
            <v>7.9069767441860366</v>
          </cell>
          <cell r="T641">
            <v>0.49166666666666664</v>
          </cell>
          <cell r="U641">
            <v>0.59861111111111109</v>
          </cell>
          <cell r="V641">
            <v>59</v>
          </cell>
          <cell r="Z641">
            <v>0.31388888888888888</v>
          </cell>
          <cell r="AF641">
            <v>52.2</v>
          </cell>
          <cell r="AG641">
            <v>11.7</v>
          </cell>
          <cell r="AI641">
            <v>50.4</v>
          </cell>
          <cell r="AU641">
            <v>98.395012844387324</v>
          </cell>
          <cell r="AV641">
            <v>98.898276866733056</v>
          </cell>
          <cell r="AX641" t="str">
            <v>R. Regis</v>
          </cell>
        </row>
        <row r="642">
          <cell r="A642" t="str">
            <v>CA535</v>
          </cell>
          <cell r="P642">
            <v>59</v>
          </cell>
          <cell r="Q642">
            <v>7.1914132379248583</v>
          </cell>
          <cell r="T642">
            <v>0.57986111111111116</v>
          </cell>
          <cell r="U642">
            <v>0.68472222222222223</v>
          </cell>
          <cell r="V642">
            <v>61</v>
          </cell>
          <cell r="Z642">
            <v>0.24722222222222223</v>
          </cell>
          <cell r="AF642">
            <v>53</v>
          </cell>
          <cell r="AG642">
            <v>11.7</v>
          </cell>
          <cell r="AI642">
            <v>51.1</v>
          </cell>
          <cell r="AU642">
            <v>99.267754869638566</v>
          </cell>
          <cell r="AV642">
            <v>99.775594358262993</v>
          </cell>
          <cell r="AX642" t="str">
            <v>D. Gomez</v>
          </cell>
        </row>
        <row r="643">
          <cell r="A643" t="str">
            <v>CA536</v>
          </cell>
          <cell r="P643">
            <v>59</v>
          </cell>
          <cell r="Q643">
            <v>5.1179673321234125</v>
          </cell>
          <cell r="T643">
            <v>0.67152777777777772</v>
          </cell>
          <cell r="U643">
            <v>0.77708333333333335</v>
          </cell>
          <cell r="V643">
            <v>64</v>
          </cell>
          <cell r="Z643">
            <v>0.24236111111111114</v>
          </cell>
          <cell r="AF643">
            <v>53</v>
          </cell>
          <cell r="AG643">
            <v>11.6</v>
          </cell>
          <cell r="AI643">
            <v>51.6</v>
          </cell>
          <cell r="AU643">
            <v>98.363616167337554</v>
          </cell>
          <cell r="AV643">
            <v>98.867048178418187</v>
          </cell>
          <cell r="AX643" t="str">
            <v>D. Gomez</v>
          </cell>
        </row>
        <row r="644">
          <cell r="A644" t="str">
            <v>CA537</v>
          </cell>
          <cell r="P644">
            <v>61</v>
          </cell>
          <cell r="Q644">
            <v>6.3238095238095244</v>
          </cell>
          <cell r="T644">
            <v>0.21319444444444444</v>
          </cell>
          <cell r="U644">
            <v>0.32083333333333336</v>
          </cell>
          <cell r="V644">
            <v>59</v>
          </cell>
          <cell r="Z644">
            <v>0.23402777777777781</v>
          </cell>
          <cell r="AF644">
            <v>51.5</v>
          </cell>
          <cell r="AG644">
            <v>11.4</v>
          </cell>
          <cell r="AI644">
            <v>51.1</v>
          </cell>
          <cell r="AU644">
            <v>95.518861174528027</v>
          </cell>
          <cell r="AV644">
            <v>95.987649632226606</v>
          </cell>
          <cell r="AX644" t="str">
            <v>D. Gomez</v>
          </cell>
        </row>
        <row r="645">
          <cell r="A645" t="str">
            <v>CA538</v>
          </cell>
          <cell r="P645">
            <v>59</v>
          </cell>
          <cell r="Q645">
            <v>8.5818181818181785</v>
          </cell>
          <cell r="T645">
            <v>0.31458333333333333</v>
          </cell>
          <cell r="U645">
            <v>0.42499999999999999</v>
          </cell>
          <cell r="V645">
            <v>55</v>
          </cell>
          <cell r="Z645">
            <v>0.23402777777777778</v>
          </cell>
          <cell r="AF645">
            <v>51</v>
          </cell>
          <cell r="AG645">
            <v>12</v>
          </cell>
          <cell r="AI645">
            <v>48.8</v>
          </cell>
          <cell r="AU645">
            <v>97.110774474396919</v>
          </cell>
          <cell r="AV645">
            <v>97.587011603856837</v>
          </cell>
          <cell r="AX645" t="str">
            <v>K.Benjamin</v>
          </cell>
        </row>
        <row r="646">
          <cell r="A646" t="str">
            <v>CA539</v>
          </cell>
          <cell r="P646">
            <v>62</v>
          </cell>
          <cell r="Q646">
            <v>7.769784172661871</v>
          </cell>
          <cell r="T646">
            <v>0.40138888888888891</v>
          </cell>
          <cell r="U646">
            <v>0.50416666666666665</v>
          </cell>
          <cell r="V646">
            <v>51</v>
          </cell>
          <cell r="Z646">
            <v>0.23680555555555555</v>
          </cell>
          <cell r="AF646">
            <v>52</v>
          </cell>
          <cell r="AG646">
            <v>11.9</v>
          </cell>
          <cell r="AI646">
            <v>50.2</v>
          </cell>
          <cell r="AU646">
            <v>99.389923122874848</v>
          </cell>
          <cell r="AV646">
            <v>99.877175636155542</v>
          </cell>
          <cell r="AX646" t="str">
            <v>K.Benjamin</v>
          </cell>
        </row>
        <row r="647">
          <cell r="A647" t="str">
            <v>CA540</v>
          </cell>
          <cell r="P647">
            <v>61</v>
          </cell>
          <cell r="Q647">
            <v>6.4116575591985363</v>
          </cell>
          <cell r="T647">
            <v>0.48402777777777778</v>
          </cell>
          <cell r="U647">
            <v>0.59305555555555556</v>
          </cell>
          <cell r="V647">
            <v>62</v>
          </cell>
          <cell r="Z647">
            <v>0.24236111111111114</v>
          </cell>
          <cell r="AF647">
            <v>52.1</v>
          </cell>
          <cell r="AG647">
            <v>11.7</v>
          </cell>
          <cell r="AI647">
            <v>49.9</v>
          </cell>
          <cell r="AU647">
            <v>97.540187032709667</v>
          </cell>
          <cell r="AV647">
            <v>98.03905125954293</v>
          </cell>
          <cell r="AX647" t="str">
            <v>K.Benjamin</v>
          </cell>
        </row>
        <row r="648">
          <cell r="A648" t="str">
            <v>CA541</v>
          </cell>
          <cell r="P648">
            <v>60</v>
          </cell>
          <cell r="Q648">
            <v>9.7482014388489233</v>
          </cell>
          <cell r="T648">
            <v>0.56597222222222221</v>
          </cell>
          <cell r="U648">
            <v>0.6791666666666667</v>
          </cell>
          <cell r="V648">
            <v>61</v>
          </cell>
          <cell r="Z648">
            <v>0.24513888888888891</v>
          </cell>
          <cell r="AF648">
            <v>50.9</v>
          </cell>
          <cell r="AG648">
            <v>11.6</v>
          </cell>
          <cell r="AI648">
            <v>50.2</v>
          </cell>
          <cell r="AU648">
            <v>97.365271655099377</v>
          </cell>
          <cell r="AV648">
            <v>97.863213675685699</v>
          </cell>
          <cell r="AX648" t="str">
            <v>K.Benjamin</v>
          </cell>
        </row>
        <row r="649">
          <cell r="A649" t="str">
            <v>CA542</v>
          </cell>
          <cell r="P649">
            <v>60</v>
          </cell>
          <cell r="Q649">
            <v>10.769230769230763</v>
          </cell>
          <cell r="T649">
            <v>0.65833333333333333</v>
          </cell>
          <cell r="U649">
            <v>0.76666666666666672</v>
          </cell>
          <cell r="V649">
            <v>58</v>
          </cell>
          <cell r="Z649">
            <v>0.24930555555555556</v>
          </cell>
          <cell r="AF649">
            <v>50.6</v>
          </cell>
          <cell r="AG649">
            <v>11.6</v>
          </cell>
          <cell r="AI649">
            <v>50.4</v>
          </cell>
          <cell r="AU649">
            <v>97.631449601667157</v>
          </cell>
          <cell r="AV649">
            <v>98.130780586175248</v>
          </cell>
          <cell r="AX649" t="str">
            <v>R. Regis</v>
          </cell>
        </row>
        <row r="650">
          <cell r="A650" t="str">
            <v>CA543</v>
          </cell>
          <cell r="P650">
            <v>60</v>
          </cell>
          <cell r="Q650">
            <v>11.305903398926656</v>
          </cell>
          <cell r="T650">
            <v>0.74861111111111112</v>
          </cell>
          <cell r="U650">
            <v>0.85555555555555551</v>
          </cell>
          <cell r="V650">
            <v>59</v>
          </cell>
          <cell r="Z650">
            <v>0.25486111111111109</v>
          </cell>
          <cell r="AF650">
            <v>50.3</v>
          </cell>
          <cell r="AG650">
            <v>11.6</v>
          </cell>
          <cell r="AI650">
            <v>50.1</v>
          </cell>
          <cell r="AU650">
            <v>96.689090831338149</v>
          </cell>
          <cell r="AV650">
            <v>97.183684019296351</v>
          </cell>
          <cell r="AX650" t="str">
            <v>R. Regis</v>
          </cell>
        </row>
        <row r="651">
          <cell r="A651" t="str">
            <v>CA544</v>
          </cell>
          <cell r="P651">
            <v>60</v>
          </cell>
          <cell r="Q651">
            <v>11.403197158081696</v>
          </cell>
          <cell r="T651">
            <v>0.84027777777777779</v>
          </cell>
          <cell r="U651">
            <v>0.97361111111111109</v>
          </cell>
          <cell r="V651">
            <v>76</v>
          </cell>
          <cell r="Z651">
            <v>0.26527777777777772</v>
          </cell>
          <cell r="AF651">
            <v>50.6</v>
          </cell>
          <cell r="AG651">
            <v>11.7</v>
          </cell>
          <cell r="AI651">
            <v>50.2</v>
          </cell>
          <cell r="AU651">
            <v>97.882815113244646</v>
          </cell>
          <cell r="AV651">
            <v>98.383487001558549</v>
          </cell>
          <cell r="AX651" t="str">
            <v>R. Regis</v>
          </cell>
        </row>
        <row r="652">
          <cell r="A652" t="str">
            <v>CA545</v>
          </cell>
          <cell r="P652">
            <v>59</v>
          </cell>
          <cell r="Q652">
            <v>10.866425992779776</v>
          </cell>
          <cell r="T652">
            <v>0.59375</v>
          </cell>
          <cell r="U652">
            <v>0.75347222222222221</v>
          </cell>
          <cell r="V652">
            <v>58</v>
          </cell>
          <cell r="Z652">
            <v>0.31597222222222221</v>
          </cell>
          <cell r="AF652">
            <v>50.1</v>
          </cell>
          <cell r="AG652">
            <v>11.6</v>
          </cell>
          <cell r="AI652">
            <v>48.3</v>
          </cell>
          <cell r="AU652">
            <v>96.445959569089808</v>
          </cell>
          <cell r="AV652">
            <v>96.938551653028526</v>
          </cell>
          <cell r="AX652" t="str">
            <v>K.Benjamin</v>
          </cell>
        </row>
        <row r="653">
          <cell r="A653" t="str">
            <v>CA546</v>
          </cell>
          <cell r="AU653">
            <v>0</v>
          </cell>
        </row>
      </sheetData>
      <sheetData sheetId="6">
        <row r="57">
          <cell r="D57">
            <v>11.6</v>
          </cell>
        </row>
        <row r="504">
          <cell r="D504">
            <v>11.9</v>
          </cell>
        </row>
        <row r="505">
          <cell r="D505">
            <v>11.7</v>
          </cell>
        </row>
        <row r="506">
          <cell r="D506">
            <v>11.8</v>
          </cell>
        </row>
        <row r="507">
          <cell r="D507">
            <v>11.8</v>
          </cell>
        </row>
        <row r="508">
          <cell r="D508">
            <v>11.9</v>
          </cell>
        </row>
        <row r="525">
          <cell r="D525">
            <v>12</v>
          </cell>
        </row>
        <row r="526">
          <cell r="D526">
            <v>12</v>
          </cell>
        </row>
        <row r="527">
          <cell r="D527">
            <v>11.9</v>
          </cell>
        </row>
        <row r="528">
          <cell r="D528">
            <v>11.9</v>
          </cell>
        </row>
        <row r="529">
          <cell r="D529">
            <v>11.7</v>
          </cell>
        </row>
        <row r="530">
          <cell r="D530">
            <v>11.6</v>
          </cell>
        </row>
        <row r="531">
          <cell r="D531">
            <v>11.4</v>
          </cell>
        </row>
        <row r="532">
          <cell r="D532">
            <v>12.1</v>
          </cell>
        </row>
        <row r="533">
          <cell r="D533">
            <v>11.8</v>
          </cell>
        </row>
        <row r="534">
          <cell r="D534">
            <v>11.9</v>
          </cell>
        </row>
        <row r="535">
          <cell r="D535">
            <v>11.8</v>
          </cell>
        </row>
        <row r="536">
          <cell r="D536">
            <v>11.8</v>
          </cell>
        </row>
        <row r="537">
          <cell r="D537">
            <v>11.8</v>
          </cell>
        </row>
        <row r="538">
          <cell r="D538">
            <v>11.8</v>
          </cell>
        </row>
        <row r="539">
          <cell r="D539">
            <v>11.8</v>
          </cell>
        </row>
        <row r="540">
          <cell r="D540">
            <v>11.7</v>
          </cell>
        </row>
        <row r="541">
          <cell r="D541">
            <v>11.8</v>
          </cell>
        </row>
        <row r="542">
          <cell r="D542">
            <v>11.9</v>
          </cell>
        </row>
        <row r="543">
          <cell r="D543">
            <v>11.9</v>
          </cell>
        </row>
        <row r="544">
          <cell r="D544">
            <v>12</v>
          </cell>
        </row>
        <row r="545">
          <cell r="D545">
            <v>11.7</v>
          </cell>
        </row>
        <row r="546">
          <cell r="D546">
            <v>11.8</v>
          </cell>
        </row>
        <row r="547">
          <cell r="D547">
            <v>11.9</v>
          </cell>
        </row>
        <row r="548">
          <cell r="D548">
            <v>11.8</v>
          </cell>
        </row>
        <row r="549">
          <cell r="D549">
            <v>11.8</v>
          </cell>
        </row>
        <row r="550">
          <cell r="D550">
            <v>11.7</v>
          </cell>
        </row>
        <row r="551">
          <cell r="D551">
            <v>11.7</v>
          </cell>
        </row>
        <row r="552">
          <cell r="D552">
            <v>11.88</v>
          </cell>
        </row>
        <row r="553">
          <cell r="D553">
            <v>11.8</v>
          </cell>
        </row>
        <row r="554">
          <cell r="D554">
            <v>11.73</v>
          </cell>
        </row>
        <row r="555">
          <cell r="D555">
            <v>11.96</v>
          </cell>
        </row>
        <row r="556">
          <cell r="D556">
            <v>11.85</v>
          </cell>
        </row>
        <row r="557">
          <cell r="D557">
            <v>11.9</v>
          </cell>
        </row>
        <row r="558">
          <cell r="D558">
            <v>11.9</v>
          </cell>
        </row>
        <row r="559">
          <cell r="D559">
            <v>11.5</v>
          </cell>
        </row>
        <row r="560">
          <cell r="D560">
            <v>11.8</v>
          </cell>
        </row>
        <row r="561">
          <cell r="D561">
            <v>11.6</v>
          </cell>
        </row>
        <row r="562">
          <cell r="D562">
            <v>11.6</v>
          </cell>
        </row>
        <row r="563">
          <cell r="D563">
            <v>12</v>
          </cell>
        </row>
        <row r="564">
          <cell r="D564">
            <v>11.6</v>
          </cell>
        </row>
        <row r="565">
          <cell r="D565">
            <v>11.9</v>
          </cell>
        </row>
        <row r="566">
          <cell r="D566">
            <v>11.6</v>
          </cell>
        </row>
        <row r="567">
          <cell r="D567">
            <v>11.8</v>
          </cell>
        </row>
        <row r="568">
          <cell r="D568">
            <v>11.8</v>
          </cell>
        </row>
        <row r="569">
          <cell r="D569">
            <v>11.7</v>
          </cell>
        </row>
        <row r="570">
          <cell r="D570">
            <v>11.9</v>
          </cell>
        </row>
        <row r="571">
          <cell r="D571">
            <v>11.9</v>
          </cell>
        </row>
        <row r="572">
          <cell r="D572">
            <v>11.9</v>
          </cell>
        </row>
        <row r="573">
          <cell r="D573">
            <v>11.8</v>
          </cell>
        </row>
        <row r="574">
          <cell r="D574">
            <v>11.8</v>
          </cell>
        </row>
        <row r="575">
          <cell r="D575">
            <v>11.7</v>
          </cell>
        </row>
        <row r="576">
          <cell r="D576">
            <v>11.6</v>
          </cell>
        </row>
        <row r="577">
          <cell r="D577">
            <v>11.8</v>
          </cell>
        </row>
        <row r="578">
          <cell r="D578">
            <v>11.7</v>
          </cell>
        </row>
        <row r="580">
          <cell r="D580">
            <v>12</v>
          </cell>
        </row>
        <row r="581">
          <cell r="D581">
            <v>11.8</v>
          </cell>
        </row>
        <row r="582">
          <cell r="D582">
            <v>11.9</v>
          </cell>
        </row>
        <row r="583">
          <cell r="D583">
            <v>11.7</v>
          </cell>
        </row>
        <row r="584">
          <cell r="D584">
            <v>12.2</v>
          </cell>
        </row>
        <row r="585">
          <cell r="D585">
            <v>11.9</v>
          </cell>
        </row>
        <row r="588">
          <cell r="D588">
            <v>12</v>
          </cell>
        </row>
        <row r="589">
          <cell r="D589">
            <v>11.9</v>
          </cell>
        </row>
        <row r="590">
          <cell r="D590">
            <v>12.2</v>
          </cell>
        </row>
        <row r="591">
          <cell r="D591">
            <v>11.9</v>
          </cell>
        </row>
        <row r="592">
          <cell r="D592">
            <v>11.8</v>
          </cell>
        </row>
        <row r="593">
          <cell r="D593">
            <v>11.8</v>
          </cell>
        </row>
        <row r="594">
          <cell r="D594">
            <v>11.9</v>
          </cell>
        </row>
        <row r="595">
          <cell r="D595">
            <v>11.9</v>
          </cell>
        </row>
      </sheetData>
      <sheetData sheetId="7"/>
      <sheetData sheetId="8">
        <row r="6">
          <cell r="H6">
            <v>2882.3</v>
          </cell>
        </row>
      </sheetData>
      <sheetData sheetId="9">
        <row r="18">
          <cell r="E18">
            <v>54374</v>
          </cell>
        </row>
      </sheetData>
      <sheetData sheetId="10">
        <row r="18">
          <cell r="E18">
            <v>51109</v>
          </cell>
        </row>
      </sheetData>
      <sheetData sheetId="11">
        <row r="18">
          <cell r="E18">
            <v>56503</v>
          </cell>
        </row>
      </sheetData>
      <sheetData sheetId="12">
        <row r="18">
          <cell r="E18">
            <v>50015</v>
          </cell>
        </row>
      </sheetData>
      <sheetData sheetId="13">
        <row r="18">
          <cell r="E18">
            <v>59130</v>
          </cell>
        </row>
      </sheetData>
      <sheetData sheetId="14"/>
      <sheetData sheetId="1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S242">
            <v>95.024171381581283</v>
          </cell>
        </row>
        <row r="243">
          <cell r="AS243">
            <v>95.603326677587518</v>
          </cell>
        </row>
        <row r="244">
          <cell r="AS244">
            <v>97.891004589246791</v>
          </cell>
        </row>
        <row r="245">
          <cell r="AS245">
            <v>96.127502387330068</v>
          </cell>
        </row>
        <row r="246">
          <cell r="AS246">
            <v>96.919863670702682</v>
          </cell>
        </row>
        <row r="247">
          <cell r="AS247">
            <v>98.103519034372525</v>
          </cell>
        </row>
        <row r="248">
          <cell r="AS248">
            <v>98.807821942068728</v>
          </cell>
        </row>
        <row r="249">
          <cell r="AS249">
            <v>97.839117805381775</v>
          </cell>
        </row>
        <row r="250">
          <cell r="AS250">
            <v>97.502548221829173</v>
          </cell>
        </row>
        <row r="251">
          <cell r="AS251">
            <v>97.980878408450792</v>
          </cell>
        </row>
        <row r="252">
          <cell r="AS252">
            <v>99.44483005891739</v>
          </cell>
        </row>
        <row r="253">
          <cell r="AS253">
            <v>98.558368850936759</v>
          </cell>
        </row>
        <row r="254">
          <cell r="AS254">
            <v>94.844423775739514</v>
          </cell>
        </row>
        <row r="255">
          <cell r="AS255">
            <v>98.490515164685618</v>
          </cell>
        </row>
        <row r="256">
          <cell r="AS256">
            <v>98.197131955684057</v>
          </cell>
        </row>
        <row r="257">
          <cell r="AS257">
            <v>97.136028708589762</v>
          </cell>
        </row>
        <row r="258">
          <cell r="AS258">
            <v>98.349989106466737</v>
          </cell>
        </row>
        <row r="259">
          <cell r="AS259">
            <v>98.882895456577998</v>
          </cell>
        </row>
        <row r="260">
          <cell r="AS260">
            <v>97.980878408450792</v>
          </cell>
        </row>
        <row r="261">
          <cell r="AS261">
            <v>98.816500310647015</v>
          </cell>
        </row>
        <row r="262">
          <cell r="AS262">
            <v>95.242586332157259</v>
          </cell>
        </row>
        <row r="263">
          <cell r="AS263">
            <v>97.297864805711271</v>
          </cell>
        </row>
        <row r="264">
          <cell r="AS264">
            <v>98.830948870010644</v>
          </cell>
        </row>
        <row r="265">
          <cell r="AS265">
            <v>96.960481671797865</v>
          </cell>
        </row>
        <row r="266">
          <cell r="AS266">
            <v>98.920822376514678</v>
          </cell>
        </row>
        <row r="267">
          <cell r="AS267">
            <v>95.218043199829722</v>
          </cell>
        </row>
        <row r="268">
          <cell r="AS268">
            <v>102.91252288333963</v>
          </cell>
        </row>
        <row r="269">
          <cell r="AS269">
            <v>99.840554631081304</v>
          </cell>
        </row>
        <row r="270">
          <cell r="AS270">
            <v>95.545616911541998</v>
          </cell>
        </row>
        <row r="271">
          <cell r="AS271">
            <v>99.49940457072266</v>
          </cell>
        </row>
        <row r="272">
          <cell r="AS272">
            <v>97.046216145736423</v>
          </cell>
        </row>
        <row r="273">
          <cell r="AS273">
            <v>102.38078795174074</v>
          </cell>
        </row>
        <row r="275">
          <cell r="A275" t="str">
            <v>ST255</v>
          </cell>
          <cell r="P275">
            <v>58</v>
          </cell>
          <cell r="Q275">
            <v>14.69465648854961</v>
          </cell>
          <cell r="T275">
            <v>1.0493055555555555</v>
          </cell>
          <cell r="U275">
            <v>1.15625</v>
          </cell>
          <cell r="V275">
            <v>57</v>
          </cell>
          <cell r="AD275">
            <v>48.6</v>
          </cell>
          <cell r="AE275">
            <v>12</v>
          </cell>
          <cell r="AG275">
            <v>50.4</v>
          </cell>
          <cell r="AS275">
            <v>100.83968282378231</v>
          </cell>
          <cell r="AT275">
            <v>102.21869786519255</v>
          </cell>
          <cell r="AV275" t="str">
            <v>R.Sookram</v>
          </cell>
          <cell r="AW275">
            <v>0.23958333333333337</v>
          </cell>
        </row>
        <row r="276">
          <cell r="A276" t="str">
            <v>ST256</v>
          </cell>
          <cell r="P276">
            <v>59</v>
          </cell>
          <cell r="Q276">
            <v>9.8076923076923102</v>
          </cell>
          <cell r="T276">
            <v>1.1347222222222222</v>
          </cell>
          <cell r="U276">
            <v>1.2486111111111111</v>
          </cell>
          <cell r="V276">
            <v>61</v>
          </cell>
          <cell r="AD276">
            <v>50.5</v>
          </cell>
          <cell r="AE276">
            <v>11.9</v>
          </cell>
          <cell r="AG276">
            <v>49.6</v>
          </cell>
          <cell r="AS276">
            <v>98.000691311781651</v>
          </cell>
          <cell r="AT276">
            <v>99.342197384027386</v>
          </cell>
          <cell r="AV276" t="str">
            <v>R.Sookram</v>
          </cell>
          <cell r="AW276">
            <v>0.24861111111111112</v>
          </cell>
        </row>
        <row r="277">
          <cell r="A277" t="str">
            <v>ST257</v>
          </cell>
          <cell r="P277">
            <v>61</v>
          </cell>
          <cell r="Q277">
            <v>18.019801980198022</v>
          </cell>
          <cell r="T277">
            <v>0.24166666666666667</v>
          </cell>
          <cell r="U277">
            <v>0.38472222222222224</v>
          </cell>
          <cell r="V277">
            <v>59</v>
          </cell>
          <cell r="AD277">
            <v>47.9</v>
          </cell>
          <cell r="AE277">
            <v>11.9</v>
          </cell>
          <cell r="AG277">
            <v>48.1</v>
          </cell>
          <cell r="AS277">
            <v>95.275370361295259</v>
          </cell>
          <cell r="AT277">
            <v>96.578718901183208</v>
          </cell>
          <cell r="AV277" t="str">
            <v>R. Regis</v>
          </cell>
          <cell r="AW277">
            <v>0.30138888888888893</v>
          </cell>
        </row>
        <row r="278">
          <cell r="A278" t="str">
            <v>ST258</v>
          </cell>
          <cell r="P278">
            <v>61</v>
          </cell>
          <cell r="Q278">
            <v>14.25959780621573</v>
          </cell>
          <cell r="T278">
            <v>0.35972222222222222</v>
          </cell>
          <cell r="U278">
            <v>0.4777777777777778</v>
          </cell>
          <cell r="V278">
            <v>58</v>
          </cell>
          <cell r="AD278">
            <v>50.2</v>
          </cell>
          <cell r="AE278">
            <v>11.9</v>
          </cell>
          <cell r="AG278">
            <v>50.2</v>
          </cell>
          <cell r="AS278">
            <v>99.435001915530592</v>
          </cell>
          <cell r="AT278">
            <v>100.79525340622446</v>
          </cell>
          <cell r="AV278" t="str">
            <v>R. Regis</v>
          </cell>
          <cell r="AW278">
            <v>0.28680555555555559</v>
          </cell>
        </row>
        <row r="279">
          <cell r="A279" t="str">
            <v>ST259</v>
          </cell>
          <cell r="P279">
            <v>70</v>
          </cell>
          <cell r="Q279">
            <v>14.150943396226415</v>
          </cell>
          <cell r="T279">
            <v>0.47986111111111113</v>
          </cell>
          <cell r="U279">
            <v>0.6020833333333333</v>
          </cell>
          <cell r="V279">
            <v>59</v>
          </cell>
          <cell r="AD279">
            <v>48.7</v>
          </cell>
          <cell r="AE279">
            <v>12.3</v>
          </cell>
          <cell r="AG279">
            <v>47.7</v>
          </cell>
          <cell r="AS279">
            <v>97.94507238785738</v>
          </cell>
          <cell r="AT279">
            <v>99.284502702120676</v>
          </cell>
          <cell r="AV279" t="str">
            <v>R. Regis</v>
          </cell>
          <cell r="AW279">
            <v>0.2583333333333333</v>
          </cell>
        </row>
        <row r="280">
          <cell r="A280" t="str">
            <v>ST260</v>
          </cell>
          <cell r="P280">
            <v>60</v>
          </cell>
          <cell r="Q280">
            <v>11.79775280898876</v>
          </cell>
          <cell r="T280">
            <v>0.5708333333333333</v>
          </cell>
          <cell r="U280">
            <v>0.68333333333333335</v>
          </cell>
          <cell r="V280">
            <v>61</v>
          </cell>
          <cell r="AD280">
            <v>50.9</v>
          </cell>
          <cell r="AE280">
            <v>11.7</v>
          </cell>
          <cell r="AG280">
            <v>51</v>
          </cell>
          <cell r="AS280">
            <v>99.110223835402621</v>
          </cell>
          <cell r="AT280">
            <v>100.46647577075196</v>
          </cell>
          <cell r="AV280" t="str">
            <v>R. Regis</v>
          </cell>
          <cell r="AW280">
            <v>0.24930555555555556</v>
          </cell>
        </row>
        <row r="281">
          <cell r="A281" t="str">
            <v>ST261</v>
          </cell>
          <cell r="P281">
            <v>61</v>
          </cell>
          <cell r="Q281">
            <v>12.081784386617088</v>
          </cell>
          <cell r="T281">
            <v>0.66111111111111109</v>
          </cell>
          <cell r="U281">
            <v>0.77916666666666667</v>
          </cell>
          <cell r="V281">
            <v>66</v>
          </cell>
          <cell r="AD281">
            <v>52.4</v>
          </cell>
          <cell r="AE281">
            <v>11.6</v>
          </cell>
          <cell r="AG281">
            <v>52.2</v>
          </cell>
          <cell r="AS281">
            <v>100.65592417780644</v>
          </cell>
          <cell r="AT281">
            <v>102.03287764763532</v>
          </cell>
          <cell r="AV281" t="str">
            <v>D. Gomaz</v>
          </cell>
          <cell r="AW281">
            <v>0.2583333333333333</v>
          </cell>
        </row>
        <row r="282">
          <cell r="A282" t="str">
            <v>ST262</v>
          </cell>
          <cell r="P282">
            <v>58</v>
          </cell>
          <cell r="Q282">
            <v>13.259668508287287</v>
          </cell>
          <cell r="T282">
            <v>0.74791666666666667</v>
          </cell>
          <cell r="U282">
            <v>0.85972222222222228</v>
          </cell>
          <cell r="V282">
            <v>65</v>
          </cell>
          <cell r="AD282">
            <v>51.7</v>
          </cell>
          <cell r="AE282">
            <v>11.7</v>
          </cell>
          <cell r="AG282">
            <v>51.8</v>
          </cell>
          <cell r="AS282">
            <v>100.79115794415183</v>
          </cell>
          <cell r="AT282">
            <v>102.16996138560759</v>
          </cell>
          <cell r="AV282" t="str">
            <v>D. Gomaz</v>
          </cell>
          <cell r="AW282">
            <v>0.24861111111111112</v>
          </cell>
        </row>
        <row r="283">
          <cell r="A283" t="str">
            <v>ST263</v>
          </cell>
          <cell r="P283">
            <v>60</v>
          </cell>
          <cell r="Q283">
            <v>16.853932584269664</v>
          </cell>
          <cell r="T283">
            <v>0.43680555555555556</v>
          </cell>
          <cell r="U283">
            <v>0.55277777777777781</v>
          </cell>
          <cell r="V283">
            <v>58</v>
          </cell>
          <cell r="AD283">
            <v>48.7</v>
          </cell>
          <cell r="AE283">
            <v>11.9</v>
          </cell>
          <cell r="AG283">
            <v>48.3</v>
          </cell>
          <cell r="AS283">
            <v>95.671525747412886</v>
          </cell>
          <cell r="AT283">
            <v>96.980293615949009</v>
          </cell>
          <cell r="AV283" t="str">
            <v>R. Regis</v>
          </cell>
          <cell r="AW283">
            <v>0.24930555555555561</v>
          </cell>
        </row>
        <row r="284">
          <cell r="A284" t="str">
            <v>ST264</v>
          </cell>
          <cell r="P284">
            <v>60</v>
          </cell>
          <cell r="Q284">
            <v>15.711645101663585</v>
          </cell>
          <cell r="T284">
            <v>0.52083333333333337</v>
          </cell>
          <cell r="U284">
            <v>0.63958333333333328</v>
          </cell>
          <cell r="V284">
            <v>62</v>
          </cell>
          <cell r="AD284">
            <v>50.8</v>
          </cell>
          <cell r="AE284">
            <v>11.9</v>
          </cell>
          <cell r="AG284">
            <v>50.5</v>
          </cell>
          <cell r="AS284">
            <v>100.15485918919744</v>
          </cell>
          <cell r="AT284">
            <v>101.52450904751349</v>
          </cell>
          <cell r="AV284" t="str">
            <v>R. Regis</v>
          </cell>
          <cell r="AW284">
            <v>0.25069444444444439</v>
          </cell>
        </row>
        <row r="285">
          <cell r="A285" t="str">
            <v>ST265</v>
          </cell>
          <cell r="P285">
            <v>61</v>
          </cell>
          <cell r="Q285">
            <v>12.921348314606739</v>
          </cell>
          <cell r="T285">
            <v>0.60416666666666663</v>
          </cell>
          <cell r="U285">
            <v>0.72083333333333333</v>
          </cell>
          <cell r="V285">
            <v>63</v>
          </cell>
          <cell r="AD285">
            <v>51</v>
          </cell>
          <cell r="AE285">
            <v>11.8</v>
          </cell>
          <cell r="AG285">
            <v>50.6</v>
          </cell>
          <cell r="AS285">
            <v>99.466530990769641</v>
          </cell>
          <cell r="AT285">
            <v>100.82676773995564</v>
          </cell>
          <cell r="AV285" t="str">
            <v>D. Gomaz</v>
          </cell>
          <cell r="AW285">
            <v>0.24861111111111112</v>
          </cell>
        </row>
        <row r="286">
          <cell r="A286" t="str">
            <v>ST266</v>
          </cell>
          <cell r="P286">
            <v>62</v>
          </cell>
          <cell r="Q286">
            <v>11.385199240986717</v>
          </cell>
          <cell r="T286">
            <v>0.68819444444444444</v>
          </cell>
          <cell r="U286">
            <v>0.80486111111111114</v>
          </cell>
          <cell r="V286">
            <v>64</v>
          </cell>
          <cell r="AD286">
            <v>50.8</v>
          </cell>
          <cell r="AE286">
            <v>11.8</v>
          </cell>
          <cell r="AG286">
            <v>50.4</v>
          </cell>
          <cell r="AS286">
            <v>99.322856790756248</v>
          </cell>
          <cell r="AT286">
            <v>100.68023457865256</v>
          </cell>
          <cell r="AV286" t="str">
            <v>D. Gomaz</v>
          </cell>
          <cell r="AW286">
            <v>0.24930555555555556</v>
          </cell>
        </row>
        <row r="287">
          <cell r="A287" t="str">
            <v>ST267</v>
          </cell>
          <cell r="P287">
            <v>60</v>
          </cell>
          <cell r="Q287">
            <v>12.452107279693486</v>
          </cell>
          <cell r="T287">
            <v>0.79583333333333328</v>
          </cell>
          <cell r="U287">
            <v>0.90972222222222221</v>
          </cell>
          <cell r="V287">
            <v>61</v>
          </cell>
          <cell r="AD287">
            <v>50.5</v>
          </cell>
          <cell r="AE287">
            <v>12</v>
          </cell>
          <cell r="AG287">
            <v>50.2</v>
          </cell>
          <cell r="AS287">
            <v>100.43952535225938</v>
          </cell>
          <cell r="AT287">
            <v>101.81306811175925</v>
          </cell>
          <cell r="AV287" t="str">
            <v>D. Gomaz</v>
          </cell>
          <cell r="AW287">
            <v>0.26736111111111105</v>
          </cell>
        </row>
        <row r="288">
          <cell r="A288" t="str">
            <v>ST268</v>
          </cell>
          <cell r="P288">
            <v>61</v>
          </cell>
          <cell r="Q288">
            <v>14.760147601476014</v>
          </cell>
          <cell r="T288">
            <v>0.87569444444444444</v>
          </cell>
          <cell r="U288">
            <v>0.99027777777777781</v>
          </cell>
          <cell r="V288">
            <v>64</v>
          </cell>
          <cell r="AD288">
            <v>51.5</v>
          </cell>
          <cell r="AE288">
            <v>11.8</v>
          </cell>
          <cell r="AG288">
            <v>51</v>
          </cell>
          <cell r="AS288">
            <v>100.37889099709263</v>
          </cell>
          <cell r="AT288">
            <v>101.7511532896791</v>
          </cell>
          <cell r="AV288" t="str">
            <v>D. Gomaz</v>
          </cell>
          <cell r="AW288">
            <v>0.25763888888888897</v>
          </cell>
        </row>
        <row r="289">
          <cell r="A289" t="str">
            <v>ST269</v>
          </cell>
          <cell r="P289">
            <v>61</v>
          </cell>
          <cell r="Q289">
            <v>13.493530499075778</v>
          </cell>
          <cell r="T289">
            <v>0.96319444444444446</v>
          </cell>
          <cell r="U289">
            <v>1.0763888888888888</v>
          </cell>
          <cell r="V289">
            <v>65</v>
          </cell>
          <cell r="AD289">
            <v>51.8</v>
          </cell>
          <cell r="AE289">
            <v>11.8</v>
          </cell>
          <cell r="AG289">
            <v>51.4</v>
          </cell>
          <cell r="AS289">
            <v>101.16617641667767</v>
          </cell>
          <cell r="AT289">
            <v>102.54920155077463</v>
          </cell>
          <cell r="AV289" t="str">
            <v>D. Gomaz</v>
          </cell>
          <cell r="AW289">
            <v>0.24305555555555547</v>
          </cell>
        </row>
        <row r="290">
          <cell r="A290" t="str">
            <v>ST270</v>
          </cell>
          <cell r="P290">
            <v>63</v>
          </cell>
          <cell r="Q290">
            <v>12.962962962962962</v>
          </cell>
          <cell r="T290">
            <v>1.04375</v>
          </cell>
          <cell r="U290">
            <v>1.1569444444444446</v>
          </cell>
          <cell r="V290">
            <v>63</v>
          </cell>
          <cell r="AD290">
            <v>51.6</v>
          </cell>
          <cell r="AE290">
            <v>11.8</v>
          </cell>
          <cell r="AG290">
            <v>51.4</v>
          </cell>
          <cell r="AS290">
            <v>101.03912436611778</v>
          </cell>
          <cell r="AT290">
            <v>102.4208668346585</v>
          </cell>
          <cell r="AV290" t="str">
            <v>D. Gomaz</v>
          </cell>
          <cell r="AW290">
            <v>0.24027777777777792</v>
          </cell>
        </row>
        <row r="291">
          <cell r="A291" t="str">
            <v>ST271</v>
          </cell>
          <cell r="P291">
            <v>60</v>
          </cell>
          <cell r="Q291">
            <v>9.0384615384615294</v>
          </cell>
          <cell r="T291">
            <v>0.59027777777777779</v>
          </cell>
          <cell r="U291">
            <v>0.70416666666666672</v>
          </cell>
          <cell r="V291">
            <v>58</v>
          </cell>
          <cell r="AD291">
            <v>49.8</v>
          </cell>
          <cell r="AE291">
            <v>11.9</v>
          </cell>
          <cell r="AG291">
            <v>48.4</v>
          </cell>
          <cell r="AS291">
            <v>96.474643951399159</v>
          </cell>
          <cell r="AT291">
            <v>97.792224257184472</v>
          </cell>
          <cell r="AV291" t="str">
            <v>R. Regis</v>
          </cell>
          <cell r="AW291">
            <v>0.2458333333333334</v>
          </cell>
        </row>
        <row r="292">
          <cell r="A292" t="str">
            <v>ST272</v>
          </cell>
          <cell r="P292">
            <v>60</v>
          </cell>
          <cell r="Q292">
            <v>12.199630314232904</v>
          </cell>
          <cell r="T292">
            <v>0.6791666666666667</v>
          </cell>
          <cell r="U292">
            <v>0.79097222222222219</v>
          </cell>
          <cell r="V292">
            <v>60</v>
          </cell>
          <cell r="AD292">
            <v>50.4</v>
          </cell>
          <cell r="AE292">
            <v>11.8</v>
          </cell>
          <cell r="AG292">
            <v>50</v>
          </cell>
          <cell r="AS292">
            <v>98.534580149559787</v>
          </cell>
          <cell r="AT292">
            <v>99.881185097869619</v>
          </cell>
          <cell r="AV292" t="str">
            <v>R. Regis</v>
          </cell>
          <cell r="AW292">
            <v>0.24930555555555556</v>
          </cell>
        </row>
        <row r="293">
          <cell r="A293" t="str">
            <v>ST273</v>
          </cell>
          <cell r="P293">
            <v>60</v>
          </cell>
          <cell r="Q293">
            <v>12.222222222222225</v>
          </cell>
          <cell r="T293">
            <v>0.76041666666666663</v>
          </cell>
          <cell r="U293">
            <v>0.87152777777777779</v>
          </cell>
          <cell r="V293">
            <v>59</v>
          </cell>
          <cell r="AD293">
            <v>50.3</v>
          </cell>
          <cell r="AE293">
            <v>11.9</v>
          </cell>
          <cell r="AG293">
            <v>49.9</v>
          </cell>
          <cell r="AS293">
            <v>99.21410144378406</v>
          </cell>
          <cell r="AT293">
            <v>100.56999294647811</v>
          </cell>
          <cell r="AV293" t="str">
            <v>R. Regis</v>
          </cell>
          <cell r="AW293">
            <v>0.24652777777777779</v>
          </cell>
        </row>
        <row r="294">
          <cell r="A294" t="str">
            <v>ST274</v>
          </cell>
          <cell r="P294">
            <v>61</v>
          </cell>
          <cell r="Q294">
            <v>12.57035647279549</v>
          </cell>
          <cell r="T294">
            <v>0.88124999999999998</v>
          </cell>
          <cell r="U294">
            <v>0.98541666666666672</v>
          </cell>
          <cell r="V294">
            <v>57</v>
          </cell>
          <cell r="AD294">
            <v>50.7</v>
          </cell>
          <cell r="AE294">
            <v>11.8</v>
          </cell>
          <cell r="AG294">
            <v>50.3</v>
          </cell>
          <cell r="AS294">
            <v>98.988095579595708</v>
          </cell>
          <cell r="AT294">
            <v>99.978744719441565</v>
          </cell>
          <cell r="AV294" t="str">
            <v>R. Regis</v>
          </cell>
          <cell r="AW294">
            <v>0.23541666666666672</v>
          </cell>
        </row>
        <row r="295">
          <cell r="A295" t="str">
            <v>ST275</v>
          </cell>
          <cell r="P295">
            <v>60</v>
          </cell>
          <cell r="Q295">
            <v>12.54612546125462</v>
          </cell>
          <cell r="T295">
            <v>0.96180555555555558</v>
          </cell>
          <cell r="U295">
            <v>1.0756944444444445</v>
          </cell>
          <cell r="V295">
            <v>58</v>
          </cell>
          <cell r="AD295">
            <v>51.5</v>
          </cell>
          <cell r="AE295">
            <v>11.7</v>
          </cell>
          <cell r="AG295">
            <v>51.2</v>
          </cell>
          <cell r="AS295">
            <v>99.851352600758617</v>
          </cell>
          <cell r="AT295">
            <v>100.48415255073921</v>
          </cell>
          <cell r="AV295" t="str">
            <v>D. Gomaz</v>
          </cell>
          <cell r="AW295">
            <v>0.24236111111111114</v>
          </cell>
        </row>
        <row r="296">
          <cell r="A296" t="str">
            <v>ST276</v>
          </cell>
          <cell r="P296">
            <v>61</v>
          </cell>
          <cell r="Q296">
            <v>6.130268199233722</v>
          </cell>
          <cell r="T296">
            <v>1.0479166666666666</v>
          </cell>
          <cell r="U296">
            <v>1.1583333333333334</v>
          </cell>
          <cell r="V296">
            <v>60</v>
          </cell>
          <cell r="AD296">
            <v>52.4</v>
          </cell>
          <cell r="AE296">
            <v>11.6</v>
          </cell>
          <cell r="AG296">
            <v>51.8</v>
          </cell>
          <cell r="AS296">
            <v>100.36291507352458</v>
          </cell>
          <cell r="AT296">
            <v>100.99854416512912</v>
          </cell>
          <cell r="AV296" t="str">
            <v>D. Gomaz</v>
          </cell>
          <cell r="AW296">
            <v>0.24166666666666681</v>
          </cell>
        </row>
        <row r="297">
          <cell r="A297" t="str">
            <v>ST277</v>
          </cell>
          <cell r="P297">
            <v>59</v>
          </cell>
          <cell r="Q297">
            <v>9.0566037735849001</v>
          </cell>
          <cell r="T297">
            <v>1.1340277777777779</v>
          </cell>
          <cell r="U297">
            <v>1.2402777777777778</v>
          </cell>
          <cell r="V297">
            <v>53</v>
          </cell>
          <cell r="AD297">
            <v>50.7</v>
          </cell>
          <cell r="AE297">
            <v>11.9</v>
          </cell>
          <cell r="AG297">
            <v>50.3</v>
          </cell>
          <cell r="AS297">
            <v>100.11017578568983</v>
          </cell>
          <cell r="AT297">
            <v>100.74420420194711</v>
          </cell>
          <cell r="AV297" t="str">
            <v>D. Gomaz</v>
          </cell>
          <cell r="AW297">
            <v>0.23680555555555549</v>
          </cell>
        </row>
        <row r="298">
          <cell r="A298" t="str">
            <v>ST278</v>
          </cell>
          <cell r="P298">
            <v>61</v>
          </cell>
          <cell r="Q298">
            <v>11.948529411764707</v>
          </cell>
          <cell r="T298">
            <v>0.23749999999999999</v>
          </cell>
          <cell r="U298">
            <v>0.34513888888888888</v>
          </cell>
          <cell r="V298">
            <v>57</v>
          </cell>
          <cell r="AD298">
            <v>50.4</v>
          </cell>
          <cell r="AE298">
            <v>11.9</v>
          </cell>
          <cell r="AG298">
            <v>50.2</v>
          </cell>
          <cell r="AS298">
            <v>99.78653482584231</v>
          </cell>
          <cell r="AT298">
            <v>100.41871901711605</v>
          </cell>
          <cell r="AV298" t="str">
            <v>D. Gomaz</v>
          </cell>
          <cell r="AW298">
            <v>0.26180555555555557</v>
          </cell>
        </row>
        <row r="299">
          <cell r="A299" t="str">
            <v>ST279</v>
          </cell>
          <cell r="P299">
            <v>59</v>
          </cell>
          <cell r="Q299">
            <v>12.639405204460964</v>
          </cell>
          <cell r="T299">
            <v>0.42430555555555555</v>
          </cell>
          <cell r="U299">
            <v>0.53680555555555554</v>
          </cell>
          <cell r="V299">
            <v>56</v>
          </cell>
          <cell r="AD299">
            <v>49.9</v>
          </cell>
          <cell r="AE299">
            <v>11.8</v>
          </cell>
          <cell r="AG299">
            <v>49.3</v>
          </cell>
          <cell r="AS299">
            <v>97.131691546615258</v>
          </cell>
          <cell r="AT299">
            <v>97.747056334806572</v>
          </cell>
          <cell r="AV299" t="str">
            <v>K. Benjamin</v>
          </cell>
          <cell r="AW299">
            <v>0.24722222222222218</v>
          </cell>
        </row>
        <row r="300">
          <cell r="A300" t="str">
            <v>ST280</v>
          </cell>
          <cell r="P300">
            <v>59</v>
          </cell>
          <cell r="Q300">
            <v>11.851851851851849</v>
          </cell>
          <cell r="T300">
            <v>0.52222222222222225</v>
          </cell>
          <cell r="U300">
            <v>0.63611111111111107</v>
          </cell>
          <cell r="V300">
            <v>59</v>
          </cell>
          <cell r="AD300">
            <v>50.9</v>
          </cell>
          <cell r="AE300">
            <v>11.9</v>
          </cell>
          <cell r="AG300">
            <v>50.5</v>
          </cell>
          <cell r="AS300">
            <v>100.50822817449973</v>
          </cell>
          <cell r="AT300">
            <v>101.14477757849561</v>
          </cell>
          <cell r="AV300" t="str">
            <v>K. Benjamin</v>
          </cell>
          <cell r="AW300">
            <v>0.26111111111111107</v>
          </cell>
        </row>
        <row r="301">
          <cell r="A301" t="str">
            <v>ST281</v>
          </cell>
          <cell r="P301">
            <v>60</v>
          </cell>
          <cell r="Q301">
            <v>11.721611721611719</v>
          </cell>
          <cell r="T301">
            <v>0.6118055555555556</v>
          </cell>
          <cell r="U301">
            <v>0.7270833333333333</v>
          </cell>
          <cell r="V301">
            <v>64</v>
          </cell>
          <cell r="AD301">
            <v>51.2</v>
          </cell>
          <cell r="AE301">
            <v>11.8</v>
          </cell>
          <cell r="AG301">
            <v>50.4</v>
          </cell>
          <cell r="AS301">
            <v>99.547251884193614</v>
          </cell>
          <cell r="AT301">
            <v>100.1775096194802</v>
          </cell>
          <cell r="AV301" t="str">
            <v>R. Regis</v>
          </cell>
          <cell r="AW301">
            <v>0.25486111111111109</v>
          </cell>
        </row>
        <row r="302">
          <cell r="A302" t="str">
            <v>ST282</v>
          </cell>
          <cell r="P302">
            <v>60</v>
          </cell>
          <cell r="Q302">
            <v>10.661764705882348</v>
          </cell>
          <cell r="T302">
            <v>0.69513888888888886</v>
          </cell>
          <cell r="U302">
            <v>0.80625000000000002</v>
          </cell>
          <cell r="V302">
            <v>63</v>
          </cell>
          <cell r="AD302">
            <v>51.6</v>
          </cell>
          <cell r="AE302">
            <v>11.6</v>
          </cell>
          <cell r="AG302">
            <v>51.1</v>
          </cell>
          <cell r="AS302">
            <v>100.38565192460212</v>
          </cell>
          <cell r="AT302">
            <v>101.01911653340269</v>
          </cell>
          <cell r="AV302" t="str">
            <v>R. Regis</v>
          </cell>
          <cell r="AW302">
            <v>0.25069444444444444</v>
          </cell>
        </row>
        <row r="303">
          <cell r="A303" t="str">
            <v>ST283</v>
          </cell>
          <cell r="P303">
            <v>60</v>
          </cell>
          <cell r="Q303">
            <v>7.6775431861804213</v>
          </cell>
          <cell r="T303">
            <v>0.75208333333333333</v>
          </cell>
          <cell r="U303">
            <v>0.86944444444444446</v>
          </cell>
          <cell r="V303">
            <v>60</v>
          </cell>
          <cell r="AD303">
            <v>49</v>
          </cell>
          <cell r="AE303">
            <v>11.9</v>
          </cell>
          <cell r="AG303">
            <v>48.2</v>
          </cell>
          <cell r="AS303">
            <v>102.86759733937893</v>
          </cell>
          <cell r="AT303">
            <v>103.50680910563246</v>
          </cell>
          <cell r="AV303" t="str">
            <v>R. Regis</v>
          </cell>
          <cell r="AW303">
            <v>0.2583333333333333</v>
          </cell>
        </row>
        <row r="304">
          <cell r="A304" t="str">
            <v>ST284</v>
          </cell>
          <cell r="P304">
            <v>72</v>
          </cell>
          <cell r="Q304">
            <v>13.83399209486166</v>
          </cell>
          <cell r="T304">
            <v>0.52152777777777781</v>
          </cell>
          <cell r="U304">
            <v>0.63680555555555551</v>
          </cell>
          <cell r="V304">
            <v>49</v>
          </cell>
          <cell r="AD304">
            <v>44.8</v>
          </cell>
          <cell r="AE304">
            <v>11.9</v>
          </cell>
          <cell r="AG304">
            <v>43.9</v>
          </cell>
          <cell r="AS304">
            <v>93.690612514496564</v>
          </cell>
          <cell r="AT304">
            <v>94.272799164673529</v>
          </cell>
          <cell r="AV304" t="str">
            <v>R.Sookram</v>
          </cell>
          <cell r="AW304">
            <v>0.26874999999999993</v>
          </cell>
        </row>
        <row r="305">
          <cell r="A305" t="str">
            <v>ST285</v>
          </cell>
          <cell r="P305">
            <v>60</v>
          </cell>
          <cell r="Q305">
            <v>14.365671641791049</v>
          </cell>
          <cell r="T305">
            <v>1.1472222222222221</v>
          </cell>
          <cell r="U305">
            <v>1.2597222222222222</v>
          </cell>
          <cell r="V305">
            <v>56</v>
          </cell>
          <cell r="AD305">
            <v>47.6</v>
          </cell>
          <cell r="AE305">
            <v>12</v>
          </cell>
          <cell r="AG305">
            <v>46.8</v>
          </cell>
          <cell r="AS305">
            <v>94.202503008813892</v>
          </cell>
          <cell r="AT305">
            <v>94.798726882359702</v>
          </cell>
          <cell r="AV305" t="str">
            <v>R. Regis</v>
          </cell>
          <cell r="AW305">
            <v>0.24583333333333335</v>
          </cell>
        </row>
        <row r="306">
          <cell r="A306" t="str">
            <v>ST286</v>
          </cell>
          <cell r="P306">
            <v>60</v>
          </cell>
          <cell r="Q306">
            <v>13.320825515947456</v>
          </cell>
          <cell r="T306">
            <v>0.24097222222222223</v>
          </cell>
          <cell r="U306">
            <v>0.35069444444444442</v>
          </cell>
          <cell r="V306">
            <v>62</v>
          </cell>
          <cell r="AD306">
            <v>49.5</v>
          </cell>
          <cell r="AE306">
            <v>12.1</v>
          </cell>
          <cell r="AG306">
            <v>49.1</v>
          </cell>
          <cell r="AS306">
            <v>99.822653073625858</v>
          </cell>
          <cell r="AT306">
            <v>100.45424073312022</v>
          </cell>
          <cell r="AV306" t="str">
            <v>R. Regis</v>
          </cell>
          <cell r="AW306">
            <v>0.23958333333333331</v>
          </cell>
        </row>
        <row r="307">
          <cell r="A307" t="str">
            <v>ST287</v>
          </cell>
          <cell r="P307">
            <v>60</v>
          </cell>
          <cell r="Q307">
            <v>12.014787430683919</v>
          </cell>
          <cell r="T307">
            <v>0.32291666666666669</v>
          </cell>
          <cell r="U307">
            <v>0.43263888888888891</v>
          </cell>
          <cell r="V307">
            <v>57</v>
          </cell>
          <cell r="AD307">
            <v>51</v>
          </cell>
          <cell r="AE307">
            <v>11.8</v>
          </cell>
          <cell r="AG307">
            <v>49.1</v>
          </cell>
          <cell r="AS307">
            <v>97.222694469498265</v>
          </cell>
          <cell r="AT307">
            <v>97.837831937387804</v>
          </cell>
          <cell r="AV307" t="str">
            <v>D. Gomaz</v>
          </cell>
          <cell r="AW307">
            <v>0.23819444444444446</v>
          </cell>
        </row>
        <row r="308">
          <cell r="A308" t="str">
            <v>ST288</v>
          </cell>
          <cell r="P308">
            <v>60</v>
          </cell>
          <cell r="Q308">
            <v>12.382739212007495</v>
          </cell>
          <cell r="T308">
            <v>0.41666666666666669</v>
          </cell>
          <cell r="U308">
            <v>0.52847222222222223</v>
          </cell>
          <cell r="V308">
            <v>62</v>
          </cell>
          <cell r="AD308">
            <v>50.8</v>
          </cell>
          <cell r="AE308">
            <v>11.8</v>
          </cell>
          <cell r="AG308">
            <v>50.6</v>
          </cell>
          <cell r="AS308">
            <v>100.1928378850634</v>
          </cell>
          <cell r="AT308">
            <v>100.82676773995564</v>
          </cell>
          <cell r="AV308" t="str">
            <v>D. Gomaz</v>
          </cell>
          <cell r="AW308">
            <v>0.25069444444444444</v>
          </cell>
        </row>
        <row r="309">
          <cell r="A309" t="str">
            <v>ST289</v>
          </cell>
          <cell r="P309">
            <v>59</v>
          </cell>
          <cell r="Q309">
            <v>13.457943925233637</v>
          </cell>
          <cell r="T309">
            <v>0.49722222222222223</v>
          </cell>
          <cell r="U309">
            <v>0.61041666666666672</v>
          </cell>
          <cell r="V309">
            <v>62</v>
          </cell>
          <cell r="AD309">
            <v>50.4</v>
          </cell>
          <cell r="AE309">
            <v>11.7</v>
          </cell>
          <cell r="AG309">
            <v>50.3</v>
          </cell>
          <cell r="AS309">
            <v>98.959067698121331</v>
          </cell>
          <cell r="AT309">
            <v>99.584779182287448</v>
          </cell>
          <cell r="AV309" t="str">
            <v>D. Gomaz</v>
          </cell>
          <cell r="AW309">
            <v>0.24930555555555561</v>
          </cell>
        </row>
        <row r="310">
          <cell r="A310" t="str">
            <v>ST290</v>
          </cell>
          <cell r="P310">
            <v>60</v>
          </cell>
          <cell r="Q310">
            <v>11.962616822429904</v>
          </cell>
          <cell r="T310">
            <v>0.5854166666666667</v>
          </cell>
          <cell r="U310">
            <v>0.70138888888888884</v>
          </cell>
          <cell r="V310">
            <v>60</v>
          </cell>
          <cell r="AD310">
            <v>50.8</v>
          </cell>
          <cell r="AE310">
            <v>11.9</v>
          </cell>
          <cell r="AG310">
            <v>51</v>
          </cell>
          <cell r="AS310">
            <v>101.75751144156999</v>
          </cell>
          <cell r="AT310">
            <v>102.40155226528778</v>
          </cell>
          <cell r="AV310" t="str">
            <v>D. Gomaz</v>
          </cell>
          <cell r="AW310">
            <v>0.25694444444444442</v>
          </cell>
        </row>
        <row r="311">
          <cell r="A311" t="str">
            <v>ST291</v>
          </cell>
          <cell r="P311">
            <v>61</v>
          </cell>
          <cell r="Q311">
            <v>14.018691588785046</v>
          </cell>
          <cell r="T311">
            <v>0.8041666666666667</v>
          </cell>
          <cell r="U311">
            <v>0.9145833333333333</v>
          </cell>
          <cell r="V311">
            <v>62</v>
          </cell>
          <cell r="AD311">
            <v>48.8</v>
          </cell>
          <cell r="AE311">
            <v>11.6</v>
          </cell>
          <cell r="AG311">
            <v>48.1</v>
          </cell>
          <cell r="AS311">
            <v>93.975252209934993</v>
          </cell>
          <cell r="AT311">
            <v>94.372664892828595</v>
          </cell>
          <cell r="AV311" t="str">
            <v>D. Gomaz</v>
          </cell>
          <cell r="AW311">
            <v>0.25486111111111109</v>
          </cell>
        </row>
        <row r="312">
          <cell r="A312" t="str">
            <v>ST292</v>
          </cell>
          <cell r="P312">
            <v>58</v>
          </cell>
          <cell r="Q312">
            <v>10.344827586206893</v>
          </cell>
          <cell r="T312">
            <v>0.89027777777777772</v>
          </cell>
          <cell r="U312">
            <v>1.0034722222222223</v>
          </cell>
          <cell r="V312">
            <v>64</v>
          </cell>
          <cell r="AD312">
            <v>48.5</v>
          </cell>
          <cell r="AE312">
            <v>12.2</v>
          </cell>
          <cell r="AG312">
            <v>49.3</v>
          </cell>
          <cell r="AS312">
            <v>101.56488400108132</v>
          </cell>
          <cell r="AT312">
            <v>101.99439253752536</v>
          </cell>
          <cell r="AV312" t="str">
            <v>D. Gomaz</v>
          </cell>
          <cell r="AW312">
            <v>0.24305555555555569</v>
          </cell>
        </row>
        <row r="313">
          <cell r="A313" t="str">
            <v>ST293</v>
          </cell>
          <cell r="P313">
            <v>61</v>
          </cell>
          <cell r="Q313">
            <v>14.022140221402216</v>
          </cell>
          <cell r="T313">
            <v>0.97222222222222221</v>
          </cell>
          <cell r="U313">
            <v>1.0791666666666666</v>
          </cell>
          <cell r="V313">
            <v>56</v>
          </cell>
          <cell r="AD313">
            <v>49.5</v>
          </cell>
          <cell r="AE313">
            <v>12</v>
          </cell>
          <cell r="AG313">
            <v>49.4</v>
          </cell>
          <cell r="AS313">
            <v>99.768359962874058</v>
          </cell>
          <cell r="AT313">
            <v>100.19054909802605</v>
          </cell>
          <cell r="AV313" t="str">
            <v>K. Benjamin</v>
          </cell>
          <cell r="AW313">
            <v>0.23888888888888882</v>
          </cell>
        </row>
        <row r="314">
          <cell r="A314" t="str">
            <v>ST294</v>
          </cell>
          <cell r="P314">
            <v>58</v>
          </cell>
          <cell r="Q314">
            <v>13.333333333333325</v>
          </cell>
          <cell r="T314">
            <v>1.0513888888888889</v>
          </cell>
          <cell r="U314">
            <v>1.1604166666666667</v>
          </cell>
          <cell r="V314">
            <v>59</v>
          </cell>
          <cell r="AD314">
            <v>50.1</v>
          </cell>
          <cell r="AE314">
            <v>11.8</v>
          </cell>
          <cell r="AG314">
            <v>50.5</v>
          </cell>
          <cell r="AS314">
            <v>100.20347494466111</v>
          </cell>
          <cell r="AT314">
            <v>100.6275053531178</v>
          </cell>
          <cell r="AV314" t="str">
            <v>K. Benjamin</v>
          </cell>
          <cell r="AW314">
            <v>0.24027777777777781</v>
          </cell>
        </row>
        <row r="315">
          <cell r="A315" t="str">
            <v>ST295</v>
          </cell>
          <cell r="P315">
            <v>60</v>
          </cell>
          <cell r="Q315">
            <v>14.205607476635517</v>
          </cell>
          <cell r="T315">
            <v>0.17777777777777778</v>
          </cell>
          <cell r="U315">
            <v>0.2951388888888889</v>
          </cell>
          <cell r="V315">
            <v>54</v>
          </cell>
          <cell r="AD315">
            <v>48.8</v>
          </cell>
          <cell r="AE315">
            <v>11.9</v>
          </cell>
          <cell r="AG315">
            <v>47.3</v>
          </cell>
          <cell r="AS315">
            <v>94.928429491720962</v>
          </cell>
          <cell r="AT315">
            <v>95.329873073515287</v>
          </cell>
          <cell r="AV315" t="str">
            <v>K. Benjamin</v>
          </cell>
          <cell r="AW315">
            <v>0.24652777777777779</v>
          </cell>
        </row>
        <row r="316">
          <cell r="A316" t="str">
            <v>ST296</v>
          </cell>
          <cell r="P316">
            <v>60</v>
          </cell>
          <cell r="Q316">
            <v>14.311926605504583</v>
          </cell>
          <cell r="T316">
            <v>0.26597222222222222</v>
          </cell>
          <cell r="U316">
            <v>0.37708333333333333</v>
          </cell>
          <cell r="V316">
            <v>57</v>
          </cell>
          <cell r="AD316">
            <v>50</v>
          </cell>
          <cell r="AE316">
            <v>11.9</v>
          </cell>
          <cell r="AG316">
            <v>49.6</v>
          </cell>
          <cell r="AS316">
            <v>99.544399636138706</v>
          </cell>
          <cell r="AT316">
            <v>99.965363730367002</v>
          </cell>
          <cell r="AV316" t="str">
            <v>R. Regis</v>
          </cell>
          <cell r="AW316">
            <v>0.24513888888888888</v>
          </cell>
        </row>
        <row r="317">
          <cell r="A317" t="str">
            <v>ST297</v>
          </cell>
          <cell r="P317">
            <v>60</v>
          </cell>
          <cell r="Q317">
            <v>13.94495412844037</v>
          </cell>
          <cell r="T317">
            <v>0.3527777777777778</v>
          </cell>
          <cell r="U317">
            <v>0.46597222222222223</v>
          </cell>
          <cell r="V317">
            <v>61</v>
          </cell>
          <cell r="AD317">
            <v>49.4</v>
          </cell>
          <cell r="AE317">
            <v>12</v>
          </cell>
          <cell r="AG317">
            <v>49.3</v>
          </cell>
          <cell r="AS317">
            <v>99.816505716242673</v>
          </cell>
          <cell r="AT317">
            <v>100.2386205220124</v>
          </cell>
          <cell r="AV317" t="str">
            <v>R. Regis</v>
          </cell>
          <cell r="AW317">
            <v>0.25069444444444444</v>
          </cell>
        </row>
        <row r="318">
          <cell r="A318" t="str">
            <v>ST298</v>
          </cell>
          <cell r="P318">
            <v>61</v>
          </cell>
          <cell r="Q318">
            <v>12.104283054003725</v>
          </cell>
          <cell r="T318">
            <v>0.4465277777777778</v>
          </cell>
          <cell r="U318">
            <v>0.55625000000000002</v>
          </cell>
          <cell r="V318">
            <v>56</v>
          </cell>
          <cell r="AD318">
            <v>50.5</v>
          </cell>
          <cell r="AE318">
            <v>11.7</v>
          </cell>
          <cell r="AG318">
            <v>50.4</v>
          </cell>
          <cell r="AS318">
            <v>99.237925273194392</v>
          </cell>
          <cell r="AT318">
            <v>99.657731716610868</v>
          </cell>
          <cell r="AV318" t="str">
            <v>R. Regis</v>
          </cell>
          <cell r="AW318">
            <v>0.25763888888888892</v>
          </cell>
        </row>
        <row r="319">
          <cell r="A319" t="str">
            <v>ST299</v>
          </cell>
          <cell r="P319">
            <v>60</v>
          </cell>
          <cell r="Q319">
            <v>12.921348314606739</v>
          </cell>
          <cell r="T319">
            <v>0.55138888888888893</v>
          </cell>
          <cell r="U319">
            <v>0.66388888888888886</v>
          </cell>
          <cell r="V319">
            <v>62</v>
          </cell>
          <cell r="AD319">
            <v>49.8</v>
          </cell>
          <cell r="AE319">
            <v>11.9</v>
          </cell>
          <cell r="AG319">
            <v>49.3</v>
          </cell>
          <cell r="AS319">
            <v>98.818203292397726</v>
          </cell>
          <cell r="AT319">
            <v>99.23623418486936</v>
          </cell>
          <cell r="AV319" t="str">
            <v>R. Regis</v>
          </cell>
          <cell r="AW319">
            <v>0.24374999999999997</v>
          </cell>
        </row>
        <row r="320">
          <cell r="A320" t="str">
            <v>ST300</v>
          </cell>
          <cell r="P320">
            <v>60</v>
          </cell>
          <cell r="Q320">
            <v>9.0211132437620005</v>
          </cell>
          <cell r="T320">
            <v>0.63541666666666663</v>
          </cell>
          <cell r="U320">
            <v>0.74930555555555556</v>
          </cell>
          <cell r="V320">
            <v>63</v>
          </cell>
          <cell r="AD320">
            <v>50.3</v>
          </cell>
          <cell r="AE320">
            <v>11.8</v>
          </cell>
          <cell r="AG320">
            <v>50.3</v>
          </cell>
          <cell r="AS320">
            <v>100.05733894116882</v>
          </cell>
          <cell r="AT320">
            <v>100.48047220845685</v>
          </cell>
          <cell r="AV320" t="str">
            <v>D. Gomaz</v>
          </cell>
          <cell r="AW320">
            <v>0.24583333333333335</v>
          </cell>
        </row>
        <row r="321">
          <cell r="A321" t="str">
            <v>ST301</v>
          </cell>
          <cell r="P321">
            <v>60</v>
          </cell>
          <cell r="Q321">
            <v>11.214953271028037</v>
          </cell>
          <cell r="T321">
            <v>0.71736111111111112</v>
          </cell>
          <cell r="U321">
            <v>0.82916666666666672</v>
          </cell>
          <cell r="V321">
            <v>63</v>
          </cell>
          <cell r="AD321">
            <v>49.6</v>
          </cell>
          <cell r="AE321">
            <v>11.7</v>
          </cell>
          <cell r="AG321">
            <v>49.6</v>
          </cell>
          <cell r="AS321">
            <v>97.785382132528241</v>
          </cell>
          <cell r="AT321">
            <v>98.198907503806325</v>
          </cell>
          <cell r="AV321" t="str">
            <v>D. Gomaz</v>
          </cell>
          <cell r="AW321">
            <v>0.23888888888888893</v>
          </cell>
        </row>
        <row r="322">
          <cell r="A322" t="str">
            <v>ST302</v>
          </cell>
          <cell r="P322">
            <v>63</v>
          </cell>
          <cell r="Q322">
            <v>10.694183864915564</v>
          </cell>
          <cell r="T322">
            <v>0.79861111111111116</v>
          </cell>
          <cell r="U322">
            <v>0.91180555555555554</v>
          </cell>
          <cell r="V322">
            <v>64</v>
          </cell>
          <cell r="AD322">
            <v>50.5</v>
          </cell>
          <cell r="AE322">
            <v>11.7</v>
          </cell>
          <cell r="AG322">
            <v>50.8</v>
          </cell>
          <cell r="AS322">
            <v>100.40336592166086</v>
          </cell>
          <cell r="AT322">
            <v>100.82768139566632</v>
          </cell>
          <cell r="AV322" t="str">
            <v>D. Gomaz</v>
          </cell>
          <cell r="AW322">
            <v>0.23819444444444438</v>
          </cell>
        </row>
      </sheetData>
      <sheetData sheetId="7">
        <row r="4">
          <cell r="D4">
            <v>12.04</v>
          </cell>
        </row>
        <row r="262">
          <cell r="D262">
            <v>11.9</v>
          </cell>
        </row>
        <row r="263">
          <cell r="D263">
            <v>11.9</v>
          </cell>
        </row>
        <row r="264">
          <cell r="D264">
            <v>12</v>
          </cell>
        </row>
        <row r="265">
          <cell r="D265">
            <v>12</v>
          </cell>
        </row>
        <row r="266">
          <cell r="D266">
            <v>12.1</v>
          </cell>
        </row>
        <row r="267">
          <cell r="D267">
            <v>11.8</v>
          </cell>
        </row>
        <row r="268">
          <cell r="D268">
            <v>12.1</v>
          </cell>
        </row>
        <row r="269">
          <cell r="D269">
            <v>11.8</v>
          </cell>
        </row>
        <row r="270">
          <cell r="D270">
            <v>12.2</v>
          </cell>
        </row>
        <row r="271">
          <cell r="D271">
            <v>12</v>
          </cell>
        </row>
        <row r="272">
          <cell r="D272">
            <v>11.8</v>
          </cell>
        </row>
        <row r="273">
          <cell r="D273">
            <v>11.8</v>
          </cell>
        </row>
        <row r="275">
          <cell r="D275">
            <v>12</v>
          </cell>
        </row>
        <row r="276">
          <cell r="D276">
            <v>11.9</v>
          </cell>
        </row>
        <row r="277">
          <cell r="D277">
            <v>11.9</v>
          </cell>
        </row>
        <row r="278">
          <cell r="D278">
            <v>11.9</v>
          </cell>
        </row>
        <row r="279">
          <cell r="D279">
            <v>12.3</v>
          </cell>
        </row>
        <row r="280">
          <cell r="D280">
            <v>11.7</v>
          </cell>
        </row>
        <row r="281">
          <cell r="D281">
            <v>11.6</v>
          </cell>
        </row>
        <row r="282">
          <cell r="D282">
            <v>11.7</v>
          </cell>
        </row>
        <row r="283">
          <cell r="D283">
            <v>11.9</v>
          </cell>
        </row>
        <row r="284">
          <cell r="D284">
            <v>11.9</v>
          </cell>
        </row>
        <row r="285">
          <cell r="D285">
            <v>11.8</v>
          </cell>
        </row>
        <row r="286">
          <cell r="D286">
            <v>11.8</v>
          </cell>
        </row>
        <row r="287">
          <cell r="D287">
            <v>12</v>
          </cell>
        </row>
        <row r="288">
          <cell r="D288">
            <v>11.8</v>
          </cell>
        </row>
        <row r="289">
          <cell r="D289">
            <v>11.8</v>
          </cell>
        </row>
        <row r="290">
          <cell r="D290">
            <v>11.8</v>
          </cell>
        </row>
        <row r="291">
          <cell r="D291">
            <v>11.9</v>
          </cell>
        </row>
        <row r="292">
          <cell r="D292">
            <v>11.8</v>
          </cell>
        </row>
        <row r="293">
          <cell r="D293">
            <v>11.9</v>
          </cell>
        </row>
        <row r="294">
          <cell r="D294">
            <v>11.8</v>
          </cell>
        </row>
        <row r="295">
          <cell r="D295">
            <v>11.7</v>
          </cell>
        </row>
        <row r="296">
          <cell r="D296">
            <v>11.6</v>
          </cell>
        </row>
        <row r="297">
          <cell r="D297">
            <v>11.9</v>
          </cell>
        </row>
        <row r="298">
          <cell r="D298">
            <v>11.9</v>
          </cell>
        </row>
        <row r="299">
          <cell r="D299">
            <v>11.8</v>
          </cell>
        </row>
        <row r="300">
          <cell r="D300">
            <v>11.9</v>
          </cell>
        </row>
        <row r="301">
          <cell r="D301">
            <v>11.8</v>
          </cell>
        </row>
        <row r="302">
          <cell r="D302">
            <v>11.6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  <row r="64">
          <cell r="A64" t="str">
            <v>GU056</v>
          </cell>
          <cell r="O64">
            <v>58</v>
          </cell>
          <cell r="R64">
            <v>12.88495575221239</v>
          </cell>
          <cell r="T64">
            <v>0.89722222222222225</v>
          </cell>
          <cell r="U64">
            <v>1.0125</v>
          </cell>
          <cell r="V64">
            <v>63</v>
          </cell>
          <cell r="Z64">
            <v>0.26249999999999996</v>
          </cell>
          <cell r="AF64">
            <v>52.9</v>
          </cell>
          <cell r="AG64">
            <v>17.5</v>
          </cell>
          <cell r="AI64">
            <v>50.1</v>
          </cell>
          <cell r="AU64">
            <v>95.602395026170299</v>
          </cell>
          <cell r="AV64">
            <v>96.229011158137752</v>
          </cell>
          <cell r="AW64" t="str">
            <v>R. Regis</v>
          </cell>
        </row>
        <row r="65">
          <cell r="A65" t="str">
            <v>GU057</v>
          </cell>
          <cell r="O65">
            <v>62</v>
          </cell>
          <cell r="R65">
            <v>9.8936170212765937</v>
          </cell>
          <cell r="T65">
            <v>1</v>
          </cell>
          <cell r="U65">
            <v>1.1152777777777778</v>
          </cell>
          <cell r="V65">
            <v>66</v>
          </cell>
          <cell r="Z65">
            <v>0.25069444444444444</v>
          </cell>
          <cell r="AF65">
            <v>54.3</v>
          </cell>
          <cell r="AG65">
            <v>17.3</v>
          </cell>
          <cell r="AI65">
            <v>51.8</v>
          </cell>
          <cell r="AU65">
            <v>97.762581464269644</v>
          </cell>
          <cell r="AV65">
            <v>98.403244852903427</v>
          </cell>
          <cell r="AW65" t="str">
            <v>D. Gomaz</v>
          </cell>
        </row>
        <row r="66">
          <cell r="A66" t="str">
            <v>GU058</v>
          </cell>
          <cell r="O66">
            <v>59</v>
          </cell>
          <cell r="R66">
            <v>9.2794376098418176</v>
          </cell>
          <cell r="T66">
            <v>1.0951388888888889</v>
          </cell>
          <cell r="U66">
            <v>1.2138888888888888</v>
          </cell>
          <cell r="V66">
            <v>63</v>
          </cell>
          <cell r="Z66">
            <v>0.25208333333333321</v>
          </cell>
          <cell r="AF66">
            <v>54.8</v>
          </cell>
          <cell r="AG66">
            <v>17.100000000000001</v>
          </cell>
          <cell r="AI66">
            <v>52.4</v>
          </cell>
          <cell r="AU66">
            <v>97.743357577875017</v>
          </cell>
          <cell r="AV66">
            <v>98.383783367160788</v>
          </cell>
          <cell r="AW66" t="str">
            <v>D. Gomaz</v>
          </cell>
        </row>
        <row r="67">
          <cell r="A67" t="str">
            <v>GU059</v>
          </cell>
          <cell r="O67">
            <v>60</v>
          </cell>
          <cell r="R67">
            <v>11.388400702987694</v>
          </cell>
          <cell r="T67">
            <v>0.24583333333333332</v>
          </cell>
          <cell r="U67">
            <v>0.36041666666666666</v>
          </cell>
          <cell r="V67">
            <v>60</v>
          </cell>
          <cell r="Z67">
            <v>0.26666666666666666</v>
          </cell>
          <cell r="AF67">
            <v>54.1</v>
          </cell>
          <cell r="AG67">
            <v>17.399999999999999</v>
          </cell>
          <cell r="AI67">
            <v>51.6</v>
          </cell>
          <cell r="AU67">
            <v>98.042300648720754</v>
          </cell>
          <cell r="AV67">
            <v>98.684685147599097</v>
          </cell>
          <cell r="AW67" t="str">
            <v>D. Gomaz</v>
          </cell>
        </row>
        <row r="68">
          <cell r="A68" t="str">
            <v>GU060</v>
          </cell>
          <cell r="O68">
            <v>60</v>
          </cell>
          <cell r="R68">
            <v>10.399999999999993</v>
          </cell>
          <cell r="T68">
            <v>0.3347222222222222</v>
          </cell>
          <cell r="U68">
            <v>0.45208333333333334</v>
          </cell>
          <cell r="V68">
            <v>60</v>
          </cell>
          <cell r="Z68">
            <v>0.26458333333333334</v>
          </cell>
          <cell r="AF68">
            <v>55</v>
          </cell>
          <cell r="AG68">
            <v>17.2</v>
          </cell>
          <cell r="AI68">
            <v>52.5</v>
          </cell>
          <cell r="AU68">
            <v>98.519506903206036</v>
          </cell>
          <cell r="AV68">
            <v>99.165018112683995</v>
          </cell>
          <cell r="AW68" t="str">
            <v>K. Benjamin</v>
          </cell>
        </row>
        <row r="69">
          <cell r="A69" t="str">
            <v>GU061</v>
          </cell>
          <cell r="O69">
            <v>58</v>
          </cell>
          <cell r="R69">
            <v>9.0877192982456148</v>
          </cell>
          <cell r="T69">
            <v>0.43611111111111112</v>
          </cell>
          <cell r="U69">
            <v>0.54861111111111116</v>
          </cell>
          <cell r="V69">
            <v>58</v>
          </cell>
          <cell r="Z69">
            <v>0.26944444444444449</v>
          </cell>
          <cell r="AF69">
            <v>54.4</v>
          </cell>
          <cell r="AG69">
            <v>17.2</v>
          </cell>
          <cell r="AI69">
            <v>52.2</v>
          </cell>
          <cell r="AU69">
            <v>97.87847240921738</v>
          </cell>
          <cell r="AV69">
            <v>98.519895261077181</v>
          </cell>
          <cell r="AW69" t="str">
            <v>K. Benjamin</v>
          </cell>
        </row>
        <row r="70">
          <cell r="A70" t="str">
            <v>GU062</v>
          </cell>
          <cell r="O70">
            <v>59</v>
          </cell>
          <cell r="R70">
            <v>5.7818181818181813</v>
          </cell>
          <cell r="T70">
            <v>0.52847222222222223</v>
          </cell>
          <cell r="U70">
            <v>0.64444444444444449</v>
          </cell>
          <cell r="V70">
            <v>65</v>
          </cell>
          <cell r="Z70">
            <v>0.26597222222222228</v>
          </cell>
          <cell r="AF70">
            <v>53.8</v>
          </cell>
          <cell r="AG70">
            <v>17.2</v>
          </cell>
          <cell r="AI70">
            <v>51</v>
          </cell>
          <cell r="AU70">
            <v>95.781056875880395</v>
          </cell>
          <cell r="AV70">
            <v>96.408515890157361</v>
          </cell>
          <cell r="AW70" t="str">
            <v>K. Benjamin</v>
          </cell>
        </row>
        <row r="71">
          <cell r="A71" t="str">
            <v>GU063</v>
          </cell>
          <cell r="O71">
            <v>59</v>
          </cell>
          <cell r="R71">
            <v>9.7212543554006938</v>
          </cell>
          <cell r="T71">
            <v>0.62777777777777777</v>
          </cell>
          <cell r="U71">
            <v>0.7416666666666667</v>
          </cell>
          <cell r="V71">
            <v>63</v>
          </cell>
          <cell r="Z71">
            <v>0.26250000000000001</v>
          </cell>
          <cell r="AF71">
            <v>53.8</v>
          </cell>
          <cell r="AG71">
            <v>17.3</v>
          </cell>
          <cell r="AI71">
            <v>51.2</v>
          </cell>
          <cell r="AU71">
            <v>96.861776608600863</v>
          </cell>
          <cell r="AV71">
            <v>97.496204420884695</v>
          </cell>
          <cell r="AW71" t="str">
            <v>R. Regis</v>
          </cell>
        </row>
        <row r="72">
          <cell r="A72" t="str">
            <v>GU064</v>
          </cell>
          <cell r="O72">
            <v>79</v>
          </cell>
          <cell r="R72">
            <v>13.859348198970839</v>
          </cell>
          <cell r="T72">
            <v>0.30555555555555558</v>
          </cell>
          <cell r="U72">
            <v>0.4597222222222222</v>
          </cell>
          <cell r="V72">
            <v>61</v>
          </cell>
          <cell r="Z72">
            <v>0.29305555555555551</v>
          </cell>
          <cell r="AF72">
            <v>51.9</v>
          </cell>
          <cell r="AG72">
            <v>17.3</v>
          </cell>
          <cell r="AI72">
            <v>49.4</v>
          </cell>
          <cell r="AU72">
            <v>93.381881284929378</v>
          </cell>
          <cell r="AV72">
            <v>93.993623367273486</v>
          </cell>
          <cell r="AW72" t="str">
            <v>R. Regis</v>
          </cell>
        </row>
        <row r="73">
          <cell r="A73" t="str">
            <v>GU065</v>
          </cell>
          <cell r="O73">
            <v>58</v>
          </cell>
          <cell r="R73">
            <v>11.949910554561717</v>
          </cell>
          <cell r="T73">
            <v>0.44722222222222224</v>
          </cell>
          <cell r="U73">
            <v>0.55902777777777779</v>
          </cell>
          <cell r="V73">
            <v>60</v>
          </cell>
          <cell r="Z73">
            <v>0.24652777777777779</v>
          </cell>
          <cell r="AF73">
            <v>52.9</v>
          </cell>
          <cell r="AG73">
            <v>17.3</v>
          </cell>
          <cell r="AI73">
            <v>50.6</v>
          </cell>
          <cell r="AU73">
            <v>95.573978353377044</v>
          </cell>
          <cell r="AV73">
            <v>96.200190118952804</v>
          </cell>
          <cell r="AW73" t="str">
            <v>R. Regis</v>
          </cell>
        </row>
        <row r="74">
          <cell r="A74" t="str">
            <v>GU066</v>
          </cell>
          <cell r="O74">
            <v>59</v>
          </cell>
          <cell r="R74">
            <v>12.862190812720851</v>
          </cell>
          <cell r="T74">
            <v>0.55069444444444449</v>
          </cell>
          <cell r="U74">
            <v>0.67013888888888884</v>
          </cell>
          <cell r="V74">
            <v>63</v>
          </cell>
          <cell r="Z74">
            <v>0.26041666666666663</v>
          </cell>
          <cell r="AF74">
            <v>53.3</v>
          </cell>
          <cell r="AG74">
            <v>17.3</v>
          </cell>
          <cell r="AI74">
            <v>51</v>
          </cell>
          <cell r="AU74">
            <v>96.329503873957094</v>
          </cell>
          <cell r="AV74">
            <v>96.960665930169824</v>
          </cell>
          <cell r="AW74" t="str">
            <v>R. Regis</v>
          </cell>
        </row>
        <row r="75">
          <cell r="A75" t="str">
            <v>GU067</v>
          </cell>
          <cell r="O75">
            <v>56</v>
          </cell>
          <cell r="R75">
            <v>10.072202166064979</v>
          </cell>
          <cell r="T75">
            <v>0.65138888888888891</v>
          </cell>
          <cell r="U75">
            <v>0.76597222222222228</v>
          </cell>
          <cell r="V75">
            <v>65</v>
          </cell>
          <cell r="Z75">
            <v>0.25208333333333344</v>
          </cell>
          <cell r="AF75">
            <v>54.1</v>
          </cell>
          <cell r="AG75">
            <v>17.2</v>
          </cell>
          <cell r="AI75">
            <v>51.9</v>
          </cell>
          <cell r="AU75">
            <v>97.549176167683427</v>
          </cell>
          <cell r="AV75">
            <v>98.188106327680686</v>
          </cell>
          <cell r="AW75" t="str">
            <v>D. Gomaz</v>
          </cell>
        </row>
        <row r="76">
          <cell r="A76" t="str">
            <v>GU068</v>
          </cell>
          <cell r="O76">
            <v>60</v>
          </cell>
          <cell r="R76">
            <v>9.3211009174311901</v>
          </cell>
          <cell r="T76">
            <v>0.74930555555555556</v>
          </cell>
          <cell r="U76">
            <v>0.86875000000000002</v>
          </cell>
          <cell r="V76">
            <v>64</v>
          </cell>
          <cell r="Z76">
            <v>0.25763888888888886</v>
          </cell>
          <cell r="AF76">
            <v>53.7</v>
          </cell>
          <cell r="AG76">
            <v>17.3</v>
          </cell>
          <cell r="AI76">
            <v>51.4</v>
          </cell>
          <cell r="AU76">
            <v>97.240142923478217</v>
          </cell>
          <cell r="AV76">
            <v>97.877048969403759</v>
          </cell>
          <cell r="AW76" t="str">
            <v>D. Gomaz</v>
          </cell>
        </row>
        <row r="77">
          <cell r="A77" t="str">
            <v>GU069</v>
          </cell>
          <cell r="O77">
            <v>59</v>
          </cell>
          <cell r="R77">
            <v>12.597864768683269</v>
          </cell>
          <cell r="T77">
            <v>0.85833333333333328</v>
          </cell>
          <cell r="U77">
            <v>0.96944444444444444</v>
          </cell>
          <cell r="V77">
            <v>61</v>
          </cell>
          <cell r="Z77">
            <v>0.25069444444444444</v>
          </cell>
          <cell r="AF77">
            <v>51.6</v>
          </cell>
          <cell r="AG77">
            <v>17</v>
          </cell>
          <cell r="AI77">
            <v>49.5</v>
          </cell>
          <cell r="AU77">
            <v>91.800652908866041</v>
          </cell>
          <cell r="AV77">
            <v>92.402036408515883</v>
          </cell>
          <cell r="AW77" t="str">
            <v>D. Gomaz</v>
          </cell>
        </row>
        <row r="78">
          <cell r="A78" t="str">
            <v>GU070</v>
          </cell>
          <cell r="O78">
            <v>59</v>
          </cell>
          <cell r="R78">
            <v>10.666666666666663</v>
          </cell>
          <cell r="T78">
            <v>0.96388888888888891</v>
          </cell>
          <cell r="U78">
            <v>1.0826388888888889</v>
          </cell>
          <cell r="V78">
            <v>61</v>
          </cell>
          <cell r="Z78">
            <v>0.25208333333333333</v>
          </cell>
          <cell r="AF78">
            <v>56.2</v>
          </cell>
          <cell r="AG78">
            <v>17.399999999999999</v>
          </cell>
          <cell r="AI78">
            <v>53.5</v>
          </cell>
          <cell r="AU78">
            <v>96.204501549542428</v>
          </cell>
          <cell r="AV78">
            <v>96.842233245793224</v>
          </cell>
          <cell r="AW78" t="str">
            <v>K. Benjamin</v>
          </cell>
        </row>
        <row r="79">
          <cell r="A79" t="str">
            <v>GU071</v>
          </cell>
          <cell r="O79">
            <v>59</v>
          </cell>
          <cell r="R79">
            <v>11.192982456140344</v>
          </cell>
          <cell r="T79">
            <v>1.0708333333333333</v>
          </cell>
          <cell r="U79">
            <v>1.1812499999999999</v>
          </cell>
          <cell r="V79">
            <v>61</v>
          </cell>
          <cell r="Z79">
            <v>0.24374999999999991</v>
          </cell>
          <cell r="AF79">
            <v>53.7</v>
          </cell>
          <cell r="AG79">
            <v>17.3</v>
          </cell>
          <cell r="AI79">
            <v>51.3</v>
          </cell>
          <cell r="AU79">
            <v>97.206266997269381</v>
          </cell>
          <cell r="AV79">
            <v>97.842727905358402</v>
          </cell>
          <cell r="AW79" t="str">
            <v>K. Benjamin</v>
          </cell>
        </row>
      </sheetData>
      <sheetData sheetId="2">
        <row r="5">
          <cell r="D5">
            <v>17.399999999999999</v>
          </cell>
        </row>
        <row r="76">
          <cell r="D76">
            <v>17.600000000000001</v>
          </cell>
        </row>
        <row r="77">
          <cell r="D77">
            <v>17.399999999999999</v>
          </cell>
        </row>
        <row r="78">
          <cell r="D78">
            <v>17.3</v>
          </cell>
        </row>
        <row r="79">
          <cell r="D79">
            <v>17.5</v>
          </cell>
        </row>
        <row r="80">
          <cell r="D80">
            <v>17.399999999999999</v>
          </cell>
        </row>
        <row r="81">
          <cell r="D81">
            <v>17.399999999999999</v>
          </cell>
        </row>
        <row r="82">
          <cell r="D82">
            <v>17.399999999999999</v>
          </cell>
        </row>
        <row r="83">
          <cell r="D83">
            <v>17.399999999999999</v>
          </cell>
        </row>
      </sheetData>
      <sheetData sheetId="3">
        <row r="19">
          <cell r="E19">
            <v>5641</v>
          </cell>
        </row>
      </sheetData>
      <sheetData sheetId="4">
        <row r="19">
          <cell r="E19">
            <v>10995</v>
          </cell>
        </row>
      </sheetData>
      <sheetData sheetId="5">
        <row r="19">
          <cell r="E19">
            <v>494</v>
          </cell>
        </row>
      </sheetData>
      <sheetData sheetId="6"/>
      <sheetData sheetId="7">
        <row r="19">
          <cell r="E19">
            <v>9596</v>
          </cell>
        </row>
      </sheetData>
      <sheetData sheetId="8">
        <row r="19">
          <cell r="E19">
            <v>8752</v>
          </cell>
        </row>
      </sheetData>
      <sheetData sheetId="9">
        <row r="19">
          <cell r="E19">
            <v>9510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uly '25"/>
    </sheetNames>
    <sheetDataSet>
      <sheetData sheetId="0" refreshError="1"/>
      <sheetData sheetId="1"/>
      <sheetData sheetId="2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V48">
            <v>90.887781982231019</v>
          </cell>
        </row>
        <row r="49">
          <cell r="AV49">
            <v>90.537381275166723</v>
          </cell>
        </row>
        <row r="50">
          <cell r="AV50">
            <v>92.190532473722058</v>
          </cell>
        </row>
        <row r="51">
          <cell r="AV51">
            <v>100.48690648550411</v>
          </cell>
        </row>
        <row r="52">
          <cell r="AV52">
            <v>101.16555777179596</v>
          </cell>
        </row>
        <row r="53">
          <cell r="AV53">
            <v>101.81357333538921</v>
          </cell>
        </row>
        <row r="55">
          <cell r="A55" t="str">
            <v>VM045</v>
          </cell>
          <cell r="R55">
            <v>60</v>
          </cell>
          <cell r="S55">
            <v>10.268199233716475</v>
          </cell>
          <cell r="V55">
            <v>0.62638888888888888</v>
          </cell>
          <cell r="W55">
            <v>0.75972222222222219</v>
          </cell>
          <cell r="X55">
            <v>81</v>
          </cell>
          <cell r="AB55">
            <v>0.2805555555555555</v>
          </cell>
          <cell r="AE55">
            <v>52.2</v>
          </cell>
          <cell r="AH55">
            <v>14.5</v>
          </cell>
          <cell r="AJ55">
            <v>46.9</v>
          </cell>
          <cell r="AV55">
            <v>96.86423362208302</v>
          </cell>
          <cell r="AW55">
            <v>97.017148382158013</v>
          </cell>
          <cell r="AZ55" t="str">
            <v>K. Benjamin</v>
          </cell>
        </row>
        <row r="56">
          <cell r="A56" t="str">
            <v>VM046</v>
          </cell>
          <cell r="R56">
            <v>59</v>
          </cell>
          <cell r="S56">
            <v>9.6934865900383187</v>
          </cell>
          <cell r="V56">
            <v>0.7104166666666667</v>
          </cell>
          <cell r="W56">
            <v>0.84375</v>
          </cell>
          <cell r="X56">
            <v>77</v>
          </cell>
          <cell r="AB56">
            <v>0.26041666666666663</v>
          </cell>
          <cell r="AE56">
            <v>52.2</v>
          </cell>
          <cell r="AH56">
            <v>14.3</v>
          </cell>
          <cell r="AJ56">
            <v>48.6</v>
          </cell>
          <cell r="AV56">
            <v>98.765400463350318</v>
          </cell>
          <cell r="AW56">
            <v>98.921977710357453</v>
          </cell>
          <cell r="AZ56" t="str">
            <v>K. Benjamin</v>
          </cell>
        </row>
        <row r="57">
          <cell r="A57" t="str">
            <v>VM047</v>
          </cell>
          <cell r="R57">
            <v>61</v>
          </cell>
          <cell r="S57">
            <v>9.4476190476190354</v>
          </cell>
          <cell r="V57">
            <v>0.79722222222222228</v>
          </cell>
          <cell r="W57">
            <v>0.93611111111111112</v>
          </cell>
          <cell r="X57">
            <v>88</v>
          </cell>
          <cell r="AB57">
            <v>0.26944444444444449</v>
          </cell>
          <cell r="AE57">
            <v>52.5</v>
          </cell>
          <cell r="AH57">
            <v>14.2</v>
          </cell>
          <cell r="AJ57">
            <v>49.1</v>
          </cell>
          <cell r="AV57">
            <v>99.054620267666863</v>
          </cell>
          <cell r="AW57">
            <v>99.21165602788335</v>
          </cell>
          <cell r="AZ57" t="str">
            <v>K. Benjamin</v>
          </cell>
        </row>
        <row r="58">
          <cell r="A58" t="str">
            <v>VM048</v>
          </cell>
          <cell r="R58">
            <v>61</v>
          </cell>
          <cell r="S58">
            <v>10.540540540540528</v>
          </cell>
          <cell r="V58">
            <v>0.88055555555555554</v>
          </cell>
          <cell r="W58">
            <v>1.0263888888888888</v>
          </cell>
          <cell r="X58">
            <v>88</v>
          </cell>
          <cell r="AB58">
            <v>0.2763888888888888</v>
          </cell>
          <cell r="AE58">
            <v>51.8</v>
          </cell>
          <cell r="AH58">
            <v>14.2</v>
          </cell>
          <cell r="AJ58">
            <v>49.3</v>
          </cell>
          <cell r="AV58">
            <v>99.45810140928667</v>
          </cell>
          <cell r="AW58">
            <v>99.615776826367593</v>
          </cell>
          <cell r="AZ58" t="str">
            <v>K. Benjamin</v>
          </cell>
        </row>
        <row r="59">
          <cell r="A59" t="str">
            <v>VM049</v>
          </cell>
          <cell r="R59">
            <v>61</v>
          </cell>
          <cell r="S59">
            <v>10.692307692307697</v>
          </cell>
          <cell r="V59">
            <v>0.97222222222222221</v>
          </cell>
          <cell r="W59">
            <v>1.1194444444444445</v>
          </cell>
          <cell r="X59">
            <v>85</v>
          </cell>
          <cell r="AB59">
            <v>0.28611111111111109</v>
          </cell>
          <cell r="AE59">
            <v>52</v>
          </cell>
          <cell r="AH59">
            <v>14.4</v>
          </cell>
          <cell r="AJ59">
            <v>48.6</v>
          </cell>
          <cell r="AV59">
            <v>99.445738552634495</v>
          </cell>
          <cell r="AW59">
            <v>99.6040587446073</v>
          </cell>
          <cell r="AZ59" t="str">
            <v>R.Regis</v>
          </cell>
        </row>
        <row r="60">
          <cell r="A60" t="str">
            <v>VM050</v>
          </cell>
          <cell r="R60">
            <v>61</v>
          </cell>
          <cell r="S60">
            <v>10.780952380952375</v>
          </cell>
          <cell r="V60">
            <v>1.0680555555555555</v>
          </cell>
          <cell r="W60">
            <v>1.2083333333333333</v>
          </cell>
          <cell r="X60">
            <v>85</v>
          </cell>
          <cell r="AB60">
            <v>0.29166666666666663</v>
          </cell>
          <cell r="AE60">
            <v>52.5</v>
          </cell>
          <cell r="AH60">
            <v>14.3</v>
          </cell>
          <cell r="AJ60">
            <v>49.2</v>
          </cell>
          <cell r="AV60">
            <v>99.984726394996613</v>
          </cell>
          <cell r="AW60">
            <v>100.14323669443594</v>
          </cell>
          <cell r="AZ60" t="str">
            <v>R.Regis</v>
          </cell>
        </row>
        <row r="61">
          <cell r="A61" t="str">
            <v>VM051</v>
          </cell>
          <cell r="R61">
            <v>61</v>
          </cell>
          <cell r="S61">
            <v>10.801526717557259</v>
          </cell>
          <cell r="V61">
            <v>1.1611111111111112</v>
          </cell>
          <cell r="W61">
            <v>1.3062499999999999</v>
          </cell>
          <cell r="X61">
            <v>89</v>
          </cell>
          <cell r="AB61">
            <v>0.28888888888888875</v>
          </cell>
          <cell r="AE61">
            <v>52.4</v>
          </cell>
          <cell r="AH61">
            <v>14</v>
          </cell>
          <cell r="AJ61">
            <v>50.2</v>
          </cell>
          <cell r="AV61">
            <v>99.787427077580119</v>
          </cell>
          <cell r="AW61">
            <v>99.945624589506693</v>
          </cell>
          <cell r="AZ61" t="str">
            <v>R.Regis</v>
          </cell>
        </row>
        <row r="62">
          <cell r="A62" t="str">
            <v>VM052</v>
          </cell>
          <cell r="R62">
            <v>60</v>
          </cell>
          <cell r="S62">
            <v>11.564885496183198</v>
          </cell>
          <cell r="V62">
            <v>0.25208333333333333</v>
          </cell>
          <cell r="W62">
            <v>0.39374999999999999</v>
          </cell>
          <cell r="X62">
            <v>85</v>
          </cell>
          <cell r="AB62">
            <v>0.28263888888888888</v>
          </cell>
          <cell r="AE62">
            <v>52.4</v>
          </cell>
          <cell r="AH62">
            <v>14.5</v>
          </cell>
          <cell r="AJ62">
            <v>50.2</v>
          </cell>
          <cell r="AV62">
            <v>103.57083663502391</v>
          </cell>
          <cell r="AW62">
            <v>103.73503215688133</v>
          </cell>
          <cell r="AZ62" t="str">
            <v>R.Sookram</v>
          </cell>
        </row>
      </sheetData>
      <sheetData sheetId="4">
        <row r="5">
          <cell r="D5">
            <v>14.8</v>
          </cell>
        </row>
        <row r="55">
          <cell r="D55">
            <v>14.5</v>
          </cell>
        </row>
        <row r="56">
          <cell r="D56">
            <v>14.3</v>
          </cell>
        </row>
        <row r="57">
          <cell r="D57">
            <v>14.2</v>
          </cell>
        </row>
        <row r="58">
          <cell r="D58">
            <v>14.2</v>
          </cell>
        </row>
        <row r="59">
          <cell r="D59">
            <v>14.4</v>
          </cell>
        </row>
        <row r="60">
          <cell r="D60">
            <v>14.3</v>
          </cell>
        </row>
        <row r="61">
          <cell r="D61">
            <v>14</v>
          </cell>
        </row>
        <row r="62">
          <cell r="D62">
            <v>14.5</v>
          </cell>
        </row>
      </sheetData>
      <sheetData sheetId="5"/>
      <sheetData sheetId="6">
        <row r="20">
          <cell r="E20">
            <v>7611</v>
          </cell>
        </row>
      </sheetData>
      <sheetData sheetId="7">
        <row r="20">
          <cell r="E20">
            <v>4053</v>
          </cell>
        </row>
      </sheetData>
      <sheetData sheetId="8">
        <row r="20">
          <cell r="E20">
            <v>5488</v>
          </cell>
        </row>
      </sheetData>
      <sheetData sheetId="9">
        <row r="20">
          <cell r="E20">
            <v>2568</v>
          </cell>
        </row>
      </sheetData>
      <sheetData sheetId="10">
        <row r="20">
          <cell r="E20">
            <v>5524</v>
          </cell>
        </row>
      </sheetData>
      <sheetData sheetId="11"/>
      <sheetData sheetId="12"/>
      <sheetData sheetId="13">
        <row r="20">
          <cell r="E20">
            <v>5478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T18">
            <v>93.502897385814322</v>
          </cell>
        </row>
        <row r="19">
          <cell r="AT19">
            <v>95.829405051357114</v>
          </cell>
        </row>
        <row r="20">
          <cell r="AT20">
            <v>94.712550055902142</v>
          </cell>
        </row>
        <row r="21">
          <cell r="AT21">
            <v>96.201558080682787</v>
          </cell>
        </row>
        <row r="23">
          <cell r="A23" t="str">
            <v>MK017</v>
          </cell>
          <cell r="R23">
            <v>88</v>
          </cell>
          <cell r="S23">
            <v>10.76901408450704</v>
          </cell>
          <cell r="V23">
            <v>1.0687500000000001</v>
          </cell>
          <cell r="W23">
            <v>1.1930555555555555</v>
          </cell>
          <cell r="X23">
            <v>53</v>
          </cell>
          <cell r="AA23">
            <v>0.27638888888888891</v>
          </cell>
          <cell r="AF23">
            <v>51</v>
          </cell>
          <cell r="AG23">
            <v>13.3</v>
          </cell>
          <cell r="AI23">
            <v>48.2</v>
          </cell>
          <cell r="AT23">
            <v>91.577633120758847</v>
          </cell>
          <cell r="AU23">
            <v>91.98776948641283</v>
          </cell>
          <cell r="AX23" t="str">
            <v>D. Gomez</v>
          </cell>
        </row>
        <row r="24">
          <cell r="A24" t="str">
            <v>MK018</v>
          </cell>
          <cell r="R24">
            <v>74</v>
          </cell>
          <cell r="S24">
            <v>11.723389830508477</v>
          </cell>
          <cell r="V24">
            <v>1.2138888888888888</v>
          </cell>
          <cell r="W24">
            <v>1.33125</v>
          </cell>
          <cell r="X24">
            <v>48</v>
          </cell>
          <cell r="AA24">
            <v>0.3173611111111112</v>
          </cell>
          <cell r="AF24">
            <v>52.4</v>
          </cell>
          <cell r="AG24">
            <v>13.3</v>
          </cell>
          <cell r="AI24">
            <v>50</v>
          </cell>
          <cell r="AT24">
            <v>94.696938929233326</v>
          </cell>
          <cell r="AU24">
            <v>95.12130379963034</v>
          </cell>
          <cell r="AX24" t="str">
            <v>D. Gomez</v>
          </cell>
        </row>
        <row r="25">
          <cell r="A25" t="str">
            <v>MK019</v>
          </cell>
          <cell r="R25">
            <v>74</v>
          </cell>
          <cell r="S25">
            <v>10.166323024054986</v>
          </cell>
          <cell r="V25">
            <v>1.3166666666666667</v>
          </cell>
          <cell r="W25">
            <v>1.4375</v>
          </cell>
          <cell r="X25">
            <v>49</v>
          </cell>
          <cell r="AA25">
            <v>0.31944444444444442</v>
          </cell>
          <cell r="AF25">
            <v>52.6</v>
          </cell>
          <cell r="AG25">
            <v>13.5</v>
          </cell>
          <cell r="AI25">
            <v>49.9</v>
          </cell>
          <cell r="AT25">
            <v>95.993725173698138</v>
          </cell>
          <cell r="AU25">
            <v>96.423901325143802</v>
          </cell>
          <cell r="AX25" t="str">
            <v>K.Benjamin</v>
          </cell>
        </row>
        <row r="26">
          <cell r="A26" t="str">
            <v>MK020</v>
          </cell>
          <cell r="R26">
            <v>75</v>
          </cell>
          <cell r="S26">
            <v>12.086524822695036</v>
          </cell>
          <cell r="V26">
            <v>0.4375</v>
          </cell>
          <cell r="W26">
            <v>0.55625000000000002</v>
          </cell>
          <cell r="X26">
            <v>46</v>
          </cell>
          <cell r="AA26">
            <v>0.30277777777777781</v>
          </cell>
          <cell r="AF26">
            <v>49.9</v>
          </cell>
          <cell r="AG26">
            <v>13.4</v>
          </cell>
          <cell r="AI26">
            <v>47.9</v>
          </cell>
          <cell r="AT26">
            <v>91.626266310300238</v>
          </cell>
          <cell r="AU26">
            <v>92.03670402879807</v>
          </cell>
          <cell r="AX26" t="str">
            <v>K.Benjamin</v>
          </cell>
        </row>
      </sheetData>
      <sheetData sheetId="8">
        <row r="4">
          <cell r="D4">
            <v>13.5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2025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U10">
            <v>94.811455712610496</v>
          </cell>
        </row>
        <row r="11">
          <cell r="AU11">
            <v>98.883453602895727</v>
          </cell>
        </row>
        <row r="12">
          <cell r="AU12">
            <v>98.52698786953647</v>
          </cell>
        </row>
        <row r="13">
          <cell r="AU13">
            <v>97.731882466029035</v>
          </cell>
        </row>
      </sheetData>
      <sheetData sheetId="6">
        <row r="5">
          <cell r="D5">
            <v>11.7</v>
          </cell>
        </row>
        <row r="10">
          <cell r="D10">
            <v>11.6</v>
          </cell>
        </row>
        <row r="11">
          <cell r="D11">
            <v>11.4</v>
          </cell>
        </row>
        <row r="12">
          <cell r="D12">
            <v>11.3</v>
          </cell>
        </row>
        <row r="13">
          <cell r="D13">
            <v>11.2</v>
          </cell>
        </row>
      </sheetData>
      <sheetData sheetId="7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July'25"/>
      <sheetName val="Summary November'24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AW26">
            <v>96.678776803355618</v>
          </cell>
        </row>
        <row r="27">
          <cell r="AW27">
            <v>93.942585007034225</v>
          </cell>
        </row>
      </sheetData>
      <sheetData sheetId="4" refreshError="1">
        <row r="24">
          <cell r="A24" t="str">
            <v>HR001</v>
          </cell>
          <cell r="D24">
            <v>16.7</v>
          </cell>
        </row>
        <row r="25">
          <cell r="D25">
            <v>16.7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  <sheetName val="Summary November '24 "/>
    </sheetNames>
    <sheetDataSet>
      <sheetData sheetId="0" refreshError="1"/>
      <sheetData sheetId="1" refreshError="1"/>
      <sheetData sheetId="2" refreshError="1"/>
      <sheetData sheetId="3" refreshError="1">
        <row r="13">
          <cell r="A13" t="str">
            <v>HA001</v>
          </cell>
          <cell r="AU13">
            <v>96.227257171591688</v>
          </cell>
        </row>
        <row r="14">
          <cell r="AU14">
            <v>97.993893314944387</v>
          </cell>
        </row>
      </sheetData>
      <sheetData sheetId="4" refreshError="1">
        <row r="13">
          <cell r="A13" t="str">
            <v>HA001</v>
          </cell>
          <cell r="D13">
            <v>13.6</v>
          </cell>
        </row>
        <row r="14">
          <cell r="D14">
            <v>13.7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0">
          <cell r="M70">
            <v>6.5</v>
          </cell>
        </row>
      </sheetData>
      <sheetData sheetId="17"/>
      <sheetData sheetId="18">
        <row r="65">
          <cell r="L65">
            <v>95.175721461636485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D3">
            <v>254.08999999999997</v>
          </cell>
          <cell r="F3">
            <v>403.70000000000005</v>
          </cell>
          <cell r="L3">
            <v>203.8</v>
          </cell>
          <cell r="N3">
            <v>411.3</v>
          </cell>
          <cell r="Q3">
            <v>611.1</v>
          </cell>
          <cell r="R3">
            <v>409.9</v>
          </cell>
          <cell r="X3">
            <v>613.79999999999995</v>
          </cell>
          <cell r="Y3">
            <v>408.61999999999995</v>
          </cell>
          <cell r="AA3">
            <v>99.3</v>
          </cell>
          <cell r="AB3">
            <v>399.33</v>
          </cell>
          <cell r="AN3">
            <v>4.0731714390887097</v>
          </cell>
          <cell r="AQ3">
            <v>6.1781700333118934</v>
          </cell>
        </row>
        <row r="4">
          <cell r="AN4">
            <v>3.9510849485573889</v>
          </cell>
          <cell r="AQ4">
            <v>5.5277535995776326</v>
          </cell>
        </row>
        <row r="5">
          <cell r="AN5">
            <v>15.104013217358037</v>
          </cell>
          <cell r="AQ5">
            <v>13.346478504717604</v>
          </cell>
        </row>
        <row r="6">
          <cell r="AN6">
            <v>2.7479545757807706</v>
          </cell>
          <cell r="AQ6">
            <v>4.8747400258857825</v>
          </cell>
        </row>
        <row r="7">
          <cell r="D7">
            <v>244.7</v>
          </cell>
          <cell r="F7">
            <v>379.79999999999995</v>
          </cell>
          <cell r="L7">
            <v>188.5</v>
          </cell>
          <cell r="N7">
            <v>393.5</v>
          </cell>
          <cell r="Q7">
            <v>567.20000000000005</v>
          </cell>
          <cell r="R7">
            <v>401.9</v>
          </cell>
          <cell r="X7">
            <v>578.9</v>
          </cell>
          <cell r="Y7">
            <v>391.9</v>
          </cell>
          <cell r="AA7">
            <v>93</v>
          </cell>
          <cell r="AB7">
            <v>380.8</v>
          </cell>
          <cell r="AN7">
            <v>5.3377569154690221</v>
          </cell>
          <cell r="AQ7">
            <v>5.3377569154690221</v>
          </cell>
        </row>
        <row r="8">
          <cell r="AN8" t="e">
            <v>#DIV/0!</v>
          </cell>
          <cell r="AQ8">
            <v>8.9862703283331644</v>
          </cell>
        </row>
        <row r="9">
          <cell r="AN9">
            <v>3.7067421587009979</v>
          </cell>
          <cell r="AQ9">
            <v>4.4143013271100786</v>
          </cell>
        </row>
        <row r="10">
          <cell r="AN10">
            <v>9.7934336121043764</v>
          </cell>
          <cell r="AQ10">
            <v>9.7934336121043764</v>
          </cell>
        </row>
        <row r="11">
          <cell r="D11">
            <v>2.7605462019993627</v>
          </cell>
          <cell r="F11">
            <v>4.0949230931587124</v>
          </cell>
          <cell r="L11">
            <v>6.909186253424231</v>
          </cell>
          <cell r="N11">
            <v>3.4769774878281874</v>
          </cell>
          <cell r="Q11">
            <v>6.2760287573132452</v>
          </cell>
          <cell r="R11">
            <v>1.8724965819710102</v>
          </cell>
          <cell r="X11">
            <v>4.3079252939956705</v>
          </cell>
          <cell r="Y11">
            <v>3.0798031321133386</v>
          </cell>
          <cell r="AA11">
            <v>5.8908729142740173</v>
          </cell>
          <cell r="AB11">
            <v>3.1600152477622121</v>
          </cell>
          <cell r="AN11">
            <v>10.183089539936029</v>
          </cell>
          <cell r="AQ11">
            <v>8.1715311054411259</v>
          </cell>
        </row>
        <row r="12">
          <cell r="AN12">
            <v>5.0004729846305853</v>
          </cell>
          <cell r="AQ12">
            <v>6.5775457526317638</v>
          </cell>
        </row>
        <row r="13">
          <cell r="L13">
            <v>204.5</v>
          </cell>
          <cell r="M13">
            <v>191.3</v>
          </cell>
          <cell r="R13">
            <v>200</v>
          </cell>
          <cell r="Z13">
            <v>401</v>
          </cell>
          <cell r="AA13">
            <v>403.79999999999995</v>
          </cell>
          <cell r="AC13">
            <v>603.40000000000009</v>
          </cell>
        </row>
        <row r="17">
          <cell r="L17">
            <v>193</v>
          </cell>
          <cell r="M17">
            <v>177.4</v>
          </cell>
          <cell r="R17">
            <v>190.2</v>
          </cell>
          <cell r="Z17">
            <v>382.6</v>
          </cell>
          <cell r="AA17">
            <v>384.3</v>
          </cell>
          <cell r="AC17">
            <v>577.1</v>
          </cell>
        </row>
        <row r="21">
          <cell r="L21">
            <v>5.6234718826405867</v>
          </cell>
          <cell r="M21">
            <v>7.637009932043906</v>
          </cell>
          <cell r="R21">
            <v>3.6066400000000067</v>
          </cell>
          <cell r="Z21">
            <v>2.3625168775567076</v>
          </cell>
          <cell r="AC21">
            <v>4.1261189295236385</v>
          </cell>
        </row>
        <row r="23">
          <cell r="T23">
            <v>412.79999999999995</v>
          </cell>
        </row>
        <row r="28">
          <cell r="T28">
            <v>377.2</v>
          </cell>
        </row>
        <row r="32">
          <cell r="T32">
            <v>15.104013217358037</v>
          </cell>
        </row>
        <row r="45">
          <cell r="Y45">
            <v>100.8</v>
          </cell>
        </row>
        <row r="49">
          <cell r="Y49">
            <v>92.9</v>
          </cell>
        </row>
        <row r="53">
          <cell r="Y53">
            <v>5.3377569154690221</v>
          </cell>
        </row>
        <row r="55">
          <cell r="G55">
            <v>518</v>
          </cell>
          <cell r="AE55">
            <v>307.7</v>
          </cell>
        </row>
        <row r="59">
          <cell r="G59">
            <v>505.9</v>
          </cell>
          <cell r="AE59">
            <v>298.10000000000002</v>
          </cell>
        </row>
        <row r="63">
          <cell r="G63">
            <v>3.7114579368100644</v>
          </cell>
        </row>
        <row r="65">
          <cell r="S65">
            <v>392.09999999999997</v>
          </cell>
        </row>
        <row r="70">
          <cell r="S70">
            <v>394.3</v>
          </cell>
        </row>
        <row r="74">
          <cell r="S74">
            <v>2.7479545757807706</v>
          </cell>
        </row>
        <row r="76">
          <cell r="Y76">
            <v>104.5</v>
          </cell>
        </row>
        <row r="80">
          <cell r="Y80">
            <v>92.5</v>
          </cell>
        </row>
        <row r="84">
          <cell r="Y84">
            <v>9.7934336121043764</v>
          </cell>
        </row>
        <row r="86">
          <cell r="J86">
            <v>216.90000000000003</v>
          </cell>
        </row>
        <row r="90">
          <cell r="J90">
            <v>196.3</v>
          </cell>
        </row>
        <row r="94">
          <cell r="J94">
            <v>10.183089539936029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3">
          <cell r="AN13">
            <v>0.533835725677831</v>
          </cell>
        </row>
      </sheetData>
      <sheetData sheetId="6" refreshError="1">
        <row r="13">
          <cell r="AN13">
            <v>0.86202484976475791</v>
          </cell>
          <cell r="AQ13">
            <v>0.73901325166961152</v>
          </cell>
        </row>
        <row r="14">
          <cell r="AN14">
            <v>0.73539212152056199</v>
          </cell>
          <cell r="AQ14">
            <v>0.75853637615238823</v>
          </cell>
        </row>
        <row r="15">
          <cell r="AN15">
            <v>1.3112280701754386</v>
          </cell>
          <cell r="AQ15">
            <v>0.54260860979462877</v>
          </cell>
        </row>
        <row r="16">
          <cell r="AN16">
            <v>1.3835087719298247</v>
          </cell>
          <cell r="AQ16">
            <v>0.77839364035087721</v>
          </cell>
        </row>
        <row r="17">
          <cell r="AN17">
            <v>0.32596491228070179</v>
          </cell>
          <cell r="AQ17">
            <v>0.32596491228070179</v>
          </cell>
        </row>
        <row r="18">
          <cell r="D18">
            <v>0.85859649122807014</v>
          </cell>
          <cell r="F18">
            <v>0.66631578947368408</v>
          </cell>
          <cell r="L18">
            <v>1.3385964912280703</v>
          </cell>
          <cell r="N18">
            <v>0.69035087719298249</v>
          </cell>
          <cell r="Q18">
            <v>1.9901754385964914</v>
          </cell>
          <cell r="R18">
            <v>1.4101754385964911</v>
          </cell>
          <cell r="X18">
            <v>0.67707602339181283</v>
          </cell>
          <cell r="Y18">
            <v>0.45836257309941519</v>
          </cell>
          <cell r="AA18">
            <v>0.32631578947368423</v>
          </cell>
          <cell r="AB18">
            <v>0.44538011695906432</v>
          </cell>
          <cell r="AN18" t="e">
            <v>#DIV/0!</v>
          </cell>
          <cell r="AQ18">
            <v>0.59276315789473688</v>
          </cell>
        </row>
        <row r="19">
          <cell r="AN19">
            <v>1.4133333333333331</v>
          </cell>
          <cell r="AQ19">
            <v>0.8541249226963511</v>
          </cell>
        </row>
        <row r="20">
          <cell r="AN20">
            <v>0.32456140350877194</v>
          </cell>
          <cell r="AQ20">
            <v>0.32456140350877194</v>
          </cell>
        </row>
        <row r="21">
          <cell r="AN21">
            <v>0.68877192982456148</v>
          </cell>
          <cell r="AQ21">
            <v>0.51368421052631585</v>
          </cell>
        </row>
        <row r="22">
          <cell r="AN22">
            <v>0.86214085939486396</v>
          </cell>
          <cell r="AQ22">
            <v>0.72223081897371522</v>
          </cell>
        </row>
        <row r="25">
          <cell r="L25">
            <v>0.66929824561403506</v>
          </cell>
          <cell r="M25">
            <v>0.15561403508771932</v>
          </cell>
          <cell r="R25">
            <v>0.6673684210526315</v>
          </cell>
          <cell r="Z25">
            <v>1.3424561403508772</v>
          </cell>
          <cell r="AA25">
            <v>0.67421052631578948</v>
          </cell>
          <cell r="AC25">
            <v>1.0124561403508772</v>
          </cell>
        </row>
        <row r="32">
          <cell r="T32">
            <v>1.3112280701754386</v>
          </cell>
        </row>
        <row r="46">
          <cell r="Y46">
            <v>0.32596491228070179</v>
          </cell>
        </row>
        <row r="53">
          <cell r="G53">
            <v>1.7750877192982455</v>
          </cell>
          <cell r="AE53">
            <v>1.0515789473684209</v>
          </cell>
        </row>
        <row r="60">
          <cell r="S60">
            <v>1.3835087719298247</v>
          </cell>
        </row>
        <row r="67">
          <cell r="Y67">
            <v>0.32456140350877194</v>
          </cell>
        </row>
        <row r="74">
          <cell r="J74">
            <v>0.68877192982456148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YTD 2025"/>
      <sheetName val="MTD"/>
    </sheetNames>
    <sheetDataSet>
      <sheetData sheetId="0">
        <row r="18">
          <cell r="L18">
            <v>100</v>
          </cell>
        </row>
        <row r="20">
          <cell r="L20">
            <v>97.1</v>
          </cell>
        </row>
        <row r="39">
          <cell r="L39">
            <v>392</v>
          </cell>
        </row>
        <row r="47">
          <cell r="L47">
            <v>102</v>
          </cell>
        </row>
        <row r="49">
          <cell r="L49">
            <v>94</v>
          </cell>
        </row>
      </sheetData>
      <sheetData sheetId="1">
        <row r="6">
          <cell r="L6">
            <v>100</v>
          </cell>
          <cell r="S6">
            <v>9.3000000000000007</v>
          </cell>
        </row>
        <row r="8">
          <cell r="L8">
            <v>97.2</v>
          </cell>
        </row>
        <row r="10">
          <cell r="L10">
            <v>100</v>
          </cell>
        </row>
        <row r="12">
          <cell r="L12">
            <v>99</v>
          </cell>
        </row>
      </sheetData>
      <sheetData sheetId="2" refreshError="1"/>
      <sheetData sheetId="3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 refreshError="1"/>
      <sheetData sheetId="5" refreshError="1"/>
      <sheetData sheetId="6">
        <row r="6">
          <cell r="L6">
            <v>102</v>
          </cell>
        </row>
        <row r="8">
          <cell r="L8">
            <v>101.9</v>
          </cell>
        </row>
      </sheetData>
      <sheetData sheetId="7" refreshError="1"/>
      <sheetData sheetId="8" refreshError="1"/>
      <sheetData sheetId="9" refreshError="1"/>
      <sheetData sheetId="10">
        <row r="5">
          <cell r="E5">
            <v>6.3510712927007873</v>
          </cell>
        </row>
        <row r="6">
          <cell r="E6">
            <v>5.9419799243536175</v>
          </cell>
        </row>
        <row r="7">
          <cell r="E7">
            <v>11.810347142051688</v>
          </cell>
        </row>
        <row r="8">
          <cell r="E8">
            <v>5.119233255999676</v>
          </cell>
        </row>
        <row r="9">
          <cell r="E9">
            <v>7.837301587301579</v>
          </cell>
        </row>
        <row r="10">
          <cell r="E10">
            <v>7.3129862357869699</v>
          </cell>
        </row>
        <row r="11">
          <cell r="E11">
            <v>2.9944583076773386</v>
          </cell>
        </row>
        <row r="12">
          <cell r="E12">
            <v>11.483253588516746</v>
          </cell>
        </row>
        <row r="13">
          <cell r="E13">
            <v>7.2653644592663174</v>
          </cell>
        </row>
        <row r="14">
          <cell r="E14">
            <v>6.4008234240462007</v>
          </cell>
        </row>
      </sheetData>
      <sheetData sheetId="11">
        <row r="5">
          <cell r="E5">
            <v>5.1046674390685336</v>
          </cell>
        </row>
        <row r="6">
          <cell r="E6">
            <v>4.9718187233652564</v>
          </cell>
        </row>
        <row r="7">
          <cell r="E7">
            <v>10.637289741767349</v>
          </cell>
        </row>
        <row r="8">
          <cell r="E8">
            <v>3.4761321909424563</v>
          </cell>
        </row>
        <row r="9">
          <cell r="E9">
            <v>7.837301587301579</v>
          </cell>
        </row>
        <row r="10">
          <cell r="E10" t="e">
            <v>#DIV/0!</v>
          </cell>
        </row>
        <row r="11">
          <cell r="E11">
            <v>2.6280731500544778</v>
          </cell>
        </row>
        <row r="12">
          <cell r="E12">
            <v>11.483253588516746</v>
          </cell>
        </row>
        <row r="13">
          <cell r="E13">
            <v>9.4974642692485105</v>
          </cell>
        </row>
        <row r="14">
          <cell r="E14">
            <v>5.2569795461468756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 "/>
      <sheetName val="June 6th"/>
      <sheetName val="June 10th"/>
      <sheetName val="June 11th"/>
      <sheetName val="June 12th "/>
      <sheetName val="June 13th"/>
      <sheetName val="June 16th"/>
      <sheetName val="June 17th "/>
      <sheetName val="June 18th"/>
      <sheetName val="June 20th "/>
      <sheetName val="June 23rd"/>
      <sheetName val="June 24th"/>
      <sheetName val="June 25th "/>
      <sheetName val="June 26th "/>
      <sheetName val="June 27th-29th"/>
      <sheetName val="June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57">
          <cell r="L57">
            <v>97.772657059692847</v>
          </cell>
        </row>
        <row r="62">
          <cell r="L62">
            <v>6.9523809523809526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43" t="s">
        <v>0</v>
      </c>
      <c r="U1" s="543"/>
      <c r="V1" s="543" t="s">
        <v>1</v>
      </c>
      <c r="W1" s="543"/>
      <c r="X1" s="543" t="s">
        <v>2</v>
      </c>
      <c r="Y1" s="543"/>
      <c r="Z1" s="543" t="s">
        <v>124</v>
      </c>
      <c r="AA1" s="543"/>
    </row>
    <row r="2" spans="2:30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62">
        <v>45278</v>
      </c>
      <c r="D4" s="562"/>
      <c r="J4" s="563" t="s">
        <v>153</v>
      </c>
      <c r="K4" s="563"/>
      <c r="L4" s="11"/>
      <c r="M4" s="565" t="s">
        <v>8</v>
      </c>
      <c r="N4" s="56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64"/>
      <c r="K5" s="56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47" t="s">
        <v>151</v>
      </c>
      <c r="K6" s="548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49"/>
      <c r="K7" s="550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152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2"/>
      <c r="P8" s="504" t="s">
        <v>28</v>
      </c>
      <c r="Q8" s="530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52"/>
      <c r="P9" s="561"/>
      <c r="Q9" s="531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32" t="s">
        <v>34</v>
      </c>
      <c r="J48" s="532"/>
      <c r="K48" s="532"/>
      <c r="L48" s="532"/>
      <c r="M48" s="532"/>
      <c r="N48" s="532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545" t="s">
        <v>35</v>
      </c>
      <c r="E49" s="546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33" t="s">
        <v>9</v>
      </c>
      <c r="C50" s="362">
        <v>11.8</v>
      </c>
      <c r="D50" s="536">
        <v>11.73</v>
      </c>
      <c r="E50" s="525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34"/>
      <c r="C51" s="349">
        <v>11.9</v>
      </c>
      <c r="D51" s="537"/>
      <c r="E51" s="520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534"/>
      <c r="C52" s="349"/>
      <c r="D52" s="536"/>
      <c r="E52" s="525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534"/>
      <c r="C53" s="349"/>
      <c r="D53" s="537"/>
      <c r="E53" s="520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534"/>
      <c r="C54" s="349"/>
      <c r="D54" s="536"/>
      <c r="E54" s="525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534"/>
      <c r="C55" s="349"/>
      <c r="D55" s="537"/>
      <c r="E55" s="520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534"/>
      <c r="C56" s="349"/>
      <c r="D56" s="536"/>
      <c r="E56" s="525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534"/>
      <c r="C57" s="349"/>
      <c r="D57" s="537"/>
      <c r="E57" s="520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34"/>
      <c r="C58" s="349"/>
      <c r="D58" s="538"/>
      <c r="E58" s="527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34"/>
      <c r="C59" s="349"/>
      <c r="D59" s="539"/>
      <c r="E59" s="540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34"/>
      <c r="C60" s="349"/>
      <c r="D60" s="538"/>
      <c r="E60" s="527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35"/>
      <c r="C61" s="350"/>
      <c r="D61" s="541"/>
      <c r="E61" s="542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514"/>
      <c r="C62" s="362"/>
      <c r="D62" s="517"/>
      <c r="E62" s="518"/>
      <c r="F62" s="43"/>
      <c r="G62" s="41"/>
      <c r="H62" s="41"/>
      <c r="I62" s="42"/>
      <c r="J62" s="521" t="s">
        <v>129</v>
      </c>
      <c r="K62" s="521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15"/>
      <c r="C63" s="349"/>
      <c r="D63" s="519"/>
      <c r="E63" s="520"/>
      <c r="F63" s="43"/>
      <c r="G63" s="41"/>
      <c r="H63" s="41"/>
      <c r="I63" s="42"/>
      <c r="J63" s="292" t="s">
        <v>17</v>
      </c>
      <c r="K63" s="293" t="s">
        <v>147</v>
      </c>
      <c r="L63" s="522" t="s">
        <v>136</v>
      </c>
      <c r="M63" s="522"/>
      <c r="N63" s="523"/>
      <c r="O63" s="294"/>
      <c r="P63" s="12"/>
      <c r="S63" s="23"/>
    </row>
    <row r="64" spans="1:27" ht="15" customHeight="1" thickBot="1">
      <c r="B64" s="515"/>
      <c r="C64" s="349"/>
      <c r="D64" s="524"/>
      <c r="E64" s="525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15"/>
      <c r="C65" s="349"/>
      <c r="D65" s="519"/>
      <c r="E65" s="520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15"/>
      <c r="C66" s="349"/>
      <c r="D66" s="524"/>
      <c r="E66" s="525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15"/>
      <c r="C67" s="349"/>
      <c r="D67" s="519"/>
      <c r="E67" s="520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515"/>
      <c r="C68" s="349"/>
      <c r="D68" s="524"/>
      <c r="E68" s="525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515"/>
      <c r="C69" s="349"/>
      <c r="D69" s="519"/>
      <c r="E69" s="520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515"/>
      <c r="C70" s="349"/>
      <c r="D70" s="526"/>
      <c r="E70" s="527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516"/>
      <c r="C71" s="350"/>
      <c r="D71" s="528"/>
      <c r="E71" s="529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508">
        <f>AVERAGE(D50:E71)</f>
        <v>11.73</v>
      </c>
      <c r="E72" s="509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498" t="s">
        <v>17</v>
      </c>
      <c r="C77" s="498" t="s">
        <v>44</v>
      </c>
      <c r="D77" s="510" t="s">
        <v>45</v>
      </c>
      <c r="E77" s="512" t="s">
        <v>46</v>
      </c>
      <c r="F77" s="506" t="s">
        <v>47</v>
      </c>
      <c r="G77" s="496" t="s">
        <v>48</v>
      </c>
      <c r="H77" s="498" t="s">
        <v>49</v>
      </c>
      <c r="I77" s="500" t="s">
        <v>50</v>
      </c>
      <c r="J77" s="490" t="s">
        <v>28</v>
      </c>
      <c r="K77" s="502" t="s">
        <v>51</v>
      </c>
      <c r="L77" s="504" t="s">
        <v>52</v>
      </c>
      <c r="M77" s="490" t="s">
        <v>53</v>
      </c>
      <c r="N77" s="77"/>
      <c r="O77" s="13"/>
      <c r="P77" s="50"/>
    </row>
    <row r="78" spans="2:58" ht="28.5" customHeight="1" thickTop="1" thickBot="1">
      <c r="B78" s="499"/>
      <c r="C78" s="499"/>
      <c r="D78" s="511"/>
      <c r="E78" s="513"/>
      <c r="F78" s="507"/>
      <c r="G78" s="497"/>
      <c r="H78" s="499"/>
      <c r="I78" s="501"/>
      <c r="J78" s="491"/>
      <c r="K78" s="503"/>
      <c r="L78" s="505"/>
      <c r="M78" s="491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492" t="s">
        <v>55</v>
      </c>
      <c r="C87" s="493"/>
      <c r="D87" s="493"/>
      <c r="E87" s="493"/>
      <c r="F87" s="494"/>
      <c r="G87" s="492" t="s">
        <v>56</v>
      </c>
      <c r="H87" s="493"/>
      <c r="I87" s="493"/>
      <c r="J87" s="494"/>
      <c r="K87" s="492" t="s">
        <v>51</v>
      </c>
      <c r="L87" s="493"/>
      <c r="M87" s="493"/>
      <c r="N87" s="495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061" priority="157" operator="notBetween">
      <formula>#REF!</formula>
      <formula>#REF!</formula>
    </cfRule>
  </conditionalFormatting>
  <conditionalFormatting sqref="C76">
    <cfRule type="cellIs" dxfId="3060" priority="190" stopIfTrue="1" operator="greaterThan">
      <formula>100</formula>
    </cfRule>
    <cfRule type="cellIs" dxfId="3059" priority="189" stopIfTrue="1" operator="lessThan">
      <formula>96</formula>
    </cfRule>
  </conditionalFormatting>
  <conditionalFormatting sqref="C90">
    <cfRule type="cellIs" dxfId="3058" priority="212" stopIfTrue="1" operator="greaterThan">
      <formula>$F89</formula>
    </cfRule>
    <cfRule type="cellIs" dxfId="3057" priority="106" stopIfTrue="1" operator="lessThanOrEqual">
      <formula>0</formula>
    </cfRule>
  </conditionalFormatting>
  <conditionalFormatting sqref="C91:C93">
    <cfRule type="cellIs" dxfId="3056" priority="105" stopIfTrue="1" operator="greaterThan">
      <formula>$F91</formula>
    </cfRule>
  </conditionalFormatting>
  <conditionalFormatting sqref="C91:C94">
    <cfRule type="cellIs" dxfId="3055" priority="129" stopIfTrue="1" operator="lessThanOrEqual">
      <formula>0</formula>
    </cfRule>
  </conditionalFormatting>
  <conditionalFormatting sqref="C94">
    <cfRule type="cellIs" dxfId="3054" priority="128" stopIfTrue="1" operator="greaterThan">
      <formula>$J94</formula>
    </cfRule>
  </conditionalFormatting>
  <conditionalFormatting sqref="C95:C97">
    <cfRule type="cellIs" dxfId="3053" priority="145" stopIfTrue="1" operator="greaterThan">
      <formula>$F95</formula>
    </cfRule>
    <cfRule type="cellIs" dxfId="3052" priority="146" stopIfTrue="1" operator="lessThanOrEqual">
      <formula>0</formula>
    </cfRule>
  </conditionalFormatting>
  <conditionalFormatting sqref="C100:C104">
    <cfRule type="cellIs" dxfId="3051" priority="181" stopIfTrue="1" operator="lessThanOrEqual">
      <formula>0</formula>
    </cfRule>
  </conditionalFormatting>
  <conditionalFormatting sqref="C101:C104">
    <cfRule type="cellIs" dxfId="3050" priority="180" stopIfTrue="1" operator="greaterThan">
      <formula>$F$100</formula>
    </cfRule>
  </conditionalFormatting>
  <conditionalFormatting sqref="C106">
    <cfRule type="cellIs" dxfId="3049" priority="183" stopIfTrue="1" operator="lessThanOrEqual">
      <formula>0</formula>
    </cfRule>
    <cfRule type="cellIs" dxfId="3048" priority="182" stopIfTrue="1" operator="greaterThan">
      <formula>$F$100</formula>
    </cfRule>
  </conditionalFormatting>
  <conditionalFormatting sqref="C100:D100 D102:D108">
    <cfRule type="cellIs" dxfId="3047" priority="175" stopIfTrue="1" operator="greaterThan">
      <formula>4.5</formula>
    </cfRule>
  </conditionalFormatting>
  <conditionalFormatting sqref="D72:D73">
    <cfRule type="cellIs" dxfId="3046" priority="158" operator="notBetween">
      <formula>#REF!</formula>
      <formula>#REF!</formula>
    </cfRule>
  </conditionalFormatting>
  <conditionalFormatting sqref="D89:D96">
    <cfRule type="cellIs" dxfId="3045" priority="144" stopIfTrue="1" operator="lessThanOrEqual">
      <formula>0</formula>
    </cfRule>
  </conditionalFormatting>
  <conditionalFormatting sqref="D97">
    <cfRule type="cellIs" dxfId="3044" priority="143" stopIfTrue="1" operator="lessThanOrEqual">
      <formula>0</formula>
    </cfRule>
  </conditionalFormatting>
  <conditionalFormatting sqref="D100 D102:D108">
    <cfRule type="cellIs" dxfId="3043" priority="176" stopIfTrue="1" operator="lessThanOrEqual">
      <formula>0</formula>
    </cfRule>
  </conditionalFormatting>
  <conditionalFormatting sqref="D101">
    <cfRule type="cellIs" dxfId="3042" priority="167" stopIfTrue="1" operator="greaterThan">
      <formula>$F$100</formula>
    </cfRule>
    <cfRule type="cellIs" dxfId="3041" priority="168" stopIfTrue="1" operator="lessThanOrEqual">
      <formula>0</formula>
    </cfRule>
  </conditionalFormatting>
  <conditionalFormatting sqref="D89:E97">
    <cfRule type="cellIs" dxfId="3040" priority="135" stopIfTrue="1" operator="greaterThan">
      <formula>$F89</formula>
    </cfRule>
  </conditionalFormatting>
  <conditionalFormatting sqref="E10:E14">
    <cfRule type="cellIs" dxfId="3039" priority="52" operator="lessThan">
      <formula>48</formula>
    </cfRule>
  </conditionalFormatting>
  <conditionalFormatting sqref="E33:E46">
    <cfRule type="cellIs" dxfId="3038" priority="25" operator="lessThan">
      <formula>48</formula>
    </cfRule>
  </conditionalFormatting>
  <conditionalFormatting sqref="E76">
    <cfRule type="cellIs" dxfId="3037" priority="169" stopIfTrue="1" operator="lessThan">
      <formula>96.8</formula>
    </cfRule>
    <cfRule type="cellIs" dxfId="3036" priority="170" stopIfTrue="1" operator="greaterThan">
      <formula>100</formula>
    </cfRule>
  </conditionalFormatting>
  <conditionalFormatting sqref="E89:E97">
    <cfRule type="cellIs" dxfId="3035" priority="136" stopIfTrue="1" operator="lessThanOrEqual">
      <formula>0</formula>
    </cfRule>
  </conditionalFormatting>
  <conditionalFormatting sqref="E100:E108">
    <cfRule type="cellIs" dxfId="3034" priority="161" stopIfTrue="1" operator="greaterThan">
      <formula>4.5</formula>
    </cfRule>
    <cfRule type="cellIs" dxfId="3033" priority="162" stopIfTrue="1" operator="lessThanOrEqual">
      <formula>0</formula>
    </cfRule>
  </conditionalFormatting>
  <conditionalFormatting sqref="E75:F76">
    <cfRule type="cellIs" dxfId="3032" priority="171" stopIfTrue="1" operator="lessThan">
      <formula>96.5</formula>
    </cfRule>
    <cfRule type="cellIs" dxfId="3031" priority="172" stopIfTrue="1" operator="greaterThan">
      <formula>100</formula>
    </cfRule>
  </conditionalFormatting>
  <conditionalFormatting sqref="F10:F12">
    <cfRule type="cellIs" dxfId="3030" priority="62" operator="greaterThan">
      <formula>#REF!</formula>
    </cfRule>
  </conditionalFormatting>
  <conditionalFormatting sqref="F10:F47">
    <cfRule type="cellIs" dxfId="3029" priority="15" operator="greaterThan">
      <formula>$AA10</formula>
    </cfRule>
  </conditionalFormatting>
  <conditionalFormatting sqref="F13">
    <cfRule type="cellIs" dxfId="3028" priority="53" operator="greaterThan">
      <formula>$AA47</formula>
    </cfRule>
  </conditionalFormatting>
  <conditionalFormatting sqref="F14">
    <cfRule type="cellIs" dxfId="3027" priority="196" operator="greaterThan">
      <formula>#REF!</formula>
    </cfRule>
  </conditionalFormatting>
  <conditionalFormatting sqref="F33:F46">
    <cfRule type="cellIs" dxfId="3026" priority="26" operator="greaterThan">
      <formula>$AA48</formula>
    </cfRule>
  </conditionalFormatting>
  <conditionalFormatting sqref="F76">
    <cfRule type="cellIs" dxfId="3025" priority="188" stopIfTrue="1" operator="greaterThan">
      <formula>100</formula>
    </cfRule>
    <cfRule type="cellIs" dxfId="3024" priority="187" stopIfTrue="1" operator="lessThan">
      <formula>96.8</formula>
    </cfRule>
  </conditionalFormatting>
  <conditionalFormatting sqref="F97">
    <cfRule type="cellIs" dxfId="3023" priority="137" stopIfTrue="1" operator="greaterThan">
      <formula>$F97</formula>
    </cfRule>
    <cfRule type="cellIs" dxfId="3022" priority="138" stopIfTrue="1" operator="lessThanOrEqual">
      <formula>0</formula>
    </cfRule>
  </conditionalFormatting>
  <conditionalFormatting sqref="G10:G14">
    <cfRule type="expression" dxfId="3021" priority="54">
      <formula>IF(+(IF(G10&lt;#REF!,0,IF(G10&gt;#REF!,0,1)))=0,1)</formula>
    </cfRule>
  </conditionalFormatting>
  <conditionalFormatting sqref="G33:G46">
    <cfRule type="expression" dxfId="3020" priority="27">
      <formula>IF(+(IF(G33&lt;#REF!,0,IF(G33&gt;#REF!,0,1)))=0,1)</formula>
    </cfRule>
  </conditionalFormatting>
  <conditionalFormatting sqref="G90">
    <cfRule type="cellIs" dxfId="3019" priority="71" stopIfTrue="1" operator="lessThanOrEqual">
      <formula>0</formula>
    </cfRule>
    <cfRule type="cellIs" dxfId="3018" priority="70" stopIfTrue="1" operator="greaterThan">
      <formula>$F89</formula>
    </cfRule>
  </conditionalFormatting>
  <conditionalFormatting sqref="G90:G91">
    <cfRule type="cellIs" dxfId="3017" priority="192" stopIfTrue="1" operator="lessThanOrEqual">
      <formula>0</formula>
    </cfRule>
    <cfRule type="cellIs" dxfId="3016" priority="191" stopIfTrue="1" operator="greaterThan">
      <formula>$F89</formula>
    </cfRule>
  </conditionalFormatting>
  <conditionalFormatting sqref="G92">
    <cfRule type="cellIs" dxfId="3015" priority="140" stopIfTrue="1" operator="lessThanOrEqual">
      <formula>0</formula>
    </cfRule>
    <cfRule type="cellIs" dxfId="3014" priority="139" stopIfTrue="1" operator="greaterThan">
      <formula>$F92</formula>
    </cfRule>
  </conditionalFormatting>
  <conditionalFormatting sqref="G93:G96">
    <cfRule type="cellIs" dxfId="3013" priority="149" stopIfTrue="1" operator="lessThanOrEqual">
      <formula>0</formula>
    </cfRule>
    <cfRule type="cellIs" dxfId="3012" priority="148" stopIfTrue="1" operator="greaterThan">
      <formula>$J93</formula>
    </cfRule>
  </conditionalFormatting>
  <conditionalFormatting sqref="G97">
    <cfRule type="cellIs" dxfId="3011" priority="147" operator="greaterThan">
      <formula>4.5</formula>
    </cfRule>
  </conditionalFormatting>
  <conditionalFormatting sqref="G102:G107 C105 C107">
    <cfRule type="cellIs" dxfId="3010" priority="184" stopIfTrue="1" operator="greaterThan">
      <formula>4.5</formula>
    </cfRule>
    <cfRule type="cellIs" dxfId="3009" priority="185" stopIfTrue="1" operator="lessThanOrEqual">
      <formula>0</formula>
    </cfRule>
  </conditionalFormatting>
  <conditionalFormatting sqref="G62:H62 G63:G73 H63:H74">
    <cfRule type="cellIs" dxfId="3008" priority="163" stopIfTrue="1" operator="greaterThan">
      <formula>0</formula>
    </cfRule>
  </conditionalFormatting>
  <conditionalFormatting sqref="G101:H101">
    <cfRule type="cellIs" dxfId="3007" priority="166" stopIfTrue="1" operator="lessThanOrEqual">
      <formula>0</formula>
    </cfRule>
    <cfRule type="cellIs" dxfId="3006" priority="165" stopIfTrue="1" operator="greaterThan">
      <formula>$F$100</formula>
    </cfRule>
  </conditionalFormatting>
  <conditionalFormatting sqref="H10">
    <cfRule type="expression" dxfId="3005" priority="63">
      <formula>IF(+(IF(H10&lt;T27,0,IF(H10&gt;U27,0,1)))=0,1)</formula>
    </cfRule>
  </conditionalFormatting>
  <conditionalFormatting sqref="H10:H12">
    <cfRule type="expression" dxfId="3004" priority="64">
      <formula>IF(+(IF(H10&lt;#REF!,0,IF(H10&gt;#REF!,0,1)))=0,1)</formula>
    </cfRule>
  </conditionalFormatting>
  <conditionalFormatting sqref="H11:H12">
    <cfRule type="expression" dxfId="3003" priority="207">
      <formula>IF(+(IF(H11&lt;T47,0,IF(H11&gt;U47,0,1)))=0,1)</formula>
    </cfRule>
  </conditionalFormatting>
  <conditionalFormatting sqref="H13">
    <cfRule type="expression" dxfId="3002" priority="55">
      <formula>IF(+(IF(H13&lt;T56,0,IF(H13&gt;U56,0,1)))=0,1)</formula>
    </cfRule>
    <cfRule type="expression" dxfId="3001" priority="56">
      <formula>IF(+(IF(H13&lt;T47,0,IF(H13&gt;U47,0,1)))=0,1)</formula>
    </cfRule>
  </conditionalFormatting>
  <conditionalFormatting sqref="H14">
    <cfRule type="expression" dxfId="3000" priority="197">
      <formula>IF(+(IF(H14&lt;T50,0,IF(H14&gt;U50,0,1)))=0,1)</formula>
    </cfRule>
    <cfRule type="expression" dxfId="2999" priority="198">
      <formula>IF(+(IF(H14&lt;#REF!,0,IF(H14&gt;#REF!,0,1)))=0,1)</formula>
    </cfRule>
  </conditionalFormatting>
  <conditionalFormatting sqref="H15:H32">
    <cfRule type="expression" dxfId="2998" priority="209">
      <formula>IF(+(IF(H15&lt;T66,0,IF(H15&gt;U66,0,1)))=0,1)</formula>
    </cfRule>
  </conditionalFormatting>
  <conditionalFormatting sqref="H33:H46">
    <cfRule type="expression" dxfId="2997" priority="29">
      <formula>IF(+(IF(H33&lt;T48,0,IF(H33&gt;U48,0,1)))=0,1)</formula>
    </cfRule>
    <cfRule type="expression" dxfId="2996" priority="28">
      <formula>IF(+(IF(H33&lt;T57,0,IF(H33&gt;U57,0,1)))=0,1)</formula>
    </cfRule>
  </conditionalFormatting>
  <conditionalFormatting sqref="H47">
    <cfRule type="expression" dxfId="2995" priority="193">
      <formula>IF(+(IF(H47&lt;#REF!,0,IF(H47&gt;#REF!,0,1)))=0,1)</formula>
    </cfRule>
  </conditionalFormatting>
  <conditionalFormatting sqref="H51:H61">
    <cfRule type="cellIs" dxfId="2994" priority="159" stopIfTrue="1" operator="greaterThan">
      <formula>0</formula>
    </cfRule>
  </conditionalFormatting>
  <conditionalFormatting sqref="H79">
    <cfRule type="cellIs" dxfId="2993" priority="12" stopIfTrue="1" operator="lessThanOrEqual">
      <formula>0</formula>
    </cfRule>
    <cfRule type="cellIs" dxfId="2992" priority="14" stopIfTrue="1" operator="lessThanOrEqual">
      <formula>0</formula>
    </cfRule>
    <cfRule type="cellIs" dxfId="2991" priority="13" stopIfTrue="1" operator="greaterThan">
      <formula>$F$54</formula>
    </cfRule>
    <cfRule type="cellIs" dxfId="2990" priority="11" stopIfTrue="1" operator="greaterThan">
      <formula>$F$56</formula>
    </cfRule>
    <cfRule type="cellIs" dxfId="2989" priority="2" stopIfTrue="1" operator="lessThanOrEqual">
      <formula>0</formula>
    </cfRule>
    <cfRule type="cellIs" dxfId="2988" priority="3" stopIfTrue="1" operator="greaterThan">
      <formula>$F$53</formula>
    </cfRule>
  </conditionalFormatting>
  <conditionalFormatting sqref="H80">
    <cfRule type="cellIs" dxfId="2987" priority="92" stopIfTrue="1" operator="lessThanOrEqual">
      <formula>0</formula>
    </cfRule>
    <cfRule type="cellIs" dxfId="2986" priority="93" stopIfTrue="1" operator="greaterThan">
      <formula>$F$88</formula>
    </cfRule>
    <cfRule type="cellIs" dxfId="2985" priority="104" stopIfTrue="1" operator="lessThanOrEqual">
      <formula>0</formula>
    </cfRule>
    <cfRule type="cellIs" dxfId="2984" priority="101" stopIfTrue="1" operator="greaterThan">
      <formula>$F$91</formula>
    </cfRule>
    <cfRule type="cellIs" dxfId="2983" priority="102" stopIfTrue="1" operator="lessThanOrEqual">
      <formula>0</formula>
    </cfRule>
    <cfRule type="cellIs" dxfId="2982" priority="103" stopIfTrue="1" operator="greaterThan">
      <formula>$F$89</formula>
    </cfRule>
  </conditionalFormatting>
  <conditionalFormatting sqref="H81">
    <cfRule type="cellIs" dxfId="2981" priority="45" stopIfTrue="1" operator="lessThanOrEqual">
      <formula>0</formula>
    </cfRule>
    <cfRule type="cellIs" dxfId="2980" priority="36" stopIfTrue="1" operator="greaterThan">
      <formula>$F$72</formula>
    </cfRule>
    <cfRule type="cellIs" dxfId="2979" priority="35" stopIfTrue="1" operator="lessThanOrEqual">
      <formula>0</formula>
    </cfRule>
    <cfRule type="cellIs" dxfId="2978" priority="44" stopIfTrue="1" operator="greaterThan">
      <formula>$F$75</formula>
    </cfRule>
    <cfRule type="cellIs" dxfId="2977" priority="47" stopIfTrue="1" operator="lessThanOrEqual">
      <formula>0</formula>
    </cfRule>
    <cfRule type="cellIs" dxfId="2976" priority="46" stopIfTrue="1" operator="greaterThan">
      <formula>$F$73</formula>
    </cfRule>
  </conditionalFormatting>
  <conditionalFormatting sqref="H82">
    <cfRule type="cellIs" dxfId="2975" priority="84" stopIfTrue="1" operator="greaterThan">
      <formula>#REF!</formula>
    </cfRule>
    <cfRule type="cellIs" dxfId="2974" priority="75" stopIfTrue="1" operator="lessThanOrEqual">
      <formula>0</formula>
    </cfRule>
    <cfRule type="cellIs" dxfId="2973" priority="76" stopIfTrue="1" operator="greaterThan">
      <formula>#REF!</formula>
    </cfRule>
  </conditionalFormatting>
  <conditionalFormatting sqref="H82:H84">
    <cfRule type="cellIs" dxfId="2972" priority="85" stopIfTrue="1" operator="lessThanOrEqual">
      <formula>0</formula>
    </cfRule>
  </conditionalFormatting>
  <conditionalFormatting sqref="H83:H84">
    <cfRule type="cellIs" dxfId="2971" priority="125" stopIfTrue="1" operator="lessThanOrEqual">
      <formula>0</formula>
    </cfRule>
    <cfRule type="cellIs" dxfId="2970" priority="124" stopIfTrue="1" operator="greaterThan">
      <formula>$F$90</formula>
    </cfRule>
    <cfRule type="cellIs" dxfId="2969" priority="122" stopIfTrue="1" operator="greaterThan">
      <formula>$F$92</formula>
    </cfRule>
    <cfRule type="cellIs" dxfId="2968" priority="114" stopIfTrue="1" operator="greaterThan">
      <formula>$F$89</formula>
    </cfRule>
    <cfRule type="cellIs" dxfId="2967" priority="123" stopIfTrue="1" operator="lessThanOrEqual">
      <formula>0</formula>
    </cfRule>
  </conditionalFormatting>
  <conditionalFormatting sqref="H85">
    <cfRule type="cellIs" dxfId="2966" priority="155" stopIfTrue="1" operator="greaterThan">
      <formula>$F$82</formula>
    </cfRule>
    <cfRule type="cellIs" dxfId="2965" priority="156" stopIfTrue="1" operator="lessThanOrEqual">
      <formula>0</formula>
    </cfRule>
    <cfRule type="cellIs" dxfId="2964" priority="153" stopIfTrue="1" operator="greaterThan">
      <formula>$F$86</formula>
    </cfRule>
    <cfRule type="cellIs" dxfId="2963" priority="154" stopIfTrue="1" operator="lessThanOrEqual">
      <formula>0</formula>
    </cfRule>
  </conditionalFormatting>
  <conditionalFormatting sqref="H89:H96">
    <cfRule type="cellIs" dxfId="2962" priority="127" stopIfTrue="1" operator="lessThanOrEqual">
      <formula>0</formula>
    </cfRule>
    <cfRule type="cellIs" dxfId="2961" priority="126" stopIfTrue="1" operator="greaterThan">
      <formula>$J89</formula>
    </cfRule>
  </conditionalFormatting>
  <conditionalFormatting sqref="H97">
    <cfRule type="cellIs" dxfId="2960" priority="132" operator="greaterThan">
      <formula>5.3</formula>
    </cfRule>
  </conditionalFormatting>
  <conditionalFormatting sqref="H100 H102:H108">
    <cfRule type="cellIs" dxfId="2959" priority="177" stopIfTrue="1" operator="greaterThan">
      <formula>4.5</formula>
    </cfRule>
    <cfRule type="cellIs" dxfId="2958" priority="178" stopIfTrue="1" operator="lessThanOrEqual">
      <formula>0</formula>
    </cfRule>
  </conditionalFormatting>
  <conditionalFormatting sqref="H79:I79">
    <cfRule type="cellIs" dxfId="2957" priority="4" stopIfTrue="1" operator="lessThanOrEqual">
      <formula>0</formula>
    </cfRule>
    <cfRule type="cellIs" dxfId="2956" priority="1" stopIfTrue="1" operator="greaterThan">
      <formula>$F$55</formula>
    </cfRule>
  </conditionalFormatting>
  <conditionalFormatting sqref="H80:I80">
    <cfRule type="cellIs" dxfId="2955" priority="94" stopIfTrue="1" operator="lessThanOrEqual">
      <formula>0</formula>
    </cfRule>
    <cfRule type="cellIs" dxfId="2954" priority="91" stopIfTrue="1" operator="greaterThan">
      <formula>$F$90</formula>
    </cfRule>
  </conditionalFormatting>
  <conditionalFormatting sqref="H81:I81">
    <cfRule type="cellIs" dxfId="2953" priority="37" stopIfTrue="1" operator="lessThanOrEqual">
      <formula>0</formula>
    </cfRule>
    <cfRule type="cellIs" dxfId="2952" priority="34" stopIfTrue="1" operator="greaterThan">
      <formula>$F$74</formula>
    </cfRule>
  </conditionalFormatting>
  <conditionalFormatting sqref="H82:I82">
    <cfRule type="cellIs" dxfId="2951" priority="83" stopIfTrue="1" operator="lessThanOrEqual">
      <formula>0</formula>
    </cfRule>
    <cfRule type="cellIs" dxfId="2950" priority="82" stopIfTrue="1" operator="greaterThan">
      <formula>#REF!</formula>
    </cfRule>
    <cfRule type="cellIs" dxfId="2949" priority="74" stopIfTrue="1" operator="greaterThan">
      <formula>#REF!</formula>
    </cfRule>
    <cfRule type="cellIs" dxfId="2948" priority="77" stopIfTrue="1" operator="lessThanOrEqual">
      <formula>0</formula>
    </cfRule>
  </conditionalFormatting>
  <conditionalFormatting sqref="H83:I83">
    <cfRule type="cellIs" dxfId="2947" priority="115" stopIfTrue="1" operator="lessThanOrEqual">
      <formula>0</formula>
    </cfRule>
  </conditionalFormatting>
  <conditionalFormatting sqref="H83:I84">
    <cfRule type="cellIs" dxfId="2946" priority="72" stopIfTrue="1" operator="greaterThan">
      <formula>$F$91</formula>
    </cfRule>
  </conditionalFormatting>
  <conditionalFormatting sqref="H84:I84">
    <cfRule type="cellIs" dxfId="2945" priority="73" stopIfTrue="1" operator="lessThanOrEqual">
      <formula>0</formula>
    </cfRule>
  </conditionalFormatting>
  <conditionalFormatting sqref="I10:I14">
    <cfRule type="cellIs" dxfId="2944" priority="49" operator="lessThan">
      <formula>97.8</formula>
    </cfRule>
  </conditionalFormatting>
  <conditionalFormatting sqref="I10:I47">
    <cfRule type="cellIs" dxfId="2943" priority="21" operator="lessThan">
      <formula>98</formula>
    </cfRule>
  </conditionalFormatting>
  <conditionalFormatting sqref="I33:I46">
    <cfRule type="cellIs" dxfId="2942" priority="22" operator="lessThan">
      <formula>97.8</formula>
    </cfRule>
  </conditionalFormatting>
  <conditionalFormatting sqref="I79">
    <cfRule type="cellIs" dxfId="2941" priority="5" stopIfTrue="1" operator="greaterThan">
      <formula>$F$53</formula>
    </cfRule>
    <cfRule type="cellIs" dxfId="2940" priority="6" stopIfTrue="1" operator="lessThanOrEqual">
      <formula>0</formula>
    </cfRule>
    <cfRule type="cellIs" dxfId="2939" priority="7" stopIfTrue="1" operator="greaterThan">
      <formula>$F$55</formula>
    </cfRule>
    <cfRule type="cellIs" dxfId="2938" priority="8" stopIfTrue="1" operator="lessThanOrEqual">
      <formula>0</formula>
    </cfRule>
    <cfRule type="cellIs" dxfId="2937" priority="9" stopIfTrue="1" operator="greaterThan">
      <formula>$F$53</formula>
    </cfRule>
    <cfRule type="cellIs" dxfId="2936" priority="10" stopIfTrue="1" operator="lessThanOrEqual">
      <formula>0</formula>
    </cfRule>
  </conditionalFormatting>
  <conditionalFormatting sqref="I80">
    <cfRule type="cellIs" dxfId="2935" priority="99" stopIfTrue="1" operator="greaterThan">
      <formula>$F$88</formula>
    </cfRule>
    <cfRule type="cellIs" dxfId="2934" priority="97" stopIfTrue="1" operator="greaterThan">
      <formula>$F$90</formula>
    </cfRule>
    <cfRule type="cellIs" dxfId="2933" priority="96" stopIfTrue="1" operator="lessThanOrEqual">
      <formula>0</formula>
    </cfRule>
    <cfRule type="cellIs" dxfId="2932" priority="95" stopIfTrue="1" operator="greaterThan">
      <formula>$F$88</formula>
    </cfRule>
    <cfRule type="cellIs" dxfId="2931" priority="100" stopIfTrue="1" operator="lessThanOrEqual">
      <formula>0</formula>
    </cfRule>
    <cfRule type="cellIs" dxfId="2930" priority="98" stopIfTrue="1" operator="lessThanOrEqual">
      <formula>0</formula>
    </cfRule>
  </conditionalFormatting>
  <conditionalFormatting sqref="I81">
    <cfRule type="cellIs" dxfId="2929" priority="43" stopIfTrue="1" operator="lessThanOrEqual">
      <formula>0</formula>
    </cfRule>
    <cfRule type="cellIs" dxfId="2928" priority="42" stopIfTrue="1" operator="greaterThan">
      <formula>$F$72</formula>
    </cfRule>
    <cfRule type="cellIs" dxfId="2927" priority="41" stopIfTrue="1" operator="lessThanOrEqual">
      <formula>0</formula>
    </cfRule>
    <cfRule type="cellIs" dxfId="2926" priority="40" stopIfTrue="1" operator="greaterThan">
      <formula>$F$74</formula>
    </cfRule>
    <cfRule type="cellIs" dxfId="2925" priority="39" stopIfTrue="1" operator="lessThanOrEqual">
      <formula>0</formula>
    </cfRule>
    <cfRule type="cellIs" dxfId="2924" priority="38" stopIfTrue="1" operator="greaterThan">
      <formula>$F$72</formula>
    </cfRule>
  </conditionalFormatting>
  <conditionalFormatting sqref="I82">
    <cfRule type="cellIs" dxfId="2923" priority="80" stopIfTrue="1" operator="greaterThan">
      <formula>#REF!</formula>
    </cfRule>
    <cfRule type="cellIs" dxfId="2922" priority="79" stopIfTrue="1" operator="lessThanOrEqual">
      <formula>0</formula>
    </cfRule>
    <cfRule type="cellIs" dxfId="2921" priority="78" stopIfTrue="1" operator="greaterThan">
      <formula>#REF!</formula>
    </cfRule>
    <cfRule type="cellIs" dxfId="2920" priority="81" stopIfTrue="1" operator="lessThanOrEqual">
      <formula>0</formula>
    </cfRule>
  </conditionalFormatting>
  <conditionalFormatting sqref="I83:I84">
    <cfRule type="cellIs" dxfId="2919" priority="118" stopIfTrue="1" operator="greaterThan">
      <formula>$F$91</formula>
    </cfRule>
    <cfRule type="cellIs" dxfId="2918" priority="116" stopIfTrue="1" operator="greaterThan">
      <formula>$F$89</formula>
    </cfRule>
    <cfRule type="cellIs" dxfId="2917" priority="117" stopIfTrue="1" operator="lessThanOrEqual">
      <formula>0</formula>
    </cfRule>
    <cfRule type="cellIs" dxfId="2916" priority="119" stopIfTrue="1" operator="lessThanOrEqual">
      <formula>0</formula>
    </cfRule>
    <cfRule type="cellIs" dxfId="2915" priority="120" stopIfTrue="1" operator="greaterThan">
      <formula>$F$89</formula>
    </cfRule>
    <cfRule type="cellIs" dxfId="2914" priority="121" stopIfTrue="1" operator="lessThanOrEqual">
      <formula>0</formula>
    </cfRule>
  </conditionalFormatting>
  <conditionalFormatting sqref="I89:I97">
    <cfRule type="cellIs" dxfId="2913" priority="133" stopIfTrue="1" operator="greaterThan">
      <formula>$J89</formula>
    </cfRule>
    <cfRule type="cellIs" dxfId="2912" priority="134" stopIfTrue="1" operator="lessThanOrEqual">
      <formula>0</formula>
    </cfRule>
  </conditionalFormatting>
  <conditionalFormatting sqref="I100:I108">
    <cfRule type="cellIs" dxfId="2911" priority="173" stopIfTrue="1" operator="greaterThan">
      <formula>4.5</formula>
    </cfRule>
    <cfRule type="cellIs" dxfId="2910" priority="174" stopIfTrue="1" operator="lessThanOrEqual">
      <formula>0</formula>
    </cfRule>
  </conditionalFormatting>
  <conditionalFormatting sqref="J10:J14">
    <cfRule type="cellIs" dxfId="2909" priority="51" operator="notBetween">
      <formula>98</formula>
      <formula>99.9</formula>
    </cfRule>
  </conditionalFormatting>
  <conditionalFormatting sqref="J10:J47">
    <cfRule type="cellIs" dxfId="2908" priority="20" operator="lessThan">
      <formula>97.4</formula>
    </cfRule>
  </conditionalFormatting>
  <conditionalFormatting sqref="J33:J46">
    <cfRule type="cellIs" dxfId="2907" priority="24" operator="notBetween">
      <formula>98</formula>
      <formula>99.9</formula>
    </cfRule>
  </conditionalFormatting>
  <conditionalFormatting sqref="J50:J52">
    <cfRule type="cellIs" dxfId="2906" priority="108" stopIfTrue="1" operator="greaterThan">
      <formula>100</formula>
    </cfRule>
    <cfRule type="cellIs" dxfId="2905" priority="109" operator="lessThan">
      <formula>98</formula>
    </cfRule>
    <cfRule type="cellIs" dxfId="2904" priority="107" stopIfTrue="1" operator="lessThan">
      <formula>96.8</formula>
    </cfRule>
  </conditionalFormatting>
  <conditionalFormatting sqref="J50:J54">
    <cfRule type="cellIs" dxfId="2903" priority="48" operator="lessThan">
      <formula>97.4</formula>
    </cfRule>
  </conditionalFormatting>
  <conditionalFormatting sqref="J55 L59:M59 L61:M61">
    <cfRule type="cellIs" dxfId="2902" priority="110" operator="lessThan">
      <formula>98</formula>
    </cfRule>
  </conditionalFormatting>
  <conditionalFormatting sqref="J56:J57">
    <cfRule type="cellIs" dxfId="2901" priority="111" stopIfTrue="1" operator="lessThan">
      <formula>96.8</formula>
    </cfRule>
    <cfRule type="cellIs" dxfId="2900" priority="112" stopIfTrue="1" operator="greaterThan">
      <formula>100</formula>
    </cfRule>
  </conditionalFormatting>
  <conditionalFormatting sqref="J56:J58">
    <cfRule type="cellIs" dxfId="2899" priority="113" operator="lessThan">
      <formula>98</formula>
    </cfRule>
  </conditionalFormatting>
  <conditionalFormatting sqref="K10:K14">
    <cfRule type="cellIs" dxfId="2898" priority="50" operator="greaterThan">
      <formula>6.4</formula>
    </cfRule>
  </conditionalFormatting>
  <conditionalFormatting sqref="K10:K47">
    <cfRule type="cellIs" dxfId="2897" priority="17" operator="lessThan">
      <formula>4</formula>
    </cfRule>
    <cfRule type="cellIs" dxfId="2896" priority="16" operator="greaterThan">
      <formula>6</formula>
    </cfRule>
  </conditionalFormatting>
  <conditionalFormatting sqref="K33:K46">
    <cfRule type="cellIs" dxfId="2895" priority="23" operator="greaterThan">
      <formula>6.4</formula>
    </cfRule>
  </conditionalFormatting>
  <conditionalFormatting sqref="K64:K73">
    <cfRule type="cellIs" dxfId="2894" priority="141" operator="notEqual">
      <formula>#REF!</formula>
    </cfRule>
  </conditionalFormatting>
  <conditionalFormatting sqref="K79:K84 J85:K85 L89:N89 K90:N97">
    <cfRule type="cellIs" dxfId="2893" priority="152" stopIfTrue="1" operator="lessThan">
      <formula>100%</formula>
    </cfRule>
  </conditionalFormatting>
  <conditionalFormatting sqref="K100:K105">
    <cfRule type="cellIs" dxfId="2892" priority="179" stopIfTrue="1" operator="lessThan">
      <formula>100%</formula>
    </cfRule>
  </conditionalFormatting>
  <conditionalFormatting sqref="K107:K108">
    <cfRule type="cellIs" dxfId="2891" priority="186" stopIfTrue="1" operator="lessThan">
      <formula>100%</formula>
    </cfRule>
  </conditionalFormatting>
  <conditionalFormatting sqref="L10:L47">
    <cfRule type="cellIs" dxfId="2890" priority="19" operator="greaterThan">
      <formula>65</formula>
    </cfRule>
    <cfRule type="cellIs" dxfId="2889" priority="18" operator="between">
      <formula>61</formula>
      <formula>65</formula>
    </cfRule>
  </conditionalFormatting>
  <conditionalFormatting sqref="L52:L58">
    <cfRule type="cellIs" dxfId="2888" priority="88" operator="lessThan">
      <formula>98</formula>
    </cfRule>
  </conditionalFormatting>
  <conditionalFormatting sqref="L65:N65">
    <cfRule type="cellIs" dxfId="2887" priority="87" operator="notEqual">
      <formula>#REF!</formula>
    </cfRule>
  </conditionalFormatting>
  <conditionalFormatting sqref="L100:N108">
    <cfRule type="cellIs" dxfId="2886" priority="164" stopIfTrue="1" operator="lessThan">
      <formula>100%</formula>
    </cfRule>
  </conditionalFormatting>
  <conditionalFormatting sqref="M10:M11">
    <cfRule type="expression" dxfId="2885" priority="65">
      <formula>IF(+(IF(M10&lt;V23,0,IF(M10&gt;W23,0,1)))=0,1)</formula>
    </cfRule>
  </conditionalFormatting>
  <conditionalFormatting sqref="M13">
    <cfRule type="expression" dxfId="2884" priority="58">
      <formula>IF(+(IF(M13&lt;V47,0,IF(M13&gt;W47,0,1)))=0,1)</formula>
    </cfRule>
    <cfRule type="expression" dxfId="2883" priority="57">
      <formula>IF(+(IF(M13&lt;V52,0,IF(M13&gt;W52,0,1)))=0,1)</formula>
    </cfRule>
  </conditionalFormatting>
  <conditionalFormatting sqref="M14">
    <cfRule type="expression" dxfId="2882" priority="199">
      <formula>IF(+(IF(M14&lt;V27,0,IF(M14&gt;W27,0,1)))=0,1)</formula>
    </cfRule>
  </conditionalFormatting>
  <conditionalFormatting sqref="M15:M32">
    <cfRule type="expression" dxfId="2881" priority="210">
      <formula>IF(+(IF(M15&lt;V62,0,IF(M15&gt;W62,0,1)))=0,1)</formula>
    </cfRule>
  </conditionalFormatting>
  <conditionalFormatting sqref="M33:M46">
    <cfRule type="expression" dxfId="2880" priority="31">
      <formula>IF(+(IF(M33&lt;V48,0,IF(M33&gt;W48,0,1)))=0,1)</formula>
    </cfRule>
    <cfRule type="expression" dxfId="2879" priority="30">
      <formula>IF(+(IF(M33&lt;V53,0,IF(M33&gt;W53,0,1)))=0,1)</formula>
    </cfRule>
  </conditionalFormatting>
  <conditionalFormatting sqref="M50:M58">
    <cfRule type="cellIs" dxfId="2878" priority="86" operator="lessThan">
      <formula>98</formula>
    </cfRule>
  </conditionalFormatting>
  <conditionalFormatting sqref="M10:N12">
    <cfRule type="expression" dxfId="2877" priority="66">
      <formula>IF(+(IF(M10&lt;#REF!,0,IF(M10&gt;#REF!,0,1)))=0,1)</formula>
    </cfRule>
  </conditionalFormatting>
  <conditionalFormatting sqref="M14:N14">
    <cfRule type="expression" dxfId="2876" priority="200">
      <formula>IF(+(IF(M14&lt;#REF!,0,IF(M14&gt;#REF!,0,1)))=0,1)</formula>
    </cfRule>
  </conditionalFormatting>
  <conditionalFormatting sqref="M47:N47">
    <cfRule type="expression" dxfId="2875" priority="194">
      <formula>IF(+(IF(M47&lt;#REF!,0,IF(M47&gt;#REF!,0,1)))=0,1)</formula>
    </cfRule>
  </conditionalFormatting>
  <conditionalFormatting sqref="N10:N11">
    <cfRule type="expression" dxfId="2874" priority="67">
      <formula>IF(+(IF(N10&lt;X23,0,IF(N10&gt;Y23,0,1)))=0,1)</formula>
    </cfRule>
  </conditionalFormatting>
  <conditionalFormatting sqref="N13">
    <cfRule type="expression" dxfId="2873" priority="60">
      <formula>IF(+(IF(N13&lt;X47,0,IF(N13&gt;Y47,0,1)))=0,1)</formula>
    </cfRule>
    <cfRule type="expression" dxfId="2872" priority="59">
      <formula>IF(+(IF(N13&lt;X52,0,IF(N13&gt;Y52,0,1)))=0,1)</formula>
    </cfRule>
  </conditionalFormatting>
  <conditionalFormatting sqref="N14">
    <cfRule type="expression" dxfId="2871" priority="203">
      <formula>IF(+(IF(N14&lt;X27,0,IF(N14&gt;Y27,0,1)))=0,1)</formula>
    </cfRule>
  </conditionalFormatting>
  <conditionalFormatting sqref="N15:N32">
    <cfRule type="expression" dxfId="2870" priority="211">
      <formula>IF(+(IF(N15&lt;X62,0,IF(N15&gt;Y62,0,1)))=0,1)</formula>
    </cfRule>
  </conditionalFormatting>
  <conditionalFormatting sqref="N33:N46">
    <cfRule type="expression" dxfId="2869" priority="33">
      <formula>IF(+(IF(N33&lt;X48,0,IF(N33&gt;Y48,0,1)))=0,1)</formula>
    </cfRule>
    <cfRule type="expression" dxfId="2868" priority="32">
      <formula>IF(+(IF(N33&lt;X53,0,IF(N33&gt;Y53,0,1)))=0,1)</formula>
    </cfRule>
  </conditionalFormatting>
  <conditionalFormatting sqref="P6">
    <cfRule type="cellIs" dxfId="2867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B2FB-E45A-49B5-B400-35585F5B4588}">
  <sheetPr>
    <pageSetUpPr fitToPage="1"/>
  </sheetPr>
  <dimension ref="A1:BE91"/>
  <sheetViews>
    <sheetView topLeftCell="A56" zoomScale="80" zoomScaleNormal="80" workbookViewId="0">
      <selection activeCell="G17" sqref="G17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45840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7" t="s">
        <v>16</v>
      </c>
      <c r="C10" s="366" t="str">
        <f>[22]Brewhouse!$A56</f>
        <v>SM045</v>
      </c>
      <c r="D10" s="279">
        <f>[22]Brewhouse!$AH56</f>
        <v>56.7</v>
      </c>
      <c r="E10" s="279">
        <f>[22]Brewhouse!$AM56</f>
        <v>51.6</v>
      </c>
      <c r="F10" s="278">
        <f>[22]Brewhouse!$Z56</f>
        <v>81</v>
      </c>
      <c r="G10" s="279">
        <f>[22]Brewhouse!$AK56</f>
        <v>17.260000000000002</v>
      </c>
      <c r="H10" s="396">
        <v>17.399999999999999</v>
      </c>
      <c r="I10" s="368">
        <f>[22]Brewhouse!$AY56</f>
        <v>98.181053939282549</v>
      </c>
      <c r="J10" s="368">
        <f>[22]Brewhouse!$AZ56</f>
        <v>98.962705801686042</v>
      </c>
      <c r="K10" s="392">
        <f>[22]Brewhouse!$U56</f>
        <v>17.072310405643751</v>
      </c>
      <c r="L10" s="276">
        <f>[22]Brewhouse!$T56</f>
        <v>61</v>
      </c>
      <c r="M10" s="374">
        <f>[22]Brewhouse!$Y56-[22]Brewhouse!$X56</f>
        <v>0.13958333333333339</v>
      </c>
      <c r="N10" s="370">
        <f>[22]Brewhouse!$AD56</f>
        <v>0.29583333333333339</v>
      </c>
      <c r="O10" s="371" t="str">
        <f>[22]Brewhouse!$BC56</f>
        <v>D. Gomaz</v>
      </c>
      <c r="P10" s="419"/>
      <c r="R10" s="277" t="str">
        <f t="shared" ref="R10:R16" si="0">B10</f>
        <v>STARMALT</v>
      </c>
      <c r="S10" s="296">
        <f t="shared" ref="S10:S16" si="1">VLOOKUP($B10,$R$3:$X$9,2,FALSE)</f>
        <v>17.100000000000001</v>
      </c>
      <c r="T10" s="296">
        <f t="shared" ref="T10:T16" si="2">VLOOKUP($B10,$R$3:$X$9,3,FALSE)</f>
        <v>17.5</v>
      </c>
      <c r="U10" s="297">
        <f t="shared" ref="U10:U16" si="3">VLOOKUP($B10,$R$3:$X$9,4,FALSE)</f>
        <v>0</v>
      </c>
      <c r="V10" s="297">
        <f t="shared" ref="V10:V16" si="4">VLOOKUP($B10,$R$3:$X$9,5,FALSE)</f>
        <v>0.13605324074074074</v>
      </c>
      <c r="W10" s="297">
        <f t="shared" ref="W10:W16" si="5">VLOOKUP($B10,$R$3:$X$9,6,FALSE)</f>
        <v>0.27430555555555552</v>
      </c>
      <c r="X10" s="297">
        <f t="shared" ref="X10:X16" si="6">VLOOKUP($B10,$R$3:$X$9,7,FALSE)</f>
        <v>0.30902777777777779</v>
      </c>
      <c r="Y10" s="297">
        <f t="shared" ref="Y10:Y16" si="7">VLOOKUP($B10,$R$3:$Z$9,8,FALSE)</f>
        <v>0</v>
      </c>
      <c r="Z10" s="296">
        <f t="shared" ref="Z10:Z16" si="8">VLOOKUP($B10,$R$3:$Z$9,9,FALSE)</f>
        <v>85</v>
      </c>
    </row>
    <row r="11" spans="2:29" ht="15.75" customHeight="1">
      <c r="B11" s="37" t="s">
        <v>16</v>
      </c>
      <c r="C11" s="366" t="str">
        <f>[22]Brewhouse!$A57</f>
        <v>SM046</v>
      </c>
      <c r="D11" s="279">
        <f>[22]Brewhouse!$AH57</f>
        <v>53.1</v>
      </c>
      <c r="E11" s="279">
        <f>[22]Brewhouse!$AM57</f>
        <v>49.8</v>
      </c>
      <c r="F11" s="278">
        <f>[22]Brewhouse!$Z57</f>
        <v>77</v>
      </c>
      <c r="G11" s="279">
        <f>[22]Brewhouse!$AK57</f>
        <v>16.309999999999999</v>
      </c>
      <c r="H11" s="367"/>
      <c r="I11" s="368">
        <f>[22]Brewhouse!$AY57</f>
        <v>87.428386701544582</v>
      </c>
      <c r="J11" s="368">
        <f>[22]Brewhouse!$AZ57</f>
        <v>88.137926647152227</v>
      </c>
      <c r="K11" s="392">
        <f>[22]Brewhouse!$U57</f>
        <v>9.9435028248587596</v>
      </c>
      <c r="L11" s="276">
        <f>[22]Brewhouse!$T57</f>
        <v>60</v>
      </c>
      <c r="M11" s="374">
        <f>[22]Brewhouse!$Y57-[22]Brewhouse!$X57</f>
        <v>0.12638888888888888</v>
      </c>
      <c r="N11" s="370">
        <f>[22]Brewhouse!$AD57</f>
        <v>0.27569444444444446</v>
      </c>
      <c r="O11" s="371" t="str">
        <f>[22]Brewhouse!$BC57</f>
        <v>D. Gomaz</v>
      </c>
      <c r="P11" s="419" t="s">
        <v>168</v>
      </c>
      <c r="R11" s="277" t="str">
        <f t="shared" si="0"/>
        <v>STARMALT</v>
      </c>
      <c r="S11" s="296">
        <f t="shared" si="1"/>
        <v>17.100000000000001</v>
      </c>
      <c r="T11" s="296">
        <f t="shared" si="2"/>
        <v>17.5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296">
        <f t="shared" si="8"/>
        <v>85</v>
      </c>
    </row>
    <row r="12" spans="2:29" ht="15.75" customHeight="1">
      <c r="B12" s="37" t="s">
        <v>16</v>
      </c>
      <c r="C12" s="366" t="str">
        <f>[22]Brewhouse!$A58</f>
        <v>SM047</v>
      </c>
      <c r="D12" s="279">
        <f>[22]Brewhouse!$AH58</f>
        <v>53.5</v>
      </c>
      <c r="E12" s="279">
        <f>[22]Brewhouse!$AM58</f>
        <v>53.9</v>
      </c>
      <c r="F12" s="278">
        <f>[22]Brewhouse!$Z58</f>
        <v>64</v>
      </c>
      <c r="G12" s="279">
        <f>[22]Brewhouse!$AK58</f>
        <v>18.47</v>
      </c>
      <c r="H12" s="367"/>
      <c r="I12" s="368">
        <f>[22]Brewhouse!$AY58</f>
        <v>110.11827495393527</v>
      </c>
      <c r="J12" s="368">
        <f>[22]Brewhouse!$AZ58</f>
        <v>110.99578529011555</v>
      </c>
      <c r="K12" s="392">
        <f>[22]Brewhouse!$U58</f>
        <v>9.869158878504674</v>
      </c>
      <c r="L12" s="276">
        <f>[22]Brewhouse!$T58</f>
        <v>61</v>
      </c>
      <c r="M12" s="374">
        <f>[22]Brewhouse!$Y58-[22]Brewhouse!$X58</f>
        <v>0.12986111111111109</v>
      </c>
      <c r="N12" s="370">
        <f>[22]Brewhouse!$AD58</f>
        <v>0.27847222222222223</v>
      </c>
      <c r="O12" s="371" t="str">
        <f>[22]Brewhouse!$BC58</f>
        <v>D. Gomaz</v>
      </c>
      <c r="P12" s="419" t="s">
        <v>166</v>
      </c>
      <c r="R12" s="277" t="str">
        <f t="shared" si="0"/>
        <v>STARMALT</v>
      </c>
      <c r="S12" s="296">
        <f t="shared" si="1"/>
        <v>17.100000000000001</v>
      </c>
      <c r="T12" s="296">
        <f t="shared" si="2"/>
        <v>17.5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296">
        <f t="shared" si="8"/>
        <v>85</v>
      </c>
    </row>
    <row r="13" spans="2:29" ht="15.75" customHeight="1">
      <c r="B13" s="37" t="s">
        <v>16</v>
      </c>
      <c r="C13" s="366" t="str">
        <f>[22]Brewhouse!$A59</f>
        <v>SM048</v>
      </c>
      <c r="D13" s="279">
        <f>[22]Brewhouse!$AH59</f>
        <v>54.3</v>
      </c>
      <c r="E13" s="279">
        <f>[22]Brewhouse!$AM59</f>
        <v>52.3</v>
      </c>
      <c r="F13" s="278">
        <f>[22]Brewhouse!$Z59</f>
        <v>64</v>
      </c>
      <c r="G13" s="279">
        <f>[22]Brewhouse!$AK59</f>
        <v>17.239999999999998</v>
      </c>
      <c r="H13" s="396">
        <v>18.5</v>
      </c>
      <c r="I13" s="368">
        <f>[22]Brewhouse!$AY59</f>
        <v>98.787376054162792</v>
      </c>
      <c r="J13" s="368">
        <f>[22]Brewhouse!$AZ59</f>
        <v>99.574592741019913</v>
      </c>
      <c r="K13" s="392">
        <f>[22]Brewhouse!$U59</f>
        <v>12.302025782688766</v>
      </c>
      <c r="L13" s="276">
        <f>[22]Brewhouse!$T59</f>
        <v>58</v>
      </c>
      <c r="M13" s="374">
        <f>[22]Brewhouse!$Y59-[22]Brewhouse!$X59</f>
        <v>0.1215277777777779</v>
      </c>
      <c r="N13" s="370">
        <f>[22]Brewhouse!$AD59</f>
        <v>0.28125</v>
      </c>
      <c r="O13" s="371" t="str">
        <f>[22]Brewhouse!$BC59</f>
        <v>R.Sookram</v>
      </c>
      <c r="P13" s="419"/>
      <c r="R13" s="277" t="str">
        <f t="shared" si="0"/>
        <v>STARMALT</v>
      </c>
      <c r="S13" s="296">
        <f t="shared" si="1"/>
        <v>17.100000000000001</v>
      </c>
      <c r="T13" s="296">
        <f t="shared" si="2"/>
        <v>17.5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296">
        <f t="shared" si="8"/>
        <v>85</v>
      </c>
    </row>
    <row r="14" spans="2:29" ht="15.75" customHeight="1">
      <c r="B14" s="425">
        <v>45840</v>
      </c>
      <c r="C14" s="366"/>
      <c r="D14" s="279"/>
      <c r="E14" s="279"/>
      <c r="F14" s="278"/>
      <c r="G14" s="279"/>
      <c r="H14" s="367"/>
      <c r="I14" s="368"/>
      <c r="J14" s="368"/>
      <c r="K14" s="392"/>
      <c r="L14" s="276"/>
      <c r="M14" s="374"/>
      <c r="N14" s="370"/>
      <c r="O14" s="371"/>
      <c r="P14" s="419"/>
      <c r="R14" s="277"/>
      <c r="S14" s="296"/>
      <c r="T14" s="296"/>
      <c r="U14" s="297"/>
      <c r="V14" s="297"/>
      <c r="W14" s="297"/>
      <c r="X14" s="297"/>
      <c r="Y14" s="297"/>
      <c r="Z14" s="296"/>
    </row>
    <row r="15" spans="2:29" ht="15.75" customHeight="1">
      <c r="B15" s="37" t="s">
        <v>16</v>
      </c>
      <c r="C15" s="366" t="str">
        <f>[22]Brewhouse!$A60</f>
        <v>SM049</v>
      </c>
      <c r="D15" s="279">
        <f>[22]Brewhouse!$AH60</f>
        <v>55</v>
      </c>
      <c r="E15" s="279">
        <f>[22]Brewhouse!$AM60</f>
        <v>52.3</v>
      </c>
      <c r="F15" s="278">
        <f>[22]Brewhouse!$Z60</f>
        <v>71</v>
      </c>
      <c r="G15" s="279">
        <f>[22]Brewhouse!$AK60</f>
        <v>17.28</v>
      </c>
      <c r="H15" s="396"/>
      <c r="I15" s="368">
        <f>[22]Brewhouse!$AY60</f>
        <v>99.593723178345229</v>
      </c>
      <c r="J15" s="368">
        <f>[22]Brewhouse!$AZ60</f>
        <v>100.3858768572243</v>
      </c>
      <c r="K15" s="392">
        <f>[22]Brewhouse!$U60</f>
        <v>12.872727272727284</v>
      </c>
      <c r="L15" s="276">
        <f>[22]Brewhouse!$T60</f>
        <v>58</v>
      </c>
      <c r="M15" s="374">
        <f>[22]Brewhouse!$Y60-[22]Brewhouse!$X60</f>
        <v>0.13750000000000018</v>
      </c>
      <c r="N15" s="370">
        <f>[22]Brewhouse!$AD60</f>
        <v>0.28402777777777777</v>
      </c>
      <c r="O15" s="371" t="str">
        <f>[22]Brewhouse!$BC60</f>
        <v>R.Sookram</v>
      </c>
      <c r="P15" s="419"/>
      <c r="R15" s="277" t="str">
        <f t="shared" si="0"/>
        <v>STARMALT</v>
      </c>
      <c r="S15" s="296">
        <f t="shared" si="1"/>
        <v>17.100000000000001</v>
      </c>
      <c r="T15" s="296">
        <f t="shared" si="2"/>
        <v>17.5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296">
        <f t="shared" si="8"/>
        <v>85</v>
      </c>
    </row>
    <row r="16" spans="2:29" ht="15.7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29" t="s">
        <v>6</v>
      </c>
      <c r="C17" s="366" t="str">
        <f>[23]Brewhouse!$A580</f>
        <v>CA473</v>
      </c>
      <c r="D17" s="279">
        <f>[23]Brewhouse!$AF580</f>
        <v>53.3</v>
      </c>
      <c r="E17" s="279">
        <f>[23]Brewhouse!$AI580</f>
        <v>51.22</v>
      </c>
      <c r="F17" s="278">
        <f>[23]Brewhouse!$V580</f>
        <v>59</v>
      </c>
      <c r="G17" s="279">
        <f>[23]Brewhouse!$AG580</f>
        <v>11.85</v>
      </c>
      <c r="H17" s="396">
        <v>11.8</v>
      </c>
      <c r="I17" s="368">
        <f>[23]Brewhouse!$AU580</f>
        <v>102.69776412900535</v>
      </c>
      <c r="J17" s="368">
        <f>[23]Brewhouse!$AV580</f>
        <v>105.32765555998623</v>
      </c>
      <c r="K17" s="281">
        <f>[23]Brewhouse!$Q580</f>
        <v>4.5735027223230542</v>
      </c>
      <c r="L17" s="276">
        <f>[23]Brewhouse!$P580</f>
        <v>56</v>
      </c>
      <c r="M17" s="397">
        <f>[23]Brewhouse!$U580-[23]Brewhouse!$T580</f>
        <v>0.11111111111111113</v>
      </c>
      <c r="N17" s="370">
        <f>[23]Brewhouse!$Z580</f>
        <v>0.25624999999999998</v>
      </c>
      <c r="O17" s="371" t="str">
        <f>[23]Brewhouse!$AX580</f>
        <v>R. Sookram</v>
      </c>
      <c r="P17" s="419"/>
      <c r="R17" s="277" t="str">
        <f t="shared" ref="R17:R42" si="9">B17</f>
        <v>CARIB</v>
      </c>
      <c r="S17" s="296">
        <f t="shared" ref="S17:S42" si="10">VLOOKUP($B17,$R$3:$X$9,2,FALSE)</f>
        <v>11.6</v>
      </c>
      <c r="T17" s="296">
        <f t="shared" ref="T17:T42" si="11">VLOOKUP($B17,$R$3:$X$9,3,FALSE)</f>
        <v>12</v>
      </c>
      <c r="U17" s="297">
        <f t="shared" ref="U17:U42" si="12">VLOOKUP($B17,$R$3:$X$9,4,FALSE)</f>
        <v>0</v>
      </c>
      <c r="V17" s="297">
        <f t="shared" ref="V17:V42" si="13">VLOOKUP($B17,$R$3:$X$9,5,FALSE)</f>
        <v>0.118055555555556</v>
      </c>
      <c r="W17" s="297">
        <f t="shared" ref="W17:W42" si="14">VLOOKUP($B17,$R$3:$X$9,6,FALSE)</f>
        <v>0.22569444444444445</v>
      </c>
      <c r="X17" s="297">
        <f t="shared" ref="X17:X42" si="15">VLOOKUP($B17,$R$3:$X$9,7,FALSE)</f>
        <v>0.2638888888888889</v>
      </c>
      <c r="Y17" s="297">
        <f t="shared" ref="Y17:Y42" si="16">VLOOKUP($B17,$R$3:$Z$9,8,FALSE)</f>
        <v>0</v>
      </c>
      <c r="Z17" s="296">
        <f t="shared" ref="Z17:Z42" si="17">VLOOKUP($B17,$R$3:$Z$9,9,FALSE)</f>
        <v>60</v>
      </c>
    </row>
    <row r="18" spans="2:26" ht="15.75" customHeight="1">
      <c r="B18" s="29" t="s">
        <v>6</v>
      </c>
      <c r="C18" s="366" t="str">
        <f>[23]Brewhouse!$A581</f>
        <v>CA474</v>
      </c>
      <c r="D18" s="279">
        <f>[23]Brewhouse!$AF581</f>
        <v>53.1</v>
      </c>
      <c r="E18" s="279">
        <f>[23]Brewhouse!$AI581</f>
        <v>51.1</v>
      </c>
      <c r="F18" s="278">
        <f>[23]Brewhouse!$V581</f>
        <v>64</v>
      </c>
      <c r="G18" s="279">
        <f>[23]Brewhouse!$AG581</f>
        <v>11.66</v>
      </c>
      <c r="H18" s="396">
        <v>11.7</v>
      </c>
      <c r="I18" s="368">
        <f>[23]Brewhouse!$AU581</f>
        <v>97.88686631599785</v>
      </c>
      <c r="J18" s="368">
        <f>[23]Brewhouse!$AV581</f>
        <v>100.39670379484258</v>
      </c>
      <c r="K18" s="281">
        <f>[23]Brewhouse!$Q581</f>
        <v>5.4512635379061303</v>
      </c>
      <c r="L18" s="276">
        <f>[23]Brewhouse!$P581</f>
        <v>60</v>
      </c>
      <c r="M18" s="397">
        <f>[23]Brewhouse!$U581-[23]Brewhouse!$T581</f>
        <v>0.10902777777777778</v>
      </c>
      <c r="N18" s="370">
        <f>[23]Brewhouse!$Z581</f>
        <v>0.2638888888888889</v>
      </c>
      <c r="O18" s="371" t="str">
        <f>[23]Brewhouse!$AX581</f>
        <v>R. Sookram</v>
      </c>
      <c r="P18" s="419"/>
      <c r="R18" s="277" t="str">
        <f t="shared" si="9"/>
        <v>CARIB</v>
      </c>
      <c r="S18" s="296">
        <f t="shared" si="10"/>
        <v>11.6</v>
      </c>
      <c r="T18" s="296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296">
        <f t="shared" si="17"/>
        <v>60</v>
      </c>
    </row>
    <row r="19" spans="2:26" ht="15.75" customHeight="1">
      <c r="B19" s="29" t="s">
        <v>6</v>
      </c>
      <c r="C19" s="366" t="str">
        <f>[23]Brewhouse!$A582</f>
        <v>CA475</v>
      </c>
      <c r="D19" s="279">
        <f>[23]Brewhouse!$AF582</f>
        <v>52</v>
      </c>
      <c r="E19" s="279">
        <f>[23]Brewhouse!$AI582</f>
        <v>50.8</v>
      </c>
      <c r="F19" s="278">
        <f>[23]Brewhouse!$V582</f>
        <v>64</v>
      </c>
      <c r="G19" s="279">
        <f>[23]Brewhouse!$AG582</f>
        <v>11.86</v>
      </c>
      <c r="H19" s="396">
        <v>11.8</v>
      </c>
      <c r="I19" s="368">
        <f>[23]Brewhouse!$AU582</f>
        <v>98.571257731235903</v>
      </c>
      <c r="J19" s="368">
        <f>[23]Brewhouse!$AV582</f>
        <v>101.09920019896173</v>
      </c>
      <c r="K19" s="281">
        <f>[23]Brewhouse!$Q582</f>
        <v>7.6036036036036005</v>
      </c>
      <c r="L19" s="276">
        <f>[23]Brewhouse!$P582</f>
        <v>60</v>
      </c>
      <c r="M19" s="397">
        <f>[23]Brewhouse!$U582-[23]Brewhouse!$T582</f>
        <v>0.11458333333333337</v>
      </c>
      <c r="N19" s="370">
        <f>[23]Brewhouse!$Z582</f>
        <v>0.28333333333333338</v>
      </c>
      <c r="O19" s="371" t="str">
        <f>[23]Brewhouse!$AX582</f>
        <v>R. Regis</v>
      </c>
      <c r="P19" s="419"/>
      <c r="R19" s="277" t="str">
        <f t="shared" si="9"/>
        <v>CARIB</v>
      </c>
      <c r="S19" s="296">
        <f t="shared" si="10"/>
        <v>11.6</v>
      </c>
      <c r="T19" s="296">
        <f t="shared" si="11"/>
        <v>12</v>
      </c>
      <c r="U19" s="297">
        <f t="shared" si="12"/>
        <v>0</v>
      </c>
      <c r="V19" s="297">
        <f t="shared" si="13"/>
        <v>0.118055555555556</v>
      </c>
      <c r="W19" s="297">
        <f t="shared" si="14"/>
        <v>0.22569444444444445</v>
      </c>
      <c r="X19" s="297">
        <f t="shared" si="15"/>
        <v>0.2638888888888889</v>
      </c>
      <c r="Y19" s="297">
        <f t="shared" si="16"/>
        <v>0</v>
      </c>
      <c r="Z19" s="296">
        <f t="shared" si="17"/>
        <v>60</v>
      </c>
    </row>
    <row r="20" spans="2:26" ht="15.75" customHeight="1">
      <c r="B20" s="29" t="s">
        <v>6</v>
      </c>
      <c r="C20" s="366" t="str">
        <f>[23]Brewhouse!$A583</f>
        <v>CA476</v>
      </c>
      <c r="D20" s="279">
        <f>[23]Brewhouse!$AF583</f>
        <v>53.2</v>
      </c>
      <c r="E20" s="279">
        <f>[23]Brewhouse!$AI583</f>
        <v>51</v>
      </c>
      <c r="F20" s="278">
        <f>[23]Brewhouse!$V583</f>
        <v>66</v>
      </c>
      <c r="G20" s="279">
        <f>[23]Brewhouse!$AG583</f>
        <v>11.67</v>
      </c>
      <c r="H20" s="396">
        <v>11.7</v>
      </c>
      <c r="I20" s="368">
        <f>[23]Brewhouse!$AU583</f>
        <v>98.571043835715642</v>
      </c>
      <c r="J20" s="368">
        <f>[23]Brewhouse!$AV583</f>
        <v>100.20023275023426</v>
      </c>
      <c r="K20" s="281">
        <f>[23]Brewhouse!$Q583</f>
        <v>5.4414414414414347</v>
      </c>
      <c r="L20" s="276">
        <f>[23]Brewhouse!$P583</f>
        <v>63</v>
      </c>
      <c r="M20" s="397">
        <f>[23]Brewhouse!$U583-[23]Brewhouse!$T583</f>
        <v>0.11250000000000004</v>
      </c>
      <c r="N20" s="370">
        <f>[23]Brewhouse!$Z583</f>
        <v>0.25347222222222227</v>
      </c>
      <c r="O20" s="371" t="str">
        <f>[23]Brewhouse!$AX583</f>
        <v>R. Regis</v>
      </c>
      <c r="P20" s="419"/>
      <c r="R20" s="277" t="str">
        <f t="shared" si="9"/>
        <v>CARIB</v>
      </c>
      <c r="S20" s="296">
        <f t="shared" si="10"/>
        <v>11.6</v>
      </c>
      <c r="T20" s="296">
        <f t="shared" si="11"/>
        <v>12</v>
      </c>
      <c r="U20" s="297">
        <f t="shared" si="12"/>
        <v>0</v>
      </c>
      <c r="V20" s="297">
        <f t="shared" si="13"/>
        <v>0.118055555555556</v>
      </c>
      <c r="W20" s="297">
        <f t="shared" si="14"/>
        <v>0.22569444444444445</v>
      </c>
      <c r="X20" s="297">
        <f t="shared" si="15"/>
        <v>0.2638888888888889</v>
      </c>
      <c r="Y20" s="297">
        <f t="shared" si="16"/>
        <v>0</v>
      </c>
      <c r="Z20" s="296">
        <f t="shared" si="17"/>
        <v>60</v>
      </c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2:26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2:26" ht="25.95" hidden="1" customHeight="1">
      <c r="B27" s="424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4"/>
      <c r="O27" s="371"/>
      <c r="P27" s="419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4"/>
      <c r="O28" s="371"/>
      <c r="P28" s="419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4"/>
      <c r="O29" s="371"/>
      <c r="P29" s="419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4"/>
      <c r="O30" s="371"/>
      <c r="P30" s="419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4"/>
      <c r="O31" s="371"/>
      <c r="P31" s="423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</row>
    <row r="41" spans="1:27" ht="15.75" customHeight="1" thickBot="1">
      <c r="B41" s="358"/>
      <c r="C41" s="358"/>
      <c r="D41" s="358"/>
      <c r="E41" s="358"/>
      <c r="F41" s="294"/>
      <c r="G41" s="294"/>
      <c r="H41" s="348"/>
      <c r="I41" s="532"/>
      <c r="J41" s="532"/>
      <c r="K41" s="532"/>
      <c r="L41" s="532"/>
      <c r="M41" s="532"/>
      <c r="N41" s="532"/>
      <c r="O41" s="1"/>
      <c r="P41" s="12"/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</row>
    <row r="42" spans="1:27" ht="15" thickBot="1">
      <c r="B42" s="388" t="s">
        <v>163</v>
      </c>
      <c r="C42" s="388"/>
      <c r="D42" s="545" t="s">
        <v>35</v>
      </c>
      <c r="E42" s="546"/>
      <c r="F42" s="294"/>
      <c r="G42" s="294"/>
      <c r="H42" s="348"/>
      <c r="I42" s="24" t="s">
        <v>17</v>
      </c>
      <c r="J42" s="25" t="s">
        <v>36</v>
      </c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9"/>
        <v xml:space="preserve">BRAND </v>
      </c>
      <c r="S42" s="296" t="e">
        <f t="shared" si="10"/>
        <v>#N/A</v>
      </c>
      <c r="T42" s="296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296" t="e">
        <f t="shared" si="17"/>
        <v>#N/A</v>
      </c>
    </row>
    <row r="43" spans="1:27" ht="15" customHeight="1">
      <c r="A43" s="28"/>
      <c r="B43" s="569" t="s">
        <v>6</v>
      </c>
      <c r="C43" s="362" cm="1">
        <f t="array" ref="C43:C47">[23]Process!$D$504:$D$508</f>
        <v>11.9</v>
      </c>
      <c r="D43" s="536">
        <v>11.85</v>
      </c>
      <c r="E43" s="525"/>
      <c r="F43" s="294"/>
      <c r="G43" s="294"/>
      <c r="H43" s="348"/>
      <c r="I43" s="29" t="s">
        <v>6</v>
      </c>
      <c r="J43" s="280">
        <f>AVERAGE(I17:I20)</f>
        <v>99.431733002988693</v>
      </c>
      <c r="K43" s="284">
        <f>COUNTA([23]Brewhouse!$A$580:$A$583)</f>
        <v>4</v>
      </c>
      <c r="L43" s="305">
        <f>AVERAGE([23]Brewhouse!$AU$580:$AU$583)</f>
        <v>99.431733002988693</v>
      </c>
      <c r="M43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AVERAGE([23]Brewhouse!$AU$102:$AU$171,[23]Brewhouse!$AU$173:$AU$253,[23]Brewhouse!$AU$255:$AU$339,[23]Brewhouse!$AU$341:$AU$346,[23]Brewhouse!$AU$348,[23]Brewhouse!$AU$349:$AU$406,[23]Brewhouse!$AU$408:$AU$491,[23]Brewhouse!$AU$493:$AU$578,[23]Brewhouse!$AU$580:$AU$583)</f>
        <v>97.764023913429369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5" customHeight="1">
      <c r="A44" s="28"/>
      <c r="B44" s="570"/>
      <c r="C44" s="349">
        <v>11.7</v>
      </c>
      <c r="D44" s="537"/>
      <c r="E44" s="520"/>
      <c r="F44" s="294"/>
      <c r="G44" s="294"/>
      <c r="H44" s="348"/>
      <c r="I44" s="33" t="s">
        <v>9</v>
      </c>
      <c r="J44" s="280"/>
      <c r="K44" s="284"/>
      <c r="L44" s="302"/>
      <c r="M44" s="302">
        <f>AVERAGE([24]Brewhouse!$AS$15:$AS$64,[24]Brewhouse!$AS$66:$AS$103,[24]Brewhouse!$AS$105:$AS$140,[24]Brewhouse!$AS$142:$AS$193,[24]Brewhouse!$AS$195:$AS$240,[24]Brewhouse!$AS$242:$AS$273)</f>
        <v>97.876259527849214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7" ht="14.7" customHeight="1">
      <c r="A45" s="28"/>
      <c r="B45" s="570"/>
      <c r="C45" s="349">
        <v>11.8</v>
      </c>
      <c r="D45" s="536">
        <v>12</v>
      </c>
      <c r="E45" s="525"/>
      <c r="F45" s="294"/>
      <c r="G45" s="294"/>
      <c r="H45" s="348"/>
      <c r="I45" s="34" t="s">
        <v>12</v>
      </c>
      <c r="J45" s="280"/>
      <c r="K45" s="284"/>
      <c r="L45" s="302"/>
      <c r="M45" s="302">
        <f>AVERAGE([25]Brewhouse!$AU$4:$AU$7,[25]Brewhouse!$AU$9:$AU$22,[25]Brewhouse!$AU$24:$AU$35,[25]Brewhouse!$AU$37:$AU$45,[25]Brewhouse!$AU$47:$AU$62)</f>
        <v>97.179377138297156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7" ht="14.7" customHeight="1">
      <c r="A46" s="28"/>
      <c r="B46" s="570"/>
      <c r="C46" s="349">
        <v>11.8</v>
      </c>
      <c r="D46" s="537"/>
      <c r="E46" s="520"/>
      <c r="F46" s="294"/>
      <c r="G46" s="294"/>
      <c r="H46" s="348"/>
      <c r="I46" s="22" t="s">
        <v>33</v>
      </c>
      <c r="J46" s="280"/>
      <c r="K46" s="284"/>
      <c r="L46" s="302"/>
      <c r="M46" s="302">
        <f>AVERAGE([26]Brewhouse!$AV$5:$AV$14,[26]Brewhouse!$AV$16:$AV$19,[26]Brewhouse!$AV$21:$AV$24,[26]Brewhouse!$AV$26:$AV$33,[26]Brewhouse!$AV$35:$AV$46,[26]Brewhouse!$AV$48:$AV$53)</f>
        <v>98.620083722669861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7" ht="14.7" customHeight="1">
      <c r="A47" s="28"/>
      <c r="B47" s="570"/>
      <c r="C47" s="349">
        <v>11.9</v>
      </c>
      <c r="D47" s="536">
        <v>11.95</v>
      </c>
      <c r="E47" s="525"/>
      <c r="F47" s="418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7" ht="14.7" customHeight="1">
      <c r="A48" s="28"/>
      <c r="B48" s="570"/>
      <c r="C48" s="349"/>
      <c r="D48" s="537"/>
      <c r="E48" s="520"/>
      <c r="F48" s="418"/>
      <c r="G48" s="294"/>
      <c r="H48" s="348"/>
      <c r="I48" s="36" t="s">
        <v>15</v>
      </c>
      <c r="J48" s="323"/>
      <c r="K48" s="284"/>
      <c r="L48" s="302"/>
      <c r="M48" s="302">
        <f>AVERAGE([27]Brewhouse!$AT$4:$AT$11,[27]Brewhouse!$AT$13:$AT$16,[27]Brewhouse!$AT$18:$AT$21)</f>
        <v>94.773169817643847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4.7" customHeight="1">
      <c r="A49" s="28"/>
      <c r="B49" s="570"/>
      <c r="C49" s="349"/>
      <c r="D49" s="536"/>
      <c r="E49" s="525"/>
      <c r="F49" s="418"/>
      <c r="G49" s="294"/>
      <c r="H49" s="348"/>
      <c r="I49" s="37" t="s">
        <v>16</v>
      </c>
      <c r="J49" s="323">
        <f>AVERAGE(I10:I15)</f>
        <v>98.821762965454084</v>
      </c>
      <c r="K49" s="284">
        <f>COUNTA([22]Brewhouse!$A$56:$A$60)</f>
        <v>5</v>
      </c>
      <c r="L49" s="302">
        <f>AVERAGE([22]Brewhouse!$AY$56:$AY$60)</f>
        <v>98.821762965454084</v>
      </c>
      <c r="M49" s="302">
        <f>AVERAGE([22]Brewhouse!$AY$6:$AY$13,[22]Brewhouse!$AY$15:$AY$20,[22]Brewhouse!$AY$22:$AY$29,[22]Brewhouse!$AY$31:$AY$34,[22]Brewhouse!$AY$36:$AY$43,[22]Brewhouse!$AY$45:$AY$50, [22]Brewhouse!$AY$56:$AY$60)</f>
        <v>96.858084582465949</v>
      </c>
      <c r="N49" s="30">
        <v>98</v>
      </c>
      <c r="O49" s="11"/>
      <c r="P49" s="31" t="s">
        <v>41</v>
      </c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70"/>
      <c r="C50" s="349"/>
      <c r="D50" s="537"/>
      <c r="E50" s="520"/>
      <c r="F50" s="294"/>
      <c r="G50" s="294"/>
      <c r="H50" s="348"/>
      <c r="I50" s="411" t="s">
        <v>158</v>
      </c>
      <c r="J50" s="326"/>
      <c r="K50" s="284"/>
      <c r="L50" s="305"/>
      <c r="M50" s="305">
        <f>AVERAGE([28]Brewhouse!$AU$5:$AU$8,[28]Brewhouse!$AU$10:$AU$13)</f>
        <v>94.247666625193744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70"/>
      <c r="C51" s="349"/>
      <c r="D51" s="536"/>
      <c r="E51" s="525"/>
      <c r="F51" s="294"/>
      <c r="G51" s="294"/>
      <c r="H51" s="348"/>
      <c r="I51" s="410" t="s">
        <v>157</v>
      </c>
      <c r="J51" s="326"/>
      <c r="K51" s="284"/>
      <c r="L51" s="305"/>
      <c r="M51" s="305">
        <f>AVERAGE([29]Brewhouse!$AW$26:$AW$27)</f>
        <v>95.310680905194914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5" customHeight="1" thickBot="1">
      <c r="A52" s="28"/>
      <c r="B52" s="570"/>
      <c r="C52" s="349"/>
      <c r="D52" s="537"/>
      <c r="E52" s="520"/>
      <c r="F52" s="294"/>
      <c r="G52" s="294"/>
      <c r="H52" s="348"/>
      <c r="I52" s="406" t="s">
        <v>156</v>
      </c>
      <c r="J52" s="327"/>
      <c r="K52" s="407"/>
      <c r="L52" s="408"/>
      <c r="M52" s="408">
        <f>AVERAGE([30]Brewhouse!$AU$13:$AU$14)</f>
        <v>97.110575243268045</v>
      </c>
      <c r="N52" s="409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70"/>
      <c r="C53" s="349"/>
      <c r="D53" s="536"/>
      <c r="E53" s="525"/>
      <c r="F53" s="294"/>
      <c r="G53" s="294"/>
      <c r="H53" s="348"/>
      <c r="I53" s="1"/>
      <c r="J53" s="39"/>
      <c r="K53" s="404">
        <f>SUM(K43:K52)</f>
        <v>9</v>
      </c>
      <c r="L53" s="405">
        <f>((L43*K43)+(L44*K44)+(L45*K45)+(L46*K46)+(L47*K47)+(K50*L50)+(L48*K48)+(L49*K49)+(L52*K52))/(K53)</f>
        <v>99.092860759913904</v>
      </c>
      <c r="M53" s="405">
        <f>AVERAGE('[31]Jan 31st'!$L$65,'[32]Feb 28th'!$L$35,'[33]Mar. 31st'!$L$35,'[34]Apr. 30th'!$L$45,'[35]May 30th'!$L$37,L53)</f>
        <v>97.878685699547177</v>
      </c>
      <c r="N53" s="4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thickBot="1">
      <c r="B54" s="571"/>
      <c r="C54" s="350"/>
      <c r="D54" s="537"/>
      <c r="E54" s="520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14"/>
      <c r="C55" s="362"/>
      <c r="D55" s="517"/>
      <c r="E55" s="518"/>
      <c r="F55" s="294"/>
      <c r="G55" s="42"/>
      <c r="H55" s="41"/>
      <c r="I55" s="42"/>
      <c r="J55" s="572" t="s">
        <v>129</v>
      </c>
      <c r="K55" s="572"/>
      <c r="L55" s="294"/>
      <c r="M55" s="294"/>
      <c r="N55" s="294"/>
      <c r="O55" s="294"/>
      <c r="P55" s="12"/>
    </row>
    <row r="56" spans="1:56" ht="15" thickBot="1">
      <c r="B56" s="515"/>
      <c r="C56" s="362"/>
      <c r="D56" s="519"/>
      <c r="E56" s="520"/>
      <c r="F56" s="294"/>
      <c r="G56" s="42"/>
      <c r="H56" s="41"/>
      <c r="I56" s="42"/>
      <c r="J56" s="292" t="s">
        <v>17</v>
      </c>
      <c r="K56" s="293" t="s">
        <v>147</v>
      </c>
      <c r="L56" s="522" t="s">
        <v>136</v>
      </c>
      <c r="M56" s="522"/>
      <c r="N56" s="523"/>
      <c r="O56" s="294"/>
      <c r="P56" s="12"/>
    </row>
    <row r="57" spans="1:56" ht="15" customHeight="1" thickBot="1">
      <c r="B57" s="515"/>
      <c r="C57" s="349"/>
      <c r="D57" s="573"/>
      <c r="E57" s="574"/>
      <c r="F57" s="294"/>
      <c r="G57" s="42"/>
      <c r="H57" s="41"/>
      <c r="I57" s="42"/>
      <c r="J57" s="287" t="s">
        <v>6</v>
      </c>
      <c r="K57" s="324">
        <f>COUNTA(B17:B20)</f>
        <v>4</v>
      </c>
      <c r="L57" s="343" t="s">
        <v>37</v>
      </c>
      <c r="M57" s="307" t="s">
        <v>38</v>
      </c>
      <c r="N57" s="307" t="s">
        <v>84</v>
      </c>
      <c r="O57" s="294"/>
      <c r="P57" s="12"/>
    </row>
    <row r="58" spans="1:56" ht="15.75" customHeight="1" thickBot="1">
      <c r="B58" s="515"/>
      <c r="C58" s="349"/>
      <c r="D58" s="519"/>
      <c r="E58" s="520"/>
      <c r="F58" s="294"/>
      <c r="G58" s="42"/>
      <c r="H58" s="41"/>
      <c r="I58" s="42"/>
      <c r="J58" s="345" t="s">
        <v>9</v>
      </c>
      <c r="K58" s="324"/>
      <c r="L58" s="344">
        <f>AVERAGE(K67)</f>
        <v>8</v>
      </c>
      <c r="M58" s="325">
        <f>AVERAGE('[31]Jan 29th '!$M$70,'[32]Feb 28th'!$L$40,'[33]Mar. 31st'!$L$40,'[34]Apr. 30th'!$L$50,'[35]May 30th'!$L$42,L58)</f>
        <v>6.8677735308170087</v>
      </c>
      <c r="N58" s="417">
        <v>9.1999999999999993</v>
      </c>
      <c r="O58" s="294"/>
      <c r="P58" s="12"/>
    </row>
    <row r="59" spans="1:56" ht="15" customHeight="1">
      <c r="B59" s="515"/>
      <c r="C59" s="349"/>
      <c r="D59" s="573"/>
      <c r="E59" s="574"/>
      <c r="F59" s="294"/>
      <c r="G59" s="42"/>
      <c r="H59" s="41"/>
      <c r="I59" s="42"/>
      <c r="J59" s="288" t="s">
        <v>40</v>
      </c>
      <c r="K59" s="324"/>
      <c r="L59" s="294"/>
      <c r="M59" s="294"/>
      <c r="N59" s="294"/>
      <c r="O59" s="294"/>
      <c r="P59" s="12"/>
    </row>
    <row r="60" spans="1:56" ht="15" customHeight="1">
      <c r="B60" s="515"/>
      <c r="C60" s="349"/>
      <c r="D60" s="519"/>
      <c r="E60" s="520"/>
      <c r="F60" s="294"/>
      <c r="G60" s="42"/>
      <c r="H60" s="41"/>
      <c r="I60" s="42"/>
      <c r="J60" s="289" t="s">
        <v>33</v>
      </c>
      <c r="K60" s="324"/>
      <c r="L60" s="294"/>
      <c r="M60" s="294"/>
      <c r="N60" s="294"/>
      <c r="O60" s="294"/>
      <c r="P60" s="12"/>
    </row>
    <row r="61" spans="1:56" ht="14.4">
      <c r="B61" s="515"/>
      <c r="C61" s="349"/>
      <c r="D61" s="573"/>
      <c r="E61" s="574"/>
      <c r="F61" s="294"/>
      <c r="G61" s="42"/>
      <c r="H61" s="41"/>
      <c r="I61" s="42"/>
      <c r="J61" s="290" t="s">
        <v>16</v>
      </c>
      <c r="K61" s="324">
        <f>COUNTA(B10:B13)</f>
        <v>4</v>
      </c>
      <c r="L61" s="294"/>
      <c r="M61" s="294"/>
      <c r="N61" s="294"/>
      <c r="O61" s="294"/>
      <c r="P61" s="12"/>
      <c r="BC61" s="44"/>
      <c r="BD61" s="44"/>
    </row>
    <row r="62" spans="1:56" ht="14.4">
      <c r="B62" s="515"/>
      <c r="C62" s="349"/>
      <c r="D62" s="519"/>
      <c r="E62" s="520"/>
      <c r="F62" s="294"/>
      <c r="G62" s="42"/>
      <c r="H62" s="41"/>
      <c r="I62" s="42"/>
      <c r="J62" s="291" t="s">
        <v>15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5"/>
      <c r="C63" s="349"/>
      <c r="D63" s="573"/>
      <c r="E63" s="574"/>
      <c r="F63" s="294"/>
      <c r="G63" s="42"/>
      <c r="H63" s="41"/>
      <c r="I63" s="42"/>
      <c r="J63" s="291" t="s">
        <v>149</v>
      </c>
      <c r="K63" s="324"/>
      <c r="L63" s="294"/>
      <c r="M63" s="294"/>
      <c r="N63" s="294"/>
      <c r="O63" s="294"/>
      <c r="P63" s="12"/>
      <c r="BC63" s="44"/>
      <c r="BD63" s="44"/>
    </row>
    <row r="64" spans="1:56" ht="15" thickBot="1">
      <c r="B64" s="516"/>
      <c r="C64" s="350"/>
      <c r="D64" s="575"/>
      <c r="E64" s="576"/>
      <c r="F64" s="294"/>
      <c r="G64" s="42"/>
      <c r="H64" s="41"/>
      <c r="I64" s="42"/>
      <c r="J64" s="291" t="s">
        <v>148</v>
      </c>
      <c r="K64" s="324"/>
      <c r="L64" s="294"/>
      <c r="M64" s="294"/>
      <c r="N64" s="294"/>
      <c r="O64" s="294"/>
      <c r="P64" s="12"/>
      <c r="BC64" s="44"/>
      <c r="BD64" s="44"/>
    </row>
    <row r="65" spans="2:57" ht="17.7" customHeight="1" thickBot="1">
      <c r="B65" s="312" t="s">
        <v>139</v>
      </c>
      <c r="C65" s="313"/>
      <c r="D65" s="577">
        <f>AVERAGE(D43:E64)</f>
        <v>11.933333333333332</v>
      </c>
      <c r="E65" s="578"/>
      <c r="F65" s="294"/>
      <c r="G65" s="42"/>
      <c r="H65" s="41"/>
      <c r="I65" s="42"/>
      <c r="J65" s="295" t="s">
        <v>134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>
      <c r="B66" s="363"/>
      <c r="C66" s="364"/>
      <c r="D66" s="365"/>
      <c r="E66" s="365"/>
      <c r="F66" s="294"/>
      <c r="G66" s="42"/>
      <c r="H66" s="41"/>
      <c r="I66" s="42"/>
      <c r="J66" s="295" t="s">
        <v>131</v>
      </c>
      <c r="K66" s="324"/>
      <c r="L66" s="294"/>
      <c r="M66" s="294"/>
      <c r="N66" s="294"/>
      <c r="O66" s="294"/>
      <c r="P66" s="12"/>
      <c r="BC66" s="44"/>
      <c r="BD66" s="44"/>
    </row>
    <row r="67" spans="2:57" ht="15.75" customHeight="1">
      <c r="B67" s="45"/>
      <c r="C67" s="11"/>
      <c r="D67" s="11"/>
      <c r="E67" s="46"/>
      <c r="F67" s="294"/>
      <c r="G67" s="42"/>
      <c r="H67" s="41"/>
      <c r="I67" s="42"/>
      <c r="J67" s="346" t="s">
        <v>130</v>
      </c>
      <c r="K67" s="324">
        <f>SUM(K57:K66)</f>
        <v>8</v>
      </c>
      <c r="L67" s="294"/>
      <c r="M67" s="294"/>
      <c r="N67" s="294"/>
      <c r="O67" s="294"/>
      <c r="P67" s="12"/>
    </row>
    <row r="68" spans="2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294"/>
      <c r="P68" s="334"/>
    </row>
    <row r="69" spans="2:57" ht="15" customHeight="1" thickBo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s="48"/>
      <c r="P69" s="49"/>
    </row>
    <row r="70" spans="2:57" ht="15" customHeight="1" thickBot="1">
      <c r="B70" s="498" t="s">
        <v>17</v>
      </c>
      <c r="C70" s="498" t="s">
        <v>44</v>
      </c>
      <c r="D70" s="510" t="s">
        <v>45</v>
      </c>
      <c r="E70" s="512" t="s">
        <v>46</v>
      </c>
      <c r="F70" s="506" t="s">
        <v>47</v>
      </c>
      <c r="G70" s="496" t="s">
        <v>48</v>
      </c>
      <c r="H70" s="498" t="s">
        <v>49</v>
      </c>
      <c r="I70" s="498" t="s">
        <v>50</v>
      </c>
      <c r="J70" s="490" t="s">
        <v>28</v>
      </c>
      <c r="K70" s="502" t="s">
        <v>51</v>
      </c>
      <c r="L70" s="504" t="s">
        <v>52</v>
      </c>
      <c r="M70" s="490" t="s">
        <v>53</v>
      </c>
      <c r="N70" s="13"/>
      <c r="O70" s="13"/>
      <c r="P70" s="50"/>
    </row>
    <row r="71" spans="2:57" ht="28.5" customHeight="1" thickTop="1" thickBot="1">
      <c r="B71" s="499"/>
      <c r="C71" s="499"/>
      <c r="D71" s="511"/>
      <c r="E71" s="513"/>
      <c r="F71" s="507"/>
      <c r="G71" s="497"/>
      <c r="H71" s="499"/>
      <c r="I71" s="499"/>
      <c r="J71" s="491"/>
      <c r="K71" s="503"/>
      <c r="L71" s="505"/>
      <c r="M71" s="491"/>
      <c r="N71" s="13"/>
      <c r="O71" s="13"/>
      <c r="P71" s="50"/>
      <c r="Q71" s="355"/>
      <c r="AB71" s="51">
        <v>43474</v>
      </c>
      <c r="AC71" s="51">
        <v>43475</v>
      </c>
      <c r="AD71" s="51">
        <v>43476</v>
      </c>
      <c r="AE71" s="51">
        <v>43477</v>
      </c>
      <c r="AF71" s="51">
        <v>43478</v>
      </c>
      <c r="AG71" s="51">
        <v>43479</v>
      </c>
      <c r="AH71" s="51">
        <v>43480</v>
      </c>
      <c r="AI71" s="51">
        <v>43481</v>
      </c>
      <c r="AJ71" s="51">
        <v>43482</v>
      </c>
      <c r="AK71" s="51">
        <v>43483</v>
      </c>
      <c r="AL71" s="51">
        <v>43484</v>
      </c>
      <c r="AM71" s="51">
        <v>43485</v>
      </c>
      <c r="AN71" s="51">
        <v>43486</v>
      </c>
      <c r="AO71" s="51">
        <v>43487</v>
      </c>
      <c r="AP71" s="51">
        <v>43488</v>
      </c>
      <c r="AQ71" s="51">
        <v>43489</v>
      </c>
      <c r="AR71" s="51">
        <v>43490</v>
      </c>
      <c r="AS71" s="51">
        <v>43491</v>
      </c>
      <c r="AT71" s="51">
        <v>43492</v>
      </c>
      <c r="AU71" s="51">
        <v>43493</v>
      </c>
      <c r="AV71" s="51">
        <v>43494</v>
      </c>
      <c r="AW71" s="51">
        <v>43495</v>
      </c>
      <c r="AX71" s="51">
        <v>43496</v>
      </c>
    </row>
    <row r="72" spans="2:57" s="54" customFormat="1" ht="53.25" customHeight="1">
      <c r="B72" s="387" t="str">
        <f>B77</f>
        <v>CARIB</v>
      </c>
      <c r="C72" s="422">
        <v>45839</v>
      </c>
      <c r="D72" s="377">
        <f>[36]July_2025!$D$3</f>
        <v>254.08999999999997</v>
      </c>
      <c r="E72" s="378"/>
      <c r="F72" s="379"/>
      <c r="G72" s="303">
        <f>[36]July_2025!$D$7</f>
        <v>244.7</v>
      </c>
      <c r="H72" s="320"/>
      <c r="I72" s="322"/>
      <c r="J72" s="392" t="s">
        <v>164</v>
      </c>
      <c r="K72" s="286">
        <f>[37]July_2025!$D$18</f>
        <v>0.85859649122807014</v>
      </c>
      <c r="L72" s="281">
        <f>(((D72+E72)-G72)/(D72+E72))*100</f>
        <v>3.6955409500570613</v>
      </c>
      <c r="M72" s="416" t="s">
        <v>167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[20]January_2019!L7</f>
        <v>285.8</v>
      </c>
      <c r="AC72" s="57">
        <f>[20]January_2019!M7</f>
        <v>508.1</v>
      </c>
      <c r="AD72" s="57">
        <f>[20]January_2019!N7</f>
        <v>0</v>
      </c>
      <c r="AE72" s="57">
        <f>[20]January_2019!O7</f>
        <v>0</v>
      </c>
      <c r="AF72" s="57">
        <f>[20]January_2019!P7</f>
        <v>109.56666666666666</v>
      </c>
      <c r="AG72" s="57">
        <f>[20]January_2019!Q7</f>
        <v>297.64999999999998</v>
      </c>
      <c r="AH72" s="57">
        <f>[20]January_2019!R7</f>
        <v>122.3</v>
      </c>
      <c r="AI72" s="57">
        <f>[20]January_2019!S7</f>
        <v>0</v>
      </c>
      <c r="AJ72" s="57">
        <f>[20]January_2019!T7</f>
        <v>294.7</v>
      </c>
      <c r="AK72" s="57">
        <f>[20]January_2019!U7</f>
        <v>280.5</v>
      </c>
      <c r="AL72" s="57">
        <f>[20]January_2019!V7</f>
        <v>0</v>
      </c>
      <c r="AM72" s="57">
        <f>[20]January_2019!W7</f>
        <v>0</v>
      </c>
      <c r="AN72" s="57">
        <f>[20]January_2019!X7</f>
        <v>188.25</v>
      </c>
      <c r="AO72" s="57">
        <f>[20]January_2019!Y7</f>
        <v>295.7</v>
      </c>
      <c r="AP72" s="57">
        <f>[20]January_2019!Z7</f>
        <v>257.8</v>
      </c>
      <c r="AQ72" s="57">
        <f>[20]January_2019!AA7</f>
        <v>291.2</v>
      </c>
      <c r="AR72" s="57">
        <f>[20]January_2019!AB7</f>
        <v>187</v>
      </c>
      <c r="AS72" s="57">
        <f>[20]January_2019!AC7</f>
        <v>0</v>
      </c>
      <c r="AT72" s="57">
        <f>[20]January_2019!AD7</f>
        <v>0</v>
      </c>
      <c r="AU72" s="57">
        <f>[20]January_2019!AE7</f>
        <v>485.1</v>
      </c>
      <c r="AV72" s="57">
        <f>[20]January_2019!AF7</f>
        <v>171.55</v>
      </c>
      <c r="AW72" s="57">
        <f>[20]January_2019!AG7</f>
        <v>423.8</v>
      </c>
      <c r="AX72" s="277">
        <f>[20]January_2019!AH7</f>
        <v>0</v>
      </c>
      <c r="AY72" s="277"/>
      <c r="AZ72" s="277"/>
      <c r="BA72" s="277"/>
      <c r="BB72" s="277"/>
      <c r="BC72" s="277"/>
      <c r="BD72" s="277"/>
      <c r="BE72" s="277"/>
    </row>
    <row r="73" spans="2:57" s="54" customFormat="1" ht="16.5" customHeight="1">
      <c r="B73" s="421"/>
      <c r="C73" s="283"/>
      <c r="D73" s="377"/>
      <c r="E73" s="378"/>
      <c r="F73" s="379"/>
      <c r="G73" s="303"/>
      <c r="H73" s="320"/>
      <c r="I73" s="322"/>
      <c r="J73" s="281"/>
      <c r="K73" s="286"/>
      <c r="L73" s="314"/>
      <c r="M73" s="416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415"/>
      <c r="AC73" s="415"/>
      <c r="AD73" s="415"/>
      <c r="AE73" s="415"/>
      <c r="AF73" s="415"/>
      <c r="AG73" s="415"/>
      <c r="AH73" s="415"/>
      <c r="AI73" s="415"/>
      <c r="AJ73" s="415"/>
      <c r="AK73" s="415"/>
      <c r="AL73" s="415"/>
      <c r="AM73" s="415"/>
      <c r="AN73" s="415"/>
      <c r="AO73" s="415"/>
      <c r="AP73" s="415"/>
      <c r="AQ73" s="415"/>
      <c r="AR73" s="415"/>
      <c r="AS73" s="415"/>
      <c r="AT73" s="415"/>
      <c r="AU73" s="415"/>
      <c r="AV73" s="415"/>
      <c r="AW73" s="415"/>
    </row>
    <row r="74" spans="2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2:57" ht="14.4" thickBot="1">
      <c r="B75" s="492" t="s">
        <v>55</v>
      </c>
      <c r="C75" s="493"/>
      <c r="D75" s="493"/>
      <c r="E75" s="493"/>
      <c r="F75" s="494"/>
      <c r="G75" s="492" t="s">
        <v>56</v>
      </c>
      <c r="H75" s="493"/>
      <c r="I75" s="493"/>
      <c r="J75" s="494"/>
      <c r="K75" s="492" t="s">
        <v>51</v>
      </c>
      <c r="L75" s="493"/>
      <c r="M75" s="493"/>
      <c r="N75" s="495"/>
      <c r="O75" s="56"/>
      <c r="P75" s="50"/>
    </row>
    <row r="76" spans="2:57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 t="s">
        <v>36</v>
      </c>
      <c r="L76" s="62" t="s">
        <v>37</v>
      </c>
      <c r="M76" s="62" t="s">
        <v>38</v>
      </c>
      <c r="N76" s="63" t="s">
        <v>39</v>
      </c>
      <c r="O76" s="56"/>
      <c r="P76" s="64"/>
    </row>
    <row r="77" spans="2:57">
      <c r="B77" s="29" t="s">
        <v>6</v>
      </c>
      <c r="C77" s="65">
        <f>L72</f>
        <v>3.6955409500570613</v>
      </c>
      <c r="D77" s="76">
        <v>3.6561848164036332</v>
      </c>
      <c r="E77" s="76">
        <v>6.5263295682756866</v>
      </c>
      <c r="F77" s="66">
        <v>4.8</v>
      </c>
      <c r="G77" s="65">
        <f>[36]July_2025!$D$11</f>
        <v>2.7605462019993627</v>
      </c>
      <c r="H77" s="76">
        <v>2.7208079699609464</v>
      </c>
      <c r="I77" s="76">
        <v>6.4851456036631117</v>
      </c>
      <c r="J77" s="66">
        <v>4.8</v>
      </c>
      <c r="K77" s="67">
        <f>K72</f>
        <v>0.85859649122807014</v>
      </c>
      <c r="L77" s="194">
        <v>0.85894736842105257</v>
      </c>
      <c r="M77" s="194">
        <v>0.72279937833565022</v>
      </c>
      <c r="N77" s="68">
        <v>1</v>
      </c>
      <c r="O77" s="56"/>
      <c r="P77" s="69"/>
    </row>
    <row r="78" spans="2:57">
      <c r="B78" s="33" t="s">
        <v>9</v>
      </c>
      <c r="C78" s="65"/>
      <c r="D78" s="76">
        <v>5.1037577117218298</v>
      </c>
      <c r="E78" s="76">
        <v>6.0971944717676134</v>
      </c>
      <c r="F78" s="66">
        <v>4.8</v>
      </c>
      <c r="G78" s="65"/>
      <c r="H78" s="76">
        <v>3.2384753080210245</v>
      </c>
      <c r="I78" s="76">
        <v>5.8932725973580178</v>
      </c>
      <c r="J78" s="66">
        <v>4.8</v>
      </c>
      <c r="K78" s="67"/>
      <c r="L78" s="194"/>
      <c r="M78" s="194">
        <v>0.76031080132037965</v>
      </c>
      <c r="N78" s="68">
        <v>1</v>
      </c>
      <c r="P78" s="69"/>
    </row>
    <row r="79" spans="2:57">
      <c r="B79" s="34" t="s">
        <v>40</v>
      </c>
      <c r="C79" s="65"/>
      <c r="D79" s="76"/>
      <c r="E79" s="76">
        <v>11.96027372373279</v>
      </c>
      <c r="F79" s="66">
        <v>5.5</v>
      </c>
      <c r="G79" s="65"/>
      <c r="H79" s="76"/>
      <c r="I79" s="76">
        <v>13.111031100634913</v>
      </c>
      <c r="J79" s="66">
        <v>5.5</v>
      </c>
      <c r="K79" s="67"/>
      <c r="L79" s="194"/>
      <c r="M79" s="194">
        <v>0.4869398559932232</v>
      </c>
      <c r="N79" s="68">
        <v>1</v>
      </c>
      <c r="P79" s="69"/>
    </row>
    <row r="80" spans="2:57">
      <c r="B80" s="22" t="s">
        <v>33</v>
      </c>
      <c r="C80" s="65"/>
      <c r="D80" s="76"/>
      <c r="E80" s="76">
        <v>5.4214697406339898</v>
      </c>
      <c r="F80" s="66">
        <v>3.3</v>
      </c>
      <c r="G80" s="65"/>
      <c r="H80" s="76"/>
      <c r="I80" s="76">
        <v>5.263029001952213</v>
      </c>
      <c r="J80" s="66">
        <v>3.3</v>
      </c>
      <c r="K80" s="67"/>
      <c r="L80" s="194"/>
      <c r="M80" s="194">
        <v>0.6919486215538847</v>
      </c>
      <c r="N80" s="68">
        <v>1</v>
      </c>
      <c r="P80" s="69"/>
    </row>
    <row r="81" spans="2:16">
      <c r="B81" s="35" t="s">
        <v>29</v>
      </c>
      <c r="C81" s="65"/>
      <c r="D81" s="76"/>
      <c r="E81" s="76"/>
      <c r="F81" s="66">
        <v>3.3</v>
      </c>
      <c r="G81" s="282"/>
      <c r="H81" s="76"/>
      <c r="I81" s="76"/>
      <c r="J81" s="66">
        <v>3</v>
      </c>
      <c r="L81" s="194"/>
      <c r="M81" s="194"/>
      <c r="N81" s="68">
        <v>1</v>
      </c>
      <c r="P81" s="69"/>
    </row>
    <row r="82" spans="2:16">
      <c r="B82" s="36" t="s">
        <v>15</v>
      </c>
      <c r="C82" s="282"/>
      <c r="D82" s="76"/>
      <c r="E82" s="76">
        <v>7.3129862357869699</v>
      </c>
      <c r="F82" s="70">
        <f>[21]May_2022!$M$43</f>
        <v>3.4878406700073312</v>
      </c>
      <c r="G82" s="282"/>
      <c r="H82" s="76"/>
      <c r="I82" s="76">
        <v>8.9862703283331644</v>
      </c>
      <c r="J82" s="66">
        <v>5.5</v>
      </c>
      <c r="K82" s="67"/>
      <c r="L82" s="194"/>
      <c r="M82" s="194">
        <v>0.59276315789473688</v>
      </c>
      <c r="N82" s="68">
        <v>1</v>
      </c>
      <c r="P82" s="69"/>
    </row>
    <row r="83" spans="2:16">
      <c r="B83" s="37" t="s">
        <v>16</v>
      </c>
      <c r="C83" s="65"/>
      <c r="D83" s="76"/>
      <c r="E83" s="76">
        <v>3.1283185840707883</v>
      </c>
      <c r="F83" s="66">
        <v>3.3</v>
      </c>
      <c r="G83" s="282"/>
      <c r="H83" s="76"/>
      <c r="I83" s="76">
        <v>4.671657298145214</v>
      </c>
      <c r="J83" s="66">
        <v>3.3</v>
      </c>
      <c r="K83" s="67"/>
      <c r="L83" s="194"/>
      <c r="M83" s="194">
        <v>0.70412549019607829</v>
      </c>
      <c r="N83" s="71">
        <v>1</v>
      </c>
      <c r="P83" s="69"/>
    </row>
    <row r="84" spans="2:16" ht="14.4" thickBot="1">
      <c r="B84" s="38" t="s">
        <v>127</v>
      </c>
      <c r="C84" s="65"/>
      <c r="D84" s="76"/>
      <c r="E84" s="76"/>
      <c r="F84" s="66">
        <v>7.5</v>
      </c>
      <c r="G84" s="282"/>
      <c r="H84" s="76"/>
      <c r="I84" s="76"/>
      <c r="J84" s="66">
        <v>7.5</v>
      </c>
      <c r="K84" s="67"/>
      <c r="L84" s="194"/>
      <c r="M84" s="194"/>
      <c r="N84" s="71">
        <v>1</v>
      </c>
      <c r="P84" s="69"/>
    </row>
    <row r="85" spans="2:16" ht="14.4" thickBot="1">
      <c r="B85" s="414" t="s">
        <v>161</v>
      </c>
      <c r="C85" s="65"/>
      <c r="D85" s="76"/>
      <c r="E85" s="76">
        <v>4.8792508624938291</v>
      </c>
      <c r="F85" s="66">
        <v>4.8</v>
      </c>
      <c r="G85" s="282"/>
      <c r="H85" s="76"/>
      <c r="I85" s="76">
        <v>6.2003723782925313</v>
      </c>
      <c r="J85" s="66">
        <v>4.8</v>
      </c>
      <c r="K85" s="67"/>
      <c r="L85" s="194"/>
      <c r="M85" s="194">
        <v>0.33859649122807017</v>
      </c>
      <c r="N85" s="71">
        <v>1</v>
      </c>
      <c r="O85" s="74"/>
      <c r="P85" s="75"/>
    </row>
    <row r="86" spans="2:16">
      <c r="D86" s="76">
        <v>4.2531048359120209</v>
      </c>
      <c r="E86" s="76">
        <v>6.5866040893627158</v>
      </c>
      <c r="F86" s="341">
        <v>5.5</v>
      </c>
      <c r="H86" s="76">
        <v>2.9327428709600567</v>
      </c>
      <c r="I86" s="76">
        <v>6.8694163377555073</v>
      </c>
      <c r="J86" s="341">
        <v>5.5</v>
      </c>
      <c r="L86" s="194">
        <v>0.85894736842105257</v>
      </c>
      <c r="M86" s="194">
        <v>0.69815448128911972</v>
      </c>
      <c r="N86" s="386">
        <v>1</v>
      </c>
    </row>
    <row r="90" spans="2:16">
      <c r="F90" s="315"/>
    </row>
    <row r="91" spans="2:16">
      <c r="F91" s="341"/>
    </row>
  </sheetData>
  <mergeCells count="51">
    <mergeCell ref="M70:M71"/>
    <mergeCell ref="B75:F75"/>
    <mergeCell ref="G75:J75"/>
    <mergeCell ref="K75:N75"/>
    <mergeCell ref="G70:G71"/>
    <mergeCell ref="H70:H71"/>
    <mergeCell ref="I70:I71"/>
    <mergeCell ref="J70:J71"/>
    <mergeCell ref="K70:K71"/>
    <mergeCell ref="L70:L71"/>
    <mergeCell ref="F70:F71"/>
    <mergeCell ref="D65:E65"/>
    <mergeCell ref="B70:B71"/>
    <mergeCell ref="C70:C71"/>
    <mergeCell ref="D70:D71"/>
    <mergeCell ref="E70:E71"/>
    <mergeCell ref="B55:B64"/>
    <mergeCell ref="D55:E56"/>
    <mergeCell ref="J55:K55"/>
    <mergeCell ref="L56:N56"/>
    <mergeCell ref="D57:E58"/>
    <mergeCell ref="D59:E60"/>
    <mergeCell ref="D61:E62"/>
    <mergeCell ref="D63:E64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5:B66">
    <cfRule type="cellIs" dxfId="2866" priority="140" operator="notBetween">
      <formula>#REF!</formula>
      <formula>#REF!</formula>
    </cfRule>
  </conditionalFormatting>
  <conditionalFormatting sqref="C69">
    <cfRule type="cellIs" dxfId="2865" priority="171" stopIfTrue="1" operator="lessThan">
      <formula>96</formula>
    </cfRule>
    <cfRule type="cellIs" dxfId="2864" priority="172" stopIfTrue="1" operator="greaterThan">
      <formula>100</formula>
    </cfRule>
  </conditionalFormatting>
  <conditionalFormatting sqref="C77:C78">
    <cfRule type="cellIs" dxfId="2863" priority="118" stopIfTrue="1" operator="lessThanOrEqual">
      <formula>0</formula>
    </cfRule>
  </conditionalFormatting>
  <conditionalFormatting sqref="C77:C81">
    <cfRule type="cellIs" dxfId="2862" priority="117" stopIfTrue="1" operator="greaterThan">
      <formula>$F77</formula>
    </cfRule>
  </conditionalFormatting>
  <conditionalFormatting sqref="C78">
    <cfRule type="cellIs" dxfId="2861" priority="175" stopIfTrue="1" operator="greaterThan">
      <formula>$F77</formula>
    </cfRule>
  </conditionalFormatting>
  <conditionalFormatting sqref="C79:C82">
    <cfRule type="cellIs" dxfId="2860" priority="124" stopIfTrue="1" operator="lessThanOrEqual">
      <formula>0</formula>
    </cfRule>
  </conditionalFormatting>
  <conditionalFormatting sqref="C82">
    <cfRule type="cellIs" dxfId="2859" priority="123" stopIfTrue="1" operator="greaterThan">
      <formula>$J82</formula>
    </cfRule>
  </conditionalFormatting>
  <conditionalFormatting sqref="C88:C92">
    <cfRule type="cellIs" dxfId="2858" priority="163" stopIfTrue="1" operator="lessThanOrEqual">
      <formula>0</formula>
    </cfRule>
  </conditionalFormatting>
  <conditionalFormatting sqref="C89:C92">
    <cfRule type="cellIs" dxfId="2857" priority="162" stopIfTrue="1" operator="greaterThan">
      <formula>$F$88</formula>
    </cfRule>
  </conditionalFormatting>
  <conditionalFormatting sqref="C94">
    <cfRule type="cellIs" dxfId="2856" priority="164" stopIfTrue="1" operator="greaterThan">
      <formula>$F$88</formula>
    </cfRule>
    <cfRule type="cellIs" dxfId="2855" priority="165" stopIfTrue="1" operator="lessThanOrEqual">
      <formula>0</formula>
    </cfRule>
  </conditionalFormatting>
  <conditionalFormatting sqref="C88:D88 D90:D96">
    <cfRule type="cellIs" dxfId="2854" priority="157" stopIfTrue="1" operator="greaterThan">
      <formula>4.5</formula>
    </cfRule>
  </conditionalFormatting>
  <conditionalFormatting sqref="D65:D66">
    <cfRule type="cellIs" dxfId="2853" priority="141" operator="notBetween">
      <formula>#REF!</formula>
      <formula>#REF!</formula>
    </cfRule>
  </conditionalFormatting>
  <conditionalFormatting sqref="D77:D84">
    <cfRule type="cellIs" dxfId="2852" priority="134" stopIfTrue="1" operator="lessThanOrEqual">
      <formula>0</formula>
    </cfRule>
  </conditionalFormatting>
  <conditionalFormatting sqref="D85">
    <cfRule type="cellIs" dxfId="2851" priority="133" stopIfTrue="1" operator="lessThanOrEqual">
      <formula>0</formula>
    </cfRule>
  </conditionalFormatting>
  <conditionalFormatting sqref="D88 D90:D96">
    <cfRule type="cellIs" dxfId="2850" priority="158" stopIfTrue="1" operator="lessThanOrEqual">
      <formula>0</formula>
    </cfRule>
  </conditionalFormatting>
  <conditionalFormatting sqref="D89">
    <cfRule type="cellIs" dxfId="2849" priority="150" stopIfTrue="1" operator="lessThanOrEqual">
      <formula>0</formula>
    </cfRule>
    <cfRule type="cellIs" dxfId="2848" priority="149" stopIfTrue="1" operator="greaterThan">
      <formula>$F$88</formula>
    </cfRule>
  </conditionalFormatting>
  <conditionalFormatting sqref="D77:E86">
    <cfRule type="cellIs" dxfId="2847" priority="114" stopIfTrue="1" operator="greaterThan">
      <formula>$F77</formula>
    </cfRule>
  </conditionalFormatting>
  <conditionalFormatting sqref="D86:E86">
    <cfRule type="cellIs" dxfId="2846" priority="115" stopIfTrue="1" operator="lessThanOrEqual">
      <formula>0</formula>
    </cfRule>
  </conditionalFormatting>
  <conditionalFormatting sqref="E10:E40">
    <cfRule type="cellIs" dxfId="2845" priority="17" operator="lessThan">
      <formula>48</formula>
    </cfRule>
  </conditionalFormatting>
  <conditionalFormatting sqref="E68 E69:F69">
    <cfRule type="cellIs" dxfId="2844" priority="154" stopIfTrue="1" operator="greaterThan">
      <formula>100</formula>
    </cfRule>
  </conditionalFormatting>
  <conditionalFormatting sqref="E69">
    <cfRule type="cellIs" dxfId="2843" priority="151" stopIfTrue="1" operator="lessThan">
      <formula>96.8</formula>
    </cfRule>
    <cfRule type="cellIs" dxfId="2842" priority="152" stopIfTrue="1" operator="greaterThan">
      <formula>100</formula>
    </cfRule>
  </conditionalFormatting>
  <conditionalFormatting sqref="E77:E85">
    <cfRule type="cellIs" dxfId="2841" priority="128" stopIfTrue="1" operator="lessThanOrEqual">
      <formula>0</formula>
    </cfRule>
  </conditionalFormatting>
  <conditionalFormatting sqref="E88:E96">
    <cfRule type="cellIs" dxfId="2840" priority="144" stopIfTrue="1" operator="lessThanOrEqual">
      <formula>0</formula>
    </cfRule>
    <cfRule type="cellIs" dxfId="2839" priority="143" stopIfTrue="1" operator="greaterThan">
      <formula>4.5</formula>
    </cfRule>
  </conditionalFormatting>
  <conditionalFormatting sqref="E69:F69 E68">
    <cfRule type="cellIs" dxfId="2838" priority="153" stopIfTrue="1" operator="lessThan">
      <formula>96.5</formula>
    </cfRule>
  </conditionalFormatting>
  <conditionalFormatting sqref="F10:F13">
    <cfRule type="expression" dxfId="2837" priority="2">
      <formula>IF(+(IF(F10&lt;Y10,0,IF(F10&gt;S+$E$1+$Z10,0,1)))=0,1)</formula>
    </cfRule>
  </conditionalFormatting>
  <conditionalFormatting sqref="F17:F40">
    <cfRule type="cellIs" dxfId="2836" priority="18" operator="greaterThan">
      <formula>60</formula>
    </cfRule>
  </conditionalFormatting>
  <conditionalFormatting sqref="F69">
    <cfRule type="cellIs" dxfId="2835" priority="169" stopIfTrue="1" operator="lessThan">
      <formula>96.8</formula>
    </cfRule>
    <cfRule type="cellIs" dxfId="2834" priority="170" stopIfTrue="1" operator="greaterThan">
      <formula>100</formula>
    </cfRule>
  </conditionalFormatting>
  <conditionalFormatting sqref="F86">
    <cfRule type="cellIs" dxfId="2833" priority="129" stopIfTrue="1" operator="greaterThan">
      <formula>$F86</formula>
    </cfRule>
    <cfRule type="cellIs" dxfId="2832" priority="130" stopIfTrue="1" operator="lessThanOrEqual">
      <formula>0</formula>
    </cfRule>
  </conditionalFormatting>
  <conditionalFormatting sqref="F91">
    <cfRule type="cellIs" dxfId="2831" priority="56" stopIfTrue="1" operator="lessThanOrEqual">
      <formula>0</formula>
    </cfRule>
    <cfRule type="cellIs" dxfId="2830" priority="55" stopIfTrue="1" operator="greaterThan">
      <formula>$F91</formula>
    </cfRule>
  </conditionalFormatting>
  <conditionalFormatting sqref="G10:G16">
    <cfRule type="expression" dxfId="2829" priority="9">
      <formula>IF(+(IF(G10&lt;S10,0,IF(G10&gt;T10,0,1)))=0,1)</formula>
    </cfRule>
  </conditionalFormatting>
  <conditionalFormatting sqref="G77:G78 C83:C85">
    <cfRule type="cellIs" dxfId="2828" priority="136" stopIfTrue="1" operator="lessThanOrEqual">
      <formula>0</formula>
    </cfRule>
    <cfRule type="cellIs" dxfId="2827" priority="135" stopIfTrue="1" operator="greaterThan">
      <formula>$F77</formula>
    </cfRule>
  </conditionalFormatting>
  <conditionalFormatting sqref="G77:G78">
    <cfRule type="cellIs" dxfId="2826" priority="119" stopIfTrue="1" operator="greaterThan">
      <formula>$F77</formula>
    </cfRule>
    <cfRule type="cellIs" dxfId="2825" priority="120" stopIfTrue="1" operator="lessThanOrEqual">
      <formula>0</formula>
    </cfRule>
  </conditionalFormatting>
  <conditionalFormatting sqref="G79">
    <cfRule type="cellIs" dxfId="2824" priority="173" stopIfTrue="1" operator="greaterThan">
      <formula>$F78</formula>
    </cfRule>
    <cfRule type="cellIs" dxfId="2823" priority="174" stopIfTrue="1" operator="lessThanOrEqual">
      <formula>0</formula>
    </cfRule>
  </conditionalFormatting>
  <conditionalFormatting sqref="G80">
    <cfRule type="cellIs" dxfId="2822" priority="131" stopIfTrue="1" operator="greaterThan">
      <formula>$F80</formula>
    </cfRule>
    <cfRule type="cellIs" dxfId="2821" priority="132" stopIfTrue="1" operator="lessThanOrEqual">
      <formula>0</formula>
    </cfRule>
  </conditionalFormatting>
  <conditionalFormatting sqref="G81:G85">
    <cfRule type="cellIs" dxfId="2820" priority="137" stopIfTrue="1" operator="greaterThan">
      <formula>$J81</formula>
    </cfRule>
    <cfRule type="cellIs" dxfId="2819" priority="138" stopIfTrue="1" operator="lessThanOrEqual">
      <formula>0</formula>
    </cfRule>
  </conditionalFormatting>
  <conditionalFormatting sqref="G90:G95 C93 C95">
    <cfRule type="cellIs" dxfId="2818" priority="166" stopIfTrue="1" operator="greaterThan">
      <formula>4.5</formula>
    </cfRule>
    <cfRule type="cellIs" dxfId="2817" priority="167" stopIfTrue="1" operator="lessThanOrEqual">
      <formula>0</formula>
    </cfRule>
  </conditionalFormatting>
  <conditionalFormatting sqref="G89:H89">
    <cfRule type="cellIs" dxfId="2816" priority="147" stopIfTrue="1" operator="greaterThan">
      <formula>$F$88</formula>
    </cfRule>
    <cfRule type="cellIs" dxfId="2815" priority="148" stopIfTrue="1" operator="lessThanOrEqual">
      <formula>0</formula>
    </cfRule>
  </conditionalFormatting>
  <conditionalFormatting sqref="H10:H16 G17:H40">
    <cfRule type="expression" dxfId="2814" priority="15">
      <formula>IF(+(IF(G10&lt;#REF!,0,IF(G10&gt;#REF!,0,1)))=0,1)</formula>
    </cfRule>
  </conditionalFormatting>
  <conditionalFormatting sqref="H54:H68">
    <cfRule type="cellIs" dxfId="2813" priority="145" stopIfTrue="1" operator="greaterThan">
      <formula>0</formula>
    </cfRule>
  </conditionalFormatting>
  <conditionalFormatting sqref="H72">
    <cfRule type="cellIs" dxfId="2812" priority="83" stopIfTrue="1" operator="greaterThan">
      <formula>$F$40</formula>
    </cfRule>
    <cfRule type="cellIs" dxfId="2811" priority="82" stopIfTrue="1" operator="lessThanOrEqual">
      <formula>0</formula>
    </cfRule>
    <cfRule type="cellIs" dxfId="2810" priority="81" stopIfTrue="1" operator="greaterThan">
      <formula>$F$42</formula>
    </cfRule>
    <cfRule type="cellIs" dxfId="2809" priority="73" stopIfTrue="1" operator="greaterThan">
      <formula>$F$39</formula>
    </cfRule>
    <cfRule type="cellIs" dxfId="2808" priority="72" stopIfTrue="1" operator="lessThanOrEqual">
      <formula>0</formula>
    </cfRule>
    <cfRule type="cellIs" dxfId="2807" priority="84" stopIfTrue="1" operator="lessThanOrEqual">
      <formula>0</formula>
    </cfRule>
  </conditionalFormatting>
  <conditionalFormatting sqref="H73">
    <cfRule type="cellIs" dxfId="2806" priority="100" stopIfTrue="1" operator="lessThanOrEqual">
      <formula>0</formula>
    </cfRule>
    <cfRule type="cellIs" dxfId="2805" priority="99" stopIfTrue="1" operator="greaterThan">
      <formula>$F$54</formula>
    </cfRule>
    <cfRule type="cellIs" dxfId="2804" priority="97" stopIfTrue="1" operator="greaterThan">
      <formula>$F$56</formula>
    </cfRule>
    <cfRule type="cellIs" dxfId="2803" priority="98" stopIfTrue="1" operator="lessThanOrEqual">
      <formula>0</formula>
    </cfRule>
    <cfRule type="cellIs" dxfId="2802" priority="89" stopIfTrue="1" operator="greaterThan">
      <formula>$F$53</formula>
    </cfRule>
    <cfRule type="cellIs" dxfId="2801" priority="88" stopIfTrue="1" operator="lessThanOrEqual">
      <formula>0</formula>
    </cfRule>
  </conditionalFormatting>
  <conditionalFormatting sqref="H77:H84">
    <cfRule type="cellIs" dxfId="2800" priority="122" stopIfTrue="1" operator="lessThanOrEqual">
      <formula>0</formula>
    </cfRule>
    <cfRule type="cellIs" dxfId="2799" priority="121" stopIfTrue="1" operator="greaterThan">
      <formula>$J77</formula>
    </cfRule>
  </conditionalFormatting>
  <conditionalFormatting sqref="H85">
    <cfRule type="cellIs" dxfId="2798" priority="125" operator="greaterThan">
      <formula>5.3</formula>
    </cfRule>
  </conditionalFormatting>
  <conditionalFormatting sqref="H88 H90:H96">
    <cfRule type="cellIs" dxfId="2797" priority="159" stopIfTrue="1" operator="greaterThan">
      <formula>4.5</formula>
    </cfRule>
    <cfRule type="cellIs" dxfId="2796" priority="160" stopIfTrue="1" operator="lessThanOrEqual">
      <formula>0</formula>
    </cfRule>
  </conditionalFormatting>
  <conditionalFormatting sqref="H72:I72">
    <cfRule type="cellIs" dxfId="2795" priority="74" stopIfTrue="1" operator="lessThanOrEqual">
      <formula>0</formula>
    </cfRule>
    <cfRule type="cellIs" dxfId="2794" priority="71" stopIfTrue="1" operator="greaterThan">
      <formula>$F$41</formula>
    </cfRule>
  </conditionalFormatting>
  <conditionalFormatting sqref="H73:I73">
    <cfRule type="cellIs" dxfId="2793" priority="90" stopIfTrue="1" operator="lessThanOrEqual">
      <formula>0</formula>
    </cfRule>
    <cfRule type="cellIs" dxfId="2792" priority="87" stopIfTrue="1" operator="greaterThan">
      <formula>$F$55</formula>
    </cfRule>
  </conditionalFormatting>
  <conditionalFormatting sqref="H86:I86">
    <cfRule type="cellIs" dxfId="2791" priority="112" stopIfTrue="1" operator="greaterThan">
      <formula>$J86</formula>
    </cfRule>
    <cfRule type="cellIs" dxfId="2790" priority="113" stopIfTrue="1" operator="lessThanOrEqual">
      <formula>0</formula>
    </cfRule>
  </conditionalFormatting>
  <conditionalFormatting sqref="I72">
    <cfRule type="cellIs" dxfId="2789" priority="79" stopIfTrue="1" operator="greaterThan">
      <formula>$F$39</formula>
    </cfRule>
    <cfRule type="cellIs" dxfId="2788" priority="80" stopIfTrue="1" operator="lessThanOrEqual">
      <formula>0</formula>
    </cfRule>
    <cfRule type="cellIs" dxfId="2787" priority="75" stopIfTrue="1" operator="greaterThan">
      <formula>$F$39</formula>
    </cfRule>
    <cfRule type="cellIs" dxfId="2786" priority="76" stopIfTrue="1" operator="lessThanOrEqual">
      <formula>0</formula>
    </cfRule>
    <cfRule type="cellIs" dxfId="2785" priority="77" stopIfTrue="1" operator="greaterThan">
      <formula>$F$41</formula>
    </cfRule>
    <cfRule type="cellIs" dxfId="2784" priority="78" stopIfTrue="1" operator="lessThanOrEqual">
      <formula>0</formula>
    </cfRule>
  </conditionalFormatting>
  <conditionalFormatting sqref="I73">
    <cfRule type="cellIs" dxfId="2783" priority="92" stopIfTrue="1" operator="lessThanOrEqual">
      <formula>0</formula>
    </cfRule>
    <cfRule type="cellIs" dxfId="2782" priority="96" stopIfTrue="1" operator="lessThanOrEqual">
      <formula>0</formula>
    </cfRule>
    <cfRule type="cellIs" dxfId="2781" priority="95" stopIfTrue="1" operator="greaterThan">
      <formula>$F$53</formula>
    </cfRule>
    <cfRule type="cellIs" dxfId="2780" priority="94" stopIfTrue="1" operator="lessThanOrEqual">
      <formula>0</formula>
    </cfRule>
    <cfRule type="cellIs" dxfId="2779" priority="93" stopIfTrue="1" operator="greaterThan">
      <formula>$F$55</formula>
    </cfRule>
    <cfRule type="cellIs" dxfId="2778" priority="91" stopIfTrue="1" operator="greaterThan">
      <formula>$F$53</formula>
    </cfRule>
  </conditionalFormatting>
  <conditionalFormatting sqref="I77:I85">
    <cfRule type="cellIs" dxfId="2777" priority="126" stopIfTrue="1" operator="greaterThan">
      <formula>$J77</formula>
    </cfRule>
    <cfRule type="cellIs" dxfId="2776" priority="127" stopIfTrue="1" operator="lessThanOrEqual">
      <formula>0</formula>
    </cfRule>
  </conditionalFormatting>
  <conditionalFormatting sqref="I88:I96">
    <cfRule type="cellIs" dxfId="2775" priority="155" stopIfTrue="1" operator="greaterThan">
      <formula>4.5</formula>
    </cfRule>
    <cfRule type="cellIs" dxfId="2774" priority="156" stopIfTrue="1" operator="lessThanOrEqual">
      <formula>0</formula>
    </cfRule>
  </conditionalFormatting>
  <conditionalFormatting sqref="I10:J40">
    <cfRule type="cellIs" dxfId="2773" priority="20" operator="lessThan">
      <formula>97.9</formula>
    </cfRule>
  </conditionalFormatting>
  <conditionalFormatting sqref="J43:J45">
    <cfRule type="cellIs" dxfId="2772" priority="103" stopIfTrue="1" operator="greaterThan">
      <formula>100</formula>
    </cfRule>
    <cfRule type="cellIs" dxfId="2771" priority="104" operator="lessThan">
      <formula>98</formula>
    </cfRule>
    <cfRule type="cellIs" dxfId="2770" priority="102" stopIfTrue="1" operator="lessThan">
      <formula>96.8</formula>
    </cfRule>
  </conditionalFormatting>
  <conditionalFormatting sqref="J43:J47">
    <cfRule type="cellIs" dxfId="2769" priority="101" operator="lessThan">
      <formula>97.4</formula>
    </cfRule>
  </conditionalFormatting>
  <conditionalFormatting sqref="J48">
    <cfRule type="cellIs" dxfId="2768" priority="105" operator="lessThan">
      <formula>98</formula>
    </cfRule>
  </conditionalFormatting>
  <conditionalFormatting sqref="J50:J51">
    <cfRule type="cellIs" dxfId="2767" priority="107" stopIfTrue="1" operator="greaterThan">
      <formula>100</formula>
    </cfRule>
    <cfRule type="cellIs" dxfId="2766" priority="106" stopIfTrue="1" operator="lessThan">
      <formula>96.8</formula>
    </cfRule>
  </conditionalFormatting>
  <conditionalFormatting sqref="J50:J52">
    <cfRule type="cellIs" dxfId="2765" priority="108" operator="lessThan">
      <formula>98</formula>
    </cfRule>
  </conditionalFormatting>
  <conditionalFormatting sqref="J86">
    <cfRule type="cellIs" dxfId="2764" priority="109" stopIfTrue="1" operator="greaterThan">
      <formula>$F86</formula>
    </cfRule>
    <cfRule type="cellIs" dxfId="2763" priority="110" stopIfTrue="1" operator="lessThanOrEqual">
      <formula>0</formula>
    </cfRule>
  </conditionalFormatting>
  <conditionalFormatting sqref="K10:K40">
    <cfRule type="cellIs" dxfId="2762" priority="5" operator="greaterThan">
      <formula>6.4</formula>
    </cfRule>
    <cfRule type="cellIs" dxfId="2761" priority="4" operator="lessThan">
      <formula>4</formula>
    </cfRule>
    <cfRule type="cellIs" dxfId="2760" priority="3" operator="greaterThan">
      <formula>6</formula>
    </cfRule>
  </conditionalFormatting>
  <conditionalFormatting sqref="K72:K73">
    <cfRule type="cellIs" dxfId="2759" priority="85" stopIfTrue="1" operator="lessThan">
      <formula>100%</formula>
    </cfRule>
  </conditionalFormatting>
  <conditionalFormatting sqref="K88:K93">
    <cfRule type="cellIs" dxfId="2758" priority="161" stopIfTrue="1" operator="lessThan">
      <formula>100%</formula>
    </cfRule>
  </conditionalFormatting>
  <conditionalFormatting sqref="K95:K96">
    <cfRule type="cellIs" dxfId="2757" priority="168" stopIfTrue="1" operator="lessThan">
      <formula>100%</formula>
    </cfRule>
  </conditionalFormatting>
  <conditionalFormatting sqref="K77:N80 L81:N81">
    <cfRule type="cellIs" dxfId="2756" priority="139" stopIfTrue="1" operator="lessThan">
      <formula>100%</formula>
    </cfRule>
  </conditionalFormatting>
  <conditionalFormatting sqref="K82:N85 L86:N86">
    <cfRule type="cellIs" dxfId="2755" priority="111" stopIfTrue="1" operator="lessThan">
      <formula>100%</formula>
    </cfRule>
  </conditionalFormatting>
  <conditionalFormatting sqref="L10:L40">
    <cfRule type="cellIs" dxfId="2754" priority="22" operator="greaterThan">
      <formula>65</formula>
    </cfRule>
    <cfRule type="cellIs" dxfId="2753" priority="21" operator="between">
      <formula>61</formula>
      <formula>65</formula>
    </cfRule>
  </conditionalFormatting>
  <conditionalFormatting sqref="L43:M54">
    <cfRule type="cellIs" dxfId="2752" priority="116" operator="lessThan">
      <formula>98</formula>
    </cfRule>
  </conditionalFormatting>
  <conditionalFormatting sqref="L58:N58">
    <cfRule type="cellIs" dxfId="2751" priority="86" operator="notEqual">
      <formula>#REF!</formula>
    </cfRule>
  </conditionalFormatting>
  <conditionalFormatting sqref="L88:N96">
    <cfRule type="cellIs" dxfId="2750" priority="146" stopIfTrue="1" operator="lessThan">
      <formula>100%</formula>
    </cfRule>
  </conditionalFormatting>
  <conditionalFormatting sqref="M10:M40">
    <cfRule type="expression" dxfId="2749" priority="19">
      <formula>IF(+(IF(M10&lt;U10,0,IF(M10&gt;V10,0,1)))=0,1)</formula>
    </cfRule>
  </conditionalFormatting>
  <conditionalFormatting sqref="N10:N40">
    <cfRule type="expression" dxfId="2748" priority="1">
      <formula>IF(+(IF(N10&lt;W10,0,IF(N10&gt;X10,0,1)))=0,1)</formula>
    </cfRule>
  </conditionalFormatting>
  <conditionalFormatting sqref="P6">
    <cfRule type="cellIs" dxfId="2747" priority="142" operator="greaterThanOrEqual">
      <formula>19</formula>
    </cfRule>
  </conditionalFormatting>
  <dataValidations disablePrompts="1" count="1">
    <dataValidation type="list" allowBlank="1" showInputMessage="1" showErrorMessage="1" sqref="R8" xr:uid="{926D10C7-3C2A-4AF7-B8BB-7CC59A5417FB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2C87-E848-41C9-8A5E-6DD584EB8BEB}">
  <sheetPr>
    <pageSetUpPr fitToPage="1"/>
  </sheetPr>
  <dimension ref="A1:BE92"/>
  <sheetViews>
    <sheetView topLeftCell="A4" zoomScale="80" zoomScaleNormal="80" workbookViewId="0">
      <selection activeCell="B20" sqref="B20:O20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45841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7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19"/>
      <c r="R10" s="277">
        <f t="shared" ref="R10:R43" si="0">B10</f>
        <v>0</v>
      </c>
      <c r="S10" s="296" t="e">
        <f t="shared" ref="S10:S43" si="1">VLOOKUP($B10,$R$3:$X$9,2,FALSE)</f>
        <v>#N/A</v>
      </c>
      <c r="T10" s="296" t="e">
        <f t="shared" ref="T10:T43" si="2">VLOOKUP($B10,$R$3:$X$9,3,FALSE)</f>
        <v>#N/A</v>
      </c>
      <c r="U10" s="297" t="e">
        <f t="shared" ref="U10:U43" si="3">VLOOKUP($B10,$R$3:$X$9,4,FALSE)</f>
        <v>#N/A</v>
      </c>
      <c r="V10" s="297" t="e">
        <f t="shared" ref="V10:V43" si="4">VLOOKUP($B10,$R$3:$X$9,5,FALSE)</f>
        <v>#N/A</v>
      </c>
      <c r="W10" s="297" t="e">
        <f t="shared" ref="W10:W43" si="5">VLOOKUP($B10,$R$3:$X$9,6,FALSE)</f>
        <v>#N/A</v>
      </c>
      <c r="X10" s="297" t="e">
        <f t="shared" ref="X10:X43" si="6">VLOOKUP($B10,$R$3:$X$9,7,FALSE)</f>
        <v>#N/A</v>
      </c>
      <c r="Y10" s="297" t="e">
        <f t="shared" ref="Y10:Y43" si="7">VLOOKUP($B10,$R$3:$Z$9,8,FALSE)</f>
        <v>#N/A</v>
      </c>
      <c r="Z10" s="296" t="e">
        <f t="shared" ref="Z10:Z43" si="8">VLOOKUP($B10,$R$3:$Z$9,9,FALSE)</f>
        <v>#N/A</v>
      </c>
    </row>
    <row r="11" spans="2:29" ht="15.75" hidden="1" customHeight="1">
      <c r="B11" s="37"/>
      <c r="C11" s="366"/>
      <c r="D11" s="279"/>
      <c r="E11" s="279"/>
      <c r="F11" s="278"/>
      <c r="G11" s="279"/>
      <c r="H11" s="367"/>
      <c r="I11" s="368"/>
      <c r="J11" s="368"/>
      <c r="K11" s="281"/>
      <c r="L11" s="276"/>
      <c r="M11" s="374"/>
      <c r="N11" s="370"/>
      <c r="O11" s="371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7"/>
      <c r="C12" s="366"/>
      <c r="D12" s="279"/>
      <c r="E12" s="279"/>
      <c r="F12" s="278"/>
      <c r="G12" s="279"/>
      <c r="H12" s="367"/>
      <c r="I12" s="368"/>
      <c r="J12" s="368"/>
      <c r="K12" s="281"/>
      <c r="L12" s="276"/>
      <c r="M12" s="374"/>
      <c r="N12" s="370"/>
      <c r="O12" s="371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425"/>
      <c r="C14" s="366"/>
      <c r="D14" s="279"/>
      <c r="E14" s="279"/>
      <c r="F14" s="278"/>
      <c r="G14" s="279"/>
      <c r="H14" s="367"/>
      <c r="I14" s="368"/>
      <c r="J14" s="368"/>
      <c r="K14" s="281"/>
      <c r="L14" s="276"/>
      <c r="M14" s="374"/>
      <c r="N14" s="370"/>
      <c r="O14" s="371"/>
      <c r="P14" s="419"/>
      <c r="R14" s="277"/>
      <c r="S14" s="296"/>
      <c r="T14" s="296"/>
      <c r="U14" s="297"/>
      <c r="V14" s="297"/>
      <c r="W14" s="297"/>
      <c r="X14" s="297"/>
      <c r="Y14" s="297"/>
      <c r="Z14" s="296"/>
    </row>
    <row r="15" spans="2:29" ht="15.75" customHeight="1">
      <c r="B15" s="37" t="s">
        <v>16</v>
      </c>
      <c r="C15" s="366" t="str">
        <f>[22]Brewhouse!$A60</f>
        <v>SM049</v>
      </c>
      <c r="D15" s="279">
        <f>[22]Brewhouse!$AH60</f>
        <v>55</v>
      </c>
      <c r="E15" s="279">
        <f>[22]Brewhouse!$AM60</f>
        <v>52.3</v>
      </c>
      <c r="F15" s="278">
        <f>[22]Brewhouse!$Z60</f>
        <v>71</v>
      </c>
      <c r="G15" s="279">
        <f>[22]Brewhouse!$AK60</f>
        <v>17.28</v>
      </c>
      <c r="H15" s="367"/>
      <c r="I15" s="368">
        <f>[22]Brewhouse!$AY60</f>
        <v>99.593723178345229</v>
      </c>
      <c r="J15" s="368">
        <f>[22]Brewhouse!$AZ60</f>
        <v>100.3858768572243</v>
      </c>
      <c r="K15" s="392">
        <f>[22]Brewhouse!$U60</f>
        <v>12.872727272727284</v>
      </c>
      <c r="L15" s="276">
        <f>[22]Brewhouse!$T60</f>
        <v>58</v>
      </c>
      <c r="M15" s="374">
        <f>[22]Brewhouse!$Y60-[22]Brewhouse!$X60</f>
        <v>0.13750000000000018</v>
      </c>
      <c r="N15" s="370">
        <f>[22]Brewhouse!$AD60</f>
        <v>0.28402777777777777</v>
      </c>
      <c r="O15" s="371" t="str">
        <f>[22]Brewhouse!$BC60</f>
        <v>R.Sookram</v>
      </c>
      <c r="P15" s="419"/>
      <c r="R15" s="277" t="str">
        <f t="shared" si="0"/>
        <v>STARMALT</v>
      </c>
      <c r="S15" s="426">
        <v>17</v>
      </c>
      <c r="T15" s="426">
        <v>17.2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296">
        <f t="shared" si="8"/>
        <v>85</v>
      </c>
    </row>
    <row r="16" spans="2:29" ht="15.75" customHeight="1">
      <c r="B16" s="37" t="s">
        <v>16</v>
      </c>
      <c r="C16" s="366" t="str">
        <f>[22]Brewhouse!$A61</f>
        <v>SM050</v>
      </c>
      <c r="D16" s="279">
        <f>[22]Brewhouse!$AH61</f>
        <v>55.1</v>
      </c>
      <c r="E16" s="279">
        <f>[22]Brewhouse!$AM61</f>
        <v>51.7</v>
      </c>
      <c r="F16" s="278">
        <f>[22]Brewhouse!$Z61</f>
        <v>65</v>
      </c>
      <c r="G16" s="279">
        <f>[22]Brewhouse!$AK61</f>
        <v>17.5</v>
      </c>
      <c r="H16" s="367"/>
      <c r="I16" s="368">
        <f>[22]Brewhouse!$AY61</f>
        <v>99.702836872398194</v>
      </c>
      <c r="J16" s="368">
        <f>[22]Brewhouse!$AZ61</f>
        <v>100.49511149821224</v>
      </c>
      <c r="K16" s="392">
        <f>[22]Brewhouse!$U61</f>
        <v>10.671506352087119</v>
      </c>
      <c r="L16" s="276">
        <f>[22]Brewhouse!$T61</f>
        <v>61</v>
      </c>
      <c r="M16" s="374">
        <f>[22]Brewhouse!$Y61-[22]Brewhouse!$X61</f>
        <v>0.13194444444444445</v>
      </c>
      <c r="N16" s="370">
        <f>[22]Brewhouse!$AD61</f>
        <v>0.27430555555555558</v>
      </c>
      <c r="O16" s="371" t="str">
        <f>[22]Brewhouse!$BC61</f>
        <v>R.Sookram</v>
      </c>
      <c r="P16" s="419"/>
      <c r="R16" s="277" t="str">
        <f t="shared" si="0"/>
        <v>STARMALT</v>
      </c>
      <c r="S16" s="426">
        <v>17</v>
      </c>
      <c r="T16" s="426">
        <v>17.2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296">
        <f t="shared" si="8"/>
        <v>85</v>
      </c>
    </row>
    <row r="17" spans="2:26" ht="15.75" customHeight="1">
      <c r="B17" s="37" t="s">
        <v>16</v>
      </c>
      <c r="C17" s="366" t="str">
        <f>[22]Brewhouse!$A62</f>
        <v>SM051</v>
      </c>
      <c r="D17" s="279">
        <f>[22]Brewhouse!$AH62</f>
        <v>56.2</v>
      </c>
      <c r="E17" s="279">
        <f>[22]Brewhouse!$AM62</f>
        <v>53.9</v>
      </c>
      <c r="F17" s="278">
        <f>[22]Brewhouse!$Z62</f>
        <v>94</v>
      </c>
      <c r="G17" s="279">
        <f>[22]Brewhouse!$AK62</f>
        <v>16.8</v>
      </c>
      <c r="H17" s="367"/>
      <c r="I17" s="368">
        <f>[22]Brewhouse!$AY62</f>
        <v>99.503394936483232</v>
      </c>
      <c r="J17" s="368">
        <f>[22]Brewhouse!$AZ62</f>
        <v>100.29408472489341</v>
      </c>
      <c r="K17" s="392">
        <f>[22]Brewhouse!$U62</f>
        <v>12.597864768683284</v>
      </c>
      <c r="L17" s="276">
        <f>[22]Brewhouse!$T62</f>
        <v>61</v>
      </c>
      <c r="M17" s="374">
        <f>[22]Brewhouse!$Y62-[22]Brewhouse!$X62</f>
        <v>0.14513888888888893</v>
      </c>
      <c r="N17" s="370">
        <f>[22]Brewhouse!$AD62</f>
        <v>0.30833333333333335</v>
      </c>
      <c r="O17" s="371" t="str">
        <f>[22]Brewhouse!$BC62</f>
        <v>R. Regis</v>
      </c>
      <c r="P17" s="419"/>
      <c r="R17" s="277" t="str">
        <f t="shared" si="0"/>
        <v>STARMALT</v>
      </c>
      <c r="S17" s="426">
        <v>17</v>
      </c>
      <c r="T17" s="426">
        <v>17.2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296">
        <f t="shared" si="8"/>
        <v>85</v>
      </c>
    </row>
    <row r="18" spans="2:26" ht="15.75" customHeight="1">
      <c r="B18" s="37" t="s">
        <v>16</v>
      </c>
      <c r="C18" s="366" t="str">
        <f>[22]Brewhouse!$A63</f>
        <v>SM052</v>
      </c>
      <c r="D18" s="279">
        <f>[22]Brewhouse!$AH63</f>
        <v>56.6</v>
      </c>
      <c r="E18" s="279">
        <f>[22]Brewhouse!$AM63</f>
        <v>51.6</v>
      </c>
      <c r="F18" s="278">
        <f>[22]Brewhouse!$Z63</f>
        <v>91</v>
      </c>
      <c r="G18" s="279">
        <f>[22]Brewhouse!$AK63</f>
        <v>17.600000000000001</v>
      </c>
      <c r="H18" s="367"/>
      <c r="I18" s="368">
        <f>[22]Brewhouse!$AY63</f>
        <v>100.14787259716714</v>
      </c>
      <c r="J18" s="368">
        <f>[22]Brewhouse!$AZ63</f>
        <v>100.94368363702289</v>
      </c>
      <c r="K18" s="281">
        <f>[22]Brewhouse!$U63</f>
        <v>5.795053003533571</v>
      </c>
      <c r="L18" s="276">
        <f>[22]Brewhouse!$T63</f>
        <v>61</v>
      </c>
      <c r="M18" s="374">
        <f>[22]Brewhouse!$Y63-[22]Brewhouse!$X63</f>
        <v>0.18611111111111112</v>
      </c>
      <c r="N18" s="370">
        <f>[22]Brewhouse!$AD63</f>
        <v>0.33611111111111108</v>
      </c>
      <c r="O18" s="371" t="str">
        <f>[22]Brewhouse!$BC63</f>
        <v>R. Regis</v>
      </c>
      <c r="P18" s="419"/>
      <c r="R18" s="277" t="str">
        <f t="shared" si="0"/>
        <v>STARMALT</v>
      </c>
      <c r="S18" s="426">
        <v>17</v>
      </c>
      <c r="T18" s="426">
        <v>17.2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296">
        <f t="shared" si="8"/>
        <v>85</v>
      </c>
    </row>
    <row r="19" spans="2:26" ht="15.75" customHeight="1">
      <c r="B19" s="37" t="s">
        <v>16</v>
      </c>
      <c r="C19" s="366" t="str">
        <f>[22]Brewhouse!$A64</f>
        <v>SM053</v>
      </c>
      <c r="D19" s="279">
        <f>[22]Brewhouse!$AH64</f>
        <v>55.8</v>
      </c>
      <c r="E19" s="279">
        <f>[22]Brewhouse!$AM64</f>
        <v>48.3</v>
      </c>
      <c r="F19" s="278">
        <f>[22]Brewhouse!$Z64</f>
        <v>74</v>
      </c>
      <c r="G19" s="279">
        <f>[22]Brewhouse!$AK64</f>
        <v>16.8</v>
      </c>
      <c r="H19" s="367"/>
      <c r="I19" s="368">
        <f>[22]Brewhouse!$AY64</f>
        <v>98.857519359317735</v>
      </c>
      <c r="J19" s="368">
        <f>[22]Brewhouse!$AZ64</f>
        <v>99.738443785464469</v>
      </c>
      <c r="K19" s="392">
        <f>[22]Brewhouse!$U64</f>
        <v>17.168458781362006</v>
      </c>
      <c r="L19" s="276">
        <f>[22]Brewhouse!$T64</f>
        <v>61</v>
      </c>
      <c r="M19" s="374">
        <f>[22]Brewhouse!$Y64-[22]Brewhouse!$X64</f>
        <v>0.14722222222222225</v>
      </c>
      <c r="N19" s="370">
        <f>[22]Brewhouse!$AD64</f>
        <v>0.31944444444444448</v>
      </c>
      <c r="O19" s="371" t="str">
        <f>[22]Brewhouse!$BC64</f>
        <v>R. Regis</v>
      </c>
      <c r="P19" s="419"/>
      <c r="R19" s="277" t="str">
        <f t="shared" si="0"/>
        <v>STARMALT</v>
      </c>
      <c r="S19" s="426">
        <v>17</v>
      </c>
      <c r="T19" s="426">
        <v>17.2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296">
        <f t="shared" si="8"/>
        <v>85</v>
      </c>
    </row>
    <row r="20" spans="2:26" ht="15.75" customHeight="1">
      <c r="B20" s="37" t="s">
        <v>16</v>
      </c>
      <c r="C20" s="366" t="str">
        <f>[22]Brewhouse!$A65</f>
        <v>SM054</v>
      </c>
      <c r="D20" s="279">
        <f>[22]Brewhouse!$AH65</f>
        <v>54.3</v>
      </c>
      <c r="E20" s="279">
        <f>[22]Brewhouse!$AM65</f>
        <v>52.6</v>
      </c>
      <c r="F20" s="278">
        <f>[22]Brewhouse!$Z65</f>
        <v>78</v>
      </c>
      <c r="G20" s="279">
        <f>[22]Brewhouse!$AK65</f>
        <v>17.399999999999999</v>
      </c>
      <c r="H20" s="367"/>
      <c r="I20" s="368">
        <f>[22]Brewhouse!$AY65</f>
        <v>100.43456778341326</v>
      </c>
      <c r="J20" s="368">
        <f>[22]Brewhouse!$AZ65</f>
        <v>101.23640699003485</v>
      </c>
      <c r="K20" s="392">
        <f>[22]Brewhouse!$U65</f>
        <v>12.117863720073663</v>
      </c>
      <c r="L20" s="276">
        <f>[22]Brewhouse!$T65</f>
        <v>60</v>
      </c>
      <c r="M20" s="374">
        <f>[22]Brewhouse!$Y65-[22]Brewhouse!$X65</f>
        <v>0.13263888888888897</v>
      </c>
      <c r="N20" s="370">
        <f>[22]Brewhouse!$AD65</f>
        <v>0.36041666666666672</v>
      </c>
      <c r="O20" s="371" t="str">
        <f>[22]Brewhouse!$BC65</f>
        <v>D. Gomaz</v>
      </c>
      <c r="P20" s="419"/>
      <c r="R20" s="277" t="str">
        <f t="shared" si="0"/>
        <v>STARMALT</v>
      </c>
      <c r="S20" s="426">
        <v>17</v>
      </c>
      <c r="T20" s="426">
        <v>17.2</v>
      </c>
      <c r="U20" s="297">
        <f t="shared" si="3"/>
        <v>0</v>
      </c>
      <c r="V20" s="297">
        <f t="shared" si="4"/>
        <v>0.13605324074074074</v>
      </c>
      <c r="W20" s="297">
        <f t="shared" si="5"/>
        <v>0.27430555555555552</v>
      </c>
      <c r="X20" s="297">
        <f t="shared" si="6"/>
        <v>0.30902777777777779</v>
      </c>
      <c r="Y20" s="297">
        <f t="shared" si="7"/>
        <v>0</v>
      </c>
      <c r="Z20" s="296">
        <f t="shared" si="8"/>
        <v>85</v>
      </c>
    </row>
    <row r="21" spans="2:26" ht="15.75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392"/>
      <c r="L21" s="276"/>
      <c r="M21" s="374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4.4" hidden="1">
      <c r="B22" s="37"/>
      <c r="C22" s="366"/>
      <c r="D22" s="279"/>
      <c r="E22" s="279"/>
      <c r="F22" s="278"/>
      <c r="G22" s="279"/>
      <c r="H22" s="396"/>
      <c r="I22" s="368"/>
      <c r="J22" s="368"/>
      <c r="K22" s="392"/>
      <c r="L22" s="276"/>
      <c r="M22" s="374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33"/>
      <c r="C23" s="366"/>
      <c r="D23" s="279"/>
      <c r="E23" s="279"/>
      <c r="F23" s="278"/>
      <c r="G23" s="279"/>
      <c r="H23" s="396"/>
      <c r="I23" s="427"/>
      <c r="J23" s="427"/>
      <c r="K23" s="392"/>
      <c r="L23" s="276"/>
      <c r="M23" s="374"/>
      <c r="N23" s="370"/>
      <c r="O23" s="428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33"/>
      <c r="C24" s="366"/>
      <c r="D24" s="279"/>
      <c r="E24" s="279"/>
      <c r="F24" s="278"/>
      <c r="G24" s="279"/>
      <c r="H24" s="396"/>
      <c r="I24" s="427"/>
      <c r="J24" s="427"/>
      <c r="K24" s="392"/>
      <c r="L24" s="276"/>
      <c r="M24" s="374"/>
      <c r="N24" s="370"/>
      <c r="O24" s="428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3"/>
      <c r="C25" s="366"/>
      <c r="D25" s="279"/>
      <c r="E25" s="279"/>
      <c r="F25" s="278"/>
      <c r="G25" s="279"/>
      <c r="H25" s="396"/>
      <c r="I25" s="427"/>
      <c r="J25" s="427"/>
      <c r="K25" s="392"/>
      <c r="L25" s="276"/>
      <c r="M25" s="374"/>
      <c r="N25" s="370"/>
      <c r="O25" s="428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33" t="s">
        <v>9</v>
      </c>
      <c r="C26" s="366" t="str">
        <f>[24]Brewhouse!$A275</f>
        <v>ST255</v>
      </c>
      <c r="D26" s="279">
        <f>[24]Brewhouse!$AD275</f>
        <v>48.6</v>
      </c>
      <c r="E26" s="279">
        <f>[24]Brewhouse!$AG275</f>
        <v>50.4</v>
      </c>
      <c r="F26" s="278">
        <f>[24]Brewhouse!$V275</f>
        <v>57</v>
      </c>
      <c r="G26" s="279">
        <f>[24]Brewhouse!$AE275</f>
        <v>12</v>
      </c>
      <c r="H26" s="396">
        <v>11.8</v>
      </c>
      <c r="I26" s="427">
        <f>[24]Brewhouse!$AS275</f>
        <v>100.83968282378231</v>
      </c>
      <c r="J26" s="427">
        <f>[24]Brewhouse!$AT275</f>
        <v>102.21869786519255</v>
      </c>
      <c r="K26" s="392">
        <f>[24]Brewhouse!$Q275</f>
        <v>14.69465648854961</v>
      </c>
      <c r="L26" s="276">
        <f>[24]Brewhouse!$P275</f>
        <v>58</v>
      </c>
      <c r="M26" s="374">
        <f>[24]Brewhouse!$U275-[24]Brewhouse!$T275</f>
        <v>0.10694444444444451</v>
      </c>
      <c r="N26" s="370">
        <f>[24]Brewhouse!$AW275</f>
        <v>0.23958333333333337</v>
      </c>
      <c r="O26" s="428" t="str">
        <f>[24]Brewhouse!$AV275</f>
        <v>R.Sookram</v>
      </c>
      <c r="P26" s="419"/>
      <c r="R26" s="277" t="str">
        <f t="shared" si="0"/>
        <v>STAG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429" t="s">
        <v>170</v>
      </c>
      <c r="C27" s="366"/>
      <c r="D27" s="279"/>
      <c r="E27" s="279"/>
      <c r="F27" s="278"/>
      <c r="G27" s="279"/>
      <c r="H27" s="396"/>
      <c r="I27" s="427"/>
      <c r="J27" s="427"/>
      <c r="K27" s="392"/>
      <c r="L27" s="276"/>
      <c r="M27" s="374"/>
      <c r="N27" s="370"/>
      <c r="O27" s="428"/>
      <c r="P27" s="419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2:26" ht="14.4">
      <c r="B28" s="33" t="s">
        <v>9</v>
      </c>
      <c r="C28" s="366" t="str">
        <f>[24]Brewhouse!$A276</f>
        <v>ST256</v>
      </c>
      <c r="D28" s="279">
        <f>[24]Brewhouse!$AD276</f>
        <v>50.5</v>
      </c>
      <c r="E28" s="279">
        <f>[24]Brewhouse!$AG276</f>
        <v>49.6</v>
      </c>
      <c r="F28" s="278">
        <f>[24]Brewhouse!$V276</f>
        <v>61</v>
      </c>
      <c r="G28" s="279">
        <f>[24]Brewhouse!$AE276</f>
        <v>11.9</v>
      </c>
      <c r="H28" s="396">
        <v>11.8</v>
      </c>
      <c r="I28" s="427">
        <f>[24]Brewhouse!$AS276</f>
        <v>98.000691311781651</v>
      </c>
      <c r="J28" s="427">
        <f>[24]Brewhouse!$AT276</f>
        <v>99.342197384027386</v>
      </c>
      <c r="K28" s="392">
        <f>[24]Brewhouse!$Q276</f>
        <v>9.8076923076923102</v>
      </c>
      <c r="L28" s="276">
        <f>[24]Brewhouse!$P276</f>
        <v>59</v>
      </c>
      <c r="M28" s="374">
        <f>[24]Brewhouse!$U276-[24]Brewhouse!$T276</f>
        <v>0.11388888888888893</v>
      </c>
      <c r="N28" s="370">
        <f>[24]Brewhouse!$AW276</f>
        <v>0.24861111111111112</v>
      </c>
      <c r="O28" s="428" t="str">
        <f>[24]Brewhouse!$AV276</f>
        <v>R.Sookram</v>
      </c>
      <c r="P28" s="419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2:26" ht="15.75" customHeight="1">
      <c r="B29" s="33"/>
      <c r="C29" s="366"/>
      <c r="D29" s="279"/>
      <c r="E29" s="279"/>
      <c r="F29" s="278"/>
      <c r="G29" s="279"/>
      <c r="H29" s="396"/>
      <c r="I29" s="427"/>
      <c r="J29" s="427"/>
      <c r="K29" s="281"/>
      <c r="L29" s="276"/>
      <c r="M29" s="374"/>
      <c r="N29" s="370"/>
      <c r="O29" s="428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customHeight="1">
      <c r="B30" s="33"/>
      <c r="C30" s="366"/>
      <c r="D30" s="279"/>
      <c r="E30" s="279"/>
      <c r="F30" s="278"/>
      <c r="G30" s="279"/>
      <c r="H30" s="396"/>
      <c r="I30" s="427"/>
      <c r="J30" s="427"/>
      <c r="K30" s="281"/>
      <c r="L30" s="276"/>
      <c r="M30" s="374"/>
      <c r="N30" s="370"/>
      <c r="O30" s="428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33"/>
      <c r="C31" s="366"/>
      <c r="D31" s="279"/>
      <c r="E31" s="279"/>
      <c r="F31" s="278"/>
      <c r="G31" s="279"/>
      <c r="H31" s="396"/>
      <c r="I31" s="427"/>
      <c r="J31" s="427"/>
      <c r="K31" s="281"/>
      <c r="L31" s="276"/>
      <c r="M31" s="374"/>
      <c r="N31" s="370"/>
      <c r="O31" s="428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4"/>
      <c r="O32" s="371"/>
      <c r="P32" s="423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customHeight="1" thickBot="1">
      <c r="B42" s="358"/>
      <c r="C42" s="358"/>
      <c r="D42" s="358"/>
      <c r="E42" s="358"/>
      <c r="F42" s="294"/>
      <c r="G42" s="294"/>
      <c r="H42" s="348"/>
      <c r="I42" s="532"/>
      <c r="J42" s="532"/>
      <c r="K42" s="532"/>
      <c r="L42" s="532"/>
      <c r="M42" s="532"/>
      <c r="N42" s="532"/>
      <c r="O42" s="1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" thickBot="1">
      <c r="B43" s="388" t="s">
        <v>163</v>
      </c>
      <c r="C43" s="388"/>
      <c r="D43" s="545" t="s">
        <v>35</v>
      </c>
      <c r="E43" s="546"/>
      <c r="F43" s="294"/>
      <c r="G43" s="294"/>
      <c r="H43" s="348"/>
      <c r="I43" s="24" t="s">
        <v>17</v>
      </c>
      <c r="J43" s="25" t="s">
        <v>36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4"/>
      <c r="P43" s="12"/>
      <c r="R43" s="277" t="str">
        <f t="shared" si="0"/>
        <v xml:space="preserve">BRAND 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customHeight="1">
      <c r="A44" s="28"/>
      <c r="B44" s="579" t="s">
        <v>172</v>
      </c>
      <c r="C44" s="362"/>
      <c r="D44" s="536"/>
      <c r="E44" s="525"/>
      <c r="F44" s="294"/>
      <c r="G44" s="294"/>
      <c r="H44" s="348"/>
      <c r="I44" s="29" t="s">
        <v>6</v>
      </c>
      <c r="J44" s="280"/>
      <c r="K44" s="284">
        <f>COUNTA([23]Brewhouse!$A$580:$A$583)</f>
        <v>4</v>
      </c>
      <c r="L44" s="305">
        <f>AVERAGE([23]Brewhouse!$AU$580:$AU$583)</f>
        <v>99.431733002988693</v>
      </c>
      <c r="M4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AVERAGE([23]Brewhouse!$AU$102:$AU$171,[23]Brewhouse!$AU$173:$AU$253,[23]Brewhouse!$AU$255:$AU$339,[23]Brewhouse!$AU$341:$AU$346,[23]Brewhouse!$AU$348,[23]Brewhouse!$AU$349:$AU$406,[23]Brewhouse!$AU$408:$AU$491,[23]Brewhouse!$AU$493:$AU$578,[23]Brewhouse!$AU$580:$AU$583)</f>
        <v>97.764023913429369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6" ht="15" customHeight="1">
      <c r="A45" s="28"/>
      <c r="B45" s="580"/>
      <c r="C45" s="349"/>
      <c r="D45" s="537"/>
      <c r="E45" s="520"/>
      <c r="F45" s="294"/>
      <c r="G45" s="294"/>
      <c r="H45" s="348"/>
      <c r="I45" s="33" t="s">
        <v>9</v>
      </c>
      <c r="J45" s="280">
        <f>I26</f>
        <v>100.83968282378231</v>
      </c>
      <c r="K45" s="284">
        <f>COUNTA([24]Brewhouse!$A$275:$A$276)</f>
        <v>2</v>
      </c>
      <c r="L45" s="302">
        <f>AVERAGE([24]Brewhouse!$AS$275:$AS$276)</f>
        <v>99.420187067781981</v>
      </c>
      <c r="M45" s="302">
        <f>AVERAGE([24]Brewhouse!$AS$15:$AS$64,[24]Brewhouse!$AS$66:$AS$103,[24]Brewhouse!$AS$105:$AS$140,[24]Brewhouse!$AS$142:$AS$193,[24]Brewhouse!$AS$195:$AS$240,[24]Brewhouse!$AS$242:$AS$273,[24]Brewhouse!$AS$275:$AS$276)</f>
        <v>97.888321461754941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4.7" customHeight="1">
      <c r="A46" s="28"/>
      <c r="B46" s="580"/>
      <c r="C46" s="349"/>
      <c r="D46" s="536"/>
      <c r="E46" s="525"/>
      <c r="F46" s="294"/>
      <c r="G46" s="294"/>
      <c r="H46" s="348"/>
      <c r="I46" s="34" t="s">
        <v>12</v>
      </c>
      <c r="J46" s="280"/>
      <c r="K46" s="284"/>
      <c r="L46" s="302"/>
      <c r="M46" s="302">
        <f>AVERAGE([25]Brewhouse!$AU$4:$AU$7,[25]Brewhouse!$AU$9:$AU$22,[25]Brewhouse!$AU$24:$AU$35,[25]Brewhouse!$AU$37:$AU$45,[25]Brewhouse!$AU$47:$AU$62)</f>
        <v>97.179377138297156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80"/>
      <c r="C47" s="349"/>
      <c r="D47" s="537"/>
      <c r="E47" s="520"/>
      <c r="F47" s="294"/>
      <c r="G47" s="294"/>
      <c r="H47" s="348"/>
      <c r="I47" s="22" t="s">
        <v>33</v>
      </c>
      <c r="J47" s="280"/>
      <c r="K47" s="284"/>
      <c r="L47" s="302"/>
      <c r="M47" s="302">
        <f>AVERAGE([26]Brewhouse!$AV$5:$AV$14,[26]Brewhouse!$AV$16:$AV$19,[26]Brewhouse!$AV$21:$AV$24,[26]Brewhouse!$AV$26:$AV$33,[26]Brewhouse!$AV$35:$AV$46,[26]Brewhouse!$AV$48:$AV$53)</f>
        <v>98.620083722669861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80"/>
      <c r="C48" s="349"/>
      <c r="D48" s="536"/>
      <c r="E48" s="525"/>
      <c r="F48" s="418"/>
      <c r="G48" s="294"/>
      <c r="H48" s="348"/>
      <c r="I48" s="35" t="s">
        <v>29</v>
      </c>
      <c r="J48" s="280"/>
      <c r="K48" s="284"/>
      <c r="L48" s="302"/>
      <c r="M48" s="302"/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80"/>
      <c r="C49" s="349"/>
      <c r="D49" s="537"/>
      <c r="E49" s="520"/>
      <c r="F49" s="418"/>
      <c r="G49" s="294"/>
      <c r="H49" s="348"/>
      <c r="I49" s="36" t="s">
        <v>15</v>
      </c>
      <c r="J49" s="323"/>
      <c r="K49" s="284"/>
      <c r="L49" s="302"/>
      <c r="M49" s="302">
        <f>AVERAGE([27]Brewhouse!$AT$4:$AT$11,[27]Brewhouse!$AT$13:$AT$16,[27]Brewhouse!$AT$18:$AT$21)</f>
        <v>94.773169817643847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80"/>
      <c r="C50" s="349"/>
      <c r="D50" s="536"/>
      <c r="E50" s="525"/>
      <c r="F50" s="418"/>
      <c r="G50" s="294"/>
      <c r="H50" s="348"/>
      <c r="I50" s="37" t="s">
        <v>16</v>
      </c>
      <c r="J50" s="323">
        <f>AVERAGE(I15:I20)</f>
        <v>99.706652454520793</v>
      </c>
      <c r="K50" s="284">
        <f>COUNTA([22]Brewhouse!$A$56:$A$65)</f>
        <v>10</v>
      </c>
      <c r="L50" s="302">
        <f>AVERAGE([22]Brewhouse!$AY$56:$AY$65)</f>
        <v>99.275500637605006</v>
      </c>
      <c r="M50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0" s="30">
        <v>98</v>
      </c>
      <c r="O50" s="11"/>
      <c r="P50" s="31" t="s">
        <v>41</v>
      </c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80"/>
      <c r="C51" s="349"/>
      <c r="D51" s="537"/>
      <c r="E51" s="520"/>
      <c r="F51" s="294"/>
      <c r="G51" s="294"/>
      <c r="H51" s="348"/>
      <c r="I51" s="411" t="s">
        <v>158</v>
      </c>
      <c r="J51" s="326"/>
      <c r="K51" s="284"/>
      <c r="L51" s="305"/>
      <c r="M51" s="305">
        <f>AVERAGE([28]Brewhouse!$AU$5:$AU$8,[28]Brewhouse!$AU$10:$AU$13)</f>
        <v>94.247666625193744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80"/>
      <c r="C52" s="349"/>
      <c r="D52" s="536"/>
      <c r="E52" s="525"/>
      <c r="F52" s="294"/>
      <c r="G52" s="294"/>
      <c r="H52" s="348"/>
      <c r="I52" s="410" t="s">
        <v>157</v>
      </c>
      <c r="J52" s="326"/>
      <c r="K52" s="284"/>
      <c r="L52" s="305"/>
      <c r="M52" s="305">
        <f>AVERAGE([29]Brewhouse!$AW$26:$AW$27)</f>
        <v>95.310680905194914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80"/>
      <c r="C53" s="349"/>
      <c r="D53" s="537"/>
      <c r="E53" s="520"/>
      <c r="F53" s="294"/>
      <c r="G53" s="294"/>
      <c r="H53" s="348"/>
      <c r="I53" s="406" t="s">
        <v>156</v>
      </c>
      <c r="J53" s="327"/>
      <c r="K53" s="407"/>
      <c r="L53" s="408"/>
      <c r="M53" s="408">
        <f>AVERAGE([30]Brewhouse!$AU$13:$AU$14)</f>
        <v>97.110575243268045</v>
      </c>
      <c r="N53" s="409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80"/>
      <c r="C54" s="349"/>
      <c r="D54" s="536"/>
      <c r="E54" s="525"/>
      <c r="F54" s="294"/>
      <c r="G54" s="294"/>
      <c r="H54" s="348"/>
      <c r="I54" s="1"/>
      <c r="J54" s="39"/>
      <c r="K54" s="404">
        <f>SUM(K44:K53)</f>
        <v>16</v>
      </c>
      <c r="L54" s="405">
        <f>((L44*K44)+(L45*K45)+(L46*K46)+(L47*K47)+(L48*K48)+(K51*L51)+(L49*K49)+(L50*K50)+(L53*K53))/(K54)</f>
        <v>99.332644532723037</v>
      </c>
      <c r="M54" s="405">
        <f>AVERAGE('[31]Jan 31st'!$L$65,'[32]Feb 28th'!$L$35,'[33]Mar. 31st'!$L$35,'[34]Apr. 30th'!$L$45,'[35]May 30th'!$L$37,L54)</f>
        <v>97.918649661682025</v>
      </c>
      <c r="N54" s="4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81"/>
      <c r="C55" s="350"/>
      <c r="D55" s="537"/>
      <c r="E55" s="520"/>
      <c r="F55" s="294"/>
      <c r="G55" s="42"/>
      <c r="H55" s="41"/>
      <c r="I55" s="42"/>
      <c r="J55" s="42"/>
      <c r="K55" s="351"/>
      <c r="L55" s="348"/>
      <c r="M55" s="348"/>
      <c r="N55" s="11"/>
      <c r="O55" s="294"/>
      <c r="P55" s="12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82" t="s">
        <v>171</v>
      </c>
      <c r="C56" s="362"/>
      <c r="D56" s="517"/>
      <c r="E56" s="518"/>
      <c r="F56" s="294"/>
      <c r="G56" s="42"/>
      <c r="H56" s="41"/>
      <c r="I56" s="42"/>
      <c r="J56" s="572" t="s">
        <v>129</v>
      </c>
      <c r="K56" s="572"/>
      <c r="L56" s="294"/>
      <c r="M56" s="294"/>
      <c r="N56" s="294"/>
      <c r="O56" s="294"/>
      <c r="P56" s="12"/>
    </row>
    <row r="57" spans="1:56" ht="15" thickBot="1">
      <c r="B57" s="583"/>
      <c r="C57" s="362"/>
      <c r="D57" s="519"/>
      <c r="E57" s="520"/>
      <c r="F57" s="294"/>
      <c r="G57" s="42"/>
      <c r="H57" s="41"/>
      <c r="I57" s="42"/>
      <c r="J57" s="292" t="s">
        <v>17</v>
      </c>
      <c r="K57" s="293" t="s">
        <v>147</v>
      </c>
      <c r="L57" s="522" t="s">
        <v>136</v>
      </c>
      <c r="M57" s="522"/>
      <c r="N57" s="523"/>
      <c r="O57" s="294"/>
      <c r="P57" s="12"/>
    </row>
    <row r="58" spans="1:56" ht="15" customHeight="1" thickBot="1">
      <c r="B58" s="583"/>
      <c r="C58" s="349"/>
      <c r="D58" s="573"/>
      <c r="E58" s="574"/>
      <c r="F58" s="294"/>
      <c r="G58" s="42"/>
      <c r="H58" s="41"/>
      <c r="I58" s="42"/>
      <c r="J58" s="287" t="s">
        <v>6</v>
      </c>
      <c r="K58" s="324"/>
      <c r="L58" s="343" t="s">
        <v>37</v>
      </c>
      <c r="M58" s="307" t="s">
        <v>38</v>
      </c>
      <c r="N58" s="307" t="s">
        <v>84</v>
      </c>
      <c r="O58" s="294"/>
      <c r="P58" s="12"/>
    </row>
    <row r="59" spans="1:56" ht="15.75" customHeight="1" thickBot="1">
      <c r="B59" s="583"/>
      <c r="C59" s="349"/>
      <c r="D59" s="519"/>
      <c r="E59" s="520"/>
      <c r="F59" s="294"/>
      <c r="G59" s="42"/>
      <c r="H59" s="41"/>
      <c r="I59" s="42"/>
      <c r="J59" s="345" t="s">
        <v>9</v>
      </c>
      <c r="K59" s="324">
        <v>1</v>
      </c>
      <c r="L59" s="344">
        <f>AVERAGE(K68,'July 1st'!K67)</f>
        <v>7.5</v>
      </c>
      <c r="M59" s="325">
        <f>AVERAGE('[31]Jan 29th '!$M$70,'[32]Feb 28th'!$L$40,'[33]Mar. 31st'!$L$40,'[34]Apr. 30th'!$L$50,'[35]May 30th'!$L$42,L59)</f>
        <v>6.7844401974836757</v>
      </c>
      <c r="N59" s="417">
        <v>9.1999999999999993</v>
      </c>
      <c r="O59" s="294"/>
      <c r="P59" s="12"/>
    </row>
    <row r="60" spans="1:56" ht="15" customHeight="1">
      <c r="B60" s="583"/>
      <c r="C60" s="349"/>
      <c r="D60" s="573"/>
      <c r="E60" s="574"/>
      <c r="F60" s="294"/>
      <c r="G60" s="42"/>
      <c r="H60" s="41"/>
      <c r="I60" s="42"/>
      <c r="J60" s="288" t="s">
        <v>40</v>
      </c>
      <c r="K60" s="324"/>
      <c r="L60" s="294"/>
      <c r="M60" s="294"/>
      <c r="N60" s="294"/>
      <c r="O60" s="294"/>
      <c r="P60" s="12"/>
    </row>
    <row r="61" spans="1:56" ht="15" customHeight="1">
      <c r="B61" s="583"/>
      <c r="C61" s="349"/>
      <c r="D61" s="519"/>
      <c r="E61" s="520"/>
      <c r="F61" s="294"/>
      <c r="G61" s="42"/>
      <c r="H61" s="41"/>
      <c r="I61" s="42"/>
      <c r="J61" s="289" t="s">
        <v>33</v>
      </c>
      <c r="K61" s="324"/>
      <c r="L61" s="294"/>
      <c r="M61" s="294"/>
      <c r="N61" s="294"/>
      <c r="O61" s="294"/>
      <c r="P61" s="12"/>
    </row>
    <row r="62" spans="1:56" ht="14.4">
      <c r="B62" s="583"/>
      <c r="C62" s="349"/>
      <c r="D62" s="573"/>
      <c r="E62" s="574"/>
      <c r="F62" s="294"/>
      <c r="G62" s="42"/>
      <c r="H62" s="41"/>
      <c r="I62" s="42"/>
      <c r="J62" s="290" t="s">
        <v>16</v>
      </c>
      <c r="K62" s="324">
        <v>6</v>
      </c>
      <c r="L62" s="294"/>
      <c r="M62" s="294"/>
      <c r="N62" s="294"/>
      <c r="O62" s="294"/>
      <c r="P62" s="12"/>
      <c r="BC62" s="44"/>
      <c r="BD62" s="44"/>
    </row>
    <row r="63" spans="1:56" ht="14.4">
      <c r="B63" s="583"/>
      <c r="C63" s="349"/>
      <c r="D63" s="519"/>
      <c r="E63" s="520"/>
      <c r="F63" s="294"/>
      <c r="G63" s="42"/>
      <c r="H63" s="41"/>
      <c r="I63" s="42"/>
      <c r="J63" s="291" t="s">
        <v>15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83"/>
      <c r="C64" s="349"/>
      <c r="D64" s="573"/>
      <c r="E64" s="574"/>
      <c r="F64" s="294"/>
      <c r="G64" s="42"/>
      <c r="H64" s="41"/>
      <c r="I64" s="42"/>
      <c r="J64" s="291" t="s">
        <v>149</v>
      </c>
      <c r="K64" s="324"/>
      <c r="L64" s="294"/>
      <c r="M64" s="294"/>
      <c r="N64" s="294"/>
      <c r="O64" s="294"/>
      <c r="P64" s="12"/>
      <c r="BC64" s="44"/>
      <c r="BD64" s="44"/>
    </row>
    <row r="65" spans="2:57" ht="15" thickBot="1">
      <c r="B65" s="584"/>
      <c r="C65" s="350"/>
      <c r="D65" s="575"/>
      <c r="E65" s="576"/>
      <c r="F65" s="294"/>
      <c r="G65" s="42"/>
      <c r="H65" s="41"/>
      <c r="I65" s="42"/>
      <c r="J65" s="291" t="s">
        <v>148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 thickBot="1">
      <c r="B66" s="312" t="s">
        <v>139</v>
      </c>
      <c r="C66" s="313"/>
      <c r="D66" s="577" t="e">
        <f>AVERAGE(D44:E65)</f>
        <v>#DIV/0!</v>
      </c>
      <c r="E66" s="578"/>
      <c r="F66" s="294"/>
      <c r="G66" s="42"/>
      <c r="H66" s="41"/>
      <c r="I66" s="42"/>
      <c r="J66" s="295" t="s">
        <v>134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>
      <c r="B67" s="363"/>
      <c r="C67" s="364"/>
      <c r="D67" s="365"/>
      <c r="E67" s="365"/>
      <c r="F67" s="294"/>
      <c r="G67" s="42"/>
      <c r="H67" s="41"/>
      <c r="I67" s="42"/>
      <c r="J67" s="295" t="s">
        <v>131</v>
      </c>
      <c r="K67" s="324"/>
      <c r="L67" s="294"/>
      <c r="M67" s="294"/>
      <c r="N67" s="294"/>
      <c r="O67" s="294"/>
      <c r="P67" s="12"/>
      <c r="BC67" s="44"/>
      <c r="BD67" s="44"/>
    </row>
    <row r="68" spans="2:57" ht="15.75" customHeight="1">
      <c r="B68" s="45"/>
      <c r="C68" s="11"/>
      <c r="D68" s="11"/>
      <c r="E68" s="46"/>
      <c r="F68" s="294"/>
      <c r="G68" s="42"/>
      <c r="H68" s="41"/>
      <c r="I68" s="42"/>
      <c r="J68" s="346" t="s">
        <v>130</v>
      </c>
      <c r="K68" s="324">
        <f>SUM(K58:K67)</f>
        <v>7</v>
      </c>
      <c r="L68" s="294"/>
      <c r="M68" s="294"/>
      <c r="N68" s="294"/>
      <c r="O68" s="294"/>
      <c r="P68" s="12"/>
    </row>
    <row r="69" spans="2:57" ht="20.25" customHeight="1">
      <c r="B69" s="15" t="s">
        <v>42</v>
      </c>
      <c r="C69" s="1" t="s">
        <v>43</v>
      </c>
      <c r="D69" s="1"/>
      <c r="E69" s="1"/>
      <c r="F69" s="294"/>
      <c r="G69" s="42"/>
      <c r="H69" s="41"/>
      <c r="I69" s="42"/>
      <c r="L69" s="294"/>
      <c r="P69" s="334"/>
    </row>
    <row r="70" spans="2:57" ht="15" customHeight="1" thickBot="1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  <c r="O70" s="48"/>
      <c r="P70" s="49"/>
    </row>
    <row r="71" spans="2:57" ht="15" customHeight="1" thickBot="1">
      <c r="B71" s="498" t="s">
        <v>17</v>
      </c>
      <c r="C71" s="498" t="s">
        <v>44</v>
      </c>
      <c r="D71" s="510" t="s">
        <v>45</v>
      </c>
      <c r="E71" s="512" t="s">
        <v>46</v>
      </c>
      <c r="F71" s="506" t="s">
        <v>47</v>
      </c>
      <c r="G71" s="496" t="s">
        <v>48</v>
      </c>
      <c r="H71" s="498" t="s">
        <v>49</v>
      </c>
      <c r="I71" s="498" t="s">
        <v>50</v>
      </c>
      <c r="J71" s="490" t="s">
        <v>28</v>
      </c>
      <c r="K71" s="502" t="s">
        <v>51</v>
      </c>
      <c r="L71" s="504" t="s">
        <v>52</v>
      </c>
      <c r="M71" s="490" t="s">
        <v>53</v>
      </c>
      <c r="N71" s="13"/>
      <c r="O71" s="13"/>
      <c r="P71" s="50"/>
    </row>
    <row r="72" spans="2:57" ht="28.5" customHeight="1" thickTop="1" thickBot="1">
      <c r="B72" s="499"/>
      <c r="C72" s="499"/>
      <c r="D72" s="511"/>
      <c r="E72" s="513"/>
      <c r="F72" s="507"/>
      <c r="G72" s="497"/>
      <c r="H72" s="499"/>
      <c r="I72" s="499"/>
      <c r="J72" s="491"/>
      <c r="K72" s="503"/>
      <c r="L72" s="505"/>
      <c r="M72" s="491"/>
      <c r="N72" s="13"/>
      <c r="O72" s="13"/>
      <c r="P72" s="50"/>
      <c r="Q72" s="355"/>
      <c r="AB72" s="51">
        <v>43474</v>
      </c>
      <c r="AC72" s="51">
        <v>43475</v>
      </c>
      <c r="AD72" s="51">
        <v>43476</v>
      </c>
      <c r="AE72" s="51">
        <v>43477</v>
      </c>
      <c r="AF72" s="51">
        <v>43478</v>
      </c>
      <c r="AG72" s="51">
        <v>43479</v>
      </c>
      <c r="AH72" s="51">
        <v>43480</v>
      </c>
      <c r="AI72" s="51">
        <v>43481</v>
      </c>
      <c r="AJ72" s="51">
        <v>43482</v>
      </c>
      <c r="AK72" s="51">
        <v>43483</v>
      </c>
      <c r="AL72" s="51">
        <v>43484</v>
      </c>
      <c r="AM72" s="51">
        <v>43485</v>
      </c>
      <c r="AN72" s="51">
        <v>43486</v>
      </c>
      <c r="AO72" s="51">
        <v>43487</v>
      </c>
      <c r="AP72" s="51">
        <v>43488</v>
      </c>
      <c r="AQ72" s="51">
        <v>43489</v>
      </c>
      <c r="AR72" s="51">
        <v>43490</v>
      </c>
      <c r="AS72" s="51">
        <v>43491</v>
      </c>
      <c r="AT72" s="51">
        <v>43492</v>
      </c>
      <c r="AU72" s="51">
        <v>43493</v>
      </c>
      <c r="AV72" s="51">
        <v>43494</v>
      </c>
      <c r="AW72" s="51">
        <v>43495</v>
      </c>
      <c r="AX72" s="51">
        <v>43496</v>
      </c>
    </row>
    <row r="73" spans="2:57" s="54" customFormat="1" ht="53.25" hidden="1" customHeight="1">
      <c r="B73" s="387" t="str">
        <f>B78</f>
        <v>CARIB</v>
      </c>
      <c r="C73" s="422">
        <v>45839</v>
      </c>
      <c r="D73" s="377"/>
      <c r="E73" s="378"/>
      <c r="F73" s="379"/>
      <c r="G73" s="303"/>
      <c r="H73" s="320"/>
      <c r="I73" s="322"/>
      <c r="J73" s="392" t="s">
        <v>164</v>
      </c>
      <c r="K73" s="286"/>
      <c r="L73" s="281" t="e">
        <f>(((D73+E73)-G73)/(D73+E73))*100</f>
        <v>#DIV/0!</v>
      </c>
      <c r="M73" s="416" t="s">
        <v>167</v>
      </c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[20]January_2019!L7</f>
        <v>285.8</v>
      </c>
      <c r="AC73" s="57">
        <f>[20]January_2019!M7</f>
        <v>508.1</v>
      </c>
      <c r="AD73" s="57">
        <f>[20]January_2019!N7</f>
        <v>0</v>
      </c>
      <c r="AE73" s="57">
        <f>[20]January_2019!O7</f>
        <v>0</v>
      </c>
      <c r="AF73" s="57">
        <f>[20]January_2019!P7</f>
        <v>109.56666666666666</v>
      </c>
      <c r="AG73" s="57">
        <f>[20]January_2019!Q7</f>
        <v>297.64999999999998</v>
      </c>
      <c r="AH73" s="57">
        <f>[20]January_2019!R7</f>
        <v>122.3</v>
      </c>
      <c r="AI73" s="57">
        <f>[20]January_2019!S7</f>
        <v>0</v>
      </c>
      <c r="AJ73" s="57">
        <f>[20]January_2019!T7</f>
        <v>294.7</v>
      </c>
      <c r="AK73" s="57">
        <f>[20]January_2019!U7</f>
        <v>280.5</v>
      </c>
      <c r="AL73" s="57">
        <f>[20]January_2019!V7</f>
        <v>0</v>
      </c>
      <c r="AM73" s="57">
        <f>[20]January_2019!W7</f>
        <v>0</v>
      </c>
      <c r="AN73" s="57">
        <f>[20]January_2019!X7</f>
        <v>188.25</v>
      </c>
      <c r="AO73" s="57">
        <f>[20]January_2019!Y7</f>
        <v>295.7</v>
      </c>
      <c r="AP73" s="57">
        <f>[20]January_2019!Z7</f>
        <v>257.8</v>
      </c>
      <c r="AQ73" s="57">
        <f>[20]January_2019!AA7</f>
        <v>291.2</v>
      </c>
      <c r="AR73" s="57">
        <f>[20]January_2019!AB7</f>
        <v>187</v>
      </c>
      <c r="AS73" s="57">
        <f>[20]January_2019!AC7</f>
        <v>0</v>
      </c>
      <c r="AT73" s="57">
        <f>[20]January_2019!AD7</f>
        <v>0</v>
      </c>
      <c r="AU73" s="57">
        <f>[20]January_2019!AE7</f>
        <v>485.1</v>
      </c>
      <c r="AV73" s="57">
        <f>[20]January_2019!AF7</f>
        <v>171.55</v>
      </c>
      <c r="AW73" s="57">
        <f>[20]January_2019!AG7</f>
        <v>423.8</v>
      </c>
      <c r="AX73" s="277">
        <f>[20]January_2019!AH7</f>
        <v>0</v>
      </c>
      <c r="AY73" s="277"/>
      <c r="AZ73" s="277"/>
      <c r="BA73" s="277"/>
      <c r="BB73" s="277"/>
      <c r="BC73" s="277"/>
      <c r="BD73" s="277"/>
      <c r="BE73" s="277"/>
    </row>
    <row r="74" spans="2:57" s="54" customFormat="1" ht="16.5" customHeight="1">
      <c r="B74" s="421"/>
      <c r="C74" s="283"/>
      <c r="D74" s="377"/>
      <c r="E74" s="378"/>
      <c r="F74" s="379"/>
      <c r="G74" s="303"/>
      <c r="H74" s="320"/>
      <c r="I74" s="322"/>
      <c r="J74" s="281"/>
      <c r="K74" s="286"/>
      <c r="L74" s="314"/>
      <c r="M74" s="416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415"/>
      <c r="AC74" s="415"/>
      <c r="AD74" s="415"/>
      <c r="AE74" s="415"/>
      <c r="AF74" s="415"/>
      <c r="AG74" s="415"/>
      <c r="AH74" s="415"/>
      <c r="AI74" s="415"/>
      <c r="AJ74" s="415"/>
      <c r="AK74" s="415"/>
      <c r="AL74" s="415"/>
      <c r="AM74" s="415"/>
      <c r="AN74" s="415"/>
      <c r="AO74" s="415"/>
      <c r="AP74" s="415"/>
      <c r="AQ74" s="415"/>
      <c r="AR74" s="415"/>
      <c r="AS74" s="415"/>
      <c r="AT74" s="415"/>
      <c r="AU74" s="415"/>
      <c r="AV74" s="415"/>
      <c r="AW74" s="415"/>
    </row>
    <row r="75" spans="2:57" ht="18" customHeight="1" thickBot="1">
      <c r="B75" s="59"/>
      <c r="C75" s="30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 t="s">
        <v>41</v>
      </c>
      <c r="O75" s="56"/>
      <c r="P75" s="60"/>
    </row>
    <row r="76" spans="2:57" ht="14.4" thickBot="1">
      <c r="B76" s="492" t="s">
        <v>55</v>
      </c>
      <c r="C76" s="493"/>
      <c r="D76" s="493"/>
      <c r="E76" s="493"/>
      <c r="F76" s="494"/>
      <c r="G76" s="492" t="s">
        <v>56</v>
      </c>
      <c r="H76" s="493"/>
      <c r="I76" s="493"/>
      <c r="J76" s="494"/>
      <c r="K76" s="492" t="s">
        <v>51</v>
      </c>
      <c r="L76" s="493"/>
      <c r="M76" s="493"/>
      <c r="N76" s="495"/>
      <c r="O76" s="56"/>
      <c r="P76" s="50"/>
    </row>
    <row r="77" spans="2:57">
      <c r="B77" s="61" t="s">
        <v>17</v>
      </c>
      <c r="C77" s="62" t="s">
        <v>36</v>
      </c>
      <c r="D77" s="62" t="s">
        <v>37</v>
      </c>
      <c r="E77" s="62" t="s">
        <v>38</v>
      </c>
      <c r="F77" s="63" t="s">
        <v>39</v>
      </c>
      <c r="G77" s="62" t="s">
        <v>36</v>
      </c>
      <c r="H77" s="62" t="s">
        <v>37</v>
      </c>
      <c r="I77" s="62" t="s">
        <v>38</v>
      </c>
      <c r="J77" s="63" t="s">
        <v>39</v>
      </c>
      <c r="K77" s="62" t="s">
        <v>36</v>
      </c>
      <c r="L77" s="62" t="s">
        <v>37</v>
      </c>
      <c r="M77" s="62" t="s">
        <v>38</v>
      </c>
      <c r="N77" s="63" t="s">
        <v>39</v>
      </c>
      <c r="O77" s="56"/>
      <c r="P77" s="64"/>
    </row>
    <row r="78" spans="2:57">
      <c r="B78" s="29" t="s">
        <v>6</v>
      </c>
      <c r="C78" s="65"/>
      <c r="D78" s="76">
        <v>3.6561848164036332</v>
      </c>
      <c r="E78" s="76">
        <v>6.5263295682756866</v>
      </c>
      <c r="F78" s="66">
        <v>4.8</v>
      </c>
      <c r="G78" s="65"/>
      <c r="H78" s="76">
        <v>2.7208079699609464</v>
      </c>
      <c r="I78" s="76">
        <v>6.4851456036631117</v>
      </c>
      <c r="J78" s="66">
        <v>4.8</v>
      </c>
      <c r="K78" s="67"/>
      <c r="L78" s="194">
        <v>0.85894736842105257</v>
      </c>
      <c r="M78" s="194">
        <v>0.72279937833565022</v>
      </c>
      <c r="N78" s="68">
        <v>1</v>
      </c>
      <c r="O78" s="56"/>
      <c r="P78" s="69"/>
    </row>
    <row r="79" spans="2:57">
      <c r="B79" s="33" t="s">
        <v>9</v>
      </c>
      <c r="C79" s="65"/>
      <c r="D79" s="76">
        <v>5.1037577117218298</v>
      </c>
      <c r="E79" s="76">
        <v>6.0971944717676134</v>
      </c>
      <c r="F79" s="66">
        <v>4.8</v>
      </c>
      <c r="G79" s="65"/>
      <c r="H79" s="76">
        <v>3.2384753080210245</v>
      </c>
      <c r="I79" s="76">
        <v>5.8932725973580178</v>
      </c>
      <c r="J79" s="66">
        <v>4.8</v>
      </c>
      <c r="K79" s="67"/>
      <c r="L79" s="194"/>
      <c r="M79" s="194">
        <v>0.76031080132037965</v>
      </c>
      <c r="N79" s="68">
        <v>1</v>
      </c>
      <c r="P79" s="69"/>
    </row>
    <row r="80" spans="2:57">
      <c r="B80" s="34" t="s">
        <v>40</v>
      </c>
      <c r="C80" s="65"/>
      <c r="D80" s="76"/>
      <c r="E80" s="76">
        <v>11.96027372373279</v>
      </c>
      <c r="F80" s="66">
        <v>5.5</v>
      </c>
      <c r="G80" s="65"/>
      <c r="H80" s="76"/>
      <c r="I80" s="76">
        <v>13.111031100634913</v>
      </c>
      <c r="J80" s="66">
        <v>5.5</v>
      </c>
      <c r="K80" s="67"/>
      <c r="L80" s="194"/>
      <c r="M80" s="194">
        <v>0.4869398559932232</v>
      </c>
      <c r="N80" s="68">
        <v>1</v>
      </c>
      <c r="P80" s="69"/>
    </row>
    <row r="81" spans="2:16">
      <c r="B81" s="22" t="s">
        <v>33</v>
      </c>
      <c r="C81" s="65"/>
      <c r="D81" s="76"/>
      <c r="E81" s="76">
        <v>5.4214697406339898</v>
      </c>
      <c r="F81" s="66">
        <v>3.3</v>
      </c>
      <c r="G81" s="65"/>
      <c r="H81" s="76"/>
      <c r="I81" s="76">
        <v>5.263029001952213</v>
      </c>
      <c r="J81" s="66">
        <v>3.3</v>
      </c>
      <c r="K81" s="67"/>
      <c r="L81" s="194"/>
      <c r="M81" s="194">
        <v>0.6919486215538847</v>
      </c>
      <c r="N81" s="68">
        <v>1</v>
      </c>
      <c r="P81" s="69"/>
    </row>
    <row r="82" spans="2:16">
      <c r="B82" s="35" t="s">
        <v>29</v>
      </c>
      <c r="C82" s="65"/>
      <c r="D82" s="76"/>
      <c r="E82" s="76"/>
      <c r="F82" s="66">
        <v>3.3</v>
      </c>
      <c r="G82" s="282"/>
      <c r="H82" s="76"/>
      <c r="I82" s="76"/>
      <c r="J82" s="66">
        <v>3</v>
      </c>
      <c r="L82" s="194"/>
      <c r="M82" s="194"/>
      <c r="N82" s="68">
        <v>1</v>
      </c>
      <c r="P82" s="69"/>
    </row>
    <row r="83" spans="2:16">
      <c r="B83" s="36" t="s">
        <v>15</v>
      </c>
      <c r="C83" s="282"/>
      <c r="D83" s="76"/>
      <c r="E83" s="76">
        <v>7.3129862357869699</v>
      </c>
      <c r="F83" s="70">
        <f>[21]May_2022!$M$43</f>
        <v>3.4878406700073312</v>
      </c>
      <c r="G83" s="282"/>
      <c r="H83" s="76"/>
      <c r="I83" s="76">
        <v>8.9862703283331644</v>
      </c>
      <c r="J83" s="66">
        <v>5.5</v>
      </c>
      <c r="K83" s="67"/>
      <c r="L83" s="194"/>
      <c r="M83" s="194">
        <v>0.59276315789473688</v>
      </c>
      <c r="N83" s="68">
        <v>1</v>
      </c>
      <c r="P83" s="69"/>
    </row>
    <row r="84" spans="2:16">
      <c r="B84" s="37" t="s">
        <v>16</v>
      </c>
      <c r="C84" s="65"/>
      <c r="D84" s="76"/>
      <c r="E84" s="76">
        <v>3.1283185840707883</v>
      </c>
      <c r="F84" s="66">
        <v>3.3</v>
      </c>
      <c r="G84" s="282"/>
      <c r="H84" s="76"/>
      <c r="I84" s="76">
        <v>4.671657298145214</v>
      </c>
      <c r="J84" s="66">
        <v>3.3</v>
      </c>
      <c r="K84" s="67"/>
      <c r="L84" s="194"/>
      <c r="M84" s="194">
        <v>0.70412549019607829</v>
      </c>
      <c r="N84" s="71">
        <v>1</v>
      </c>
      <c r="P84" s="69"/>
    </row>
    <row r="85" spans="2:16" ht="14.4" thickBot="1">
      <c r="B85" s="38" t="s">
        <v>127</v>
      </c>
      <c r="C85" s="65"/>
      <c r="D85" s="76"/>
      <c r="E85" s="76"/>
      <c r="F85" s="66">
        <v>7.5</v>
      </c>
      <c r="G85" s="282"/>
      <c r="H85" s="76"/>
      <c r="I85" s="76"/>
      <c r="J85" s="66">
        <v>7.5</v>
      </c>
      <c r="K85" s="67"/>
      <c r="L85" s="194"/>
      <c r="M85" s="194"/>
      <c r="N85" s="71">
        <v>1</v>
      </c>
      <c r="P85" s="69"/>
    </row>
    <row r="86" spans="2:16" ht="14.4" thickBot="1">
      <c r="B86" s="414" t="s">
        <v>161</v>
      </c>
      <c r="C86" s="65"/>
      <c r="D86" s="76"/>
      <c r="E86" s="76">
        <v>4.8792508624938291</v>
      </c>
      <c r="F86" s="66">
        <v>4.8</v>
      </c>
      <c r="G86" s="282"/>
      <c r="H86" s="76"/>
      <c r="I86" s="76">
        <v>6.2003723782925313</v>
      </c>
      <c r="J86" s="66">
        <v>4.8</v>
      </c>
      <c r="K86" s="67"/>
      <c r="L86" s="194"/>
      <c r="M86" s="194">
        <v>0.33859649122807017</v>
      </c>
      <c r="N86" s="71">
        <v>1</v>
      </c>
      <c r="O86" s="74"/>
      <c r="P86" s="75"/>
    </row>
    <row r="87" spans="2:16">
      <c r="D87" s="76">
        <v>4.2531048359120209</v>
      </c>
      <c r="E87" s="76">
        <v>6.5866040893627158</v>
      </c>
      <c r="F87" s="341">
        <v>5.5</v>
      </c>
      <c r="H87" s="76">
        <v>2.9327428709600567</v>
      </c>
      <c r="I87" s="76">
        <v>6.8694163377555073</v>
      </c>
      <c r="J87" s="341">
        <v>5.5</v>
      </c>
      <c r="L87" s="194">
        <v>0.85894736842105257</v>
      </c>
      <c r="M87" s="194">
        <v>0.69815448128911972</v>
      </c>
      <c r="N87" s="386">
        <v>1</v>
      </c>
    </row>
    <row r="91" spans="2:16">
      <c r="F91" s="315"/>
    </row>
    <row r="92" spans="2:16">
      <c r="F92" s="341"/>
    </row>
  </sheetData>
  <mergeCells count="51">
    <mergeCell ref="M71:M72"/>
    <mergeCell ref="B76:F76"/>
    <mergeCell ref="G76:J76"/>
    <mergeCell ref="K76:N76"/>
    <mergeCell ref="G71:G72"/>
    <mergeCell ref="H71:H72"/>
    <mergeCell ref="I71:I72"/>
    <mergeCell ref="J71:J72"/>
    <mergeCell ref="K71:K72"/>
    <mergeCell ref="L71:L72"/>
    <mergeCell ref="F71:F72"/>
    <mergeCell ref="D66:E66"/>
    <mergeCell ref="B71:B72"/>
    <mergeCell ref="C71:C72"/>
    <mergeCell ref="D71:D72"/>
    <mergeCell ref="E71:E72"/>
    <mergeCell ref="B56:B65"/>
    <mergeCell ref="D56:E57"/>
    <mergeCell ref="J56:K56"/>
    <mergeCell ref="L57:N57"/>
    <mergeCell ref="D58:E59"/>
    <mergeCell ref="D60:E61"/>
    <mergeCell ref="D62:E63"/>
    <mergeCell ref="D64:E65"/>
    <mergeCell ref="I42:N42"/>
    <mergeCell ref="D43:E43"/>
    <mergeCell ref="B44:B55"/>
    <mergeCell ref="D44:E45"/>
    <mergeCell ref="D46:E47"/>
    <mergeCell ref="D48:E49"/>
    <mergeCell ref="D50:E51"/>
    <mergeCell ref="D52:E53"/>
    <mergeCell ref="D54:E5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6:B67">
    <cfRule type="cellIs" dxfId="2746" priority="96" operator="notBetween">
      <formula>#REF!</formula>
      <formula>#REF!</formula>
    </cfRule>
  </conditionalFormatting>
  <conditionalFormatting sqref="C70">
    <cfRule type="cellIs" dxfId="2745" priority="128" stopIfTrue="1" operator="greaterThan">
      <formula>100</formula>
    </cfRule>
    <cfRule type="cellIs" dxfId="2744" priority="127" stopIfTrue="1" operator="lessThan">
      <formula>96</formula>
    </cfRule>
  </conditionalFormatting>
  <conditionalFormatting sqref="C78:C79">
    <cfRule type="cellIs" dxfId="2743" priority="74" stopIfTrue="1" operator="lessThanOrEqual">
      <formula>0</formula>
    </cfRule>
  </conditionalFormatting>
  <conditionalFormatting sqref="C78:C82">
    <cfRule type="cellIs" dxfId="2742" priority="73" stopIfTrue="1" operator="greaterThan">
      <formula>$F78</formula>
    </cfRule>
  </conditionalFormatting>
  <conditionalFormatting sqref="C79">
    <cfRule type="cellIs" dxfId="2741" priority="131" stopIfTrue="1" operator="greaterThan">
      <formula>$F78</formula>
    </cfRule>
  </conditionalFormatting>
  <conditionalFormatting sqref="C80:C83">
    <cfRule type="cellIs" dxfId="2740" priority="80" stopIfTrue="1" operator="lessThanOrEqual">
      <formula>0</formula>
    </cfRule>
  </conditionalFormatting>
  <conditionalFormatting sqref="C83">
    <cfRule type="cellIs" dxfId="2739" priority="79" stopIfTrue="1" operator="greaterThan">
      <formula>$J83</formula>
    </cfRule>
  </conditionalFormatting>
  <conditionalFormatting sqref="C89:C93">
    <cfRule type="cellIs" dxfId="2738" priority="119" stopIfTrue="1" operator="lessThanOrEqual">
      <formula>0</formula>
    </cfRule>
  </conditionalFormatting>
  <conditionalFormatting sqref="C90:C93">
    <cfRule type="cellIs" dxfId="2737" priority="118" stopIfTrue="1" operator="greaterThan">
      <formula>$F$89</formula>
    </cfRule>
  </conditionalFormatting>
  <conditionalFormatting sqref="C95">
    <cfRule type="cellIs" dxfId="2736" priority="120" stopIfTrue="1" operator="greaterThan">
      <formula>$F$89</formula>
    </cfRule>
    <cfRule type="cellIs" dxfId="2735" priority="121" stopIfTrue="1" operator="lessThanOrEqual">
      <formula>0</formula>
    </cfRule>
  </conditionalFormatting>
  <conditionalFormatting sqref="C89:D89 D91:D97">
    <cfRule type="cellIs" dxfId="2734" priority="113" stopIfTrue="1" operator="greaterThan">
      <formula>4.5</formula>
    </cfRule>
  </conditionalFormatting>
  <conditionalFormatting sqref="D66:D67">
    <cfRule type="cellIs" dxfId="2733" priority="97" operator="notBetween">
      <formula>#REF!</formula>
      <formula>#REF!</formula>
    </cfRule>
  </conditionalFormatting>
  <conditionalFormatting sqref="D78:D85">
    <cfRule type="cellIs" dxfId="2732" priority="90" stopIfTrue="1" operator="lessThanOrEqual">
      <formula>0</formula>
    </cfRule>
  </conditionalFormatting>
  <conditionalFormatting sqref="D86">
    <cfRule type="cellIs" dxfId="2731" priority="89" stopIfTrue="1" operator="lessThanOrEqual">
      <formula>0</formula>
    </cfRule>
  </conditionalFormatting>
  <conditionalFormatting sqref="D89 D91:D97">
    <cfRule type="cellIs" dxfId="2730" priority="114" stopIfTrue="1" operator="lessThanOrEqual">
      <formula>0</formula>
    </cfRule>
  </conditionalFormatting>
  <conditionalFormatting sqref="D90">
    <cfRule type="cellIs" dxfId="2729" priority="105" stopIfTrue="1" operator="greaterThan">
      <formula>$F$89</formula>
    </cfRule>
    <cfRule type="cellIs" dxfId="2728" priority="106" stopIfTrue="1" operator="lessThanOrEqual">
      <formula>0</formula>
    </cfRule>
  </conditionalFormatting>
  <conditionalFormatting sqref="D78:E87">
    <cfRule type="cellIs" dxfId="2727" priority="70" stopIfTrue="1" operator="greaterThan">
      <formula>$F78</formula>
    </cfRule>
  </conditionalFormatting>
  <conditionalFormatting sqref="D87:E87">
    <cfRule type="cellIs" dxfId="2726" priority="71" stopIfTrue="1" operator="lessThanOrEqual">
      <formula>0</formula>
    </cfRule>
  </conditionalFormatting>
  <conditionalFormatting sqref="E10:E41">
    <cfRule type="cellIs" dxfId="2725" priority="3" operator="lessThan">
      <formula>48</formula>
    </cfRule>
  </conditionalFormatting>
  <conditionalFormatting sqref="E69 E70:F70">
    <cfRule type="cellIs" dxfId="2724" priority="110" stopIfTrue="1" operator="greaterThan">
      <formula>100</formula>
    </cfRule>
  </conditionalFormatting>
  <conditionalFormatting sqref="E70">
    <cfRule type="cellIs" dxfId="2723" priority="107" stopIfTrue="1" operator="lessThan">
      <formula>96.8</formula>
    </cfRule>
    <cfRule type="cellIs" dxfId="2722" priority="108" stopIfTrue="1" operator="greaterThan">
      <formula>100</formula>
    </cfRule>
  </conditionalFormatting>
  <conditionalFormatting sqref="E78:E86">
    <cfRule type="cellIs" dxfId="2721" priority="84" stopIfTrue="1" operator="lessThanOrEqual">
      <formula>0</formula>
    </cfRule>
  </conditionalFormatting>
  <conditionalFormatting sqref="E89:E97">
    <cfRule type="cellIs" dxfId="2720" priority="100" stopIfTrue="1" operator="lessThanOrEqual">
      <formula>0</formula>
    </cfRule>
    <cfRule type="cellIs" dxfId="2719" priority="99" stopIfTrue="1" operator="greaterThan">
      <formula>4.5</formula>
    </cfRule>
  </conditionalFormatting>
  <conditionalFormatting sqref="E70:F70 E69">
    <cfRule type="cellIs" dxfId="2718" priority="109" stopIfTrue="1" operator="lessThan">
      <formula>96.5</formula>
    </cfRule>
  </conditionalFormatting>
  <conditionalFormatting sqref="F10:F13">
    <cfRule type="expression" dxfId="2717" priority="13">
      <formula>IF(+(IF(F10&lt;Y10,0,IF(F10&gt;S+$E$1+$Z10,0,1)))=0,1)</formula>
    </cfRule>
  </conditionalFormatting>
  <conditionalFormatting sqref="F23:F41">
    <cfRule type="cellIs" dxfId="2716" priority="4" operator="greaterThan">
      <formula>60</formula>
    </cfRule>
  </conditionalFormatting>
  <conditionalFormatting sqref="F70">
    <cfRule type="cellIs" dxfId="2715" priority="126" stopIfTrue="1" operator="greaterThan">
      <formula>100</formula>
    </cfRule>
    <cfRule type="cellIs" dxfId="2714" priority="125" stopIfTrue="1" operator="lessThan">
      <formula>96.8</formula>
    </cfRule>
  </conditionalFormatting>
  <conditionalFormatting sqref="F87">
    <cfRule type="cellIs" dxfId="2713" priority="85" stopIfTrue="1" operator="greaterThan">
      <formula>$F87</formula>
    </cfRule>
    <cfRule type="cellIs" dxfId="2712" priority="86" stopIfTrue="1" operator="lessThanOrEqual">
      <formula>0</formula>
    </cfRule>
  </conditionalFormatting>
  <conditionalFormatting sqref="F92">
    <cfRule type="cellIs" dxfId="2711" priority="26" stopIfTrue="1" operator="lessThanOrEqual">
      <formula>0</formula>
    </cfRule>
    <cfRule type="cellIs" dxfId="2710" priority="25" stopIfTrue="1" operator="greaterThan">
      <formula>$F92</formula>
    </cfRule>
  </conditionalFormatting>
  <conditionalFormatting sqref="G10:G22">
    <cfRule type="expression" dxfId="2709" priority="17">
      <formula>IF(+(IF(G10&lt;S10,0,IF(G10&gt;T10,0,1)))=0,1)</formula>
    </cfRule>
  </conditionalFormatting>
  <conditionalFormatting sqref="G78:G79 C84:C86">
    <cfRule type="cellIs" dxfId="2708" priority="92" stopIfTrue="1" operator="lessThanOrEqual">
      <formula>0</formula>
    </cfRule>
    <cfRule type="cellIs" dxfId="2707" priority="91" stopIfTrue="1" operator="greaterThan">
      <formula>$F78</formula>
    </cfRule>
  </conditionalFormatting>
  <conditionalFormatting sqref="G78:G79">
    <cfRule type="cellIs" dxfId="2706" priority="75" stopIfTrue="1" operator="greaterThan">
      <formula>$F78</formula>
    </cfRule>
    <cfRule type="cellIs" dxfId="2705" priority="76" stopIfTrue="1" operator="lessThanOrEqual">
      <formula>0</formula>
    </cfRule>
  </conditionalFormatting>
  <conditionalFormatting sqref="G80">
    <cfRule type="cellIs" dxfId="2704" priority="129" stopIfTrue="1" operator="greaterThan">
      <formula>$F79</formula>
    </cfRule>
    <cfRule type="cellIs" dxfId="2703" priority="130" stopIfTrue="1" operator="lessThanOrEqual">
      <formula>0</formula>
    </cfRule>
  </conditionalFormatting>
  <conditionalFormatting sqref="G81">
    <cfRule type="cellIs" dxfId="2702" priority="88" stopIfTrue="1" operator="lessThanOrEqual">
      <formula>0</formula>
    </cfRule>
    <cfRule type="cellIs" dxfId="2701" priority="87" stopIfTrue="1" operator="greaterThan">
      <formula>$F81</formula>
    </cfRule>
  </conditionalFormatting>
  <conditionalFormatting sqref="G82:G86">
    <cfRule type="cellIs" dxfId="2700" priority="94" stopIfTrue="1" operator="lessThanOrEqual">
      <formula>0</formula>
    </cfRule>
    <cfRule type="cellIs" dxfId="2699" priority="93" stopIfTrue="1" operator="greaterThan">
      <formula>$J82</formula>
    </cfRule>
  </conditionalFormatting>
  <conditionalFormatting sqref="G91:G96 C94 C96">
    <cfRule type="cellIs" dxfId="2698" priority="122" stopIfTrue="1" operator="greaterThan">
      <formula>4.5</formula>
    </cfRule>
    <cfRule type="cellIs" dxfId="2697" priority="123" stopIfTrue="1" operator="lessThanOrEqual">
      <formula>0</formula>
    </cfRule>
  </conditionalFormatting>
  <conditionalFormatting sqref="G23:H41">
    <cfRule type="expression" dxfId="2696" priority="1">
      <formula>IF(+(IF(G23&lt;#REF!,0,IF(G23&gt;#REF!,0,1)))=0,1)</formula>
    </cfRule>
  </conditionalFormatting>
  <conditionalFormatting sqref="G90:H90">
    <cfRule type="cellIs" dxfId="2695" priority="104" stopIfTrue="1" operator="lessThanOrEqual">
      <formula>0</formula>
    </cfRule>
    <cfRule type="cellIs" dxfId="2694" priority="103" stopIfTrue="1" operator="greaterThan">
      <formula>$F$89</formula>
    </cfRule>
  </conditionalFormatting>
  <conditionalFormatting sqref="H10:H22">
    <cfRule type="expression" dxfId="2693" priority="18">
      <formula>IF(+(IF(H10&lt;#REF!,0,IF(H10&gt;#REF!,0,1)))=0,1)</formula>
    </cfRule>
  </conditionalFormatting>
  <conditionalFormatting sqref="H55:H69">
    <cfRule type="cellIs" dxfId="2692" priority="101" stopIfTrue="1" operator="greaterThan">
      <formula>0</formula>
    </cfRule>
  </conditionalFormatting>
  <conditionalFormatting sqref="H73">
    <cfRule type="cellIs" dxfId="2691" priority="38" stopIfTrue="1" operator="lessThanOrEqual">
      <formula>0</formula>
    </cfRule>
    <cfRule type="cellIs" dxfId="2690" priority="29" stopIfTrue="1" operator="greaterThan">
      <formula>$F$40</formula>
    </cfRule>
    <cfRule type="cellIs" dxfId="2689" priority="39" stopIfTrue="1" operator="greaterThan">
      <formula>$F$41</formula>
    </cfRule>
    <cfRule type="cellIs" dxfId="2688" priority="37" stopIfTrue="1" operator="greaterThan">
      <formula>$F$43</formula>
    </cfRule>
    <cfRule type="cellIs" dxfId="2687" priority="40" stopIfTrue="1" operator="lessThanOrEqual">
      <formula>0</formula>
    </cfRule>
    <cfRule type="cellIs" dxfId="2686" priority="28" stopIfTrue="1" operator="lessThanOrEqual">
      <formula>0</formula>
    </cfRule>
  </conditionalFormatting>
  <conditionalFormatting sqref="H74">
    <cfRule type="cellIs" dxfId="2685" priority="53" stopIfTrue="1" operator="greaterThan">
      <formula>$F$57</formula>
    </cfRule>
    <cfRule type="cellIs" dxfId="2684" priority="44" stopIfTrue="1" operator="lessThanOrEqual">
      <formula>0</formula>
    </cfRule>
    <cfRule type="cellIs" dxfId="2683" priority="45" stopIfTrue="1" operator="greaterThan">
      <formula>$F$54</formula>
    </cfRule>
    <cfRule type="cellIs" dxfId="2682" priority="55" stopIfTrue="1" operator="greaterThan">
      <formula>$F$55</formula>
    </cfRule>
    <cfRule type="cellIs" dxfId="2681" priority="54" stopIfTrue="1" operator="lessThanOrEqual">
      <formula>0</formula>
    </cfRule>
    <cfRule type="cellIs" dxfId="2680" priority="56" stopIfTrue="1" operator="lessThanOrEqual">
      <formula>0</formula>
    </cfRule>
  </conditionalFormatting>
  <conditionalFormatting sqref="H78:H85">
    <cfRule type="cellIs" dxfId="2679" priority="77" stopIfTrue="1" operator="greaterThan">
      <formula>$J78</formula>
    </cfRule>
    <cfRule type="cellIs" dxfId="2678" priority="78" stopIfTrue="1" operator="lessThanOrEqual">
      <formula>0</formula>
    </cfRule>
  </conditionalFormatting>
  <conditionalFormatting sqref="H86">
    <cfRule type="cellIs" dxfId="2677" priority="81" operator="greaterThan">
      <formula>5.3</formula>
    </cfRule>
  </conditionalFormatting>
  <conditionalFormatting sqref="H89 H91:H97">
    <cfRule type="cellIs" dxfId="2676" priority="115" stopIfTrue="1" operator="greaterThan">
      <formula>4.5</formula>
    </cfRule>
    <cfRule type="cellIs" dxfId="2675" priority="116" stopIfTrue="1" operator="lessThanOrEqual">
      <formula>0</formula>
    </cfRule>
  </conditionalFormatting>
  <conditionalFormatting sqref="H73:I73">
    <cfRule type="cellIs" dxfId="2674" priority="30" stopIfTrue="1" operator="lessThanOrEqual">
      <formula>0</formula>
    </cfRule>
    <cfRule type="cellIs" dxfId="2673" priority="27" stopIfTrue="1" operator="greaterThan">
      <formula>$F$42</formula>
    </cfRule>
  </conditionalFormatting>
  <conditionalFormatting sqref="H74:I74">
    <cfRule type="cellIs" dxfId="2672" priority="46" stopIfTrue="1" operator="lessThanOrEqual">
      <formula>0</formula>
    </cfRule>
    <cfRule type="cellIs" dxfId="2671" priority="43" stopIfTrue="1" operator="greaterThan">
      <formula>$F$56</formula>
    </cfRule>
  </conditionalFormatting>
  <conditionalFormatting sqref="H87:I87">
    <cfRule type="cellIs" dxfId="2670" priority="69" stopIfTrue="1" operator="lessThanOrEqual">
      <formula>0</formula>
    </cfRule>
    <cfRule type="cellIs" dxfId="2669" priority="68" stopIfTrue="1" operator="greaterThan">
      <formula>$J87</formula>
    </cfRule>
  </conditionalFormatting>
  <conditionalFormatting sqref="I73">
    <cfRule type="cellIs" dxfId="2668" priority="35" stopIfTrue="1" operator="greaterThan">
      <formula>$F$40</formula>
    </cfRule>
    <cfRule type="cellIs" dxfId="2667" priority="34" stopIfTrue="1" operator="lessThanOrEqual">
      <formula>0</formula>
    </cfRule>
    <cfRule type="cellIs" dxfId="2666" priority="33" stopIfTrue="1" operator="greaterThan">
      <formula>$F$42</formula>
    </cfRule>
    <cfRule type="cellIs" dxfId="2665" priority="31" stopIfTrue="1" operator="greaterThan">
      <formula>$F$40</formula>
    </cfRule>
    <cfRule type="cellIs" dxfId="2664" priority="36" stopIfTrue="1" operator="lessThanOrEqual">
      <formula>0</formula>
    </cfRule>
    <cfRule type="cellIs" dxfId="2663" priority="32" stopIfTrue="1" operator="lessThanOrEqual">
      <formula>0</formula>
    </cfRule>
  </conditionalFormatting>
  <conditionalFormatting sqref="I74">
    <cfRule type="cellIs" dxfId="2662" priority="52" stopIfTrue="1" operator="lessThanOrEqual">
      <formula>0</formula>
    </cfRule>
    <cfRule type="cellIs" dxfId="2661" priority="49" stopIfTrue="1" operator="greaterThan">
      <formula>$F$56</formula>
    </cfRule>
    <cfRule type="cellIs" dxfId="2660" priority="48" stopIfTrue="1" operator="lessThanOrEqual">
      <formula>0</formula>
    </cfRule>
    <cfRule type="cellIs" dxfId="2659" priority="50" stopIfTrue="1" operator="lessThanOrEqual">
      <formula>0</formula>
    </cfRule>
    <cfRule type="cellIs" dxfId="2658" priority="47" stopIfTrue="1" operator="greaterThan">
      <formula>$F$54</formula>
    </cfRule>
    <cfRule type="cellIs" dxfId="2657" priority="51" stopIfTrue="1" operator="greaterThan">
      <formula>$F$54</formula>
    </cfRule>
  </conditionalFormatting>
  <conditionalFormatting sqref="I78:I86">
    <cfRule type="cellIs" dxfId="2656" priority="83" stopIfTrue="1" operator="lessThanOrEqual">
      <formula>0</formula>
    </cfRule>
    <cfRule type="cellIs" dxfId="2655" priority="82" stopIfTrue="1" operator="greaterThan">
      <formula>$J78</formula>
    </cfRule>
  </conditionalFormatting>
  <conditionalFormatting sqref="I89:I97">
    <cfRule type="cellIs" dxfId="2654" priority="111" stopIfTrue="1" operator="greaterThan">
      <formula>4.5</formula>
    </cfRule>
    <cfRule type="cellIs" dxfId="2653" priority="112" stopIfTrue="1" operator="lessThanOrEqual">
      <formula>0</formula>
    </cfRule>
  </conditionalFormatting>
  <conditionalFormatting sqref="I10:J41">
    <cfRule type="cellIs" dxfId="2652" priority="5" operator="lessThan">
      <formula>97.9</formula>
    </cfRule>
  </conditionalFormatting>
  <conditionalFormatting sqref="J44:J46">
    <cfRule type="cellIs" dxfId="2651" priority="60" operator="lessThan">
      <formula>98</formula>
    </cfRule>
    <cfRule type="cellIs" dxfId="2650" priority="59" stopIfTrue="1" operator="greaterThan">
      <formula>100</formula>
    </cfRule>
    <cfRule type="cellIs" dxfId="2649" priority="58" stopIfTrue="1" operator="lessThan">
      <formula>96.8</formula>
    </cfRule>
  </conditionalFormatting>
  <conditionalFormatting sqref="J44:J48">
    <cfRule type="cellIs" dxfId="2648" priority="57" operator="lessThan">
      <formula>97.4</formula>
    </cfRule>
  </conditionalFormatting>
  <conditionalFormatting sqref="J49">
    <cfRule type="cellIs" dxfId="2647" priority="61" operator="lessThan">
      <formula>98</formula>
    </cfRule>
  </conditionalFormatting>
  <conditionalFormatting sqref="J51:J52">
    <cfRule type="cellIs" dxfId="2646" priority="63" stopIfTrue="1" operator="greaterThan">
      <formula>100</formula>
    </cfRule>
    <cfRule type="cellIs" dxfId="2645" priority="62" stopIfTrue="1" operator="lessThan">
      <formula>96.8</formula>
    </cfRule>
  </conditionalFormatting>
  <conditionalFormatting sqref="J51:J53">
    <cfRule type="cellIs" dxfId="2644" priority="64" operator="lessThan">
      <formula>98</formula>
    </cfRule>
  </conditionalFormatting>
  <conditionalFormatting sqref="J87">
    <cfRule type="cellIs" dxfId="2643" priority="66" stopIfTrue="1" operator="lessThanOrEqual">
      <formula>0</formula>
    </cfRule>
    <cfRule type="cellIs" dxfId="2642" priority="65" stopIfTrue="1" operator="greaterThan">
      <formula>$F87</formula>
    </cfRule>
  </conditionalFormatting>
  <conditionalFormatting sqref="K10:K41">
    <cfRule type="cellIs" dxfId="2641" priority="8" operator="greaterThan">
      <formula>6.4</formula>
    </cfRule>
    <cfRule type="cellIs" dxfId="2640" priority="7" operator="greaterThan">
      <formula>6</formula>
    </cfRule>
    <cfRule type="cellIs" dxfId="2639" priority="6" operator="lessThan">
      <formula>4</formula>
    </cfRule>
  </conditionalFormatting>
  <conditionalFormatting sqref="K73:K74">
    <cfRule type="cellIs" dxfId="2638" priority="41" stopIfTrue="1" operator="lessThan">
      <formula>100%</formula>
    </cfRule>
  </conditionalFormatting>
  <conditionalFormatting sqref="K89:K94">
    <cfRule type="cellIs" dxfId="2637" priority="117" stopIfTrue="1" operator="lessThan">
      <formula>100%</formula>
    </cfRule>
  </conditionalFormatting>
  <conditionalFormatting sqref="K96:K97">
    <cfRule type="cellIs" dxfId="2636" priority="124" stopIfTrue="1" operator="lessThan">
      <formula>100%</formula>
    </cfRule>
  </conditionalFormatting>
  <conditionalFormatting sqref="K78:N81 L82:N82">
    <cfRule type="cellIs" dxfId="2635" priority="95" stopIfTrue="1" operator="lessThan">
      <formula>100%</formula>
    </cfRule>
  </conditionalFormatting>
  <conditionalFormatting sqref="K83:N86 L87:N87">
    <cfRule type="cellIs" dxfId="2634" priority="67" stopIfTrue="1" operator="lessThan">
      <formula>100%</formula>
    </cfRule>
  </conditionalFormatting>
  <conditionalFormatting sqref="L10:L22 L32:L41">
    <cfRule type="cellIs" dxfId="2633" priority="24" operator="greaterThan">
      <formula>65</formula>
    </cfRule>
    <cfRule type="cellIs" dxfId="2632" priority="23" operator="between">
      <formula>61</formula>
      <formula>65</formula>
    </cfRule>
  </conditionalFormatting>
  <conditionalFormatting sqref="L23:M31">
    <cfRule type="cellIs" dxfId="2631" priority="10" operator="greaterThan">
      <formula>65</formula>
    </cfRule>
    <cfRule type="cellIs" dxfId="2630" priority="9" operator="between">
      <formula>61</formula>
      <formula>65</formula>
    </cfRule>
  </conditionalFormatting>
  <conditionalFormatting sqref="L44:M55">
    <cfRule type="cellIs" dxfId="2629" priority="72" operator="lessThan">
      <formula>98</formula>
    </cfRule>
  </conditionalFormatting>
  <conditionalFormatting sqref="L59:N59">
    <cfRule type="cellIs" dxfId="2628" priority="42" operator="notEqual">
      <formula>#REF!</formula>
    </cfRule>
  </conditionalFormatting>
  <conditionalFormatting sqref="L89:N97">
    <cfRule type="cellIs" dxfId="2627" priority="102" stopIfTrue="1" operator="lessThan">
      <formula>100%</formula>
    </cfRule>
  </conditionalFormatting>
  <conditionalFormatting sqref="M10:M41">
    <cfRule type="expression" dxfId="2626" priority="11">
      <formula>IF(+(IF(M10&lt;U10,0,IF(M10&gt;V10,0,1)))=0,1)</formula>
    </cfRule>
  </conditionalFormatting>
  <conditionalFormatting sqref="N10:N41">
    <cfRule type="expression" dxfId="2625" priority="2">
      <formula>IF(+(IF(N10&lt;W10,0,IF(N10&gt;X10,0,1)))=0,1)</formula>
    </cfRule>
  </conditionalFormatting>
  <conditionalFormatting sqref="P6">
    <cfRule type="cellIs" dxfId="2624" priority="98" operator="greaterThanOrEqual">
      <formula>19</formula>
    </cfRule>
  </conditionalFormatting>
  <dataValidations count="1">
    <dataValidation type="list" allowBlank="1" showInputMessage="1" showErrorMessage="1" sqref="R8" xr:uid="{8F0ED06D-FCBC-46BD-931B-27B75C28AA45}">
      <formula1>ProductList</formula1>
    </dataValidation>
  </dataValidations>
  <pageMargins left="0.7" right="0.7" top="0.75" bottom="0.75" header="0.3" footer="0.3"/>
  <pageSetup scale="47" fitToWidth="0" orientation="landscape" r:id="rId1"/>
  <rowBreaks count="1" manualBreakCount="1">
    <brk id="91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CCDA-61CB-4E74-AB52-9C7BC89CEC8B}">
  <sheetPr>
    <pageSetUpPr fitToPage="1"/>
  </sheetPr>
  <dimension ref="A1:BE92"/>
  <sheetViews>
    <sheetView topLeftCell="A45" zoomScale="60" zoomScaleNormal="60" workbookViewId="0">
      <selection activeCell="H47" sqref="H47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45842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[24]Brewhouse!$A276</f>
        <v>ST256</v>
      </c>
      <c r="D10" s="279">
        <f>[24]Brewhouse!$AD276</f>
        <v>50.5</v>
      </c>
      <c r="E10" s="279">
        <f>[24]Brewhouse!$AG276</f>
        <v>49.6</v>
      </c>
      <c r="F10" s="278">
        <f>[24]Brewhouse!$V276</f>
        <v>61</v>
      </c>
      <c r="G10" s="279">
        <f>[24]Brewhouse!$AE276</f>
        <v>11.9</v>
      </c>
      <c r="H10" s="396">
        <v>11.8</v>
      </c>
      <c r="I10" s="427">
        <f>[24]Brewhouse!$AS276</f>
        <v>98.000691311781651</v>
      </c>
      <c r="J10" s="427">
        <f>[24]Brewhouse!$AT276</f>
        <v>99.342197384027386</v>
      </c>
      <c r="K10" s="392">
        <f>[24]Brewhouse!$Q276</f>
        <v>9.8076923076923102</v>
      </c>
      <c r="L10" s="276">
        <f>[24]Brewhouse!$P276</f>
        <v>59</v>
      </c>
      <c r="M10" s="374">
        <f>[24]Brewhouse!$U276-[24]Brewhouse!$T276</f>
        <v>0.11388888888888893</v>
      </c>
      <c r="N10" s="370">
        <f>[24]Brewhouse!$AW276</f>
        <v>0.24861111111111112</v>
      </c>
      <c r="O10" s="428" t="str">
        <f>[24]Brewhouse!$AV276</f>
        <v>R.Sookram</v>
      </c>
      <c r="P10" s="419"/>
      <c r="R10" s="277" t="str">
        <f t="shared" ref="R10:R43" si="0">B10</f>
        <v>STAG</v>
      </c>
      <c r="S10" s="296">
        <f t="shared" ref="S10:S43" si="1">VLOOKUP($B10,$R$3:$X$9,2,FALSE)</f>
        <v>11.6</v>
      </c>
      <c r="T10" s="296">
        <f t="shared" ref="T10:T43" si="2">VLOOKUP($B10,$R$3:$X$9,3,FALSE)</f>
        <v>12</v>
      </c>
      <c r="U10" s="297">
        <f t="shared" ref="U10:U43" si="3">VLOOKUP($B10,$R$3:$X$9,4,FALSE)</f>
        <v>0</v>
      </c>
      <c r="V10" s="297">
        <f t="shared" ref="V10:V43" si="4">VLOOKUP($B10,$R$3:$X$9,5,FALSE)</f>
        <v>0.118055555555556</v>
      </c>
      <c r="W10" s="297">
        <f t="shared" ref="W10:W43" si="5">VLOOKUP($B10,$R$3:$X$9,6,FALSE)</f>
        <v>0.22569444444444445</v>
      </c>
      <c r="X10" s="297">
        <f t="shared" ref="X10:X43" si="6">VLOOKUP($B10,$R$3:$X$9,7,FALSE)</f>
        <v>0.2638888888888889</v>
      </c>
      <c r="Y10" s="297">
        <f t="shared" ref="Y10:Y43" si="7">VLOOKUP($B10,$R$3:$Z$9,8,FALSE)</f>
        <v>0</v>
      </c>
      <c r="Z10" s="296">
        <f t="shared" ref="Z10:Z43" si="8">VLOOKUP($B10,$R$3:$Z$9,9,FALSE)</f>
        <v>60</v>
      </c>
    </row>
    <row r="11" spans="2:29" ht="15.75" customHeight="1">
      <c r="B11" s="33" t="s">
        <v>9</v>
      </c>
      <c r="C11" s="366" t="str">
        <f>[24]Brewhouse!$A277</f>
        <v>ST257</v>
      </c>
      <c r="D11" s="279">
        <f>[24]Brewhouse!$AD277</f>
        <v>47.9</v>
      </c>
      <c r="E11" s="279">
        <f>[24]Brewhouse!$AG277</f>
        <v>48.1</v>
      </c>
      <c r="F11" s="278">
        <f>[24]Brewhouse!$V277</f>
        <v>59</v>
      </c>
      <c r="G11" s="279">
        <f>[24]Brewhouse!$AE277</f>
        <v>11.9</v>
      </c>
      <c r="H11" s="396">
        <v>11.9</v>
      </c>
      <c r="I11" s="427">
        <f>[24]Brewhouse!$AS277</f>
        <v>95.275370361295259</v>
      </c>
      <c r="J11" s="427">
        <f>[24]Brewhouse!$AT277</f>
        <v>96.578718901183208</v>
      </c>
      <c r="K11" s="392">
        <f>[24]Brewhouse!$Q277</f>
        <v>18.019801980198022</v>
      </c>
      <c r="L11" s="276">
        <f>[24]Brewhouse!$P277</f>
        <v>61</v>
      </c>
      <c r="M11" s="374">
        <f>[24]Brewhouse!$U277-[24]Brewhouse!$T277</f>
        <v>0.14305555555555557</v>
      </c>
      <c r="N11" s="370">
        <f>[24]Brewhouse!$AW277</f>
        <v>0.30138888888888893</v>
      </c>
      <c r="O11" s="428" t="str">
        <f>[24]Brewhouse!$AV277</f>
        <v>R. Regis</v>
      </c>
      <c r="P11" s="419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[24]Brewhouse!$A278</f>
        <v>ST258</v>
      </c>
      <c r="D12" s="279">
        <f>[24]Brewhouse!$AD278</f>
        <v>50.2</v>
      </c>
      <c r="E12" s="279">
        <f>[24]Brewhouse!$AG278</f>
        <v>50.2</v>
      </c>
      <c r="F12" s="278">
        <f>[24]Brewhouse!$V278</f>
        <v>58</v>
      </c>
      <c r="G12" s="279">
        <f>[24]Brewhouse!$AE278</f>
        <v>11.9</v>
      </c>
      <c r="H12" s="396">
        <v>11.8</v>
      </c>
      <c r="I12" s="427">
        <f>[24]Brewhouse!$AS278</f>
        <v>99.435001915530592</v>
      </c>
      <c r="J12" s="427">
        <f>[24]Brewhouse!$AT278</f>
        <v>100.79525340622446</v>
      </c>
      <c r="K12" s="392">
        <f>[24]Brewhouse!$Q278</f>
        <v>14.25959780621573</v>
      </c>
      <c r="L12" s="276">
        <f>[24]Brewhouse!$P278</f>
        <v>61</v>
      </c>
      <c r="M12" s="374">
        <f>[24]Brewhouse!$U278-[24]Brewhouse!$T278</f>
        <v>0.11805555555555558</v>
      </c>
      <c r="N12" s="370">
        <f>[24]Brewhouse!$AW278</f>
        <v>0.28680555555555559</v>
      </c>
      <c r="O12" s="428" t="str">
        <f>[24]Brewhouse!$AV278</f>
        <v>R. Regis</v>
      </c>
      <c r="P12" s="419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[24]Brewhouse!$A279</f>
        <v>ST259</v>
      </c>
      <c r="D13" s="279">
        <f>[24]Brewhouse!$AD279</f>
        <v>48.7</v>
      </c>
      <c r="E13" s="279">
        <f>[24]Brewhouse!$AG279</f>
        <v>47.7</v>
      </c>
      <c r="F13" s="278">
        <f>[24]Brewhouse!$V279</f>
        <v>59</v>
      </c>
      <c r="G13" s="279">
        <f>[24]Brewhouse!$AE279</f>
        <v>12.3</v>
      </c>
      <c r="H13" s="396">
        <v>12</v>
      </c>
      <c r="I13" s="427">
        <f>[24]Brewhouse!$AS279</f>
        <v>97.94507238785738</v>
      </c>
      <c r="J13" s="427">
        <f>[24]Brewhouse!$AT279</f>
        <v>99.284502702120676</v>
      </c>
      <c r="K13" s="392">
        <f>[24]Brewhouse!$Q279</f>
        <v>14.150943396226415</v>
      </c>
      <c r="L13" s="276">
        <f>[24]Brewhouse!$P279</f>
        <v>70</v>
      </c>
      <c r="M13" s="374">
        <f>[24]Brewhouse!$U279-[24]Brewhouse!$T279</f>
        <v>0.12222222222222218</v>
      </c>
      <c r="N13" s="370">
        <f>[24]Brewhouse!$AW279</f>
        <v>0.2583333333333333</v>
      </c>
      <c r="O13" s="428" t="str">
        <f>[24]Brewhouse!$AV279</f>
        <v>R. Regis</v>
      </c>
      <c r="P13" s="419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[24]Brewhouse!$A280</f>
        <v>ST260</v>
      </c>
      <c r="D14" s="279">
        <f>[24]Brewhouse!$AD280</f>
        <v>50.9</v>
      </c>
      <c r="E14" s="279">
        <f>[24]Brewhouse!$AG280</f>
        <v>51</v>
      </c>
      <c r="F14" s="278">
        <f>[24]Brewhouse!$V280</f>
        <v>61</v>
      </c>
      <c r="G14" s="279">
        <f>[24]Brewhouse!$AE280</f>
        <v>11.7</v>
      </c>
      <c r="H14" s="396">
        <v>11.7</v>
      </c>
      <c r="I14" s="427">
        <f>[24]Brewhouse!$AS280</f>
        <v>99.110223835402621</v>
      </c>
      <c r="J14" s="427">
        <f>[24]Brewhouse!$AT280</f>
        <v>100.46647577075196</v>
      </c>
      <c r="K14" s="392">
        <f>[24]Brewhouse!$Q280</f>
        <v>11.79775280898876</v>
      </c>
      <c r="L14" s="276">
        <f>[24]Brewhouse!$P280</f>
        <v>60</v>
      </c>
      <c r="M14" s="374">
        <f>[24]Brewhouse!$U280-[24]Brewhouse!$T280</f>
        <v>0.11250000000000004</v>
      </c>
      <c r="N14" s="370">
        <f>[24]Brewhouse!$AW280</f>
        <v>0.24930555555555556</v>
      </c>
      <c r="O14" s="428" t="str">
        <f>[24]Brewhouse!$AV280</f>
        <v>R. Regis</v>
      </c>
      <c r="P14" s="419"/>
      <c r="R14" s="277"/>
      <c r="S14" s="296"/>
      <c r="T14" s="296"/>
      <c r="U14" s="297"/>
      <c r="V14" s="297"/>
      <c r="W14" s="297"/>
      <c r="X14" s="297"/>
      <c r="Y14" s="297"/>
      <c r="Z14" s="296"/>
    </row>
    <row r="15" spans="2:29" ht="15.75" customHeight="1">
      <c r="B15" s="33" t="s">
        <v>9</v>
      </c>
      <c r="C15" s="366" t="str">
        <f>[24]Brewhouse!$A281</f>
        <v>ST261</v>
      </c>
      <c r="D15" s="279">
        <f>[24]Brewhouse!$AD281</f>
        <v>52.4</v>
      </c>
      <c r="E15" s="279">
        <f>[24]Brewhouse!$AG281</f>
        <v>52.2</v>
      </c>
      <c r="F15" s="278">
        <f>[24]Brewhouse!$V281</f>
        <v>66</v>
      </c>
      <c r="G15" s="279">
        <f>[24]Brewhouse!$AE281</f>
        <v>11.6</v>
      </c>
      <c r="H15" s="396">
        <v>11.6</v>
      </c>
      <c r="I15" s="427">
        <f>[24]Brewhouse!$AS281</f>
        <v>100.65592417780644</v>
      </c>
      <c r="J15" s="427">
        <f>[24]Brewhouse!$AT281</f>
        <v>102.03287764763532</v>
      </c>
      <c r="K15" s="392">
        <f>[24]Brewhouse!$Q281</f>
        <v>12.081784386617088</v>
      </c>
      <c r="L15" s="276">
        <f>[24]Brewhouse!$P281</f>
        <v>61</v>
      </c>
      <c r="M15" s="374">
        <f>[24]Brewhouse!$U281-[24]Brewhouse!$T281</f>
        <v>0.11805555555555558</v>
      </c>
      <c r="N15" s="370">
        <f>[24]Brewhouse!$AW281</f>
        <v>0.2583333333333333</v>
      </c>
      <c r="O15" s="428" t="str">
        <f>[24]Brewhouse!$AV281</f>
        <v>D. Gomaz</v>
      </c>
      <c r="P15" s="419"/>
      <c r="R15" s="277" t="str">
        <f t="shared" si="0"/>
        <v>STAG</v>
      </c>
      <c r="S15" s="426">
        <v>17</v>
      </c>
      <c r="T15" s="426">
        <v>17.2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[24]Brewhouse!$A282</f>
        <v>ST262</v>
      </c>
      <c r="D16" s="279">
        <f>[24]Brewhouse!$AD282</f>
        <v>51.7</v>
      </c>
      <c r="E16" s="279">
        <f>[24]Brewhouse!$AG282</f>
        <v>51.8</v>
      </c>
      <c r="F16" s="278">
        <f>[24]Brewhouse!$V282</f>
        <v>65</v>
      </c>
      <c r="G16" s="279">
        <f>[24]Brewhouse!$AE282</f>
        <v>11.7</v>
      </c>
      <c r="H16" s="396">
        <v>11.6</v>
      </c>
      <c r="I16" s="427">
        <f>[24]Brewhouse!$AS282</f>
        <v>100.79115794415183</v>
      </c>
      <c r="J16" s="427">
        <f>[24]Brewhouse!$AT282</f>
        <v>102.16996138560759</v>
      </c>
      <c r="K16" s="392">
        <f>[24]Brewhouse!$Q282</f>
        <v>13.259668508287287</v>
      </c>
      <c r="L16" s="276">
        <f>[24]Brewhouse!$P282</f>
        <v>58</v>
      </c>
      <c r="M16" s="374">
        <f>[24]Brewhouse!$U282-[24]Brewhouse!$T282</f>
        <v>0.1118055555555556</v>
      </c>
      <c r="N16" s="370">
        <f>[24]Brewhouse!$AW282</f>
        <v>0.24861111111111112</v>
      </c>
      <c r="O16" s="428" t="str">
        <f>[24]Brewhouse!$AV282</f>
        <v>D. Gomaz</v>
      </c>
      <c r="P16" s="419"/>
      <c r="R16" s="277" t="str">
        <f t="shared" si="0"/>
        <v>STAG</v>
      </c>
      <c r="S16" s="426">
        <v>17</v>
      </c>
      <c r="T16" s="426">
        <v>17.2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392"/>
      <c r="L17" s="276"/>
      <c r="M17" s="374"/>
      <c r="N17" s="370"/>
      <c r="O17" s="428"/>
      <c r="P17" s="419"/>
      <c r="R17" s="277">
        <f t="shared" si="0"/>
        <v>0</v>
      </c>
      <c r="S17" s="426">
        <v>17</v>
      </c>
      <c r="T17" s="426">
        <v>17.2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3"/>
      <c r="C18" s="366"/>
      <c r="D18" s="279"/>
      <c r="E18" s="279"/>
      <c r="F18" s="278"/>
      <c r="G18" s="279"/>
      <c r="H18" s="396"/>
      <c r="I18" s="427"/>
      <c r="J18" s="427"/>
      <c r="K18" s="392"/>
      <c r="L18" s="276"/>
      <c r="M18" s="374"/>
      <c r="N18" s="370"/>
      <c r="O18" s="428"/>
      <c r="P18" s="419"/>
      <c r="R18" s="277">
        <f t="shared" si="0"/>
        <v>0</v>
      </c>
      <c r="S18" s="426">
        <v>17</v>
      </c>
      <c r="T18" s="426">
        <v>17.2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392"/>
      <c r="L19" s="276"/>
      <c r="M19" s="397"/>
      <c r="N19" s="370"/>
      <c r="O19" s="371"/>
      <c r="P19" s="419"/>
      <c r="R19" s="277">
        <f t="shared" si="0"/>
        <v>0</v>
      </c>
      <c r="S19" s="426">
        <v>17</v>
      </c>
      <c r="T19" s="426">
        <v>17.2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392"/>
      <c r="L20" s="276"/>
      <c r="M20" s="397"/>
      <c r="N20" s="370"/>
      <c r="O20" s="371"/>
      <c r="P20" s="419"/>
      <c r="R20" s="277">
        <f t="shared" si="0"/>
        <v>0</v>
      </c>
      <c r="S20" s="426">
        <v>17</v>
      </c>
      <c r="T20" s="426">
        <v>17.2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29" t="s">
        <v>6</v>
      </c>
      <c r="C21" s="366" t="str">
        <f>[23]Brewhouse!$A584</f>
        <v>CA477</v>
      </c>
      <c r="D21" s="279">
        <f>[23]Brewhouse!$AF584</f>
        <v>50.9</v>
      </c>
      <c r="E21" s="279">
        <f>[23]Brewhouse!$AI584</f>
        <v>48.8</v>
      </c>
      <c r="F21" s="278">
        <f>[23]Brewhouse!$V584</f>
        <v>56</v>
      </c>
      <c r="G21" s="279">
        <f>[23]Brewhouse!$AG584</f>
        <v>11.9</v>
      </c>
      <c r="H21" s="396">
        <v>11.8</v>
      </c>
      <c r="I21" s="368">
        <f>[23]Brewhouse!$AU584</f>
        <v>95.185471356899995</v>
      </c>
      <c r="J21" s="368">
        <f>[23]Brewhouse!$AV584</f>
        <v>96.75930788039679</v>
      </c>
      <c r="K21" s="392">
        <f>[23]Brewhouse!$Q584</f>
        <v>10.948121645796061</v>
      </c>
      <c r="L21" s="276">
        <f>[23]Brewhouse!$P584</f>
        <v>60</v>
      </c>
      <c r="M21" s="397">
        <f>[23]Brewhouse!$U584-[23]Brewhouse!$T584</f>
        <v>0.10763888888888895</v>
      </c>
      <c r="N21" s="370">
        <f>[23]Brewhouse!$Z584</f>
        <v>0.23958333333333337</v>
      </c>
      <c r="O21" s="371" t="str">
        <f>[23]Brewhouse!$AX584</f>
        <v>D. Gomez</v>
      </c>
      <c r="P21" s="419"/>
      <c r="R21" s="277" t="str">
        <f t="shared" si="0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4.4">
      <c r="B22" s="29" t="s">
        <v>6</v>
      </c>
      <c r="C22" s="366" t="str">
        <f>[23]Brewhouse!$A585</f>
        <v>CA478</v>
      </c>
      <c r="D22" s="279">
        <f>[23]Brewhouse!$AF585</f>
        <v>53</v>
      </c>
      <c r="E22" s="279">
        <f>[23]Brewhouse!$AI585</f>
        <v>49.4</v>
      </c>
      <c r="F22" s="278">
        <f>[23]Brewhouse!$V585</f>
        <v>58</v>
      </c>
      <c r="G22" s="279">
        <f>[23]Brewhouse!$AG585</f>
        <v>11.8</v>
      </c>
      <c r="H22" s="396">
        <v>11.7</v>
      </c>
      <c r="I22" s="368">
        <f>[23]Brewhouse!$AU585</f>
        <v>99.17946707080003</v>
      </c>
      <c r="J22" s="368">
        <f>[23]Brewhouse!$AV585</f>
        <v>100.81656262404107</v>
      </c>
      <c r="K22" s="392">
        <f>[23]Brewhouse!$Q585</f>
        <v>9.8395721925133746</v>
      </c>
      <c r="L22" s="276">
        <f>[23]Brewhouse!$P585</f>
        <v>62</v>
      </c>
      <c r="M22" s="397">
        <f>[23]Brewhouse!$U585-[23]Brewhouse!$T585</f>
        <v>0.10902777777777783</v>
      </c>
      <c r="N22" s="370">
        <f>[23]Brewhouse!$Z585</f>
        <v>0.24375000000000002</v>
      </c>
      <c r="O22" s="371" t="str">
        <f>[23]Brewhouse!$AX585</f>
        <v>R. Sookram</v>
      </c>
      <c r="P22" s="419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29" t="s">
        <v>6</v>
      </c>
      <c r="C23" s="366" t="str">
        <f>[23]Brewhouse!$A586</f>
        <v>CA479</v>
      </c>
      <c r="D23" s="279">
        <f>[23]Brewhouse!$AF586</f>
        <v>52.4</v>
      </c>
      <c r="E23" s="279">
        <f>[23]Brewhouse!$AI586</f>
        <v>50.4</v>
      </c>
      <c r="F23" s="278">
        <f>[23]Brewhouse!$V586</f>
        <v>59</v>
      </c>
      <c r="G23" s="279">
        <f>[23]Brewhouse!$AG586</f>
        <v>12</v>
      </c>
      <c r="H23" s="396">
        <v>12</v>
      </c>
      <c r="I23" s="368">
        <f>[23]Brewhouse!$AU586</f>
        <v>99.543727878925864</v>
      </c>
      <c r="J23" s="368">
        <f>[23]Brewhouse!$AV586</f>
        <v>101.18935601737272</v>
      </c>
      <c r="K23" s="392">
        <f>[23]Brewhouse!$Q586</f>
        <v>8.3687943262411331</v>
      </c>
      <c r="L23" s="276">
        <f>[23]Brewhouse!$P586</f>
        <v>66</v>
      </c>
      <c r="M23" s="397">
        <f>[23]Brewhouse!$U586-[23]Brewhouse!$T586</f>
        <v>0.10763888888888884</v>
      </c>
      <c r="N23" s="370">
        <f>[23]Brewhouse!$Z586</f>
        <v>0.24861111111111112</v>
      </c>
      <c r="O23" s="371" t="str">
        <f>[23]Brewhouse!$AX586</f>
        <v>R. Sookram</v>
      </c>
      <c r="P23" s="419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2:26" ht="14.4" hidden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3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customHeight="1" thickBot="1">
      <c r="B42" s="358"/>
      <c r="C42" s="358"/>
      <c r="D42" s="358"/>
      <c r="E42" s="358"/>
      <c r="F42" s="294"/>
      <c r="G42" s="294"/>
      <c r="H42" s="348"/>
      <c r="I42" s="532"/>
      <c r="J42" s="532"/>
      <c r="K42" s="532"/>
      <c r="L42" s="532"/>
      <c r="M42" s="532"/>
      <c r="N42" s="532"/>
      <c r="O42" s="1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" thickBot="1">
      <c r="B43" s="388" t="s">
        <v>163</v>
      </c>
      <c r="C43" s="388"/>
      <c r="D43" s="545" t="s">
        <v>35</v>
      </c>
      <c r="E43" s="546"/>
      <c r="F43" s="294"/>
      <c r="G43" s="294"/>
      <c r="H43" s="348"/>
      <c r="I43" s="24" t="s">
        <v>17</v>
      </c>
      <c r="J43" s="25" t="s">
        <v>36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4"/>
      <c r="P43" s="12"/>
      <c r="R43" s="277" t="str">
        <f t="shared" si="0"/>
        <v xml:space="preserve">BRAND 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customHeight="1">
      <c r="A44" s="28"/>
      <c r="B44" s="579" t="s">
        <v>171</v>
      </c>
      <c r="C44" s="362"/>
      <c r="D44" s="536"/>
      <c r="E44" s="525"/>
      <c r="F44" s="294"/>
      <c r="G44" s="294"/>
      <c r="H44" s="348"/>
      <c r="I44" s="29" t="s">
        <v>6</v>
      </c>
      <c r="J44" s="280">
        <f>AVERAGE(I21:I23)</f>
        <v>97.969555435541963</v>
      </c>
      <c r="K44" s="284">
        <f>COUNTA([23]Brewhouse!$A$580:$A$586)</f>
        <v>7</v>
      </c>
      <c r="L44" s="305">
        <f>AVERAGE([23]Brewhouse!$AU$580:$AU$586)</f>
        <v>98.805085474082958</v>
      </c>
      <c r="M4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AVERAGE([23]Brewhouse!$AU$102:$AU$171,[23]Brewhouse!$AU$173:$AU$253,[23]Brewhouse!$AU$255:$AU$339,[23]Brewhouse!$AU$341:$AU$346,[23]Brewhouse!$AU$348,[23]Brewhouse!$AU$349:$AU$406,[23]Brewhouse!$AU$408:$AU$491,[23]Brewhouse!$AU$493:$AU$578,[23]Brewhouse!$AU$580:$AU$586)</f>
        <v>97.765313860220857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6" ht="15" customHeight="1">
      <c r="A45" s="28"/>
      <c r="B45" s="580"/>
      <c r="C45" s="349"/>
      <c r="D45" s="537"/>
      <c r="E45" s="520"/>
      <c r="F45" s="294"/>
      <c r="G45" s="294"/>
      <c r="H45" s="348"/>
      <c r="I45" s="33" t="s">
        <v>9</v>
      </c>
      <c r="J45" s="280">
        <f>AVERAGE(I10:I16)</f>
        <v>98.74477741911798</v>
      </c>
      <c r="K45" s="284">
        <f>COUNTA([24]Brewhouse!$A$275:$A$282)</f>
        <v>8</v>
      </c>
      <c r="L45" s="302">
        <f>AVERAGE([24]Brewhouse!$AS$275:$AS$282)</f>
        <v>99.006640594701011</v>
      </c>
      <c r="M45" s="302">
        <f>AVERAGE([24]Brewhouse!$AS$15:$AS$64,[24]Brewhouse!$AS$66:$AS$103,[24]Brewhouse!$AS$105:$AS$140,[24]Brewhouse!$AS$142:$AS$193,[24]Brewhouse!$AS$195:$AS$240,[24]Brewhouse!$AS$242:$AS$273,[24]Brewhouse!$AS$275:$AS$282)</f>
        <v>97.91077498027218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4.7" customHeight="1">
      <c r="A46" s="28"/>
      <c r="B46" s="580"/>
      <c r="C46" s="349"/>
      <c r="D46" s="536"/>
      <c r="E46" s="525"/>
      <c r="F46" s="294"/>
      <c r="G46" s="294"/>
      <c r="H46" s="348"/>
      <c r="I46" s="34" t="s">
        <v>12</v>
      </c>
      <c r="J46" s="280"/>
      <c r="K46" s="284"/>
      <c r="L46" s="302"/>
      <c r="M46" s="302">
        <f>AVERAGE([25]Brewhouse!$AU$4:$AU$7,[25]Brewhouse!$AU$9:$AU$22,[25]Brewhouse!$AU$24:$AU$35,[25]Brewhouse!$AU$37:$AU$45,[25]Brewhouse!$AU$47:$AU$62)</f>
        <v>97.179377138297156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80"/>
      <c r="C47" s="349"/>
      <c r="D47" s="537"/>
      <c r="E47" s="520"/>
      <c r="F47" s="294"/>
      <c r="G47" s="294"/>
      <c r="H47" s="348"/>
      <c r="I47" s="22" t="s">
        <v>33</v>
      </c>
      <c r="J47" s="280"/>
      <c r="K47" s="284"/>
      <c r="L47" s="302"/>
      <c r="M47" s="302">
        <f>AVERAGE([26]Brewhouse!$AV$5:$AV$14,[26]Brewhouse!$AV$16:$AV$19,[26]Brewhouse!$AV$21:$AV$24,[26]Brewhouse!$AV$26:$AV$33,[26]Brewhouse!$AV$35:$AV$46,[26]Brewhouse!$AV$48:$AV$53)</f>
        <v>98.620083722669861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80"/>
      <c r="C48" s="349"/>
      <c r="D48" s="536"/>
      <c r="E48" s="525"/>
      <c r="F48" s="418"/>
      <c r="G48" s="294"/>
      <c r="H48" s="348"/>
      <c r="I48" s="35" t="s">
        <v>29</v>
      </c>
      <c r="J48" s="280"/>
      <c r="K48" s="284"/>
      <c r="L48" s="302"/>
      <c r="M48" s="302"/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80"/>
      <c r="C49" s="349"/>
      <c r="D49" s="537"/>
      <c r="E49" s="520"/>
      <c r="F49" s="418"/>
      <c r="G49" s="294"/>
      <c r="H49" s="348"/>
      <c r="I49" s="36" t="s">
        <v>15</v>
      </c>
      <c r="J49" s="323"/>
      <c r="K49" s="284"/>
      <c r="L49" s="302"/>
      <c r="M49" s="302">
        <f>AVERAGE([27]Brewhouse!$AT$4:$AT$11,[27]Brewhouse!$AT$13:$AT$16,[27]Brewhouse!$AT$18:$AT$21)</f>
        <v>94.773169817643847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80"/>
      <c r="C50" s="349"/>
      <c r="D50" s="536"/>
      <c r="E50" s="525"/>
      <c r="F50" s="418"/>
      <c r="G50" s="294"/>
      <c r="H50" s="348"/>
      <c r="I50" s="37" t="s">
        <v>16</v>
      </c>
      <c r="J50" s="323"/>
      <c r="K50" s="284">
        <f>COUNTA([22]Brewhouse!$A$56:$A$65)</f>
        <v>10</v>
      </c>
      <c r="L50" s="302">
        <f>AVERAGE([22]Brewhouse!$AY$56:$AY$65)</f>
        <v>99.275500637605006</v>
      </c>
      <c r="M50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0" s="30">
        <v>98</v>
      </c>
      <c r="O50" s="11"/>
      <c r="P50" s="31" t="s">
        <v>41</v>
      </c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80"/>
      <c r="C51" s="349"/>
      <c r="D51" s="537"/>
      <c r="E51" s="520"/>
      <c r="F51" s="294"/>
      <c r="G51" s="294"/>
      <c r="H51" s="348"/>
      <c r="I51" s="411" t="s">
        <v>158</v>
      </c>
      <c r="J51" s="326"/>
      <c r="K51" s="284"/>
      <c r="L51" s="305"/>
      <c r="M51" s="305">
        <f>AVERAGE([28]Brewhouse!$AU$5:$AU$8,[28]Brewhouse!$AU$10:$AU$13)</f>
        <v>94.247666625193744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80"/>
      <c r="C52" s="349"/>
      <c r="D52" s="536"/>
      <c r="E52" s="525"/>
      <c r="F52" s="294"/>
      <c r="G52" s="294"/>
      <c r="H52" s="348"/>
      <c r="I52" s="410" t="s">
        <v>157</v>
      </c>
      <c r="J52" s="326"/>
      <c r="K52" s="284"/>
      <c r="L52" s="305"/>
      <c r="M52" s="305">
        <f>AVERAGE([29]Brewhouse!$AW$26:$AW$27)</f>
        <v>95.310680905194914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80"/>
      <c r="C53" s="349"/>
      <c r="D53" s="537"/>
      <c r="E53" s="520"/>
      <c r="F53" s="294"/>
      <c r="G53" s="294"/>
      <c r="H53" s="348"/>
      <c r="I53" s="406" t="s">
        <v>156</v>
      </c>
      <c r="J53" s="327"/>
      <c r="K53" s="407"/>
      <c r="L53" s="408"/>
      <c r="M53" s="408">
        <f>AVERAGE([30]Brewhouse!$AU$13:$AU$14)</f>
        <v>97.110575243268045</v>
      </c>
      <c r="N53" s="409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80"/>
      <c r="C54" s="349"/>
      <c r="D54" s="536"/>
      <c r="E54" s="525"/>
      <c r="F54" s="294"/>
      <c r="G54" s="294"/>
      <c r="H54" s="348"/>
      <c r="I54" s="1"/>
      <c r="J54" s="39"/>
      <c r="K54" s="404">
        <f>SUM(K44:K53)</f>
        <v>25</v>
      </c>
      <c r="L54" s="405">
        <f>((L44*K44)+(L45*K45)+(L46*K46)+(L47*K47)+(L48*K48)+(K51*L51)+(L49*K49)+(L50*K50)+(L53*K53))/(K54)</f>
        <v>99.057749178089537</v>
      </c>
      <c r="M54" s="405">
        <f>AVERAGE('[31]Jan 31st'!$L$65,'[32]Feb 28th'!$L$35,'[33]Mar. 31st'!$L$35,'[34]Apr. 30th'!$L$45,'[35]May 30th'!$L$37,L54)</f>
        <v>97.872833769243115</v>
      </c>
      <c r="N54" s="4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81"/>
      <c r="C55" s="350"/>
      <c r="D55" s="537"/>
      <c r="E55" s="520"/>
      <c r="F55" s="294"/>
      <c r="G55" s="42"/>
      <c r="H55" s="41"/>
      <c r="I55" s="42"/>
      <c r="J55" s="42"/>
      <c r="K55" s="351"/>
      <c r="L55" s="348"/>
      <c r="M55" s="348"/>
      <c r="N55" s="11"/>
      <c r="O55" s="294"/>
      <c r="P55" s="12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14" t="str">
        <f>I44</f>
        <v>CARIB</v>
      </c>
      <c r="C56" s="362">
        <f>[23]Process!D525</f>
        <v>12</v>
      </c>
      <c r="D56" s="517">
        <v>12.09</v>
      </c>
      <c r="E56" s="518"/>
      <c r="F56" s="294"/>
      <c r="G56" s="42"/>
      <c r="H56" s="41"/>
      <c r="I56" s="42"/>
      <c r="J56" s="572" t="s">
        <v>129</v>
      </c>
      <c r="K56" s="572"/>
      <c r="L56" s="294"/>
      <c r="M56" s="294"/>
      <c r="N56" s="294"/>
      <c r="O56" s="294"/>
      <c r="P56" s="12"/>
    </row>
    <row r="57" spans="1:56" ht="15" thickBot="1">
      <c r="B57" s="515"/>
      <c r="C57" s="362">
        <f>[23]Process!D526</f>
        <v>12</v>
      </c>
      <c r="D57" s="519"/>
      <c r="E57" s="520"/>
      <c r="F57" s="294"/>
      <c r="G57" s="42"/>
      <c r="H57" s="41"/>
      <c r="I57" s="42"/>
      <c r="J57" s="292" t="s">
        <v>17</v>
      </c>
      <c r="K57" s="293" t="s">
        <v>147</v>
      </c>
      <c r="L57" s="522" t="s">
        <v>136</v>
      </c>
      <c r="M57" s="522"/>
      <c r="N57" s="523"/>
      <c r="O57" s="294"/>
      <c r="P57" s="12"/>
    </row>
    <row r="58" spans="1:56" ht="15" customHeight="1" thickBot="1">
      <c r="B58" s="515"/>
      <c r="C58" s="349">
        <f>[23]Process!D527</f>
        <v>11.9</v>
      </c>
      <c r="D58" s="573">
        <v>12.1</v>
      </c>
      <c r="E58" s="574"/>
      <c r="F58" s="294"/>
      <c r="G58" s="42"/>
      <c r="H58" s="41"/>
      <c r="I58" s="42"/>
      <c r="J58" s="287" t="s">
        <v>6</v>
      </c>
      <c r="K58" s="324">
        <v>3</v>
      </c>
      <c r="L58" s="343" t="s">
        <v>37</v>
      </c>
      <c r="M58" s="307" t="s">
        <v>38</v>
      </c>
      <c r="N58" s="307" t="s">
        <v>84</v>
      </c>
      <c r="O58" s="294"/>
      <c r="P58" s="12"/>
    </row>
    <row r="59" spans="1:56" ht="15.75" customHeight="1" thickBot="1">
      <c r="B59" s="515"/>
      <c r="C59" s="349">
        <f>[23]Process!D528</f>
        <v>11.9</v>
      </c>
      <c r="D59" s="519"/>
      <c r="E59" s="520"/>
      <c r="F59" s="294"/>
      <c r="G59" s="42"/>
      <c r="H59" s="41"/>
      <c r="I59" s="42"/>
      <c r="J59" s="345" t="s">
        <v>9</v>
      </c>
      <c r="K59" s="324">
        <v>7</v>
      </c>
      <c r="L59" s="344">
        <f>AVERAGE(K68,'July 1st'!K67,'July 2nd'!K68)</f>
        <v>8.3333333333333339</v>
      </c>
      <c r="M59" s="325">
        <f>AVERAGE('[31]Jan 29th '!$M$70,'[32]Feb 28th'!$L$40,'[33]Mar. 31st'!$L$40,'[34]Apr. 30th'!$L$50,'[35]May 30th'!$L$42,L59)</f>
        <v>6.9233290863725649</v>
      </c>
      <c r="N59" s="417">
        <v>9.1999999999999993</v>
      </c>
      <c r="O59" s="294"/>
      <c r="P59" s="12"/>
    </row>
    <row r="60" spans="1:56" ht="15" customHeight="1">
      <c r="B60" s="515"/>
      <c r="C60" s="349">
        <f>[23]Process!D529</f>
        <v>11.7</v>
      </c>
      <c r="D60" s="573">
        <v>12</v>
      </c>
      <c r="E60" s="574"/>
      <c r="F60" s="294"/>
      <c r="G60" s="42"/>
      <c r="H60" s="41"/>
      <c r="I60" s="42"/>
      <c r="J60" s="288" t="s">
        <v>40</v>
      </c>
      <c r="K60" s="324"/>
      <c r="L60" s="294"/>
      <c r="M60" s="294"/>
      <c r="N60" s="294"/>
      <c r="O60" s="294"/>
      <c r="P60" s="12"/>
    </row>
    <row r="61" spans="1:56" ht="15" customHeight="1">
      <c r="B61" s="515"/>
      <c r="C61" s="349">
        <f>[23]Process!D530</f>
        <v>11.6</v>
      </c>
      <c r="D61" s="519"/>
      <c r="E61" s="520"/>
      <c r="F61" s="294"/>
      <c r="G61" s="42"/>
      <c r="H61" s="41"/>
      <c r="I61" s="42"/>
      <c r="J61" s="289" t="s">
        <v>33</v>
      </c>
      <c r="K61" s="324"/>
      <c r="L61" s="294"/>
      <c r="M61" s="294"/>
      <c r="N61" s="294"/>
      <c r="O61" s="294"/>
      <c r="P61" s="12"/>
    </row>
    <row r="62" spans="1:56" ht="14.4">
      <c r="B62" s="515"/>
      <c r="C62" s="349">
        <f>[23]Process!D531</f>
        <v>11.4</v>
      </c>
      <c r="D62" s="573">
        <v>11.96</v>
      </c>
      <c r="E62" s="574"/>
      <c r="F62" s="294"/>
      <c r="G62" s="42"/>
      <c r="H62" s="41"/>
      <c r="I62" s="42"/>
      <c r="J62" s="290" t="s">
        <v>16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5"/>
      <c r="C63" s="349">
        <f>[23]Process!D532</f>
        <v>12.1</v>
      </c>
      <c r="D63" s="519"/>
      <c r="E63" s="520"/>
      <c r="F63" s="294"/>
      <c r="G63" s="42"/>
      <c r="H63" s="41"/>
      <c r="I63" s="42"/>
      <c r="J63" s="291" t="s">
        <v>15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15"/>
      <c r="C64" s="349"/>
      <c r="D64" s="573"/>
      <c r="E64" s="574"/>
      <c r="F64" s="294"/>
      <c r="G64" s="42"/>
      <c r="H64" s="41"/>
      <c r="I64" s="42"/>
      <c r="J64" s="291" t="s">
        <v>149</v>
      </c>
      <c r="K64" s="324"/>
      <c r="L64" s="294"/>
      <c r="M64" s="294"/>
      <c r="N64" s="294"/>
      <c r="O64" s="294"/>
      <c r="P64" s="12"/>
      <c r="BC64" s="44"/>
      <c r="BD64" s="44"/>
    </row>
    <row r="65" spans="2:57" ht="15" thickBot="1">
      <c r="B65" s="516"/>
      <c r="C65" s="350"/>
      <c r="D65" s="575"/>
      <c r="E65" s="576"/>
      <c r="F65" s="294"/>
      <c r="G65" s="42"/>
      <c r="H65" s="41"/>
      <c r="I65" s="42"/>
      <c r="J65" s="291" t="s">
        <v>148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 thickBot="1">
      <c r="B66" s="312" t="s">
        <v>139</v>
      </c>
      <c r="C66" s="313"/>
      <c r="D66" s="577">
        <f>AVERAGE(D44:E65)</f>
        <v>12.0375</v>
      </c>
      <c r="E66" s="578"/>
      <c r="F66" s="294"/>
      <c r="G66" s="42"/>
      <c r="H66" s="41"/>
      <c r="I66" s="42"/>
      <c r="J66" s="295" t="s">
        <v>134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>
      <c r="B67" s="363"/>
      <c r="C67" s="364"/>
      <c r="D67" s="365"/>
      <c r="E67" s="365"/>
      <c r="F67" s="294"/>
      <c r="G67" s="42"/>
      <c r="H67" s="41"/>
      <c r="I67" s="42"/>
      <c r="J67" s="295" t="s">
        <v>131</v>
      </c>
      <c r="K67" s="324"/>
      <c r="L67" s="294"/>
      <c r="M67" s="294"/>
      <c r="N67" s="294"/>
      <c r="O67" s="294"/>
      <c r="P67" s="12"/>
      <c r="BC67" s="44"/>
      <c r="BD67" s="44"/>
    </row>
    <row r="68" spans="2:57" ht="15.75" customHeight="1">
      <c r="B68" s="45"/>
      <c r="C68" s="11"/>
      <c r="D68" s="11"/>
      <c r="E68" s="46"/>
      <c r="F68" s="294"/>
      <c r="G68" s="42"/>
      <c r="H68" s="41"/>
      <c r="I68" s="42"/>
      <c r="J68" s="346" t="s">
        <v>130</v>
      </c>
      <c r="K68" s="324">
        <f>SUM(K58:K67)</f>
        <v>10</v>
      </c>
      <c r="L68" s="294"/>
      <c r="M68" s="294"/>
      <c r="N68" s="294"/>
      <c r="O68" s="294"/>
      <c r="P68" s="12"/>
    </row>
    <row r="69" spans="2:57" ht="20.25" customHeight="1">
      <c r="B69" s="15" t="s">
        <v>42</v>
      </c>
      <c r="C69" s="1" t="s">
        <v>43</v>
      </c>
      <c r="D69" s="1"/>
      <c r="E69" s="1"/>
      <c r="F69" s="294"/>
      <c r="G69" s="42"/>
      <c r="H69" s="41"/>
      <c r="I69" s="42"/>
      <c r="L69" s="294"/>
      <c r="P69" s="334"/>
    </row>
    <row r="70" spans="2:57" ht="15" customHeight="1" thickBot="1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  <c r="O70" s="48"/>
      <c r="P70" s="49"/>
    </row>
    <row r="71" spans="2:57" ht="15" customHeight="1" thickBot="1">
      <c r="B71" s="498" t="s">
        <v>17</v>
      </c>
      <c r="C71" s="498" t="s">
        <v>44</v>
      </c>
      <c r="D71" s="510" t="s">
        <v>45</v>
      </c>
      <c r="E71" s="512" t="s">
        <v>46</v>
      </c>
      <c r="F71" s="506" t="s">
        <v>47</v>
      </c>
      <c r="G71" s="496" t="s">
        <v>48</v>
      </c>
      <c r="H71" s="498" t="s">
        <v>49</v>
      </c>
      <c r="I71" s="498" t="s">
        <v>50</v>
      </c>
      <c r="J71" s="490" t="s">
        <v>28</v>
      </c>
      <c r="K71" s="502" t="s">
        <v>51</v>
      </c>
      <c r="L71" s="504" t="s">
        <v>52</v>
      </c>
      <c r="M71" s="490" t="s">
        <v>53</v>
      </c>
      <c r="N71" s="13"/>
      <c r="O71" s="13"/>
      <c r="P71" s="50"/>
    </row>
    <row r="72" spans="2:57" ht="28.5" customHeight="1" thickTop="1" thickBot="1">
      <c r="B72" s="499"/>
      <c r="C72" s="499"/>
      <c r="D72" s="511"/>
      <c r="E72" s="513"/>
      <c r="F72" s="507"/>
      <c r="G72" s="497"/>
      <c r="H72" s="499"/>
      <c r="I72" s="499"/>
      <c r="J72" s="491"/>
      <c r="K72" s="503"/>
      <c r="L72" s="505"/>
      <c r="M72" s="491"/>
      <c r="N72" s="13"/>
      <c r="O72" s="13"/>
      <c r="P72" s="50"/>
      <c r="Q72" s="355"/>
      <c r="AB72" s="51">
        <v>43474</v>
      </c>
      <c r="AC72" s="51">
        <v>43475</v>
      </c>
      <c r="AD72" s="51">
        <v>43476</v>
      </c>
      <c r="AE72" s="51">
        <v>43477</v>
      </c>
      <c r="AF72" s="51">
        <v>43478</v>
      </c>
      <c r="AG72" s="51">
        <v>43479</v>
      </c>
      <c r="AH72" s="51">
        <v>43480</v>
      </c>
      <c r="AI72" s="51">
        <v>43481</v>
      </c>
      <c r="AJ72" s="51">
        <v>43482</v>
      </c>
      <c r="AK72" s="51">
        <v>43483</v>
      </c>
      <c r="AL72" s="51">
        <v>43484</v>
      </c>
      <c r="AM72" s="51">
        <v>43485</v>
      </c>
      <c r="AN72" s="51">
        <v>43486</v>
      </c>
      <c r="AO72" s="51">
        <v>43487</v>
      </c>
      <c r="AP72" s="51">
        <v>43488</v>
      </c>
      <c r="AQ72" s="51">
        <v>43489</v>
      </c>
      <c r="AR72" s="51">
        <v>43490</v>
      </c>
      <c r="AS72" s="51">
        <v>43491</v>
      </c>
      <c r="AT72" s="51">
        <v>43492</v>
      </c>
      <c r="AU72" s="51">
        <v>43493</v>
      </c>
      <c r="AV72" s="51">
        <v>43494</v>
      </c>
      <c r="AW72" s="51">
        <v>43495</v>
      </c>
      <c r="AX72" s="51">
        <v>43496</v>
      </c>
    </row>
    <row r="73" spans="2:57" s="54" customFormat="1" ht="53.25" customHeight="1">
      <c r="B73" s="387" t="str">
        <f>B78</f>
        <v>CARIB</v>
      </c>
      <c r="C73" s="422">
        <v>45841</v>
      </c>
      <c r="D73" s="377">
        <f>[36]July_2025!$F$3</f>
        <v>403.70000000000005</v>
      </c>
      <c r="E73" s="378"/>
      <c r="F73" s="379"/>
      <c r="G73" s="303">
        <f>[36]July_2025!$F$7</f>
        <v>379.79999999999995</v>
      </c>
      <c r="H73" s="320"/>
      <c r="I73" s="322"/>
      <c r="J73" s="392" t="s">
        <v>173</v>
      </c>
      <c r="K73" s="286">
        <f>[37]July_2025!$F$18</f>
        <v>0.66631578947368408</v>
      </c>
      <c r="L73" s="314">
        <f>(((D73+E73)-G73)/(D73+E73))*100</f>
        <v>5.9202378003468139</v>
      </c>
      <c r="M73" s="416" t="s">
        <v>174</v>
      </c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[20]January_2019!L7</f>
        <v>285.8</v>
      </c>
      <c r="AC73" s="57">
        <f>[20]January_2019!M7</f>
        <v>508.1</v>
      </c>
      <c r="AD73" s="57">
        <f>[20]January_2019!N7</f>
        <v>0</v>
      </c>
      <c r="AE73" s="57">
        <f>[20]January_2019!O7</f>
        <v>0</v>
      </c>
      <c r="AF73" s="57">
        <f>[20]January_2019!P7</f>
        <v>109.56666666666666</v>
      </c>
      <c r="AG73" s="57">
        <f>[20]January_2019!Q7</f>
        <v>297.64999999999998</v>
      </c>
      <c r="AH73" s="57">
        <f>[20]January_2019!R7</f>
        <v>122.3</v>
      </c>
      <c r="AI73" s="57">
        <f>[20]January_2019!S7</f>
        <v>0</v>
      </c>
      <c r="AJ73" s="57">
        <f>[20]January_2019!T7</f>
        <v>294.7</v>
      </c>
      <c r="AK73" s="57">
        <f>[20]January_2019!U7</f>
        <v>280.5</v>
      </c>
      <c r="AL73" s="57">
        <f>[20]January_2019!V7</f>
        <v>0</v>
      </c>
      <c r="AM73" s="57">
        <f>[20]January_2019!W7</f>
        <v>0</v>
      </c>
      <c r="AN73" s="57">
        <f>[20]January_2019!X7</f>
        <v>188.25</v>
      </c>
      <c r="AO73" s="57">
        <f>[20]January_2019!Y7</f>
        <v>295.7</v>
      </c>
      <c r="AP73" s="57">
        <f>[20]January_2019!Z7</f>
        <v>257.8</v>
      </c>
      <c r="AQ73" s="57">
        <f>[20]January_2019!AA7</f>
        <v>291.2</v>
      </c>
      <c r="AR73" s="57">
        <f>[20]January_2019!AB7</f>
        <v>187</v>
      </c>
      <c r="AS73" s="57">
        <f>[20]January_2019!AC7</f>
        <v>0</v>
      </c>
      <c r="AT73" s="57">
        <f>[20]January_2019!AD7</f>
        <v>0</v>
      </c>
      <c r="AU73" s="57">
        <f>[20]January_2019!AE7</f>
        <v>485.1</v>
      </c>
      <c r="AV73" s="57">
        <f>[20]January_2019!AF7</f>
        <v>171.55</v>
      </c>
      <c r="AW73" s="57">
        <f>[20]January_2019!AG7</f>
        <v>423.8</v>
      </c>
      <c r="AX73" s="277">
        <f>[20]January_2019!AH7</f>
        <v>0</v>
      </c>
      <c r="AY73" s="277"/>
      <c r="AZ73" s="277"/>
      <c r="BA73" s="277"/>
      <c r="BB73" s="277"/>
      <c r="BC73" s="277"/>
      <c r="BD73" s="277"/>
      <c r="BE73" s="277"/>
    </row>
    <row r="74" spans="2:57" s="54" customFormat="1" ht="16.5" customHeight="1">
      <c r="B74" s="421"/>
      <c r="C74" s="283"/>
      <c r="D74" s="377"/>
      <c r="E74" s="378"/>
      <c r="F74" s="379"/>
      <c r="G74" s="303"/>
      <c r="H74" s="320"/>
      <c r="I74" s="322"/>
      <c r="J74" s="281"/>
      <c r="K74" s="286"/>
      <c r="L74" s="314"/>
      <c r="M74" s="416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415"/>
      <c r="AC74" s="415"/>
      <c r="AD74" s="415"/>
      <c r="AE74" s="415"/>
      <c r="AF74" s="415"/>
      <c r="AG74" s="415"/>
      <c r="AH74" s="415"/>
      <c r="AI74" s="415"/>
      <c r="AJ74" s="415"/>
      <c r="AK74" s="415"/>
      <c r="AL74" s="415"/>
      <c r="AM74" s="415"/>
      <c r="AN74" s="415"/>
      <c r="AO74" s="415"/>
      <c r="AP74" s="415"/>
      <c r="AQ74" s="415"/>
      <c r="AR74" s="415"/>
      <c r="AS74" s="415"/>
      <c r="AT74" s="415"/>
      <c r="AU74" s="415"/>
      <c r="AV74" s="415"/>
      <c r="AW74" s="415"/>
    </row>
    <row r="75" spans="2:57" ht="18" customHeight="1" thickBot="1">
      <c r="B75" s="59"/>
      <c r="C75" s="30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 t="s">
        <v>41</v>
      </c>
      <c r="O75" s="56"/>
      <c r="P75" s="60"/>
    </row>
    <row r="76" spans="2:57" ht="14.4" thickBot="1">
      <c r="B76" s="492" t="s">
        <v>55</v>
      </c>
      <c r="C76" s="493"/>
      <c r="D76" s="493"/>
      <c r="E76" s="493"/>
      <c r="F76" s="494"/>
      <c r="G76" s="492" t="s">
        <v>56</v>
      </c>
      <c r="H76" s="493"/>
      <c r="I76" s="493"/>
      <c r="J76" s="494"/>
      <c r="K76" s="492" t="s">
        <v>51</v>
      </c>
      <c r="L76" s="493"/>
      <c r="M76" s="493"/>
      <c r="N76" s="495"/>
      <c r="O76" s="56"/>
      <c r="P76" s="50"/>
    </row>
    <row r="77" spans="2:57">
      <c r="B77" s="61" t="s">
        <v>17</v>
      </c>
      <c r="C77" s="62" t="s">
        <v>36</v>
      </c>
      <c r="D77" s="62" t="s">
        <v>37</v>
      </c>
      <c r="E77" s="62" t="s">
        <v>38</v>
      </c>
      <c r="F77" s="63" t="s">
        <v>39</v>
      </c>
      <c r="G77" s="62" t="s">
        <v>36</v>
      </c>
      <c r="H77" s="62" t="s">
        <v>37</v>
      </c>
      <c r="I77" s="62" t="s">
        <v>38</v>
      </c>
      <c r="J77" s="63" t="s">
        <v>39</v>
      </c>
      <c r="K77" s="62" t="s">
        <v>36</v>
      </c>
      <c r="L77" s="62" t="s">
        <v>37</v>
      </c>
      <c r="M77" s="62" t="s">
        <v>38</v>
      </c>
      <c r="N77" s="63" t="s">
        <v>39</v>
      </c>
      <c r="O77" s="56"/>
      <c r="P77" s="64"/>
    </row>
    <row r="78" spans="2:57">
      <c r="B78" s="29" t="s">
        <v>6</v>
      </c>
      <c r="C78" s="65">
        <f>L73</f>
        <v>5.9202378003468139</v>
      </c>
      <c r="D78" s="76">
        <v>5.0608856930023203</v>
      </c>
      <c r="E78" s="76">
        <v>6.5163972239457122</v>
      </c>
      <c r="F78" s="66">
        <v>4.8</v>
      </c>
      <c r="G78" s="65">
        <f>[36]July_2025!$F$11</f>
        <v>4.0949230931587124</v>
      </c>
      <c r="H78" s="76">
        <v>3.579738071328245</v>
      </c>
      <c r="I78" s="76">
        <v>6.4447120450159749</v>
      </c>
      <c r="J78" s="66">
        <v>4.8</v>
      </c>
      <c r="K78" s="67">
        <f>K73</f>
        <v>0.66631578947368408</v>
      </c>
      <c r="L78" s="194">
        <v>0.76245614035087717</v>
      </c>
      <c r="M78" s="194">
        <v>0.7219334343185404</v>
      </c>
      <c r="N78" s="68">
        <v>1</v>
      </c>
      <c r="O78" s="56"/>
      <c r="P78" s="69"/>
    </row>
    <row r="79" spans="2:57">
      <c r="B79" s="33" t="s">
        <v>9</v>
      </c>
      <c r="C79" s="65"/>
      <c r="D79" s="76">
        <v>5.1037577117218298</v>
      </c>
      <c r="E79" s="76">
        <v>6.0971944717676134</v>
      </c>
      <c r="F79" s="66">
        <v>4.8</v>
      </c>
      <c r="G79" s="65"/>
      <c r="H79" s="76">
        <v>3.2384753080210245</v>
      </c>
      <c r="I79" s="76">
        <v>5.768083676790571</v>
      </c>
      <c r="J79" s="66">
        <v>4.8</v>
      </c>
      <c r="K79" s="67"/>
      <c r="L79" s="194">
        <v>0.5936842105263157</v>
      </c>
      <c r="M79" s="194">
        <v>0.75812656809312595</v>
      </c>
      <c r="N79" s="68">
        <v>1</v>
      </c>
      <c r="P79" s="69"/>
    </row>
    <row r="80" spans="2:57">
      <c r="B80" s="34" t="s">
        <v>40</v>
      </c>
      <c r="C80" s="65"/>
      <c r="D80" s="76"/>
      <c r="E80" s="76">
        <v>11.96027372373279</v>
      </c>
      <c r="F80" s="66">
        <v>5.5</v>
      </c>
      <c r="G80" s="65"/>
      <c r="H80" s="76"/>
      <c r="I80" s="76">
        <v>13.111031100634913</v>
      </c>
      <c r="J80" s="66">
        <v>5.5</v>
      </c>
      <c r="K80" s="67"/>
      <c r="L80" s="194"/>
      <c r="M80" s="194">
        <v>0.4869398559932232</v>
      </c>
      <c r="N80" s="68">
        <v>1</v>
      </c>
      <c r="P80" s="69"/>
    </row>
    <row r="81" spans="2:16">
      <c r="B81" s="22" t="s">
        <v>33</v>
      </c>
      <c r="C81" s="65"/>
      <c r="D81" s="76"/>
      <c r="E81" s="76">
        <v>5.4214697406339898</v>
      </c>
      <c r="F81" s="66">
        <v>3.3</v>
      </c>
      <c r="G81" s="65"/>
      <c r="H81" s="76"/>
      <c r="I81" s="76">
        <v>5.263029001952213</v>
      </c>
      <c r="J81" s="66">
        <v>3.3</v>
      </c>
      <c r="K81" s="67"/>
      <c r="L81" s="194"/>
      <c r="M81" s="194">
        <v>0.6919486215538847</v>
      </c>
      <c r="N81" s="68">
        <v>1</v>
      </c>
      <c r="P81" s="69"/>
    </row>
    <row r="82" spans="2:16">
      <c r="B82" s="35" t="s">
        <v>29</v>
      </c>
      <c r="C82" s="65"/>
      <c r="D82" s="76"/>
      <c r="E82" s="76"/>
      <c r="F82" s="66">
        <v>3.3</v>
      </c>
      <c r="G82" s="282"/>
      <c r="H82" s="76"/>
      <c r="I82" s="76"/>
      <c r="J82" s="66">
        <v>3</v>
      </c>
      <c r="L82" s="194"/>
      <c r="M82" s="194"/>
      <c r="N82" s="68">
        <v>1</v>
      </c>
      <c r="P82" s="69"/>
    </row>
    <row r="83" spans="2:16">
      <c r="B83" s="36" t="s">
        <v>15</v>
      </c>
      <c r="C83" s="282"/>
      <c r="D83" s="76"/>
      <c r="E83" s="76">
        <v>7.3129862357869699</v>
      </c>
      <c r="F83" s="70">
        <f>[21]May_2022!$M$43</f>
        <v>3.4878406700073312</v>
      </c>
      <c r="G83" s="282"/>
      <c r="H83" s="76"/>
      <c r="I83" s="76">
        <v>8.9862703283331644</v>
      </c>
      <c r="J83" s="66">
        <v>5.5</v>
      </c>
      <c r="K83" s="67"/>
      <c r="L83" s="194"/>
      <c r="M83" s="194">
        <v>0.59276315789473688</v>
      </c>
      <c r="N83" s="68">
        <v>1</v>
      </c>
      <c r="P83" s="69"/>
    </row>
    <row r="84" spans="2:16">
      <c r="B84" s="37" t="s">
        <v>16</v>
      </c>
      <c r="C84" s="65"/>
      <c r="D84" s="76"/>
      <c r="E84" s="76">
        <v>3.1283185840707883</v>
      </c>
      <c r="F84" s="66">
        <v>3.3</v>
      </c>
      <c r="G84" s="282"/>
      <c r="H84" s="76"/>
      <c r="I84" s="76">
        <v>4.671657298145214</v>
      </c>
      <c r="J84" s="66">
        <v>3.3</v>
      </c>
      <c r="K84" s="67"/>
      <c r="L84" s="194"/>
      <c r="M84" s="194">
        <v>0.70412549019607829</v>
      </c>
      <c r="N84" s="71">
        <v>1</v>
      </c>
      <c r="P84" s="69"/>
    </row>
    <row r="85" spans="2:16" ht="14.4" thickBot="1">
      <c r="B85" s="38" t="s">
        <v>127</v>
      </c>
      <c r="C85" s="65"/>
      <c r="D85" s="76"/>
      <c r="E85" s="76"/>
      <c r="F85" s="66">
        <v>7.5</v>
      </c>
      <c r="G85" s="282"/>
      <c r="H85" s="76"/>
      <c r="I85" s="76"/>
      <c r="J85" s="66">
        <v>7.5</v>
      </c>
      <c r="K85" s="67"/>
      <c r="L85" s="194"/>
      <c r="M85" s="194"/>
      <c r="N85" s="71">
        <v>1</v>
      </c>
      <c r="P85" s="69"/>
    </row>
    <row r="86" spans="2:16" ht="14.4" thickBot="1">
      <c r="B86" s="414" t="s">
        <v>161</v>
      </c>
      <c r="C86" s="65"/>
      <c r="D86" s="76"/>
      <c r="E86" s="76">
        <v>4.8792508624938291</v>
      </c>
      <c r="F86" s="66">
        <v>4.8</v>
      </c>
      <c r="G86" s="282"/>
      <c r="H86" s="76"/>
      <c r="I86" s="76">
        <v>6.2003723782925313</v>
      </c>
      <c r="J86" s="66">
        <v>4.8</v>
      </c>
      <c r="K86" s="67"/>
      <c r="L86" s="194"/>
      <c r="M86" s="194">
        <v>0.33859649122807017</v>
      </c>
      <c r="N86" s="71">
        <v>1</v>
      </c>
      <c r="O86" s="74"/>
      <c r="P86" s="75"/>
    </row>
    <row r="87" spans="2:16">
      <c r="D87" s="76">
        <v>5.0700283462306537</v>
      </c>
      <c r="E87" s="76">
        <v>6.5808644704229504</v>
      </c>
      <c r="F87" s="341">
        <v>5.5</v>
      </c>
      <c r="H87" s="76">
        <v>3.5076871107377534</v>
      </c>
      <c r="I87" s="76">
        <v>6.8127701461468462</v>
      </c>
      <c r="J87" s="341">
        <v>5.5</v>
      </c>
      <c r="L87" s="194">
        <v>0.70619883040935671</v>
      </c>
      <c r="M87" s="194">
        <v>0.69780952380952388</v>
      </c>
      <c r="N87" s="386">
        <v>1</v>
      </c>
    </row>
    <row r="91" spans="2:16">
      <c r="F91" s="315"/>
    </row>
    <row r="92" spans="2:16">
      <c r="F92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2:N42"/>
    <mergeCell ref="D43:E43"/>
    <mergeCell ref="B44:B55"/>
    <mergeCell ref="D44:E45"/>
    <mergeCell ref="D46:E47"/>
    <mergeCell ref="D48:E49"/>
    <mergeCell ref="D50:E51"/>
    <mergeCell ref="D52:E53"/>
    <mergeCell ref="D54:E55"/>
    <mergeCell ref="B56:B65"/>
    <mergeCell ref="D56:E57"/>
    <mergeCell ref="J56:K56"/>
    <mergeCell ref="L57:N57"/>
    <mergeCell ref="D58:E59"/>
    <mergeCell ref="D60:E61"/>
    <mergeCell ref="D62:E63"/>
    <mergeCell ref="D64:E65"/>
    <mergeCell ref="D66:E66"/>
    <mergeCell ref="B71:B72"/>
    <mergeCell ref="C71:C72"/>
    <mergeCell ref="D71:D72"/>
    <mergeCell ref="E71:E72"/>
    <mergeCell ref="M71:M72"/>
    <mergeCell ref="B76:F76"/>
    <mergeCell ref="G76:J76"/>
    <mergeCell ref="K76:N76"/>
    <mergeCell ref="G71:G72"/>
    <mergeCell ref="H71:H72"/>
    <mergeCell ref="I71:I72"/>
    <mergeCell ref="J71:J72"/>
    <mergeCell ref="K71:K72"/>
    <mergeCell ref="L71:L72"/>
    <mergeCell ref="F71:F72"/>
  </mergeCells>
  <conditionalFormatting sqref="B66:B67">
    <cfRule type="cellIs" dxfId="2623" priority="110" operator="notBetween">
      <formula>#REF!</formula>
      <formula>#REF!</formula>
    </cfRule>
  </conditionalFormatting>
  <conditionalFormatting sqref="C70">
    <cfRule type="cellIs" dxfId="2622" priority="142" stopIfTrue="1" operator="greaterThan">
      <formula>100</formula>
    </cfRule>
    <cfRule type="cellIs" dxfId="2621" priority="141" stopIfTrue="1" operator="lessThan">
      <formula>96</formula>
    </cfRule>
  </conditionalFormatting>
  <conditionalFormatting sqref="C78:C79">
    <cfRule type="cellIs" dxfId="2620" priority="88" stopIfTrue="1" operator="lessThanOrEqual">
      <formula>0</formula>
    </cfRule>
  </conditionalFormatting>
  <conditionalFormatting sqref="C78:C82">
    <cfRule type="cellIs" dxfId="2619" priority="87" stopIfTrue="1" operator="greaterThan">
      <formula>$F78</formula>
    </cfRule>
  </conditionalFormatting>
  <conditionalFormatting sqref="C79">
    <cfRule type="cellIs" dxfId="2618" priority="145" stopIfTrue="1" operator="greaterThan">
      <formula>$F78</formula>
    </cfRule>
  </conditionalFormatting>
  <conditionalFormatting sqref="C80:C83">
    <cfRule type="cellIs" dxfId="2617" priority="94" stopIfTrue="1" operator="lessThanOrEqual">
      <formula>0</formula>
    </cfRule>
  </conditionalFormatting>
  <conditionalFormatting sqref="C83">
    <cfRule type="cellIs" dxfId="2616" priority="93" stopIfTrue="1" operator="greaterThan">
      <formula>$J83</formula>
    </cfRule>
  </conditionalFormatting>
  <conditionalFormatting sqref="C89:C93">
    <cfRule type="cellIs" dxfId="2615" priority="133" stopIfTrue="1" operator="lessThanOrEqual">
      <formula>0</formula>
    </cfRule>
  </conditionalFormatting>
  <conditionalFormatting sqref="C90:C93">
    <cfRule type="cellIs" dxfId="2614" priority="132" stopIfTrue="1" operator="greaterThan">
      <formula>$F$89</formula>
    </cfRule>
  </conditionalFormatting>
  <conditionalFormatting sqref="C95">
    <cfRule type="cellIs" dxfId="2613" priority="135" stopIfTrue="1" operator="lessThanOrEqual">
      <formula>0</formula>
    </cfRule>
    <cfRule type="cellIs" dxfId="2612" priority="134" stopIfTrue="1" operator="greaterThan">
      <formula>$F$89</formula>
    </cfRule>
  </conditionalFormatting>
  <conditionalFormatting sqref="C89:D89 D91:D97">
    <cfRule type="cellIs" dxfId="2611" priority="127" stopIfTrue="1" operator="greaterThan">
      <formula>4.5</formula>
    </cfRule>
  </conditionalFormatting>
  <conditionalFormatting sqref="D66:D67">
    <cfRule type="cellIs" dxfId="2610" priority="111" operator="notBetween">
      <formula>#REF!</formula>
      <formula>#REF!</formula>
    </cfRule>
  </conditionalFormatting>
  <conditionalFormatting sqref="D78:D85">
    <cfRule type="cellIs" dxfId="2609" priority="104" stopIfTrue="1" operator="lessThanOrEqual">
      <formula>0</formula>
    </cfRule>
  </conditionalFormatting>
  <conditionalFormatting sqref="D86">
    <cfRule type="cellIs" dxfId="2608" priority="103" stopIfTrue="1" operator="lessThanOrEqual">
      <formula>0</formula>
    </cfRule>
  </conditionalFormatting>
  <conditionalFormatting sqref="D89 D91:D97">
    <cfRule type="cellIs" dxfId="2607" priority="128" stopIfTrue="1" operator="lessThanOrEqual">
      <formula>0</formula>
    </cfRule>
  </conditionalFormatting>
  <conditionalFormatting sqref="D90">
    <cfRule type="cellIs" dxfId="2606" priority="119" stopIfTrue="1" operator="greaterThan">
      <formula>$F$89</formula>
    </cfRule>
    <cfRule type="cellIs" dxfId="2605" priority="120" stopIfTrue="1" operator="lessThanOrEqual">
      <formula>0</formula>
    </cfRule>
  </conditionalFormatting>
  <conditionalFormatting sqref="D78:E87">
    <cfRule type="cellIs" dxfId="2604" priority="84" stopIfTrue="1" operator="greaterThan">
      <formula>$F78</formula>
    </cfRule>
  </conditionalFormatting>
  <conditionalFormatting sqref="D87:E87">
    <cfRule type="cellIs" dxfId="2603" priority="85" stopIfTrue="1" operator="lessThanOrEqual">
      <formula>0</formula>
    </cfRule>
  </conditionalFormatting>
  <conditionalFormatting sqref="E10:E41">
    <cfRule type="cellIs" dxfId="2602" priority="6" operator="lessThan">
      <formula>48</formula>
    </cfRule>
  </conditionalFormatting>
  <conditionalFormatting sqref="E69 E70:F70">
    <cfRule type="cellIs" dxfId="2601" priority="124" stopIfTrue="1" operator="greaterThan">
      <formula>100</formula>
    </cfRule>
  </conditionalFormatting>
  <conditionalFormatting sqref="E70">
    <cfRule type="cellIs" dxfId="2600" priority="122" stopIfTrue="1" operator="greaterThan">
      <formula>100</formula>
    </cfRule>
    <cfRule type="cellIs" dxfId="2599" priority="121" stopIfTrue="1" operator="lessThan">
      <formula>96.8</formula>
    </cfRule>
  </conditionalFormatting>
  <conditionalFormatting sqref="E78:E86">
    <cfRule type="cellIs" dxfId="2598" priority="98" stopIfTrue="1" operator="lessThanOrEqual">
      <formula>0</formula>
    </cfRule>
  </conditionalFormatting>
  <conditionalFormatting sqref="E89:E97">
    <cfRule type="cellIs" dxfId="2597" priority="113" stopIfTrue="1" operator="greaterThan">
      <formula>4.5</formula>
    </cfRule>
    <cfRule type="cellIs" dxfId="2596" priority="114" stopIfTrue="1" operator="lessThanOrEqual">
      <formula>0</formula>
    </cfRule>
  </conditionalFormatting>
  <conditionalFormatting sqref="E70:F70 E69">
    <cfRule type="cellIs" dxfId="2595" priority="123" stopIfTrue="1" operator="lessThan">
      <formula>96.5</formula>
    </cfRule>
  </conditionalFormatting>
  <conditionalFormatting sqref="F10:F41">
    <cfRule type="cellIs" dxfId="2594" priority="7" operator="greaterThan">
      <formula>60</formula>
    </cfRule>
  </conditionalFormatting>
  <conditionalFormatting sqref="F70">
    <cfRule type="cellIs" dxfId="2593" priority="140" stopIfTrue="1" operator="greaterThan">
      <formula>100</formula>
    </cfRule>
    <cfRule type="cellIs" dxfId="2592" priority="139" stopIfTrue="1" operator="lessThan">
      <formula>96.8</formula>
    </cfRule>
  </conditionalFormatting>
  <conditionalFormatting sqref="F87">
    <cfRule type="cellIs" dxfId="2591" priority="100" stopIfTrue="1" operator="lessThanOrEqual">
      <formula>0</formula>
    </cfRule>
    <cfRule type="cellIs" dxfId="2590" priority="99" stopIfTrue="1" operator="greaterThan">
      <formula>$F87</formula>
    </cfRule>
  </conditionalFormatting>
  <conditionalFormatting sqref="F92">
    <cfRule type="cellIs" dxfId="2589" priority="39" stopIfTrue="1" operator="greaterThan">
      <formula>$F92</formula>
    </cfRule>
    <cfRule type="cellIs" dxfId="2588" priority="40" stopIfTrue="1" operator="lessThanOrEqual">
      <formula>0</formula>
    </cfRule>
  </conditionalFormatting>
  <conditionalFormatting sqref="G78:G79 C84:C86">
    <cfRule type="cellIs" dxfId="2587" priority="106" stopIfTrue="1" operator="lessThanOrEqual">
      <formula>0</formula>
    </cfRule>
    <cfRule type="cellIs" dxfId="2586" priority="105" stopIfTrue="1" operator="greaterThan">
      <formula>$F78</formula>
    </cfRule>
  </conditionalFormatting>
  <conditionalFormatting sqref="G78:G79">
    <cfRule type="cellIs" dxfId="2585" priority="89" stopIfTrue="1" operator="greaterThan">
      <formula>$F78</formula>
    </cfRule>
    <cfRule type="cellIs" dxfId="2584" priority="90" stopIfTrue="1" operator="lessThanOrEqual">
      <formula>0</formula>
    </cfRule>
  </conditionalFormatting>
  <conditionalFormatting sqref="G80">
    <cfRule type="cellIs" dxfId="2583" priority="144" stopIfTrue="1" operator="lessThanOrEqual">
      <formula>0</formula>
    </cfRule>
    <cfRule type="cellIs" dxfId="2582" priority="143" stopIfTrue="1" operator="greaterThan">
      <formula>$F79</formula>
    </cfRule>
  </conditionalFormatting>
  <conditionalFormatting sqref="G81">
    <cfRule type="cellIs" dxfId="2581" priority="102" stopIfTrue="1" operator="lessThanOrEqual">
      <formula>0</formula>
    </cfRule>
    <cfRule type="cellIs" dxfId="2580" priority="101" stopIfTrue="1" operator="greaterThan">
      <formula>$F81</formula>
    </cfRule>
  </conditionalFormatting>
  <conditionalFormatting sqref="G82:G86">
    <cfRule type="cellIs" dxfId="2579" priority="108" stopIfTrue="1" operator="lessThanOrEqual">
      <formula>0</formula>
    </cfRule>
    <cfRule type="cellIs" dxfId="2578" priority="107" stopIfTrue="1" operator="greaterThan">
      <formula>$J82</formula>
    </cfRule>
  </conditionalFormatting>
  <conditionalFormatting sqref="G91:G96 C94 C96">
    <cfRule type="cellIs" dxfId="2577" priority="136" stopIfTrue="1" operator="greaterThan">
      <formula>4.5</formula>
    </cfRule>
    <cfRule type="cellIs" dxfId="2576" priority="137" stopIfTrue="1" operator="lessThanOrEqual">
      <formula>0</formula>
    </cfRule>
  </conditionalFormatting>
  <conditionalFormatting sqref="G10:H41">
    <cfRule type="expression" dxfId="2575" priority="5">
      <formula>IF(+(IF(G10&lt;#REF!,0,IF(G10&gt;#REF!,0,1)))=0,1)</formula>
    </cfRule>
  </conditionalFormatting>
  <conditionalFormatting sqref="G90:H90">
    <cfRule type="cellIs" dxfId="2574" priority="118" stopIfTrue="1" operator="lessThanOrEqual">
      <formula>0</formula>
    </cfRule>
    <cfRule type="cellIs" dxfId="2573" priority="117" stopIfTrue="1" operator="greaterThan">
      <formula>$F$89</formula>
    </cfRule>
  </conditionalFormatting>
  <conditionalFormatting sqref="H55:H69">
    <cfRule type="cellIs" dxfId="2572" priority="115" stopIfTrue="1" operator="greaterThan">
      <formula>0</formula>
    </cfRule>
  </conditionalFormatting>
  <conditionalFormatting sqref="H73">
    <cfRule type="cellIs" dxfId="2571" priority="42" stopIfTrue="1" operator="lessThanOrEqual">
      <formula>0</formula>
    </cfRule>
    <cfRule type="cellIs" dxfId="2570" priority="43" stopIfTrue="1" operator="greaterThan">
      <formula>$F$40</formula>
    </cfRule>
    <cfRule type="cellIs" dxfId="2569" priority="51" stopIfTrue="1" operator="greaterThan">
      <formula>$F$43</formula>
    </cfRule>
    <cfRule type="cellIs" dxfId="2568" priority="52" stopIfTrue="1" operator="lessThanOrEqual">
      <formula>0</formula>
    </cfRule>
    <cfRule type="cellIs" dxfId="2567" priority="53" stopIfTrue="1" operator="greaterThan">
      <formula>$F$41</formula>
    </cfRule>
    <cfRule type="cellIs" dxfId="2566" priority="54" stopIfTrue="1" operator="lessThanOrEqual">
      <formula>0</formula>
    </cfRule>
  </conditionalFormatting>
  <conditionalFormatting sqref="H74">
    <cfRule type="cellIs" dxfId="2565" priority="69" stopIfTrue="1" operator="greaterThan">
      <formula>$F$55</formula>
    </cfRule>
    <cfRule type="cellIs" dxfId="2564" priority="68" stopIfTrue="1" operator="lessThanOrEqual">
      <formula>0</formula>
    </cfRule>
    <cfRule type="cellIs" dxfId="2563" priority="67" stopIfTrue="1" operator="greaterThan">
      <formula>$F$57</formula>
    </cfRule>
    <cfRule type="cellIs" dxfId="2562" priority="70" stopIfTrue="1" operator="lessThanOrEqual">
      <formula>0</formula>
    </cfRule>
    <cfRule type="cellIs" dxfId="2561" priority="59" stopIfTrue="1" operator="greaterThan">
      <formula>$F$54</formula>
    </cfRule>
    <cfRule type="cellIs" dxfId="2560" priority="58" stopIfTrue="1" operator="lessThanOrEqual">
      <formula>0</formula>
    </cfRule>
  </conditionalFormatting>
  <conditionalFormatting sqref="H78:H85">
    <cfRule type="cellIs" dxfId="2559" priority="91" stopIfTrue="1" operator="greaterThan">
      <formula>$J78</formula>
    </cfRule>
    <cfRule type="cellIs" dxfId="2558" priority="92" stopIfTrue="1" operator="lessThanOrEqual">
      <formula>0</formula>
    </cfRule>
  </conditionalFormatting>
  <conditionalFormatting sqref="H86">
    <cfRule type="cellIs" dxfId="2557" priority="95" operator="greaterThan">
      <formula>5.3</formula>
    </cfRule>
  </conditionalFormatting>
  <conditionalFormatting sqref="H89 H91:H97">
    <cfRule type="cellIs" dxfId="2556" priority="130" stopIfTrue="1" operator="lessThanOrEqual">
      <formula>0</formula>
    </cfRule>
    <cfRule type="cellIs" dxfId="2555" priority="129" stopIfTrue="1" operator="greaterThan">
      <formula>4.5</formula>
    </cfRule>
  </conditionalFormatting>
  <conditionalFormatting sqref="H73:I73">
    <cfRule type="cellIs" dxfId="2554" priority="41" stopIfTrue="1" operator="greaterThan">
      <formula>$F$42</formula>
    </cfRule>
    <cfRule type="cellIs" dxfId="2553" priority="44" stopIfTrue="1" operator="lessThanOrEqual">
      <formula>0</formula>
    </cfRule>
  </conditionalFormatting>
  <conditionalFormatting sqref="H74:I74">
    <cfRule type="cellIs" dxfId="2552" priority="60" stopIfTrue="1" operator="lessThanOrEqual">
      <formula>0</formula>
    </cfRule>
    <cfRule type="cellIs" dxfId="2551" priority="57" stopIfTrue="1" operator="greaterThan">
      <formula>$F$56</formula>
    </cfRule>
  </conditionalFormatting>
  <conditionalFormatting sqref="H87:I87">
    <cfRule type="cellIs" dxfId="2550" priority="83" stopIfTrue="1" operator="lessThanOrEqual">
      <formula>0</formula>
    </cfRule>
    <cfRule type="cellIs" dxfId="2549" priority="82" stopIfTrue="1" operator="greaterThan">
      <formula>$J87</formula>
    </cfRule>
  </conditionalFormatting>
  <conditionalFormatting sqref="I73">
    <cfRule type="cellIs" dxfId="2548" priority="46" stopIfTrue="1" operator="lessThanOrEqual">
      <formula>0</formula>
    </cfRule>
    <cfRule type="cellIs" dxfId="2547" priority="45" stopIfTrue="1" operator="greaterThan">
      <formula>$F$40</formula>
    </cfRule>
    <cfRule type="cellIs" dxfId="2546" priority="47" stopIfTrue="1" operator="greaterThan">
      <formula>$F$42</formula>
    </cfRule>
    <cfRule type="cellIs" dxfId="2545" priority="48" stopIfTrue="1" operator="lessThanOrEqual">
      <formula>0</formula>
    </cfRule>
    <cfRule type="cellIs" dxfId="2544" priority="49" stopIfTrue="1" operator="greaterThan">
      <formula>$F$40</formula>
    </cfRule>
    <cfRule type="cellIs" dxfId="2543" priority="50" stopIfTrue="1" operator="lessThanOrEqual">
      <formula>0</formula>
    </cfRule>
  </conditionalFormatting>
  <conditionalFormatting sqref="I74">
    <cfRule type="cellIs" dxfId="2542" priority="64" stopIfTrue="1" operator="lessThanOrEqual">
      <formula>0</formula>
    </cfRule>
    <cfRule type="cellIs" dxfId="2541" priority="63" stopIfTrue="1" operator="greaterThan">
      <formula>$F$56</formula>
    </cfRule>
    <cfRule type="cellIs" dxfId="2540" priority="62" stopIfTrue="1" operator="lessThanOrEqual">
      <formula>0</formula>
    </cfRule>
    <cfRule type="cellIs" dxfId="2539" priority="61" stopIfTrue="1" operator="greaterThan">
      <formula>$F$54</formula>
    </cfRule>
    <cfRule type="cellIs" dxfId="2538" priority="66" stopIfTrue="1" operator="lessThanOrEqual">
      <formula>0</formula>
    </cfRule>
    <cfRule type="cellIs" dxfId="2537" priority="65" stopIfTrue="1" operator="greaterThan">
      <formula>$F$54</formula>
    </cfRule>
  </conditionalFormatting>
  <conditionalFormatting sqref="I78:I86">
    <cfRule type="cellIs" dxfId="2536" priority="96" stopIfTrue="1" operator="greaterThan">
      <formula>$J78</formula>
    </cfRule>
    <cfRule type="cellIs" dxfId="2535" priority="97" stopIfTrue="1" operator="lessThanOrEqual">
      <formula>0</formula>
    </cfRule>
  </conditionalFormatting>
  <conditionalFormatting sqref="I89:I97">
    <cfRule type="cellIs" dxfId="2534" priority="125" stopIfTrue="1" operator="greaterThan">
      <formula>4.5</formula>
    </cfRule>
    <cfRule type="cellIs" dxfId="2533" priority="126" stopIfTrue="1" operator="lessThanOrEqual">
      <formula>0</formula>
    </cfRule>
  </conditionalFormatting>
  <conditionalFormatting sqref="I10:J41">
    <cfRule type="cellIs" dxfId="2532" priority="9" operator="lessThan">
      <formula>97.9</formula>
    </cfRule>
  </conditionalFormatting>
  <conditionalFormatting sqref="J44:J46">
    <cfRule type="cellIs" dxfId="2531" priority="74" operator="lessThan">
      <formula>98</formula>
    </cfRule>
    <cfRule type="cellIs" dxfId="2530" priority="73" stopIfTrue="1" operator="greaterThan">
      <formula>100</formula>
    </cfRule>
    <cfRule type="cellIs" dxfId="2529" priority="72" stopIfTrue="1" operator="lessThan">
      <formula>96.8</formula>
    </cfRule>
  </conditionalFormatting>
  <conditionalFormatting sqref="J44:J48">
    <cfRule type="cellIs" dxfId="2528" priority="71" operator="lessThan">
      <formula>97.4</formula>
    </cfRule>
  </conditionalFormatting>
  <conditionalFormatting sqref="J49">
    <cfRule type="cellIs" dxfId="2527" priority="75" operator="lessThan">
      <formula>98</formula>
    </cfRule>
  </conditionalFormatting>
  <conditionalFormatting sqref="J51:J52">
    <cfRule type="cellIs" dxfId="2526" priority="76" stopIfTrue="1" operator="lessThan">
      <formula>96.8</formula>
    </cfRule>
    <cfRule type="cellIs" dxfId="2525" priority="77" stopIfTrue="1" operator="greaterThan">
      <formula>100</formula>
    </cfRule>
  </conditionalFormatting>
  <conditionalFormatting sqref="J51:J53">
    <cfRule type="cellIs" dxfId="2524" priority="78" operator="lessThan">
      <formula>98</formula>
    </cfRule>
  </conditionalFormatting>
  <conditionalFormatting sqref="J87">
    <cfRule type="cellIs" dxfId="2523" priority="80" stopIfTrue="1" operator="lessThanOrEqual">
      <formula>0</formula>
    </cfRule>
    <cfRule type="cellIs" dxfId="2522" priority="79" stopIfTrue="1" operator="greaterThan">
      <formula>$F87</formula>
    </cfRule>
  </conditionalFormatting>
  <conditionalFormatting sqref="K10:K41">
    <cfRule type="cellIs" dxfId="2521" priority="3" operator="lessThan">
      <formula>4</formula>
    </cfRule>
    <cfRule type="cellIs" dxfId="2520" priority="4" operator="greaterThan">
      <formula>6.4</formula>
    </cfRule>
    <cfRule type="cellIs" dxfId="2519" priority="2" operator="greaterThan">
      <formula>6</formula>
    </cfRule>
  </conditionalFormatting>
  <conditionalFormatting sqref="K73:K74">
    <cfRule type="cellIs" dxfId="2518" priority="55" stopIfTrue="1" operator="lessThan">
      <formula>100%</formula>
    </cfRule>
  </conditionalFormatting>
  <conditionalFormatting sqref="K89:K94">
    <cfRule type="cellIs" dxfId="2517" priority="131" stopIfTrue="1" operator="lessThan">
      <formula>100%</formula>
    </cfRule>
  </conditionalFormatting>
  <conditionalFormatting sqref="K96:K97">
    <cfRule type="cellIs" dxfId="2516" priority="138" stopIfTrue="1" operator="lessThan">
      <formula>100%</formula>
    </cfRule>
  </conditionalFormatting>
  <conditionalFormatting sqref="K78:N81 L82:N82">
    <cfRule type="cellIs" dxfId="2515" priority="109" stopIfTrue="1" operator="lessThan">
      <formula>100%</formula>
    </cfRule>
  </conditionalFormatting>
  <conditionalFormatting sqref="K83:N86 L87:N87">
    <cfRule type="cellIs" dxfId="2514" priority="81" stopIfTrue="1" operator="lessThan">
      <formula>100%</formula>
    </cfRule>
  </conditionalFormatting>
  <conditionalFormatting sqref="L19:L41">
    <cfRule type="cellIs" dxfId="2513" priority="11" operator="greaterThan">
      <formula>65</formula>
    </cfRule>
    <cfRule type="cellIs" dxfId="2512" priority="10" operator="between">
      <formula>61</formula>
      <formula>65</formula>
    </cfRule>
  </conditionalFormatting>
  <conditionalFormatting sqref="L10:M18">
    <cfRule type="cellIs" dxfId="2511" priority="21" operator="greaterThan">
      <formula>65</formula>
    </cfRule>
    <cfRule type="cellIs" dxfId="2510" priority="20" operator="between">
      <formula>61</formula>
      <formula>65</formula>
    </cfRule>
  </conditionalFormatting>
  <conditionalFormatting sqref="L44:M55">
    <cfRule type="cellIs" dxfId="2509" priority="86" operator="lessThan">
      <formula>98</formula>
    </cfRule>
  </conditionalFormatting>
  <conditionalFormatting sqref="L59:N59">
    <cfRule type="cellIs" dxfId="2508" priority="56" operator="notEqual">
      <formula>#REF!</formula>
    </cfRule>
  </conditionalFormatting>
  <conditionalFormatting sqref="L89:N97">
    <cfRule type="cellIs" dxfId="2507" priority="116" stopIfTrue="1" operator="lessThan">
      <formula>100%</formula>
    </cfRule>
  </conditionalFormatting>
  <conditionalFormatting sqref="M10:M18">
    <cfRule type="expression" dxfId="2506" priority="22">
      <formula>IF(+(IF(M10&lt;U10,0,IF(M10&gt;V10,0,1)))=0,1)</formula>
    </cfRule>
  </conditionalFormatting>
  <conditionalFormatting sqref="M19:M41">
    <cfRule type="expression" dxfId="2505" priority="8">
      <formula>IF(+(IF(M19&lt;U19,0,IF(M19&gt;V19,0,1)))=0,1)</formula>
    </cfRule>
  </conditionalFormatting>
  <conditionalFormatting sqref="N10:N41">
    <cfRule type="expression" dxfId="2504" priority="1">
      <formula>IF(+(IF(N10&lt;W10,0,IF(N10&gt;X10,0,1)))=0,1)</formula>
    </cfRule>
  </conditionalFormatting>
  <conditionalFormatting sqref="P6">
    <cfRule type="cellIs" dxfId="2503" priority="112" operator="greaterThanOrEqual">
      <formula>19</formula>
    </cfRule>
  </conditionalFormatting>
  <dataValidations count="1">
    <dataValidation type="list" allowBlank="1" showInputMessage="1" showErrorMessage="1" sqref="R8" xr:uid="{79ECB3AD-0C41-45C3-949E-F35472416C10}">
      <formula1>ProductList</formula1>
    </dataValidation>
  </dataValidations>
  <pageMargins left="0.7" right="0.7" top="0.75" bottom="0.75" header="0.3" footer="0.3"/>
  <pageSetup scale="44" fitToWidth="0" orientation="landscape" r:id="rId1"/>
  <rowBreaks count="1" manualBreakCount="1">
    <brk id="91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32D3-B73E-42D5-BC7A-B99503A5BA8D}">
  <sheetPr>
    <pageSetUpPr fitToPage="1"/>
  </sheetPr>
  <dimension ref="A1:BE92"/>
  <sheetViews>
    <sheetView topLeftCell="A47" zoomScale="60" zoomScaleNormal="60" workbookViewId="0">
      <selection activeCell="B34" sqref="B34:O34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45845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419"/>
      <c r="R10" s="277">
        <f t="shared" ref="R10:R43" si="0">B10</f>
        <v>0</v>
      </c>
      <c r="S10" s="296" t="e">
        <f t="shared" ref="S10:S43" si="1">VLOOKUP($B10,$R$3:$X$9,2,FALSE)</f>
        <v>#N/A</v>
      </c>
      <c r="T10" s="296" t="e">
        <f t="shared" ref="T10:T43" si="2">VLOOKUP($B10,$R$3:$X$9,3,FALSE)</f>
        <v>#N/A</v>
      </c>
      <c r="U10" s="297" t="e">
        <f t="shared" ref="U10:U43" si="3">VLOOKUP($B10,$R$3:$X$9,4,FALSE)</f>
        <v>#N/A</v>
      </c>
      <c r="V10" s="297" t="e">
        <f t="shared" ref="V10:V43" si="4">VLOOKUP($B10,$R$3:$X$9,5,FALSE)</f>
        <v>#N/A</v>
      </c>
      <c r="W10" s="297" t="e">
        <f t="shared" ref="W10:W43" si="5">VLOOKUP($B10,$R$3:$X$9,6,FALSE)</f>
        <v>#N/A</v>
      </c>
      <c r="X10" s="297" t="e">
        <f t="shared" ref="X10:X43" si="6">VLOOKUP($B10,$R$3:$X$9,7,FALSE)</f>
        <v>#N/A</v>
      </c>
      <c r="Y10" s="297" t="e">
        <f t="shared" ref="Y10:Y43" si="7">VLOOKUP($B10,$R$3:$Z$9,8,FALSE)</f>
        <v>#N/A</v>
      </c>
      <c r="Z10" s="296" t="e">
        <f t="shared" ref="Z10:Z43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7"/>
      <c r="J11" s="427"/>
      <c r="K11" s="281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7"/>
      <c r="J14" s="427"/>
      <c r="K14" s="281"/>
      <c r="L14" s="276"/>
      <c r="M14" s="374"/>
      <c r="N14" s="370"/>
      <c r="O14" s="428"/>
      <c r="P14" s="419"/>
      <c r="R14" s="277"/>
      <c r="S14" s="296"/>
      <c r="T14" s="296"/>
      <c r="U14" s="297"/>
      <c r="V14" s="297"/>
      <c r="W14" s="297"/>
      <c r="X14" s="297"/>
      <c r="Y14" s="297"/>
      <c r="Z14" s="296"/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7"/>
      <c r="J15" s="427"/>
      <c r="K15" s="281"/>
      <c r="L15" s="276"/>
      <c r="M15" s="374"/>
      <c r="N15" s="370"/>
      <c r="O15" s="428"/>
      <c r="P15" s="419"/>
      <c r="R15" s="277">
        <f t="shared" si="0"/>
        <v>0</v>
      </c>
      <c r="S15" s="426">
        <v>17</v>
      </c>
      <c r="T15" s="426">
        <v>17.2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0"/>
        <v>0</v>
      </c>
      <c r="S16" s="426">
        <v>17</v>
      </c>
      <c r="T16" s="426">
        <v>17.2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0"/>
        <v>0</v>
      </c>
      <c r="S17" s="426">
        <v>17</v>
      </c>
      <c r="T17" s="426">
        <v>17.2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3"/>
      <c r="C18" s="366"/>
      <c r="D18" s="279"/>
      <c r="E18" s="279"/>
      <c r="F18" s="278"/>
      <c r="G18" s="279"/>
      <c r="H18" s="396"/>
      <c r="I18" s="427"/>
      <c r="J18" s="427"/>
      <c r="K18" s="281"/>
      <c r="L18" s="276"/>
      <c r="M18" s="374"/>
      <c r="N18" s="370"/>
      <c r="O18" s="428"/>
      <c r="P18" s="419"/>
      <c r="R18" s="277">
        <f t="shared" si="0"/>
        <v>0</v>
      </c>
      <c r="S18" s="426">
        <v>17</v>
      </c>
      <c r="T18" s="426">
        <v>17.2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R19" s="277">
        <f t="shared" si="0"/>
        <v>0</v>
      </c>
      <c r="S19" s="426">
        <v>17</v>
      </c>
      <c r="T19" s="426">
        <v>17.2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R20" s="277">
        <f t="shared" si="0"/>
        <v>0</v>
      </c>
      <c r="S20" s="426">
        <v>17</v>
      </c>
      <c r="T20" s="426">
        <v>17.2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customHeight="1">
      <c r="B24" s="29" t="s">
        <v>6</v>
      </c>
      <c r="C24" s="366" t="str">
        <f>[23]Brewhouse!$A587</f>
        <v>CA480</v>
      </c>
      <c r="D24" s="279">
        <f>[23]Brewhouse!$AF587</f>
        <v>52.8</v>
      </c>
      <c r="E24" s="279">
        <f>[23]Brewhouse!$AI587</f>
        <v>50.9</v>
      </c>
      <c r="F24" s="278">
        <f>[23]Brewhouse!$V587</f>
        <v>65</v>
      </c>
      <c r="G24" s="279">
        <f>[23]Brewhouse!$AG587</f>
        <v>11.7</v>
      </c>
      <c r="H24" s="396">
        <v>11.7</v>
      </c>
      <c r="I24" s="368">
        <f>[23]Brewhouse!$AU587</f>
        <v>97.889917934748922</v>
      </c>
      <c r="J24" s="368">
        <f>[23]Brewhouse!$AV587</f>
        <v>99.508205765194731</v>
      </c>
      <c r="K24" s="281">
        <f>[23]Brewhouse!$Q587</f>
        <v>5.3090909090909122</v>
      </c>
      <c r="L24" s="276">
        <f>[23]Brewhouse!$P587</f>
        <v>58</v>
      </c>
      <c r="M24" s="397">
        <f>[23]Brewhouse!$U587-[23]Brewhouse!$T587</f>
        <v>0.15902777777777777</v>
      </c>
      <c r="N24" s="370">
        <f>[23]Brewhouse!$Z587</f>
        <v>0.32916666666666661</v>
      </c>
      <c r="O24" s="371" t="str">
        <f>[23]Brewhouse!$AX587</f>
        <v>R. Sookram</v>
      </c>
      <c r="P24" s="419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customHeight="1">
      <c r="B27" s="33" t="s">
        <v>9</v>
      </c>
      <c r="C27" s="366" t="str">
        <f>[24]Brewhouse!$A283</f>
        <v>ST263</v>
      </c>
      <c r="D27" s="279">
        <f>[24]Brewhouse!$AD283</f>
        <v>48.7</v>
      </c>
      <c r="E27" s="279">
        <f>[24]Brewhouse!$AG283</f>
        <v>48.3</v>
      </c>
      <c r="F27" s="278">
        <f>[24]Brewhouse!$V283</f>
        <v>58</v>
      </c>
      <c r="G27" s="279">
        <f>[24]Brewhouse!$AE283</f>
        <v>11.9</v>
      </c>
      <c r="H27" s="396">
        <v>11.8</v>
      </c>
      <c r="I27" s="427">
        <f>[24]Brewhouse!$AS283</f>
        <v>95.671525747412886</v>
      </c>
      <c r="J27" s="427">
        <f>[24]Brewhouse!$AT283</f>
        <v>96.980293615949009</v>
      </c>
      <c r="K27" s="392">
        <f>[24]Brewhouse!$Q283</f>
        <v>16.853932584269664</v>
      </c>
      <c r="L27" s="276">
        <f>[24]Brewhouse!$P283</f>
        <v>60</v>
      </c>
      <c r="M27" s="374">
        <f>[24]Brewhouse!$U283-[24]Brewhouse!$T283</f>
        <v>0.11597222222222225</v>
      </c>
      <c r="N27" s="370">
        <f>[24]Brewhouse!$AW283</f>
        <v>0.24930555555555561</v>
      </c>
      <c r="O27" s="428" t="str">
        <f>[24]Brewhouse!$AV283</f>
        <v>R. Regis</v>
      </c>
      <c r="P27" s="419"/>
      <c r="R27" s="277" t="str">
        <f t="shared" ref="R27:R33" si="9">B27</f>
        <v>STAG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4.4">
      <c r="B28" s="33" t="s">
        <v>9</v>
      </c>
      <c r="C28" s="366" t="str">
        <f>[24]Brewhouse!$A284</f>
        <v>ST264</v>
      </c>
      <c r="D28" s="279">
        <f>[24]Brewhouse!$AD284</f>
        <v>50.8</v>
      </c>
      <c r="E28" s="279">
        <f>[24]Brewhouse!$AG284</f>
        <v>50.5</v>
      </c>
      <c r="F28" s="278">
        <f>[24]Brewhouse!$V284</f>
        <v>62</v>
      </c>
      <c r="G28" s="279">
        <f>[24]Brewhouse!$AE284</f>
        <v>11.9</v>
      </c>
      <c r="H28" s="396">
        <v>11.9</v>
      </c>
      <c r="I28" s="427">
        <f>[24]Brewhouse!$AS284</f>
        <v>100.15485918919744</v>
      </c>
      <c r="J28" s="427">
        <f>[24]Brewhouse!$AT284</f>
        <v>101.52450904751349</v>
      </c>
      <c r="K28" s="392">
        <f>[24]Brewhouse!$Q284</f>
        <v>15.711645101663585</v>
      </c>
      <c r="L28" s="276">
        <f>[24]Brewhouse!$P284</f>
        <v>60</v>
      </c>
      <c r="M28" s="374">
        <f>[24]Brewhouse!$U284-[24]Brewhouse!$T284</f>
        <v>0.11874999999999991</v>
      </c>
      <c r="N28" s="370">
        <f>[24]Brewhouse!$AW284</f>
        <v>0.25069444444444439</v>
      </c>
      <c r="O28" s="428" t="str">
        <f>[24]Brewhouse!$AV284</f>
        <v>R. Regis</v>
      </c>
      <c r="P28" s="419"/>
      <c r="R28" s="277" t="str">
        <f t="shared" si="9"/>
        <v>STAG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33" t="s">
        <v>9</v>
      </c>
      <c r="C29" s="366" t="str">
        <f>[24]Brewhouse!$A285</f>
        <v>ST265</v>
      </c>
      <c r="D29" s="279">
        <f>[24]Brewhouse!$AD285</f>
        <v>51</v>
      </c>
      <c r="E29" s="279">
        <f>[24]Brewhouse!$AG285</f>
        <v>50.6</v>
      </c>
      <c r="F29" s="278">
        <f>[24]Brewhouse!$V285</f>
        <v>63</v>
      </c>
      <c r="G29" s="279">
        <f>[24]Brewhouse!$AE285</f>
        <v>11.8</v>
      </c>
      <c r="H29" s="396">
        <v>11.9</v>
      </c>
      <c r="I29" s="427">
        <f>[24]Brewhouse!$AS285</f>
        <v>99.466530990769641</v>
      </c>
      <c r="J29" s="427">
        <f>[24]Brewhouse!$AT285</f>
        <v>100.82676773995564</v>
      </c>
      <c r="K29" s="392">
        <f>[24]Brewhouse!$Q285</f>
        <v>12.921348314606739</v>
      </c>
      <c r="L29" s="276">
        <f>[24]Brewhouse!$P285</f>
        <v>61</v>
      </c>
      <c r="M29" s="374">
        <f>[24]Brewhouse!$U285-[24]Brewhouse!$T285</f>
        <v>0.1166666666666667</v>
      </c>
      <c r="N29" s="370">
        <f>[24]Brewhouse!$AW285</f>
        <v>0.24861111111111112</v>
      </c>
      <c r="O29" s="428" t="str">
        <f>[24]Brewhouse!$AV285</f>
        <v>D. Gomaz</v>
      </c>
      <c r="P29" s="419"/>
      <c r="R29" s="277" t="str">
        <f t="shared" si="9"/>
        <v>STAG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33" t="s">
        <v>9</v>
      </c>
      <c r="C30" s="366" t="str">
        <f>[24]Brewhouse!$A286</f>
        <v>ST266</v>
      </c>
      <c r="D30" s="279">
        <f>[24]Brewhouse!$AD286</f>
        <v>50.8</v>
      </c>
      <c r="E30" s="279">
        <f>[24]Brewhouse!$AG286</f>
        <v>50.4</v>
      </c>
      <c r="F30" s="278">
        <f>[24]Brewhouse!$V286</f>
        <v>64</v>
      </c>
      <c r="G30" s="279">
        <f>[24]Brewhouse!$AE286</f>
        <v>11.8</v>
      </c>
      <c r="H30" s="396">
        <v>11.9</v>
      </c>
      <c r="I30" s="427">
        <f>[24]Brewhouse!$AS286</f>
        <v>99.322856790756248</v>
      </c>
      <c r="J30" s="427">
        <f>[24]Brewhouse!$AT286</f>
        <v>100.68023457865256</v>
      </c>
      <c r="K30" s="392">
        <f>[24]Brewhouse!$Q286</f>
        <v>11.385199240986717</v>
      </c>
      <c r="L30" s="276">
        <f>[24]Brewhouse!$P286</f>
        <v>62</v>
      </c>
      <c r="M30" s="374">
        <f>[24]Brewhouse!$U286-[24]Brewhouse!$T286</f>
        <v>0.1166666666666667</v>
      </c>
      <c r="N30" s="370">
        <f>[24]Brewhouse!$AW286</f>
        <v>0.24930555555555556</v>
      </c>
      <c r="O30" s="428" t="str">
        <f>[24]Brewhouse!$AV286</f>
        <v>D. Gomaz</v>
      </c>
      <c r="P30" s="419"/>
      <c r="R30" s="277" t="str">
        <f t="shared" si="9"/>
        <v>STAG</v>
      </c>
      <c r="S30" s="296">
        <f t="shared" si="1"/>
        <v>11.6</v>
      </c>
      <c r="T30" s="296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296">
        <f t="shared" si="8"/>
        <v>60</v>
      </c>
    </row>
    <row r="31" spans="2:26" ht="15.75" customHeight="1">
      <c r="B31" s="33" t="s">
        <v>9</v>
      </c>
      <c r="C31" s="366" t="str">
        <f>[24]Brewhouse!$A287</f>
        <v>ST267</v>
      </c>
      <c r="D31" s="279">
        <f>[24]Brewhouse!$AD287</f>
        <v>50.5</v>
      </c>
      <c r="E31" s="279">
        <f>[24]Brewhouse!$AG287</f>
        <v>50.2</v>
      </c>
      <c r="F31" s="278">
        <f>[24]Brewhouse!$V287</f>
        <v>61</v>
      </c>
      <c r="G31" s="279">
        <f>[24]Brewhouse!$AE287</f>
        <v>12</v>
      </c>
      <c r="H31" s="396">
        <v>12</v>
      </c>
      <c r="I31" s="427">
        <f>[24]Brewhouse!$AS287</f>
        <v>100.43952535225938</v>
      </c>
      <c r="J31" s="427">
        <f>[24]Brewhouse!$AT287</f>
        <v>101.81306811175925</v>
      </c>
      <c r="K31" s="392">
        <f>[24]Brewhouse!$Q287</f>
        <v>12.452107279693486</v>
      </c>
      <c r="L31" s="276">
        <f>[24]Brewhouse!$P287</f>
        <v>60</v>
      </c>
      <c r="M31" s="374">
        <f>[24]Brewhouse!$U287-[24]Brewhouse!$T287</f>
        <v>0.11388888888888893</v>
      </c>
      <c r="N31" s="370">
        <f>[24]Brewhouse!$AW287</f>
        <v>0.26736111111111105</v>
      </c>
      <c r="O31" s="428" t="str">
        <f>[24]Brewhouse!$AV287</f>
        <v>D. Gomaz</v>
      </c>
      <c r="P31" s="419"/>
      <c r="R31" s="277" t="str">
        <f t="shared" si="9"/>
        <v>STAG</v>
      </c>
      <c r="S31" s="296">
        <f t="shared" si="1"/>
        <v>11.6</v>
      </c>
      <c r="T31" s="296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296">
        <f t="shared" si="8"/>
        <v>60</v>
      </c>
    </row>
    <row r="32" spans="2:26" ht="15.75" customHeight="1">
      <c r="B32" s="33" t="s">
        <v>9</v>
      </c>
      <c r="C32" s="366" t="str">
        <f>[24]Brewhouse!$A288</f>
        <v>ST268</v>
      </c>
      <c r="D32" s="279">
        <f>[24]Brewhouse!$AD288</f>
        <v>51.5</v>
      </c>
      <c r="E32" s="279">
        <f>[24]Brewhouse!$AG288</f>
        <v>51</v>
      </c>
      <c r="F32" s="278">
        <f>[24]Brewhouse!$V288</f>
        <v>64</v>
      </c>
      <c r="G32" s="279">
        <f>[24]Brewhouse!$AE288</f>
        <v>11.8</v>
      </c>
      <c r="H32" s="396">
        <v>11.7</v>
      </c>
      <c r="I32" s="427">
        <f>[24]Brewhouse!$AS288</f>
        <v>100.37889099709263</v>
      </c>
      <c r="J32" s="427">
        <f>[24]Brewhouse!$AT288</f>
        <v>101.7511532896791</v>
      </c>
      <c r="K32" s="392">
        <f>[24]Brewhouse!$Q288</f>
        <v>14.760147601476014</v>
      </c>
      <c r="L32" s="276">
        <f>[24]Brewhouse!$P288</f>
        <v>61</v>
      </c>
      <c r="M32" s="374">
        <f>[24]Brewhouse!$U288-[24]Brewhouse!$T288</f>
        <v>0.11458333333333337</v>
      </c>
      <c r="N32" s="370">
        <f>[24]Brewhouse!$AW288</f>
        <v>0.25763888888888897</v>
      </c>
      <c r="O32" s="428" t="str">
        <f>[24]Brewhouse!$AV288</f>
        <v>D. Gomaz</v>
      </c>
      <c r="P32" s="423"/>
      <c r="R32" s="277" t="str">
        <f t="shared" si="9"/>
        <v>STAG</v>
      </c>
      <c r="S32" s="296">
        <f t="shared" si="1"/>
        <v>11.6</v>
      </c>
      <c r="T32" s="296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296">
        <f t="shared" si="8"/>
        <v>60</v>
      </c>
    </row>
    <row r="33" spans="1:26" ht="15.75" customHeight="1">
      <c r="B33" s="33" t="s">
        <v>9</v>
      </c>
      <c r="C33" s="366" t="str">
        <f>[24]Brewhouse!$A289</f>
        <v>ST269</v>
      </c>
      <c r="D33" s="279">
        <f>[24]Brewhouse!$AD289</f>
        <v>51.8</v>
      </c>
      <c r="E33" s="279">
        <f>[24]Brewhouse!$AG289</f>
        <v>51.4</v>
      </c>
      <c r="F33" s="278">
        <f>[24]Brewhouse!$V289</f>
        <v>65</v>
      </c>
      <c r="G33" s="279">
        <f>[24]Brewhouse!$AE289</f>
        <v>11.8</v>
      </c>
      <c r="H33" s="396">
        <v>11.7</v>
      </c>
      <c r="I33" s="427">
        <f>[24]Brewhouse!$AS289</f>
        <v>101.16617641667767</v>
      </c>
      <c r="J33" s="427">
        <f>[24]Brewhouse!$AT289</f>
        <v>102.54920155077463</v>
      </c>
      <c r="K33" s="392">
        <f>[24]Brewhouse!$Q289</f>
        <v>13.493530499075778</v>
      </c>
      <c r="L33" s="276">
        <f>[24]Brewhouse!$P289</f>
        <v>61</v>
      </c>
      <c r="M33" s="374">
        <f>[24]Brewhouse!$U289-[24]Brewhouse!$T289</f>
        <v>0.11319444444444438</v>
      </c>
      <c r="N33" s="370">
        <f>[24]Brewhouse!$AW289</f>
        <v>0.24305555555555547</v>
      </c>
      <c r="O33" s="428" t="str">
        <f>[24]Brewhouse!$AV289</f>
        <v>D. Gomaz</v>
      </c>
      <c r="P33" s="419"/>
      <c r="R33" s="277" t="str">
        <f t="shared" si="9"/>
        <v>STAG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1:26" ht="15.75" customHeight="1">
      <c r="B34" s="33" t="s">
        <v>9</v>
      </c>
      <c r="C34" s="366" t="str">
        <f>[24]Brewhouse!$A290</f>
        <v>ST270</v>
      </c>
      <c r="D34" s="279">
        <f>[24]Brewhouse!$AD290</f>
        <v>51.6</v>
      </c>
      <c r="E34" s="279">
        <f>[24]Brewhouse!$AG290</f>
        <v>51.4</v>
      </c>
      <c r="F34" s="278">
        <f>[24]Brewhouse!$V290</f>
        <v>63</v>
      </c>
      <c r="G34" s="279">
        <f>[24]Brewhouse!$AE290</f>
        <v>11.8</v>
      </c>
      <c r="H34" s="396">
        <v>11.7</v>
      </c>
      <c r="I34" s="427">
        <f>[24]Brewhouse!$AS290</f>
        <v>101.03912436611778</v>
      </c>
      <c r="J34" s="427">
        <f>[24]Brewhouse!$AT290</f>
        <v>102.4208668346585</v>
      </c>
      <c r="K34" s="392">
        <f>[24]Brewhouse!$Q290</f>
        <v>12.962962962962962</v>
      </c>
      <c r="L34" s="276">
        <f>[24]Brewhouse!$P290</f>
        <v>63</v>
      </c>
      <c r="M34" s="374">
        <f>[24]Brewhouse!$U290-[24]Brewhouse!$T290</f>
        <v>0.1131944444444446</v>
      </c>
      <c r="N34" s="370">
        <f>[24]Brewhouse!$AW290</f>
        <v>0.24027777777777792</v>
      </c>
      <c r="O34" s="428" t="str">
        <f>[24]Brewhouse!$AV290</f>
        <v>D. Gomaz</v>
      </c>
      <c r="P34" s="419"/>
      <c r="R34" s="277" t="str">
        <f t="shared" si="0"/>
        <v>STAG</v>
      </c>
      <c r="S34" s="296">
        <f t="shared" si="1"/>
        <v>11.6</v>
      </c>
      <c r="T34" s="296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296">
        <f t="shared" si="8"/>
        <v>60</v>
      </c>
    </row>
    <row r="35" spans="1:26" ht="15.75" customHeight="1">
      <c r="B35" s="33"/>
      <c r="C35" s="366"/>
      <c r="D35" s="279"/>
      <c r="E35" s="279"/>
      <c r="F35" s="278"/>
      <c r="G35" s="279"/>
      <c r="H35" s="396"/>
      <c r="I35" s="427"/>
      <c r="J35" s="427"/>
      <c r="K35" s="281"/>
      <c r="L35" s="276"/>
      <c r="M35" s="374"/>
      <c r="N35" s="370"/>
      <c r="O35" s="428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customHeight="1">
      <c r="B36" s="33"/>
      <c r="C36" s="366"/>
      <c r="D36" s="279"/>
      <c r="E36" s="279"/>
      <c r="F36" s="278"/>
      <c r="G36" s="279"/>
      <c r="H36" s="396"/>
      <c r="I36" s="427"/>
      <c r="J36" s="427"/>
      <c r="K36" s="281"/>
      <c r="L36" s="276"/>
      <c r="M36" s="374"/>
      <c r="N36" s="370"/>
      <c r="O36" s="428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customHeight="1">
      <c r="B37" s="33"/>
      <c r="C37" s="366"/>
      <c r="D37" s="279"/>
      <c r="E37" s="279"/>
      <c r="F37" s="278"/>
      <c r="G37" s="279"/>
      <c r="H37" s="396"/>
      <c r="I37" s="427"/>
      <c r="J37" s="427"/>
      <c r="K37" s="281"/>
      <c r="L37" s="276"/>
      <c r="M37" s="374"/>
      <c r="N37" s="370"/>
      <c r="O37" s="428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customHeight="1" thickBot="1">
      <c r="B42" s="358"/>
      <c r="C42" s="358"/>
      <c r="D42" s="358"/>
      <c r="E42" s="358"/>
      <c r="F42" s="294"/>
      <c r="G42" s="294"/>
      <c r="H42" s="348"/>
      <c r="I42" s="532"/>
      <c r="J42" s="532"/>
      <c r="K42" s="532"/>
      <c r="L42" s="532"/>
      <c r="M42" s="532"/>
      <c r="N42" s="532"/>
      <c r="O42" s="1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" thickBot="1">
      <c r="B43" s="388" t="s">
        <v>163</v>
      </c>
      <c r="C43" s="388"/>
      <c r="D43" s="545" t="s">
        <v>35</v>
      </c>
      <c r="E43" s="546"/>
      <c r="F43" s="294"/>
      <c r="G43" s="294"/>
      <c r="H43" s="348"/>
      <c r="I43" s="24" t="s">
        <v>17</v>
      </c>
      <c r="J43" s="25" t="s">
        <v>36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4"/>
      <c r="P43" s="12"/>
      <c r="R43" s="277" t="str">
        <f t="shared" si="0"/>
        <v xml:space="preserve">BRAND 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customHeight="1">
      <c r="A44" s="28"/>
      <c r="B44" s="579" t="str">
        <f>I50</f>
        <v>STARMALT</v>
      </c>
      <c r="C44" s="362">
        <f>[22]Process!D55</f>
        <v>17.260000000000002</v>
      </c>
      <c r="D44" s="536">
        <v>16.84</v>
      </c>
      <c r="E44" s="525"/>
      <c r="F44" s="294"/>
      <c r="G44" s="294"/>
      <c r="H44" s="348"/>
      <c r="I44" s="29" t="s">
        <v>6</v>
      </c>
      <c r="J44" s="280">
        <f>I24</f>
        <v>97.889917934748922</v>
      </c>
      <c r="K44" s="284">
        <f>COUNTA([23]Brewhouse!$A$580:$A$587)</f>
        <v>8</v>
      </c>
      <c r="L44" s="305">
        <f>AVERAGE([23]Brewhouse!$AU$580:$AU$587)</f>
        <v>98.690689531666209</v>
      </c>
      <c r="M4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AVERAGE([23]Brewhouse!$AU$102:$AU$171,[23]Brewhouse!$AU$173:$AU$253,[23]Brewhouse!$AU$255:$AU$339,[23]Brewhouse!$AU$341:$AU$346,[23]Brewhouse!$AU$348,[23]Brewhouse!$AU$349:$AU$406,[23]Brewhouse!$AU$408:$AU$491,[23]Brewhouse!$AU$493:$AU$578,[23]Brewhouse!$AU$580:$AU$587)</f>
        <v>97.765573993988141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6" ht="15" customHeight="1">
      <c r="A45" s="28"/>
      <c r="B45" s="580"/>
      <c r="C45" s="349">
        <f>[22]Process!D56</f>
        <v>16.309999999999999</v>
      </c>
      <c r="D45" s="537"/>
      <c r="E45" s="520"/>
      <c r="F45" s="294"/>
      <c r="G45" s="294"/>
      <c r="H45" s="348"/>
      <c r="I45" s="33" t="s">
        <v>9</v>
      </c>
      <c r="J45" s="280">
        <f>AVERAGE(I27:I34)</f>
        <v>99.704936231285458</v>
      </c>
      <c r="K45" s="284">
        <f>COUNTA([24]Brewhouse!$A$275:$A$290)</f>
        <v>16</v>
      </c>
      <c r="L45" s="302">
        <f>AVERAGE([24]Brewhouse!$AS$275:$AS$290)</f>
        <v>99.355788412993221</v>
      </c>
      <c r="M45" s="302">
        <f>AVERAGE([24]Brewhouse!$AS$15:$AS$64,[24]Brewhouse!$AS$66:$AS$103,[24]Brewhouse!$AS$105:$AS$140,[24]Brewhouse!$AS$142:$AS$193,[24]Brewhouse!$AS$195:$AS$240,[24]Brewhouse!$AS$242:$AS$273,[24]Brewhouse!$AS$275:$AS$290)</f>
        <v>97.963935313635545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4.7" customHeight="1">
      <c r="A46" s="28"/>
      <c r="B46" s="580"/>
      <c r="C46" s="349">
        <f>[22]Process!D57</f>
        <v>18.47</v>
      </c>
      <c r="D46" s="536">
        <v>17.28</v>
      </c>
      <c r="E46" s="525"/>
      <c r="F46" s="294"/>
      <c r="G46" s="294"/>
      <c r="H46" s="348"/>
      <c r="I46" s="34" t="s">
        <v>12</v>
      </c>
      <c r="J46" s="280"/>
      <c r="K46" s="284"/>
      <c r="L46" s="302"/>
      <c r="M46" s="302">
        <f>AVERAGE([25]Brewhouse!$AU$4:$AU$7,[25]Brewhouse!$AU$9:$AU$22,[25]Brewhouse!$AU$24:$AU$35,[25]Brewhouse!$AU$37:$AU$45,[25]Brewhouse!$AU$47:$AU$62)</f>
        <v>97.179377138297156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80"/>
      <c r="C47" s="349">
        <f>[22]Process!D58</f>
        <v>17.239999999999998</v>
      </c>
      <c r="D47" s="537"/>
      <c r="E47" s="520"/>
      <c r="F47" s="294"/>
      <c r="G47" s="294"/>
      <c r="H47" s="348"/>
      <c r="I47" s="22" t="s">
        <v>33</v>
      </c>
      <c r="J47" s="280"/>
      <c r="K47" s="284"/>
      <c r="L47" s="302"/>
      <c r="M47" s="302">
        <f>AVERAGE([26]Brewhouse!$AV$5:$AV$14,[26]Brewhouse!$AV$16:$AV$19,[26]Brewhouse!$AV$21:$AV$24,[26]Brewhouse!$AV$26:$AV$33,[26]Brewhouse!$AV$35:$AV$46,[26]Brewhouse!$AV$48:$AV$53)</f>
        <v>98.620083722669861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80"/>
      <c r="C48" s="349">
        <f>[22]Process!D59</f>
        <v>17.28</v>
      </c>
      <c r="D48" s="536">
        <v>16.89</v>
      </c>
      <c r="E48" s="525"/>
      <c r="F48" s="418"/>
      <c r="G48" s="294"/>
      <c r="H48" s="348"/>
      <c r="I48" s="35" t="s">
        <v>29</v>
      </c>
      <c r="J48" s="280"/>
      <c r="K48" s="284"/>
      <c r="L48" s="302"/>
      <c r="M48" s="302"/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80"/>
      <c r="C49" s="349">
        <f>[22]Process!D60</f>
        <v>17.5</v>
      </c>
      <c r="D49" s="537"/>
      <c r="E49" s="520"/>
      <c r="F49" s="418"/>
      <c r="G49" s="294"/>
      <c r="H49" s="348"/>
      <c r="I49" s="36" t="s">
        <v>15</v>
      </c>
      <c r="J49" s="323"/>
      <c r="K49" s="284"/>
      <c r="L49" s="302"/>
      <c r="M49" s="302">
        <f>AVERAGE([27]Brewhouse!$AT$4:$AT$11,[27]Brewhouse!$AT$13:$AT$16,[27]Brewhouse!$AT$18:$AT$21)</f>
        <v>94.773169817643847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80"/>
      <c r="C50" s="349">
        <f>[22]Process!D61</f>
        <v>16.8</v>
      </c>
      <c r="D50" s="536">
        <v>17.07</v>
      </c>
      <c r="E50" s="525"/>
      <c r="F50" s="418"/>
      <c r="G50" s="294"/>
      <c r="H50" s="348"/>
      <c r="I50" s="37" t="s">
        <v>16</v>
      </c>
      <c r="J50" s="323"/>
      <c r="K50" s="284">
        <f>COUNTA([22]Brewhouse!$A$56:$A$65)</f>
        <v>10</v>
      </c>
      <c r="L50" s="302">
        <f>AVERAGE([22]Brewhouse!$AY$56:$AY$65)</f>
        <v>99.275500637605006</v>
      </c>
      <c r="M50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0" s="30">
        <v>98</v>
      </c>
      <c r="O50" s="11"/>
      <c r="P50" s="31" t="s">
        <v>41</v>
      </c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80"/>
      <c r="C51" s="349">
        <f>[22]Process!D62</f>
        <v>17.600000000000001</v>
      </c>
      <c r="D51" s="537"/>
      <c r="E51" s="520"/>
      <c r="F51" s="294"/>
      <c r="G51" s="294"/>
      <c r="H51" s="348"/>
      <c r="I51" s="411" t="s">
        <v>158</v>
      </c>
      <c r="J51" s="326"/>
      <c r="K51" s="284"/>
      <c r="L51" s="305"/>
      <c r="M51" s="305">
        <f>AVERAGE([28]Brewhouse!$AU$5:$AU$8,[28]Brewhouse!$AU$10:$AU$13)</f>
        <v>94.247666625193744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80"/>
      <c r="C52" s="349">
        <f>[22]Process!D63</f>
        <v>16.8</v>
      </c>
      <c r="D52" s="536">
        <v>17.079999999999998</v>
      </c>
      <c r="E52" s="525"/>
      <c r="F52" s="294"/>
      <c r="G52" s="294"/>
      <c r="H52" s="348"/>
      <c r="I52" s="410" t="s">
        <v>157</v>
      </c>
      <c r="J52" s="326"/>
      <c r="K52" s="284"/>
      <c r="L52" s="305"/>
      <c r="M52" s="305">
        <f>AVERAGE([29]Brewhouse!$AW$26:$AW$27)</f>
        <v>95.310680905194914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80"/>
      <c r="C53" s="349">
        <f>[22]Process!D64</f>
        <v>17.399999999999999</v>
      </c>
      <c r="D53" s="537"/>
      <c r="E53" s="520"/>
      <c r="F53" s="294"/>
      <c r="G53" s="294"/>
      <c r="H53" s="348"/>
      <c r="I53" s="406" t="s">
        <v>156</v>
      </c>
      <c r="J53" s="327"/>
      <c r="K53" s="407"/>
      <c r="L53" s="408"/>
      <c r="M53" s="408">
        <f>AVERAGE([30]Brewhouse!$AU$13:$AU$14)</f>
        <v>97.110575243268045</v>
      </c>
      <c r="N53" s="409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80"/>
      <c r="C54" s="349"/>
      <c r="D54" s="536"/>
      <c r="E54" s="525"/>
      <c r="F54" s="294"/>
      <c r="G54" s="294"/>
      <c r="H54" s="348"/>
      <c r="I54" s="1"/>
      <c r="J54" s="39"/>
      <c r="K54" s="404">
        <f>SUM(K44:K53)</f>
        <v>34</v>
      </c>
      <c r="L54" s="405">
        <f>((L44*K44)+(L45*K45)+(L46*K46)+(L47*K47)+(L48*K48)+(K51*L51)+(L49*K49)+(L50*K50)+(L53*K53))/(K54)</f>
        <v>99.175680506978566</v>
      </c>
      <c r="M54" s="405">
        <f>AVERAGE('[31]Jan 31st'!$L$65,'[32]Feb 28th'!$L$35,'[33]Mar. 31st'!$L$35,'[34]Apr. 30th'!$L$45,'[35]May 30th'!$L$37,L54)</f>
        <v>97.892488990724601</v>
      </c>
      <c r="N54" s="4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81"/>
      <c r="C55" s="350"/>
      <c r="D55" s="537"/>
      <c r="E55" s="520"/>
      <c r="F55" s="294"/>
      <c r="G55" s="42"/>
      <c r="H55" s="41"/>
      <c r="I55" s="42"/>
      <c r="J55" s="42"/>
      <c r="K55" s="351"/>
      <c r="L55" s="348"/>
      <c r="M55" s="348"/>
      <c r="N55" s="11"/>
      <c r="O55" s="294"/>
      <c r="P55" s="12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14"/>
      <c r="C56" s="362"/>
      <c r="D56" s="517"/>
      <c r="E56" s="518"/>
      <c r="F56" s="294"/>
      <c r="G56" s="42"/>
      <c r="H56" s="41"/>
      <c r="I56" s="42"/>
      <c r="J56" s="572" t="s">
        <v>129</v>
      </c>
      <c r="K56" s="572"/>
      <c r="L56" s="294"/>
      <c r="M56" s="294"/>
      <c r="N56" s="294"/>
      <c r="O56" s="294"/>
      <c r="P56" s="12"/>
    </row>
    <row r="57" spans="1:56" ht="15" thickBot="1">
      <c r="B57" s="515"/>
      <c r="C57" s="362"/>
      <c r="D57" s="519"/>
      <c r="E57" s="520"/>
      <c r="F57" s="294"/>
      <c r="G57" s="42"/>
      <c r="H57" s="41"/>
      <c r="I57" s="42"/>
      <c r="J57" s="292" t="s">
        <v>17</v>
      </c>
      <c r="K57" s="293" t="s">
        <v>147</v>
      </c>
      <c r="L57" s="522" t="s">
        <v>136</v>
      </c>
      <c r="M57" s="522"/>
      <c r="N57" s="523"/>
      <c r="O57" s="294"/>
      <c r="P57" s="12"/>
    </row>
    <row r="58" spans="1:56" ht="15" customHeight="1" thickBot="1">
      <c r="B58" s="515"/>
      <c r="C58" s="349"/>
      <c r="D58" s="573"/>
      <c r="E58" s="574"/>
      <c r="F58" s="294"/>
      <c r="G58" s="42"/>
      <c r="H58" s="41"/>
      <c r="I58" s="42"/>
      <c r="J58" s="287" t="s">
        <v>6</v>
      </c>
      <c r="K58" s="324">
        <v>1</v>
      </c>
      <c r="L58" s="343" t="s">
        <v>37</v>
      </c>
      <c r="M58" s="307" t="s">
        <v>38</v>
      </c>
      <c r="N58" s="307" t="s">
        <v>84</v>
      </c>
      <c r="O58" s="294"/>
      <c r="P58" s="12"/>
    </row>
    <row r="59" spans="1:56" ht="15.75" customHeight="1" thickBot="1">
      <c r="B59" s="515"/>
      <c r="C59" s="349"/>
      <c r="D59" s="519"/>
      <c r="E59" s="520"/>
      <c r="F59" s="294"/>
      <c r="G59" s="42"/>
      <c r="H59" s="41"/>
      <c r="I59" s="42"/>
      <c r="J59" s="345" t="s">
        <v>9</v>
      </c>
      <c r="K59" s="324">
        <v>8</v>
      </c>
      <c r="L59" s="344">
        <f>AVERAGE(K68,'July 1st'!K67,'July 2nd'!K68,'July 3rd'!K68)</f>
        <v>8.5</v>
      </c>
      <c r="M59" s="325">
        <f>AVERAGE('[31]Jan 29th '!$M$70,'[32]Feb 28th'!$L$40,'[33]Mar. 31st'!$L$40,'[34]Apr. 30th'!$L$50,'[35]May 30th'!$L$42,L59)</f>
        <v>6.9511068641503426</v>
      </c>
      <c r="N59" s="417">
        <v>9.1999999999999993</v>
      </c>
      <c r="O59" s="294"/>
      <c r="P59" s="12"/>
    </row>
    <row r="60" spans="1:56" ht="15" customHeight="1">
      <c r="B60" s="515"/>
      <c r="C60" s="349"/>
      <c r="D60" s="573"/>
      <c r="E60" s="574"/>
      <c r="F60" s="294"/>
      <c r="G60" s="42"/>
      <c r="H60" s="41"/>
      <c r="I60" s="42"/>
      <c r="J60" s="288" t="s">
        <v>40</v>
      </c>
      <c r="K60" s="324"/>
      <c r="L60" s="294"/>
      <c r="M60" s="294"/>
      <c r="N60" s="294"/>
      <c r="O60" s="294"/>
      <c r="P60" s="12"/>
    </row>
    <row r="61" spans="1:56" ht="15" customHeight="1">
      <c r="B61" s="515"/>
      <c r="C61" s="349"/>
      <c r="D61" s="519"/>
      <c r="E61" s="520"/>
      <c r="F61" s="294"/>
      <c r="G61" s="42"/>
      <c r="H61" s="41"/>
      <c r="I61" s="42"/>
      <c r="J61" s="289" t="s">
        <v>33</v>
      </c>
      <c r="K61" s="324"/>
      <c r="L61" s="294"/>
      <c r="M61" s="294"/>
      <c r="N61" s="294"/>
      <c r="O61" s="294"/>
      <c r="P61" s="12"/>
    </row>
    <row r="62" spans="1:56" ht="14.4">
      <c r="B62" s="515"/>
      <c r="C62" s="349"/>
      <c r="D62" s="573"/>
      <c r="E62" s="574"/>
      <c r="F62" s="294"/>
      <c r="G62" s="42"/>
      <c r="H62" s="41"/>
      <c r="I62" s="42"/>
      <c r="J62" s="290" t="s">
        <v>16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5"/>
      <c r="C63" s="349"/>
      <c r="D63" s="519"/>
      <c r="E63" s="520"/>
      <c r="F63" s="294"/>
      <c r="G63" s="42"/>
      <c r="H63" s="41"/>
      <c r="I63" s="42"/>
      <c r="J63" s="291" t="s">
        <v>15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15"/>
      <c r="C64" s="349"/>
      <c r="D64" s="573"/>
      <c r="E64" s="574"/>
      <c r="F64" s="294"/>
      <c r="G64" s="42"/>
      <c r="H64" s="41"/>
      <c r="I64" s="42"/>
      <c r="J64" s="291" t="s">
        <v>149</v>
      </c>
      <c r="K64" s="324"/>
      <c r="L64" s="294"/>
      <c r="M64" s="294"/>
      <c r="N64" s="294"/>
      <c r="O64" s="294"/>
      <c r="P64" s="12"/>
      <c r="BC64" s="44"/>
      <c r="BD64" s="44"/>
    </row>
    <row r="65" spans="2:57" ht="15" thickBot="1">
      <c r="B65" s="516"/>
      <c r="C65" s="350"/>
      <c r="D65" s="575"/>
      <c r="E65" s="576"/>
      <c r="F65" s="294"/>
      <c r="G65" s="42"/>
      <c r="H65" s="41"/>
      <c r="I65" s="42"/>
      <c r="J65" s="291" t="s">
        <v>148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 thickBot="1">
      <c r="B66" s="312" t="s">
        <v>139</v>
      </c>
      <c r="C66" s="313"/>
      <c r="D66" s="577">
        <f>AVERAGE(D44:E65)</f>
        <v>17.032000000000004</v>
      </c>
      <c r="E66" s="578"/>
      <c r="F66" s="294"/>
      <c r="G66" s="42"/>
      <c r="H66" s="41"/>
      <c r="I66" s="42"/>
      <c r="J66" s="295" t="s">
        <v>134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>
      <c r="B67" s="363"/>
      <c r="C67" s="364"/>
      <c r="D67" s="365"/>
      <c r="E67" s="365"/>
      <c r="F67" s="294"/>
      <c r="G67" s="42"/>
      <c r="H67" s="41"/>
      <c r="I67" s="42"/>
      <c r="J67" s="295" t="s">
        <v>131</v>
      </c>
      <c r="K67" s="324"/>
      <c r="L67" s="294"/>
      <c r="M67" s="294"/>
      <c r="N67" s="294"/>
      <c r="O67" s="294"/>
      <c r="P67" s="12"/>
      <c r="BC67" s="44"/>
      <c r="BD67" s="44"/>
    </row>
    <row r="68" spans="2:57" ht="15.75" customHeight="1">
      <c r="B68" s="45"/>
      <c r="C68" s="11"/>
      <c r="D68" s="11"/>
      <c r="E68" s="46"/>
      <c r="F68" s="294"/>
      <c r="G68" s="42"/>
      <c r="H68" s="41"/>
      <c r="I68" s="42"/>
      <c r="J68" s="346" t="s">
        <v>130</v>
      </c>
      <c r="K68" s="324">
        <f>SUM(K58:K67)</f>
        <v>9</v>
      </c>
      <c r="L68" s="294"/>
      <c r="M68" s="294"/>
      <c r="N68" s="294"/>
      <c r="O68" s="294"/>
      <c r="P68" s="12"/>
    </row>
    <row r="69" spans="2:57" ht="20.25" customHeight="1">
      <c r="B69" s="15" t="s">
        <v>42</v>
      </c>
      <c r="C69" s="1" t="s">
        <v>43</v>
      </c>
      <c r="D69" s="1"/>
      <c r="E69" s="1"/>
      <c r="F69" s="294"/>
      <c r="G69" s="42"/>
      <c r="H69" s="41"/>
      <c r="I69" s="42"/>
      <c r="L69" s="294"/>
      <c r="P69" s="334"/>
    </row>
    <row r="70" spans="2:57" ht="15" customHeight="1" thickBot="1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  <c r="O70" s="48"/>
      <c r="P70" s="49"/>
    </row>
    <row r="71" spans="2:57" ht="15" customHeight="1" thickBot="1">
      <c r="B71" s="498" t="s">
        <v>17</v>
      </c>
      <c r="C71" s="498" t="s">
        <v>44</v>
      </c>
      <c r="D71" s="510" t="s">
        <v>45</v>
      </c>
      <c r="E71" s="512" t="s">
        <v>46</v>
      </c>
      <c r="F71" s="506" t="s">
        <v>47</v>
      </c>
      <c r="G71" s="496" t="s">
        <v>48</v>
      </c>
      <c r="H71" s="498" t="s">
        <v>49</v>
      </c>
      <c r="I71" s="498" t="s">
        <v>50</v>
      </c>
      <c r="J71" s="490" t="s">
        <v>28</v>
      </c>
      <c r="K71" s="502" t="s">
        <v>51</v>
      </c>
      <c r="L71" s="504" t="s">
        <v>52</v>
      </c>
      <c r="M71" s="490" t="s">
        <v>53</v>
      </c>
      <c r="N71" s="13"/>
      <c r="O71" s="13"/>
      <c r="P71" s="50"/>
    </row>
    <row r="72" spans="2:57" ht="28.5" customHeight="1" thickTop="1" thickBot="1">
      <c r="B72" s="499"/>
      <c r="C72" s="499"/>
      <c r="D72" s="511"/>
      <c r="E72" s="513"/>
      <c r="F72" s="507"/>
      <c r="G72" s="497"/>
      <c r="H72" s="499"/>
      <c r="I72" s="499"/>
      <c r="J72" s="491"/>
      <c r="K72" s="503"/>
      <c r="L72" s="505"/>
      <c r="M72" s="491"/>
      <c r="N72" s="13"/>
      <c r="O72" s="13"/>
      <c r="P72" s="50"/>
      <c r="Q72" s="355"/>
      <c r="AB72" s="51">
        <v>43474</v>
      </c>
      <c r="AC72" s="51">
        <v>43475</v>
      </c>
      <c r="AD72" s="51">
        <v>43476</v>
      </c>
      <c r="AE72" s="51">
        <v>43477</v>
      </c>
      <c r="AF72" s="51">
        <v>43478</v>
      </c>
      <c r="AG72" s="51">
        <v>43479</v>
      </c>
      <c r="AH72" s="51">
        <v>43480</v>
      </c>
      <c r="AI72" s="51">
        <v>43481</v>
      </c>
      <c r="AJ72" s="51">
        <v>43482</v>
      </c>
      <c r="AK72" s="51">
        <v>43483</v>
      </c>
      <c r="AL72" s="51">
        <v>43484</v>
      </c>
      <c r="AM72" s="51">
        <v>43485</v>
      </c>
      <c r="AN72" s="51">
        <v>43486</v>
      </c>
      <c r="AO72" s="51">
        <v>43487</v>
      </c>
      <c r="AP72" s="51">
        <v>43488</v>
      </c>
      <c r="AQ72" s="51">
        <v>43489</v>
      </c>
      <c r="AR72" s="51">
        <v>43490</v>
      </c>
      <c r="AS72" s="51">
        <v>43491</v>
      </c>
      <c r="AT72" s="51">
        <v>43492</v>
      </c>
      <c r="AU72" s="51">
        <v>43493</v>
      </c>
      <c r="AV72" s="51">
        <v>43494</v>
      </c>
      <c r="AW72" s="51">
        <v>43495</v>
      </c>
      <c r="AX72" s="51">
        <v>43496</v>
      </c>
    </row>
    <row r="73" spans="2:57" s="54" customFormat="1" ht="53.25" customHeight="1">
      <c r="B73" s="430" t="str">
        <f>B84</f>
        <v>STARMALT</v>
      </c>
      <c r="C73" s="422">
        <v>45842</v>
      </c>
      <c r="D73" s="377">
        <f>[36]July_2025!$G$55</f>
        <v>518</v>
      </c>
      <c r="E73" s="378"/>
      <c r="F73" s="379"/>
      <c r="G73" s="303">
        <f>[36]July_2025!$G$59</f>
        <v>505.9</v>
      </c>
      <c r="H73" s="320"/>
      <c r="I73" s="322"/>
      <c r="J73" s="392" t="s">
        <v>164</v>
      </c>
      <c r="K73" s="286">
        <f>[37]July_2025!$G$53</f>
        <v>1.7750877192982455</v>
      </c>
      <c r="L73" s="391">
        <f>(((D73+E73)-G73)/(D73+E73))*100</f>
        <v>2.3359073359073403</v>
      </c>
      <c r="M73" s="416" t="s">
        <v>175</v>
      </c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[20]January_2019!L7</f>
        <v>285.8</v>
      </c>
      <c r="AC73" s="57">
        <f>[20]January_2019!M7</f>
        <v>508.1</v>
      </c>
      <c r="AD73" s="57">
        <f>[20]January_2019!N7</f>
        <v>0</v>
      </c>
      <c r="AE73" s="57">
        <f>[20]January_2019!O7</f>
        <v>0</v>
      </c>
      <c r="AF73" s="57">
        <f>[20]January_2019!P7</f>
        <v>109.56666666666666</v>
      </c>
      <c r="AG73" s="57">
        <f>[20]January_2019!Q7</f>
        <v>297.64999999999998</v>
      </c>
      <c r="AH73" s="57">
        <f>[20]January_2019!R7</f>
        <v>122.3</v>
      </c>
      <c r="AI73" s="57">
        <f>[20]January_2019!S7</f>
        <v>0</v>
      </c>
      <c r="AJ73" s="57">
        <f>[20]January_2019!T7</f>
        <v>294.7</v>
      </c>
      <c r="AK73" s="57">
        <f>[20]January_2019!U7</f>
        <v>280.5</v>
      </c>
      <c r="AL73" s="57">
        <f>[20]January_2019!V7</f>
        <v>0</v>
      </c>
      <c r="AM73" s="57">
        <f>[20]January_2019!W7</f>
        <v>0</v>
      </c>
      <c r="AN73" s="57">
        <f>[20]January_2019!X7</f>
        <v>188.25</v>
      </c>
      <c r="AO73" s="57">
        <f>[20]January_2019!Y7</f>
        <v>295.7</v>
      </c>
      <c r="AP73" s="57">
        <f>[20]January_2019!Z7</f>
        <v>257.8</v>
      </c>
      <c r="AQ73" s="57">
        <f>[20]January_2019!AA7</f>
        <v>291.2</v>
      </c>
      <c r="AR73" s="57">
        <f>[20]January_2019!AB7</f>
        <v>187</v>
      </c>
      <c r="AS73" s="57">
        <f>[20]January_2019!AC7</f>
        <v>0</v>
      </c>
      <c r="AT73" s="57">
        <f>[20]January_2019!AD7</f>
        <v>0</v>
      </c>
      <c r="AU73" s="57">
        <f>[20]January_2019!AE7</f>
        <v>485.1</v>
      </c>
      <c r="AV73" s="57">
        <f>[20]January_2019!AF7</f>
        <v>171.55</v>
      </c>
      <c r="AW73" s="57">
        <f>[20]January_2019!AG7</f>
        <v>423.8</v>
      </c>
      <c r="AX73" s="277">
        <f>[20]January_2019!AH7</f>
        <v>0</v>
      </c>
      <c r="AY73" s="277"/>
      <c r="AZ73" s="277"/>
      <c r="BA73" s="277"/>
      <c r="BB73" s="277"/>
      <c r="BC73" s="277"/>
      <c r="BD73" s="277"/>
      <c r="BE73" s="277"/>
    </row>
    <row r="74" spans="2:57" s="54" customFormat="1" ht="16.5" customHeight="1">
      <c r="B74" s="421"/>
      <c r="C74" s="283"/>
      <c r="D74" s="377"/>
      <c r="E74" s="378"/>
      <c r="F74" s="379"/>
      <c r="G74" s="303"/>
      <c r="H74" s="320"/>
      <c r="I74" s="322"/>
      <c r="J74" s="281"/>
      <c r="K74" s="286"/>
      <c r="L74" s="314"/>
      <c r="M74" s="416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415"/>
      <c r="AC74" s="415"/>
      <c r="AD74" s="415"/>
      <c r="AE74" s="415"/>
      <c r="AF74" s="415"/>
      <c r="AG74" s="415"/>
      <c r="AH74" s="415"/>
      <c r="AI74" s="415"/>
      <c r="AJ74" s="415"/>
      <c r="AK74" s="415"/>
      <c r="AL74" s="415"/>
      <c r="AM74" s="415"/>
      <c r="AN74" s="415"/>
      <c r="AO74" s="415"/>
      <c r="AP74" s="415"/>
      <c r="AQ74" s="415"/>
      <c r="AR74" s="415"/>
      <c r="AS74" s="415"/>
      <c r="AT74" s="415"/>
      <c r="AU74" s="415"/>
      <c r="AV74" s="415"/>
      <c r="AW74" s="415"/>
    </row>
    <row r="75" spans="2:57" ht="18" customHeight="1" thickBot="1">
      <c r="B75" s="59"/>
      <c r="C75" s="30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 t="s">
        <v>41</v>
      </c>
      <c r="O75" s="56"/>
      <c r="P75" s="60"/>
    </row>
    <row r="76" spans="2:57" ht="14.4" thickBot="1">
      <c r="B76" s="492" t="s">
        <v>55</v>
      </c>
      <c r="C76" s="493"/>
      <c r="D76" s="493"/>
      <c r="E76" s="493"/>
      <c r="F76" s="494"/>
      <c r="G76" s="492" t="s">
        <v>56</v>
      </c>
      <c r="H76" s="493"/>
      <c r="I76" s="493"/>
      <c r="J76" s="494"/>
      <c r="K76" s="492" t="s">
        <v>51</v>
      </c>
      <c r="L76" s="493"/>
      <c r="M76" s="493"/>
      <c r="N76" s="495"/>
      <c r="O76" s="56"/>
      <c r="P76" s="50"/>
    </row>
    <row r="77" spans="2:57">
      <c r="B77" s="61" t="s">
        <v>17</v>
      </c>
      <c r="C77" s="62" t="s">
        <v>36</v>
      </c>
      <c r="D77" s="62" t="s">
        <v>37</v>
      </c>
      <c r="E77" s="62" t="s">
        <v>38</v>
      </c>
      <c r="F77" s="63" t="s">
        <v>39</v>
      </c>
      <c r="G77" s="62" t="s">
        <v>36</v>
      </c>
      <c r="H77" s="62" t="s">
        <v>37</v>
      </c>
      <c r="I77" s="62" t="s">
        <v>38</v>
      </c>
      <c r="J77" s="63" t="s">
        <v>39</v>
      </c>
      <c r="K77" s="62" t="s">
        <v>36</v>
      </c>
      <c r="L77" s="62" t="s">
        <v>37</v>
      </c>
      <c r="M77" s="62" t="s">
        <v>38</v>
      </c>
      <c r="N77" s="63" t="s">
        <v>39</v>
      </c>
      <c r="O77" s="56"/>
      <c r="P77" s="64"/>
    </row>
    <row r="78" spans="2:57">
      <c r="B78" s="29" t="s">
        <v>6</v>
      </c>
      <c r="C78" s="65"/>
      <c r="D78" s="76">
        <v>5.0608856930023203</v>
      </c>
      <c r="E78" s="76">
        <v>6.5163972239457122</v>
      </c>
      <c r="F78" s="66">
        <v>4.8</v>
      </c>
      <c r="G78" s="65"/>
      <c r="H78" s="76">
        <v>3.579738071328245</v>
      </c>
      <c r="I78" s="76">
        <v>6.4447120450159749</v>
      </c>
      <c r="J78" s="66">
        <v>4.8</v>
      </c>
      <c r="K78" s="67"/>
      <c r="L78" s="194">
        <v>0.76245614035087717</v>
      </c>
      <c r="M78" s="194">
        <v>0.7219334343185404</v>
      </c>
      <c r="N78" s="68">
        <v>1</v>
      </c>
      <c r="O78" s="56"/>
      <c r="P78" s="69"/>
    </row>
    <row r="79" spans="2:57">
      <c r="B79" s="33" t="s">
        <v>9</v>
      </c>
      <c r="C79" s="65"/>
      <c r="D79" s="76">
        <v>5.1037577117218298</v>
      </c>
      <c r="E79" s="76">
        <v>6.0971944717676134</v>
      </c>
      <c r="F79" s="66">
        <v>4.8</v>
      </c>
      <c r="G79" s="65"/>
      <c r="H79" s="76">
        <v>3.2384753080210245</v>
      </c>
      <c r="I79" s="76">
        <v>5.768083676790571</v>
      </c>
      <c r="J79" s="66">
        <v>4.8</v>
      </c>
      <c r="K79" s="67"/>
      <c r="L79" s="194">
        <v>0.5936842105263157</v>
      </c>
      <c r="M79" s="194">
        <v>0.75812656809312595</v>
      </c>
      <c r="N79" s="68">
        <v>1</v>
      </c>
      <c r="P79" s="69"/>
    </row>
    <row r="80" spans="2:57">
      <c r="B80" s="34" t="s">
        <v>40</v>
      </c>
      <c r="C80" s="65"/>
      <c r="D80" s="76"/>
      <c r="E80" s="76">
        <v>11.96027372373279</v>
      </c>
      <c r="F80" s="66">
        <v>5.5</v>
      </c>
      <c r="G80" s="65"/>
      <c r="H80" s="76"/>
      <c r="I80" s="76">
        <v>13.111031100634913</v>
      </c>
      <c r="J80" s="66">
        <v>5.5</v>
      </c>
      <c r="K80" s="67"/>
      <c r="L80" s="194"/>
      <c r="M80" s="194">
        <v>0.4869398559932232</v>
      </c>
      <c r="N80" s="68">
        <v>1</v>
      </c>
      <c r="P80" s="69"/>
    </row>
    <row r="81" spans="2:16">
      <c r="B81" s="22" t="s">
        <v>33</v>
      </c>
      <c r="C81" s="65"/>
      <c r="D81" s="76"/>
      <c r="E81" s="76">
        <v>5.4214697406339898</v>
      </c>
      <c r="F81" s="66">
        <v>3.3</v>
      </c>
      <c r="G81" s="65"/>
      <c r="H81" s="76"/>
      <c r="I81" s="76">
        <v>5.263029001952213</v>
      </c>
      <c r="J81" s="66">
        <v>3.3</v>
      </c>
      <c r="K81" s="67"/>
      <c r="L81" s="194"/>
      <c r="M81" s="194">
        <v>0.6919486215538847</v>
      </c>
      <c r="N81" s="68">
        <v>1</v>
      </c>
      <c r="P81" s="69"/>
    </row>
    <row r="82" spans="2:16">
      <c r="B82" s="35" t="s">
        <v>29</v>
      </c>
      <c r="C82" s="65"/>
      <c r="D82" s="76"/>
      <c r="E82" s="76"/>
      <c r="F82" s="66">
        <v>3.3</v>
      </c>
      <c r="G82" s="282"/>
      <c r="H82" s="76"/>
      <c r="I82" s="76"/>
      <c r="J82" s="66">
        <v>3</v>
      </c>
      <c r="L82" s="194"/>
      <c r="M82" s="194"/>
      <c r="N82" s="68">
        <v>1</v>
      </c>
      <c r="P82" s="69"/>
    </row>
    <row r="83" spans="2:16">
      <c r="B83" s="36" t="s">
        <v>15</v>
      </c>
      <c r="C83" s="282"/>
      <c r="D83" s="76"/>
      <c r="E83" s="76">
        <v>7.3129862357869699</v>
      </c>
      <c r="F83" s="70">
        <f>[21]May_2022!$M$43</f>
        <v>3.4878406700073312</v>
      </c>
      <c r="G83" s="282"/>
      <c r="H83" s="76"/>
      <c r="I83" s="76">
        <v>8.9862703283331644</v>
      </c>
      <c r="J83" s="66">
        <v>5.5</v>
      </c>
      <c r="K83" s="67"/>
      <c r="L83" s="194"/>
      <c r="M83" s="194">
        <v>0.59276315789473688</v>
      </c>
      <c r="N83" s="68">
        <v>1</v>
      </c>
      <c r="P83" s="69"/>
    </row>
    <row r="84" spans="2:16">
      <c r="B84" s="37" t="s">
        <v>16</v>
      </c>
      <c r="C84" s="65">
        <f>L73</f>
        <v>2.3359073359073403</v>
      </c>
      <c r="D84" s="76">
        <v>2.3359073359073403</v>
      </c>
      <c r="E84" s="76">
        <v>2.980561555075584</v>
      </c>
      <c r="F84" s="66">
        <v>3.3</v>
      </c>
      <c r="G84" s="282">
        <f>[36]July_2025!$G$63</f>
        <v>3.7114579368100644</v>
      </c>
      <c r="H84" s="76">
        <v>3.7114579368100644</v>
      </c>
      <c r="I84" s="76">
        <v>4.4931174512296872</v>
      </c>
      <c r="J84" s="66">
        <v>3.3</v>
      </c>
      <c r="K84" s="67">
        <f>K73</f>
        <v>1.7750877192982455</v>
      </c>
      <c r="L84" s="194">
        <v>1.7750877192982455</v>
      </c>
      <c r="M84" s="194">
        <v>0.83077455048409399</v>
      </c>
      <c r="N84" s="71">
        <v>1</v>
      </c>
      <c r="P84" s="69"/>
    </row>
    <row r="85" spans="2:16" ht="14.4" thickBot="1">
      <c r="B85" s="38" t="s">
        <v>127</v>
      </c>
      <c r="C85" s="65"/>
      <c r="D85" s="76"/>
      <c r="E85" s="76"/>
      <c r="F85" s="66">
        <v>7.5</v>
      </c>
      <c r="G85" s="282"/>
      <c r="H85" s="76"/>
      <c r="I85" s="76"/>
      <c r="J85" s="66">
        <v>7.5</v>
      </c>
      <c r="K85" s="67"/>
      <c r="L85" s="194"/>
      <c r="M85" s="194"/>
      <c r="N85" s="71">
        <v>1</v>
      </c>
      <c r="P85" s="69"/>
    </row>
    <row r="86" spans="2:16" ht="14.4" thickBot="1">
      <c r="B86" s="414" t="s">
        <v>161</v>
      </c>
      <c r="C86" s="65"/>
      <c r="D86" s="76"/>
      <c r="E86" s="76">
        <v>4.8792508624938291</v>
      </c>
      <c r="F86" s="66">
        <v>4.8</v>
      </c>
      <c r="G86" s="282"/>
      <c r="H86" s="76"/>
      <c r="I86" s="76">
        <v>6.2003723782925313</v>
      </c>
      <c r="J86" s="66">
        <v>4.8</v>
      </c>
      <c r="K86" s="67"/>
      <c r="L86" s="194"/>
      <c r="M86" s="194">
        <v>0.33859649122807017</v>
      </c>
      <c r="N86" s="71">
        <v>1</v>
      </c>
      <c r="O86" s="74"/>
      <c r="P86" s="75"/>
    </row>
    <row r="87" spans="2:16">
      <c r="D87" s="76">
        <v>4.0241047493150388</v>
      </c>
      <c r="E87" s="76">
        <v>6.5326908394228917</v>
      </c>
      <c r="F87" s="341">
        <v>5.5</v>
      </c>
      <c r="H87" s="76">
        <v>3.6057322229233635</v>
      </c>
      <c r="I87" s="76">
        <v>6.7647375039123565</v>
      </c>
      <c r="J87" s="341">
        <v>5.5</v>
      </c>
      <c r="L87" s="194">
        <v>0.97342105263157874</v>
      </c>
      <c r="M87" s="194">
        <v>0.7058049479166667</v>
      </c>
      <c r="N87" s="386">
        <v>1</v>
      </c>
    </row>
    <row r="91" spans="2:16">
      <c r="F91" s="315"/>
    </row>
    <row r="92" spans="2:16">
      <c r="F92" s="341"/>
    </row>
  </sheetData>
  <mergeCells count="51">
    <mergeCell ref="M71:M72"/>
    <mergeCell ref="B76:F76"/>
    <mergeCell ref="G76:J76"/>
    <mergeCell ref="K76:N76"/>
    <mergeCell ref="G71:G72"/>
    <mergeCell ref="H71:H72"/>
    <mergeCell ref="I71:I72"/>
    <mergeCell ref="J71:J72"/>
    <mergeCell ref="K71:K72"/>
    <mergeCell ref="L71:L72"/>
    <mergeCell ref="F71:F72"/>
    <mergeCell ref="D66:E66"/>
    <mergeCell ref="B71:B72"/>
    <mergeCell ref="C71:C72"/>
    <mergeCell ref="D71:D72"/>
    <mergeCell ref="E71:E72"/>
    <mergeCell ref="B56:B65"/>
    <mergeCell ref="D56:E57"/>
    <mergeCell ref="J56:K56"/>
    <mergeCell ref="L57:N57"/>
    <mergeCell ref="D58:E59"/>
    <mergeCell ref="D60:E61"/>
    <mergeCell ref="D62:E63"/>
    <mergeCell ref="D64:E65"/>
    <mergeCell ref="I42:N42"/>
    <mergeCell ref="D43:E43"/>
    <mergeCell ref="B44:B55"/>
    <mergeCell ref="D44:E45"/>
    <mergeCell ref="D46:E47"/>
    <mergeCell ref="D48:E49"/>
    <mergeCell ref="D50:E51"/>
    <mergeCell ref="D52:E53"/>
    <mergeCell ref="D54:E5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6:B67">
    <cfRule type="cellIs" dxfId="2502" priority="97" operator="notBetween">
      <formula>#REF!</formula>
      <formula>#REF!</formula>
    </cfRule>
  </conditionalFormatting>
  <conditionalFormatting sqref="C70">
    <cfRule type="cellIs" dxfId="2501" priority="129" stopIfTrue="1" operator="greaterThan">
      <formula>100</formula>
    </cfRule>
    <cfRule type="cellIs" dxfId="2500" priority="128" stopIfTrue="1" operator="lessThan">
      <formula>96</formula>
    </cfRule>
  </conditionalFormatting>
  <conditionalFormatting sqref="C78:C79">
    <cfRule type="cellIs" dxfId="2499" priority="75" stopIfTrue="1" operator="lessThanOrEqual">
      <formula>0</formula>
    </cfRule>
  </conditionalFormatting>
  <conditionalFormatting sqref="C78:C82">
    <cfRule type="cellIs" dxfId="2498" priority="74" stopIfTrue="1" operator="greaterThan">
      <formula>$F78</formula>
    </cfRule>
  </conditionalFormatting>
  <conditionalFormatting sqref="C79">
    <cfRule type="cellIs" dxfId="2497" priority="132" stopIfTrue="1" operator="greaterThan">
      <formula>$F78</formula>
    </cfRule>
  </conditionalFormatting>
  <conditionalFormatting sqref="C80:C83">
    <cfRule type="cellIs" dxfId="2496" priority="81" stopIfTrue="1" operator="lessThanOrEqual">
      <formula>0</formula>
    </cfRule>
  </conditionalFormatting>
  <conditionalFormatting sqref="C83">
    <cfRule type="cellIs" dxfId="2495" priority="80" stopIfTrue="1" operator="greaterThan">
      <formula>$J83</formula>
    </cfRule>
  </conditionalFormatting>
  <conditionalFormatting sqref="C89:C93">
    <cfRule type="cellIs" dxfId="2494" priority="120" stopIfTrue="1" operator="lessThanOrEqual">
      <formula>0</formula>
    </cfRule>
  </conditionalFormatting>
  <conditionalFormatting sqref="C90:C93">
    <cfRule type="cellIs" dxfId="2493" priority="119" stopIfTrue="1" operator="greaterThan">
      <formula>$F$89</formula>
    </cfRule>
  </conditionalFormatting>
  <conditionalFormatting sqref="C95">
    <cfRule type="cellIs" dxfId="2492" priority="121" stopIfTrue="1" operator="greaterThan">
      <formula>$F$89</formula>
    </cfRule>
    <cfRule type="cellIs" dxfId="2491" priority="122" stopIfTrue="1" operator="lessThanOrEqual">
      <formula>0</formula>
    </cfRule>
  </conditionalFormatting>
  <conditionalFormatting sqref="C89:D89 D91:D97">
    <cfRule type="cellIs" dxfId="2490" priority="114" stopIfTrue="1" operator="greaterThan">
      <formula>4.5</formula>
    </cfRule>
  </conditionalFormatting>
  <conditionalFormatting sqref="D66:D67">
    <cfRule type="cellIs" dxfId="2489" priority="98" operator="notBetween">
      <formula>#REF!</formula>
      <formula>#REF!</formula>
    </cfRule>
  </conditionalFormatting>
  <conditionalFormatting sqref="D78:D85">
    <cfRule type="cellIs" dxfId="2488" priority="91" stopIfTrue="1" operator="lessThanOrEqual">
      <formula>0</formula>
    </cfRule>
  </conditionalFormatting>
  <conditionalFormatting sqref="D86">
    <cfRule type="cellIs" dxfId="2487" priority="90" stopIfTrue="1" operator="lessThanOrEqual">
      <formula>0</formula>
    </cfRule>
  </conditionalFormatting>
  <conditionalFormatting sqref="D89 D91:D97">
    <cfRule type="cellIs" dxfId="2486" priority="115" stopIfTrue="1" operator="lessThanOrEqual">
      <formula>0</formula>
    </cfRule>
  </conditionalFormatting>
  <conditionalFormatting sqref="D90">
    <cfRule type="cellIs" dxfId="2485" priority="106" stopIfTrue="1" operator="greaterThan">
      <formula>$F$89</formula>
    </cfRule>
    <cfRule type="cellIs" dxfId="2484" priority="107" stopIfTrue="1" operator="lessThanOrEqual">
      <formula>0</formula>
    </cfRule>
  </conditionalFormatting>
  <conditionalFormatting sqref="D78:E87">
    <cfRule type="cellIs" dxfId="2483" priority="71" stopIfTrue="1" operator="greaterThan">
      <formula>$F78</formula>
    </cfRule>
  </conditionalFormatting>
  <conditionalFormatting sqref="D87:E87">
    <cfRule type="cellIs" dxfId="2482" priority="72" stopIfTrue="1" operator="lessThanOrEqual">
      <formula>0</formula>
    </cfRule>
  </conditionalFormatting>
  <conditionalFormatting sqref="E10:E41">
    <cfRule type="cellIs" dxfId="2481" priority="6" operator="lessThan">
      <formula>48</formula>
    </cfRule>
  </conditionalFormatting>
  <conditionalFormatting sqref="E69 E70:F70">
    <cfRule type="cellIs" dxfId="2480" priority="111" stopIfTrue="1" operator="greaterThan">
      <formula>100</formula>
    </cfRule>
  </conditionalFormatting>
  <conditionalFormatting sqref="E70">
    <cfRule type="cellIs" dxfId="2479" priority="108" stopIfTrue="1" operator="lessThan">
      <formula>96.8</formula>
    </cfRule>
    <cfRule type="cellIs" dxfId="2478" priority="109" stopIfTrue="1" operator="greaterThan">
      <formula>100</formula>
    </cfRule>
  </conditionalFormatting>
  <conditionalFormatting sqref="E78:E86">
    <cfRule type="cellIs" dxfId="2477" priority="85" stopIfTrue="1" operator="lessThanOrEqual">
      <formula>0</formula>
    </cfRule>
  </conditionalFormatting>
  <conditionalFormatting sqref="E89:E97">
    <cfRule type="cellIs" dxfId="2476" priority="100" stopIfTrue="1" operator="greaterThan">
      <formula>4.5</formula>
    </cfRule>
    <cfRule type="cellIs" dxfId="2475" priority="101" stopIfTrue="1" operator="lessThanOrEqual">
      <formula>0</formula>
    </cfRule>
  </conditionalFormatting>
  <conditionalFormatting sqref="E70:F70 E69">
    <cfRule type="cellIs" dxfId="2474" priority="110" stopIfTrue="1" operator="lessThan">
      <formula>96.5</formula>
    </cfRule>
  </conditionalFormatting>
  <conditionalFormatting sqref="F10:F41">
    <cfRule type="cellIs" dxfId="2473" priority="7" operator="greaterThan">
      <formula>60</formula>
    </cfRule>
  </conditionalFormatting>
  <conditionalFormatting sqref="F70">
    <cfRule type="cellIs" dxfId="2472" priority="126" stopIfTrue="1" operator="lessThan">
      <formula>96.8</formula>
    </cfRule>
    <cfRule type="cellIs" dxfId="2471" priority="127" stopIfTrue="1" operator="greaterThan">
      <formula>100</formula>
    </cfRule>
  </conditionalFormatting>
  <conditionalFormatting sqref="F87">
    <cfRule type="cellIs" dxfId="2470" priority="86" stopIfTrue="1" operator="greaterThan">
      <formula>$F87</formula>
    </cfRule>
    <cfRule type="cellIs" dxfId="2469" priority="87" stopIfTrue="1" operator="lessThanOrEqual">
      <formula>0</formula>
    </cfRule>
  </conditionalFormatting>
  <conditionalFormatting sqref="F92">
    <cfRule type="cellIs" dxfId="2468" priority="27" stopIfTrue="1" operator="lessThanOrEqual">
      <formula>0</formula>
    </cfRule>
    <cfRule type="cellIs" dxfId="2467" priority="26" stopIfTrue="1" operator="greaterThan">
      <formula>$F92</formula>
    </cfRule>
  </conditionalFormatting>
  <conditionalFormatting sqref="G78:G79 C84:C86">
    <cfRule type="cellIs" dxfId="2466" priority="93" stopIfTrue="1" operator="lessThanOrEqual">
      <formula>0</formula>
    </cfRule>
    <cfRule type="cellIs" dxfId="2465" priority="92" stopIfTrue="1" operator="greaterThan">
      <formula>$F78</formula>
    </cfRule>
  </conditionalFormatting>
  <conditionalFormatting sqref="G78:G79">
    <cfRule type="cellIs" dxfId="2464" priority="76" stopIfTrue="1" operator="greaterThan">
      <formula>$F78</formula>
    </cfRule>
    <cfRule type="cellIs" dxfId="2463" priority="77" stopIfTrue="1" operator="lessThanOrEqual">
      <formula>0</formula>
    </cfRule>
  </conditionalFormatting>
  <conditionalFormatting sqref="G80">
    <cfRule type="cellIs" dxfId="2462" priority="130" stopIfTrue="1" operator="greaterThan">
      <formula>$F79</formula>
    </cfRule>
    <cfRule type="cellIs" dxfId="2461" priority="131" stopIfTrue="1" operator="lessThanOrEqual">
      <formula>0</formula>
    </cfRule>
  </conditionalFormatting>
  <conditionalFormatting sqref="G81">
    <cfRule type="cellIs" dxfId="2460" priority="88" stopIfTrue="1" operator="greaterThan">
      <formula>$F81</formula>
    </cfRule>
    <cfRule type="cellIs" dxfId="2459" priority="89" stopIfTrue="1" operator="lessThanOrEqual">
      <formula>0</formula>
    </cfRule>
  </conditionalFormatting>
  <conditionalFormatting sqref="G82:G86">
    <cfRule type="cellIs" dxfId="2458" priority="95" stopIfTrue="1" operator="lessThanOrEqual">
      <formula>0</formula>
    </cfRule>
    <cfRule type="cellIs" dxfId="2457" priority="94" stopIfTrue="1" operator="greaterThan">
      <formula>$J82</formula>
    </cfRule>
  </conditionalFormatting>
  <conditionalFormatting sqref="G91:G96 C94 C96">
    <cfRule type="cellIs" dxfId="2456" priority="123" stopIfTrue="1" operator="greaterThan">
      <formula>4.5</formula>
    </cfRule>
    <cfRule type="cellIs" dxfId="2455" priority="124" stopIfTrue="1" operator="lessThanOrEqual">
      <formula>0</formula>
    </cfRule>
  </conditionalFormatting>
  <conditionalFormatting sqref="G10:H41">
    <cfRule type="expression" dxfId="2454" priority="5">
      <formula>IF(+(IF(G10&lt;#REF!,0,IF(G10&gt;#REF!,0,1)))=0,1)</formula>
    </cfRule>
  </conditionalFormatting>
  <conditionalFormatting sqref="G90:H90">
    <cfRule type="cellIs" dxfId="2453" priority="105" stopIfTrue="1" operator="lessThanOrEqual">
      <formula>0</formula>
    </cfRule>
    <cfRule type="cellIs" dxfId="2452" priority="104" stopIfTrue="1" operator="greaterThan">
      <formula>$F$89</formula>
    </cfRule>
  </conditionalFormatting>
  <conditionalFormatting sqref="H55:H69">
    <cfRule type="cellIs" dxfId="2451" priority="102" stopIfTrue="1" operator="greaterThan">
      <formula>0</formula>
    </cfRule>
  </conditionalFormatting>
  <conditionalFormatting sqref="H73">
    <cfRule type="cellIs" dxfId="2450" priority="40" stopIfTrue="1" operator="greaterThan">
      <formula>$F$41</formula>
    </cfRule>
    <cfRule type="cellIs" dxfId="2449" priority="38" stopIfTrue="1" operator="greaterThan">
      <formula>$F$43</formula>
    </cfRule>
    <cfRule type="cellIs" dxfId="2448" priority="39" stopIfTrue="1" operator="lessThanOrEqual">
      <formula>0</formula>
    </cfRule>
    <cfRule type="cellIs" dxfId="2447" priority="41" stopIfTrue="1" operator="lessThanOrEqual">
      <formula>0</formula>
    </cfRule>
    <cfRule type="cellIs" dxfId="2446" priority="29" stopIfTrue="1" operator="lessThanOrEqual">
      <formula>0</formula>
    </cfRule>
    <cfRule type="cellIs" dxfId="2445" priority="30" stopIfTrue="1" operator="greaterThan">
      <formula>$F$40</formula>
    </cfRule>
  </conditionalFormatting>
  <conditionalFormatting sqref="H74">
    <cfRule type="cellIs" dxfId="2444" priority="57" stopIfTrue="1" operator="lessThanOrEqual">
      <formula>0</formula>
    </cfRule>
    <cfRule type="cellIs" dxfId="2443" priority="55" stopIfTrue="1" operator="lessThanOrEqual">
      <formula>0</formula>
    </cfRule>
    <cfRule type="cellIs" dxfId="2442" priority="54" stopIfTrue="1" operator="greaterThan">
      <formula>$F$57</formula>
    </cfRule>
    <cfRule type="cellIs" dxfId="2441" priority="45" stopIfTrue="1" operator="lessThanOrEqual">
      <formula>0</formula>
    </cfRule>
    <cfRule type="cellIs" dxfId="2440" priority="56" stopIfTrue="1" operator="greaterThan">
      <formula>$F$55</formula>
    </cfRule>
    <cfRule type="cellIs" dxfId="2439" priority="46" stopIfTrue="1" operator="greaterThan">
      <formula>$F$54</formula>
    </cfRule>
  </conditionalFormatting>
  <conditionalFormatting sqref="H78:H85">
    <cfRule type="cellIs" dxfId="2438" priority="79" stopIfTrue="1" operator="lessThanOrEqual">
      <formula>0</formula>
    </cfRule>
    <cfRule type="cellIs" dxfId="2437" priority="78" stopIfTrue="1" operator="greaterThan">
      <formula>$J78</formula>
    </cfRule>
  </conditionalFormatting>
  <conditionalFormatting sqref="H86">
    <cfRule type="cellIs" dxfId="2436" priority="82" operator="greaterThan">
      <formula>5.3</formula>
    </cfRule>
  </conditionalFormatting>
  <conditionalFormatting sqref="H89 H91:H97">
    <cfRule type="cellIs" dxfId="2435" priority="117" stopIfTrue="1" operator="lessThanOrEqual">
      <formula>0</formula>
    </cfRule>
    <cfRule type="cellIs" dxfId="2434" priority="116" stopIfTrue="1" operator="greaterThan">
      <formula>4.5</formula>
    </cfRule>
  </conditionalFormatting>
  <conditionalFormatting sqref="H73:I73">
    <cfRule type="cellIs" dxfId="2433" priority="28" stopIfTrue="1" operator="greaterThan">
      <formula>$F$42</formula>
    </cfRule>
    <cfRule type="cellIs" dxfId="2432" priority="31" stopIfTrue="1" operator="lessThanOrEqual">
      <formula>0</formula>
    </cfRule>
  </conditionalFormatting>
  <conditionalFormatting sqref="H74:I74">
    <cfRule type="cellIs" dxfId="2431" priority="47" stopIfTrue="1" operator="lessThanOrEqual">
      <formula>0</formula>
    </cfRule>
    <cfRule type="cellIs" dxfId="2430" priority="44" stopIfTrue="1" operator="greaterThan">
      <formula>$F$56</formula>
    </cfRule>
  </conditionalFormatting>
  <conditionalFormatting sqref="H87:I87">
    <cfRule type="cellIs" dxfId="2429" priority="70" stopIfTrue="1" operator="lessThanOrEqual">
      <formula>0</formula>
    </cfRule>
    <cfRule type="cellIs" dxfId="2428" priority="69" stopIfTrue="1" operator="greaterThan">
      <formula>$J87</formula>
    </cfRule>
  </conditionalFormatting>
  <conditionalFormatting sqref="I73">
    <cfRule type="cellIs" dxfId="2427" priority="36" stopIfTrue="1" operator="greaterThan">
      <formula>$F$40</formula>
    </cfRule>
    <cfRule type="cellIs" dxfId="2426" priority="32" stopIfTrue="1" operator="greaterThan">
      <formula>$F$40</formula>
    </cfRule>
    <cfRule type="cellIs" dxfId="2425" priority="33" stopIfTrue="1" operator="lessThanOrEqual">
      <formula>0</formula>
    </cfRule>
    <cfRule type="cellIs" dxfId="2424" priority="34" stopIfTrue="1" operator="greaterThan">
      <formula>$F$42</formula>
    </cfRule>
    <cfRule type="cellIs" dxfId="2423" priority="35" stopIfTrue="1" operator="lessThanOrEqual">
      <formula>0</formula>
    </cfRule>
    <cfRule type="cellIs" dxfId="2422" priority="37" stopIfTrue="1" operator="lessThanOrEqual">
      <formula>0</formula>
    </cfRule>
  </conditionalFormatting>
  <conditionalFormatting sqref="I74">
    <cfRule type="cellIs" dxfId="2421" priority="51" stopIfTrue="1" operator="lessThanOrEqual">
      <formula>0</formula>
    </cfRule>
    <cfRule type="cellIs" dxfId="2420" priority="50" stopIfTrue="1" operator="greaterThan">
      <formula>$F$56</formula>
    </cfRule>
    <cfRule type="cellIs" dxfId="2419" priority="49" stopIfTrue="1" operator="lessThanOrEqual">
      <formula>0</formula>
    </cfRule>
    <cfRule type="cellIs" dxfId="2418" priority="48" stopIfTrue="1" operator="greaterThan">
      <formula>$F$54</formula>
    </cfRule>
    <cfRule type="cellIs" dxfId="2417" priority="53" stopIfTrue="1" operator="lessThanOrEqual">
      <formula>0</formula>
    </cfRule>
    <cfRule type="cellIs" dxfId="2416" priority="52" stopIfTrue="1" operator="greaterThan">
      <formula>$F$54</formula>
    </cfRule>
  </conditionalFormatting>
  <conditionalFormatting sqref="I78:I86">
    <cfRule type="cellIs" dxfId="2415" priority="83" stopIfTrue="1" operator="greaterThan">
      <formula>$J78</formula>
    </cfRule>
    <cfRule type="cellIs" dxfId="2414" priority="84" stopIfTrue="1" operator="lessThanOrEqual">
      <formula>0</formula>
    </cfRule>
  </conditionalFormatting>
  <conditionalFormatting sqref="I89:I97">
    <cfRule type="cellIs" dxfId="2413" priority="113" stopIfTrue="1" operator="lessThanOrEqual">
      <formula>0</formula>
    </cfRule>
    <cfRule type="cellIs" dxfId="2412" priority="112" stopIfTrue="1" operator="greaterThan">
      <formula>4.5</formula>
    </cfRule>
  </conditionalFormatting>
  <conditionalFormatting sqref="I10:J41">
    <cfRule type="cellIs" dxfId="2411" priority="8" operator="lessThan">
      <formula>97.9</formula>
    </cfRule>
  </conditionalFormatting>
  <conditionalFormatting sqref="J44:J46">
    <cfRule type="cellIs" dxfId="2410" priority="60" stopIfTrue="1" operator="greaterThan">
      <formula>100</formula>
    </cfRule>
    <cfRule type="cellIs" dxfId="2409" priority="59" stopIfTrue="1" operator="lessThan">
      <formula>96.8</formula>
    </cfRule>
    <cfRule type="cellIs" dxfId="2408" priority="61" operator="lessThan">
      <formula>98</formula>
    </cfRule>
  </conditionalFormatting>
  <conditionalFormatting sqref="J44:J48">
    <cfRule type="cellIs" dxfId="2407" priority="58" operator="lessThan">
      <formula>97.4</formula>
    </cfRule>
  </conditionalFormatting>
  <conditionalFormatting sqref="J49">
    <cfRule type="cellIs" dxfId="2406" priority="62" operator="lessThan">
      <formula>98</formula>
    </cfRule>
  </conditionalFormatting>
  <conditionalFormatting sqref="J51:J52">
    <cfRule type="cellIs" dxfId="2405" priority="63" stopIfTrue="1" operator="lessThan">
      <formula>96.8</formula>
    </cfRule>
    <cfRule type="cellIs" dxfId="2404" priority="64" stopIfTrue="1" operator="greaterThan">
      <formula>100</formula>
    </cfRule>
  </conditionalFormatting>
  <conditionalFormatting sqref="J51:J53">
    <cfRule type="cellIs" dxfId="2403" priority="65" operator="lessThan">
      <formula>98</formula>
    </cfRule>
  </conditionalFormatting>
  <conditionalFormatting sqref="J87">
    <cfRule type="cellIs" dxfId="2402" priority="67" stopIfTrue="1" operator="lessThanOrEqual">
      <formula>0</formula>
    </cfRule>
    <cfRule type="cellIs" dxfId="2401" priority="66" stopIfTrue="1" operator="greaterThan">
      <formula>$F87</formula>
    </cfRule>
  </conditionalFormatting>
  <conditionalFormatting sqref="K10:K41">
    <cfRule type="cellIs" dxfId="2400" priority="3" operator="lessThan">
      <formula>4</formula>
    </cfRule>
    <cfRule type="cellIs" dxfId="2399" priority="4" operator="greaterThan">
      <formula>6.4</formula>
    </cfRule>
    <cfRule type="cellIs" dxfId="2398" priority="2" operator="greaterThan">
      <formula>6</formula>
    </cfRule>
  </conditionalFormatting>
  <conditionalFormatting sqref="K73:K74">
    <cfRule type="cellIs" dxfId="2397" priority="42" stopIfTrue="1" operator="lessThan">
      <formula>100%</formula>
    </cfRule>
  </conditionalFormatting>
  <conditionalFormatting sqref="K89:K94">
    <cfRule type="cellIs" dxfId="2396" priority="118" stopIfTrue="1" operator="lessThan">
      <formula>100%</formula>
    </cfRule>
  </conditionalFormatting>
  <conditionalFormatting sqref="K96:K97">
    <cfRule type="cellIs" dxfId="2395" priority="125" stopIfTrue="1" operator="lessThan">
      <formula>100%</formula>
    </cfRule>
  </conditionalFormatting>
  <conditionalFormatting sqref="K78:N81 L82:N82">
    <cfRule type="cellIs" dxfId="2394" priority="96" stopIfTrue="1" operator="lessThan">
      <formula>100%</formula>
    </cfRule>
  </conditionalFormatting>
  <conditionalFormatting sqref="K83:N86 L87:N87">
    <cfRule type="cellIs" dxfId="2393" priority="68" stopIfTrue="1" operator="lessThan">
      <formula>100%</formula>
    </cfRule>
  </conditionalFormatting>
  <conditionalFormatting sqref="L19:L26 L38:L41">
    <cfRule type="cellIs" dxfId="2392" priority="22" operator="greaterThan">
      <formula>65</formula>
    </cfRule>
    <cfRule type="cellIs" dxfId="2391" priority="21" operator="between">
      <formula>61</formula>
      <formula>65</formula>
    </cfRule>
  </conditionalFormatting>
  <conditionalFormatting sqref="L10:M18">
    <cfRule type="cellIs" dxfId="2390" priority="24" operator="greaterThan">
      <formula>65</formula>
    </cfRule>
    <cfRule type="cellIs" dxfId="2389" priority="23" operator="between">
      <formula>61</formula>
      <formula>65</formula>
    </cfRule>
  </conditionalFormatting>
  <conditionalFormatting sqref="L27:M37">
    <cfRule type="cellIs" dxfId="2388" priority="9" operator="between">
      <formula>61</formula>
      <formula>65</formula>
    </cfRule>
    <cfRule type="cellIs" dxfId="2387" priority="10" operator="greaterThan">
      <formula>65</formula>
    </cfRule>
  </conditionalFormatting>
  <conditionalFormatting sqref="L44:M55">
    <cfRule type="cellIs" dxfId="2386" priority="73" operator="lessThan">
      <formula>98</formula>
    </cfRule>
  </conditionalFormatting>
  <conditionalFormatting sqref="L59:N59">
    <cfRule type="cellIs" dxfId="2385" priority="43" operator="notEqual">
      <formula>#REF!</formula>
    </cfRule>
  </conditionalFormatting>
  <conditionalFormatting sqref="L89:N97">
    <cfRule type="cellIs" dxfId="2384" priority="103" stopIfTrue="1" operator="lessThan">
      <formula>100%</formula>
    </cfRule>
  </conditionalFormatting>
  <conditionalFormatting sqref="M10:M18">
    <cfRule type="expression" dxfId="2383" priority="25">
      <formula>IF(+(IF(M10&lt;U10,0,IF(M10&gt;V10,0,1)))=0,1)</formula>
    </cfRule>
  </conditionalFormatting>
  <conditionalFormatting sqref="M19:M41">
    <cfRule type="expression" dxfId="2382" priority="11">
      <formula>IF(+(IF(M19&lt;U19,0,IF(M19&gt;V19,0,1)))=0,1)</formula>
    </cfRule>
  </conditionalFormatting>
  <conditionalFormatting sqref="N10:N41">
    <cfRule type="expression" dxfId="2381" priority="1">
      <formula>IF(+(IF(N10&lt;W10,0,IF(N10&gt;X10,0,1)))=0,1)</formula>
    </cfRule>
  </conditionalFormatting>
  <conditionalFormatting sqref="P6">
    <cfRule type="cellIs" dxfId="2380" priority="99" operator="greaterThanOrEqual">
      <formula>19</formula>
    </cfRule>
  </conditionalFormatting>
  <dataValidations count="1">
    <dataValidation type="list" allowBlank="1" showInputMessage="1" showErrorMessage="1" sqref="R8" xr:uid="{F71FAD94-596C-460B-8605-F7E3661A801C}">
      <formula1>ProductList</formula1>
    </dataValidation>
  </dataValidations>
  <pageMargins left="0.7" right="0.7" top="0.75" bottom="0.75" header="0.3" footer="0.3"/>
  <pageSetup scale="44" fitToWidth="0" orientation="landscape" r:id="rId1"/>
  <rowBreaks count="1" manualBreakCount="1">
    <brk id="91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6433-DCC2-4639-ABC9-042D1469EA32}">
  <sheetPr>
    <pageSetUpPr fitToPage="1"/>
  </sheetPr>
  <dimension ref="A1:BE92"/>
  <sheetViews>
    <sheetView topLeftCell="A33" zoomScale="60" zoomScaleNormal="60" workbookViewId="0">
      <selection activeCell="H73" sqref="H73:I73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45846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419"/>
      <c r="R10" s="277">
        <f t="shared" ref="R10:R43" si="0">B10</f>
        <v>0</v>
      </c>
      <c r="S10" s="296" t="e">
        <f t="shared" ref="S10:S43" si="1">VLOOKUP($B10,$R$3:$X$9,2,FALSE)</f>
        <v>#N/A</v>
      </c>
      <c r="T10" s="296" t="e">
        <f t="shared" ref="T10:T43" si="2">VLOOKUP($B10,$R$3:$X$9,3,FALSE)</f>
        <v>#N/A</v>
      </c>
      <c r="U10" s="297" t="e">
        <f t="shared" ref="U10:U43" si="3">VLOOKUP($B10,$R$3:$X$9,4,FALSE)</f>
        <v>#N/A</v>
      </c>
      <c r="V10" s="297" t="e">
        <f t="shared" ref="V10:V43" si="4">VLOOKUP($B10,$R$3:$X$9,5,FALSE)</f>
        <v>#N/A</v>
      </c>
      <c r="W10" s="297" t="e">
        <f t="shared" ref="W10:W43" si="5">VLOOKUP($B10,$R$3:$X$9,6,FALSE)</f>
        <v>#N/A</v>
      </c>
      <c r="X10" s="297" t="e">
        <f t="shared" ref="X10:X43" si="6">VLOOKUP($B10,$R$3:$X$9,7,FALSE)</f>
        <v>#N/A</v>
      </c>
      <c r="Y10" s="297" t="e">
        <f t="shared" ref="Y10:Y43" si="7">VLOOKUP($B10,$R$3:$Z$9,8,FALSE)</f>
        <v>#N/A</v>
      </c>
      <c r="Z10" s="296" t="e">
        <f t="shared" ref="Z10:Z43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7"/>
      <c r="J11" s="427"/>
      <c r="K11" s="281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7"/>
      <c r="J14" s="427"/>
      <c r="K14" s="281"/>
      <c r="L14" s="276"/>
      <c r="M14" s="374"/>
      <c r="N14" s="370"/>
      <c r="O14" s="428"/>
      <c r="P14" s="419"/>
      <c r="R14" s="277"/>
      <c r="S14" s="296"/>
      <c r="T14" s="296"/>
      <c r="U14" s="297"/>
      <c r="V14" s="297"/>
      <c r="W14" s="297"/>
      <c r="X14" s="297"/>
      <c r="Y14" s="297"/>
      <c r="Z14" s="296"/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7"/>
      <c r="J15" s="427"/>
      <c r="K15" s="281"/>
      <c r="L15" s="276"/>
      <c r="M15" s="374"/>
      <c r="N15" s="370"/>
      <c r="O15" s="428"/>
      <c r="P15" s="419"/>
      <c r="R15" s="277">
        <f t="shared" si="0"/>
        <v>0</v>
      </c>
      <c r="S15" s="426">
        <v>17</v>
      </c>
      <c r="T15" s="426">
        <v>17.2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0"/>
        <v>0</v>
      </c>
      <c r="S16" s="426">
        <v>17</v>
      </c>
      <c r="T16" s="426">
        <v>17.2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0"/>
        <v>0</v>
      </c>
      <c r="S17" s="426">
        <v>17</v>
      </c>
      <c r="T17" s="426">
        <v>17.2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3"/>
      <c r="C18" s="366"/>
      <c r="D18" s="279"/>
      <c r="E18" s="279"/>
      <c r="F18" s="278"/>
      <c r="G18" s="279"/>
      <c r="H18" s="396"/>
      <c r="I18" s="427"/>
      <c r="J18" s="427"/>
      <c r="K18" s="281"/>
      <c r="L18" s="276"/>
      <c r="M18" s="374"/>
      <c r="N18" s="370"/>
      <c r="O18" s="428"/>
      <c r="P18" s="419"/>
      <c r="R18" s="277">
        <f t="shared" si="0"/>
        <v>0</v>
      </c>
      <c r="S18" s="426">
        <v>17</v>
      </c>
      <c r="T18" s="426">
        <v>17.2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R19" s="277">
        <f t="shared" si="0"/>
        <v>0</v>
      </c>
      <c r="S19" s="426">
        <v>17</v>
      </c>
      <c r="T19" s="426">
        <v>17.2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R20" s="277">
        <f t="shared" si="0"/>
        <v>0</v>
      </c>
      <c r="S20" s="426">
        <v>17</v>
      </c>
      <c r="T20" s="426">
        <v>17.2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customHeight="1">
      <c r="B25" s="29" t="s">
        <v>6</v>
      </c>
      <c r="C25" s="366" t="str">
        <f>[23]Brewhouse!$A588</f>
        <v>CA481</v>
      </c>
      <c r="D25" s="279">
        <f>[23]Brewhouse!$AF588</f>
        <v>51.4</v>
      </c>
      <c r="E25" s="279">
        <f>[23]Brewhouse!$AI588</f>
        <v>48.8</v>
      </c>
      <c r="F25" s="278">
        <f>[23]Brewhouse!$V588</f>
        <v>51</v>
      </c>
      <c r="G25" s="279">
        <f>[23]Brewhouse!$AG588</f>
        <v>11.6</v>
      </c>
      <c r="H25" s="396">
        <v>11.6</v>
      </c>
      <c r="I25" s="368">
        <f>[23]Brewhouse!$AU588</f>
        <v>95.859275440725924</v>
      </c>
      <c r="J25" s="368">
        <f>[23]Brewhouse!$AV588</f>
        <v>97.441844489817342</v>
      </c>
      <c r="K25" s="281">
        <f>[23]Brewhouse!$Q588</f>
        <v>9.1756272401433652</v>
      </c>
      <c r="L25" s="276">
        <f>[23]Brewhouse!$P588</f>
        <v>62</v>
      </c>
      <c r="M25" s="397">
        <f>[23]Brewhouse!$U588-[23]Brewhouse!$T588</f>
        <v>0.10347222222222219</v>
      </c>
      <c r="N25" s="370">
        <f>[23]Brewhouse!$Z588</f>
        <v>0.25763888888888886</v>
      </c>
      <c r="O25" s="371" t="str">
        <f>[23]Brewhouse!$AX588</f>
        <v>K.Benjamin</v>
      </c>
      <c r="P25" s="419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[23]Brewhouse!$A589</f>
        <v>CA482</v>
      </c>
      <c r="D26" s="279">
        <f>[23]Brewhouse!$AF589</f>
        <v>50.6</v>
      </c>
      <c r="E26" s="279">
        <f>[23]Brewhouse!$AI589</f>
        <v>49.2</v>
      </c>
      <c r="F26" s="278">
        <f>[23]Brewhouse!$V589</f>
        <v>57</v>
      </c>
      <c r="G26" s="279">
        <f>[23]Brewhouse!$AG589</f>
        <v>11.6</v>
      </c>
      <c r="H26" s="396">
        <v>11.7</v>
      </c>
      <c r="I26" s="368">
        <f>[23]Brewhouse!$AU589</f>
        <v>96.645007206633522</v>
      </c>
      <c r="J26" s="368">
        <f>[23]Brewhouse!$AV589</f>
        <v>98.240548133176517</v>
      </c>
      <c r="K26" s="281">
        <f>[23]Brewhouse!$Q589</f>
        <v>9.6376811594202909</v>
      </c>
      <c r="L26" s="276">
        <f>[23]Brewhouse!$P589</f>
        <v>72</v>
      </c>
      <c r="M26" s="397">
        <f>[23]Brewhouse!$U589-[23]Brewhouse!$T589</f>
        <v>0.11875000000000002</v>
      </c>
      <c r="N26" s="370">
        <f>[23]Brewhouse!$Z589</f>
        <v>0.26944444444444449</v>
      </c>
      <c r="O26" s="371" t="str">
        <f>[23]Brewhouse!$AX589</f>
        <v>K.Benjamin</v>
      </c>
      <c r="P26" s="419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 t="s">
        <v>6</v>
      </c>
      <c r="C27" s="366" t="str">
        <f>[23]Brewhouse!$A590</f>
        <v>CA483</v>
      </c>
      <c r="D27" s="279">
        <f>[23]Brewhouse!$AF590</f>
        <v>52.2</v>
      </c>
      <c r="E27" s="279">
        <f>[23]Brewhouse!$AI590</f>
        <v>50.1</v>
      </c>
      <c r="F27" s="278">
        <f>[23]Brewhouse!$V590</f>
        <v>60</v>
      </c>
      <c r="G27" s="279">
        <f>[23]Brewhouse!$AG590</f>
        <v>11.9</v>
      </c>
      <c r="H27" s="396">
        <v>11.6</v>
      </c>
      <c r="I27" s="368">
        <f>[23]Brewhouse!$AU590</f>
        <v>97.963146495004423</v>
      </c>
      <c r="J27" s="368">
        <f>[23]Brewhouse!$AV590</f>
        <v>99.582733586357293</v>
      </c>
      <c r="K27" s="281">
        <f>[23]Brewhouse!$Q590</f>
        <v>5.6238361266294286</v>
      </c>
      <c r="L27" s="276">
        <f>[23]Brewhouse!$P590</f>
        <v>59</v>
      </c>
      <c r="M27" s="397">
        <f>[23]Brewhouse!$U590-[23]Brewhouse!$T590</f>
        <v>0.11666666666666664</v>
      </c>
      <c r="N27" s="370">
        <f>[23]Brewhouse!$Z590</f>
        <v>0.26180555555555551</v>
      </c>
      <c r="O27" s="371" t="str">
        <f>[23]Brewhouse!$AX590</f>
        <v>K.Benjamin</v>
      </c>
      <c r="P27" s="419"/>
      <c r="R27" s="277" t="str">
        <f t="shared" si="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4.4">
      <c r="B28" s="29" t="s">
        <v>6</v>
      </c>
      <c r="C28" s="366" t="str">
        <f>[23]Brewhouse!$A591</f>
        <v>CA484</v>
      </c>
      <c r="D28" s="279">
        <f>[23]Brewhouse!$AF591</f>
        <v>54.8</v>
      </c>
      <c r="E28" s="279">
        <f>[23]Brewhouse!$AI591</f>
        <v>52.3</v>
      </c>
      <c r="F28" s="278">
        <f>[23]Brewhouse!$V591</f>
        <v>56</v>
      </c>
      <c r="G28" s="279">
        <f>[23]Brewhouse!$AG591</f>
        <v>11.7</v>
      </c>
      <c r="H28" s="396">
        <v>11.6</v>
      </c>
      <c r="I28" s="368">
        <f>[23]Brewhouse!$AU591</f>
        <v>99.511669092016191</v>
      </c>
      <c r="J28" s="368">
        <f>[23]Brewhouse!$AV591</f>
        <v>101.08978188835951</v>
      </c>
      <c r="K28" s="281">
        <f>[23]Brewhouse!$Q591</f>
        <v>2.5585585585585617</v>
      </c>
      <c r="L28" s="276">
        <f>[23]Brewhouse!$P591</f>
        <v>60</v>
      </c>
      <c r="M28" s="397">
        <f>[23]Brewhouse!$U591-[23]Brewhouse!$T591</f>
        <v>0.11041666666666661</v>
      </c>
      <c r="N28" s="370">
        <f>[23]Brewhouse!$Z591</f>
        <v>0.24374999999999997</v>
      </c>
      <c r="O28" s="371" t="str">
        <f>[23]Brewhouse!$AX591</f>
        <v>K.Benjamin</v>
      </c>
      <c r="P28" s="419"/>
      <c r="R28" s="277" t="str">
        <f t="shared" si="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 t="s">
        <v>6</v>
      </c>
      <c r="C29" s="366" t="str">
        <f>[23]Brewhouse!$A592</f>
        <v>CA485</v>
      </c>
      <c r="D29" s="279">
        <f>[23]Brewhouse!$AF592</f>
        <v>53.8</v>
      </c>
      <c r="E29" s="279">
        <f>[23]Brewhouse!$AI592</f>
        <v>51.3</v>
      </c>
      <c r="F29" s="278">
        <f>[23]Brewhouse!$V592</f>
        <v>62</v>
      </c>
      <c r="G29" s="279">
        <f>[23]Brewhouse!$AG592</f>
        <v>11.8</v>
      </c>
      <c r="H29" s="396">
        <v>12</v>
      </c>
      <c r="I29" s="368">
        <f>[23]Brewhouse!$AU592</f>
        <v>98.972456085637489</v>
      </c>
      <c r="J29" s="368">
        <f>[23]Brewhouse!$AV592</f>
        <v>100.54133325899591</v>
      </c>
      <c r="K29" s="281">
        <f>[23]Brewhouse!$Q592</f>
        <v>5.5516014234875524</v>
      </c>
      <c r="L29" s="276">
        <f>[23]Brewhouse!$P592</f>
        <v>60</v>
      </c>
      <c r="M29" s="397">
        <f>[23]Brewhouse!$U592-[23]Brewhouse!$T592</f>
        <v>0.1118055555555556</v>
      </c>
      <c r="N29" s="370">
        <f>[23]Brewhouse!$Z592</f>
        <v>0.24027777777777781</v>
      </c>
      <c r="O29" s="371" t="str">
        <f>[23]Brewhouse!$AX592</f>
        <v>R. Regis</v>
      </c>
      <c r="P29" s="419"/>
      <c r="R29" s="277" t="str">
        <f t="shared" si="0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 t="s">
        <v>6</v>
      </c>
      <c r="C30" s="366" t="str">
        <f>[23]Brewhouse!$A593</f>
        <v>CA486</v>
      </c>
      <c r="D30" s="279">
        <f>[23]Brewhouse!$AF593</f>
        <v>53.8</v>
      </c>
      <c r="E30" s="279">
        <f>[23]Brewhouse!$AI593</f>
        <v>51.2</v>
      </c>
      <c r="F30" s="278">
        <f>[23]Brewhouse!$V593</f>
        <v>60</v>
      </c>
      <c r="G30" s="279">
        <f>[23]Brewhouse!$AG593</f>
        <v>11.8</v>
      </c>
      <c r="H30" s="396">
        <v>11</v>
      </c>
      <c r="I30" s="368">
        <f>[23]Brewhouse!$AU593</f>
        <v>98.415610512021729</v>
      </c>
      <c r="J30" s="368">
        <f>[23]Brewhouse!$AV593</f>
        <v>99.976171856224028</v>
      </c>
      <c r="K30" s="281">
        <f>[23]Brewhouse!$Q593</f>
        <v>5.8865248226950362</v>
      </c>
      <c r="L30" s="276">
        <f>[23]Brewhouse!$P593</f>
        <v>60</v>
      </c>
      <c r="M30" s="397">
        <f>[23]Brewhouse!$U593-[23]Brewhouse!$T593</f>
        <v>0.11041666666666672</v>
      </c>
      <c r="N30" s="370">
        <f>[23]Brewhouse!$Z593</f>
        <v>0.26458333333333328</v>
      </c>
      <c r="O30" s="371" t="str">
        <f>[23]Brewhouse!$AX593</f>
        <v>R. Regis</v>
      </c>
      <c r="P30" s="419"/>
      <c r="R30" s="277" t="str">
        <f t="shared" si="0"/>
        <v>CARIB</v>
      </c>
      <c r="S30" s="296">
        <f t="shared" si="1"/>
        <v>11.6</v>
      </c>
      <c r="T30" s="296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296">
        <f t="shared" si="8"/>
        <v>60</v>
      </c>
    </row>
    <row r="31" spans="2:26" ht="15.75" customHeight="1">
      <c r="B31" s="29" t="s">
        <v>6</v>
      </c>
      <c r="C31" s="366" t="str">
        <f>[23]Brewhouse!$A594</f>
        <v>CA487</v>
      </c>
      <c r="D31" s="279">
        <f>[23]Brewhouse!$AF594</f>
        <v>53.6</v>
      </c>
      <c r="E31" s="279">
        <f>[23]Brewhouse!$AI594</f>
        <v>51.8</v>
      </c>
      <c r="F31" s="278">
        <f>[23]Brewhouse!$V594</f>
        <v>50</v>
      </c>
      <c r="G31" s="279">
        <f>[23]Brewhouse!$AG594</f>
        <v>11.7</v>
      </c>
      <c r="H31" s="396">
        <v>11.8</v>
      </c>
      <c r="I31" s="368">
        <f>[23]Brewhouse!$AU594</f>
        <v>92.972627372087828</v>
      </c>
      <c r="J31" s="368">
        <f>[23]Brewhouse!$AV594</f>
        <v>94.454434476121136</v>
      </c>
      <c r="K31" s="281">
        <f>[23]Brewhouse!$Q594</f>
        <v>6.4070796460176949</v>
      </c>
      <c r="L31" s="276">
        <f>[23]Brewhouse!$P594</f>
        <v>75</v>
      </c>
      <c r="M31" s="397">
        <f>[23]Brewhouse!$U594-[23]Brewhouse!$T594</f>
        <v>0.12083333333333335</v>
      </c>
      <c r="N31" s="370">
        <f>[23]Brewhouse!$Z594</f>
        <v>0.29652777777777783</v>
      </c>
      <c r="O31" s="371" t="str">
        <f>[23]Brewhouse!$AX594</f>
        <v>R. Regis</v>
      </c>
      <c r="P31" s="419"/>
      <c r="R31" s="277" t="str">
        <f t="shared" si="0"/>
        <v>CARIB</v>
      </c>
      <c r="S31" s="296">
        <f t="shared" si="1"/>
        <v>11.6</v>
      </c>
      <c r="T31" s="296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296">
        <f t="shared" si="8"/>
        <v>60</v>
      </c>
    </row>
    <row r="32" spans="2:26" ht="15.75" customHeight="1">
      <c r="B32" s="29" t="s">
        <v>6</v>
      </c>
      <c r="C32" s="366" t="str">
        <f>[23]Brewhouse!$A595</f>
        <v>CA488</v>
      </c>
      <c r="D32" s="279">
        <f>[23]Brewhouse!$AF595</f>
        <v>57.1</v>
      </c>
      <c r="E32" s="279">
        <f>[23]Brewhouse!$AI595</f>
        <v>55</v>
      </c>
      <c r="F32" s="278">
        <f>[23]Brewhouse!$V595</f>
        <v>64</v>
      </c>
      <c r="G32" s="279">
        <f>[23]Brewhouse!$AG595</f>
        <v>11.6</v>
      </c>
      <c r="H32" s="367"/>
      <c r="I32" s="368">
        <f>[23]Brewhouse!$AU595</f>
        <v>98.283084887352516</v>
      </c>
      <c r="J32" s="368">
        <f>[23]Brewhouse!$AV595</f>
        <v>99.848925849042075</v>
      </c>
      <c r="K32" s="281">
        <f>[23]Brewhouse!$Q595</f>
        <v>3.9713774597495513</v>
      </c>
      <c r="L32" s="276">
        <f>[23]Brewhouse!$P595</f>
        <v>61</v>
      </c>
      <c r="M32" s="397">
        <f>[23]Brewhouse!$U595-[23]Brewhouse!$T595</f>
        <v>0.14722222222222225</v>
      </c>
      <c r="N32" s="370">
        <f>[23]Brewhouse!$Z595</f>
        <v>0.29583333333333328</v>
      </c>
      <c r="O32" s="371" t="str">
        <f>[23]Brewhouse!$AX595</f>
        <v>D. Gomez</v>
      </c>
      <c r="P32" s="423"/>
      <c r="R32" s="277" t="str">
        <f t="shared" si="0"/>
        <v>CARIB</v>
      </c>
      <c r="S32" s="296">
        <f t="shared" si="1"/>
        <v>11.6</v>
      </c>
      <c r="T32" s="296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296">
        <f t="shared" si="8"/>
        <v>60</v>
      </c>
    </row>
    <row r="33" spans="1:26" ht="15.75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33"/>
      <c r="C35" s="366"/>
      <c r="D35" s="279"/>
      <c r="E35" s="279"/>
      <c r="F35" s="278"/>
      <c r="G35" s="279"/>
      <c r="H35" s="396"/>
      <c r="I35" s="427"/>
      <c r="J35" s="427"/>
      <c r="K35" s="281"/>
      <c r="L35" s="276"/>
      <c r="M35" s="374"/>
      <c r="N35" s="370"/>
      <c r="O35" s="428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33"/>
      <c r="C36" s="366"/>
      <c r="D36" s="279"/>
      <c r="E36" s="279"/>
      <c r="F36" s="278"/>
      <c r="G36" s="279"/>
      <c r="H36" s="396"/>
      <c r="I36" s="427"/>
      <c r="J36" s="427"/>
      <c r="K36" s="281"/>
      <c r="L36" s="276"/>
      <c r="M36" s="374"/>
      <c r="N36" s="370"/>
      <c r="O36" s="428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33"/>
      <c r="C37" s="366"/>
      <c r="D37" s="279"/>
      <c r="E37" s="279"/>
      <c r="F37" s="278"/>
      <c r="G37" s="279"/>
      <c r="H37" s="396"/>
      <c r="I37" s="427"/>
      <c r="J37" s="427"/>
      <c r="K37" s="281"/>
      <c r="L37" s="276"/>
      <c r="M37" s="374"/>
      <c r="N37" s="370"/>
      <c r="O37" s="428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customHeight="1" thickBot="1">
      <c r="B42" s="358"/>
      <c r="C42" s="358"/>
      <c r="D42" s="358"/>
      <c r="E42" s="358"/>
      <c r="F42" s="294"/>
      <c r="G42" s="294"/>
      <c r="H42" s="348"/>
      <c r="I42" s="532"/>
      <c r="J42" s="532"/>
      <c r="K42" s="532"/>
      <c r="L42" s="532"/>
      <c r="M42" s="532"/>
      <c r="N42" s="532"/>
      <c r="O42" s="1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" thickBot="1">
      <c r="B43" s="388" t="s">
        <v>163</v>
      </c>
      <c r="C43" s="388"/>
      <c r="D43" s="545" t="s">
        <v>35</v>
      </c>
      <c r="E43" s="546"/>
      <c r="F43" s="294"/>
      <c r="G43" s="294"/>
      <c r="H43" s="348"/>
      <c r="I43" s="24" t="s">
        <v>17</v>
      </c>
      <c r="J43" s="25" t="s">
        <v>36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4"/>
      <c r="P43" s="12"/>
      <c r="R43" s="277" t="str">
        <f t="shared" si="0"/>
        <v xml:space="preserve">BRAND 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customHeight="1">
      <c r="A44" s="28"/>
      <c r="B44" s="585" t="str">
        <f>I51</f>
        <v>HR- Pils</v>
      </c>
      <c r="C44" s="362">
        <f>[28]Process!D10</f>
        <v>11.6</v>
      </c>
      <c r="D44" s="536">
        <v>11.29</v>
      </c>
      <c r="E44" s="525"/>
      <c r="F44" s="294"/>
      <c r="G44" s="294"/>
      <c r="H44" s="348"/>
      <c r="I44" s="29" t="s">
        <v>6</v>
      </c>
      <c r="J44" s="280">
        <f>AVERAGE(I25:I32)</f>
        <v>97.327859636434951</v>
      </c>
      <c r="K44" s="284">
        <f>COUNTA([23]Brewhouse!$A$580:$A$595)</f>
        <v>16</v>
      </c>
      <c r="L44" s="305">
        <f>AVERAGE([23]Brewhouse!$AU$580:$AU$595)</f>
        <v>98.009274584050587</v>
      </c>
      <c r="M4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AVERAGE([23]Brewhouse!$AU$102:$AU$171,[23]Brewhouse!$AU$173:$AU$253,[23]Brewhouse!$AU$255:$AU$339,[23]Brewhouse!$AU$341:$AU$346,[23]Brewhouse!$AU$348,[23]Brewhouse!$AU$349:$AU$406,[23]Brewhouse!$AU$408:$AU$491,[23]Brewhouse!$AU$493:$AU$578,[23]Brewhouse!$AU$580:$AU$595)</f>
        <v>97.758383614397943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6" ht="15" customHeight="1">
      <c r="A45" s="28"/>
      <c r="B45" s="586"/>
      <c r="C45" s="349">
        <f>[28]Process!D11</f>
        <v>11.4</v>
      </c>
      <c r="D45" s="537"/>
      <c r="E45" s="520"/>
      <c r="F45" s="294"/>
      <c r="G45" s="294"/>
      <c r="H45" s="348"/>
      <c r="I45" s="33" t="s">
        <v>9</v>
      </c>
      <c r="J45" s="280"/>
      <c r="K45" s="284">
        <f>COUNTA([24]Brewhouse!$A$275:$A$290)</f>
        <v>16</v>
      </c>
      <c r="L45" s="302">
        <f>AVERAGE([24]Brewhouse!$AS$275:$AS$290)</f>
        <v>99.355788412993221</v>
      </c>
      <c r="M45" s="302">
        <f>AVERAGE([24]Brewhouse!$AS$15:$AS$64,[24]Brewhouse!$AS$66:$AS$103,[24]Brewhouse!$AS$105:$AS$140,[24]Brewhouse!$AS$142:$AS$193,[24]Brewhouse!$AS$195:$AS$240,[24]Brewhouse!$AS$242:$AS$273,[24]Brewhouse!$AS$275:$AS$290)</f>
        <v>97.963935313635545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4.7" customHeight="1">
      <c r="A46" s="28"/>
      <c r="B46" s="586"/>
      <c r="C46" s="349">
        <f>[28]Process!D12</f>
        <v>11.3</v>
      </c>
      <c r="D46" s="536">
        <v>11.31</v>
      </c>
      <c r="E46" s="525"/>
      <c r="F46" s="294"/>
      <c r="G46" s="294"/>
      <c r="H46" s="348"/>
      <c r="I46" s="34" t="s">
        <v>12</v>
      </c>
      <c r="J46" s="280"/>
      <c r="K46" s="284"/>
      <c r="L46" s="302"/>
      <c r="M46" s="302">
        <f>AVERAGE([25]Brewhouse!$AU$4:$AU$7,[25]Brewhouse!$AU$9:$AU$22,[25]Brewhouse!$AU$24:$AU$35,[25]Brewhouse!$AU$37:$AU$45,[25]Brewhouse!$AU$47:$AU$62)</f>
        <v>97.179377138297156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86"/>
      <c r="C47" s="349">
        <f>[28]Process!D13</f>
        <v>11.2</v>
      </c>
      <c r="D47" s="537"/>
      <c r="E47" s="520"/>
      <c r="F47" s="294"/>
      <c r="G47" s="294"/>
      <c r="H47" s="348"/>
      <c r="I47" s="22" t="s">
        <v>33</v>
      </c>
      <c r="J47" s="280"/>
      <c r="K47" s="284"/>
      <c r="L47" s="302"/>
      <c r="M47" s="302">
        <f>AVERAGE([26]Brewhouse!$AV$5:$AV$14,[26]Brewhouse!$AV$16:$AV$19,[26]Brewhouse!$AV$21:$AV$24,[26]Brewhouse!$AV$26:$AV$33,[26]Brewhouse!$AV$35:$AV$46,[26]Brewhouse!$AV$48:$AV$53)</f>
        <v>98.620083722669861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86"/>
      <c r="C48" s="349"/>
      <c r="D48" s="536"/>
      <c r="E48" s="525"/>
      <c r="F48" s="418"/>
      <c r="G48" s="294"/>
      <c r="H48" s="348"/>
      <c r="I48" s="35" t="s">
        <v>29</v>
      </c>
      <c r="J48" s="280"/>
      <c r="K48" s="284"/>
      <c r="L48" s="302"/>
      <c r="M48" s="302"/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86"/>
      <c r="C49" s="349"/>
      <c r="D49" s="537"/>
      <c r="E49" s="520"/>
      <c r="F49" s="418"/>
      <c r="G49" s="294"/>
      <c r="H49" s="348"/>
      <c r="I49" s="36" t="s">
        <v>15</v>
      </c>
      <c r="J49" s="323"/>
      <c r="K49" s="284"/>
      <c r="L49" s="302"/>
      <c r="M49" s="302">
        <f>AVERAGE([27]Brewhouse!$AT$4:$AT$11,[27]Brewhouse!$AT$13:$AT$16,[27]Brewhouse!$AT$18:$AT$21)</f>
        <v>94.773169817643847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86"/>
      <c r="C50" s="349"/>
      <c r="D50" s="536"/>
      <c r="E50" s="525"/>
      <c r="F50" s="418"/>
      <c r="G50" s="294"/>
      <c r="H50" s="348"/>
      <c r="I50" s="37" t="s">
        <v>16</v>
      </c>
      <c r="J50" s="323"/>
      <c r="K50" s="284">
        <f>COUNTA([22]Brewhouse!$A$56:$A$65)</f>
        <v>10</v>
      </c>
      <c r="L50" s="302">
        <f>AVERAGE([22]Brewhouse!$AY$56:$AY$65)</f>
        <v>99.275500637605006</v>
      </c>
      <c r="M50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0" s="30">
        <v>98</v>
      </c>
      <c r="O50" s="11"/>
      <c r="P50" s="31" t="s">
        <v>41</v>
      </c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86"/>
      <c r="C51" s="349"/>
      <c r="D51" s="537"/>
      <c r="E51" s="520"/>
      <c r="F51" s="294"/>
      <c r="G51" s="294"/>
      <c r="H51" s="348"/>
      <c r="I51" s="411" t="s">
        <v>158</v>
      </c>
      <c r="J51" s="326"/>
      <c r="K51" s="284"/>
      <c r="L51" s="305"/>
      <c r="M51" s="305">
        <f>AVERAGE([28]Brewhouse!$AU$5:$AU$8,[28]Brewhouse!$AU$10:$AU$13)</f>
        <v>94.247666625193744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86"/>
      <c r="C52" s="349"/>
      <c r="D52" s="536"/>
      <c r="E52" s="525"/>
      <c r="F52" s="294"/>
      <c r="G52" s="294"/>
      <c r="H52" s="348"/>
      <c r="I52" s="410" t="s">
        <v>157</v>
      </c>
      <c r="J52" s="326"/>
      <c r="K52" s="284"/>
      <c r="L52" s="305"/>
      <c r="M52" s="305">
        <f>AVERAGE([29]Brewhouse!$AW$26:$AW$27)</f>
        <v>95.310680905194914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86"/>
      <c r="C53" s="349"/>
      <c r="D53" s="537"/>
      <c r="E53" s="520"/>
      <c r="F53" s="294"/>
      <c r="G53" s="294"/>
      <c r="H53" s="348"/>
      <c r="I53" s="406" t="s">
        <v>156</v>
      </c>
      <c r="J53" s="327"/>
      <c r="K53" s="407"/>
      <c r="L53" s="408"/>
      <c r="M53" s="408">
        <f>AVERAGE([30]Brewhouse!$AU$13:$AU$14)</f>
        <v>97.110575243268045</v>
      </c>
      <c r="N53" s="409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86"/>
      <c r="C54" s="349"/>
      <c r="D54" s="536"/>
      <c r="E54" s="525"/>
      <c r="F54" s="294"/>
      <c r="G54" s="294"/>
      <c r="H54" s="348"/>
      <c r="I54" s="1"/>
      <c r="J54" s="39"/>
      <c r="K54" s="404">
        <f>SUM(K44:K53)</f>
        <v>42</v>
      </c>
      <c r="L54" s="405">
        <f>((L44*K44)+(L45*K45)+(L46*K46)+(L47*K47)+(L48*K48)+(K51*L51)+(L49*K49)+(L50*K50)+(L53*K53))/(K54)</f>
        <v>98.823714626875031</v>
      </c>
      <c r="M54" s="405">
        <f>AVERAGE('[31]Jan 31st'!$L$65,'[32]Feb 28th'!$L$35,'[33]Mar. 31st'!$L$35,'[34]Apr. 30th'!$L$45,'[35]May 30th'!$L$37,L54)</f>
        <v>97.83382801070735</v>
      </c>
      <c r="N54" s="4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87"/>
      <c r="C55" s="350"/>
      <c r="D55" s="537"/>
      <c r="E55" s="520"/>
      <c r="F55" s="294"/>
      <c r="G55" s="42"/>
      <c r="H55" s="41"/>
      <c r="I55" s="42"/>
      <c r="J55" s="42"/>
      <c r="K55" s="351"/>
      <c r="L55" s="348"/>
      <c r="M55" s="348"/>
      <c r="N55" s="11"/>
      <c r="O55" s="294"/>
      <c r="P55" s="12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14"/>
      <c r="C56" s="362"/>
      <c r="D56" s="517"/>
      <c r="E56" s="518"/>
      <c r="F56" s="294"/>
      <c r="G56" s="42"/>
      <c r="H56" s="41"/>
      <c r="I56" s="42"/>
      <c r="J56" s="572" t="s">
        <v>129</v>
      </c>
      <c r="K56" s="572"/>
      <c r="L56" s="294"/>
      <c r="M56" s="294"/>
      <c r="N56" s="294"/>
      <c r="O56" s="294"/>
      <c r="P56" s="12"/>
    </row>
    <row r="57" spans="1:56" ht="15" thickBot="1">
      <c r="B57" s="515"/>
      <c r="C57" s="362"/>
      <c r="D57" s="519"/>
      <c r="E57" s="520"/>
      <c r="F57" s="294"/>
      <c r="G57" s="42"/>
      <c r="H57" s="41"/>
      <c r="I57" s="42"/>
      <c r="J57" s="292" t="s">
        <v>17</v>
      </c>
      <c r="K57" s="293" t="s">
        <v>147</v>
      </c>
      <c r="L57" s="522" t="s">
        <v>136</v>
      </c>
      <c r="M57" s="522"/>
      <c r="N57" s="523"/>
      <c r="O57" s="294"/>
      <c r="P57" s="12"/>
    </row>
    <row r="58" spans="1:56" ht="15" customHeight="1" thickBot="1">
      <c r="B58" s="515"/>
      <c r="C58" s="349"/>
      <c r="D58" s="573"/>
      <c r="E58" s="574"/>
      <c r="F58" s="294"/>
      <c r="G58" s="42"/>
      <c r="H58" s="41"/>
      <c r="I58" s="42"/>
      <c r="J58" s="287" t="s">
        <v>6</v>
      </c>
      <c r="K58" s="324">
        <v>8</v>
      </c>
      <c r="L58" s="343" t="s">
        <v>37</v>
      </c>
      <c r="M58" s="307" t="s">
        <v>38</v>
      </c>
      <c r="N58" s="307" t="s">
        <v>84</v>
      </c>
      <c r="O58" s="294"/>
      <c r="P58" s="12"/>
    </row>
    <row r="59" spans="1:56" ht="15.75" customHeight="1" thickBot="1">
      <c r="B59" s="515"/>
      <c r="C59" s="349"/>
      <c r="D59" s="519"/>
      <c r="E59" s="520"/>
      <c r="F59" s="294"/>
      <c r="G59" s="42"/>
      <c r="H59" s="41"/>
      <c r="I59" s="42"/>
      <c r="J59" s="345" t="s">
        <v>9</v>
      </c>
      <c r="K59" s="324"/>
      <c r="L59" s="344">
        <f>AVERAGE(K68,'July 1st'!K67,'July 2nd'!K68,'July 3rd'!K68,'July 4th'!K68)</f>
        <v>8.4</v>
      </c>
      <c r="M59" s="325">
        <f>AVERAGE('[31]Jan 29th '!$M$70,'[32]Feb 28th'!$L$40,'[33]Mar. 31st'!$L$40,'[34]Apr. 30th'!$L$50,'[35]May 30th'!$L$42,L59)</f>
        <v>6.9344401974836751</v>
      </c>
      <c r="N59" s="417">
        <v>9.1999999999999993</v>
      </c>
      <c r="O59" s="294"/>
      <c r="P59" s="12"/>
    </row>
    <row r="60" spans="1:56" ht="15" customHeight="1">
      <c r="B60" s="515"/>
      <c r="C60" s="349"/>
      <c r="D60" s="573"/>
      <c r="E60" s="574"/>
      <c r="F60" s="294"/>
      <c r="G60" s="42"/>
      <c r="H60" s="41"/>
      <c r="I60" s="42"/>
      <c r="J60" s="288" t="s">
        <v>40</v>
      </c>
      <c r="K60" s="324"/>
      <c r="L60" s="294"/>
      <c r="M60" s="294"/>
      <c r="N60" s="294"/>
      <c r="O60" s="294"/>
      <c r="P60" s="12"/>
    </row>
    <row r="61" spans="1:56" ht="15" customHeight="1">
      <c r="B61" s="515"/>
      <c r="C61" s="349"/>
      <c r="D61" s="519"/>
      <c r="E61" s="520"/>
      <c r="F61" s="294"/>
      <c r="G61" s="42"/>
      <c r="H61" s="41"/>
      <c r="I61" s="42"/>
      <c r="J61" s="289" t="s">
        <v>33</v>
      </c>
      <c r="K61" s="324"/>
      <c r="L61" s="294"/>
      <c r="M61" s="294"/>
      <c r="N61" s="294"/>
      <c r="O61" s="294"/>
      <c r="P61" s="12"/>
    </row>
    <row r="62" spans="1:56" ht="14.4">
      <c r="B62" s="515"/>
      <c r="C62" s="349"/>
      <c r="D62" s="573"/>
      <c r="E62" s="574"/>
      <c r="F62" s="294"/>
      <c r="G62" s="42"/>
      <c r="H62" s="41"/>
      <c r="I62" s="42"/>
      <c r="J62" s="290" t="s">
        <v>16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5"/>
      <c r="C63" s="349"/>
      <c r="D63" s="519"/>
      <c r="E63" s="520"/>
      <c r="F63" s="294"/>
      <c r="G63" s="42"/>
      <c r="H63" s="41"/>
      <c r="I63" s="42"/>
      <c r="J63" s="291" t="s">
        <v>15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15"/>
      <c r="C64" s="349"/>
      <c r="D64" s="573"/>
      <c r="E64" s="574"/>
      <c r="F64" s="294"/>
      <c r="G64" s="42"/>
      <c r="H64" s="41"/>
      <c r="I64" s="42"/>
      <c r="J64" s="291" t="s">
        <v>149</v>
      </c>
      <c r="K64" s="324"/>
      <c r="L64" s="294"/>
      <c r="M64" s="294"/>
      <c r="N64" s="294"/>
      <c r="O64" s="294"/>
      <c r="P64" s="12"/>
      <c r="BC64" s="44"/>
      <c r="BD64" s="44"/>
    </row>
    <row r="65" spans="2:57" ht="15" thickBot="1">
      <c r="B65" s="516"/>
      <c r="C65" s="350"/>
      <c r="D65" s="575"/>
      <c r="E65" s="576"/>
      <c r="F65" s="294"/>
      <c r="G65" s="42"/>
      <c r="H65" s="41"/>
      <c r="I65" s="42"/>
      <c r="J65" s="291" t="s">
        <v>148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 thickBot="1">
      <c r="B66" s="312" t="s">
        <v>139</v>
      </c>
      <c r="C66" s="313"/>
      <c r="D66" s="577">
        <f>AVERAGE(D44:E65)</f>
        <v>11.3</v>
      </c>
      <c r="E66" s="578"/>
      <c r="F66" s="294"/>
      <c r="G66" s="42"/>
      <c r="H66" s="41"/>
      <c r="I66" s="42"/>
      <c r="J66" s="295" t="s">
        <v>134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>
      <c r="B67" s="363"/>
      <c r="C67" s="364"/>
      <c r="D67" s="365"/>
      <c r="E67" s="365"/>
      <c r="F67" s="294"/>
      <c r="G67" s="42"/>
      <c r="H67" s="41"/>
      <c r="I67" s="42"/>
      <c r="J67" s="295" t="s">
        <v>131</v>
      </c>
      <c r="K67" s="324"/>
      <c r="L67" s="294"/>
      <c r="M67" s="294"/>
      <c r="N67" s="294"/>
      <c r="O67" s="294"/>
      <c r="P67" s="12"/>
      <c r="BC67" s="44"/>
      <c r="BD67" s="44"/>
    </row>
    <row r="68" spans="2:57" ht="15.75" customHeight="1">
      <c r="B68" s="45"/>
      <c r="C68" s="11"/>
      <c r="D68" s="11"/>
      <c r="E68" s="46"/>
      <c r="F68" s="294"/>
      <c r="G68" s="42"/>
      <c r="H68" s="41"/>
      <c r="I68" s="42"/>
      <c r="J68" s="346" t="s">
        <v>130</v>
      </c>
      <c r="K68" s="324">
        <f>SUM(K58:K67)</f>
        <v>8</v>
      </c>
      <c r="L68" s="294"/>
      <c r="M68" s="294"/>
      <c r="N68" s="294"/>
      <c r="O68" s="294"/>
      <c r="P68" s="12"/>
    </row>
    <row r="69" spans="2:57" ht="20.25" customHeight="1">
      <c r="B69" s="15" t="s">
        <v>42</v>
      </c>
      <c r="C69" s="1" t="s">
        <v>43</v>
      </c>
      <c r="D69" s="1"/>
      <c r="E69" s="1"/>
      <c r="F69" s="294"/>
      <c r="G69" s="42"/>
      <c r="H69" s="41"/>
      <c r="I69" s="42"/>
      <c r="L69" s="294"/>
      <c r="P69" s="334"/>
    </row>
    <row r="70" spans="2:57" ht="15" customHeight="1" thickBot="1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  <c r="O70" s="48"/>
      <c r="P70" s="49"/>
    </row>
    <row r="71" spans="2:57" ht="15" customHeight="1" thickBot="1">
      <c r="B71" s="498" t="s">
        <v>17</v>
      </c>
      <c r="C71" s="498" t="s">
        <v>44</v>
      </c>
      <c r="D71" s="510" t="s">
        <v>45</v>
      </c>
      <c r="E71" s="512" t="s">
        <v>46</v>
      </c>
      <c r="F71" s="506" t="s">
        <v>47</v>
      </c>
      <c r="G71" s="496" t="s">
        <v>48</v>
      </c>
      <c r="H71" s="498" t="s">
        <v>49</v>
      </c>
      <c r="I71" s="498" t="s">
        <v>50</v>
      </c>
      <c r="J71" s="490" t="s">
        <v>28</v>
      </c>
      <c r="K71" s="502" t="s">
        <v>51</v>
      </c>
      <c r="L71" s="504" t="s">
        <v>52</v>
      </c>
      <c r="M71" s="490" t="s">
        <v>53</v>
      </c>
      <c r="N71" s="13"/>
      <c r="O71" s="13"/>
      <c r="P71" s="50"/>
    </row>
    <row r="72" spans="2:57" ht="28.5" customHeight="1" thickTop="1" thickBot="1">
      <c r="B72" s="499"/>
      <c r="C72" s="499"/>
      <c r="D72" s="511"/>
      <c r="E72" s="513"/>
      <c r="F72" s="507"/>
      <c r="G72" s="497"/>
      <c r="H72" s="499"/>
      <c r="I72" s="499"/>
      <c r="J72" s="491"/>
      <c r="K72" s="503"/>
      <c r="L72" s="505"/>
      <c r="M72" s="491"/>
      <c r="N72" s="13"/>
      <c r="O72" s="13"/>
      <c r="P72" s="50"/>
      <c r="Q72" s="355"/>
      <c r="AB72" s="51">
        <v>43474</v>
      </c>
      <c r="AC72" s="51">
        <v>43475</v>
      </c>
      <c r="AD72" s="51">
        <v>43476</v>
      </c>
      <c r="AE72" s="51">
        <v>43477</v>
      </c>
      <c r="AF72" s="51">
        <v>43478</v>
      </c>
      <c r="AG72" s="51">
        <v>43479</v>
      </c>
      <c r="AH72" s="51">
        <v>43480</v>
      </c>
      <c r="AI72" s="51">
        <v>43481</v>
      </c>
      <c r="AJ72" s="51">
        <v>43482</v>
      </c>
      <c r="AK72" s="51">
        <v>43483</v>
      </c>
      <c r="AL72" s="51">
        <v>43484</v>
      </c>
      <c r="AM72" s="51">
        <v>43485</v>
      </c>
      <c r="AN72" s="51">
        <v>43486</v>
      </c>
      <c r="AO72" s="51">
        <v>43487</v>
      </c>
      <c r="AP72" s="51">
        <v>43488</v>
      </c>
      <c r="AQ72" s="51">
        <v>43489</v>
      </c>
      <c r="AR72" s="51">
        <v>43490</v>
      </c>
      <c r="AS72" s="51">
        <v>43491</v>
      </c>
      <c r="AT72" s="51">
        <v>43492</v>
      </c>
      <c r="AU72" s="51">
        <v>43493</v>
      </c>
      <c r="AV72" s="51">
        <v>43494</v>
      </c>
      <c r="AW72" s="51">
        <v>43495</v>
      </c>
      <c r="AX72" s="51">
        <v>43496</v>
      </c>
    </row>
    <row r="73" spans="2:57" s="54" customFormat="1" ht="53.25" customHeight="1">
      <c r="B73" s="431" t="str">
        <f>B86</f>
        <v>HURRICANE REEF PILS</v>
      </c>
      <c r="C73" s="422">
        <v>45845</v>
      </c>
      <c r="D73" s="377">
        <f>[36]July_2025!$J$86</f>
        <v>216.90000000000003</v>
      </c>
      <c r="E73" s="378"/>
      <c r="F73" s="379">
        <f>'[38]HR Pilsener'!$L$6+'[38]HR Pilsener'!$L$8</f>
        <v>203.9</v>
      </c>
      <c r="G73" s="303">
        <f>[36]July_2025!$J$90</f>
        <v>196.3</v>
      </c>
      <c r="H73" s="320">
        <f>(D73-F73)/D73*100</f>
        <v>5.993545412632562</v>
      </c>
      <c r="I73" s="322">
        <f>((F73+E73)-G73)/(F73+E73)*100</f>
        <v>3.7273173124080405</v>
      </c>
      <c r="J73" s="392" t="s">
        <v>164</v>
      </c>
      <c r="K73" s="286">
        <f>[37]July_2025!$J$74</f>
        <v>0.68877192982456148</v>
      </c>
      <c r="L73" s="314">
        <f>(((D73+E73)-G73)/(D73+E73))*100</f>
        <v>9.4974642692485105</v>
      </c>
      <c r="M73" s="416" t="s">
        <v>176</v>
      </c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[20]January_2019!L7</f>
        <v>285.8</v>
      </c>
      <c r="AC73" s="57">
        <f>[20]January_2019!M7</f>
        <v>508.1</v>
      </c>
      <c r="AD73" s="57">
        <f>[20]January_2019!N7</f>
        <v>0</v>
      </c>
      <c r="AE73" s="57">
        <f>[20]January_2019!O7</f>
        <v>0</v>
      </c>
      <c r="AF73" s="57">
        <f>[20]January_2019!P7</f>
        <v>109.56666666666666</v>
      </c>
      <c r="AG73" s="57">
        <f>[20]January_2019!Q7</f>
        <v>297.64999999999998</v>
      </c>
      <c r="AH73" s="57">
        <f>[20]January_2019!R7</f>
        <v>122.3</v>
      </c>
      <c r="AI73" s="57">
        <f>[20]January_2019!S7</f>
        <v>0</v>
      </c>
      <c r="AJ73" s="57">
        <f>[20]January_2019!T7</f>
        <v>294.7</v>
      </c>
      <c r="AK73" s="57">
        <f>[20]January_2019!U7</f>
        <v>280.5</v>
      </c>
      <c r="AL73" s="57">
        <f>[20]January_2019!V7</f>
        <v>0</v>
      </c>
      <c r="AM73" s="57">
        <f>[20]January_2019!W7</f>
        <v>0</v>
      </c>
      <c r="AN73" s="57">
        <f>[20]January_2019!X7</f>
        <v>188.25</v>
      </c>
      <c r="AO73" s="57">
        <f>[20]January_2019!Y7</f>
        <v>295.7</v>
      </c>
      <c r="AP73" s="57">
        <f>[20]January_2019!Z7</f>
        <v>257.8</v>
      </c>
      <c r="AQ73" s="57">
        <f>[20]January_2019!AA7</f>
        <v>291.2</v>
      </c>
      <c r="AR73" s="57">
        <f>[20]January_2019!AB7</f>
        <v>187</v>
      </c>
      <c r="AS73" s="57">
        <f>[20]January_2019!AC7</f>
        <v>0</v>
      </c>
      <c r="AT73" s="57">
        <f>[20]January_2019!AD7</f>
        <v>0</v>
      </c>
      <c r="AU73" s="57">
        <f>[20]January_2019!AE7</f>
        <v>485.1</v>
      </c>
      <c r="AV73" s="57">
        <f>[20]January_2019!AF7</f>
        <v>171.55</v>
      </c>
      <c r="AW73" s="57">
        <f>[20]January_2019!AG7</f>
        <v>423.8</v>
      </c>
      <c r="AX73" s="277">
        <f>[20]January_2019!AH7</f>
        <v>0</v>
      </c>
      <c r="AY73" s="277"/>
      <c r="AZ73" s="277"/>
      <c r="BA73" s="277"/>
      <c r="BB73" s="277"/>
      <c r="BC73" s="277"/>
      <c r="BD73" s="277"/>
      <c r="BE73" s="277"/>
    </row>
    <row r="74" spans="2:57" s="54" customFormat="1" ht="16.5" customHeight="1">
      <c r="B74" s="421"/>
      <c r="C74" s="283"/>
      <c r="D74" s="377"/>
      <c r="E74" s="378"/>
      <c r="F74" s="379"/>
      <c r="G74" s="303"/>
      <c r="H74" s="320"/>
      <c r="I74" s="322"/>
      <c r="J74" s="281"/>
      <c r="K74" s="286"/>
      <c r="L74" s="314"/>
      <c r="M74" s="416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415"/>
      <c r="AC74" s="415"/>
      <c r="AD74" s="415"/>
      <c r="AE74" s="415"/>
      <c r="AF74" s="415"/>
      <c r="AG74" s="415"/>
      <c r="AH74" s="415"/>
      <c r="AI74" s="415"/>
      <c r="AJ74" s="415"/>
      <c r="AK74" s="415"/>
      <c r="AL74" s="415"/>
      <c r="AM74" s="415"/>
      <c r="AN74" s="415"/>
      <c r="AO74" s="415"/>
      <c r="AP74" s="415"/>
      <c r="AQ74" s="415"/>
      <c r="AR74" s="415"/>
      <c r="AS74" s="415"/>
      <c r="AT74" s="415"/>
      <c r="AU74" s="415"/>
      <c r="AV74" s="415"/>
      <c r="AW74" s="415"/>
    </row>
    <row r="75" spans="2:57" ht="18" customHeight="1" thickBot="1">
      <c r="B75" s="59"/>
      <c r="C75" s="30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 t="s">
        <v>41</v>
      </c>
      <c r="O75" s="56"/>
      <c r="P75" s="60"/>
    </row>
    <row r="76" spans="2:57" ht="14.4" thickBot="1">
      <c r="B76" s="492" t="s">
        <v>55</v>
      </c>
      <c r="C76" s="493"/>
      <c r="D76" s="493"/>
      <c r="E76" s="493"/>
      <c r="F76" s="494"/>
      <c r="G76" s="492" t="s">
        <v>56</v>
      </c>
      <c r="H76" s="493"/>
      <c r="I76" s="493"/>
      <c r="J76" s="494"/>
      <c r="K76" s="492" t="s">
        <v>51</v>
      </c>
      <c r="L76" s="493"/>
      <c r="M76" s="493"/>
      <c r="N76" s="495"/>
      <c r="O76" s="56"/>
      <c r="P76" s="50"/>
    </row>
    <row r="77" spans="2:57">
      <c r="B77" s="61" t="s">
        <v>17</v>
      </c>
      <c r="C77" s="62" t="s">
        <v>36</v>
      </c>
      <c r="D77" s="62" t="s">
        <v>37</v>
      </c>
      <c r="E77" s="62" t="s">
        <v>38</v>
      </c>
      <c r="F77" s="63" t="s">
        <v>39</v>
      </c>
      <c r="G77" s="62" t="s">
        <v>36</v>
      </c>
      <c r="H77" s="62" t="s">
        <v>37</v>
      </c>
      <c r="I77" s="62" t="s">
        <v>38</v>
      </c>
      <c r="J77" s="63" t="s">
        <v>39</v>
      </c>
      <c r="K77" s="62" t="s">
        <v>36</v>
      </c>
      <c r="L77" s="62" t="s">
        <v>37</v>
      </c>
      <c r="M77" s="62" t="s">
        <v>38</v>
      </c>
      <c r="N77" s="63" t="s">
        <v>39</v>
      </c>
      <c r="O77" s="56"/>
      <c r="P77" s="64"/>
    </row>
    <row r="78" spans="2:57">
      <c r="B78" s="29" t="s">
        <v>6</v>
      </c>
      <c r="C78" s="65"/>
      <c r="D78" s="76">
        <v>5.0608856930023203</v>
      </c>
      <c r="E78" s="76">
        <v>6.5163972239457122</v>
      </c>
      <c r="F78" s="66">
        <v>4.8</v>
      </c>
      <c r="G78" s="65"/>
      <c r="H78" s="76">
        <v>3.579738071328245</v>
      </c>
      <c r="I78" s="76">
        <v>6.4447120450159749</v>
      </c>
      <c r="J78" s="66">
        <v>4.8</v>
      </c>
      <c r="K78" s="67"/>
      <c r="L78" s="194">
        <v>0.76245614035087717</v>
      </c>
      <c r="M78" s="194">
        <v>0.7219334343185404</v>
      </c>
      <c r="N78" s="68">
        <v>1</v>
      </c>
      <c r="O78" s="56"/>
      <c r="P78" s="69"/>
    </row>
    <row r="79" spans="2:57">
      <c r="B79" s="33" t="s">
        <v>9</v>
      </c>
      <c r="C79" s="65"/>
      <c r="D79" s="76">
        <v>5.1037577117218298</v>
      </c>
      <c r="E79" s="76">
        <v>6.0971944717676134</v>
      </c>
      <c r="F79" s="66">
        <v>4.8</v>
      </c>
      <c r="G79" s="65"/>
      <c r="H79" s="76">
        <v>3.2384753080210245</v>
      </c>
      <c r="I79" s="76">
        <v>5.768083676790571</v>
      </c>
      <c r="J79" s="66">
        <v>4.8</v>
      </c>
      <c r="K79" s="67"/>
      <c r="L79" s="194">
        <v>0.5936842105263157</v>
      </c>
      <c r="M79" s="194">
        <v>0.75812656809312595</v>
      </c>
      <c r="N79" s="68">
        <v>1</v>
      </c>
      <c r="P79" s="69"/>
    </row>
    <row r="80" spans="2:57">
      <c r="B80" s="34" t="s">
        <v>40</v>
      </c>
      <c r="C80" s="65"/>
      <c r="D80" s="76"/>
      <c r="E80" s="76">
        <v>11.96027372373279</v>
      </c>
      <c r="F80" s="66">
        <v>5.5</v>
      </c>
      <c r="G80" s="65"/>
      <c r="H80" s="76"/>
      <c r="I80" s="76">
        <v>13.111031100634913</v>
      </c>
      <c r="J80" s="66">
        <v>5.5</v>
      </c>
      <c r="K80" s="67"/>
      <c r="L80" s="194"/>
      <c r="M80" s="194">
        <v>0.4869398559932232</v>
      </c>
      <c r="N80" s="68">
        <v>1</v>
      </c>
      <c r="P80" s="69"/>
    </row>
    <row r="81" spans="2:16">
      <c r="B81" s="22" t="s">
        <v>33</v>
      </c>
      <c r="C81" s="65"/>
      <c r="D81" s="76"/>
      <c r="E81" s="76">
        <v>5.4214697406339898</v>
      </c>
      <c r="F81" s="66">
        <v>3.3</v>
      </c>
      <c r="G81" s="65"/>
      <c r="H81" s="76"/>
      <c r="I81" s="76">
        <v>5.263029001952213</v>
      </c>
      <c r="J81" s="66">
        <v>3.3</v>
      </c>
      <c r="K81" s="67"/>
      <c r="L81" s="194"/>
      <c r="M81" s="194">
        <v>0.6919486215538847</v>
      </c>
      <c r="N81" s="68">
        <v>1</v>
      </c>
      <c r="P81" s="69"/>
    </row>
    <row r="82" spans="2:16">
      <c r="B82" s="35" t="s">
        <v>29</v>
      </c>
      <c r="C82" s="65"/>
      <c r="D82" s="76"/>
      <c r="E82" s="76"/>
      <c r="F82" s="66">
        <v>3.3</v>
      </c>
      <c r="G82" s="282"/>
      <c r="H82" s="76"/>
      <c r="I82" s="76"/>
      <c r="J82" s="66">
        <v>3</v>
      </c>
      <c r="L82" s="194"/>
      <c r="M82" s="194"/>
      <c r="N82" s="68">
        <v>1</v>
      </c>
      <c r="P82" s="69"/>
    </row>
    <row r="83" spans="2:16">
      <c r="B83" s="36" t="s">
        <v>15</v>
      </c>
      <c r="C83" s="282"/>
      <c r="D83" s="76"/>
      <c r="E83" s="76">
        <v>7.3129862357869699</v>
      </c>
      <c r="F83" s="70">
        <f>[21]May_2022!$M$43</f>
        <v>3.4878406700073312</v>
      </c>
      <c r="G83" s="282"/>
      <c r="H83" s="76"/>
      <c r="I83" s="76">
        <v>8.9862703283331644</v>
      </c>
      <c r="J83" s="66">
        <v>5.5</v>
      </c>
      <c r="K83" s="67"/>
      <c r="L83" s="194"/>
      <c r="M83" s="194">
        <v>0.59276315789473688</v>
      </c>
      <c r="N83" s="68">
        <v>1</v>
      </c>
      <c r="P83" s="69"/>
    </row>
    <row r="84" spans="2:16">
      <c r="B84" s="37" t="s">
        <v>16</v>
      </c>
      <c r="C84" s="65"/>
      <c r="D84" s="76">
        <v>2.3359073359073403</v>
      </c>
      <c r="E84" s="76">
        <v>2.980561555075584</v>
      </c>
      <c r="F84" s="66">
        <v>3.3</v>
      </c>
      <c r="G84" s="282"/>
      <c r="H84" s="76">
        <v>3.7114579368100644</v>
      </c>
      <c r="I84" s="76">
        <v>4.4931174512296872</v>
      </c>
      <c r="J84" s="66">
        <v>3.3</v>
      </c>
      <c r="K84" s="67"/>
      <c r="L84" s="194">
        <v>1.7750877192982455</v>
      </c>
      <c r="M84" s="194">
        <v>0.83077455048409399</v>
      </c>
      <c r="N84" s="71">
        <v>1</v>
      </c>
      <c r="P84" s="69"/>
    </row>
    <row r="85" spans="2:16" ht="14.4" thickBot="1">
      <c r="B85" s="38" t="s">
        <v>127</v>
      </c>
      <c r="C85" s="65"/>
      <c r="D85" s="76"/>
      <c r="E85" s="76"/>
      <c r="F85" s="66">
        <v>7.5</v>
      </c>
      <c r="G85" s="282"/>
      <c r="H85" s="76"/>
      <c r="I85" s="76"/>
      <c r="J85" s="66">
        <v>7.5</v>
      </c>
      <c r="K85" s="67"/>
      <c r="L85" s="194"/>
      <c r="M85" s="194"/>
      <c r="N85" s="71">
        <v>1</v>
      </c>
      <c r="P85" s="69"/>
    </row>
    <row r="86" spans="2:16" ht="14.4" thickBot="1">
      <c r="B86" s="414" t="s">
        <v>161</v>
      </c>
      <c r="C86" s="65">
        <f>L73</f>
        <v>9.4974642692485105</v>
      </c>
      <c r="D86" s="76">
        <v>9.4974642692485105</v>
      </c>
      <c r="E86" s="76">
        <v>7.2653644592663174</v>
      </c>
      <c r="F86" s="66">
        <v>4.8</v>
      </c>
      <c r="G86" s="282">
        <f>[36]July_2025!$J$94</f>
        <v>10.183089539936029</v>
      </c>
      <c r="H86" s="76">
        <v>10.183089539936029</v>
      </c>
      <c r="I86" s="76">
        <v>8.1715311054411259</v>
      </c>
      <c r="J86" s="66">
        <v>4.8</v>
      </c>
      <c r="K86" s="67">
        <f>K73</f>
        <v>0.68877192982456148</v>
      </c>
      <c r="L86" s="194">
        <v>0.68877192982456148</v>
      </c>
      <c r="M86" s="194">
        <v>0.51368421052631585</v>
      </c>
      <c r="N86" s="71">
        <v>1</v>
      </c>
      <c r="O86" s="74"/>
      <c r="P86" s="75"/>
    </row>
    <row r="87" spans="2:16">
      <c r="D87" s="76">
        <v>4.77978854098372</v>
      </c>
      <c r="E87" s="76">
        <v>6.5467124707955016</v>
      </c>
      <c r="F87" s="341">
        <v>5.5</v>
      </c>
      <c r="H87" s="76">
        <v>4.3606558673896352</v>
      </c>
      <c r="I87" s="76">
        <v>6.7789448687636922</v>
      </c>
      <c r="J87" s="341">
        <v>5.5</v>
      </c>
      <c r="L87" s="194">
        <v>0.91649122807017525</v>
      </c>
      <c r="M87" s="194">
        <v>0.70567946232389822</v>
      </c>
      <c r="N87" s="386">
        <v>1</v>
      </c>
    </row>
    <row r="91" spans="2:16">
      <c r="F91" s="315"/>
    </row>
    <row r="92" spans="2:16">
      <c r="F92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2:N42"/>
    <mergeCell ref="D43:E43"/>
    <mergeCell ref="B44:B55"/>
    <mergeCell ref="D44:E45"/>
    <mergeCell ref="D46:E47"/>
    <mergeCell ref="D48:E49"/>
    <mergeCell ref="D50:E51"/>
    <mergeCell ref="D52:E53"/>
    <mergeCell ref="D54:E55"/>
    <mergeCell ref="B56:B65"/>
    <mergeCell ref="D56:E57"/>
    <mergeCell ref="J56:K56"/>
    <mergeCell ref="L57:N57"/>
    <mergeCell ref="D58:E59"/>
    <mergeCell ref="D60:E61"/>
    <mergeCell ref="D62:E63"/>
    <mergeCell ref="D64:E65"/>
    <mergeCell ref="D66:E66"/>
    <mergeCell ref="B71:B72"/>
    <mergeCell ref="C71:C72"/>
    <mergeCell ref="D71:D72"/>
    <mergeCell ref="E71:E72"/>
    <mergeCell ref="M71:M72"/>
    <mergeCell ref="B76:F76"/>
    <mergeCell ref="G76:J76"/>
    <mergeCell ref="K76:N76"/>
    <mergeCell ref="G71:G72"/>
    <mergeCell ref="H71:H72"/>
    <mergeCell ref="I71:I72"/>
    <mergeCell ref="J71:J72"/>
    <mergeCell ref="K71:K72"/>
    <mergeCell ref="L71:L72"/>
    <mergeCell ref="F71:F72"/>
  </mergeCells>
  <conditionalFormatting sqref="B66:B67">
    <cfRule type="cellIs" dxfId="2379" priority="102" operator="notBetween">
      <formula>#REF!</formula>
      <formula>#REF!</formula>
    </cfRule>
  </conditionalFormatting>
  <conditionalFormatting sqref="C70">
    <cfRule type="cellIs" dxfId="2378" priority="134" stopIfTrue="1" operator="greaterThan">
      <formula>100</formula>
    </cfRule>
    <cfRule type="cellIs" dxfId="2377" priority="133" stopIfTrue="1" operator="lessThan">
      <formula>96</formula>
    </cfRule>
  </conditionalFormatting>
  <conditionalFormatting sqref="C78:C79">
    <cfRule type="cellIs" dxfId="2376" priority="80" stopIfTrue="1" operator="lessThanOrEqual">
      <formula>0</formula>
    </cfRule>
  </conditionalFormatting>
  <conditionalFormatting sqref="C78:C82">
    <cfRule type="cellIs" dxfId="2375" priority="79" stopIfTrue="1" operator="greaterThan">
      <formula>$F78</formula>
    </cfRule>
  </conditionalFormatting>
  <conditionalFormatting sqref="C79">
    <cfRule type="cellIs" dxfId="2374" priority="137" stopIfTrue="1" operator="greaterThan">
      <formula>$F78</formula>
    </cfRule>
  </conditionalFormatting>
  <conditionalFormatting sqref="C80:C83">
    <cfRule type="cellIs" dxfId="2373" priority="86" stopIfTrue="1" operator="lessThanOrEqual">
      <formula>0</formula>
    </cfRule>
  </conditionalFormatting>
  <conditionalFormatting sqref="C83">
    <cfRule type="cellIs" dxfId="2372" priority="85" stopIfTrue="1" operator="greaterThan">
      <formula>$J83</formula>
    </cfRule>
  </conditionalFormatting>
  <conditionalFormatting sqref="C89:C93">
    <cfRule type="cellIs" dxfId="2371" priority="125" stopIfTrue="1" operator="lessThanOrEqual">
      <formula>0</formula>
    </cfRule>
  </conditionalFormatting>
  <conditionalFormatting sqref="C90:C93">
    <cfRule type="cellIs" dxfId="2370" priority="124" stopIfTrue="1" operator="greaterThan">
      <formula>$F$89</formula>
    </cfRule>
  </conditionalFormatting>
  <conditionalFormatting sqref="C95">
    <cfRule type="cellIs" dxfId="2369" priority="127" stopIfTrue="1" operator="lessThanOrEqual">
      <formula>0</formula>
    </cfRule>
    <cfRule type="cellIs" dxfId="2368" priority="126" stopIfTrue="1" operator="greaterThan">
      <formula>$F$89</formula>
    </cfRule>
  </conditionalFormatting>
  <conditionalFormatting sqref="C89:D89 D91:D97">
    <cfRule type="cellIs" dxfId="2367" priority="119" stopIfTrue="1" operator="greaterThan">
      <formula>4.5</formula>
    </cfRule>
  </conditionalFormatting>
  <conditionalFormatting sqref="D66:D67">
    <cfRule type="cellIs" dxfId="2366" priority="103" operator="notBetween">
      <formula>#REF!</formula>
      <formula>#REF!</formula>
    </cfRule>
  </conditionalFormatting>
  <conditionalFormatting sqref="D78:D85">
    <cfRule type="cellIs" dxfId="2365" priority="96" stopIfTrue="1" operator="lessThanOrEqual">
      <formula>0</formula>
    </cfRule>
  </conditionalFormatting>
  <conditionalFormatting sqref="D86">
    <cfRule type="cellIs" dxfId="2364" priority="95" stopIfTrue="1" operator="lessThanOrEqual">
      <formula>0</formula>
    </cfRule>
  </conditionalFormatting>
  <conditionalFormatting sqref="D89 D91:D97">
    <cfRule type="cellIs" dxfId="2363" priority="120" stopIfTrue="1" operator="lessThanOrEqual">
      <formula>0</formula>
    </cfRule>
  </conditionalFormatting>
  <conditionalFormatting sqref="D90">
    <cfRule type="cellIs" dxfId="2362" priority="112" stopIfTrue="1" operator="lessThanOrEqual">
      <formula>0</formula>
    </cfRule>
    <cfRule type="cellIs" dxfId="2361" priority="111" stopIfTrue="1" operator="greaterThan">
      <formula>$F$89</formula>
    </cfRule>
  </conditionalFormatting>
  <conditionalFormatting sqref="D78:E87">
    <cfRule type="cellIs" dxfId="2360" priority="76" stopIfTrue="1" operator="greaterThan">
      <formula>$F78</formula>
    </cfRule>
  </conditionalFormatting>
  <conditionalFormatting sqref="D87:E87">
    <cfRule type="cellIs" dxfId="2359" priority="77" stopIfTrue="1" operator="lessThanOrEqual">
      <formula>0</formula>
    </cfRule>
  </conditionalFormatting>
  <conditionalFormatting sqref="E10:E41">
    <cfRule type="cellIs" dxfId="2358" priority="20" operator="lessThan">
      <formula>48</formula>
    </cfRule>
  </conditionalFormatting>
  <conditionalFormatting sqref="E69 E70:F70">
    <cfRule type="cellIs" dxfId="2357" priority="116" stopIfTrue="1" operator="greaterThan">
      <formula>100</formula>
    </cfRule>
  </conditionalFormatting>
  <conditionalFormatting sqref="E70">
    <cfRule type="cellIs" dxfId="2356" priority="114" stopIfTrue="1" operator="greaterThan">
      <formula>100</formula>
    </cfRule>
    <cfRule type="cellIs" dxfId="2355" priority="113" stopIfTrue="1" operator="lessThan">
      <formula>96.8</formula>
    </cfRule>
  </conditionalFormatting>
  <conditionalFormatting sqref="E78:E86">
    <cfRule type="cellIs" dxfId="2354" priority="90" stopIfTrue="1" operator="lessThanOrEqual">
      <formula>0</formula>
    </cfRule>
  </conditionalFormatting>
  <conditionalFormatting sqref="E89:E97">
    <cfRule type="cellIs" dxfId="2353" priority="106" stopIfTrue="1" operator="lessThanOrEqual">
      <formula>0</formula>
    </cfRule>
    <cfRule type="cellIs" dxfId="2352" priority="105" stopIfTrue="1" operator="greaterThan">
      <formula>4.5</formula>
    </cfRule>
  </conditionalFormatting>
  <conditionalFormatting sqref="E70:F70 E69">
    <cfRule type="cellIs" dxfId="2351" priority="115" stopIfTrue="1" operator="lessThan">
      <formula>96.5</formula>
    </cfRule>
  </conditionalFormatting>
  <conditionalFormatting sqref="F10:F41">
    <cfRule type="cellIs" dxfId="2350" priority="21" operator="greaterThan">
      <formula>60</formula>
    </cfRule>
  </conditionalFormatting>
  <conditionalFormatting sqref="F70">
    <cfRule type="cellIs" dxfId="2349" priority="131" stopIfTrue="1" operator="lessThan">
      <formula>96.8</formula>
    </cfRule>
    <cfRule type="cellIs" dxfId="2348" priority="132" stopIfTrue="1" operator="greaterThan">
      <formula>100</formula>
    </cfRule>
  </conditionalFormatting>
  <conditionalFormatting sqref="F87">
    <cfRule type="cellIs" dxfId="2347" priority="92" stopIfTrue="1" operator="lessThanOrEqual">
      <formula>0</formula>
    </cfRule>
    <cfRule type="cellIs" dxfId="2346" priority="91" stopIfTrue="1" operator="greaterThan">
      <formula>$F87</formula>
    </cfRule>
  </conditionalFormatting>
  <conditionalFormatting sqref="F92">
    <cfRule type="cellIs" dxfId="2345" priority="32" stopIfTrue="1" operator="lessThanOrEqual">
      <formula>0</formula>
    </cfRule>
    <cfRule type="cellIs" dxfId="2344" priority="31" stopIfTrue="1" operator="greaterThan">
      <formula>$F92</formula>
    </cfRule>
  </conditionalFormatting>
  <conditionalFormatting sqref="G78:G79 C84:C86">
    <cfRule type="cellIs" dxfId="2343" priority="98" stopIfTrue="1" operator="lessThanOrEqual">
      <formula>0</formula>
    </cfRule>
    <cfRule type="cellIs" dxfId="2342" priority="97" stopIfTrue="1" operator="greaterThan">
      <formula>$F78</formula>
    </cfRule>
  </conditionalFormatting>
  <conditionalFormatting sqref="G78:G79">
    <cfRule type="cellIs" dxfId="2341" priority="81" stopIfTrue="1" operator="greaterThan">
      <formula>$F78</formula>
    </cfRule>
    <cfRule type="cellIs" dxfId="2340" priority="82" stopIfTrue="1" operator="lessThanOrEqual">
      <formula>0</formula>
    </cfRule>
  </conditionalFormatting>
  <conditionalFormatting sqref="G80">
    <cfRule type="cellIs" dxfId="2339" priority="135" stopIfTrue="1" operator="greaterThan">
      <formula>$F79</formula>
    </cfRule>
    <cfRule type="cellIs" dxfId="2338" priority="136" stopIfTrue="1" operator="lessThanOrEqual">
      <formula>0</formula>
    </cfRule>
  </conditionalFormatting>
  <conditionalFormatting sqref="G81">
    <cfRule type="cellIs" dxfId="2337" priority="94" stopIfTrue="1" operator="lessThanOrEqual">
      <formula>0</formula>
    </cfRule>
    <cfRule type="cellIs" dxfId="2336" priority="93" stopIfTrue="1" operator="greaterThan">
      <formula>$F81</formula>
    </cfRule>
  </conditionalFormatting>
  <conditionalFormatting sqref="G82:G86">
    <cfRule type="cellIs" dxfId="2335" priority="100" stopIfTrue="1" operator="lessThanOrEqual">
      <formula>0</formula>
    </cfRule>
    <cfRule type="cellIs" dxfId="2334" priority="99" stopIfTrue="1" operator="greaterThan">
      <formula>$J82</formula>
    </cfRule>
  </conditionalFormatting>
  <conditionalFormatting sqref="G91:G96 C94 C96">
    <cfRule type="cellIs" dxfId="2333" priority="128" stopIfTrue="1" operator="greaterThan">
      <formula>4.5</formula>
    </cfRule>
    <cfRule type="cellIs" dxfId="2332" priority="129" stopIfTrue="1" operator="lessThanOrEqual">
      <formula>0</formula>
    </cfRule>
  </conditionalFormatting>
  <conditionalFormatting sqref="G10:H41">
    <cfRule type="expression" dxfId="2331" priority="19">
      <formula>IF(+(IF(G10&lt;#REF!,0,IF(G10&gt;#REF!,0,1)))=0,1)</formula>
    </cfRule>
  </conditionalFormatting>
  <conditionalFormatting sqref="G90:H90">
    <cfRule type="cellIs" dxfId="2330" priority="110" stopIfTrue="1" operator="lessThanOrEqual">
      <formula>0</formula>
    </cfRule>
    <cfRule type="cellIs" dxfId="2329" priority="109" stopIfTrue="1" operator="greaterThan">
      <formula>$F$89</formula>
    </cfRule>
  </conditionalFormatting>
  <conditionalFormatting sqref="H55:H69">
    <cfRule type="cellIs" dxfId="2328" priority="107" stopIfTrue="1" operator="greaterThan">
      <formula>0</formula>
    </cfRule>
  </conditionalFormatting>
  <conditionalFormatting sqref="H73">
    <cfRule type="cellIs" dxfId="2327" priority="2" stopIfTrue="1" operator="lessThanOrEqual">
      <formula>0</formula>
    </cfRule>
    <cfRule type="cellIs" dxfId="2326" priority="3" stopIfTrue="1" operator="greaterThan">
      <formula>$F$39</formula>
    </cfRule>
    <cfRule type="cellIs" dxfId="2325" priority="12" stopIfTrue="1" operator="lessThanOrEqual">
      <formula>0</formula>
    </cfRule>
    <cfRule type="cellIs" dxfId="2324" priority="13" stopIfTrue="1" operator="greaterThan">
      <formula>$F$40</formula>
    </cfRule>
    <cfRule type="cellIs" dxfId="2323" priority="11" stopIfTrue="1" operator="greaterThan">
      <formula>$F$42</formula>
    </cfRule>
    <cfRule type="cellIs" dxfId="2322" priority="14" stopIfTrue="1" operator="lessThanOrEqual">
      <formula>0</formula>
    </cfRule>
  </conditionalFormatting>
  <conditionalFormatting sqref="H74">
    <cfRule type="cellIs" dxfId="2321" priority="50" stopIfTrue="1" operator="lessThanOrEqual">
      <formula>0</formula>
    </cfRule>
    <cfRule type="cellIs" dxfId="2320" priority="51" stopIfTrue="1" operator="greaterThan">
      <formula>$F$54</formula>
    </cfRule>
    <cfRule type="cellIs" dxfId="2319" priority="62" stopIfTrue="1" operator="lessThanOrEqual">
      <formula>0</formula>
    </cfRule>
    <cfRule type="cellIs" dxfId="2318" priority="60" stopIfTrue="1" operator="lessThanOrEqual">
      <formula>0</formula>
    </cfRule>
    <cfRule type="cellIs" dxfId="2317" priority="59" stopIfTrue="1" operator="greaterThan">
      <formula>$F$57</formula>
    </cfRule>
    <cfRule type="cellIs" dxfId="2316" priority="61" stopIfTrue="1" operator="greaterThan">
      <formula>$F$55</formula>
    </cfRule>
  </conditionalFormatting>
  <conditionalFormatting sqref="H78:H85">
    <cfRule type="cellIs" dxfId="2315" priority="84" stopIfTrue="1" operator="lessThanOrEqual">
      <formula>0</formula>
    </cfRule>
    <cfRule type="cellIs" dxfId="2314" priority="83" stopIfTrue="1" operator="greaterThan">
      <formula>$J78</formula>
    </cfRule>
  </conditionalFormatting>
  <conditionalFormatting sqref="H86">
    <cfRule type="cellIs" dxfId="2313" priority="87" operator="greaterThan">
      <formula>5.3</formula>
    </cfRule>
  </conditionalFormatting>
  <conditionalFormatting sqref="H89 H91:H97">
    <cfRule type="cellIs" dxfId="2312" priority="122" stopIfTrue="1" operator="lessThanOrEqual">
      <formula>0</formula>
    </cfRule>
    <cfRule type="cellIs" dxfId="2311" priority="121" stopIfTrue="1" operator="greaterThan">
      <formula>4.5</formula>
    </cfRule>
  </conditionalFormatting>
  <conditionalFormatting sqref="H73:I73">
    <cfRule type="cellIs" dxfId="2310" priority="4" stopIfTrue="1" operator="lessThanOrEqual">
      <formula>0</formula>
    </cfRule>
    <cfRule type="cellIs" dxfId="2309" priority="1" stopIfTrue="1" operator="greaterThan">
      <formula>$F$41</formula>
    </cfRule>
  </conditionalFormatting>
  <conditionalFormatting sqref="H74:I74">
    <cfRule type="cellIs" dxfId="2308" priority="52" stopIfTrue="1" operator="lessThanOrEqual">
      <formula>0</formula>
    </cfRule>
    <cfRule type="cellIs" dxfId="2307" priority="49" stopIfTrue="1" operator="greaterThan">
      <formula>$F$56</formula>
    </cfRule>
  </conditionalFormatting>
  <conditionalFormatting sqref="H87:I87">
    <cfRule type="cellIs" dxfId="2306" priority="75" stopIfTrue="1" operator="lessThanOrEqual">
      <formula>0</formula>
    </cfRule>
    <cfRule type="cellIs" dxfId="2305" priority="74" stopIfTrue="1" operator="greaterThan">
      <formula>$J87</formula>
    </cfRule>
  </conditionalFormatting>
  <conditionalFormatting sqref="I73">
    <cfRule type="cellIs" dxfId="2304" priority="5" stopIfTrue="1" operator="greaterThan">
      <formula>$F$39</formula>
    </cfRule>
    <cfRule type="cellIs" dxfId="2303" priority="6" stopIfTrue="1" operator="lessThanOrEqual">
      <formula>0</formula>
    </cfRule>
    <cfRule type="cellIs" dxfId="2302" priority="7" stopIfTrue="1" operator="greaterThan">
      <formula>$F$41</formula>
    </cfRule>
    <cfRule type="cellIs" dxfId="2301" priority="8" stopIfTrue="1" operator="lessThanOrEqual">
      <formula>0</formula>
    </cfRule>
    <cfRule type="cellIs" dxfId="2300" priority="9" stopIfTrue="1" operator="greaterThan">
      <formula>$F$39</formula>
    </cfRule>
    <cfRule type="cellIs" dxfId="2299" priority="10" stopIfTrue="1" operator="lessThanOrEqual">
      <formula>0</formula>
    </cfRule>
  </conditionalFormatting>
  <conditionalFormatting sqref="I74">
    <cfRule type="cellIs" dxfId="2298" priority="55" stopIfTrue="1" operator="greaterThan">
      <formula>$F$56</formula>
    </cfRule>
    <cfRule type="cellIs" dxfId="2297" priority="54" stopIfTrue="1" operator="lessThanOrEqual">
      <formula>0</formula>
    </cfRule>
    <cfRule type="cellIs" dxfId="2296" priority="53" stopIfTrue="1" operator="greaterThan">
      <formula>$F$54</formula>
    </cfRule>
    <cfRule type="cellIs" dxfId="2295" priority="56" stopIfTrue="1" operator="lessThanOrEqual">
      <formula>0</formula>
    </cfRule>
    <cfRule type="cellIs" dxfId="2294" priority="58" stopIfTrue="1" operator="lessThanOrEqual">
      <formula>0</formula>
    </cfRule>
    <cfRule type="cellIs" dxfId="2293" priority="57" stopIfTrue="1" operator="greaterThan">
      <formula>$F$54</formula>
    </cfRule>
  </conditionalFormatting>
  <conditionalFormatting sqref="I78:I86">
    <cfRule type="cellIs" dxfId="2292" priority="88" stopIfTrue="1" operator="greaterThan">
      <formula>$J78</formula>
    </cfRule>
    <cfRule type="cellIs" dxfId="2291" priority="89" stopIfTrue="1" operator="lessThanOrEqual">
      <formula>0</formula>
    </cfRule>
  </conditionalFormatting>
  <conditionalFormatting sqref="I89:I97">
    <cfRule type="cellIs" dxfId="2290" priority="118" stopIfTrue="1" operator="lessThanOrEqual">
      <formula>0</formula>
    </cfRule>
    <cfRule type="cellIs" dxfId="2289" priority="117" stopIfTrue="1" operator="greaterThan">
      <formula>4.5</formula>
    </cfRule>
  </conditionalFormatting>
  <conditionalFormatting sqref="I10:J41">
    <cfRule type="cellIs" dxfId="2288" priority="22" operator="lessThan">
      <formula>97.9</formula>
    </cfRule>
  </conditionalFormatting>
  <conditionalFormatting sqref="J44:J46">
    <cfRule type="cellIs" dxfId="2287" priority="65" stopIfTrue="1" operator="greaterThan">
      <formula>100</formula>
    </cfRule>
    <cfRule type="cellIs" dxfId="2286" priority="66" operator="lessThan">
      <formula>98</formula>
    </cfRule>
    <cfRule type="cellIs" dxfId="2285" priority="64" stopIfTrue="1" operator="lessThan">
      <formula>96.8</formula>
    </cfRule>
  </conditionalFormatting>
  <conditionalFormatting sqref="J44:J48">
    <cfRule type="cellIs" dxfId="2284" priority="63" operator="lessThan">
      <formula>97.4</formula>
    </cfRule>
  </conditionalFormatting>
  <conditionalFormatting sqref="J49">
    <cfRule type="cellIs" dxfId="2283" priority="67" operator="lessThan">
      <formula>98</formula>
    </cfRule>
  </conditionalFormatting>
  <conditionalFormatting sqref="J51:J52">
    <cfRule type="cellIs" dxfId="2282" priority="69" stopIfTrue="1" operator="greaterThan">
      <formula>100</formula>
    </cfRule>
    <cfRule type="cellIs" dxfId="2281" priority="68" stopIfTrue="1" operator="lessThan">
      <formula>96.8</formula>
    </cfRule>
  </conditionalFormatting>
  <conditionalFormatting sqref="J51:J53">
    <cfRule type="cellIs" dxfId="2280" priority="70" operator="lessThan">
      <formula>98</formula>
    </cfRule>
  </conditionalFormatting>
  <conditionalFormatting sqref="J87">
    <cfRule type="cellIs" dxfId="2279" priority="72" stopIfTrue="1" operator="lessThanOrEqual">
      <formula>0</formula>
    </cfRule>
    <cfRule type="cellIs" dxfId="2278" priority="71" stopIfTrue="1" operator="greaterThan">
      <formula>$F87</formula>
    </cfRule>
  </conditionalFormatting>
  <conditionalFormatting sqref="K10:K41">
    <cfRule type="cellIs" dxfId="2277" priority="16" operator="greaterThan">
      <formula>6</formula>
    </cfRule>
    <cfRule type="cellIs" dxfId="2276" priority="18" operator="greaterThan">
      <formula>6.4</formula>
    </cfRule>
    <cfRule type="cellIs" dxfId="2275" priority="17" operator="lessThan">
      <formula>4</formula>
    </cfRule>
  </conditionalFormatting>
  <conditionalFormatting sqref="K73:K74">
    <cfRule type="cellIs" dxfId="2274" priority="47" stopIfTrue="1" operator="lessThan">
      <formula>100%</formula>
    </cfRule>
  </conditionalFormatting>
  <conditionalFormatting sqref="K89:K94">
    <cfRule type="cellIs" dxfId="2273" priority="123" stopIfTrue="1" operator="lessThan">
      <formula>100%</formula>
    </cfRule>
  </conditionalFormatting>
  <conditionalFormatting sqref="K96:K97">
    <cfRule type="cellIs" dxfId="2272" priority="130" stopIfTrue="1" operator="lessThan">
      <formula>100%</formula>
    </cfRule>
  </conditionalFormatting>
  <conditionalFormatting sqref="K78:N81 L82:N82">
    <cfRule type="cellIs" dxfId="2271" priority="101" stopIfTrue="1" operator="lessThan">
      <formula>100%</formula>
    </cfRule>
  </conditionalFormatting>
  <conditionalFormatting sqref="K83:N86 L87:N87">
    <cfRule type="cellIs" dxfId="2270" priority="73" stopIfTrue="1" operator="lessThan">
      <formula>100%</formula>
    </cfRule>
  </conditionalFormatting>
  <conditionalFormatting sqref="L19:L34 L38:L41">
    <cfRule type="cellIs" dxfId="2269" priority="27" operator="greaterThan">
      <formula>65</formula>
    </cfRule>
    <cfRule type="cellIs" dxfId="2268" priority="26" operator="between">
      <formula>61</formula>
      <formula>65</formula>
    </cfRule>
  </conditionalFormatting>
  <conditionalFormatting sqref="L10:M18">
    <cfRule type="cellIs" dxfId="2267" priority="29" operator="greaterThan">
      <formula>65</formula>
    </cfRule>
    <cfRule type="cellIs" dxfId="2266" priority="28" operator="between">
      <formula>61</formula>
      <formula>65</formula>
    </cfRule>
  </conditionalFormatting>
  <conditionalFormatting sqref="L35:M37">
    <cfRule type="cellIs" dxfId="2265" priority="24" operator="greaterThan">
      <formula>65</formula>
    </cfRule>
    <cfRule type="cellIs" dxfId="2264" priority="23" operator="between">
      <formula>61</formula>
      <formula>65</formula>
    </cfRule>
  </conditionalFormatting>
  <conditionalFormatting sqref="L44:M55">
    <cfRule type="cellIs" dxfId="2263" priority="78" operator="lessThan">
      <formula>98</formula>
    </cfRule>
  </conditionalFormatting>
  <conditionalFormatting sqref="L59:N59">
    <cfRule type="cellIs" dxfId="2262" priority="48" operator="notEqual">
      <formula>#REF!</formula>
    </cfRule>
  </conditionalFormatting>
  <conditionalFormatting sqref="L89:N97">
    <cfRule type="cellIs" dxfId="2261" priority="108" stopIfTrue="1" operator="lessThan">
      <formula>100%</formula>
    </cfRule>
  </conditionalFormatting>
  <conditionalFormatting sqref="M10:M18">
    <cfRule type="expression" dxfId="2260" priority="30">
      <formula>IF(+(IF(M10&lt;U10,0,IF(M10&gt;V10,0,1)))=0,1)</formula>
    </cfRule>
  </conditionalFormatting>
  <conditionalFormatting sqref="M19:M41">
    <cfRule type="expression" dxfId="2259" priority="25">
      <formula>IF(+(IF(M19&lt;U19,0,IF(M19&gt;V19,0,1)))=0,1)</formula>
    </cfRule>
  </conditionalFormatting>
  <conditionalFormatting sqref="N10:N41">
    <cfRule type="expression" dxfId="2258" priority="15">
      <formula>IF(+(IF(N10&lt;W10,0,IF(N10&gt;X10,0,1)))=0,1)</formula>
    </cfRule>
  </conditionalFormatting>
  <conditionalFormatting sqref="P6">
    <cfRule type="cellIs" dxfId="2257" priority="104" operator="greaterThanOrEqual">
      <formula>19</formula>
    </cfRule>
  </conditionalFormatting>
  <dataValidations count="1">
    <dataValidation type="list" allowBlank="1" showInputMessage="1" showErrorMessage="1" sqref="R8" xr:uid="{5A58FD65-8A3A-46AB-BAF4-17B4B3DC0F2F}">
      <formula1>ProductList</formula1>
    </dataValidation>
  </dataValidations>
  <pageMargins left="0.7" right="0.7" top="0.75" bottom="0.75" header="0.3" footer="0.3"/>
  <pageSetup scale="47" fitToWidth="0" orientation="landscape" r:id="rId1"/>
  <rowBreaks count="1" manualBreakCount="1">
    <brk id="91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17CE-8CAE-4858-8C79-923808272251}">
  <sheetPr>
    <pageSetUpPr fitToPage="1"/>
  </sheetPr>
  <dimension ref="A1:BE94"/>
  <sheetViews>
    <sheetView topLeftCell="A53" zoomScale="60" zoomScaleNormal="60" workbookViewId="0">
      <selection activeCell="C38" sqref="C3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45847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419"/>
      <c r="R10" s="277">
        <f t="shared" ref="R10:R43" si="0">B10</f>
        <v>0</v>
      </c>
      <c r="S10" s="296" t="e">
        <f t="shared" ref="S10:S43" si="1">VLOOKUP($B10,$R$3:$X$9,2,FALSE)</f>
        <v>#N/A</v>
      </c>
      <c r="T10" s="296" t="e">
        <f t="shared" ref="T10:T43" si="2">VLOOKUP($B10,$R$3:$X$9,3,FALSE)</f>
        <v>#N/A</v>
      </c>
      <c r="U10" s="297" t="e">
        <f t="shared" ref="U10:U43" si="3">VLOOKUP($B10,$R$3:$X$9,4,FALSE)</f>
        <v>#N/A</v>
      </c>
      <c r="V10" s="297" t="e">
        <f t="shared" ref="V10:V43" si="4">VLOOKUP($B10,$R$3:$X$9,5,FALSE)</f>
        <v>#N/A</v>
      </c>
      <c r="W10" s="297" t="e">
        <f t="shared" ref="W10:W43" si="5">VLOOKUP($B10,$R$3:$X$9,6,FALSE)</f>
        <v>#N/A</v>
      </c>
      <c r="X10" s="297" t="e">
        <f t="shared" ref="X10:X43" si="6">VLOOKUP($B10,$R$3:$X$9,7,FALSE)</f>
        <v>#N/A</v>
      </c>
      <c r="Y10" s="297" t="e">
        <f t="shared" ref="Y10:Y43" si="7">VLOOKUP($B10,$R$3:$Z$9,8,FALSE)</f>
        <v>#N/A</v>
      </c>
      <c r="Z10" s="296" t="e">
        <f t="shared" ref="Z10:Z43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7"/>
      <c r="J11" s="427"/>
      <c r="K11" s="281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7"/>
      <c r="J14" s="427"/>
      <c r="K14" s="281"/>
      <c r="L14" s="276"/>
      <c r="M14" s="374"/>
      <c r="N14" s="370"/>
      <c r="O14" s="428"/>
      <c r="P14" s="419"/>
      <c r="R14" s="277"/>
      <c r="S14" s="296"/>
      <c r="T14" s="296"/>
      <c r="U14" s="297"/>
      <c r="V14" s="297"/>
      <c r="W14" s="297"/>
      <c r="X14" s="297"/>
      <c r="Y14" s="297"/>
      <c r="Z14" s="296"/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7"/>
      <c r="J15" s="427"/>
      <c r="K15" s="281"/>
      <c r="L15" s="276"/>
      <c r="M15" s="374"/>
      <c r="N15" s="370"/>
      <c r="O15" s="428"/>
      <c r="P15" s="419"/>
      <c r="R15" s="277">
        <f t="shared" si="0"/>
        <v>0</v>
      </c>
      <c r="S15" s="426">
        <v>17</v>
      </c>
      <c r="T15" s="426">
        <v>17.2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0"/>
        <v>0</v>
      </c>
      <c r="S16" s="426">
        <v>17</v>
      </c>
      <c r="T16" s="426">
        <v>17.2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0"/>
        <v>0</v>
      </c>
      <c r="S17" s="426">
        <v>17</v>
      </c>
      <c r="T17" s="426">
        <v>17.2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3"/>
      <c r="C18" s="366"/>
      <c r="D18" s="279"/>
      <c r="E18" s="279"/>
      <c r="F18" s="278"/>
      <c r="G18" s="279"/>
      <c r="H18" s="396"/>
      <c r="I18" s="427"/>
      <c r="J18" s="427"/>
      <c r="K18" s="281"/>
      <c r="L18" s="276"/>
      <c r="M18" s="374"/>
      <c r="N18" s="370"/>
      <c r="O18" s="428"/>
      <c r="P18" s="419"/>
      <c r="R18" s="277">
        <f t="shared" si="0"/>
        <v>0</v>
      </c>
      <c r="S18" s="426">
        <v>17</v>
      </c>
      <c r="T18" s="426">
        <v>17.2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R19" s="277">
        <f t="shared" si="0"/>
        <v>0</v>
      </c>
      <c r="S19" s="426">
        <v>17</v>
      </c>
      <c r="T19" s="426">
        <v>17.2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R20" s="277">
        <f t="shared" si="0"/>
        <v>0</v>
      </c>
      <c r="S20" s="426">
        <v>17</v>
      </c>
      <c r="T20" s="426">
        <v>17.2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4.4" hidden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6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3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customHeight="1">
      <c r="B33" s="29" t="s">
        <v>6</v>
      </c>
      <c r="C33" s="366" t="str">
        <f>[23]Brewhouse!$A596</f>
        <v>CA489</v>
      </c>
      <c r="D33" s="279">
        <f>[23]Brewhouse!$AF596</f>
        <v>51.9</v>
      </c>
      <c r="E33" s="279">
        <f>[23]Brewhouse!$AI596</f>
        <v>48.6</v>
      </c>
      <c r="F33" s="278">
        <f>[23]Brewhouse!$V596</f>
        <v>59</v>
      </c>
      <c r="G33" s="279">
        <f>[23]Brewhouse!$AG596</f>
        <v>12.1</v>
      </c>
      <c r="H33" s="396"/>
      <c r="I33" s="368">
        <f>[23]Brewhouse!$AU596</f>
        <v>95.916153578466137</v>
      </c>
      <c r="J33" s="368">
        <f>[23]Brewhouse!$AV596</f>
        <v>97.437081414816248</v>
      </c>
      <c r="K33" s="281">
        <f>[23]Brewhouse!$Q596</f>
        <v>8.770053475935832</v>
      </c>
      <c r="L33" s="276">
        <f>[23]Brewhouse!$P596</f>
        <v>60</v>
      </c>
      <c r="M33" s="397">
        <f>[23]Brewhouse!$U596-[23]Brewhouse!$T596</f>
        <v>0.11180555555555549</v>
      </c>
      <c r="N33" s="370">
        <f>[23]Brewhouse!$Z596</f>
        <v>0.25763888888888886</v>
      </c>
      <c r="O33" s="371" t="str">
        <f>[23]Brewhouse!$AX596</f>
        <v>R. Regis</v>
      </c>
      <c r="P33" s="419"/>
      <c r="R33" s="277" t="str">
        <f t="shared" si="0"/>
        <v>CARIB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1:26" ht="15.75" customHeight="1">
      <c r="B34" s="29" t="s">
        <v>6</v>
      </c>
      <c r="C34" s="366" t="str">
        <f>[23]Brewhouse!$A597</f>
        <v>CA490</v>
      </c>
      <c r="D34" s="279">
        <f>[23]Brewhouse!$AF597</f>
        <v>54</v>
      </c>
      <c r="E34" s="279">
        <f>[23]Brewhouse!$AI597</f>
        <v>53.1</v>
      </c>
      <c r="F34" s="278">
        <f>[23]Brewhouse!$V597</f>
        <v>67</v>
      </c>
      <c r="G34" s="279">
        <f>[23]Brewhouse!$AG597</f>
        <v>11.5</v>
      </c>
      <c r="H34" s="396"/>
      <c r="I34" s="368">
        <f>[23]Brewhouse!$AU597</f>
        <v>99.582809845661828</v>
      </c>
      <c r="J34" s="368">
        <f>[23]Brewhouse!$AV597</f>
        <v>101.16153494508886</v>
      </c>
      <c r="K34" s="281">
        <f>[23]Brewhouse!$Q597</f>
        <v>4.4897959183673368</v>
      </c>
      <c r="L34" s="276">
        <f>[23]Brewhouse!$P597</f>
        <v>60</v>
      </c>
      <c r="M34" s="397">
        <f>[23]Brewhouse!$U597-[23]Brewhouse!$T597</f>
        <v>0.11736111111111103</v>
      </c>
      <c r="N34" s="370">
        <f>[23]Brewhouse!$Z597</f>
        <v>0.24861111111111112</v>
      </c>
      <c r="O34" s="371" t="str">
        <f>[23]Brewhouse!$AX597</f>
        <v>R. Regis</v>
      </c>
      <c r="P34" s="419"/>
      <c r="R34" s="277" t="str">
        <f t="shared" si="0"/>
        <v>CARIB</v>
      </c>
      <c r="S34" s="296">
        <f t="shared" si="1"/>
        <v>11.6</v>
      </c>
      <c r="T34" s="296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296">
        <f t="shared" si="8"/>
        <v>60</v>
      </c>
    </row>
    <row r="35" spans="1:26" ht="15.75" customHeight="1">
      <c r="B35" s="29" t="s">
        <v>6</v>
      </c>
      <c r="C35" s="366" t="str">
        <f>[23]Brewhouse!$A598</f>
        <v>CA491</v>
      </c>
      <c r="D35" s="279">
        <f>[23]Brewhouse!$AF598</f>
        <v>52.5</v>
      </c>
      <c r="E35" s="279">
        <f>[23]Brewhouse!$AI598</f>
        <v>50.7</v>
      </c>
      <c r="F35" s="278">
        <f>[23]Brewhouse!$V598</f>
        <v>62</v>
      </c>
      <c r="G35" s="279">
        <f>[23]Brewhouse!$AG598</f>
        <v>11.9</v>
      </c>
      <c r="H35" s="396"/>
      <c r="I35" s="368">
        <f>[23]Brewhouse!$AU598</f>
        <v>98.686815200406429</v>
      </c>
      <c r="J35" s="368">
        <f>[23]Brewhouse!$AV598</f>
        <v>100.25116449315703</v>
      </c>
      <c r="K35" s="281">
        <f>[23]Brewhouse!$Q598</f>
        <v>7.0377019748653531</v>
      </c>
      <c r="L35" s="276">
        <f>[23]Brewhouse!$P598</f>
        <v>61</v>
      </c>
      <c r="M35" s="397">
        <f>[23]Brewhouse!$U598-[23]Brewhouse!$T598</f>
        <v>0.10972222222222228</v>
      </c>
      <c r="N35" s="370">
        <f>[23]Brewhouse!$Z598</f>
        <v>0.24305555555555558</v>
      </c>
      <c r="O35" s="371" t="str">
        <f>[23]Brewhouse!$AX598</f>
        <v>R. Regis</v>
      </c>
      <c r="P35" s="419"/>
      <c r="R35" s="277" t="str">
        <f t="shared" si="0"/>
        <v>CARIB</v>
      </c>
      <c r="S35" s="296">
        <f t="shared" si="1"/>
        <v>11.6</v>
      </c>
      <c r="T35" s="296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296">
        <f t="shared" si="8"/>
        <v>60</v>
      </c>
    </row>
    <row r="36" spans="1:26" ht="15.75" customHeight="1">
      <c r="B36" s="29" t="s">
        <v>6</v>
      </c>
      <c r="C36" s="366" t="str">
        <f>[23]Brewhouse!$A599</f>
        <v>CA492</v>
      </c>
      <c r="D36" s="279">
        <f>[23]Brewhouse!$AF599</f>
        <v>52.7</v>
      </c>
      <c r="E36" s="279">
        <f>[23]Brewhouse!$AI599</f>
        <v>51.5</v>
      </c>
      <c r="F36" s="278">
        <f>[23]Brewhouse!$V599</f>
        <v>63</v>
      </c>
      <c r="G36" s="279">
        <f>[23]Brewhouse!$AG599</f>
        <v>11.6</v>
      </c>
      <c r="H36" s="396"/>
      <c r="I36" s="368">
        <f>[23]Brewhouse!$AU599</f>
        <v>98.396971333088018</v>
      </c>
      <c r="J36" s="368">
        <f>[23]Brewhouse!$AV599</f>
        <v>100.02346283978203</v>
      </c>
      <c r="K36" s="281">
        <f>[23]Brewhouse!$Q599</f>
        <v>6.4468864468864533</v>
      </c>
      <c r="L36" s="276">
        <f>[23]Brewhouse!$P599</f>
        <v>60</v>
      </c>
      <c r="M36" s="397">
        <f>[23]Brewhouse!$U599-[23]Brewhouse!$T599</f>
        <v>0.11041666666666661</v>
      </c>
      <c r="N36" s="370">
        <f>[23]Brewhouse!$Z599</f>
        <v>0.2451388888888888</v>
      </c>
      <c r="O36" s="371" t="str">
        <f>[23]Brewhouse!$AX599</f>
        <v>D. Gomez</v>
      </c>
      <c r="P36" s="419"/>
      <c r="R36" s="277" t="str">
        <f t="shared" si="0"/>
        <v>CARIB</v>
      </c>
      <c r="S36" s="296">
        <f t="shared" si="1"/>
        <v>11.6</v>
      </c>
      <c r="T36" s="296">
        <f t="shared" si="2"/>
        <v>12</v>
      </c>
      <c r="U36" s="297">
        <f t="shared" si="3"/>
        <v>0</v>
      </c>
      <c r="V36" s="297">
        <f t="shared" si="4"/>
        <v>0.118055555555556</v>
      </c>
      <c r="W36" s="297">
        <f t="shared" si="5"/>
        <v>0.22569444444444445</v>
      </c>
      <c r="X36" s="297">
        <f t="shared" si="6"/>
        <v>0.2638888888888889</v>
      </c>
      <c r="Y36" s="297">
        <f t="shared" si="7"/>
        <v>0</v>
      </c>
      <c r="Z36" s="296">
        <f t="shared" si="8"/>
        <v>60</v>
      </c>
    </row>
    <row r="37" spans="1:26" ht="15.75" customHeight="1">
      <c r="B37" s="29" t="s">
        <v>6</v>
      </c>
      <c r="C37" s="366" t="str">
        <f>[23]Brewhouse!$A600</f>
        <v>CA493</v>
      </c>
      <c r="D37" s="279">
        <f>[23]Brewhouse!$AF600</f>
        <v>52.9</v>
      </c>
      <c r="E37" s="279">
        <f>[23]Brewhouse!$AI600</f>
        <v>50.6</v>
      </c>
      <c r="F37" s="278">
        <f>[23]Brewhouse!$V600</f>
        <v>63</v>
      </c>
      <c r="G37" s="279">
        <f>[23]Brewhouse!$AG600</f>
        <v>11.9</v>
      </c>
      <c r="H37" s="396"/>
      <c r="I37" s="368">
        <f>[23]Brewhouse!$AU600</f>
        <v>99.186447868618828</v>
      </c>
      <c r="J37" s="368">
        <f>[23]Brewhouse!$AV600</f>
        <v>100.826079559752</v>
      </c>
      <c r="K37" s="281">
        <f>[23]Brewhouse!$Q600</f>
        <v>5.8122743682310452</v>
      </c>
      <c r="L37" s="276">
        <f>[23]Brewhouse!$P600</f>
        <v>59</v>
      </c>
      <c r="M37" s="397">
        <f>[23]Brewhouse!$U600-[23]Brewhouse!$T600</f>
        <v>0.10763888888888884</v>
      </c>
      <c r="N37" s="370">
        <f>[23]Brewhouse!$Z600</f>
        <v>0.31805555555555554</v>
      </c>
      <c r="O37" s="371" t="str">
        <f>[23]Brewhouse!$AX600</f>
        <v>D. Gomez</v>
      </c>
      <c r="P37" s="419"/>
      <c r="R37" s="277" t="str">
        <f t="shared" si="0"/>
        <v>CARIB</v>
      </c>
      <c r="S37" s="296">
        <f t="shared" si="1"/>
        <v>11.6</v>
      </c>
      <c r="T37" s="296">
        <f t="shared" si="2"/>
        <v>12</v>
      </c>
      <c r="U37" s="297">
        <f t="shared" si="3"/>
        <v>0</v>
      </c>
      <c r="V37" s="297">
        <f t="shared" si="4"/>
        <v>0.118055555555556</v>
      </c>
      <c r="W37" s="297">
        <f t="shared" si="5"/>
        <v>0.22569444444444445</v>
      </c>
      <c r="X37" s="297">
        <f t="shared" si="6"/>
        <v>0.2638888888888889</v>
      </c>
      <c r="Y37" s="297">
        <f t="shared" si="7"/>
        <v>0</v>
      </c>
      <c r="Z37" s="296">
        <f t="shared" si="8"/>
        <v>60</v>
      </c>
    </row>
    <row r="38" spans="1:26" ht="15.75" customHeight="1">
      <c r="B38" s="29" t="s">
        <v>6</v>
      </c>
      <c r="C38" s="366" t="str">
        <f>[23]Brewhouse!$A601</f>
        <v>CA494</v>
      </c>
      <c r="D38" s="279">
        <f>[23]Brewhouse!$AF601</f>
        <v>52.6</v>
      </c>
      <c r="E38" s="279">
        <f>[23]Brewhouse!$AI601</f>
        <v>50.7</v>
      </c>
      <c r="F38" s="278">
        <f>[23]Brewhouse!$V601</f>
        <v>63</v>
      </c>
      <c r="G38" s="279">
        <f>[23]Brewhouse!$AG601</f>
        <v>11.8</v>
      </c>
      <c r="H38" s="396"/>
      <c r="I38" s="368">
        <f>[23]Brewhouse!$AU601</f>
        <v>98.626813340527619</v>
      </c>
      <c r="J38" s="368">
        <f>[23]Brewhouse!$AV601</f>
        <v>100.25710411124284</v>
      </c>
      <c r="K38" s="281">
        <f>[23]Brewhouse!$Q601</f>
        <v>4.9816849816849791</v>
      </c>
      <c r="L38" s="276">
        <f>[23]Brewhouse!$P601</f>
        <v>57</v>
      </c>
      <c r="M38" s="397">
        <f>[23]Brewhouse!$U601-[23]Brewhouse!$T601</f>
        <v>0.10763888888888884</v>
      </c>
      <c r="N38" s="370">
        <f>[23]Brewhouse!$Z601</f>
        <v>0.31944444444444442</v>
      </c>
      <c r="O38" s="371" t="str">
        <f>[23]Brewhouse!$AX601</f>
        <v>D. Gomez</v>
      </c>
      <c r="P38" s="419"/>
      <c r="R38" s="277" t="str">
        <f t="shared" si="0"/>
        <v>CARIB</v>
      </c>
      <c r="S38" s="296">
        <f t="shared" si="1"/>
        <v>11.6</v>
      </c>
      <c r="T38" s="296">
        <f t="shared" si="2"/>
        <v>12</v>
      </c>
      <c r="U38" s="297">
        <f t="shared" si="3"/>
        <v>0</v>
      </c>
      <c r="V38" s="297">
        <f t="shared" si="4"/>
        <v>0.118055555555556</v>
      </c>
      <c r="W38" s="297">
        <f t="shared" si="5"/>
        <v>0.22569444444444445</v>
      </c>
      <c r="X38" s="297">
        <f t="shared" si="6"/>
        <v>0.2638888888888889</v>
      </c>
      <c r="Y38" s="297">
        <f t="shared" si="7"/>
        <v>0</v>
      </c>
      <c r="Z38" s="296">
        <f t="shared" si="8"/>
        <v>60</v>
      </c>
    </row>
    <row r="39" spans="1:26" ht="15.75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customHeight="1" thickBot="1">
      <c r="B42" s="358"/>
      <c r="C42" s="358"/>
      <c r="D42" s="358"/>
      <c r="E42" s="358"/>
      <c r="F42" s="294"/>
      <c r="G42" s="294"/>
      <c r="H42" s="348"/>
      <c r="I42" s="532"/>
      <c r="J42" s="532"/>
      <c r="K42" s="532"/>
      <c r="L42" s="532"/>
      <c r="M42" s="532"/>
      <c r="N42" s="532"/>
      <c r="O42" s="1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" thickBot="1">
      <c r="B43" s="388" t="s">
        <v>163</v>
      </c>
      <c r="C43" s="388"/>
      <c r="D43" s="545" t="s">
        <v>35</v>
      </c>
      <c r="E43" s="546"/>
      <c r="F43" s="294"/>
      <c r="G43" s="294"/>
      <c r="H43" s="348"/>
      <c r="I43" s="24" t="s">
        <v>17</v>
      </c>
      <c r="J43" s="25" t="s">
        <v>36</v>
      </c>
      <c r="K43" s="26" t="s">
        <v>138</v>
      </c>
      <c r="L43" s="25" t="s">
        <v>37</v>
      </c>
      <c r="M43" s="25" t="s">
        <v>38</v>
      </c>
      <c r="N43" s="27" t="s">
        <v>39</v>
      </c>
      <c r="O43" s="294"/>
      <c r="P43" s="12"/>
      <c r="R43" s="277" t="str">
        <f t="shared" si="0"/>
        <v xml:space="preserve">BRAND 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customHeight="1">
      <c r="A44" s="28"/>
      <c r="B44" s="585"/>
      <c r="C44" s="362"/>
      <c r="D44" s="536"/>
      <c r="E44" s="525"/>
      <c r="F44" s="294"/>
      <c r="G44" s="294"/>
      <c r="H44" s="348"/>
      <c r="I44" s="29" t="s">
        <v>6</v>
      </c>
      <c r="J44" s="280">
        <f>AVERAGE(I33:I38)</f>
        <v>98.399335194461472</v>
      </c>
      <c r="K44" s="284">
        <f>COUNTA([23]Brewhouse!$A$580:$A$601)</f>
        <v>22</v>
      </c>
      <c r="L44" s="305">
        <f>AVERAGE([23]Brewhouse!$AU$580:$AU$601)</f>
        <v>98.115654750526261</v>
      </c>
      <c r="M4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AVERAGE([23]Brewhouse!$AU$102:$AU$171,[23]Brewhouse!$AU$173:$AU$253,[23]Brewhouse!$AU$255:$AU$339,[23]Brewhouse!$AU$341:$AU$346,[23]Brewhouse!$AU$348,[23]Brewhouse!$AU$349:$AU$406,[23]Brewhouse!$AU$408:$AU$491,[23]Brewhouse!$AU$493:$AU$578,[23]Brewhouse!$AU$580:$AU$601)</f>
        <v>97.766184242147204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6" ht="15" customHeight="1">
      <c r="A45" s="28"/>
      <c r="B45" s="586"/>
      <c r="C45" s="349"/>
      <c r="D45" s="537"/>
      <c r="E45" s="520"/>
      <c r="F45" s="294"/>
      <c r="G45" s="294"/>
      <c r="H45" s="348"/>
      <c r="I45" s="33" t="s">
        <v>9</v>
      </c>
      <c r="J45" s="280"/>
      <c r="K45" s="284">
        <f>COUNTA([24]Brewhouse!$A$275:$A$290)</f>
        <v>16</v>
      </c>
      <c r="L45" s="302">
        <f>AVERAGE([24]Brewhouse!$AS$275:$AS$290)</f>
        <v>99.355788412993221</v>
      </c>
      <c r="M45" s="302">
        <f>AVERAGE([24]Brewhouse!$AS$15:$AS$64,[24]Brewhouse!$AS$66:$AS$103,[24]Brewhouse!$AS$105:$AS$140,[24]Brewhouse!$AS$142:$AS$193,[24]Brewhouse!$AS$195:$AS$240,[24]Brewhouse!$AS$242:$AS$273,[24]Brewhouse!$AS$275:$AS$290)</f>
        <v>97.963935313635545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4.7" customHeight="1">
      <c r="A46" s="28"/>
      <c r="B46" s="586"/>
      <c r="C46" s="349"/>
      <c r="D46" s="536"/>
      <c r="E46" s="525"/>
      <c r="F46" s="294"/>
      <c r="G46" s="294"/>
      <c r="H46" s="348"/>
      <c r="I46" s="34" t="s">
        <v>12</v>
      </c>
      <c r="J46" s="280"/>
      <c r="K46" s="284"/>
      <c r="L46" s="302"/>
      <c r="M46" s="302">
        <f>AVERAGE([25]Brewhouse!$AU$4:$AU$7,[25]Brewhouse!$AU$9:$AU$22,[25]Brewhouse!$AU$24:$AU$35,[25]Brewhouse!$AU$37:$AU$45,[25]Brewhouse!$AU$47:$AU$62)</f>
        <v>97.179377138297156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86"/>
      <c r="C47" s="349"/>
      <c r="D47" s="537"/>
      <c r="E47" s="520"/>
      <c r="F47" s="294"/>
      <c r="G47" s="294"/>
      <c r="H47" s="348"/>
      <c r="I47" s="22" t="s">
        <v>33</v>
      </c>
      <c r="J47" s="280"/>
      <c r="K47" s="284"/>
      <c r="L47" s="302"/>
      <c r="M47" s="302">
        <f>AVERAGE([26]Brewhouse!$AV$5:$AV$14,[26]Brewhouse!$AV$16:$AV$19,[26]Brewhouse!$AV$21:$AV$24,[26]Brewhouse!$AV$26:$AV$33,[26]Brewhouse!$AV$35:$AV$46,[26]Brewhouse!$AV$48:$AV$53)</f>
        <v>98.620083722669861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86"/>
      <c r="C48" s="349"/>
      <c r="D48" s="536"/>
      <c r="E48" s="525"/>
      <c r="F48" s="418"/>
      <c r="G48" s="294"/>
      <c r="H48" s="348"/>
      <c r="I48" s="35" t="s">
        <v>29</v>
      </c>
      <c r="J48" s="280"/>
      <c r="K48" s="284"/>
      <c r="L48" s="302"/>
      <c r="M48" s="302"/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86"/>
      <c r="C49" s="349"/>
      <c r="D49" s="537"/>
      <c r="E49" s="520"/>
      <c r="F49" s="418"/>
      <c r="G49" s="294"/>
      <c r="H49" s="348"/>
      <c r="I49" s="36" t="s">
        <v>15</v>
      </c>
      <c r="J49" s="323"/>
      <c r="K49" s="284"/>
      <c r="L49" s="302"/>
      <c r="M49" s="302">
        <f>AVERAGE([27]Brewhouse!$AT$4:$AT$11,[27]Brewhouse!$AT$13:$AT$16,[27]Brewhouse!$AT$18:$AT$21)</f>
        <v>94.773169817643847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86"/>
      <c r="C50" s="349"/>
      <c r="D50" s="536"/>
      <c r="E50" s="525"/>
      <c r="F50" s="418"/>
      <c r="G50" s="294"/>
      <c r="H50" s="348"/>
      <c r="I50" s="37" t="s">
        <v>16</v>
      </c>
      <c r="J50" s="323"/>
      <c r="K50" s="284">
        <f>COUNTA([22]Brewhouse!$A$56:$A$65)</f>
        <v>10</v>
      </c>
      <c r="L50" s="302">
        <f>AVERAGE([22]Brewhouse!$AY$56:$AY$65)</f>
        <v>99.275500637605006</v>
      </c>
      <c r="M50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0" s="30">
        <v>98</v>
      </c>
      <c r="O50" s="11"/>
      <c r="P50" s="31" t="s">
        <v>41</v>
      </c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86"/>
      <c r="C51" s="349"/>
      <c r="D51" s="537"/>
      <c r="E51" s="520"/>
      <c r="F51" s="294"/>
      <c r="G51" s="294"/>
      <c r="H51" s="348"/>
      <c r="I51" s="411" t="s">
        <v>158</v>
      </c>
      <c r="J51" s="326"/>
      <c r="K51" s="284"/>
      <c r="L51" s="305"/>
      <c r="M51" s="305">
        <f>AVERAGE([28]Brewhouse!$AU$5:$AU$8,[28]Brewhouse!$AU$10:$AU$13)</f>
        <v>94.247666625193744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86"/>
      <c r="C52" s="349"/>
      <c r="D52" s="536"/>
      <c r="E52" s="525"/>
      <c r="F52" s="294"/>
      <c r="G52" s="294"/>
      <c r="H52" s="348"/>
      <c r="I52" s="410" t="s">
        <v>157</v>
      </c>
      <c r="J52" s="326"/>
      <c r="K52" s="284"/>
      <c r="L52" s="305"/>
      <c r="M52" s="305">
        <f>AVERAGE([29]Brewhouse!$AW$26:$AW$27)</f>
        <v>95.310680905194914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86"/>
      <c r="C53" s="349"/>
      <c r="D53" s="537"/>
      <c r="E53" s="520"/>
      <c r="F53" s="294"/>
      <c r="G53" s="294"/>
      <c r="H53" s="348"/>
      <c r="I53" s="406" t="s">
        <v>156</v>
      </c>
      <c r="J53" s="327"/>
      <c r="K53" s="407"/>
      <c r="L53" s="408"/>
      <c r="M53" s="408">
        <f>AVERAGE([30]Brewhouse!$AU$13:$AU$14)</f>
        <v>97.110575243268045</v>
      </c>
      <c r="N53" s="409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86"/>
      <c r="C54" s="349"/>
      <c r="D54" s="536"/>
      <c r="E54" s="525"/>
      <c r="F54" s="294"/>
      <c r="G54" s="294"/>
      <c r="H54" s="348"/>
      <c r="I54" s="1"/>
      <c r="J54" s="39"/>
      <c r="K54" s="404">
        <f>SUM(K44:K53)</f>
        <v>48</v>
      </c>
      <c r="L54" s="405">
        <f>((L44*K44)+(L45*K45)+(L46*K46)+(L47*K47)+(L48*K48)+(K51*L51)+(L49*K49)+(L50*K50)+(L53*K53))/(K54)</f>
        <v>98.770667197823329</v>
      </c>
      <c r="M54" s="405">
        <f>AVERAGE('[31]Jan 31st'!$L$65,'[32]Feb 28th'!$L$35,'[33]Mar. 31st'!$L$35,'[34]Apr. 30th'!$L$45,'[35]May 30th'!$L$37,L54)</f>
        <v>97.824986772532057</v>
      </c>
      <c r="N54" s="4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87"/>
      <c r="C55" s="350"/>
      <c r="D55" s="537"/>
      <c r="E55" s="520"/>
      <c r="F55" s="294"/>
      <c r="G55" s="42"/>
      <c r="H55" s="41"/>
      <c r="I55" s="42"/>
      <c r="J55" s="42"/>
      <c r="K55" s="351"/>
      <c r="L55" s="348"/>
      <c r="M55" s="348"/>
      <c r="N55" s="11"/>
      <c r="O55" s="294"/>
      <c r="P55" s="12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14"/>
      <c r="C56" s="362"/>
      <c r="D56" s="517"/>
      <c r="E56" s="518"/>
      <c r="F56" s="294"/>
      <c r="G56" s="42"/>
      <c r="H56" s="41"/>
      <c r="I56" s="42"/>
      <c r="J56" s="572" t="s">
        <v>129</v>
      </c>
      <c r="K56" s="572"/>
      <c r="L56" s="294"/>
      <c r="M56" s="294"/>
      <c r="N56" s="294"/>
      <c r="O56" s="294"/>
      <c r="P56" s="12"/>
    </row>
    <row r="57" spans="1:56" ht="15" thickBot="1">
      <c r="B57" s="515"/>
      <c r="C57" s="362"/>
      <c r="D57" s="519"/>
      <c r="E57" s="520"/>
      <c r="F57" s="294"/>
      <c r="G57" s="42"/>
      <c r="H57" s="41"/>
      <c r="I57" s="42"/>
      <c r="J57" s="292" t="s">
        <v>17</v>
      </c>
      <c r="K57" s="293" t="s">
        <v>147</v>
      </c>
      <c r="L57" s="522" t="s">
        <v>136</v>
      </c>
      <c r="M57" s="522"/>
      <c r="N57" s="523"/>
      <c r="O57" s="294"/>
      <c r="P57" s="12"/>
    </row>
    <row r="58" spans="1:56" ht="15" customHeight="1" thickBot="1">
      <c r="B58" s="515"/>
      <c r="C58" s="349"/>
      <c r="D58" s="573"/>
      <c r="E58" s="574"/>
      <c r="F58" s="294"/>
      <c r="G58" s="42"/>
      <c r="H58" s="41"/>
      <c r="I58" s="42"/>
      <c r="J58" s="287" t="s">
        <v>6</v>
      </c>
      <c r="K58" s="324">
        <v>6</v>
      </c>
      <c r="L58" s="343" t="s">
        <v>37</v>
      </c>
      <c r="M58" s="307" t="s">
        <v>38</v>
      </c>
      <c r="N58" s="307" t="s">
        <v>84</v>
      </c>
      <c r="O58" s="294"/>
      <c r="P58" s="12"/>
    </row>
    <row r="59" spans="1:56" ht="15.75" customHeight="1" thickBot="1">
      <c r="B59" s="515"/>
      <c r="C59" s="349"/>
      <c r="D59" s="519"/>
      <c r="E59" s="520"/>
      <c r="F59" s="294"/>
      <c r="G59" s="42"/>
      <c r="H59" s="41"/>
      <c r="I59" s="42"/>
      <c r="J59" s="345" t="s">
        <v>9</v>
      </c>
      <c r="K59" s="324"/>
      <c r="L59" s="344">
        <f>AVERAGE(K68,'July 1st'!K67,'July 2nd'!K68,'July 3rd'!K68,'July 4th'!K68,'July 7th '!K68)</f>
        <v>8</v>
      </c>
      <c r="M59" s="325">
        <f>AVERAGE('[31]Jan 29th '!$M$70,'[32]Feb 28th'!$L$40,'[33]Mar. 31st'!$L$40,'[34]Apr. 30th'!$L$50,'[35]May 30th'!$L$42,L59)</f>
        <v>6.8677735308170087</v>
      </c>
      <c r="N59" s="417">
        <v>9.1999999999999993</v>
      </c>
      <c r="O59" s="294"/>
      <c r="P59" s="12"/>
    </row>
    <row r="60" spans="1:56" ht="15" customHeight="1">
      <c r="B60" s="515"/>
      <c r="C60" s="349"/>
      <c r="D60" s="573"/>
      <c r="E60" s="574"/>
      <c r="F60" s="294"/>
      <c r="G60" s="42"/>
      <c r="H60" s="41"/>
      <c r="I60" s="42"/>
      <c r="J60" s="288" t="s">
        <v>40</v>
      </c>
      <c r="K60" s="324"/>
      <c r="L60" s="294"/>
      <c r="M60" s="294"/>
      <c r="N60" s="294"/>
      <c r="O60" s="294"/>
      <c r="P60" s="12"/>
    </row>
    <row r="61" spans="1:56" ht="15" customHeight="1">
      <c r="B61" s="515"/>
      <c r="C61" s="349"/>
      <c r="D61" s="519"/>
      <c r="E61" s="520"/>
      <c r="F61" s="294"/>
      <c r="G61" s="42"/>
      <c r="H61" s="41"/>
      <c r="I61" s="42"/>
      <c r="J61" s="289" t="s">
        <v>33</v>
      </c>
      <c r="K61" s="324"/>
      <c r="L61" s="294"/>
      <c r="M61" s="294"/>
      <c r="N61" s="294"/>
      <c r="O61" s="294"/>
      <c r="P61" s="12"/>
    </row>
    <row r="62" spans="1:56" ht="14.4">
      <c r="B62" s="515"/>
      <c r="C62" s="349"/>
      <c r="D62" s="573"/>
      <c r="E62" s="574"/>
      <c r="F62" s="294"/>
      <c r="G62" s="42"/>
      <c r="H62" s="41"/>
      <c r="I62" s="42"/>
      <c r="J62" s="290" t="s">
        <v>16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5"/>
      <c r="C63" s="349"/>
      <c r="D63" s="519"/>
      <c r="E63" s="520"/>
      <c r="F63" s="294"/>
      <c r="G63" s="42"/>
      <c r="H63" s="41"/>
      <c r="I63" s="42"/>
      <c r="J63" s="291" t="s">
        <v>15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15"/>
      <c r="C64" s="349"/>
      <c r="D64" s="573"/>
      <c r="E64" s="574"/>
      <c r="F64" s="294"/>
      <c r="G64" s="42"/>
      <c r="H64" s="41"/>
      <c r="I64" s="42"/>
      <c r="J64" s="291" t="s">
        <v>149</v>
      </c>
      <c r="K64" s="324"/>
      <c r="L64" s="294"/>
      <c r="M64" s="294"/>
      <c r="N64" s="294"/>
      <c r="O64" s="294"/>
      <c r="P64" s="12"/>
      <c r="BC64" s="44"/>
      <c r="BD64" s="44"/>
    </row>
    <row r="65" spans="2:57" ht="15" thickBot="1">
      <c r="B65" s="516"/>
      <c r="C65" s="350"/>
      <c r="D65" s="575"/>
      <c r="E65" s="576"/>
      <c r="F65" s="294"/>
      <c r="G65" s="42"/>
      <c r="H65" s="41"/>
      <c r="I65" s="42"/>
      <c r="J65" s="291" t="s">
        <v>148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 thickBot="1">
      <c r="B66" s="312" t="s">
        <v>139</v>
      </c>
      <c r="C66" s="313"/>
      <c r="D66" s="577" t="e">
        <f>AVERAGE(D44:E65)</f>
        <v>#DIV/0!</v>
      </c>
      <c r="E66" s="578"/>
      <c r="F66" s="294"/>
      <c r="G66" s="42"/>
      <c r="H66" s="41"/>
      <c r="I66" s="42"/>
      <c r="J66" s="295" t="s">
        <v>134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>
      <c r="B67" s="363"/>
      <c r="C67" s="364"/>
      <c r="D67" s="365"/>
      <c r="E67" s="365"/>
      <c r="F67" s="294"/>
      <c r="G67" s="42"/>
      <c r="H67" s="41"/>
      <c r="I67" s="42"/>
      <c r="J67" s="295" t="s">
        <v>131</v>
      </c>
      <c r="K67" s="324"/>
      <c r="L67" s="294"/>
      <c r="M67" s="294"/>
      <c r="N67" s="294"/>
      <c r="O67" s="294"/>
      <c r="P67" s="12"/>
      <c r="BC67" s="44"/>
      <c r="BD67" s="44"/>
    </row>
    <row r="68" spans="2:57" ht="15.75" customHeight="1">
      <c r="B68" s="45"/>
      <c r="C68" s="11"/>
      <c r="D68" s="11"/>
      <c r="E68" s="46"/>
      <c r="F68" s="294"/>
      <c r="G68" s="42"/>
      <c r="H68" s="41"/>
      <c r="I68" s="42"/>
      <c r="J68" s="346" t="s">
        <v>130</v>
      </c>
      <c r="K68" s="324">
        <f>SUM(K58:K67)</f>
        <v>6</v>
      </c>
      <c r="L68" s="294"/>
      <c r="M68" s="294"/>
      <c r="N68" s="294"/>
      <c r="O68" s="294"/>
      <c r="P68" s="12"/>
    </row>
    <row r="69" spans="2:57" ht="20.25" customHeight="1">
      <c r="B69" s="15" t="s">
        <v>42</v>
      </c>
      <c r="C69" s="1" t="s">
        <v>43</v>
      </c>
      <c r="D69" s="1"/>
      <c r="E69" s="1"/>
      <c r="F69" s="294"/>
      <c r="G69" s="42"/>
      <c r="H69" s="41"/>
      <c r="I69" s="42"/>
      <c r="L69" s="294"/>
      <c r="P69" s="334"/>
    </row>
    <row r="70" spans="2:57" ht="15" customHeight="1" thickBot="1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  <c r="O70" s="48"/>
      <c r="P70" s="49"/>
    </row>
    <row r="71" spans="2:57" ht="15" customHeight="1" thickBot="1">
      <c r="B71" s="498" t="s">
        <v>17</v>
      </c>
      <c r="C71" s="498" t="s">
        <v>44</v>
      </c>
      <c r="D71" s="510" t="s">
        <v>45</v>
      </c>
      <c r="E71" s="512" t="s">
        <v>46</v>
      </c>
      <c r="F71" s="506" t="s">
        <v>47</v>
      </c>
      <c r="G71" s="496" t="s">
        <v>48</v>
      </c>
      <c r="H71" s="498" t="s">
        <v>49</v>
      </c>
      <c r="I71" s="498" t="s">
        <v>50</v>
      </c>
      <c r="J71" s="490" t="s">
        <v>28</v>
      </c>
      <c r="K71" s="502" t="s">
        <v>51</v>
      </c>
      <c r="L71" s="504" t="s">
        <v>52</v>
      </c>
      <c r="M71" s="490" t="s">
        <v>53</v>
      </c>
      <c r="N71" s="13"/>
      <c r="O71" s="13"/>
      <c r="P71" s="50"/>
    </row>
    <row r="72" spans="2:57" ht="28.5" customHeight="1" thickTop="1" thickBot="1">
      <c r="B72" s="499"/>
      <c r="C72" s="499"/>
      <c r="D72" s="511"/>
      <c r="E72" s="513"/>
      <c r="F72" s="507"/>
      <c r="G72" s="497"/>
      <c r="H72" s="499"/>
      <c r="I72" s="499"/>
      <c r="J72" s="491"/>
      <c r="K72" s="503"/>
      <c r="L72" s="505"/>
      <c r="M72" s="491"/>
      <c r="N72" s="13"/>
      <c r="O72" s="13"/>
      <c r="P72" s="50"/>
      <c r="Q72" s="355"/>
      <c r="AB72" s="51">
        <v>43474</v>
      </c>
      <c r="AC72" s="51">
        <v>43475</v>
      </c>
      <c r="AD72" s="51">
        <v>43476</v>
      </c>
      <c r="AE72" s="51">
        <v>43477</v>
      </c>
      <c r="AF72" s="51">
        <v>43478</v>
      </c>
      <c r="AG72" s="51">
        <v>43479</v>
      </c>
      <c r="AH72" s="51">
        <v>43480</v>
      </c>
      <c r="AI72" s="51">
        <v>43481</v>
      </c>
      <c r="AJ72" s="51">
        <v>43482</v>
      </c>
      <c r="AK72" s="51">
        <v>43483</v>
      </c>
      <c r="AL72" s="51">
        <v>43484</v>
      </c>
      <c r="AM72" s="51">
        <v>43485</v>
      </c>
      <c r="AN72" s="51">
        <v>43486</v>
      </c>
      <c r="AO72" s="51">
        <v>43487</v>
      </c>
      <c r="AP72" s="51">
        <v>43488</v>
      </c>
      <c r="AQ72" s="51">
        <v>43489</v>
      </c>
      <c r="AR72" s="51">
        <v>43490</v>
      </c>
      <c r="AS72" s="51">
        <v>43491</v>
      </c>
      <c r="AT72" s="51">
        <v>43492</v>
      </c>
      <c r="AU72" s="51">
        <v>43493</v>
      </c>
      <c r="AV72" s="51">
        <v>43494</v>
      </c>
      <c r="AW72" s="51">
        <v>43495</v>
      </c>
      <c r="AX72" s="51">
        <v>43496</v>
      </c>
    </row>
    <row r="73" spans="2:57" s="54" customFormat="1" ht="53.25" hidden="1" customHeight="1">
      <c r="B73" s="431"/>
      <c r="C73" s="422">
        <v>45845</v>
      </c>
      <c r="D73" s="377"/>
      <c r="E73" s="378"/>
      <c r="F73" s="379"/>
      <c r="G73" s="303"/>
      <c r="H73" s="320" t="e">
        <f>(D73-F73)/D73*100</f>
        <v>#DIV/0!</v>
      </c>
      <c r="I73" s="322" t="e">
        <f>((F73+E73)-G73)/(F73+E73)*100</f>
        <v>#DIV/0!</v>
      </c>
      <c r="J73" s="392" t="s">
        <v>164</v>
      </c>
      <c r="K73" s="286"/>
      <c r="L73" s="314" t="e">
        <f>(((D73+E73)-G73)/(D73+E73))*100</f>
        <v>#DIV/0!</v>
      </c>
      <c r="M73" s="416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[20]January_2019!L7</f>
        <v>285.8</v>
      </c>
      <c r="AC73" s="57">
        <f>[20]January_2019!M7</f>
        <v>508.1</v>
      </c>
      <c r="AD73" s="57">
        <f>[20]January_2019!N7</f>
        <v>0</v>
      </c>
      <c r="AE73" s="57">
        <f>[20]January_2019!O7</f>
        <v>0</v>
      </c>
      <c r="AF73" s="57">
        <f>[20]January_2019!P7</f>
        <v>109.56666666666666</v>
      </c>
      <c r="AG73" s="57">
        <f>[20]January_2019!Q7</f>
        <v>297.64999999999998</v>
      </c>
      <c r="AH73" s="57">
        <f>[20]January_2019!R7</f>
        <v>122.3</v>
      </c>
      <c r="AI73" s="57">
        <f>[20]January_2019!S7</f>
        <v>0</v>
      </c>
      <c r="AJ73" s="57">
        <f>[20]January_2019!T7</f>
        <v>294.7</v>
      </c>
      <c r="AK73" s="57">
        <f>[20]January_2019!U7</f>
        <v>280.5</v>
      </c>
      <c r="AL73" s="57">
        <f>[20]January_2019!V7</f>
        <v>0</v>
      </c>
      <c r="AM73" s="57">
        <f>[20]January_2019!W7</f>
        <v>0</v>
      </c>
      <c r="AN73" s="57">
        <f>[20]January_2019!X7</f>
        <v>188.25</v>
      </c>
      <c r="AO73" s="57">
        <f>[20]January_2019!Y7</f>
        <v>295.7</v>
      </c>
      <c r="AP73" s="57">
        <f>[20]January_2019!Z7</f>
        <v>257.8</v>
      </c>
      <c r="AQ73" s="57">
        <f>[20]January_2019!AA7</f>
        <v>291.2</v>
      </c>
      <c r="AR73" s="57">
        <f>[20]January_2019!AB7</f>
        <v>187</v>
      </c>
      <c r="AS73" s="57">
        <f>[20]January_2019!AC7</f>
        <v>0</v>
      </c>
      <c r="AT73" s="57">
        <f>[20]January_2019!AD7</f>
        <v>0</v>
      </c>
      <c r="AU73" s="57">
        <f>[20]January_2019!AE7</f>
        <v>485.1</v>
      </c>
      <c r="AV73" s="57">
        <f>[20]January_2019!AF7</f>
        <v>171.55</v>
      </c>
      <c r="AW73" s="57">
        <f>[20]January_2019!AG7</f>
        <v>423.8</v>
      </c>
      <c r="AX73" s="277">
        <f>[20]January_2019!AH7</f>
        <v>0</v>
      </c>
      <c r="AY73" s="277"/>
      <c r="AZ73" s="277"/>
      <c r="BA73" s="277"/>
      <c r="BB73" s="277"/>
      <c r="BC73" s="277"/>
      <c r="BD73" s="277"/>
      <c r="BE73" s="277"/>
    </row>
    <row r="74" spans="2:57" s="54" customFormat="1">
      <c r="B74" s="431"/>
      <c r="C74" s="422"/>
      <c r="D74" s="377"/>
      <c r="E74" s="378"/>
      <c r="F74" s="379"/>
      <c r="G74" s="303"/>
      <c r="H74" s="320"/>
      <c r="I74" s="322"/>
      <c r="J74" s="281"/>
      <c r="K74" s="286"/>
      <c r="L74" s="314"/>
      <c r="M74" s="416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277"/>
      <c r="AY74" s="277"/>
      <c r="AZ74" s="277"/>
      <c r="BA74" s="277"/>
      <c r="BB74" s="277"/>
      <c r="BC74" s="277"/>
      <c r="BD74" s="277"/>
      <c r="BE74" s="277"/>
    </row>
    <row r="75" spans="2:57" s="54" customFormat="1" ht="53.25" hidden="1" customHeight="1">
      <c r="B75" s="431"/>
      <c r="C75" s="422"/>
      <c r="D75" s="377"/>
      <c r="E75" s="378"/>
      <c r="F75" s="379"/>
      <c r="G75" s="303"/>
      <c r="H75" s="320"/>
      <c r="I75" s="322"/>
      <c r="J75" s="392" t="s">
        <v>164</v>
      </c>
      <c r="K75" s="286"/>
      <c r="L75" s="314" t="e">
        <f>(((D75+E75)-G75)/(D75+E75))*100</f>
        <v>#DIV/0!</v>
      </c>
      <c r="M75" s="416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16.5" customHeight="1">
      <c r="B76" s="421"/>
      <c r="C76" s="283"/>
      <c r="D76" s="377"/>
      <c r="E76" s="378"/>
      <c r="F76" s="379"/>
      <c r="G76" s="303"/>
      <c r="H76" s="320"/>
      <c r="I76" s="322"/>
      <c r="J76" s="281"/>
      <c r="K76" s="286"/>
      <c r="L76" s="314"/>
      <c r="M76" s="416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415"/>
      <c r="AC76" s="415"/>
      <c r="AD76" s="415"/>
      <c r="AE76" s="415"/>
      <c r="AF76" s="415"/>
      <c r="AG76" s="415"/>
      <c r="AH76" s="415"/>
      <c r="AI76" s="415"/>
      <c r="AJ76" s="415"/>
      <c r="AK76" s="415"/>
      <c r="AL76" s="415"/>
      <c r="AM76" s="415"/>
      <c r="AN76" s="415"/>
      <c r="AO76" s="415"/>
      <c r="AP76" s="415"/>
      <c r="AQ76" s="415"/>
      <c r="AR76" s="415"/>
      <c r="AS76" s="415"/>
      <c r="AT76" s="415"/>
      <c r="AU76" s="415"/>
      <c r="AV76" s="415"/>
      <c r="AW76" s="415"/>
    </row>
    <row r="77" spans="2:57" ht="18" customHeight="1" thickBot="1">
      <c r="B77" s="59"/>
      <c r="C77" s="30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 t="s">
        <v>41</v>
      </c>
      <c r="O77" s="56"/>
      <c r="P77" s="60"/>
    </row>
    <row r="78" spans="2:57" ht="14.4" thickBot="1">
      <c r="B78" s="492" t="s">
        <v>55</v>
      </c>
      <c r="C78" s="493"/>
      <c r="D78" s="493"/>
      <c r="E78" s="493"/>
      <c r="F78" s="494"/>
      <c r="G78" s="492" t="s">
        <v>56</v>
      </c>
      <c r="H78" s="493"/>
      <c r="I78" s="493"/>
      <c r="J78" s="494"/>
      <c r="K78" s="492" t="s">
        <v>51</v>
      </c>
      <c r="L78" s="493"/>
      <c r="M78" s="493"/>
      <c r="N78" s="495"/>
      <c r="O78" s="56"/>
      <c r="P78" s="50"/>
    </row>
    <row r="79" spans="2:57">
      <c r="B79" s="61" t="s">
        <v>17</v>
      </c>
      <c r="C79" s="62" t="s">
        <v>36</v>
      </c>
      <c r="D79" s="62" t="s">
        <v>37</v>
      </c>
      <c r="E79" s="62" t="s">
        <v>38</v>
      </c>
      <c r="F79" s="63" t="s">
        <v>39</v>
      </c>
      <c r="G79" s="62" t="s">
        <v>36</v>
      </c>
      <c r="H79" s="62" t="s">
        <v>37</v>
      </c>
      <c r="I79" s="62" t="s">
        <v>38</v>
      </c>
      <c r="J79" s="63" t="s">
        <v>39</v>
      </c>
      <c r="K79" s="62" t="s">
        <v>36</v>
      </c>
      <c r="L79" s="62" t="s">
        <v>37</v>
      </c>
      <c r="M79" s="62" t="s">
        <v>38</v>
      </c>
      <c r="N79" s="63" t="s">
        <v>39</v>
      </c>
      <c r="O79" s="56"/>
      <c r="P79" s="64"/>
    </row>
    <row r="80" spans="2:57">
      <c r="B80" s="29" t="s">
        <v>6</v>
      </c>
      <c r="C80" s="65"/>
      <c r="D80" s="76">
        <v>5.0608856930023203</v>
      </c>
      <c r="E80" s="76">
        <v>6.5163972239457122</v>
      </c>
      <c r="F80" s="66">
        <v>4.8</v>
      </c>
      <c r="G80" s="65"/>
      <c r="H80" s="76">
        <v>3.579738071328245</v>
      </c>
      <c r="I80" s="76">
        <v>6.4447120450159749</v>
      </c>
      <c r="J80" s="66">
        <v>4.8</v>
      </c>
      <c r="K80" s="67"/>
      <c r="L80" s="194">
        <v>0.76245614035087717</v>
      </c>
      <c r="M80" s="194">
        <v>0.7219334343185404</v>
      </c>
      <c r="N80" s="68">
        <v>1</v>
      </c>
      <c r="O80" s="56"/>
      <c r="P80" s="69"/>
    </row>
    <row r="81" spans="2:16">
      <c r="B81" s="33" t="s">
        <v>9</v>
      </c>
      <c r="C81" s="65"/>
      <c r="D81" s="76">
        <v>5.1037577117218298</v>
      </c>
      <c r="E81" s="76">
        <v>6.0971944717676134</v>
      </c>
      <c r="F81" s="66">
        <v>4.8</v>
      </c>
      <c r="G81" s="65"/>
      <c r="H81" s="76">
        <v>3.2384753080210245</v>
      </c>
      <c r="I81" s="76">
        <v>5.768083676790571</v>
      </c>
      <c r="J81" s="66">
        <v>4.8</v>
      </c>
      <c r="K81" s="67"/>
      <c r="L81" s="194">
        <v>0.5936842105263157</v>
      </c>
      <c r="M81" s="194">
        <v>0.75812656809312595</v>
      </c>
      <c r="N81" s="68">
        <v>1</v>
      </c>
      <c r="P81" s="69"/>
    </row>
    <row r="82" spans="2:16">
      <c r="B82" s="34" t="s">
        <v>40</v>
      </c>
      <c r="C82" s="65"/>
      <c r="D82" s="76"/>
      <c r="E82" s="76">
        <v>11.96027372373279</v>
      </c>
      <c r="F82" s="66">
        <v>5.5</v>
      </c>
      <c r="G82" s="65"/>
      <c r="H82" s="76"/>
      <c r="I82" s="76">
        <v>13.111031100634913</v>
      </c>
      <c r="J82" s="66">
        <v>5.5</v>
      </c>
      <c r="K82" s="67"/>
      <c r="L82" s="194"/>
      <c r="M82" s="194">
        <v>0.4869398559932232</v>
      </c>
      <c r="N82" s="68">
        <v>1</v>
      </c>
      <c r="P82" s="69"/>
    </row>
    <row r="83" spans="2:16">
      <c r="B83" s="22" t="s">
        <v>33</v>
      </c>
      <c r="C83" s="65"/>
      <c r="D83" s="76"/>
      <c r="E83" s="76">
        <v>5.4214697406339898</v>
      </c>
      <c r="F83" s="66">
        <v>3.3</v>
      </c>
      <c r="G83" s="65"/>
      <c r="H83" s="76"/>
      <c r="I83" s="76">
        <v>5.263029001952213</v>
      </c>
      <c r="J83" s="66">
        <v>3.3</v>
      </c>
      <c r="K83" s="67"/>
      <c r="L83" s="194"/>
      <c r="M83" s="194">
        <v>0.6919486215538847</v>
      </c>
      <c r="N83" s="68">
        <v>1</v>
      </c>
      <c r="P83" s="69"/>
    </row>
    <row r="84" spans="2:16">
      <c r="B84" s="35" t="s">
        <v>29</v>
      </c>
      <c r="C84" s="65"/>
      <c r="D84" s="76"/>
      <c r="E84" s="76"/>
      <c r="F84" s="66">
        <v>3.3</v>
      </c>
      <c r="G84" s="282"/>
      <c r="H84" s="76"/>
      <c r="I84" s="76"/>
      <c r="J84" s="66">
        <v>3</v>
      </c>
      <c r="L84" s="194"/>
      <c r="M84" s="194"/>
      <c r="N84" s="68">
        <v>1</v>
      </c>
      <c r="P84" s="69"/>
    </row>
    <row r="85" spans="2:16">
      <c r="B85" s="36" t="s">
        <v>15</v>
      </c>
      <c r="C85" s="282"/>
      <c r="D85" s="76"/>
      <c r="E85" s="76">
        <v>7.3129862357869699</v>
      </c>
      <c r="F85" s="70">
        <f>[21]May_2022!$M$43</f>
        <v>3.4878406700073312</v>
      </c>
      <c r="G85" s="282"/>
      <c r="H85" s="76"/>
      <c r="I85" s="76">
        <v>8.9862703283331644</v>
      </c>
      <c r="J85" s="66">
        <v>5.5</v>
      </c>
      <c r="K85" s="67"/>
      <c r="L85" s="194"/>
      <c r="M85" s="194">
        <v>0.59276315789473688</v>
      </c>
      <c r="N85" s="68">
        <v>1</v>
      </c>
      <c r="P85" s="69"/>
    </row>
    <row r="86" spans="2:16">
      <c r="B86" s="37" t="s">
        <v>16</v>
      </c>
      <c r="C86" s="65"/>
      <c r="D86" s="76">
        <v>2.3359073359073403</v>
      </c>
      <c r="E86" s="76">
        <v>2.980561555075584</v>
      </c>
      <c r="F86" s="66">
        <v>3.3</v>
      </c>
      <c r="G86" s="282"/>
      <c r="H86" s="76">
        <v>3.7114579368100644</v>
      </c>
      <c r="I86" s="76">
        <v>4.4931174512296872</v>
      </c>
      <c r="J86" s="66">
        <v>3.3</v>
      </c>
      <c r="K86" s="67"/>
      <c r="L86" s="194">
        <v>1.7750877192982455</v>
      </c>
      <c r="M86" s="194">
        <v>0.83077455048409399</v>
      </c>
      <c r="N86" s="71">
        <v>1</v>
      </c>
      <c r="P86" s="69"/>
    </row>
    <row r="87" spans="2:16" ht="14.4" thickBot="1">
      <c r="B87" s="38" t="s">
        <v>127</v>
      </c>
      <c r="C87" s="65"/>
      <c r="D87" s="76"/>
      <c r="E87" s="76"/>
      <c r="F87" s="66">
        <v>7.5</v>
      </c>
      <c r="G87" s="282"/>
      <c r="H87" s="76"/>
      <c r="I87" s="76"/>
      <c r="J87" s="66">
        <v>7.5</v>
      </c>
      <c r="K87" s="67"/>
      <c r="L87" s="194"/>
      <c r="M87" s="194"/>
      <c r="N87" s="71">
        <v>1</v>
      </c>
      <c r="P87" s="69"/>
    </row>
    <row r="88" spans="2:16" ht="14.4" thickBot="1">
      <c r="B88" s="414" t="s">
        <v>161</v>
      </c>
      <c r="C88" s="65"/>
      <c r="D88" s="76">
        <v>9.4974642692485105</v>
      </c>
      <c r="E88" s="76">
        <v>7.2653644592663174</v>
      </c>
      <c r="F88" s="66">
        <v>4.8</v>
      </c>
      <c r="G88" s="282"/>
      <c r="H88" s="76">
        <v>10.183089539936029</v>
      </c>
      <c r="I88" s="76">
        <v>8.1715311054411259</v>
      </c>
      <c r="J88" s="66">
        <v>4.8</v>
      </c>
      <c r="K88" s="67"/>
      <c r="L88" s="194">
        <v>0.68877192982456148</v>
      </c>
      <c r="M88" s="194">
        <v>0.51368421052631585</v>
      </c>
      <c r="N88" s="71">
        <v>1</v>
      </c>
      <c r="O88" s="74"/>
      <c r="P88" s="75"/>
    </row>
    <row r="89" spans="2:16">
      <c r="D89" s="76">
        <v>4.77978854098372</v>
      </c>
      <c r="E89" s="76">
        <v>6.5467124707955016</v>
      </c>
      <c r="F89" s="341">
        <v>5.5</v>
      </c>
      <c r="H89" s="76">
        <v>4.3606558673896352</v>
      </c>
      <c r="I89" s="76">
        <v>6.7789448687636922</v>
      </c>
      <c r="J89" s="341">
        <v>5.5</v>
      </c>
      <c r="L89" s="194">
        <v>0.91649122807017525</v>
      </c>
      <c r="M89" s="194">
        <v>0.70567946232389822</v>
      </c>
      <c r="N89" s="386">
        <v>1</v>
      </c>
    </row>
    <row r="93" spans="2:16">
      <c r="F93" s="315"/>
    </row>
    <row r="94" spans="2:16">
      <c r="F94" s="341"/>
    </row>
  </sheetData>
  <mergeCells count="51">
    <mergeCell ref="M71:M72"/>
    <mergeCell ref="B78:F78"/>
    <mergeCell ref="G78:J78"/>
    <mergeCell ref="K78:N78"/>
    <mergeCell ref="G71:G72"/>
    <mergeCell ref="H71:H72"/>
    <mergeCell ref="I71:I72"/>
    <mergeCell ref="J71:J72"/>
    <mergeCell ref="K71:K72"/>
    <mergeCell ref="L71:L72"/>
    <mergeCell ref="F71:F72"/>
    <mergeCell ref="D66:E66"/>
    <mergeCell ref="B71:B72"/>
    <mergeCell ref="C71:C72"/>
    <mergeCell ref="D71:D72"/>
    <mergeCell ref="E71:E72"/>
    <mergeCell ref="B56:B65"/>
    <mergeCell ref="D56:E57"/>
    <mergeCell ref="J56:K56"/>
    <mergeCell ref="L57:N57"/>
    <mergeCell ref="D58:E59"/>
    <mergeCell ref="D60:E61"/>
    <mergeCell ref="D62:E63"/>
    <mergeCell ref="D64:E65"/>
    <mergeCell ref="I42:N42"/>
    <mergeCell ref="D43:E43"/>
    <mergeCell ref="B44:B55"/>
    <mergeCell ref="D44:E45"/>
    <mergeCell ref="D46:E47"/>
    <mergeCell ref="D48:E49"/>
    <mergeCell ref="D50:E51"/>
    <mergeCell ref="D52:E53"/>
    <mergeCell ref="D54:E5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6:B67">
    <cfRule type="cellIs" dxfId="2256" priority="88" operator="notBetween">
      <formula>#REF!</formula>
      <formula>#REF!</formula>
    </cfRule>
  </conditionalFormatting>
  <conditionalFormatting sqref="C70">
    <cfRule type="cellIs" dxfId="2255" priority="119" stopIfTrue="1" operator="lessThan">
      <formula>96</formula>
    </cfRule>
    <cfRule type="cellIs" dxfId="2254" priority="120" stopIfTrue="1" operator="greaterThan">
      <formula>100</formula>
    </cfRule>
  </conditionalFormatting>
  <conditionalFormatting sqref="C80:C81">
    <cfRule type="cellIs" dxfId="2253" priority="66" stopIfTrue="1" operator="lessThanOrEqual">
      <formula>0</formula>
    </cfRule>
  </conditionalFormatting>
  <conditionalFormatting sqref="C80:C84">
    <cfRule type="cellIs" dxfId="2252" priority="65" stopIfTrue="1" operator="greaterThan">
      <formula>$F80</formula>
    </cfRule>
  </conditionalFormatting>
  <conditionalFormatting sqref="C81">
    <cfRule type="cellIs" dxfId="2251" priority="123" stopIfTrue="1" operator="greaterThan">
      <formula>$F80</formula>
    </cfRule>
  </conditionalFormatting>
  <conditionalFormatting sqref="C82:C85">
    <cfRule type="cellIs" dxfId="2250" priority="72" stopIfTrue="1" operator="lessThanOrEqual">
      <formula>0</formula>
    </cfRule>
  </conditionalFormatting>
  <conditionalFormatting sqref="C85">
    <cfRule type="cellIs" dxfId="2249" priority="71" stopIfTrue="1" operator="greaterThan">
      <formula>$J85</formula>
    </cfRule>
  </conditionalFormatting>
  <conditionalFormatting sqref="C91:C95">
    <cfRule type="cellIs" dxfId="2248" priority="111" stopIfTrue="1" operator="lessThanOrEqual">
      <formula>0</formula>
    </cfRule>
  </conditionalFormatting>
  <conditionalFormatting sqref="C92:C95">
    <cfRule type="cellIs" dxfId="2247" priority="110" stopIfTrue="1" operator="greaterThan">
      <formula>$F$91</formula>
    </cfRule>
  </conditionalFormatting>
  <conditionalFormatting sqref="C97">
    <cfRule type="cellIs" dxfId="2246" priority="113" stopIfTrue="1" operator="lessThanOrEqual">
      <formula>0</formula>
    </cfRule>
    <cfRule type="cellIs" dxfId="2245" priority="112" stopIfTrue="1" operator="greaterThan">
      <formula>$F$91</formula>
    </cfRule>
  </conditionalFormatting>
  <conditionalFormatting sqref="C91:D91 D93:D99">
    <cfRule type="cellIs" dxfId="2244" priority="105" stopIfTrue="1" operator="greaterThan">
      <formula>4.5</formula>
    </cfRule>
  </conditionalFormatting>
  <conditionalFormatting sqref="D66:D67">
    <cfRule type="cellIs" dxfId="2243" priority="89" operator="notBetween">
      <formula>#REF!</formula>
      <formula>#REF!</formula>
    </cfRule>
  </conditionalFormatting>
  <conditionalFormatting sqref="D80:D87">
    <cfRule type="cellIs" dxfId="2242" priority="82" stopIfTrue="1" operator="lessThanOrEqual">
      <formula>0</formula>
    </cfRule>
  </conditionalFormatting>
  <conditionalFormatting sqref="D88">
    <cfRule type="cellIs" dxfId="2241" priority="81" stopIfTrue="1" operator="lessThanOrEqual">
      <formula>0</formula>
    </cfRule>
  </conditionalFormatting>
  <conditionalFormatting sqref="D91 D93:D99">
    <cfRule type="cellIs" dxfId="2240" priority="106" stopIfTrue="1" operator="lessThanOrEqual">
      <formula>0</formula>
    </cfRule>
  </conditionalFormatting>
  <conditionalFormatting sqref="D92">
    <cfRule type="cellIs" dxfId="2239" priority="97" stopIfTrue="1" operator="greaterThan">
      <formula>$F$91</formula>
    </cfRule>
    <cfRule type="cellIs" dxfId="2238" priority="98" stopIfTrue="1" operator="lessThanOrEqual">
      <formula>0</formula>
    </cfRule>
  </conditionalFormatting>
  <conditionalFormatting sqref="D80:E89">
    <cfRule type="cellIs" dxfId="2237" priority="62" stopIfTrue="1" operator="greaterThan">
      <formula>$F80</formula>
    </cfRule>
  </conditionalFormatting>
  <conditionalFormatting sqref="D89:E89">
    <cfRule type="cellIs" dxfId="2236" priority="63" stopIfTrue="1" operator="lessThanOrEqual">
      <formula>0</formula>
    </cfRule>
  </conditionalFormatting>
  <conditionalFormatting sqref="E10:E41">
    <cfRule type="cellIs" dxfId="2235" priority="20" operator="lessThan">
      <formula>48</formula>
    </cfRule>
  </conditionalFormatting>
  <conditionalFormatting sqref="E69 E70:F70">
    <cfRule type="cellIs" dxfId="2234" priority="102" stopIfTrue="1" operator="greaterThan">
      <formula>100</formula>
    </cfRule>
  </conditionalFormatting>
  <conditionalFormatting sqref="E70">
    <cfRule type="cellIs" dxfId="2233" priority="100" stopIfTrue="1" operator="greaterThan">
      <formula>100</formula>
    </cfRule>
    <cfRule type="cellIs" dxfId="2232" priority="99" stopIfTrue="1" operator="lessThan">
      <formula>96.8</formula>
    </cfRule>
  </conditionalFormatting>
  <conditionalFormatting sqref="E80:E88">
    <cfRule type="cellIs" dxfId="2231" priority="76" stopIfTrue="1" operator="lessThanOrEqual">
      <formula>0</formula>
    </cfRule>
  </conditionalFormatting>
  <conditionalFormatting sqref="E91:E99">
    <cfRule type="cellIs" dxfId="2230" priority="92" stopIfTrue="1" operator="lessThanOrEqual">
      <formula>0</formula>
    </cfRule>
    <cfRule type="cellIs" dxfId="2229" priority="91" stopIfTrue="1" operator="greaterThan">
      <formula>4.5</formula>
    </cfRule>
  </conditionalFormatting>
  <conditionalFormatting sqref="E70:F70 E69">
    <cfRule type="cellIs" dxfId="2228" priority="101" stopIfTrue="1" operator="lessThan">
      <formula>96.5</formula>
    </cfRule>
  </conditionalFormatting>
  <conditionalFormatting sqref="F10:F41">
    <cfRule type="cellIs" dxfId="2227" priority="21" operator="greaterThan">
      <formula>60</formula>
    </cfRule>
  </conditionalFormatting>
  <conditionalFormatting sqref="F70">
    <cfRule type="cellIs" dxfId="2226" priority="117" stopIfTrue="1" operator="lessThan">
      <formula>96.8</formula>
    </cfRule>
    <cfRule type="cellIs" dxfId="2225" priority="118" stopIfTrue="1" operator="greaterThan">
      <formula>100</formula>
    </cfRule>
  </conditionalFormatting>
  <conditionalFormatting sqref="F89">
    <cfRule type="cellIs" dxfId="2224" priority="78" stopIfTrue="1" operator="lessThanOrEqual">
      <formula>0</formula>
    </cfRule>
    <cfRule type="cellIs" dxfId="2223" priority="77" stopIfTrue="1" operator="greaterThan">
      <formula>$F89</formula>
    </cfRule>
  </conditionalFormatting>
  <conditionalFormatting sqref="F94">
    <cfRule type="cellIs" dxfId="2222" priority="31" stopIfTrue="1" operator="greaterThan">
      <formula>$F94</formula>
    </cfRule>
    <cfRule type="cellIs" dxfId="2221" priority="32" stopIfTrue="1" operator="lessThanOrEqual">
      <formula>0</formula>
    </cfRule>
  </conditionalFormatting>
  <conditionalFormatting sqref="G80:G81 C86:C88">
    <cfRule type="cellIs" dxfId="2220" priority="84" stopIfTrue="1" operator="lessThanOrEqual">
      <formula>0</formula>
    </cfRule>
    <cfRule type="cellIs" dxfId="2219" priority="83" stopIfTrue="1" operator="greaterThan">
      <formula>$F80</formula>
    </cfRule>
  </conditionalFormatting>
  <conditionalFormatting sqref="G80:G81">
    <cfRule type="cellIs" dxfId="2218" priority="68" stopIfTrue="1" operator="lessThanOrEqual">
      <formula>0</formula>
    </cfRule>
    <cfRule type="cellIs" dxfId="2217" priority="67" stopIfTrue="1" operator="greaterThan">
      <formula>$F80</formula>
    </cfRule>
  </conditionalFormatting>
  <conditionalFormatting sqref="G82">
    <cfRule type="cellIs" dxfId="2216" priority="122" stopIfTrue="1" operator="lessThanOrEqual">
      <formula>0</formula>
    </cfRule>
    <cfRule type="cellIs" dxfId="2215" priority="121" stopIfTrue="1" operator="greaterThan">
      <formula>$F81</formula>
    </cfRule>
  </conditionalFormatting>
  <conditionalFormatting sqref="G83">
    <cfRule type="cellIs" dxfId="2214" priority="80" stopIfTrue="1" operator="lessThanOrEqual">
      <formula>0</formula>
    </cfRule>
    <cfRule type="cellIs" dxfId="2213" priority="79" stopIfTrue="1" operator="greaterThan">
      <formula>$F83</formula>
    </cfRule>
  </conditionalFormatting>
  <conditionalFormatting sqref="G84:G88">
    <cfRule type="cellIs" dxfId="2212" priority="86" stopIfTrue="1" operator="lessThanOrEqual">
      <formula>0</formula>
    </cfRule>
    <cfRule type="cellIs" dxfId="2211" priority="85" stopIfTrue="1" operator="greaterThan">
      <formula>$J84</formula>
    </cfRule>
  </conditionalFormatting>
  <conditionalFormatting sqref="G93:G98 C96 C98">
    <cfRule type="cellIs" dxfId="2210" priority="114" stopIfTrue="1" operator="greaterThan">
      <formula>4.5</formula>
    </cfRule>
    <cfRule type="cellIs" dxfId="2209" priority="115" stopIfTrue="1" operator="lessThanOrEqual">
      <formula>0</formula>
    </cfRule>
  </conditionalFormatting>
  <conditionalFormatting sqref="G10:H41">
    <cfRule type="expression" dxfId="2208" priority="19">
      <formula>IF(+(IF(G10&lt;#REF!,0,IF(G10&gt;#REF!,0,1)))=0,1)</formula>
    </cfRule>
  </conditionalFormatting>
  <conditionalFormatting sqref="G92:H92">
    <cfRule type="cellIs" dxfId="2207" priority="96" stopIfTrue="1" operator="lessThanOrEqual">
      <formula>0</formula>
    </cfRule>
    <cfRule type="cellIs" dxfId="2206" priority="95" stopIfTrue="1" operator="greaterThan">
      <formula>$F$91</formula>
    </cfRule>
  </conditionalFormatting>
  <conditionalFormatting sqref="H55:H69">
    <cfRule type="cellIs" dxfId="2205" priority="93" stopIfTrue="1" operator="greaterThan">
      <formula>0</formula>
    </cfRule>
  </conditionalFormatting>
  <conditionalFormatting sqref="H73:H75">
    <cfRule type="cellIs" dxfId="2204" priority="2" stopIfTrue="1" operator="lessThanOrEqual">
      <formula>0</formula>
    </cfRule>
    <cfRule type="cellIs" dxfId="2203" priority="3" stopIfTrue="1" operator="greaterThan">
      <formula>$F$39</formula>
    </cfRule>
    <cfRule type="cellIs" dxfId="2202" priority="13" stopIfTrue="1" operator="greaterThan">
      <formula>$F$40</formula>
    </cfRule>
    <cfRule type="cellIs" dxfId="2201" priority="14" stopIfTrue="1" operator="lessThanOrEqual">
      <formula>0</formula>
    </cfRule>
    <cfRule type="cellIs" dxfId="2200" priority="11" stopIfTrue="1" operator="greaterThan">
      <formula>$F$42</formula>
    </cfRule>
    <cfRule type="cellIs" dxfId="2199" priority="12" stopIfTrue="1" operator="lessThanOrEqual">
      <formula>0</formula>
    </cfRule>
  </conditionalFormatting>
  <conditionalFormatting sqref="H76">
    <cfRule type="cellIs" dxfId="2198" priority="48" stopIfTrue="1" operator="lessThanOrEqual">
      <formula>0</formula>
    </cfRule>
    <cfRule type="cellIs" dxfId="2197" priority="37" stopIfTrue="1" operator="greaterThan">
      <formula>$F$54</formula>
    </cfRule>
    <cfRule type="cellIs" dxfId="2196" priority="47" stopIfTrue="1" operator="greaterThan">
      <formula>$F$55</formula>
    </cfRule>
    <cfRule type="cellIs" dxfId="2195" priority="46" stopIfTrue="1" operator="lessThanOrEqual">
      <formula>0</formula>
    </cfRule>
    <cfRule type="cellIs" dxfId="2194" priority="45" stopIfTrue="1" operator="greaterThan">
      <formula>$F$57</formula>
    </cfRule>
    <cfRule type="cellIs" dxfId="2193" priority="36" stopIfTrue="1" operator="lessThanOrEqual">
      <formula>0</formula>
    </cfRule>
  </conditionalFormatting>
  <conditionalFormatting sqref="H80:H87">
    <cfRule type="cellIs" dxfId="2192" priority="69" stopIfTrue="1" operator="greaterThan">
      <formula>$J80</formula>
    </cfRule>
    <cfRule type="cellIs" dxfId="2191" priority="70" stopIfTrue="1" operator="lessThanOrEqual">
      <formula>0</formula>
    </cfRule>
  </conditionalFormatting>
  <conditionalFormatting sqref="H88">
    <cfRule type="cellIs" dxfId="2190" priority="73" operator="greaterThan">
      <formula>5.3</formula>
    </cfRule>
  </conditionalFormatting>
  <conditionalFormatting sqref="H91 H93:H99">
    <cfRule type="cellIs" dxfId="2189" priority="108" stopIfTrue="1" operator="lessThanOrEqual">
      <formula>0</formula>
    </cfRule>
    <cfRule type="cellIs" dxfId="2188" priority="107" stopIfTrue="1" operator="greaterThan">
      <formula>4.5</formula>
    </cfRule>
  </conditionalFormatting>
  <conditionalFormatting sqref="H73:I75">
    <cfRule type="cellIs" dxfId="2187" priority="1" stopIfTrue="1" operator="greaterThan">
      <formula>$F$41</formula>
    </cfRule>
    <cfRule type="cellIs" dxfId="2186" priority="4" stopIfTrue="1" operator="lessThanOrEqual">
      <formula>0</formula>
    </cfRule>
  </conditionalFormatting>
  <conditionalFormatting sqref="H76:I76">
    <cfRule type="cellIs" dxfId="2185" priority="35" stopIfTrue="1" operator="greaterThan">
      <formula>$F$56</formula>
    </cfRule>
    <cfRule type="cellIs" dxfId="2184" priority="38" stopIfTrue="1" operator="lessThanOrEqual">
      <formula>0</formula>
    </cfRule>
  </conditionalFormatting>
  <conditionalFormatting sqref="H89:I89">
    <cfRule type="cellIs" dxfId="2183" priority="61" stopIfTrue="1" operator="lessThanOrEqual">
      <formula>0</formula>
    </cfRule>
    <cfRule type="cellIs" dxfId="2182" priority="60" stopIfTrue="1" operator="greaterThan">
      <formula>$J89</formula>
    </cfRule>
  </conditionalFormatting>
  <conditionalFormatting sqref="I73:I75">
    <cfRule type="cellIs" dxfId="2181" priority="5" stopIfTrue="1" operator="greaterThan">
      <formula>$F$39</formula>
    </cfRule>
    <cfRule type="cellIs" dxfId="2180" priority="6" stopIfTrue="1" operator="lessThanOrEqual">
      <formula>0</formula>
    </cfRule>
    <cfRule type="cellIs" dxfId="2179" priority="7" stopIfTrue="1" operator="greaterThan">
      <formula>$F$41</formula>
    </cfRule>
    <cfRule type="cellIs" dxfId="2178" priority="8" stopIfTrue="1" operator="lessThanOrEqual">
      <formula>0</formula>
    </cfRule>
    <cfRule type="cellIs" dxfId="2177" priority="10" stopIfTrue="1" operator="lessThanOrEqual">
      <formula>0</formula>
    </cfRule>
    <cfRule type="cellIs" dxfId="2176" priority="9" stopIfTrue="1" operator="greaterThan">
      <formula>$F$39</formula>
    </cfRule>
  </conditionalFormatting>
  <conditionalFormatting sqref="I76">
    <cfRule type="cellIs" dxfId="2175" priority="42" stopIfTrue="1" operator="lessThanOrEqual">
      <formula>0</formula>
    </cfRule>
    <cfRule type="cellIs" dxfId="2174" priority="41" stopIfTrue="1" operator="greaterThan">
      <formula>$F$56</formula>
    </cfRule>
    <cfRule type="cellIs" dxfId="2173" priority="40" stopIfTrue="1" operator="lessThanOrEqual">
      <formula>0</formula>
    </cfRule>
    <cfRule type="cellIs" dxfId="2172" priority="39" stopIfTrue="1" operator="greaterThan">
      <formula>$F$54</formula>
    </cfRule>
    <cfRule type="cellIs" dxfId="2171" priority="44" stopIfTrue="1" operator="lessThanOrEqual">
      <formula>0</formula>
    </cfRule>
    <cfRule type="cellIs" dxfId="2170" priority="43" stopIfTrue="1" operator="greaterThan">
      <formula>$F$54</formula>
    </cfRule>
  </conditionalFormatting>
  <conditionalFormatting sqref="I80:I88">
    <cfRule type="cellIs" dxfId="2169" priority="74" stopIfTrue="1" operator="greaterThan">
      <formula>$J80</formula>
    </cfRule>
    <cfRule type="cellIs" dxfId="2168" priority="75" stopIfTrue="1" operator="lessThanOrEqual">
      <formula>0</formula>
    </cfRule>
  </conditionalFormatting>
  <conditionalFormatting sqref="I91:I99">
    <cfRule type="cellIs" dxfId="2167" priority="104" stopIfTrue="1" operator="lessThanOrEqual">
      <formula>0</formula>
    </cfRule>
    <cfRule type="cellIs" dxfId="2166" priority="103" stopIfTrue="1" operator="greaterThan">
      <formula>4.5</formula>
    </cfRule>
  </conditionalFormatting>
  <conditionalFormatting sqref="I10:J41">
    <cfRule type="cellIs" dxfId="2165" priority="22" operator="lessThan">
      <formula>97.9</formula>
    </cfRule>
  </conditionalFormatting>
  <conditionalFormatting sqref="J44:J46">
    <cfRule type="cellIs" dxfId="2164" priority="51" stopIfTrue="1" operator="greaterThan">
      <formula>100</formula>
    </cfRule>
    <cfRule type="cellIs" dxfId="2163" priority="52" operator="lessThan">
      <formula>98</formula>
    </cfRule>
    <cfRule type="cellIs" dxfId="2162" priority="50" stopIfTrue="1" operator="lessThan">
      <formula>96.8</formula>
    </cfRule>
  </conditionalFormatting>
  <conditionalFormatting sqref="J44:J48">
    <cfRule type="cellIs" dxfId="2161" priority="49" operator="lessThan">
      <formula>97.4</formula>
    </cfRule>
  </conditionalFormatting>
  <conditionalFormatting sqref="J49">
    <cfRule type="cellIs" dxfId="2160" priority="53" operator="lessThan">
      <formula>98</formula>
    </cfRule>
  </conditionalFormatting>
  <conditionalFormatting sqref="J51:J52">
    <cfRule type="cellIs" dxfId="2159" priority="54" stopIfTrue="1" operator="lessThan">
      <formula>96.8</formula>
    </cfRule>
    <cfRule type="cellIs" dxfId="2158" priority="55" stopIfTrue="1" operator="greaterThan">
      <formula>100</formula>
    </cfRule>
  </conditionalFormatting>
  <conditionalFormatting sqref="J51:J53">
    <cfRule type="cellIs" dxfId="2157" priority="56" operator="lessThan">
      <formula>98</formula>
    </cfRule>
  </conditionalFormatting>
  <conditionalFormatting sqref="J89">
    <cfRule type="cellIs" dxfId="2156" priority="58" stopIfTrue="1" operator="lessThanOrEqual">
      <formula>0</formula>
    </cfRule>
    <cfRule type="cellIs" dxfId="2155" priority="57" stopIfTrue="1" operator="greaterThan">
      <formula>$F89</formula>
    </cfRule>
  </conditionalFormatting>
  <conditionalFormatting sqref="K10:K41">
    <cfRule type="cellIs" dxfId="2154" priority="16" operator="greaterThan">
      <formula>6</formula>
    </cfRule>
    <cfRule type="cellIs" dxfId="2153" priority="18" operator="greaterThan">
      <formula>6.4</formula>
    </cfRule>
    <cfRule type="cellIs" dxfId="2152" priority="17" operator="lessThan">
      <formula>4</formula>
    </cfRule>
  </conditionalFormatting>
  <conditionalFormatting sqref="K73:K76">
    <cfRule type="cellIs" dxfId="2151" priority="33" stopIfTrue="1" operator="lessThan">
      <formula>100%</formula>
    </cfRule>
  </conditionalFormatting>
  <conditionalFormatting sqref="K91:K96">
    <cfRule type="cellIs" dxfId="2150" priority="109" stopIfTrue="1" operator="lessThan">
      <formula>100%</formula>
    </cfRule>
  </conditionalFormatting>
  <conditionalFormatting sqref="K98:K99">
    <cfRule type="cellIs" dxfId="2149" priority="116" stopIfTrue="1" operator="lessThan">
      <formula>100%</formula>
    </cfRule>
  </conditionalFormatting>
  <conditionalFormatting sqref="K80:N83 L84:N84">
    <cfRule type="cellIs" dxfId="2148" priority="87" stopIfTrue="1" operator="lessThan">
      <formula>100%</formula>
    </cfRule>
  </conditionalFormatting>
  <conditionalFormatting sqref="K85:N88 L89:N89">
    <cfRule type="cellIs" dxfId="2147" priority="59" stopIfTrue="1" operator="lessThan">
      <formula>100%</formula>
    </cfRule>
  </conditionalFormatting>
  <conditionalFormatting sqref="L19:L41">
    <cfRule type="cellIs" dxfId="2146" priority="27" operator="greaterThan">
      <formula>65</formula>
    </cfRule>
    <cfRule type="cellIs" dxfId="2145" priority="26" operator="between">
      <formula>61</formula>
      <formula>65</formula>
    </cfRule>
  </conditionalFormatting>
  <conditionalFormatting sqref="L10:M18">
    <cfRule type="cellIs" dxfId="2144" priority="29" operator="greaterThan">
      <formula>65</formula>
    </cfRule>
    <cfRule type="cellIs" dxfId="2143" priority="28" operator="between">
      <formula>61</formula>
      <formula>65</formula>
    </cfRule>
  </conditionalFormatting>
  <conditionalFormatting sqref="L44:M55">
    <cfRule type="cellIs" dxfId="2142" priority="64" operator="lessThan">
      <formula>98</formula>
    </cfRule>
  </conditionalFormatting>
  <conditionalFormatting sqref="L59:N59">
    <cfRule type="cellIs" dxfId="2141" priority="34" operator="notEqual">
      <formula>#REF!</formula>
    </cfRule>
  </conditionalFormatting>
  <conditionalFormatting sqref="L91:N99">
    <cfRule type="cellIs" dxfId="2140" priority="94" stopIfTrue="1" operator="lessThan">
      <formula>100%</formula>
    </cfRule>
  </conditionalFormatting>
  <conditionalFormatting sqref="M10:M18">
    <cfRule type="expression" dxfId="2139" priority="30">
      <formula>IF(+(IF(M10&lt;U10,0,IF(M10&gt;V10,0,1)))=0,1)</formula>
    </cfRule>
  </conditionalFormatting>
  <conditionalFormatting sqref="M19:M41">
    <cfRule type="expression" dxfId="2138" priority="25">
      <formula>IF(+(IF(M19&lt;U19,0,IF(M19&gt;V19,0,1)))=0,1)</formula>
    </cfRule>
  </conditionalFormatting>
  <conditionalFormatting sqref="N10:N41">
    <cfRule type="expression" dxfId="2137" priority="15">
      <formula>IF(+(IF(N10&lt;W10,0,IF(N10&gt;X10,0,1)))=0,1)</formula>
    </cfRule>
  </conditionalFormatting>
  <conditionalFormatting sqref="P6">
    <cfRule type="cellIs" dxfId="2136" priority="90" operator="greaterThanOrEqual">
      <formula>19</formula>
    </cfRule>
  </conditionalFormatting>
  <dataValidations count="1">
    <dataValidation type="list" allowBlank="1" showInputMessage="1" showErrorMessage="1" sqref="R8" xr:uid="{B213B6B7-ABC5-49AA-AF19-AEC6E806790F}">
      <formula1>ProductList</formula1>
    </dataValidation>
  </dataValidations>
  <pageMargins left="0.7" right="0.7" top="0.75" bottom="0.75" header="0.3" footer="0.3"/>
  <pageSetup scale="49" fitToWidth="0" orientation="landscape" r:id="rId1"/>
  <rowBreaks count="1" manualBreakCount="1">
    <brk id="93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CBBD-28BC-45BC-893A-E07813170FE0}">
  <sheetPr>
    <pageSetUpPr fitToPage="1"/>
  </sheetPr>
  <dimension ref="A1:BE95"/>
  <sheetViews>
    <sheetView topLeftCell="A46" zoomScale="60" zoomScaleNormal="60" workbookViewId="0">
      <selection activeCell="B11" sqref="B11:O11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45848</v>
      </c>
      <c r="J4" s="398" t="s">
        <v>162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[23]Brewhouse!$A602</f>
        <v>CA495</v>
      </c>
      <c r="D10" s="279">
        <f>[23]Brewhouse!$AF602</f>
        <v>53.1</v>
      </c>
      <c r="E10" s="279">
        <f>[23]Brewhouse!$AI602</f>
        <v>51.2</v>
      </c>
      <c r="F10" s="278">
        <f>[23]Brewhouse!$V602</f>
        <v>58</v>
      </c>
      <c r="G10" s="279">
        <f>[23]Brewhouse!$AG602</f>
        <v>11.7</v>
      </c>
      <c r="H10" s="396">
        <v>11.8</v>
      </c>
      <c r="I10" s="368">
        <f>[23]Brewhouse!$AU602</f>
        <v>99.453237334018112</v>
      </c>
      <c r="J10" s="368">
        <f>[23]Brewhouse!$AV602</f>
        <v>101.09664126971761</v>
      </c>
      <c r="K10" s="281">
        <f>[23]Brewhouse!$Q602</f>
        <v>4.416058394160574</v>
      </c>
      <c r="L10" s="276">
        <f>[23]Brewhouse!$P602</f>
        <v>58</v>
      </c>
      <c r="M10" s="397">
        <f>[23]Brewhouse!$U602-[23]Brewhouse!$T602</f>
        <v>0.10555555555555557</v>
      </c>
      <c r="N10" s="370">
        <f>[23]Brewhouse!$Z602</f>
        <v>0.23819444444444446</v>
      </c>
      <c r="O10" s="371" t="str">
        <f>[23]Brewhouse!$AX602</f>
        <v>D. Gomez</v>
      </c>
      <c r="P10" s="419"/>
      <c r="R10" s="277" t="str">
        <f t="shared" ref="R10:R11" si="0">B10</f>
        <v>CARIB</v>
      </c>
      <c r="S10" s="296">
        <f t="shared" ref="S10:S45" si="1">VLOOKUP($B10,$R$3:$X$9,2,FALSE)</f>
        <v>11.6</v>
      </c>
      <c r="T10" s="296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29" t="s">
        <v>6</v>
      </c>
      <c r="C11" s="366" t="str">
        <f>[23]Brewhouse!$A603</f>
        <v>CA496</v>
      </c>
      <c r="D11" s="279">
        <f>[23]Brewhouse!$AF603</f>
        <v>52.8</v>
      </c>
      <c r="E11" s="279">
        <f>[23]Brewhouse!$AI603</f>
        <v>50.8</v>
      </c>
      <c r="F11" s="278">
        <f>[23]Brewhouse!$V603</f>
        <v>61</v>
      </c>
      <c r="G11" s="279">
        <f>[23]Brewhouse!$AG603</f>
        <v>11.6</v>
      </c>
      <c r="H11" s="396">
        <v>11.6</v>
      </c>
      <c r="I11" s="368">
        <f>[23]Brewhouse!$AU603</f>
        <v>97.788737373526942</v>
      </c>
      <c r="J11" s="368">
        <f>[23]Brewhouse!$AV603</f>
        <v>99.404636465147235</v>
      </c>
      <c r="K11" s="281">
        <f>[23]Brewhouse!$Q603</f>
        <v>6.2867647058823435</v>
      </c>
      <c r="L11" s="276">
        <f>[23]Brewhouse!$P603</f>
        <v>60</v>
      </c>
      <c r="M11" s="397">
        <f>[23]Brewhouse!$U603-[23]Brewhouse!$T603</f>
        <v>0.10902777777777778</v>
      </c>
      <c r="N11" s="370">
        <f>[23]Brewhouse!$Z603</f>
        <v>0.24444444444444446</v>
      </c>
      <c r="O11" s="371" t="str">
        <f>[23]Brewhouse!$AX603</f>
        <v>K.Benjamin</v>
      </c>
      <c r="P11" s="419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ref="R12:R45" si="9">B12</f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9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 t="s">
        <v>9</v>
      </c>
      <c r="C14" s="366" t="str">
        <f>[24]Brewhouse!$A291</f>
        <v>ST271</v>
      </c>
      <c r="D14" s="279">
        <f>[24]Brewhouse!$AD291</f>
        <v>49.8</v>
      </c>
      <c r="E14" s="279">
        <f>[24]Brewhouse!$AG291</f>
        <v>48.4</v>
      </c>
      <c r="F14" s="278">
        <f>[24]Brewhouse!$V291</f>
        <v>58</v>
      </c>
      <c r="G14" s="279">
        <f>[24]Brewhouse!$AE291</f>
        <v>11.9</v>
      </c>
      <c r="H14" s="396">
        <v>11.8</v>
      </c>
      <c r="I14" s="427">
        <f>[24]Brewhouse!$AS291</f>
        <v>96.474643951399159</v>
      </c>
      <c r="J14" s="427">
        <f>[24]Brewhouse!$AT291</f>
        <v>97.792224257184472</v>
      </c>
      <c r="K14" s="281">
        <f>[24]Brewhouse!$Q291</f>
        <v>9.0384615384615294</v>
      </c>
      <c r="L14" s="276">
        <f>[24]Brewhouse!$P291</f>
        <v>60</v>
      </c>
      <c r="M14" s="374">
        <f>[24]Brewhouse!$U291-[24]Brewhouse!$T291</f>
        <v>0.11388888888888893</v>
      </c>
      <c r="N14" s="370">
        <f>[24]Brewhouse!$AW291</f>
        <v>0.2458333333333334</v>
      </c>
      <c r="O14" s="428" t="str">
        <f>[24]Brewhouse!$AV291</f>
        <v>R. Regis</v>
      </c>
      <c r="P14" s="419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[24]Brewhouse!$A292</f>
        <v>ST272</v>
      </c>
      <c r="D15" s="279">
        <f>[24]Brewhouse!$AD292</f>
        <v>50.4</v>
      </c>
      <c r="E15" s="279">
        <f>[24]Brewhouse!$AG292</f>
        <v>50</v>
      </c>
      <c r="F15" s="278">
        <f>[24]Brewhouse!$V292</f>
        <v>60</v>
      </c>
      <c r="G15" s="279">
        <f>[24]Brewhouse!$AE292</f>
        <v>11.8</v>
      </c>
      <c r="H15" s="396">
        <v>11.8</v>
      </c>
      <c r="I15" s="427">
        <f>[24]Brewhouse!$AS292</f>
        <v>98.534580149559787</v>
      </c>
      <c r="J15" s="427">
        <f>[24]Brewhouse!$AT292</f>
        <v>99.881185097869619</v>
      </c>
      <c r="K15" s="281">
        <f>[24]Brewhouse!$Q292</f>
        <v>12.199630314232904</v>
      </c>
      <c r="L15" s="276">
        <f>[24]Brewhouse!$P292</f>
        <v>60</v>
      </c>
      <c r="M15" s="374">
        <f>[24]Brewhouse!$U292-[24]Brewhouse!$T292</f>
        <v>0.11180555555555549</v>
      </c>
      <c r="N15" s="370">
        <f>[24]Brewhouse!$AW292</f>
        <v>0.24930555555555556</v>
      </c>
      <c r="O15" s="428" t="str">
        <f>[24]Brewhouse!$AV292</f>
        <v>R. Regis</v>
      </c>
      <c r="P15" s="419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[24]Brewhouse!$A293</f>
        <v>ST273</v>
      </c>
      <c r="D16" s="279">
        <f>[24]Brewhouse!$AD293</f>
        <v>50.3</v>
      </c>
      <c r="E16" s="279">
        <f>[24]Brewhouse!$AG293</f>
        <v>49.9</v>
      </c>
      <c r="F16" s="278">
        <f>[24]Brewhouse!$V293</f>
        <v>59</v>
      </c>
      <c r="G16" s="279">
        <f>[24]Brewhouse!$AE293</f>
        <v>11.9</v>
      </c>
      <c r="H16" s="396">
        <v>11.8</v>
      </c>
      <c r="I16" s="427">
        <f>[24]Brewhouse!$AS293</f>
        <v>99.21410144378406</v>
      </c>
      <c r="J16" s="427">
        <f>[24]Brewhouse!$AT293</f>
        <v>100.56999294647811</v>
      </c>
      <c r="K16" s="281">
        <f>[24]Brewhouse!$Q293</f>
        <v>12.222222222222225</v>
      </c>
      <c r="L16" s="276">
        <f>[24]Brewhouse!$P293</f>
        <v>60</v>
      </c>
      <c r="M16" s="374">
        <f>[24]Brewhouse!$U293-[24]Brewhouse!$T293</f>
        <v>0.11111111111111116</v>
      </c>
      <c r="N16" s="370">
        <f>[24]Brewhouse!$AW293</f>
        <v>0.24652777777777779</v>
      </c>
      <c r="O16" s="428" t="str">
        <f>[24]Brewhouse!$AV293</f>
        <v>R. Regis</v>
      </c>
      <c r="P16" s="419"/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33" t="s">
        <v>9</v>
      </c>
      <c r="C17" s="366" t="str">
        <f>[24]Brewhouse!$A294</f>
        <v>ST274</v>
      </c>
      <c r="D17" s="279">
        <f>[24]Brewhouse!$AD294</f>
        <v>50.7</v>
      </c>
      <c r="E17" s="279">
        <f>[24]Brewhouse!$AG294</f>
        <v>50.3</v>
      </c>
      <c r="F17" s="278">
        <f>[24]Brewhouse!$V294</f>
        <v>57</v>
      </c>
      <c r="G17" s="279">
        <f>[24]Brewhouse!$AE294</f>
        <v>11.8</v>
      </c>
      <c r="H17" s="396">
        <v>11.7</v>
      </c>
      <c r="I17" s="427">
        <f>[24]Brewhouse!$AS294</f>
        <v>98.988095579595708</v>
      </c>
      <c r="J17" s="427">
        <f>[24]Brewhouse!$AT294</f>
        <v>99.978744719441565</v>
      </c>
      <c r="K17" s="281">
        <f>[24]Brewhouse!$Q294</f>
        <v>12.57035647279549</v>
      </c>
      <c r="L17" s="276">
        <f>[24]Brewhouse!$P294</f>
        <v>61</v>
      </c>
      <c r="M17" s="374">
        <f>[24]Brewhouse!$U294-[24]Brewhouse!$T294</f>
        <v>0.10416666666666674</v>
      </c>
      <c r="N17" s="370">
        <f>[24]Brewhouse!$AW294</f>
        <v>0.23541666666666672</v>
      </c>
      <c r="O17" s="428" t="str">
        <f>[24]Brewhouse!$AV294</f>
        <v>R. Regis</v>
      </c>
      <c r="P17" s="419" t="s">
        <v>179</v>
      </c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33" t="s">
        <v>9</v>
      </c>
      <c r="C18" s="366" t="str">
        <f>[24]Brewhouse!$A295</f>
        <v>ST275</v>
      </c>
      <c r="D18" s="279">
        <f>[24]Brewhouse!$AD295</f>
        <v>51.5</v>
      </c>
      <c r="E18" s="279">
        <f>[24]Brewhouse!$AG295</f>
        <v>51.2</v>
      </c>
      <c r="F18" s="278">
        <f>[24]Brewhouse!$V295</f>
        <v>58</v>
      </c>
      <c r="G18" s="279">
        <f>[24]Brewhouse!$AE295</f>
        <v>11.7</v>
      </c>
      <c r="H18" s="396">
        <v>11.7</v>
      </c>
      <c r="I18" s="427">
        <f>[24]Brewhouse!$AS295</f>
        <v>99.851352600758617</v>
      </c>
      <c r="J18" s="427">
        <f>[24]Brewhouse!$AT295</f>
        <v>100.48415255073921</v>
      </c>
      <c r="K18" s="281">
        <f>[24]Brewhouse!$Q295</f>
        <v>12.54612546125462</v>
      </c>
      <c r="L18" s="276">
        <f>[24]Brewhouse!$P295</f>
        <v>60</v>
      </c>
      <c r="M18" s="374">
        <f>[24]Brewhouse!$U295-[24]Brewhouse!$T295</f>
        <v>0.11388888888888893</v>
      </c>
      <c r="N18" s="370">
        <f>[24]Brewhouse!$AW295</f>
        <v>0.24236111111111114</v>
      </c>
      <c r="O18" s="428" t="str">
        <f>[24]Brewhouse!$AV295</f>
        <v>D. Gomaz</v>
      </c>
      <c r="P18" s="419"/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33" t="s">
        <v>9</v>
      </c>
      <c r="C19" s="366" t="str">
        <f>[24]Brewhouse!$A296</f>
        <v>ST276</v>
      </c>
      <c r="D19" s="279">
        <f>[24]Brewhouse!$AD296</f>
        <v>52.4</v>
      </c>
      <c r="E19" s="279">
        <f>[24]Brewhouse!$AG296</f>
        <v>51.8</v>
      </c>
      <c r="F19" s="278">
        <f>[24]Brewhouse!$V296</f>
        <v>60</v>
      </c>
      <c r="G19" s="279">
        <f>[24]Brewhouse!$AE296</f>
        <v>11.6</v>
      </c>
      <c r="H19" s="367"/>
      <c r="I19" s="427">
        <f>[24]Brewhouse!$AS296</f>
        <v>100.36291507352458</v>
      </c>
      <c r="J19" s="427">
        <f>[24]Brewhouse!$AT296</f>
        <v>100.99854416512912</v>
      </c>
      <c r="K19" s="281">
        <f>[24]Brewhouse!$Q296</f>
        <v>6.130268199233722</v>
      </c>
      <c r="L19" s="276">
        <f>[24]Brewhouse!$P296</f>
        <v>61</v>
      </c>
      <c r="M19" s="374">
        <f>[24]Brewhouse!$U296-[24]Brewhouse!$T296</f>
        <v>0.11041666666666683</v>
      </c>
      <c r="N19" s="370">
        <f>[24]Brewhouse!$AW296</f>
        <v>0.24166666666666681</v>
      </c>
      <c r="O19" s="428" t="str">
        <f>[24]Brewhouse!$AV296</f>
        <v>D. Gomaz</v>
      </c>
      <c r="P19" s="419"/>
      <c r="R19" s="277" t="str">
        <f t="shared" si="9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433" t="s">
        <v>178</v>
      </c>
      <c r="C20" s="366"/>
      <c r="D20" s="279"/>
      <c r="E20" s="279"/>
      <c r="F20" s="278"/>
      <c r="G20" s="279"/>
      <c r="H20" s="396"/>
      <c r="I20" s="427"/>
      <c r="J20" s="427"/>
      <c r="K20" s="281"/>
      <c r="L20" s="276"/>
      <c r="M20" s="374"/>
      <c r="N20" s="370"/>
      <c r="O20" s="428"/>
      <c r="P20" s="419"/>
      <c r="R20" s="277" t="str">
        <f t="shared" si="9"/>
        <v>July 10th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33" t="s">
        <v>9</v>
      </c>
      <c r="C21" s="366" t="str">
        <f>[24]Brewhouse!$A297</f>
        <v>ST277</v>
      </c>
      <c r="D21" s="279">
        <f>[24]Brewhouse!$AD297</f>
        <v>50.7</v>
      </c>
      <c r="E21" s="279">
        <f>[24]Brewhouse!$AG297</f>
        <v>50.3</v>
      </c>
      <c r="F21" s="278">
        <f>[24]Brewhouse!$V297</f>
        <v>53</v>
      </c>
      <c r="G21" s="279">
        <f>[24]Brewhouse!$AE297</f>
        <v>11.9</v>
      </c>
      <c r="H21" s="396">
        <v>11.9</v>
      </c>
      <c r="I21" s="427">
        <f>[24]Brewhouse!$AS297</f>
        <v>100.11017578568983</v>
      </c>
      <c r="J21" s="427">
        <f>[24]Brewhouse!$AT297</f>
        <v>100.74420420194711</v>
      </c>
      <c r="K21" s="281">
        <f>[24]Brewhouse!$Q297</f>
        <v>9.0566037735849001</v>
      </c>
      <c r="L21" s="276">
        <f>[24]Brewhouse!$P297</f>
        <v>59</v>
      </c>
      <c r="M21" s="374">
        <f>[24]Brewhouse!$U297-[24]Brewhouse!$T297</f>
        <v>0.10624999999999996</v>
      </c>
      <c r="N21" s="370">
        <f>[24]Brewhouse!$AW297</f>
        <v>0.23680555555555549</v>
      </c>
      <c r="O21" s="428" t="str">
        <f>[24]Brewhouse!$AV297</f>
        <v>D. Gomaz</v>
      </c>
      <c r="P21" s="419"/>
      <c r="R21" s="277" t="str">
        <f t="shared" si="9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4"/>
      <c r="O22" s="371"/>
      <c r="P22" s="419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4.4" hidden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4"/>
      <c r="O23" s="371"/>
      <c r="P23" s="419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4"/>
      <c r="O24" s="371"/>
      <c r="P24" s="419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4"/>
      <c r="O25" s="371"/>
      <c r="P25" s="419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4"/>
      <c r="O26" s="371"/>
      <c r="P26" s="419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4"/>
      <c r="O27" s="371"/>
      <c r="P27" s="419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4"/>
      <c r="O28" s="371"/>
      <c r="P28" s="419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4.4" hidden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4"/>
      <c r="O29" s="371"/>
      <c r="P29" s="419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4"/>
      <c r="O30" s="371"/>
      <c r="P30" s="419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6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9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9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9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9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9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customHeight="1" thickBot="1">
      <c r="B43" s="358"/>
      <c r="C43" s="358"/>
      <c r="D43" s="358"/>
      <c r="E43" s="358"/>
      <c r="F43" s="294"/>
      <c r="G43" s="294"/>
      <c r="H43" s="348"/>
      <c r="I43" s="532"/>
      <c r="J43" s="532"/>
      <c r="K43" s="532"/>
      <c r="L43" s="532"/>
      <c r="M43" s="532"/>
      <c r="N43" s="532"/>
      <c r="O43" s="1"/>
      <c r="P43" s="12"/>
      <c r="R43" s="277">
        <f t="shared" si="9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thickBot="1">
      <c r="B44" s="388" t="s">
        <v>163</v>
      </c>
      <c r="C44" s="388"/>
      <c r="D44" s="545" t="s">
        <v>35</v>
      </c>
      <c r="E44" s="546"/>
      <c r="F44" s="294"/>
      <c r="G44" s="294"/>
      <c r="H44" s="348"/>
      <c r="I44" s="24" t="s">
        <v>17</v>
      </c>
      <c r="J44" s="25" t="s">
        <v>36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R44" s="277" t="str">
        <f t="shared" si="9"/>
        <v xml:space="preserve">BRAND 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customHeight="1">
      <c r="A45" s="28"/>
      <c r="B45" s="588" t="str">
        <f>I45</f>
        <v>CARIB</v>
      </c>
      <c r="C45" s="362">
        <f>[23]Process!D534</f>
        <v>11.9</v>
      </c>
      <c r="D45" s="536">
        <v>11.86</v>
      </c>
      <c r="E45" s="525"/>
      <c r="F45" s="294"/>
      <c r="G45" s="294"/>
      <c r="H45" s="348"/>
      <c r="I45" s="29" t="s">
        <v>6</v>
      </c>
      <c r="J45" s="280">
        <f>AVERAGE(I10:I11)</f>
        <v>98.620987353772534</v>
      </c>
      <c r="K45" s="284">
        <f>COUNTA([23]Brewhouse!$A$580:$A$603)</f>
        <v>24</v>
      </c>
      <c r="L45" s="305">
        <f>AVERAGE([23]Brewhouse!$AU$580:$AU$603)</f>
        <v>98.157765800796781</v>
      </c>
      <c r="M4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AVERAGE([23]Brewhouse!$AU$102:$AU$171,[23]Brewhouse!$AU$173:$AU$253,[23]Brewhouse!$AU$255:$AU$339,[23]Brewhouse!$AU$341:$AU$346,[23]Brewhouse!$AU$348,[23]Brewhouse!$AU$349:$AU$406,[23]Brewhouse!$AU$408:$AU$491,[23]Brewhouse!$AU$493:$AU$578,[23]Brewhouse!$AU$580:$AU$603)</f>
        <v>97.769637992093166</v>
      </c>
      <c r="N45" s="30">
        <v>98</v>
      </c>
      <c r="O45" s="11"/>
      <c r="P45" s="31"/>
      <c r="R45" s="277" t="str">
        <f t="shared" si="9"/>
        <v>CARIB</v>
      </c>
      <c r="S45" s="296">
        <f t="shared" si="1"/>
        <v>11.6</v>
      </c>
      <c r="T45" s="296">
        <f t="shared" si="2"/>
        <v>12</v>
      </c>
      <c r="U45" s="297">
        <f t="shared" si="3"/>
        <v>0</v>
      </c>
      <c r="V45" s="297">
        <f t="shared" si="4"/>
        <v>0.118055555555556</v>
      </c>
      <c r="W45" s="297">
        <f t="shared" si="5"/>
        <v>0.22569444444444445</v>
      </c>
      <c r="X45" s="297">
        <f t="shared" si="6"/>
        <v>0.2638888888888889</v>
      </c>
      <c r="Y45" s="297">
        <f t="shared" si="7"/>
        <v>0</v>
      </c>
      <c r="Z45" s="296">
        <f t="shared" si="8"/>
        <v>60</v>
      </c>
    </row>
    <row r="46" spans="1:26" ht="15" customHeight="1">
      <c r="A46" s="28"/>
      <c r="B46" s="515"/>
      <c r="C46" s="349">
        <f>[23]Process!D535</f>
        <v>11.8</v>
      </c>
      <c r="D46" s="537"/>
      <c r="E46" s="520"/>
      <c r="F46" s="294"/>
      <c r="G46" s="294"/>
      <c r="H46" s="348"/>
      <c r="I46" s="33" t="s">
        <v>9</v>
      </c>
      <c r="J46" s="280">
        <f>AVERAGE(I14:I19)</f>
        <v>98.904281466436984</v>
      </c>
      <c r="K46" s="284">
        <f>COUNTA([24]Brewhouse!$A$275:$A$297)</f>
        <v>23</v>
      </c>
      <c r="L46" s="302">
        <f>AVERAGE([24]Brewhouse!$AS$275:$AS$297)</f>
        <v>99.270803443139272</v>
      </c>
      <c r="M46" s="302">
        <f>AVERAGE([24]Brewhouse!$AS$15:$AS$64,[24]Brewhouse!$AS$66:$AS$103,[24]Brewhouse!$AS$105:$AS$140,[24]Brewhouse!$AS$142:$AS$193,[24]Brewhouse!$AS$195:$AS$240,[24]Brewhouse!$AS$242:$AS$273,[24]Brewhouse!$AS$275:$AS$297)</f>
        <v>97.992051982909416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15"/>
      <c r="C47" s="349">
        <f>[23]Process!D538</f>
        <v>11.8</v>
      </c>
      <c r="D47" s="536">
        <v>11.87</v>
      </c>
      <c r="E47" s="525"/>
      <c r="F47" s="294"/>
      <c r="G47" s="294"/>
      <c r="H47" s="348"/>
      <c r="I47" s="34" t="s">
        <v>12</v>
      </c>
      <c r="J47" s="280"/>
      <c r="K47" s="284"/>
      <c r="L47" s="302"/>
      <c r="M47" s="302">
        <f>AVERAGE([25]Brewhouse!$AU$4:$AU$7,[25]Brewhouse!$AU$9:$AU$22,[25]Brewhouse!$AU$24:$AU$35,[25]Brewhouse!$AU$37:$AU$45,[25]Brewhouse!$AU$47:$AU$62)</f>
        <v>97.179377138297156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15"/>
      <c r="C48" s="349">
        <f>[23]Process!D539</f>
        <v>11.8</v>
      </c>
      <c r="D48" s="537"/>
      <c r="E48" s="520"/>
      <c r="F48" s="294"/>
      <c r="G48" s="294"/>
      <c r="H48" s="348"/>
      <c r="I48" s="22" t="s">
        <v>33</v>
      </c>
      <c r="J48" s="280"/>
      <c r="K48" s="284"/>
      <c r="L48" s="302"/>
      <c r="M48" s="302">
        <f>AVERAGE([26]Brewhouse!$AV$5:$AV$14,[26]Brewhouse!$AV$16:$AV$19,[26]Brewhouse!$AV$21:$AV$24,[26]Brewhouse!$AV$26:$AV$33,[26]Brewhouse!$AV$35:$AV$46,[26]Brewhouse!$AV$48:$AV$53)</f>
        <v>98.620083722669861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15"/>
      <c r="C49" s="349"/>
      <c r="D49" s="536"/>
      <c r="E49" s="525"/>
      <c r="F49" s="418"/>
      <c r="G49" s="294"/>
      <c r="H49" s="348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15"/>
      <c r="C50" s="349"/>
      <c r="D50" s="537"/>
      <c r="E50" s="520"/>
      <c r="F50" s="418"/>
      <c r="G50" s="294"/>
      <c r="H50" s="348"/>
      <c r="I50" s="36" t="s">
        <v>15</v>
      </c>
      <c r="J50" s="323"/>
      <c r="K50" s="284"/>
      <c r="L50" s="302"/>
      <c r="M50" s="302">
        <f>AVERAGE([27]Brewhouse!$AT$4:$AT$11,[27]Brewhouse!$AT$13:$AT$16,[27]Brewhouse!$AT$18:$AT$21)</f>
        <v>94.773169817643847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15"/>
      <c r="C51" s="349"/>
      <c r="D51" s="536"/>
      <c r="E51" s="525"/>
      <c r="F51" s="418"/>
      <c r="G51" s="294"/>
      <c r="H51" s="348"/>
      <c r="I51" s="37" t="s">
        <v>16</v>
      </c>
      <c r="J51" s="323"/>
      <c r="K51" s="284">
        <f>COUNTA([22]Brewhouse!$A$56:$A$65)</f>
        <v>10</v>
      </c>
      <c r="L51" s="302">
        <f>AVERAGE([22]Brewhouse!$AY$56:$AY$65)</f>
        <v>99.275500637605006</v>
      </c>
      <c r="M51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1" s="30">
        <v>98</v>
      </c>
      <c r="O51" s="11"/>
      <c r="P51" s="31" t="s">
        <v>41</v>
      </c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15"/>
      <c r="C52" s="349"/>
      <c r="D52" s="537"/>
      <c r="E52" s="520"/>
      <c r="F52" s="294"/>
      <c r="G52" s="294"/>
      <c r="H52" s="348"/>
      <c r="I52" s="411" t="s">
        <v>158</v>
      </c>
      <c r="J52" s="326"/>
      <c r="K52" s="284"/>
      <c r="L52" s="305"/>
      <c r="M52" s="305">
        <f>AVERAGE([28]Brewhouse!$AU$5:$AU$8,[28]Brewhouse!$AU$10:$AU$13)</f>
        <v>94.247666625193744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15"/>
      <c r="C53" s="349"/>
      <c r="D53" s="536"/>
      <c r="E53" s="525"/>
      <c r="F53" s="294"/>
      <c r="G53" s="294"/>
      <c r="H53" s="348"/>
      <c r="I53" s="410" t="s">
        <v>157</v>
      </c>
      <c r="J53" s="326"/>
      <c r="K53" s="284"/>
      <c r="L53" s="305"/>
      <c r="M53" s="305">
        <f>AVERAGE([29]Brewhouse!$AW$26:$AW$27)</f>
        <v>95.310680905194914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15"/>
      <c r="C54" s="349"/>
      <c r="D54" s="537"/>
      <c r="E54" s="520"/>
      <c r="F54" s="294"/>
      <c r="G54" s="294"/>
      <c r="H54" s="348"/>
      <c r="I54" s="406" t="s">
        <v>156</v>
      </c>
      <c r="J54" s="327"/>
      <c r="K54" s="407"/>
      <c r="L54" s="408"/>
      <c r="M54" s="408">
        <f>AVERAGE([30]Brewhouse!$AU$13:$AU$14)</f>
        <v>97.110575243268045</v>
      </c>
      <c r="N54" s="409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15"/>
      <c r="C55" s="349"/>
      <c r="D55" s="536"/>
      <c r="E55" s="525"/>
      <c r="F55" s="294"/>
      <c r="G55" s="294"/>
      <c r="H55" s="348"/>
      <c r="I55" s="1"/>
      <c r="J55" s="39"/>
      <c r="K55" s="404">
        <f>SUM(K45:K54)</f>
        <v>57</v>
      </c>
      <c r="L55" s="405">
        <f>((L45*K45)+(L46*K46)+(L47*K47)+(L48*K48)+(L49*K49)+(K52*L52)+(L50*K50)+(L51*K51)+(L54*K54))/(K55)</f>
        <v>98.80298008398907</v>
      </c>
      <c r="M55" s="405">
        <f>AVERAGE('[31]Jan 31st'!$L$65,'[32]Feb 28th'!$L$35,'[33]Mar. 31st'!$L$35,'[34]Apr. 30th'!$L$45,'[35]May 30th'!$L$37,L55)</f>
        <v>97.830372253559688</v>
      </c>
      <c r="N55" s="4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16"/>
      <c r="C56" s="350"/>
      <c r="D56" s="537"/>
      <c r="E56" s="520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89" t="str">
        <f>I46</f>
        <v>STAG</v>
      </c>
      <c r="C57" s="362">
        <f>[24]Process!D262</f>
        <v>11.9</v>
      </c>
      <c r="D57" s="517">
        <v>11.86</v>
      </c>
      <c r="E57" s="518"/>
      <c r="F57" s="294"/>
      <c r="G57" s="42"/>
      <c r="H57" s="41"/>
      <c r="I57" s="42"/>
      <c r="J57" s="572" t="s">
        <v>129</v>
      </c>
      <c r="K57" s="572"/>
      <c r="L57" s="294"/>
      <c r="M57" s="294"/>
      <c r="N57" s="294"/>
      <c r="O57" s="294"/>
      <c r="P57" s="12"/>
    </row>
    <row r="58" spans="1:56" ht="15" thickBot="1">
      <c r="B58" s="590"/>
      <c r="C58" s="362">
        <f>[24]Process!D263</f>
        <v>11.9</v>
      </c>
      <c r="D58" s="519"/>
      <c r="E58" s="520"/>
      <c r="F58" s="294"/>
      <c r="G58" s="42"/>
      <c r="H58" s="41"/>
      <c r="I58" s="42"/>
      <c r="J58" s="292" t="s">
        <v>17</v>
      </c>
      <c r="K58" s="293" t="s">
        <v>147</v>
      </c>
      <c r="L58" s="522" t="s">
        <v>136</v>
      </c>
      <c r="M58" s="522"/>
      <c r="N58" s="523"/>
      <c r="O58" s="294"/>
      <c r="P58" s="12"/>
    </row>
    <row r="59" spans="1:56" ht="15" customHeight="1" thickBot="1">
      <c r="B59" s="590"/>
      <c r="C59" s="349">
        <f>[24]Process!D264</f>
        <v>12</v>
      </c>
      <c r="D59" s="573">
        <v>12.02</v>
      </c>
      <c r="E59" s="574"/>
      <c r="F59" s="294"/>
      <c r="G59" s="42"/>
      <c r="H59" s="41"/>
      <c r="I59" s="42"/>
      <c r="J59" s="287" t="s">
        <v>6</v>
      </c>
      <c r="K59" s="324">
        <v>2</v>
      </c>
      <c r="L59" s="343" t="s">
        <v>37</v>
      </c>
      <c r="M59" s="307" t="s">
        <v>38</v>
      </c>
      <c r="N59" s="307" t="s">
        <v>84</v>
      </c>
      <c r="O59" s="294"/>
      <c r="P59" s="12"/>
    </row>
    <row r="60" spans="1:56" ht="15.75" customHeight="1" thickBot="1">
      <c r="B60" s="590"/>
      <c r="C60" s="349">
        <f>[24]Process!D265</f>
        <v>12</v>
      </c>
      <c r="D60" s="519"/>
      <c r="E60" s="520"/>
      <c r="F60" s="294"/>
      <c r="G60" s="42"/>
      <c r="H60" s="41"/>
      <c r="I60" s="42"/>
      <c r="J60" s="345" t="s">
        <v>9</v>
      </c>
      <c r="K60" s="324">
        <v>6</v>
      </c>
      <c r="L60" s="344">
        <f>AVERAGE(K69,'July 1st'!K67,'July 2nd'!K68,'July 3rd'!K68,'July 4th'!K68,'July 7th '!K68,'July 8th '!K68)</f>
        <v>8</v>
      </c>
      <c r="M60" s="325">
        <f>AVERAGE('[31]Jan 29th '!$M$70,'[32]Feb 28th'!$L$40,'[33]Mar. 31st'!$L$40,'[34]Apr. 30th'!$L$50,'[35]May 30th'!$L$42,L60)</f>
        <v>6.8677735308170087</v>
      </c>
      <c r="N60" s="417">
        <v>9.1999999999999993</v>
      </c>
      <c r="O60" s="294"/>
      <c r="P60" s="12"/>
    </row>
    <row r="61" spans="1:56" ht="15" customHeight="1">
      <c r="B61" s="590"/>
      <c r="C61" s="349"/>
      <c r="D61" s="573"/>
      <c r="E61" s="574"/>
      <c r="F61" s="294"/>
      <c r="G61" s="42"/>
      <c r="H61" s="41"/>
      <c r="I61" s="42"/>
      <c r="J61" s="288" t="s">
        <v>40</v>
      </c>
      <c r="K61" s="324"/>
      <c r="L61" s="294"/>
      <c r="M61" s="294"/>
      <c r="N61" s="294"/>
      <c r="O61" s="294"/>
      <c r="P61" s="12"/>
    </row>
    <row r="62" spans="1:56" ht="15" customHeight="1">
      <c r="B62" s="590"/>
      <c r="C62" s="349"/>
      <c r="D62" s="519"/>
      <c r="E62" s="520"/>
      <c r="F62" s="294"/>
      <c r="G62" s="42"/>
      <c r="H62" s="41"/>
      <c r="I62" s="42"/>
      <c r="J62" s="289" t="s">
        <v>33</v>
      </c>
      <c r="K62" s="324"/>
      <c r="L62" s="294"/>
      <c r="M62" s="294"/>
      <c r="N62" s="294"/>
      <c r="O62" s="294"/>
      <c r="P62" s="12"/>
    </row>
    <row r="63" spans="1:56" ht="14.4">
      <c r="B63" s="590"/>
      <c r="C63" s="349"/>
      <c r="D63" s="573"/>
      <c r="E63" s="574"/>
      <c r="F63" s="294"/>
      <c r="G63" s="42"/>
      <c r="H63" s="41"/>
      <c r="I63" s="42"/>
      <c r="J63" s="290" t="s">
        <v>16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90"/>
      <c r="C64" s="349"/>
      <c r="D64" s="519"/>
      <c r="E64" s="520"/>
      <c r="F64" s="294"/>
      <c r="G64" s="42"/>
      <c r="H64" s="41"/>
      <c r="I64" s="42"/>
      <c r="J64" s="291" t="s">
        <v>15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73"/>
      <c r="E65" s="574"/>
      <c r="F65" s="294"/>
      <c r="G65" s="42"/>
      <c r="H65" s="41"/>
      <c r="I65" s="42"/>
      <c r="J65" s="291" t="s">
        <v>149</v>
      </c>
      <c r="K65" s="324"/>
      <c r="L65" s="294"/>
      <c r="M65" s="294"/>
      <c r="N65" s="294"/>
      <c r="O65" s="294"/>
      <c r="P65" s="12"/>
      <c r="BC65" s="44"/>
      <c r="BD65" s="44"/>
    </row>
    <row r="66" spans="2:57" ht="15" thickBot="1">
      <c r="B66" s="591"/>
      <c r="C66" s="350"/>
      <c r="D66" s="575"/>
      <c r="E66" s="576"/>
      <c r="F66" s="294"/>
      <c r="G66" s="42"/>
      <c r="H66" s="41"/>
      <c r="I66" s="42"/>
      <c r="J66" s="291" t="s">
        <v>148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 thickBot="1">
      <c r="B67" s="312" t="s">
        <v>139</v>
      </c>
      <c r="C67" s="313"/>
      <c r="D67" s="577">
        <f>AVERAGE(D45:E66)</f>
        <v>11.9025</v>
      </c>
      <c r="E67" s="578"/>
      <c r="F67" s="294"/>
      <c r="G67" s="42"/>
      <c r="H67" s="41"/>
      <c r="I67" s="42"/>
      <c r="J67" s="295" t="s">
        <v>134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>
      <c r="B68" s="363"/>
      <c r="C68" s="364"/>
      <c r="D68" s="365"/>
      <c r="E68" s="365"/>
      <c r="F68" s="294"/>
      <c r="G68" s="42"/>
      <c r="H68" s="41"/>
      <c r="I68" s="42"/>
      <c r="J68" s="295" t="s">
        <v>131</v>
      </c>
      <c r="K68" s="324"/>
      <c r="L68" s="294"/>
      <c r="M68" s="294"/>
      <c r="N68" s="294"/>
      <c r="O68" s="294"/>
      <c r="P68" s="12"/>
      <c r="BC68" s="44"/>
      <c r="BD68" s="44"/>
    </row>
    <row r="69" spans="2:57" ht="15.6" customHeight="1">
      <c r="B69" s="45"/>
      <c r="C69" s="11"/>
      <c r="D69" s="11"/>
      <c r="E69" s="46"/>
      <c r="F69" s="294"/>
      <c r="G69" s="42"/>
      <c r="H69" s="41"/>
      <c r="I69" s="42"/>
      <c r="J69" s="346" t="s">
        <v>130</v>
      </c>
      <c r="K69" s="324">
        <f>SUM(K59:K68)</f>
        <v>8</v>
      </c>
      <c r="L69" s="294"/>
      <c r="M69" s="294"/>
      <c r="N69" s="294"/>
      <c r="O69" s="294"/>
      <c r="P69" s="12"/>
    </row>
    <row r="70" spans="2:57" ht="20.25" customHeight="1">
      <c r="B70" s="15" t="s">
        <v>42</v>
      </c>
      <c r="C70" s="1" t="s">
        <v>43</v>
      </c>
      <c r="D70" s="1"/>
      <c r="E70" s="1"/>
      <c r="F70" s="294"/>
      <c r="G70" s="42"/>
      <c r="H70" s="41"/>
      <c r="I70" s="42"/>
      <c r="L70" s="294"/>
      <c r="P70" s="334"/>
    </row>
    <row r="71" spans="2:57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</row>
    <row r="72" spans="2:57" ht="15" customHeight="1" thickBot="1">
      <c r="B72" s="498" t="s">
        <v>17</v>
      </c>
      <c r="C72" s="498" t="s">
        <v>44</v>
      </c>
      <c r="D72" s="510" t="s">
        <v>45</v>
      </c>
      <c r="E72" s="512" t="s">
        <v>46</v>
      </c>
      <c r="F72" s="506" t="s">
        <v>47</v>
      </c>
      <c r="G72" s="496" t="s">
        <v>48</v>
      </c>
      <c r="H72" s="498" t="s">
        <v>49</v>
      </c>
      <c r="I72" s="498" t="s">
        <v>50</v>
      </c>
      <c r="J72" s="490" t="s">
        <v>28</v>
      </c>
      <c r="K72" s="502" t="s">
        <v>51</v>
      </c>
      <c r="L72" s="504" t="s">
        <v>52</v>
      </c>
      <c r="M72" s="490" t="s">
        <v>53</v>
      </c>
      <c r="N72" s="13"/>
      <c r="O72" s="13"/>
      <c r="P72" s="50"/>
    </row>
    <row r="73" spans="2:57" ht="28.5" customHeight="1" thickTop="1" thickBot="1">
      <c r="B73" s="499"/>
      <c r="C73" s="499"/>
      <c r="D73" s="511"/>
      <c r="E73" s="513"/>
      <c r="F73" s="507"/>
      <c r="G73" s="497"/>
      <c r="H73" s="499"/>
      <c r="I73" s="499"/>
      <c r="J73" s="491"/>
      <c r="K73" s="503"/>
      <c r="L73" s="505"/>
      <c r="M73" s="491"/>
      <c r="N73" s="13"/>
      <c r="O73" s="13"/>
      <c r="P73" s="50"/>
      <c r="Q73" s="355"/>
      <c r="AB73" s="51">
        <v>43474</v>
      </c>
      <c r="AC73" s="51">
        <v>43475</v>
      </c>
      <c r="AD73" s="51">
        <v>43476</v>
      </c>
      <c r="AE73" s="51">
        <v>43477</v>
      </c>
      <c r="AF73" s="51">
        <v>43478</v>
      </c>
      <c r="AG73" s="51">
        <v>43479</v>
      </c>
      <c r="AH73" s="51">
        <v>43480</v>
      </c>
      <c r="AI73" s="51">
        <v>43481</v>
      </c>
      <c r="AJ73" s="51">
        <v>43482</v>
      </c>
      <c r="AK73" s="51">
        <v>43483</v>
      </c>
      <c r="AL73" s="51">
        <v>43484</v>
      </c>
      <c r="AM73" s="51">
        <v>43485</v>
      </c>
      <c r="AN73" s="51">
        <v>43486</v>
      </c>
      <c r="AO73" s="51">
        <v>43487</v>
      </c>
      <c r="AP73" s="51">
        <v>43488</v>
      </c>
      <c r="AQ73" s="51">
        <v>43489</v>
      </c>
      <c r="AR73" s="51">
        <v>43490</v>
      </c>
      <c r="AS73" s="51">
        <v>43491</v>
      </c>
      <c r="AT73" s="51">
        <v>43492</v>
      </c>
      <c r="AU73" s="51">
        <v>43493</v>
      </c>
      <c r="AV73" s="51">
        <v>43494</v>
      </c>
      <c r="AW73" s="51">
        <v>43495</v>
      </c>
      <c r="AX73" s="51">
        <v>43496</v>
      </c>
    </row>
    <row r="74" spans="2:57" s="54" customFormat="1" ht="53.25" customHeight="1">
      <c r="B74" s="387" t="str">
        <f>B81</f>
        <v>CARIB</v>
      </c>
      <c r="C74" s="422">
        <v>45847</v>
      </c>
      <c r="D74" s="377">
        <f>[36]July_2025!$L$3</f>
        <v>203.8</v>
      </c>
      <c r="E74" s="378"/>
      <c r="F74" s="379"/>
      <c r="G74" s="303">
        <f>[36]July_2025!$L$7</f>
        <v>188.5</v>
      </c>
      <c r="H74" s="320"/>
      <c r="I74" s="322"/>
      <c r="J74" s="392" t="s">
        <v>164</v>
      </c>
      <c r="K74" s="286">
        <f>[37]July_2025!$L$18</f>
        <v>1.3385964912280703</v>
      </c>
      <c r="L74" s="314">
        <f>(((D74+E74)-G74)/(D74+E74))*100</f>
        <v>7.5073601570166879</v>
      </c>
      <c r="M74" s="504" t="s">
        <v>177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285.8</v>
      </c>
      <c r="AC74" s="57">
        <f>[20]January_2019!M7</f>
        <v>508.1</v>
      </c>
      <c r="AD74" s="57">
        <f>[20]January_2019!N7</f>
        <v>0</v>
      </c>
      <c r="AE74" s="57">
        <f>[20]January_2019!O7</f>
        <v>0</v>
      </c>
      <c r="AF74" s="57">
        <f>[20]January_2019!P7</f>
        <v>109.56666666666666</v>
      </c>
      <c r="AG74" s="57">
        <f>[20]January_2019!Q7</f>
        <v>297.64999999999998</v>
      </c>
      <c r="AH74" s="57">
        <f>[20]January_2019!R7</f>
        <v>122.3</v>
      </c>
      <c r="AI74" s="57">
        <f>[20]January_2019!S7</f>
        <v>0</v>
      </c>
      <c r="AJ74" s="57">
        <f>[20]January_2019!T7</f>
        <v>294.7</v>
      </c>
      <c r="AK74" s="57">
        <f>[20]January_2019!U7</f>
        <v>280.5</v>
      </c>
      <c r="AL74" s="57">
        <f>[20]January_2019!V7</f>
        <v>0</v>
      </c>
      <c r="AM74" s="57">
        <f>[20]January_2019!W7</f>
        <v>0</v>
      </c>
      <c r="AN74" s="57">
        <f>[20]January_2019!X7</f>
        <v>188.25</v>
      </c>
      <c r="AO74" s="57">
        <f>[20]January_2019!Y7</f>
        <v>295.7</v>
      </c>
      <c r="AP74" s="57">
        <f>[20]January_2019!Z7</f>
        <v>257.8</v>
      </c>
      <c r="AQ74" s="57">
        <f>[20]January_2019!AA7</f>
        <v>291.2</v>
      </c>
      <c r="AR74" s="57">
        <f>[20]January_2019!AB7</f>
        <v>187</v>
      </c>
      <c r="AS74" s="57">
        <f>[20]January_2019!AC7</f>
        <v>0</v>
      </c>
      <c r="AT74" s="57">
        <f>[20]January_2019!AD7</f>
        <v>0</v>
      </c>
      <c r="AU74" s="57">
        <f>[20]January_2019!AE7</f>
        <v>485.1</v>
      </c>
      <c r="AV74" s="57">
        <f>[20]January_2019!AF7</f>
        <v>171.55</v>
      </c>
      <c r="AW74" s="57">
        <f>[20]January_2019!AG7</f>
        <v>423.8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>
      <c r="B75" s="431"/>
      <c r="C75" s="422"/>
      <c r="D75" s="377"/>
      <c r="E75" s="378"/>
      <c r="F75" s="379"/>
      <c r="G75" s="303"/>
      <c r="H75" s="320"/>
      <c r="I75" s="322"/>
      <c r="J75" s="281"/>
      <c r="K75" s="286"/>
      <c r="L75" s="314"/>
      <c r="M75" s="592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53.25" customHeight="1">
      <c r="B76" s="432" t="str">
        <f>B82</f>
        <v>STAG</v>
      </c>
      <c r="C76" s="422">
        <v>45847</v>
      </c>
      <c r="D76" s="377">
        <f>[36]July_2025!$L$13</f>
        <v>204.5</v>
      </c>
      <c r="E76" s="378"/>
      <c r="F76" s="379"/>
      <c r="G76" s="303">
        <f>[36]July_2025!$L$17</f>
        <v>193</v>
      </c>
      <c r="H76" s="320"/>
      <c r="I76" s="322"/>
      <c r="J76" s="392" t="s">
        <v>173</v>
      </c>
      <c r="K76" s="286">
        <f>[37]July_2025!$L$25</f>
        <v>0.66929824561403506</v>
      </c>
      <c r="L76" s="314">
        <f>(((D76+E76)-G76)/(D76+E76))*100</f>
        <v>5.6234718826405867</v>
      </c>
      <c r="M76" s="561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customHeight="1">
      <c r="B77" s="421"/>
      <c r="C77" s="283"/>
      <c r="D77" s="377"/>
      <c r="E77" s="378"/>
      <c r="F77" s="379"/>
      <c r="G77" s="303"/>
      <c r="H77" s="320"/>
      <c r="I77" s="322"/>
      <c r="J77" s="281"/>
      <c r="K77" s="286"/>
      <c r="L77" s="314"/>
      <c r="M77" s="416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 t="s">
        <v>41</v>
      </c>
      <c r="O78" s="56"/>
      <c r="P78" s="60"/>
    </row>
    <row r="79" spans="2:57" ht="14.4" thickBot="1">
      <c r="B79" s="492" t="s">
        <v>55</v>
      </c>
      <c r="C79" s="493"/>
      <c r="D79" s="493"/>
      <c r="E79" s="493"/>
      <c r="F79" s="494"/>
      <c r="G79" s="492" t="s">
        <v>56</v>
      </c>
      <c r="H79" s="493"/>
      <c r="I79" s="493"/>
      <c r="J79" s="494"/>
      <c r="K79" s="492" t="s">
        <v>51</v>
      </c>
      <c r="L79" s="493"/>
      <c r="M79" s="493"/>
      <c r="N79" s="495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 t="s">
        <v>36</v>
      </c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>
        <f>L74</f>
        <v>7.5073601570166879</v>
      </c>
      <c r="D81" s="76">
        <v>5.6395733469515452</v>
      </c>
      <c r="E81" s="76">
        <v>6.5248716199261629</v>
      </c>
      <c r="F81" s="66">
        <v>4.8</v>
      </c>
      <c r="G81" s="65">
        <f>[36]July_2025!$L$11</f>
        <v>6.909186253424231</v>
      </c>
      <c r="H81" s="76">
        <v>4.3674716180002235</v>
      </c>
      <c r="I81" s="76">
        <v>6.4486861877696633</v>
      </c>
      <c r="J81" s="66">
        <v>4.8</v>
      </c>
      <c r="K81" s="67">
        <f>K74</f>
        <v>1.3385964912280703</v>
      </c>
      <c r="L81" s="194">
        <v>0.87659429709323211</v>
      </c>
      <c r="M81" s="194">
        <v>0.72654114855800433</v>
      </c>
      <c r="N81" s="68">
        <v>1</v>
      </c>
      <c r="O81" s="56"/>
      <c r="P81" s="69"/>
    </row>
    <row r="82" spans="2:16">
      <c r="B82" s="33" t="s">
        <v>9</v>
      </c>
      <c r="C82" s="65">
        <f>L76</f>
        <v>5.6234718826405867</v>
      </c>
      <c r="D82" s="76">
        <v>5.3814002089864355</v>
      </c>
      <c r="E82" s="76">
        <v>6.0896741725062054</v>
      </c>
      <c r="F82" s="66">
        <v>4.8</v>
      </c>
      <c r="G82" s="65">
        <f>[36]July_2025!$L$21</f>
        <v>5.6234718826405867</v>
      </c>
      <c r="H82" s="76">
        <v>4.5265104019548277</v>
      </c>
      <c r="I82" s="76">
        <v>5.7657635748466713</v>
      </c>
      <c r="J82" s="66">
        <v>4.8</v>
      </c>
      <c r="K82" s="67">
        <f>K76</f>
        <v>0.66929824561403506</v>
      </c>
      <c r="L82" s="194">
        <v>0.61908631456796914</v>
      </c>
      <c r="M82" s="194">
        <v>0.75685521474931039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11.96027372373279</v>
      </c>
      <c r="F83" s="66">
        <v>5.5</v>
      </c>
      <c r="G83" s="65"/>
      <c r="H83" s="76"/>
      <c r="I83" s="76">
        <v>13.111031100634913</v>
      </c>
      <c r="J83" s="66">
        <v>5.5</v>
      </c>
      <c r="K83" s="67"/>
      <c r="L83" s="194"/>
      <c r="M83" s="194">
        <v>0.4869398559932232</v>
      </c>
      <c r="N83" s="68">
        <v>1</v>
      </c>
      <c r="P83" s="69"/>
    </row>
    <row r="84" spans="2:16">
      <c r="B84" s="22" t="s">
        <v>33</v>
      </c>
      <c r="C84" s="65"/>
      <c r="D84" s="76"/>
      <c r="E84" s="76">
        <v>5.4214697406339898</v>
      </c>
      <c r="F84" s="66">
        <v>3.3</v>
      </c>
      <c r="G84" s="65"/>
      <c r="H84" s="76"/>
      <c r="I84" s="76">
        <v>5.263029001952213</v>
      </c>
      <c r="J84" s="66">
        <v>3.3</v>
      </c>
      <c r="K84" s="67"/>
      <c r="L84" s="194"/>
      <c r="M84" s="194">
        <v>0.6919486215538847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7.3129862357869699</v>
      </c>
      <c r="F86" s="70">
        <f>[21]May_2022!$M$43</f>
        <v>3.4878406700073312</v>
      </c>
      <c r="G86" s="282"/>
      <c r="H86" s="76"/>
      <c r="I86" s="76">
        <v>8.9862703283331644</v>
      </c>
      <c r="J86" s="66">
        <v>5.5</v>
      </c>
      <c r="K86" s="67"/>
      <c r="L86" s="194"/>
      <c r="M86" s="194">
        <v>0.59276315789473688</v>
      </c>
      <c r="N86" s="68">
        <v>1</v>
      </c>
      <c r="P86" s="69"/>
    </row>
    <row r="87" spans="2:16">
      <c r="B87" s="37" t="s">
        <v>16</v>
      </c>
      <c r="C87" s="65"/>
      <c r="D87" s="76">
        <v>2.3359073359073403</v>
      </c>
      <c r="E87" s="76">
        <v>2.980561555075584</v>
      </c>
      <c r="F87" s="66">
        <v>3.3</v>
      </c>
      <c r="G87" s="282"/>
      <c r="H87" s="76">
        <v>3.7114579368100644</v>
      </c>
      <c r="I87" s="76">
        <v>4.4931174512296872</v>
      </c>
      <c r="J87" s="66">
        <v>3.3</v>
      </c>
      <c r="K87" s="67"/>
      <c r="L87" s="194">
        <v>1.7750877192982455</v>
      </c>
      <c r="M87" s="194">
        <v>0.83077455048409399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4" t="s">
        <v>161</v>
      </c>
      <c r="C89" s="65"/>
      <c r="D89" s="76">
        <v>9.4974642692485105</v>
      </c>
      <c r="E89" s="76">
        <v>7.2653644592663174</v>
      </c>
      <c r="F89" s="66">
        <v>4.8</v>
      </c>
      <c r="G89" s="282"/>
      <c r="H89" s="76">
        <v>10.183089539936029</v>
      </c>
      <c r="I89" s="76">
        <v>8.1715311054411259</v>
      </c>
      <c r="J89" s="66">
        <v>4.8</v>
      </c>
      <c r="K89" s="67"/>
      <c r="L89" s="194">
        <v>0.68877192982456148</v>
      </c>
      <c r="M89" s="194">
        <v>0.51368421052631585</v>
      </c>
      <c r="N89" s="71">
        <v>1</v>
      </c>
      <c r="O89" s="74"/>
      <c r="P89" s="75"/>
    </row>
    <row r="90" spans="2:16">
      <c r="D90" s="76">
        <v>5.1478055262240554</v>
      </c>
      <c r="E90" s="76">
        <v>6.5468632652730427</v>
      </c>
      <c r="F90" s="341">
        <v>5.5</v>
      </c>
      <c r="H90" s="76">
        <v>4.7113187818959883</v>
      </c>
      <c r="I90" s="76">
        <v>6.7747447269422958</v>
      </c>
      <c r="J90" s="341">
        <v>5.5</v>
      </c>
      <c r="L90" s="194">
        <v>0.93040935672514602</v>
      </c>
      <c r="M90" s="194">
        <v>0.70783192199127543</v>
      </c>
      <c r="N90" s="386">
        <v>1</v>
      </c>
    </row>
    <row r="94" spans="2:16">
      <c r="F94" s="315"/>
    </row>
    <row r="95" spans="2:16">
      <c r="F95" s="341"/>
    </row>
  </sheetData>
  <mergeCells count="52">
    <mergeCell ref="M72:M73"/>
    <mergeCell ref="B79:F79"/>
    <mergeCell ref="G79:J79"/>
    <mergeCell ref="K79:N79"/>
    <mergeCell ref="M74:M76"/>
    <mergeCell ref="G72:G73"/>
    <mergeCell ref="H72:H73"/>
    <mergeCell ref="I72:I73"/>
    <mergeCell ref="J72:J73"/>
    <mergeCell ref="K72:K73"/>
    <mergeCell ref="L72:L73"/>
    <mergeCell ref="F72:F73"/>
    <mergeCell ref="D67:E67"/>
    <mergeCell ref="B72:B73"/>
    <mergeCell ref="C72:C73"/>
    <mergeCell ref="D72:D73"/>
    <mergeCell ref="E72:E73"/>
    <mergeCell ref="B57:B66"/>
    <mergeCell ref="D57:E58"/>
    <mergeCell ref="J57:K57"/>
    <mergeCell ref="L58:N58"/>
    <mergeCell ref="D59:E60"/>
    <mergeCell ref="D61:E62"/>
    <mergeCell ref="D63:E64"/>
    <mergeCell ref="D65:E66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7:B68">
    <cfRule type="cellIs" dxfId="2135" priority="108" operator="notBetween">
      <formula>#REF!</formula>
      <formula>#REF!</formula>
    </cfRule>
  </conditionalFormatting>
  <conditionalFormatting sqref="C71">
    <cfRule type="cellIs" dxfId="2134" priority="140" stopIfTrue="1" operator="greaterThan">
      <formula>100</formula>
    </cfRule>
    <cfRule type="cellIs" dxfId="2133" priority="139" stopIfTrue="1" operator="lessThan">
      <formula>96</formula>
    </cfRule>
  </conditionalFormatting>
  <conditionalFormatting sqref="C81:C82">
    <cfRule type="cellIs" dxfId="2132" priority="86" stopIfTrue="1" operator="lessThanOrEqual">
      <formula>0</formula>
    </cfRule>
  </conditionalFormatting>
  <conditionalFormatting sqref="C81:C85">
    <cfRule type="cellIs" dxfId="2131" priority="85" stopIfTrue="1" operator="greaterThan">
      <formula>$F81</formula>
    </cfRule>
  </conditionalFormatting>
  <conditionalFormatting sqref="C82">
    <cfRule type="cellIs" dxfId="2130" priority="143" stopIfTrue="1" operator="greaterThan">
      <formula>$F81</formula>
    </cfRule>
  </conditionalFormatting>
  <conditionalFormatting sqref="C83:C86">
    <cfRule type="cellIs" dxfId="2129" priority="92" stopIfTrue="1" operator="lessThanOrEqual">
      <formula>0</formula>
    </cfRule>
  </conditionalFormatting>
  <conditionalFormatting sqref="C86">
    <cfRule type="cellIs" dxfId="2128" priority="91" stopIfTrue="1" operator="greaterThan">
      <formula>$J86</formula>
    </cfRule>
  </conditionalFormatting>
  <conditionalFormatting sqref="C92:C96">
    <cfRule type="cellIs" dxfId="2127" priority="131" stopIfTrue="1" operator="lessThanOrEqual">
      <formula>0</formula>
    </cfRule>
  </conditionalFormatting>
  <conditionalFormatting sqref="C93:C96">
    <cfRule type="cellIs" dxfId="2126" priority="130" stopIfTrue="1" operator="greaterThan">
      <formula>$F$92</formula>
    </cfRule>
  </conditionalFormatting>
  <conditionalFormatting sqref="C98">
    <cfRule type="cellIs" dxfId="2125" priority="133" stopIfTrue="1" operator="lessThanOrEqual">
      <formula>0</formula>
    </cfRule>
    <cfRule type="cellIs" dxfId="2124" priority="132" stopIfTrue="1" operator="greaterThan">
      <formula>$F$92</formula>
    </cfRule>
  </conditionalFormatting>
  <conditionalFormatting sqref="C92:D92 D94:D100">
    <cfRule type="cellIs" dxfId="2123" priority="125" stopIfTrue="1" operator="greaterThan">
      <formula>4.5</formula>
    </cfRule>
  </conditionalFormatting>
  <conditionalFormatting sqref="D67:D68">
    <cfRule type="cellIs" dxfId="2122" priority="109" operator="notBetween">
      <formula>#REF!</formula>
      <formula>#REF!</formula>
    </cfRule>
  </conditionalFormatting>
  <conditionalFormatting sqref="D81:D88">
    <cfRule type="cellIs" dxfId="2121" priority="102" stopIfTrue="1" operator="lessThanOrEqual">
      <formula>0</formula>
    </cfRule>
  </conditionalFormatting>
  <conditionalFormatting sqref="D89">
    <cfRule type="cellIs" dxfId="2120" priority="101" stopIfTrue="1" operator="lessThanOrEqual">
      <formula>0</formula>
    </cfRule>
  </conditionalFormatting>
  <conditionalFormatting sqref="D92 D94:D100">
    <cfRule type="cellIs" dxfId="2119" priority="126" stopIfTrue="1" operator="lessThanOrEqual">
      <formula>0</formula>
    </cfRule>
  </conditionalFormatting>
  <conditionalFormatting sqref="D93">
    <cfRule type="cellIs" dxfId="2118" priority="117" stopIfTrue="1" operator="greaterThan">
      <formula>$F$92</formula>
    </cfRule>
    <cfRule type="cellIs" dxfId="2117" priority="118" stopIfTrue="1" operator="lessThanOrEqual">
      <formula>0</formula>
    </cfRule>
  </conditionalFormatting>
  <conditionalFormatting sqref="D81:E90">
    <cfRule type="cellIs" dxfId="2116" priority="82" stopIfTrue="1" operator="greaterThan">
      <formula>$F81</formula>
    </cfRule>
  </conditionalFormatting>
  <conditionalFormatting sqref="D90:E90">
    <cfRule type="cellIs" dxfId="2115" priority="83" stopIfTrue="1" operator="lessThanOrEqual">
      <formula>0</formula>
    </cfRule>
  </conditionalFormatting>
  <conditionalFormatting sqref="E10:E42">
    <cfRule type="cellIs" dxfId="2114" priority="6" operator="lessThan">
      <formula>48</formula>
    </cfRule>
  </conditionalFormatting>
  <conditionalFormatting sqref="E70 E71:F71">
    <cfRule type="cellIs" dxfId="2113" priority="122" stopIfTrue="1" operator="greaterThan">
      <formula>100</formula>
    </cfRule>
  </conditionalFormatting>
  <conditionalFormatting sqref="E71">
    <cfRule type="cellIs" dxfId="2112" priority="119" stopIfTrue="1" operator="lessThan">
      <formula>96.8</formula>
    </cfRule>
    <cfRule type="cellIs" dxfId="2111" priority="120" stopIfTrue="1" operator="greaterThan">
      <formula>100</formula>
    </cfRule>
  </conditionalFormatting>
  <conditionalFormatting sqref="E81:E89">
    <cfRule type="cellIs" dxfId="2110" priority="96" stopIfTrue="1" operator="lessThanOrEqual">
      <formula>0</formula>
    </cfRule>
  </conditionalFormatting>
  <conditionalFormatting sqref="E92:E100">
    <cfRule type="cellIs" dxfId="2109" priority="111" stopIfTrue="1" operator="greaterThan">
      <formula>4.5</formula>
    </cfRule>
    <cfRule type="cellIs" dxfId="2108" priority="112" stopIfTrue="1" operator="lessThanOrEqual">
      <formula>0</formula>
    </cfRule>
  </conditionalFormatting>
  <conditionalFormatting sqref="E71:F71 E70">
    <cfRule type="cellIs" dxfId="2107" priority="121" stopIfTrue="1" operator="lessThan">
      <formula>96.5</formula>
    </cfRule>
  </conditionalFormatting>
  <conditionalFormatting sqref="F10:F42">
    <cfRule type="cellIs" dxfId="2106" priority="7" operator="greaterThan">
      <formula>60</formula>
    </cfRule>
  </conditionalFormatting>
  <conditionalFormatting sqref="F71">
    <cfRule type="cellIs" dxfId="2105" priority="138" stopIfTrue="1" operator="greaterThan">
      <formula>100</formula>
    </cfRule>
    <cfRule type="cellIs" dxfId="2104" priority="137" stopIfTrue="1" operator="lessThan">
      <formula>96.8</formula>
    </cfRule>
  </conditionalFormatting>
  <conditionalFormatting sqref="F90">
    <cfRule type="cellIs" dxfId="2103" priority="98" stopIfTrue="1" operator="lessThanOrEqual">
      <formula>0</formula>
    </cfRule>
    <cfRule type="cellIs" dxfId="2102" priority="97" stopIfTrue="1" operator="greaterThan">
      <formula>$F90</formula>
    </cfRule>
  </conditionalFormatting>
  <conditionalFormatting sqref="F95">
    <cfRule type="cellIs" dxfId="2101" priority="52" stopIfTrue="1" operator="lessThanOrEqual">
      <formula>0</formula>
    </cfRule>
    <cfRule type="cellIs" dxfId="2100" priority="51" stopIfTrue="1" operator="greaterThan">
      <formula>$F95</formula>
    </cfRule>
  </conditionalFormatting>
  <conditionalFormatting sqref="G81:G82 C87:C89">
    <cfRule type="cellIs" dxfId="2099" priority="104" stopIfTrue="1" operator="lessThanOrEqual">
      <formula>0</formula>
    </cfRule>
    <cfRule type="cellIs" dxfId="2098" priority="103" stopIfTrue="1" operator="greaterThan">
      <formula>$F81</formula>
    </cfRule>
  </conditionalFormatting>
  <conditionalFormatting sqref="G81:G82">
    <cfRule type="cellIs" dxfId="2097" priority="87" stopIfTrue="1" operator="greaterThan">
      <formula>$F81</formula>
    </cfRule>
    <cfRule type="cellIs" dxfId="2096" priority="88" stopIfTrue="1" operator="lessThanOrEqual">
      <formula>0</formula>
    </cfRule>
  </conditionalFormatting>
  <conditionalFormatting sqref="G83">
    <cfRule type="cellIs" dxfId="2095" priority="141" stopIfTrue="1" operator="greaterThan">
      <formula>$F82</formula>
    </cfRule>
    <cfRule type="cellIs" dxfId="2094" priority="142" stopIfTrue="1" operator="lessThanOrEqual">
      <formula>0</formula>
    </cfRule>
  </conditionalFormatting>
  <conditionalFormatting sqref="G84">
    <cfRule type="cellIs" dxfId="2093" priority="99" stopIfTrue="1" operator="greaterThan">
      <formula>$F84</formula>
    </cfRule>
    <cfRule type="cellIs" dxfId="2092" priority="100" stopIfTrue="1" operator="lessThanOrEqual">
      <formula>0</formula>
    </cfRule>
  </conditionalFormatting>
  <conditionalFormatting sqref="G85:G89">
    <cfRule type="cellIs" dxfId="2091" priority="106" stopIfTrue="1" operator="lessThanOrEqual">
      <formula>0</formula>
    </cfRule>
    <cfRule type="cellIs" dxfId="2090" priority="105" stopIfTrue="1" operator="greaterThan">
      <formula>$J85</formula>
    </cfRule>
  </conditionalFormatting>
  <conditionalFormatting sqref="G94:G99 C97 C99">
    <cfRule type="cellIs" dxfId="2089" priority="134" stopIfTrue="1" operator="greaterThan">
      <formula>4.5</formula>
    </cfRule>
    <cfRule type="cellIs" dxfId="2088" priority="135" stopIfTrue="1" operator="lessThanOrEqual">
      <formula>0</formula>
    </cfRule>
  </conditionalFormatting>
  <conditionalFormatting sqref="G10:H42">
    <cfRule type="expression" dxfId="2087" priority="5">
      <formula>IF(+(IF(G10&lt;#REF!,0,IF(G10&gt;#REF!,0,1)))=0,1)</formula>
    </cfRule>
  </conditionalFormatting>
  <conditionalFormatting sqref="G93:H93">
    <cfRule type="cellIs" dxfId="2086" priority="116" stopIfTrue="1" operator="lessThanOrEqual">
      <formula>0</formula>
    </cfRule>
    <cfRule type="cellIs" dxfId="2085" priority="115" stopIfTrue="1" operator="greaterThan">
      <formula>$F$92</formula>
    </cfRule>
  </conditionalFormatting>
  <conditionalFormatting sqref="H56:H70">
    <cfRule type="cellIs" dxfId="2084" priority="113" stopIfTrue="1" operator="greaterThan">
      <formula>0</formula>
    </cfRule>
  </conditionalFormatting>
  <conditionalFormatting sqref="H74:H76">
    <cfRule type="cellIs" dxfId="2083" priority="24" stopIfTrue="1" operator="lessThanOrEqual">
      <formula>0</formula>
    </cfRule>
    <cfRule type="cellIs" dxfId="2082" priority="33" stopIfTrue="1" operator="greaterThan">
      <formula>$F$43</formula>
    </cfRule>
    <cfRule type="cellIs" dxfId="2081" priority="34" stopIfTrue="1" operator="lessThanOrEqual">
      <formula>0</formula>
    </cfRule>
    <cfRule type="cellIs" dxfId="2080" priority="35" stopIfTrue="1" operator="greaterThan">
      <formula>$F$41</formula>
    </cfRule>
    <cfRule type="cellIs" dxfId="2079" priority="36" stopIfTrue="1" operator="lessThanOrEqual">
      <formula>0</formula>
    </cfRule>
    <cfRule type="cellIs" dxfId="2078" priority="25" stopIfTrue="1" operator="greaterThan">
      <formula>$F$40</formula>
    </cfRule>
  </conditionalFormatting>
  <conditionalFormatting sqref="H77">
    <cfRule type="cellIs" dxfId="2077" priority="56" stopIfTrue="1" operator="lessThanOrEqual">
      <formula>0</formula>
    </cfRule>
    <cfRule type="cellIs" dxfId="2076" priority="67" stopIfTrue="1" operator="greaterThan">
      <formula>$F$56</formula>
    </cfRule>
    <cfRule type="cellIs" dxfId="2075" priority="66" stopIfTrue="1" operator="lessThanOrEqual">
      <formula>0</formula>
    </cfRule>
    <cfRule type="cellIs" dxfId="2074" priority="65" stopIfTrue="1" operator="greaterThan">
      <formula>$F$58</formula>
    </cfRule>
    <cfRule type="cellIs" dxfId="2073" priority="68" stopIfTrue="1" operator="lessThanOrEqual">
      <formula>0</formula>
    </cfRule>
    <cfRule type="cellIs" dxfId="2072" priority="57" stopIfTrue="1" operator="greaterThan">
      <formula>$F$55</formula>
    </cfRule>
  </conditionalFormatting>
  <conditionalFormatting sqref="H81:H88">
    <cfRule type="cellIs" dxfId="2071" priority="90" stopIfTrue="1" operator="lessThanOrEqual">
      <formula>0</formula>
    </cfRule>
    <cfRule type="cellIs" dxfId="2070" priority="89" stopIfTrue="1" operator="greaterThan">
      <formula>$J81</formula>
    </cfRule>
  </conditionalFormatting>
  <conditionalFormatting sqref="H89">
    <cfRule type="cellIs" dxfId="2069" priority="93" operator="greaterThan">
      <formula>5.3</formula>
    </cfRule>
  </conditionalFormatting>
  <conditionalFormatting sqref="H92 H94:H100">
    <cfRule type="cellIs" dxfId="2068" priority="128" stopIfTrue="1" operator="lessThanOrEqual">
      <formula>0</formula>
    </cfRule>
    <cfRule type="cellIs" dxfId="2067" priority="127" stopIfTrue="1" operator="greaterThan">
      <formula>4.5</formula>
    </cfRule>
  </conditionalFormatting>
  <conditionalFormatting sqref="H74:I76">
    <cfRule type="cellIs" dxfId="2066" priority="23" stopIfTrue="1" operator="greaterThan">
      <formula>$F$42</formula>
    </cfRule>
    <cfRule type="cellIs" dxfId="2065" priority="26" stopIfTrue="1" operator="lessThanOrEqual">
      <formula>0</formula>
    </cfRule>
  </conditionalFormatting>
  <conditionalFormatting sqref="H77:I77">
    <cfRule type="cellIs" dxfId="2064" priority="58" stopIfTrue="1" operator="lessThanOrEqual">
      <formula>0</formula>
    </cfRule>
    <cfRule type="cellIs" dxfId="2063" priority="55" stopIfTrue="1" operator="greaterThan">
      <formula>$F$57</formula>
    </cfRule>
  </conditionalFormatting>
  <conditionalFormatting sqref="H90:I90">
    <cfRule type="cellIs" dxfId="2062" priority="81" stopIfTrue="1" operator="lessThanOrEqual">
      <formula>0</formula>
    </cfRule>
    <cfRule type="cellIs" dxfId="2061" priority="80" stopIfTrue="1" operator="greaterThan">
      <formula>$J90</formula>
    </cfRule>
  </conditionalFormatting>
  <conditionalFormatting sqref="I74:I76">
    <cfRule type="cellIs" dxfId="2060" priority="31" stopIfTrue="1" operator="greaterThan">
      <formula>$F$40</formula>
    </cfRule>
    <cfRule type="cellIs" dxfId="2059" priority="27" stopIfTrue="1" operator="greaterThan">
      <formula>$F$40</formula>
    </cfRule>
    <cfRule type="cellIs" dxfId="2058" priority="28" stopIfTrue="1" operator="lessThanOrEqual">
      <formula>0</formula>
    </cfRule>
    <cfRule type="cellIs" dxfId="2057" priority="29" stopIfTrue="1" operator="greaterThan">
      <formula>$F$42</formula>
    </cfRule>
    <cfRule type="cellIs" dxfId="2056" priority="30" stopIfTrue="1" operator="lessThanOrEqual">
      <formula>0</formula>
    </cfRule>
    <cfRule type="cellIs" dxfId="2055" priority="32" stopIfTrue="1" operator="lessThanOrEqual">
      <formula>0</formula>
    </cfRule>
  </conditionalFormatting>
  <conditionalFormatting sqref="I77">
    <cfRule type="cellIs" dxfId="2054" priority="63" stopIfTrue="1" operator="greaterThan">
      <formula>$F$55</formula>
    </cfRule>
    <cfRule type="cellIs" dxfId="2053" priority="62" stopIfTrue="1" operator="lessThanOrEqual">
      <formula>0</formula>
    </cfRule>
    <cfRule type="cellIs" dxfId="2052" priority="61" stopIfTrue="1" operator="greaterThan">
      <formula>$F$57</formula>
    </cfRule>
    <cfRule type="cellIs" dxfId="2051" priority="60" stopIfTrue="1" operator="lessThanOrEqual">
      <formula>0</formula>
    </cfRule>
    <cfRule type="cellIs" dxfId="2050" priority="59" stopIfTrue="1" operator="greaterThan">
      <formula>$F$55</formula>
    </cfRule>
    <cfRule type="cellIs" dxfId="2049" priority="64" stopIfTrue="1" operator="lessThanOrEqual">
      <formula>0</formula>
    </cfRule>
  </conditionalFormatting>
  <conditionalFormatting sqref="I81:I89">
    <cfRule type="cellIs" dxfId="2048" priority="95" stopIfTrue="1" operator="lessThanOrEqual">
      <formula>0</formula>
    </cfRule>
    <cfRule type="cellIs" dxfId="2047" priority="94" stopIfTrue="1" operator="greaterThan">
      <formula>$J81</formula>
    </cfRule>
  </conditionalFormatting>
  <conditionalFormatting sqref="I92:I100">
    <cfRule type="cellIs" dxfId="2046" priority="123" stopIfTrue="1" operator="greaterThan">
      <formula>4.5</formula>
    </cfRule>
    <cfRule type="cellIs" dxfId="2045" priority="124" stopIfTrue="1" operator="lessThanOrEqual">
      <formula>0</formula>
    </cfRule>
  </conditionalFormatting>
  <conditionalFormatting sqref="I10:J42">
    <cfRule type="cellIs" dxfId="2044" priority="8" operator="lessThan">
      <formula>97.9</formula>
    </cfRule>
  </conditionalFormatting>
  <conditionalFormatting sqref="J45:J47">
    <cfRule type="cellIs" dxfId="2043" priority="71" stopIfTrue="1" operator="greaterThan">
      <formula>100</formula>
    </cfRule>
    <cfRule type="cellIs" dxfId="2042" priority="70" stopIfTrue="1" operator="lessThan">
      <formula>96.8</formula>
    </cfRule>
    <cfRule type="cellIs" dxfId="2041" priority="72" operator="lessThan">
      <formula>98</formula>
    </cfRule>
  </conditionalFormatting>
  <conditionalFormatting sqref="J45:J49">
    <cfRule type="cellIs" dxfId="2040" priority="69" operator="lessThan">
      <formula>97.4</formula>
    </cfRule>
  </conditionalFormatting>
  <conditionalFormatting sqref="J50">
    <cfRule type="cellIs" dxfId="2039" priority="73" operator="lessThan">
      <formula>98</formula>
    </cfRule>
  </conditionalFormatting>
  <conditionalFormatting sqref="J52:J53">
    <cfRule type="cellIs" dxfId="2038" priority="75" stopIfTrue="1" operator="greaterThan">
      <formula>100</formula>
    </cfRule>
    <cfRule type="cellIs" dxfId="2037" priority="74" stopIfTrue="1" operator="lessThan">
      <formula>96.8</formula>
    </cfRule>
  </conditionalFormatting>
  <conditionalFormatting sqref="J52:J54">
    <cfRule type="cellIs" dxfId="2036" priority="76" operator="lessThan">
      <formula>98</formula>
    </cfRule>
  </conditionalFormatting>
  <conditionalFormatting sqref="J90">
    <cfRule type="cellIs" dxfId="2035" priority="77" stopIfTrue="1" operator="greaterThan">
      <formula>$F90</formula>
    </cfRule>
    <cfRule type="cellIs" dxfId="2034" priority="78" stopIfTrue="1" operator="lessThanOrEqual">
      <formula>0</formula>
    </cfRule>
  </conditionalFormatting>
  <conditionalFormatting sqref="K10:K42">
    <cfRule type="cellIs" dxfId="2033" priority="3" operator="lessThan">
      <formula>4</formula>
    </cfRule>
    <cfRule type="cellIs" dxfId="2032" priority="4" operator="greaterThan">
      <formula>6.4</formula>
    </cfRule>
    <cfRule type="cellIs" dxfId="2031" priority="2" operator="greaterThan">
      <formula>6</formula>
    </cfRule>
  </conditionalFormatting>
  <conditionalFormatting sqref="K74:K77">
    <cfRule type="cellIs" dxfId="2030" priority="53" stopIfTrue="1" operator="lessThan">
      <formula>100%</formula>
    </cfRule>
  </conditionalFormatting>
  <conditionalFormatting sqref="K92:K97">
    <cfRule type="cellIs" dxfId="2029" priority="129" stopIfTrue="1" operator="lessThan">
      <formula>100%</formula>
    </cfRule>
  </conditionalFormatting>
  <conditionalFormatting sqref="K99:K100">
    <cfRule type="cellIs" dxfId="2028" priority="136" stopIfTrue="1" operator="lessThan">
      <formula>100%</formula>
    </cfRule>
  </conditionalFormatting>
  <conditionalFormatting sqref="K81:N84 L85:N85">
    <cfRule type="cellIs" dxfId="2027" priority="107" stopIfTrue="1" operator="lessThan">
      <formula>100%</formula>
    </cfRule>
  </conditionalFormatting>
  <conditionalFormatting sqref="K86:N89 L90:N90">
    <cfRule type="cellIs" dxfId="2026" priority="79" stopIfTrue="1" operator="lessThan">
      <formula>100%</formula>
    </cfRule>
  </conditionalFormatting>
  <conditionalFormatting sqref="L10:L11">
    <cfRule type="cellIs" dxfId="2025" priority="22" operator="greaterThan">
      <formula>65</formula>
    </cfRule>
    <cfRule type="cellIs" dxfId="2024" priority="21" operator="between">
      <formula>61</formula>
      <formula>65</formula>
    </cfRule>
  </conditionalFormatting>
  <conditionalFormatting sqref="L24:L42">
    <cfRule type="cellIs" dxfId="2023" priority="46" operator="between">
      <formula>61</formula>
      <formula>65</formula>
    </cfRule>
    <cfRule type="cellIs" dxfId="2022" priority="47" operator="greaterThan">
      <formula>65</formula>
    </cfRule>
  </conditionalFormatting>
  <conditionalFormatting sqref="L12:M23">
    <cfRule type="cellIs" dxfId="2021" priority="10" operator="greaterThan">
      <formula>65</formula>
    </cfRule>
    <cfRule type="cellIs" dxfId="2020" priority="9" operator="between">
      <formula>61</formula>
      <formula>65</formula>
    </cfRule>
  </conditionalFormatting>
  <conditionalFormatting sqref="L45:M56">
    <cfRule type="cellIs" dxfId="2019" priority="84" operator="lessThan">
      <formula>98</formula>
    </cfRule>
  </conditionalFormatting>
  <conditionalFormatting sqref="L60:N60">
    <cfRule type="cellIs" dxfId="2018" priority="54" operator="notEqual">
      <formula>#REF!</formula>
    </cfRule>
  </conditionalFormatting>
  <conditionalFormatting sqref="L92:N100">
    <cfRule type="cellIs" dxfId="2017" priority="114" stopIfTrue="1" operator="lessThan">
      <formula>100%</formula>
    </cfRule>
  </conditionalFormatting>
  <conditionalFormatting sqref="M10:M42">
    <cfRule type="expression" dxfId="2016" priority="11">
      <formula>IF(+(IF(M10&lt;U10,0,IF(M10&gt;V10,0,1)))=0,1)</formula>
    </cfRule>
  </conditionalFormatting>
  <conditionalFormatting sqref="N10:N42">
    <cfRule type="expression" dxfId="2015" priority="1">
      <formula>IF(+(IF(N10&lt;W10,0,IF(N10&gt;X10,0,1)))=0,1)</formula>
    </cfRule>
  </conditionalFormatting>
  <conditionalFormatting sqref="P6">
    <cfRule type="cellIs" dxfId="2014" priority="110" operator="greaterThanOrEqual">
      <formula>19</formula>
    </cfRule>
  </conditionalFormatting>
  <dataValidations disablePrompts="1" count="1">
    <dataValidation type="list" allowBlank="1" showInputMessage="1" showErrorMessage="1" sqref="R8" xr:uid="{0D5BAAB1-70ED-43B7-BC82-3DF9C20236CF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FEC5-A053-4F86-A7A6-6BFE7491FDA6}">
  <sheetPr>
    <pageSetUpPr fitToPage="1"/>
  </sheetPr>
  <dimension ref="A1:BE95"/>
  <sheetViews>
    <sheetView topLeftCell="A2" zoomScale="60" zoomScaleNormal="60" workbookViewId="0">
      <selection activeCell="D15" sqref="D1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45849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[24]Brewhouse!$A297</f>
        <v>ST277</v>
      </c>
      <c r="D10" s="279">
        <f>[24]Brewhouse!$AD297</f>
        <v>50.7</v>
      </c>
      <c r="E10" s="279">
        <f>[24]Brewhouse!$AG297</f>
        <v>50.3</v>
      </c>
      <c r="F10" s="278">
        <f>[24]Brewhouse!$V297</f>
        <v>53</v>
      </c>
      <c r="G10" s="279">
        <f>[24]Brewhouse!$AE297</f>
        <v>11.9</v>
      </c>
      <c r="H10" s="396">
        <v>11.9</v>
      </c>
      <c r="I10" s="427">
        <f>[24]Brewhouse!$AS297</f>
        <v>100.11017578568983</v>
      </c>
      <c r="J10" s="427">
        <f>[24]Brewhouse!$AT297</f>
        <v>100.74420420194711</v>
      </c>
      <c r="K10" s="281">
        <f>[24]Brewhouse!$Q297</f>
        <v>9.0566037735849001</v>
      </c>
      <c r="L10" s="276">
        <f>[24]Brewhouse!$P297</f>
        <v>59</v>
      </c>
      <c r="M10" s="374">
        <f>[24]Brewhouse!$U297-[24]Brewhouse!$T297</f>
        <v>0.10624999999999996</v>
      </c>
      <c r="N10" s="370">
        <f>[24]Brewhouse!$AW297</f>
        <v>0.23680555555555549</v>
      </c>
      <c r="O10" s="428" t="str">
        <f>[24]Brewhouse!$AV297</f>
        <v>D. Gomaz</v>
      </c>
      <c r="P10" s="419"/>
      <c r="R10" s="277" t="str">
        <f t="shared" ref="R10:R44" si="0">B10</f>
        <v>STAG</v>
      </c>
      <c r="S10" s="296">
        <f t="shared" ref="S10:S44" si="1">VLOOKUP($B10,$R$3:$X$9,2,FALSE)</f>
        <v>11.6</v>
      </c>
      <c r="T10" s="296">
        <f t="shared" ref="T10:T44" si="2">VLOOKUP($B10,$R$3:$X$9,3,FALSE)</f>
        <v>12</v>
      </c>
      <c r="U10" s="297">
        <f t="shared" ref="U10:U44" si="3">VLOOKUP($B10,$R$3:$X$9,4,FALSE)</f>
        <v>0</v>
      </c>
      <c r="V10" s="297">
        <f t="shared" ref="V10:V44" si="4">VLOOKUP($B10,$R$3:$X$9,5,FALSE)</f>
        <v>0.118055555555556</v>
      </c>
      <c r="W10" s="297">
        <f t="shared" ref="W10:W44" si="5">VLOOKUP($B10,$R$3:$X$9,6,FALSE)</f>
        <v>0.22569444444444445</v>
      </c>
      <c r="X10" s="297">
        <f t="shared" ref="X10:X44" si="6">VLOOKUP($B10,$R$3:$X$9,7,FALSE)</f>
        <v>0.2638888888888889</v>
      </c>
      <c r="Y10" s="297">
        <f t="shared" ref="Y10:Y44" si="7">VLOOKUP($B10,$R$3:$Z$9,8,FALSE)</f>
        <v>0</v>
      </c>
      <c r="Z10" s="296">
        <f t="shared" ref="Z10:Z44" si="8">VLOOKUP($B10,$R$3:$Z$9,9,FALSE)</f>
        <v>60</v>
      </c>
    </row>
    <row r="11" spans="2:29" ht="15.75" customHeight="1">
      <c r="B11" s="33" t="s">
        <v>9</v>
      </c>
      <c r="C11" s="366" t="str">
        <f>[24]Brewhouse!$A298</f>
        <v>ST278</v>
      </c>
      <c r="D11" s="279">
        <f>[24]Brewhouse!$AD298</f>
        <v>50.4</v>
      </c>
      <c r="E11" s="279">
        <f>[24]Brewhouse!$AG298</f>
        <v>50.2</v>
      </c>
      <c r="F11" s="278">
        <f>[24]Brewhouse!$V298</f>
        <v>57</v>
      </c>
      <c r="G11" s="279">
        <f>[24]Brewhouse!$AE298</f>
        <v>11.9</v>
      </c>
      <c r="H11" s="396">
        <v>11.8</v>
      </c>
      <c r="I11" s="427">
        <f>[24]Brewhouse!$AS298</f>
        <v>99.78653482584231</v>
      </c>
      <c r="J11" s="427">
        <f>[24]Brewhouse!$AT298</f>
        <v>100.41871901711605</v>
      </c>
      <c r="K11" s="281">
        <f>[24]Brewhouse!$Q298</f>
        <v>11.948529411764707</v>
      </c>
      <c r="L11" s="276">
        <f>[24]Brewhouse!$P298</f>
        <v>61</v>
      </c>
      <c r="M11" s="374">
        <f>[24]Brewhouse!$U298-[24]Brewhouse!$T298</f>
        <v>0.1076388888888889</v>
      </c>
      <c r="N11" s="370">
        <f>[24]Brewhouse!$AW298</f>
        <v>0.26180555555555557</v>
      </c>
      <c r="O11" s="428" t="str">
        <f>[24]Brewhouse!$AV298</f>
        <v>D. Gomaz</v>
      </c>
      <c r="P11" s="419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[24]Brewhouse!$A299</f>
        <v>ST279</v>
      </c>
      <c r="D12" s="279">
        <f>[24]Brewhouse!$AD299</f>
        <v>49.9</v>
      </c>
      <c r="E12" s="279">
        <f>[24]Brewhouse!$AG299</f>
        <v>49.3</v>
      </c>
      <c r="F12" s="278">
        <f>[24]Brewhouse!$V299</f>
        <v>56</v>
      </c>
      <c r="G12" s="279">
        <f>[24]Brewhouse!$AE299</f>
        <v>11.8</v>
      </c>
      <c r="H12" s="396">
        <v>11.7</v>
      </c>
      <c r="I12" s="427">
        <f>[24]Brewhouse!$AS299</f>
        <v>97.131691546615258</v>
      </c>
      <c r="J12" s="427">
        <f>[24]Brewhouse!$AT299</f>
        <v>97.747056334806572</v>
      </c>
      <c r="K12" s="281">
        <f>[24]Brewhouse!$Q299</f>
        <v>12.639405204460964</v>
      </c>
      <c r="L12" s="276">
        <f>[24]Brewhouse!$P299</f>
        <v>59</v>
      </c>
      <c r="M12" s="374">
        <f>[24]Brewhouse!$U299-[24]Brewhouse!$T299</f>
        <v>0.11249999999999999</v>
      </c>
      <c r="N12" s="370">
        <f>[24]Brewhouse!$AW299</f>
        <v>0.24722222222222218</v>
      </c>
      <c r="O12" s="428" t="str">
        <f>[24]Brewhouse!$AV299</f>
        <v>K. Benjamin</v>
      </c>
      <c r="P12" s="419"/>
      <c r="R12" s="277" t="str">
        <f t="shared" ref="R12:R28" si="9">B12</f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[24]Brewhouse!$A300</f>
        <v>ST280</v>
      </c>
      <c r="D13" s="279">
        <f>[24]Brewhouse!$AD300</f>
        <v>50.9</v>
      </c>
      <c r="E13" s="279">
        <f>[24]Brewhouse!$AG300</f>
        <v>50.5</v>
      </c>
      <c r="F13" s="278">
        <f>[24]Brewhouse!$V300</f>
        <v>59</v>
      </c>
      <c r="G13" s="279">
        <f>[24]Brewhouse!$AE300</f>
        <v>11.9</v>
      </c>
      <c r="H13" s="396">
        <v>12</v>
      </c>
      <c r="I13" s="427">
        <f>[24]Brewhouse!$AS300</f>
        <v>100.50822817449973</v>
      </c>
      <c r="J13" s="427">
        <f>[24]Brewhouse!$AT300</f>
        <v>101.14477757849561</v>
      </c>
      <c r="K13" s="281">
        <f>[24]Brewhouse!$Q300</f>
        <v>11.851851851851849</v>
      </c>
      <c r="L13" s="276">
        <f>[24]Brewhouse!$P300</f>
        <v>59</v>
      </c>
      <c r="M13" s="374">
        <f>[24]Brewhouse!$U300-[24]Brewhouse!$T300</f>
        <v>0.11388888888888882</v>
      </c>
      <c r="N13" s="370">
        <f>[24]Brewhouse!$AW300</f>
        <v>0.26111111111111107</v>
      </c>
      <c r="O13" s="428" t="str">
        <f>[24]Brewhouse!$AV300</f>
        <v>K. Benjamin</v>
      </c>
      <c r="P13" s="419"/>
      <c r="R13" s="277" t="str">
        <f t="shared" si="9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[24]Brewhouse!$A301</f>
        <v>ST281</v>
      </c>
      <c r="D14" s="279">
        <f>[24]Brewhouse!$AD301</f>
        <v>51.2</v>
      </c>
      <c r="E14" s="279">
        <f>[24]Brewhouse!$AG301</f>
        <v>50.4</v>
      </c>
      <c r="F14" s="278">
        <f>[24]Brewhouse!$V301</f>
        <v>64</v>
      </c>
      <c r="G14" s="279">
        <f>[24]Brewhouse!$AE301</f>
        <v>11.8</v>
      </c>
      <c r="H14" s="396">
        <v>11.8</v>
      </c>
      <c r="I14" s="427">
        <f>[24]Brewhouse!$AS301</f>
        <v>99.547251884193614</v>
      </c>
      <c r="J14" s="427">
        <f>[24]Brewhouse!$AT301</f>
        <v>100.1775096194802</v>
      </c>
      <c r="K14" s="281">
        <f>[24]Brewhouse!$Q301</f>
        <v>11.721611721611719</v>
      </c>
      <c r="L14" s="276">
        <f>[24]Brewhouse!$P301</f>
        <v>60</v>
      </c>
      <c r="M14" s="374">
        <f>[24]Brewhouse!$U301-[24]Brewhouse!$T301</f>
        <v>0.1152777777777777</v>
      </c>
      <c r="N14" s="370">
        <f>[24]Brewhouse!$AW301</f>
        <v>0.25486111111111109</v>
      </c>
      <c r="O14" s="428" t="str">
        <f>[24]Brewhouse!$AV301</f>
        <v>R. Regis</v>
      </c>
      <c r="P14" s="419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[24]Brewhouse!$A302</f>
        <v>ST282</v>
      </c>
      <c r="D15" s="279">
        <f>[24]Brewhouse!$AD302</f>
        <v>51.6</v>
      </c>
      <c r="E15" s="279">
        <f>[24]Brewhouse!$AG302</f>
        <v>51.1</v>
      </c>
      <c r="F15" s="278">
        <f>[24]Brewhouse!$V302</f>
        <v>63</v>
      </c>
      <c r="G15" s="279">
        <f>[24]Brewhouse!$AE302</f>
        <v>11.6</v>
      </c>
      <c r="H15" s="396">
        <v>11.7</v>
      </c>
      <c r="I15" s="427">
        <f>[24]Brewhouse!$AS302</f>
        <v>100.38565192460212</v>
      </c>
      <c r="J15" s="427">
        <f>[24]Brewhouse!$AT302</f>
        <v>101.01911653340269</v>
      </c>
      <c r="K15" s="281">
        <f>[24]Brewhouse!$Q302</f>
        <v>10.661764705882348</v>
      </c>
      <c r="L15" s="276">
        <f>[24]Brewhouse!$P302</f>
        <v>60</v>
      </c>
      <c r="M15" s="374">
        <f>[24]Brewhouse!$U302-[24]Brewhouse!$T302</f>
        <v>0.11111111111111116</v>
      </c>
      <c r="N15" s="370">
        <f>[24]Brewhouse!$AW302</f>
        <v>0.25069444444444444</v>
      </c>
      <c r="O15" s="428" t="str">
        <f>[24]Brewhouse!$AV302</f>
        <v>R. Regis</v>
      </c>
      <c r="P15" s="419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4"/>
      <c r="C18" s="366"/>
      <c r="D18" s="279"/>
      <c r="E18" s="279"/>
      <c r="F18" s="278"/>
      <c r="G18" s="279"/>
      <c r="H18" s="396"/>
      <c r="I18" s="427"/>
      <c r="J18" s="427"/>
      <c r="K18" s="436"/>
      <c r="L18" s="276"/>
      <c r="M18" s="374"/>
      <c r="N18" s="370"/>
      <c r="O18" s="428"/>
      <c r="P18" s="419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34" t="s">
        <v>12</v>
      </c>
      <c r="C19" s="366" t="str">
        <f>[25]Brewhouse!$A64</f>
        <v>GU056</v>
      </c>
      <c r="D19" s="279">
        <f>[25]Brewhouse!$AF64</f>
        <v>52.9</v>
      </c>
      <c r="E19" s="279">
        <f>[25]Brewhouse!$AI64</f>
        <v>50.1</v>
      </c>
      <c r="F19" s="278">
        <f>[25]Brewhouse!$V64</f>
        <v>63</v>
      </c>
      <c r="G19" s="279">
        <f>[25]Brewhouse!$AG64</f>
        <v>17.5</v>
      </c>
      <c r="H19" s="396">
        <v>17.2</v>
      </c>
      <c r="I19" s="427">
        <f>[25]Brewhouse!$AU64</f>
        <v>95.602395026170299</v>
      </c>
      <c r="J19" s="427">
        <f>[25]Brewhouse!$AV64</f>
        <v>96.229011158137752</v>
      </c>
      <c r="K19" s="436">
        <f>[25]Brewhouse!$R64</f>
        <v>12.88495575221239</v>
      </c>
      <c r="L19" s="276">
        <f>[25]Brewhouse!$O64</f>
        <v>58</v>
      </c>
      <c r="M19" s="374">
        <f>[25]Brewhouse!$U64-[25]Brewhouse!$T64</f>
        <v>0.1152777777777777</v>
      </c>
      <c r="N19" s="370">
        <f>[25]Brewhouse!$Z64</f>
        <v>0.26249999999999996</v>
      </c>
      <c r="O19" s="428" t="str">
        <f>[25]Brewhouse!$AW64</f>
        <v>R. Regis</v>
      </c>
      <c r="P19" s="419"/>
      <c r="R19" s="277" t="str">
        <f t="shared" si="9"/>
        <v>GUINNESS</v>
      </c>
      <c r="S19" s="296">
        <f t="shared" si="1"/>
        <v>17</v>
      </c>
      <c r="T19" s="296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296">
        <f t="shared" si="8"/>
        <v>60</v>
      </c>
    </row>
    <row r="20" spans="2:26" ht="15.75" customHeight="1">
      <c r="B20" s="34" t="s">
        <v>12</v>
      </c>
      <c r="C20" s="366" t="str">
        <f>[25]Brewhouse!$A65</f>
        <v>GU057</v>
      </c>
      <c r="D20" s="279">
        <f>[25]Brewhouse!$AF65</f>
        <v>54.3</v>
      </c>
      <c r="E20" s="279">
        <f>[25]Brewhouse!$AI65</f>
        <v>51.8</v>
      </c>
      <c r="F20" s="278">
        <f>[25]Brewhouse!$V65</f>
        <v>66</v>
      </c>
      <c r="G20" s="279">
        <f>[25]Brewhouse!$AG65</f>
        <v>17.3</v>
      </c>
      <c r="H20" s="396">
        <v>17.2</v>
      </c>
      <c r="I20" s="427">
        <f>[25]Brewhouse!$AU65</f>
        <v>97.762581464269644</v>
      </c>
      <c r="J20" s="427">
        <f>[25]Brewhouse!$AV65</f>
        <v>98.403244852903427</v>
      </c>
      <c r="K20" s="436">
        <f>[25]Brewhouse!$R65</f>
        <v>9.8936170212765937</v>
      </c>
      <c r="L20" s="276">
        <f>[25]Brewhouse!$O65</f>
        <v>62</v>
      </c>
      <c r="M20" s="374">
        <f>[25]Brewhouse!$U65-[25]Brewhouse!$T65</f>
        <v>0.11527777777777781</v>
      </c>
      <c r="N20" s="370">
        <f>[25]Brewhouse!$Z65</f>
        <v>0.25069444444444444</v>
      </c>
      <c r="O20" s="428" t="str">
        <f>[25]Brewhouse!$AW65</f>
        <v>D. Gomaz</v>
      </c>
      <c r="P20" s="419"/>
      <c r="R20" s="277" t="str">
        <f t="shared" si="9"/>
        <v>GUINNESS</v>
      </c>
      <c r="S20" s="296">
        <f t="shared" si="1"/>
        <v>17</v>
      </c>
      <c r="T20" s="296">
        <f t="shared" si="2"/>
        <v>17.5</v>
      </c>
      <c r="U20" s="297">
        <f t="shared" si="3"/>
        <v>0</v>
      </c>
      <c r="V20" s="297">
        <f t="shared" si="4"/>
        <v>0.1076388888888889</v>
      </c>
      <c r="W20" s="297">
        <f t="shared" si="5"/>
        <v>0.24652777777777779</v>
      </c>
      <c r="X20" s="297">
        <f t="shared" si="6"/>
        <v>0.28472222222222221</v>
      </c>
      <c r="Y20" s="297">
        <f t="shared" si="7"/>
        <v>0</v>
      </c>
      <c r="Z20" s="296">
        <f t="shared" si="8"/>
        <v>60</v>
      </c>
    </row>
    <row r="21" spans="2:26" ht="15.75" customHeight="1">
      <c r="B21" s="34" t="s">
        <v>12</v>
      </c>
      <c r="C21" s="366" t="str">
        <f>[25]Brewhouse!$A66</f>
        <v>GU058</v>
      </c>
      <c r="D21" s="279">
        <f>[25]Brewhouse!$AF66</f>
        <v>54.8</v>
      </c>
      <c r="E21" s="279">
        <f>[25]Brewhouse!$AI66</f>
        <v>52.4</v>
      </c>
      <c r="F21" s="278">
        <f>[25]Brewhouse!$V66</f>
        <v>63</v>
      </c>
      <c r="G21" s="279">
        <f>[25]Brewhouse!$AG66</f>
        <v>17.100000000000001</v>
      </c>
      <c r="H21" s="396">
        <v>17.2</v>
      </c>
      <c r="I21" s="427">
        <f>[25]Brewhouse!$AU66</f>
        <v>97.743357577875017</v>
      </c>
      <c r="J21" s="427">
        <f>[25]Brewhouse!$AV66</f>
        <v>98.383783367160788</v>
      </c>
      <c r="K21" s="436">
        <f>[25]Brewhouse!$R66</f>
        <v>9.2794376098418176</v>
      </c>
      <c r="L21" s="276">
        <f>[25]Brewhouse!$O66</f>
        <v>59</v>
      </c>
      <c r="M21" s="374">
        <f>[25]Brewhouse!$U66-[25]Brewhouse!$T66</f>
        <v>0.11874999999999991</v>
      </c>
      <c r="N21" s="370">
        <f>[25]Brewhouse!$Z66</f>
        <v>0.25208333333333321</v>
      </c>
      <c r="O21" s="428" t="str">
        <f>[25]Brewhouse!$AW66</f>
        <v>D. Gomaz</v>
      </c>
      <c r="P21" s="419"/>
      <c r="R21" s="277" t="str">
        <f t="shared" si="9"/>
        <v>GUINNESS</v>
      </c>
      <c r="S21" s="296">
        <f t="shared" si="1"/>
        <v>17</v>
      </c>
      <c r="T21" s="296">
        <f t="shared" si="2"/>
        <v>17.5</v>
      </c>
      <c r="U21" s="297">
        <f t="shared" si="3"/>
        <v>0</v>
      </c>
      <c r="V21" s="297">
        <f t="shared" si="4"/>
        <v>0.1076388888888889</v>
      </c>
      <c r="W21" s="297">
        <f t="shared" si="5"/>
        <v>0.24652777777777779</v>
      </c>
      <c r="X21" s="297">
        <f t="shared" si="6"/>
        <v>0.28472222222222221</v>
      </c>
      <c r="Y21" s="297">
        <f t="shared" si="7"/>
        <v>0</v>
      </c>
      <c r="Z21" s="296">
        <f t="shared" si="8"/>
        <v>60</v>
      </c>
    </row>
    <row r="22" spans="2:26" ht="15.75" customHeight="1">
      <c r="B22" s="34"/>
      <c r="C22" s="366"/>
      <c r="D22" s="279"/>
      <c r="E22" s="279"/>
      <c r="F22" s="278"/>
      <c r="G22" s="279"/>
      <c r="H22" s="396"/>
      <c r="I22" s="427"/>
      <c r="J22" s="427"/>
      <c r="K22" s="436"/>
      <c r="L22" s="276"/>
      <c r="M22" s="374"/>
      <c r="N22" s="370"/>
      <c r="O22" s="428"/>
      <c r="P22" s="419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4.4">
      <c r="B23" s="34"/>
      <c r="C23" s="366"/>
      <c r="D23" s="279"/>
      <c r="E23" s="279"/>
      <c r="F23" s="278"/>
      <c r="G23" s="279"/>
      <c r="H23" s="396"/>
      <c r="I23" s="427"/>
      <c r="J23" s="427"/>
      <c r="K23" s="436"/>
      <c r="L23" s="276"/>
      <c r="M23" s="374"/>
      <c r="N23" s="370"/>
      <c r="O23" s="428"/>
      <c r="P23" s="419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34"/>
      <c r="C24" s="366"/>
      <c r="D24" s="279"/>
      <c r="E24" s="279"/>
      <c r="F24" s="278"/>
      <c r="G24" s="279"/>
      <c r="H24" s="396"/>
      <c r="I24" s="427"/>
      <c r="J24" s="427"/>
      <c r="K24" s="436"/>
      <c r="L24" s="276"/>
      <c r="M24" s="374"/>
      <c r="N24" s="370"/>
      <c r="O24" s="428"/>
      <c r="P24" s="419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4"/>
      <c r="C25" s="366"/>
      <c r="D25" s="279"/>
      <c r="E25" s="279"/>
      <c r="F25" s="278"/>
      <c r="G25" s="279"/>
      <c r="H25" s="396"/>
      <c r="I25" s="427"/>
      <c r="J25" s="427"/>
      <c r="K25" s="436"/>
      <c r="L25" s="276"/>
      <c r="M25" s="374"/>
      <c r="N25" s="370"/>
      <c r="O25" s="428"/>
      <c r="P25" s="419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4"/>
      <c r="C26" s="366"/>
      <c r="D26" s="279"/>
      <c r="E26" s="279"/>
      <c r="F26" s="278"/>
      <c r="G26" s="279"/>
      <c r="H26" s="396"/>
      <c r="I26" s="427"/>
      <c r="J26" s="427"/>
      <c r="K26" s="436"/>
      <c r="L26" s="276"/>
      <c r="M26" s="374"/>
      <c r="N26" s="370"/>
      <c r="O26" s="428"/>
      <c r="P26" s="419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4"/>
      <c r="C27" s="366"/>
      <c r="D27" s="279"/>
      <c r="E27" s="279"/>
      <c r="F27" s="278"/>
      <c r="G27" s="279"/>
      <c r="H27" s="396"/>
      <c r="I27" s="427"/>
      <c r="J27" s="427"/>
      <c r="K27" s="436"/>
      <c r="L27" s="276"/>
      <c r="M27" s="374"/>
      <c r="N27" s="370"/>
      <c r="O27" s="428"/>
      <c r="P27" s="419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4"/>
      <c r="C28" s="366"/>
      <c r="D28" s="279"/>
      <c r="E28" s="279"/>
      <c r="F28" s="278"/>
      <c r="G28" s="279"/>
      <c r="H28" s="396"/>
      <c r="I28" s="427"/>
      <c r="J28" s="427"/>
      <c r="K28" s="436"/>
      <c r="L28" s="276"/>
      <c r="M28" s="374"/>
      <c r="N28" s="370"/>
      <c r="O28" s="428"/>
      <c r="P28" s="419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4.4" hidden="1">
      <c r="B29" s="34"/>
      <c r="C29" s="366"/>
      <c r="D29" s="279"/>
      <c r="E29" s="279"/>
      <c r="F29" s="278"/>
      <c r="G29" s="279"/>
      <c r="H29" s="396"/>
      <c r="I29" s="427"/>
      <c r="J29" s="427"/>
      <c r="K29" s="436"/>
      <c r="L29" s="276"/>
      <c r="M29" s="374"/>
      <c r="N29" s="370"/>
      <c r="O29" s="428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4"/>
      <c r="C30" s="366"/>
      <c r="D30" s="279"/>
      <c r="E30" s="279"/>
      <c r="F30" s="278"/>
      <c r="G30" s="279"/>
      <c r="H30" s="396"/>
      <c r="I30" s="427"/>
      <c r="J30" s="427"/>
      <c r="K30" s="436"/>
      <c r="L30" s="276"/>
      <c r="M30" s="374"/>
      <c r="N30" s="370"/>
      <c r="O30" s="428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6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customHeight="1" thickBot="1">
      <c r="B43" s="358"/>
      <c r="C43" s="358"/>
      <c r="D43" s="358"/>
      <c r="E43" s="358"/>
      <c r="F43" s="294"/>
      <c r="G43" s="294"/>
      <c r="H43" s="348"/>
      <c r="I43" s="532"/>
      <c r="J43" s="532"/>
      <c r="K43" s="532"/>
      <c r="L43" s="532"/>
      <c r="M43" s="532"/>
      <c r="N43" s="532"/>
      <c r="O43" s="1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thickBot="1">
      <c r="B44" s="388" t="s">
        <v>163</v>
      </c>
      <c r="C44" s="388"/>
      <c r="D44" s="545" t="s">
        <v>35</v>
      </c>
      <c r="E44" s="546"/>
      <c r="F44" s="294"/>
      <c r="G44" s="294"/>
      <c r="H44" s="348"/>
      <c r="I44" s="24" t="s">
        <v>17</v>
      </c>
      <c r="J44" s="25" t="s">
        <v>36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R44" s="277" t="str">
        <f t="shared" si="0"/>
        <v xml:space="preserve">BRAND 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customHeight="1">
      <c r="A45" s="28"/>
      <c r="B45" s="593" t="str">
        <f>I46</f>
        <v>STAG</v>
      </c>
      <c r="C45" s="362">
        <f>[24]Process!D266</f>
        <v>12.1</v>
      </c>
      <c r="D45" s="536">
        <v>11.94</v>
      </c>
      <c r="E45" s="525"/>
      <c r="F45" s="294"/>
      <c r="G45" s="294"/>
      <c r="H45" s="348"/>
      <c r="I45" s="29" t="s">
        <v>6</v>
      </c>
      <c r="J45" s="280"/>
      <c r="K45" s="284">
        <f>COUNTA([23]Brewhouse!$A$580:$A$603)</f>
        <v>24</v>
      </c>
      <c r="L45" s="305">
        <f>AVERAGE([23]Brewhouse!$AU$580:$AU$603)</f>
        <v>98.157765800796781</v>
      </c>
      <c r="M4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AVERAGE([23]Brewhouse!$AU$102:$AU$171,[23]Brewhouse!$AU$173:$AU$253,[23]Brewhouse!$AU$255:$AU$339,[23]Brewhouse!$AU$341:$AU$346,[23]Brewhouse!$AU$348,[23]Brewhouse!$AU$349:$AU$406,[23]Brewhouse!$AU$408:$AU$491,[23]Brewhouse!$AU$493:$AU$578,[23]Brewhouse!$AU$580:$AU$603)</f>
        <v>97.769637992093166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5" customHeight="1">
      <c r="A46" s="28"/>
      <c r="B46" s="590"/>
      <c r="C46" s="349">
        <f>[24]Process!D267</f>
        <v>11.8</v>
      </c>
      <c r="D46" s="537"/>
      <c r="E46" s="520"/>
      <c r="F46" s="294"/>
      <c r="G46" s="294"/>
      <c r="H46" s="348"/>
      <c r="I46" s="33" t="s">
        <v>9</v>
      </c>
      <c r="J46" s="280">
        <f>AVERAGE(I10:I15)</f>
        <v>99.578255690240482</v>
      </c>
      <c r="K46" s="284">
        <f>COUNTA([24]Brewhouse!$A$275:$A$302)</f>
        <v>28</v>
      </c>
      <c r="L46" s="302">
        <f>AVERAGE([24]Brewhouse!$AS$275:$AS$302)</f>
        <v>99.306708483855587</v>
      </c>
      <c r="M46" s="302">
        <f>AVERAGE([24]Brewhouse!$AS$15:$AS$64,[24]Brewhouse!$AS$66:$AS$103,[24]Brewhouse!$AS$105:$AS$140,[24]Brewhouse!$AS$142:$AS$193,[24]Brewhouse!$AS$195:$AS$240,[24]Brewhouse!$AS$242:$AS$273,[24]Brewhouse!$AS$275:$AS$302)</f>
        <v>98.018289920644193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90"/>
      <c r="C47" s="349">
        <f>[24]Process!D268</f>
        <v>12.1</v>
      </c>
      <c r="D47" s="536">
        <v>11.92</v>
      </c>
      <c r="E47" s="525"/>
      <c r="F47" s="294"/>
      <c r="G47" s="294"/>
      <c r="H47" s="348"/>
      <c r="I47" s="34" t="s">
        <v>12</v>
      </c>
      <c r="J47" s="280">
        <f>AVERAGE(I19:I20)</f>
        <v>96.682488245219972</v>
      </c>
      <c r="K47" s="284">
        <f>COUNTA([25]Brewhouse!$A$64:$A$66)</f>
        <v>3</v>
      </c>
      <c r="L47" s="302">
        <f>AVERAGE([25]Brewhouse!$AU$64:$AU$66)</f>
        <v>97.036111356104982</v>
      </c>
      <c r="M47" s="302">
        <f>AVERAGE([25]Brewhouse!$AU$4:$AU$7,[25]Brewhouse!$AU$9:$AU$22,[25]Brewhouse!$AU$24:$AU$35,[25]Brewhouse!$AU$37:$AU$45,[25]Brewhouse!$AU$47:$AU$62,[25]Brewhouse!$AU$64:$AU$66)</f>
        <v>97.171966839218257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0"/>
      <c r="C48" s="349">
        <f>[24]Process!D269</f>
        <v>11.8</v>
      </c>
      <c r="D48" s="537"/>
      <c r="E48" s="520"/>
      <c r="F48" s="294"/>
      <c r="G48" s="294"/>
      <c r="H48" s="348"/>
      <c r="I48" s="22" t="s">
        <v>33</v>
      </c>
      <c r="J48" s="280"/>
      <c r="K48" s="284">
        <f>AVERAGE([25]Brewhouse!$AU$64:$AU$66)</f>
        <v>97.036111356104982</v>
      </c>
      <c r="L48" s="302"/>
      <c r="M48" s="302">
        <f>AVERAGE([26]Brewhouse!$AV$5:$AV$14,[26]Brewhouse!$AV$16:$AV$19,[26]Brewhouse!$AV$21:$AV$24,[26]Brewhouse!$AV$26:$AV$33,[26]Brewhouse!$AV$35:$AV$46,[26]Brewhouse!$AV$48:$AV$53)</f>
        <v>98.620083722669861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0"/>
      <c r="C49" s="349"/>
      <c r="D49" s="536"/>
      <c r="E49" s="525"/>
      <c r="F49" s="418"/>
      <c r="G49" s="294"/>
      <c r="H49" s="348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0"/>
      <c r="C50" s="349"/>
      <c r="D50" s="537"/>
      <c r="E50" s="520"/>
      <c r="F50" s="418"/>
      <c r="G50" s="294"/>
      <c r="H50" s="348"/>
      <c r="I50" s="36" t="s">
        <v>15</v>
      </c>
      <c r="J50" s="323"/>
      <c r="K50" s="284"/>
      <c r="L50" s="302"/>
      <c r="M50" s="302">
        <f>AVERAGE([27]Brewhouse!$AT$4:$AT$11,[27]Brewhouse!$AT$13:$AT$16,[27]Brewhouse!$AT$18:$AT$21)</f>
        <v>94.773169817643847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90"/>
      <c r="C51" s="349"/>
      <c r="D51" s="536"/>
      <c r="E51" s="525"/>
      <c r="F51" s="418"/>
      <c r="G51" s="294"/>
      <c r="H51" s="348"/>
      <c r="I51" s="37" t="s">
        <v>16</v>
      </c>
      <c r="J51" s="323"/>
      <c r="K51" s="284">
        <f>COUNTA([22]Brewhouse!$A$56:$A$65)</f>
        <v>10</v>
      </c>
      <c r="L51" s="302">
        <f>AVERAGE([22]Brewhouse!$AY$56:$AY$65)</f>
        <v>99.275500637605006</v>
      </c>
      <c r="M51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1" s="30">
        <v>98</v>
      </c>
      <c r="O51" s="11"/>
      <c r="P51" s="31" t="s">
        <v>41</v>
      </c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0"/>
      <c r="C52" s="349"/>
      <c r="D52" s="537"/>
      <c r="E52" s="520"/>
      <c r="F52" s="294"/>
      <c r="G52" s="294"/>
      <c r="H52" s="348"/>
      <c r="I52" s="411" t="s">
        <v>158</v>
      </c>
      <c r="J52" s="326"/>
      <c r="K52" s="284"/>
      <c r="L52" s="305"/>
      <c r="M52" s="305">
        <f>AVERAGE([28]Brewhouse!$AU$5:$AU$8,[28]Brewhouse!$AU$10:$AU$13)</f>
        <v>94.247666625193744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0"/>
      <c r="C53" s="349"/>
      <c r="D53" s="536"/>
      <c r="E53" s="525"/>
      <c r="F53" s="294"/>
      <c r="G53" s="294"/>
      <c r="H53" s="348"/>
      <c r="I53" s="410" t="s">
        <v>157</v>
      </c>
      <c r="J53" s="326"/>
      <c r="K53" s="284"/>
      <c r="L53" s="305"/>
      <c r="M53" s="305">
        <f>AVERAGE([29]Brewhouse!$AW$26:$AW$27)</f>
        <v>95.310680905194914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90"/>
      <c r="C54" s="349"/>
      <c r="D54" s="537"/>
      <c r="E54" s="520"/>
      <c r="F54" s="294"/>
      <c r="G54" s="294"/>
      <c r="H54" s="348"/>
      <c r="I54" s="406" t="s">
        <v>156</v>
      </c>
      <c r="J54" s="327"/>
      <c r="K54" s="407"/>
      <c r="L54" s="408"/>
      <c r="M54" s="408">
        <f>AVERAGE([30]Brewhouse!$AU$13:$AU$14)</f>
        <v>97.110575243268045</v>
      </c>
      <c r="N54" s="409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0"/>
      <c r="C55" s="349"/>
      <c r="D55" s="536"/>
      <c r="E55" s="525"/>
      <c r="F55" s="294"/>
      <c r="G55" s="294"/>
      <c r="H55" s="348"/>
      <c r="I55" s="1"/>
      <c r="J55" s="39"/>
      <c r="K55" s="404">
        <f>SUM(K45:K54)</f>
        <v>162.03611135610498</v>
      </c>
      <c r="L55" s="405">
        <f>((L45*K45)+(L46*K46)+(L47*K47)+(L48*K48)+(L49*K49)+(K52*L52)+(L50*K50)+(L51*K51)+(L54*K54))/(K55)</f>
        <v>39.622263848962398</v>
      </c>
      <c r="M55" s="405">
        <f>AVERAGE('[31]Jan 31st'!$L$65,'[32]Feb 28th'!$L$35,'[33]Mar. 31st'!$L$35,'[34]Apr. 30th'!$L$45,'[35]May 30th'!$L$37,L55)</f>
        <v>87.966919547721901</v>
      </c>
      <c r="N55" s="4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91"/>
      <c r="C56" s="350"/>
      <c r="D56" s="537"/>
      <c r="E56" s="520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89"/>
      <c r="C57" s="362"/>
      <c r="D57" s="517"/>
      <c r="E57" s="518"/>
      <c r="F57" s="294"/>
      <c r="G57" s="42"/>
      <c r="H57" s="41"/>
      <c r="I57" s="42"/>
      <c r="J57" s="572" t="s">
        <v>129</v>
      </c>
      <c r="K57" s="572"/>
      <c r="L57" s="294"/>
      <c r="M57" s="294"/>
      <c r="N57" s="294"/>
      <c r="O57" s="294"/>
      <c r="P57" s="12"/>
    </row>
    <row r="58" spans="1:56" ht="15" thickBot="1">
      <c r="B58" s="590"/>
      <c r="C58" s="362"/>
      <c r="D58" s="519"/>
      <c r="E58" s="520"/>
      <c r="F58" s="294"/>
      <c r="G58" s="42"/>
      <c r="H58" s="41"/>
      <c r="I58" s="42"/>
      <c r="J58" s="292" t="s">
        <v>17</v>
      </c>
      <c r="K58" s="293" t="s">
        <v>147</v>
      </c>
      <c r="L58" s="522" t="s">
        <v>136</v>
      </c>
      <c r="M58" s="522"/>
      <c r="N58" s="523"/>
      <c r="O58" s="294"/>
      <c r="P58" s="12"/>
    </row>
    <row r="59" spans="1:56" ht="15" customHeight="1" thickBot="1">
      <c r="B59" s="590"/>
      <c r="C59" s="349"/>
      <c r="D59" s="573"/>
      <c r="E59" s="574"/>
      <c r="F59" s="294"/>
      <c r="G59" s="42"/>
      <c r="H59" s="41"/>
      <c r="I59" s="42"/>
      <c r="J59" s="287" t="s">
        <v>6</v>
      </c>
      <c r="K59" s="324">
        <v>6</v>
      </c>
      <c r="L59" s="343" t="s">
        <v>37</v>
      </c>
      <c r="M59" s="307" t="s">
        <v>38</v>
      </c>
      <c r="N59" s="307" t="s">
        <v>84</v>
      </c>
      <c r="O59" s="294"/>
      <c r="P59" s="12"/>
    </row>
    <row r="60" spans="1:56" ht="15.75" customHeight="1" thickBot="1">
      <c r="B60" s="590"/>
      <c r="C60" s="349"/>
      <c r="D60" s="519"/>
      <c r="E60" s="520"/>
      <c r="F60" s="294"/>
      <c r="G60" s="42"/>
      <c r="H60" s="41"/>
      <c r="I60" s="42"/>
      <c r="J60" s="345" t="s">
        <v>9</v>
      </c>
      <c r="K60" s="324"/>
      <c r="L60" s="344">
        <f>AVERAGE(K69,'July 1st'!K67,'July 2nd'!K68,'July 3rd'!K68,'July 4th'!K68,'July 7th '!K68,'July 8th '!K68,'July 9th  '!K69)</f>
        <v>8.125</v>
      </c>
      <c r="M60" s="325">
        <f>AVERAGE('[31]Jan 29th '!$M$70,'[32]Feb 28th'!$L$40,'[33]Mar. 31st'!$L$40,'[34]Apr. 30th'!$L$50,'[35]May 30th'!$L$42,L60)</f>
        <v>6.8886068641503426</v>
      </c>
      <c r="N60" s="417">
        <v>9.1999999999999993</v>
      </c>
      <c r="O60" s="294"/>
      <c r="P60" s="12"/>
    </row>
    <row r="61" spans="1:56" ht="15" customHeight="1">
      <c r="B61" s="590"/>
      <c r="C61" s="349"/>
      <c r="D61" s="573"/>
      <c r="E61" s="574"/>
      <c r="F61" s="294"/>
      <c r="G61" s="42"/>
      <c r="H61" s="41"/>
      <c r="I61" s="42"/>
      <c r="J61" s="288" t="s">
        <v>40</v>
      </c>
      <c r="K61" s="324">
        <v>3</v>
      </c>
      <c r="L61" s="294"/>
      <c r="M61" s="294"/>
      <c r="N61" s="294"/>
      <c r="O61" s="294"/>
      <c r="P61" s="12"/>
    </row>
    <row r="62" spans="1:56" ht="15" customHeight="1">
      <c r="B62" s="590"/>
      <c r="C62" s="349"/>
      <c r="D62" s="519"/>
      <c r="E62" s="520"/>
      <c r="F62" s="294"/>
      <c r="G62" s="42"/>
      <c r="H62" s="41"/>
      <c r="I62" s="42"/>
      <c r="J62" s="289" t="s">
        <v>33</v>
      </c>
      <c r="K62" s="324"/>
      <c r="L62" s="294"/>
      <c r="M62" s="294"/>
      <c r="N62" s="294"/>
      <c r="O62" s="294"/>
      <c r="P62" s="12"/>
    </row>
    <row r="63" spans="1:56" ht="14.4">
      <c r="B63" s="590"/>
      <c r="C63" s="349"/>
      <c r="D63" s="573"/>
      <c r="E63" s="574"/>
      <c r="F63" s="294"/>
      <c r="G63" s="42"/>
      <c r="H63" s="41"/>
      <c r="I63" s="42"/>
      <c r="J63" s="290" t="s">
        <v>16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90"/>
      <c r="C64" s="349"/>
      <c r="D64" s="519"/>
      <c r="E64" s="520"/>
      <c r="F64" s="294"/>
      <c r="G64" s="42"/>
      <c r="H64" s="41"/>
      <c r="I64" s="42"/>
      <c r="J64" s="291" t="s">
        <v>15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73"/>
      <c r="E65" s="574"/>
      <c r="F65" s="294"/>
      <c r="G65" s="42"/>
      <c r="H65" s="41"/>
      <c r="I65" s="42"/>
      <c r="J65" s="291" t="s">
        <v>149</v>
      </c>
      <c r="K65" s="324"/>
      <c r="L65" s="294"/>
      <c r="M65" s="294"/>
      <c r="N65" s="294"/>
      <c r="O65" s="294"/>
      <c r="P65" s="12"/>
      <c r="BC65" s="44"/>
      <c r="BD65" s="44"/>
    </row>
    <row r="66" spans="2:57" ht="15" thickBot="1">
      <c r="B66" s="591"/>
      <c r="C66" s="350"/>
      <c r="D66" s="575"/>
      <c r="E66" s="576"/>
      <c r="F66" s="294"/>
      <c r="G66" s="42"/>
      <c r="H66" s="41"/>
      <c r="I66" s="42"/>
      <c r="J66" s="291" t="s">
        <v>148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 thickBot="1">
      <c r="B67" s="312" t="s">
        <v>139</v>
      </c>
      <c r="C67" s="313"/>
      <c r="D67" s="577">
        <f>AVERAGE(D45:E66)</f>
        <v>11.93</v>
      </c>
      <c r="E67" s="578"/>
      <c r="F67" s="294"/>
      <c r="G67" s="42"/>
      <c r="H67" s="41"/>
      <c r="I67" s="42"/>
      <c r="J67" s="295" t="s">
        <v>134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>
      <c r="B68" s="363"/>
      <c r="C68" s="364"/>
      <c r="D68" s="365"/>
      <c r="E68" s="365"/>
      <c r="F68" s="294"/>
      <c r="G68" s="42"/>
      <c r="H68" s="41"/>
      <c r="I68" s="42"/>
      <c r="J68" s="295" t="s">
        <v>131</v>
      </c>
      <c r="K68" s="324"/>
      <c r="L68" s="294"/>
      <c r="M68" s="294"/>
      <c r="N68" s="294"/>
      <c r="O68" s="294"/>
      <c r="P68" s="12"/>
      <c r="BC68" s="44"/>
      <c r="BD68" s="44"/>
    </row>
    <row r="69" spans="2:57" ht="15.6" customHeight="1">
      <c r="B69" s="45"/>
      <c r="C69" s="11"/>
      <c r="D69" s="11"/>
      <c r="E69" s="46"/>
      <c r="F69" s="294"/>
      <c r="G69" s="42"/>
      <c r="H69" s="41"/>
      <c r="I69" s="42"/>
      <c r="J69" s="346" t="s">
        <v>130</v>
      </c>
      <c r="K69" s="324">
        <f>SUM(K59:K68)</f>
        <v>9</v>
      </c>
      <c r="L69" s="294"/>
      <c r="M69" s="294"/>
      <c r="N69" s="294"/>
      <c r="O69" s="294"/>
      <c r="P69" s="12"/>
    </row>
    <row r="70" spans="2:57" ht="20.25" customHeight="1">
      <c r="B70" s="15" t="s">
        <v>42</v>
      </c>
      <c r="C70" s="1" t="s">
        <v>43</v>
      </c>
      <c r="D70" s="1"/>
      <c r="E70" s="1"/>
      <c r="F70" s="294"/>
      <c r="G70" s="42"/>
      <c r="H70" s="41"/>
      <c r="I70" s="42"/>
      <c r="L70" s="294"/>
      <c r="P70" s="334"/>
    </row>
    <row r="71" spans="2:57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</row>
    <row r="72" spans="2:57" ht="15" customHeight="1" thickBot="1">
      <c r="B72" s="498" t="s">
        <v>17</v>
      </c>
      <c r="C72" s="498" t="s">
        <v>44</v>
      </c>
      <c r="D72" s="510" t="s">
        <v>45</v>
      </c>
      <c r="E72" s="512" t="s">
        <v>46</v>
      </c>
      <c r="F72" s="506" t="s">
        <v>47</v>
      </c>
      <c r="G72" s="496" t="s">
        <v>48</v>
      </c>
      <c r="H72" s="498" t="s">
        <v>49</v>
      </c>
      <c r="I72" s="498" t="s">
        <v>50</v>
      </c>
      <c r="J72" s="490" t="s">
        <v>28</v>
      </c>
      <c r="K72" s="502" t="s">
        <v>51</v>
      </c>
      <c r="L72" s="504" t="s">
        <v>52</v>
      </c>
      <c r="M72" s="490" t="s">
        <v>53</v>
      </c>
      <c r="N72" s="13"/>
      <c r="O72" s="13"/>
      <c r="P72" s="50"/>
    </row>
    <row r="73" spans="2:57" ht="28.5" customHeight="1" thickTop="1" thickBot="1">
      <c r="B73" s="499"/>
      <c r="C73" s="499"/>
      <c r="D73" s="511"/>
      <c r="E73" s="513"/>
      <c r="F73" s="507"/>
      <c r="G73" s="497"/>
      <c r="H73" s="499"/>
      <c r="I73" s="499"/>
      <c r="J73" s="491"/>
      <c r="K73" s="503"/>
      <c r="L73" s="505"/>
      <c r="M73" s="491"/>
      <c r="N73" s="13"/>
      <c r="O73" s="13"/>
      <c r="P73" s="50"/>
      <c r="Q73" s="355"/>
      <c r="AB73" s="51">
        <v>43474</v>
      </c>
      <c r="AC73" s="51">
        <v>43475</v>
      </c>
      <c r="AD73" s="51">
        <v>43476</v>
      </c>
      <c r="AE73" s="51">
        <v>43477</v>
      </c>
      <c r="AF73" s="51">
        <v>43478</v>
      </c>
      <c r="AG73" s="51">
        <v>43479</v>
      </c>
      <c r="AH73" s="51">
        <v>43480</v>
      </c>
      <c r="AI73" s="51">
        <v>43481</v>
      </c>
      <c r="AJ73" s="51">
        <v>43482</v>
      </c>
      <c r="AK73" s="51">
        <v>43483</v>
      </c>
      <c r="AL73" s="51">
        <v>43484</v>
      </c>
      <c r="AM73" s="51">
        <v>43485</v>
      </c>
      <c r="AN73" s="51">
        <v>43486</v>
      </c>
      <c r="AO73" s="51">
        <v>43487</v>
      </c>
      <c r="AP73" s="51">
        <v>43488</v>
      </c>
      <c r="AQ73" s="51">
        <v>43489</v>
      </c>
      <c r="AR73" s="51">
        <v>43490</v>
      </c>
      <c r="AS73" s="51">
        <v>43491</v>
      </c>
      <c r="AT73" s="51">
        <v>43492</v>
      </c>
      <c r="AU73" s="51">
        <v>43493</v>
      </c>
      <c r="AV73" s="51">
        <v>43494</v>
      </c>
      <c r="AW73" s="51">
        <v>43495</v>
      </c>
      <c r="AX73" s="51">
        <v>43496</v>
      </c>
    </row>
    <row r="74" spans="2:57" s="54" customFormat="1" ht="53.25" customHeight="1">
      <c r="B74" s="432" t="str">
        <f>J60</f>
        <v>STAG</v>
      </c>
      <c r="C74" s="422">
        <v>45848</v>
      </c>
      <c r="D74" s="377">
        <f>[36]July_2025!$M$13</f>
        <v>191.3</v>
      </c>
      <c r="E74" s="378"/>
      <c r="F74" s="379"/>
      <c r="G74" s="303">
        <f>[36]July_2025!$M$17</f>
        <v>177.4</v>
      </c>
      <c r="H74" s="320"/>
      <c r="I74" s="322"/>
      <c r="J74" s="392" t="s">
        <v>180</v>
      </c>
      <c r="K74" s="286">
        <f>[37]July_2025!$M$25</f>
        <v>0.15561403508771932</v>
      </c>
      <c r="L74" s="314">
        <f>(((D74+E74)-G74)/(D74+E74))*100</f>
        <v>7.2660742289597513</v>
      </c>
      <c r="M74" s="435" t="s">
        <v>176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285.8</v>
      </c>
      <c r="AC74" s="57">
        <f>[20]January_2019!M7</f>
        <v>508.1</v>
      </c>
      <c r="AD74" s="57">
        <f>[20]January_2019!N7</f>
        <v>0</v>
      </c>
      <c r="AE74" s="57">
        <f>[20]January_2019!O7</f>
        <v>0</v>
      </c>
      <c r="AF74" s="57">
        <f>[20]January_2019!P7</f>
        <v>109.56666666666666</v>
      </c>
      <c r="AG74" s="57">
        <f>[20]January_2019!Q7</f>
        <v>297.64999999999998</v>
      </c>
      <c r="AH74" s="57">
        <f>[20]January_2019!R7</f>
        <v>122.3</v>
      </c>
      <c r="AI74" s="57">
        <f>[20]January_2019!S7</f>
        <v>0</v>
      </c>
      <c r="AJ74" s="57">
        <f>[20]January_2019!T7</f>
        <v>294.7</v>
      </c>
      <c r="AK74" s="57">
        <f>[20]January_2019!U7</f>
        <v>280.5</v>
      </c>
      <c r="AL74" s="57">
        <f>[20]January_2019!V7</f>
        <v>0</v>
      </c>
      <c r="AM74" s="57">
        <f>[20]January_2019!W7</f>
        <v>0</v>
      </c>
      <c r="AN74" s="57">
        <f>[20]January_2019!X7</f>
        <v>188.25</v>
      </c>
      <c r="AO74" s="57">
        <f>[20]January_2019!Y7</f>
        <v>295.7</v>
      </c>
      <c r="AP74" s="57">
        <f>[20]January_2019!Z7</f>
        <v>257.8</v>
      </c>
      <c r="AQ74" s="57">
        <f>[20]January_2019!AA7</f>
        <v>291.2</v>
      </c>
      <c r="AR74" s="57">
        <f>[20]January_2019!AB7</f>
        <v>187</v>
      </c>
      <c r="AS74" s="57">
        <f>[20]January_2019!AC7</f>
        <v>0</v>
      </c>
      <c r="AT74" s="57">
        <f>[20]January_2019!AD7</f>
        <v>0</v>
      </c>
      <c r="AU74" s="57">
        <f>[20]January_2019!AE7</f>
        <v>485.1</v>
      </c>
      <c r="AV74" s="57">
        <f>[20]January_2019!AF7</f>
        <v>171.55</v>
      </c>
      <c r="AW74" s="57">
        <f>[20]January_2019!AG7</f>
        <v>423.8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>
      <c r="B75" s="431"/>
      <c r="C75" s="422"/>
      <c r="D75" s="377"/>
      <c r="E75" s="378"/>
      <c r="F75" s="379"/>
      <c r="G75" s="303"/>
      <c r="H75" s="320"/>
      <c r="I75" s="322"/>
      <c r="J75" s="281"/>
      <c r="K75" s="286"/>
      <c r="L75" s="314"/>
      <c r="M75" s="434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53.25" hidden="1" customHeight="1">
      <c r="B76" s="432"/>
      <c r="C76" s="422"/>
      <c r="D76" s="377"/>
      <c r="E76" s="378"/>
      <c r="F76" s="379"/>
      <c r="G76" s="303"/>
      <c r="H76" s="320"/>
      <c r="I76" s="322"/>
      <c r="J76" s="392"/>
      <c r="K76" s="286"/>
      <c r="L76" s="314" t="e">
        <f>(((D76+E76)-G76)/(D76+E76))*100</f>
        <v>#DIV/0!</v>
      </c>
      <c r="M76" s="435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customHeight="1">
      <c r="B77" s="421"/>
      <c r="C77" s="283"/>
      <c r="D77" s="377"/>
      <c r="E77" s="378"/>
      <c r="F77" s="379"/>
      <c r="G77" s="303"/>
      <c r="H77" s="320"/>
      <c r="I77" s="322"/>
      <c r="J77" s="281"/>
      <c r="K77" s="286"/>
      <c r="L77" s="314"/>
      <c r="M77" s="416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 t="s">
        <v>41</v>
      </c>
      <c r="O78" s="56"/>
      <c r="P78" s="60"/>
    </row>
    <row r="79" spans="2:57" ht="14.4" thickBot="1">
      <c r="B79" s="492" t="s">
        <v>55</v>
      </c>
      <c r="C79" s="493"/>
      <c r="D79" s="493"/>
      <c r="E79" s="493"/>
      <c r="F79" s="494"/>
      <c r="G79" s="492" t="s">
        <v>56</v>
      </c>
      <c r="H79" s="493"/>
      <c r="I79" s="493"/>
      <c r="J79" s="494"/>
      <c r="K79" s="492" t="s">
        <v>51</v>
      </c>
      <c r="L79" s="493"/>
      <c r="M79" s="493"/>
      <c r="N79" s="495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 t="s">
        <v>36</v>
      </c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/>
      <c r="D81" s="76">
        <v>5.6395733469515452</v>
      </c>
      <c r="E81" s="76">
        <v>6.5248716199261629</v>
      </c>
      <c r="F81" s="66">
        <v>4.8</v>
      </c>
      <c r="G81" s="65"/>
      <c r="H81" s="76">
        <v>4.3674716180002235</v>
      </c>
      <c r="I81" s="76">
        <v>6.4486861877696633</v>
      </c>
      <c r="J81" s="66">
        <v>4.8</v>
      </c>
      <c r="K81" s="67"/>
      <c r="L81" s="194">
        <v>0.87659429709323211</v>
      </c>
      <c r="M81" s="194">
        <v>0.72654114855800433</v>
      </c>
      <c r="N81" s="68">
        <v>1</v>
      </c>
      <c r="O81" s="56"/>
      <c r="P81" s="69"/>
    </row>
    <row r="82" spans="2:16">
      <c r="B82" s="33" t="s">
        <v>9</v>
      </c>
      <c r="C82" s="65">
        <f>L74</f>
        <v>7.2660742289597513</v>
      </c>
      <c r="D82" s="76">
        <v>6.0094060268245952</v>
      </c>
      <c r="E82" s="76">
        <v>6.1068883301576351</v>
      </c>
      <c r="F82" s="66">
        <v>4.8</v>
      </c>
      <c r="G82" s="65">
        <f>[36]July_2025!$M$21</f>
        <v>7.637009932043906</v>
      </c>
      <c r="H82" s="76">
        <v>5.5705046625446659</v>
      </c>
      <c r="I82" s="76">
        <v>5.7934321300413272</v>
      </c>
      <c r="J82" s="66">
        <v>4.8</v>
      </c>
      <c r="K82" s="67">
        <f>K74</f>
        <v>0.15561403508771932</v>
      </c>
      <c r="L82" s="194">
        <v>0.4341337260515305</v>
      </c>
      <c r="M82" s="194">
        <v>0.74031334400869064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11.96027372373279</v>
      </c>
      <c r="F83" s="66">
        <v>5.5</v>
      </c>
      <c r="G83" s="65"/>
      <c r="H83" s="76"/>
      <c r="I83" s="76">
        <v>13.111031100634913</v>
      </c>
      <c r="J83" s="66">
        <v>5.5</v>
      </c>
      <c r="K83" s="67"/>
      <c r="L83" s="194"/>
      <c r="M83" s="194">
        <v>0.4869398559932232</v>
      </c>
      <c r="N83" s="68">
        <v>1</v>
      </c>
      <c r="P83" s="69"/>
    </row>
    <row r="84" spans="2:16">
      <c r="B84" s="22" t="s">
        <v>33</v>
      </c>
      <c r="C84" s="65"/>
      <c r="D84" s="76"/>
      <c r="E84" s="76">
        <v>5.4214697406339898</v>
      </c>
      <c r="F84" s="66">
        <v>3.3</v>
      </c>
      <c r="G84" s="65"/>
      <c r="H84" s="76"/>
      <c r="I84" s="76">
        <v>5.263029001952213</v>
      </c>
      <c r="J84" s="66">
        <v>3.3</v>
      </c>
      <c r="K84" s="67"/>
      <c r="L84" s="194"/>
      <c r="M84" s="194">
        <v>0.6919486215538847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7.3129862357869699</v>
      </c>
      <c r="F86" s="70">
        <f>[21]May_2022!$M$43</f>
        <v>3.4878406700073312</v>
      </c>
      <c r="G86" s="282"/>
      <c r="H86" s="76"/>
      <c r="I86" s="76">
        <v>8.9862703283331644</v>
      </c>
      <c r="J86" s="66">
        <v>5.5</v>
      </c>
      <c r="K86" s="67"/>
      <c r="L86" s="194"/>
      <c r="M86" s="194">
        <v>0.59276315789473688</v>
      </c>
      <c r="N86" s="68">
        <v>1</v>
      </c>
      <c r="P86" s="69"/>
    </row>
    <row r="87" spans="2:16">
      <c r="B87" s="37" t="s">
        <v>16</v>
      </c>
      <c r="C87" s="65"/>
      <c r="D87" s="76">
        <v>2.3359073359073403</v>
      </c>
      <c r="E87" s="76">
        <v>2.980561555075584</v>
      </c>
      <c r="F87" s="66">
        <v>3.3</v>
      </c>
      <c r="G87" s="282"/>
      <c r="H87" s="76">
        <v>3.7114579368100644</v>
      </c>
      <c r="I87" s="76">
        <v>4.4931174512296872</v>
      </c>
      <c r="J87" s="66">
        <v>3.3</v>
      </c>
      <c r="K87" s="67"/>
      <c r="L87" s="194">
        <v>1.7750877192982455</v>
      </c>
      <c r="M87" s="194">
        <v>0.83077455048409399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4" t="s">
        <v>161</v>
      </c>
      <c r="C89" s="65"/>
      <c r="D89" s="76">
        <v>9.4974642692485105</v>
      </c>
      <c r="E89" s="76">
        <v>7.2653644592663174</v>
      </c>
      <c r="F89" s="66">
        <v>4.8</v>
      </c>
      <c r="G89" s="282"/>
      <c r="H89" s="76">
        <v>10.183089539936029</v>
      </c>
      <c r="I89" s="76">
        <v>8.1715311054411259</v>
      </c>
      <c r="J89" s="66">
        <v>4.8</v>
      </c>
      <c r="K89" s="67"/>
      <c r="L89" s="194">
        <v>0.68877192982456148</v>
      </c>
      <c r="M89" s="194">
        <v>0.51368421052631585</v>
      </c>
      <c r="N89" s="71">
        <v>1</v>
      </c>
      <c r="O89" s="74"/>
      <c r="P89" s="75"/>
    </row>
    <row r="90" spans="2:16">
      <c r="D90" s="76">
        <v>5.3344943079991856</v>
      </c>
      <c r="E90" s="76">
        <v>6.5498245323283326</v>
      </c>
      <c r="F90" s="341">
        <v>5.5</v>
      </c>
      <c r="H90" s="76">
        <v>4.9451527037618206</v>
      </c>
      <c r="I90" s="76">
        <v>6.7780308680483552</v>
      </c>
      <c r="J90" s="341">
        <v>5.5</v>
      </c>
      <c r="L90" s="194">
        <v>0.81972431077694219</v>
      </c>
      <c r="M90" s="194">
        <v>0.70382269774551021</v>
      </c>
      <c r="N90" s="386">
        <v>1</v>
      </c>
    </row>
    <row r="94" spans="2:16">
      <c r="F94" s="315"/>
    </row>
    <row r="95" spans="2:16">
      <c r="F95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B57:B66"/>
    <mergeCell ref="D57:E58"/>
    <mergeCell ref="J57:K57"/>
    <mergeCell ref="L58:N58"/>
    <mergeCell ref="D59:E60"/>
    <mergeCell ref="D61:E62"/>
    <mergeCell ref="D63:E64"/>
    <mergeCell ref="D65:E66"/>
    <mergeCell ref="D67:E67"/>
    <mergeCell ref="B72:B73"/>
    <mergeCell ref="C72:C73"/>
    <mergeCell ref="D72:D73"/>
    <mergeCell ref="E72:E73"/>
    <mergeCell ref="M72:M73"/>
    <mergeCell ref="B79:F79"/>
    <mergeCell ref="G79:J79"/>
    <mergeCell ref="K79:N79"/>
    <mergeCell ref="G72:G73"/>
    <mergeCell ref="H72:H73"/>
    <mergeCell ref="I72:I73"/>
    <mergeCell ref="J72:J73"/>
    <mergeCell ref="K72:K73"/>
    <mergeCell ref="L72:L73"/>
    <mergeCell ref="F72:F73"/>
  </mergeCells>
  <conditionalFormatting sqref="B67:B68">
    <cfRule type="cellIs" dxfId="2013" priority="110" operator="notBetween">
      <formula>#REF!</formula>
      <formula>#REF!</formula>
    </cfRule>
  </conditionalFormatting>
  <conditionalFormatting sqref="C71">
    <cfRule type="cellIs" dxfId="2012" priority="142" stopIfTrue="1" operator="greaterThan">
      <formula>100</formula>
    </cfRule>
    <cfRule type="cellIs" dxfId="2011" priority="141" stopIfTrue="1" operator="lessThan">
      <formula>96</formula>
    </cfRule>
  </conditionalFormatting>
  <conditionalFormatting sqref="C81:C82">
    <cfRule type="cellIs" dxfId="2010" priority="88" stopIfTrue="1" operator="lessThanOrEqual">
      <formula>0</formula>
    </cfRule>
  </conditionalFormatting>
  <conditionalFormatting sqref="C81:C85">
    <cfRule type="cellIs" dxfId="2009" priority="87" stopIfTrue="1" operator="greaterThan">
      <formula>$F81</formula>
    </cfRule>
  </conditionalFormatting>
  <conditionalFormatting sqref="C82">
    <cfRule type="cellIs" dxfId="2008" priority="145" stopIfTrue="1" operator="greaterThan">
      <formula>$F81</formula>
    </cfRule>
  </conditionalFormatting>
  <conditionalFormatting sqref="C83:C86">
    <cfRule type="cellIs" dxfId="2007" priority="94" stopIfTrue="1" operator="lessThanOrEqual">
      <formula>0</formula>
    </cfRule>
  </conditionalFormatting>
  <conditionalFormatting sqref="C86">
    <cfRule type="cellIs" dxfId="2006" priority="93" stopIfTrue="1" operator="greaterThan">
      <formula>$J86</formula>
    </cfRule>
  </conditionalFormatting>
  <conditionalFormatting sqref="C92:C96">
    <cfRule type="cellIs" dxfId="2005" priority="133" stopIfTrue="1" operator="lessThanOrEqual">
      <formula>0</formula>
    </cfRule>
  </conditionalFormatting>
  <conditionalFormatting sqref="C93:C96">
    <cfRule type="cellIs" dxfId="2004" priority="132" stopIfTrue="1" operator="greaterThan">
      <formula>$F$92</formula>
    </cfRule>
  </conditionalFormatting>
  <conditionalFormatting sqref="C98">
    <cfRule type="cellIs" dxfId="2003" priority="135" stopIfTrue="1" operator="lessThanOrEqual">
      <formula>0</formula>
    </cfRule>
    <cfRule type="cellIs" dxfId="2002" priority="134" stopIfTrue="1" operator="greaterThan">
      <formula>$F$92</formula>
    </cfRule>
  </conditionalFormatting>
  <conditionalFormatting sqref="C92:D92 D94:D100">
    <cfRule type="cellIs" dxfId="2001" priority="127" stopIfTrue="1" operator="greaterThan">
      <formula>4.5</formula>
    </cfRule>
  </conditionalFormatting>
  <conditionalFormatting sqref="D67:D68">
    <cfRule type="cellIs" dxfId="2000" priority="111" operator="notBetween">
      <formula>#REF!</formula>
      <formula>#REF!</formula>
    </cfRule>
  </conditionalFormatting>
  <conditionalFormatting sqref="D81:D88">
    <cfRule type="cellIs" dxfId="1999" priority="104" stopIfTrue="1" operator="lessThanOrEqual">
      <formula>0</formula>
    </cfRule>
  </conditionalFormatting>
  <conditionalFormatting sqref="D89">
    <cfRule type="cellIs" dxfId="1998" priority="103" stopIfTrue="1" operator="lessThanOrEqual">
      <formula>0</formula>
    </cfRule>
  </conditionalFormatting>
  <conditionalFormatting sqref="D92 D94:D100">
    <cfRule type="cellIs" dxfId="1997" priority="128" stopIfTrue="1" operator="lessThanOrEqual">
      <formula>0</formula>
    </cfRule>
  </conditionalFormatting>
  <conditionalFormatting sqref="D93">
    <cfRule type="cellIs" dxfId="1996" priority="119" stopIfTrue="1" operator="greaterThan">
      <formula>$F$92</formula>
    </cfRule>
    <cfRule type="cellIs" dxfId="1995" priority="120" stopIfTrue="1" operator="lessThanOrEqual">
      <formula>0</formula>
    </cfRule>
  </conditionalFormatting>
  <conditionalFormatting sqref="D81:E90">
    <cfRule type="cellIs" dxfId="1994" priority="84" stopIfTrue="1" operator="greaterThan">
      <formula>$F81</formula>
    </cfRule>
  </conditionalFormatting>
  <conditionalFormatting sqref="D90:E90">
    <cfRule type="cellIs" dxfId="1993" priority="85" stopIfTrue="1" operator="lessThanOrEqual">
      <formula>0</formula>
    </cfRule>
  </conditionalFormatting>
  <conditionalFormatting sqref="E10:E42">
    <cfRule type="cellIs" dxfId="1992" priority="1" operator="lessThan">
      <formula>48</formula>
    </cfRule>
  </conditionalFormatting>
  <conditionalFormatting sqref="E70 E71:F71">
    <cfRule type="cellIs" dxfId="1991" priority="124" stopIfTrue="1" operator="greaterThan">
      <formula>100</formula>
    </cfRule>
  </conditionalFormatting>
  <conditionalFormatting sqref="E71">
    <cfRule type="cellIs" dxfId="1990" priority="122" stopIfTrue="1" operator="greaterThan">
      <formula>100</formula>
    </cfRule>
    <cfRule type="cellIs" dxfId="1989" priority="121" stopIfTrue="1" operator="lessThan">
      <formula>96.8</formula>
    </cfRule>
  </conditionalFormatting>
  <conditionalFormatting sqref="E81:E89">
    <cfRule type="cellIs" dxfId="1988" priority="98" stopIfTrue="1" operator="lessThanOrEqual">
      <formula>0</formula>
    </cfRule>
  </conditionalFormatting>
  <conditionalFormatting sqref="E92:E100">
    <cfRule type="cellIs" dxfId="1987" priority="114" stopIfTrue="1" operator="lessThanOrEqual">
      <formula>0</formula>
    </cfRule>
    <cfRule type="cellIs" dxfId="1986" priority="113" stopIfTrue="1" operator="greaterThan">
      <formula>4.5</formula>
    </cfRule>
  </conditionalFormatting>
  <conditionalFormatting sqref="E71:F71 E70">
    <cfRule type="cellIs" dxfId="1985" priority="123" stopIfTrue="1" operator="lessThan">
      <formula>96.5</formula>
    </cfRule>
  </conditionalFormatting>
  <conditionalFormatting sqref="F10:F42">
    <cfRule type="cellIs" dxfId="1984" priority="2" operator="greaterThan">
      <formula>60</formula>
    </cfRule>
  </conditionalFormatting>
  <conditionalFormatting sqref="F71">
    <cfRule type="cellIs" dxfId="1983" priority="139" stopIfTrue="1" operator="lessThan">
      <formula>96.8</formula>
    </cfRule>
    <cfRule type="cellIs" dxfId="1982" priority="140" stopIfTrue="1" operator="greaterThan">
      <formula>100</formula>
    </cfRule>
  </conditionalFormatting>
  <conditionalFormatting sqref="F90">
    <cfRule type="cellIs" dxfId="1981" priority="99" stopIfTrue="1" operator="greaterThan">
      <formula>$F90</formula>
    </cfRule>
    <cfRule type="cellIs" dxfId="1980" priority="100" stopIfTrue="1" operator="lessThanOrEqual">
      <formula>0</formula>
    </cfRule>
  </conditionalFormatting>
  <conditionalFormatting sqref="F95">
    <cfRule type="cellIs" dxfId="1979" priority="53" stopIfTrue="1" operator="greaterThan">
      <formula>$F95</formula>
    </cfRule>
    <cfRule type="cellIs" dxfId="1978" priority="54" stopIfTrue="1" operator="lessThanOrEqual">
      <formula>0</formula>
    </cfRule>
  </conditionalFormatting>
  <conditionalFormatting sqref="G18:G30">
    <cfRule type="expression" dxfId="1977" priority="11">
      <formula>IF(+(IF(G18&lt;S18,0,IF(G18&gt;T18,0,1)))=0,1)</formula>
    </cfRule>
  </conditionalFormatting>
  <conditionalFormatting sqref="G81:G82 C87:C89">
    <cfRule type="cellIs" dxfId="1976" priority="106" stopIfTrue="1" operator="lessThanOrEqual">
      <formula>0</formula>
    </cfRule>
    <cfRule type="cellIs" dxfId="1975" priority="105" stopIfTrue="1" operator="greaterThan">
      <formula>$F81</formula>
    </cfRule>
  </conditionalFormatting>
  <conditionalFormatting sqref="G81:G82">
    <cfRule type="cellIs" dxfId="1974" priority="89" stopIfTrue="1" operator="greaterThan">
      <formula>$F81</formula>
    </cfRule>
    <cfRule type="cellIs" dxfId="1973" priority="90" stopIfTrue="1" operator="lessThanOrEqual">
      <formula>0</formula>
    </cfRule>
  </conditionalFormatting>
  <conditionalFormatting sqref="G83">
    <cfRule type="cellIs" dxfId="1972" priority="143" stopIfTrue="1" operator="greaterThan">
      <formula>$F82</formula>
    </cfRule>
    <cfRule type="cellIs" dxfId="1971" priority="144" stopIfTrue="1" operator="lessThanOrEqual">
      <formula>0</formula>
    </cfRule>
  </conditionalFormatting>
  <conditionalFormatting sqref="G84">
    <cfRule type="cellIs" dxfId="1970" priority="102" stopIfTrue="1" operator="lessThanOrEqual">
      <formula>0</formula>
    </cfRule>
    <cfRule type="cellIs" dxfId="1969" priority="101" stopIfTrue="1" operator="greaterThan">
      <formula>$F84</formula>
    </cfRule>
  </conditionalFormatting>
  <conditionalFormatting sqref="G85:G89">
    <cfRule type="cellIs" dxfId="1968" priority="108" stopIfTrue="1" operator="lessThanOrEqual">
      <formula>0</formula>
    </cfRule>
    <cfRule type="cellIs" dxfId="1967" priority="107" stopIfTrue="1" operator="greaterThan">
      <formula>$J85</formula>
    </cfRule>
  </conditionalFormatting>
  <conditionalFormatting sqref="G94:G99 C97 C99">
    <cfRule type="cellIs" dxfId="1966" priority="137" stopIfTrue="1" operator="lessThanOrEqual">
      <formula>0</formula>
    </cfRule>
    <cfRule type="cellIs" dxfId="1965" priority="136" stopIfTrue="1" operator="greaterThan">
      <formula>4.5</formula>
    </cfRule>
  </conditionalFormatting>
  <conditionalFormatting sqref="G10:H17">
    <cfRule type="expression" dxfId="1964" priority="17">
      <formula>IF(+(IF(G10&lt;#REF!,0,IF(G10&gt;#REF!,0,1)))=0,1)</formula>
    </cfRule>
  </conditionalFormatting>
  <conditionalFormatting sqref="G31:H42">
    <cfRule type="expression" dxfId="1963" priority="28">
      <formula>IF(+(IF(G31&lt;#REF!,0,IF(G31&gt;#REF!,0,1)))=0,1)</formula>
    </cfRule>
  </conditionalFormatting>
  <conditionalFormatting sqref="G93:H93">
    <cfRule type="cellIs" dxfId="1962" priority="118" stopIfTrue="1" operator="lessThanOrEqual">
      <formula>0</formula>
    </cfRule>
    <cfRule type="cellIs" dxfId="1961" priority="117" stopIfTrue="1" operator="greaterThan">
      <formula>$F$92</formula>
    </cfRule>
  </conditionalFormatting>
  <conditionalFormatting sqref="H18:H30">
    <cfRule type="expression" dxfId="1960" priority="12">
      <formula>IF(+(IF(H18&lt;#REF!,0,IF(H18&gt;#REF!,0,1)))=0,1)</formula>
    </cfRule>
  </conditionalFormatting>
  <conditionalFormatting sqref="H56:H70">
    <cfRule type="cellIs" dxfId="1959" priority="115" stopIfTrue="1" operator="greaterThan">
      <formula>0</formula>
    </cfRule>
  </conditionalFormatting>
  <conditionalFormatting sqref="H74:H76">
    <cfRule type="cellIs" dxfId="1958" priority="38" stopIfTrue="1" operator="lessThanOrEqual">
      <formula>0</formula>
    </cfRule>
    <cfRule type="cellIs" dxfId="1957" priority="39" stopIfTrue="1" operator="greaterThan">
      <formula>$F$40</formula>
    </cfRule>
    <cfRule type="cellIs" dxfId="1956" priority="50" stopIfTrue="1" operator="lessThanOrEqual">
      <formula>0</formula>
    </cfRule>
    <cfRule type="cellIs" dxfId="1955" priority="47" stopIfTrue="1" operator="greaterThan">
      <formula>$F$43</formula>
    </cfRule>
    <cfRule type="cellIs" dxfId="1954" priority="48" stopIfTrue="1" operator="lessThanOrEqual">
      <formula>0</formula>
    </cfRule>
    <cfRule type="cellIs" dxfId="1953" priority="49" stopIfTrue="1" operator="greaterThan">
      <formula>$F$41</formula>
    </cfRule>
  </conditionalFormatting>
  <conditionalFormatting sqref="H77">
    <cfRule type="cellIs" dxfId="1952" priority="68" stopIfTrue="1" operator="lessThanOrEqual">
      <formula>0</formula>
    </cfRule>
    <cfRule type="cellIs" dxfId="1951" priority="67" stopIfTrue="1" operator="greaterThan">
      <formula>$F$58</formula>
    </cfRule>
    <cfRule type="cellIs" dxfId="1950" priority="69" stopIfTrue="1" operator="greaterThan">
      <formula>$F$56</formula>
    </cfRule>
    <cfRule type="cellIs" dxfId="1949" priority="58" stopIfTrue="1" operator="lessThanOrEqual">
      <formula>0</formula>
    </cfRule>
    <cfRule type="cellIs" dxfId="1948" priority="59" stopIfTrue="1" operator="greaterThan">
      <formula>$F$55</formula>
    </cfRule>
    <cfRule type="cellIs" dxfId="1947" priority="70" stopIfTrue="1" operator="lessThanOrEqual">
      <formula>0</formula>
    </cfRule>
  </conditionalFormatting>
  <conditionalFormatting sqref="H81:H88">
    <cfRule type="cellIs" dxfId="1946" priority="91" stopIfTrue="1" operator="greaterThan">
      <formula>$J81</formula>
    </cfRule>
    <cfRule type="cellIs" dxfId="1945" priority="92" stopIfTrue="1" operator="lessThanOrEqual">
      <formula>0</formula>
    </cfRule>
  </conditionalFormatting>
  <conditionalFormatting sqref="H89">
    <cfRule type="cellIs" dxfId="1944" priority="95" operator="greaterThan">
      <formula>5.3</formula>
    </cfRule>
  </conditionalFormatting>
  <conditionalFormatting sqref="H92 H94:H100">
    <cfRule type="cellIs" dxfId="1943" priority="130" stopIfTrue="1" operator="lessThanOrEqual">
      <formula>0</formula>
    </cfRule>
    <cfRule type="cellIs" dxfId="1942" priority="129" stopIfTrue="1" operator="greaterThan">
      <formula>4.5</formula>
    </cfRule>
  </conditionalFormatting>
  <conditionalFormatting sqref="H74:I76">
    <cfRule type="cellIs" dxfId="1941" priority="37" stopIfTrue="1" operator="greaterThan">
      <formula>$F$42</formula>
    </cfRule>
    <cfRule type="cellIs" dxfId="1940" priority="40" stopIfTrue="1" operator="lessThanOrEqual">
      <formula>0</formula>
    </cfRule>
  </conditionalFormatting>
  <conditionalFormatting sqref="H77:I77">
    <cfRule type="cellIs" dxfId="1939" priority="60" stopIfTrue="1" operator="lessThanOrEqual">
      <formula>0</formula>
    </cfRule>
    <cfRule type="cellIs" dxfId="1938" priority="57" stopIfTrue="1" operator="greaterThan">
      <formula>$F$57</formula>
    </cfRule>
  </conditionalFormatting>
  <conditionalFormatting sqref="H90:I90">
    <cfRule type="cellIs" dxfId="1937" priority="83" stopIfTrue="1" operator="lessThanOrEqual">
      <formula>0</formula>
    </cfRule>
    <cfRule type="cellIs" dxfId="1936" priority="82" stopIfTrue="1" operator="greaterThan">
      <formula>$J90</formula>
    </cfRule>
  </conditionalFormatting>
  <conditionalFormatting sqref="I74:I76">
    <cfRule type="cellIs" dxfId="1935" priority="41" stopIfTrue="1" operator="greaterThan">
      <formula>$F$40</formula>
    </cfRule>
    <cfRule type="cellIs" dxfId="1934" priority="42" stopIfTrue="1" operator="lessThanOrEqual">
      <formula>0</formula>
    </cfRule>
    <cfRule type="cellIs" dxfId="1933" priority="43" stopIfTrue="1" operator="greaterThan">
      <formula>$F$42</formula>
    </cfRule>
    <cfRule type="cellIs" dxfId="1932" priority="44" stopIfTrue="1" operator="lessThanOrEqual">
      <formula>0</formula>
    </cfRule>
    <cfRule type="cellIs" dxfId="1931" priority="45" stopIfTrue="1" operator="greaterThan">
      <formula>$F$40</formula>
    </cfRule>
    <cfRule type="cellIs" dxfId="1930" priority="46" stopIfTrue="1" operator="lessThanOrEqual">
      <formula>0</formula>
    </cfRule>
  </conditionalFormatting>
  <conditionalFormatting sqref="I77">
    <cfRule type="cellIs" dxfId="1929" priority="63" stopIfTrue="1" operator="greaterThan">
      <formula>$F$57</formula>
    </cfRule>
    <cfRule type="cellIs" dxfId="1928" priority="62" stopIfTrue="1" operator="lessThanOrEqual">
      <formula>0</formula>
    </cfRule>
    <cfRule type="cellIs" dxfId="1927" priority="61" stopIfTrue="1" operator="greaterThan">
      <formula>$F$55</formula>
    </cfRule>
    <cfRule type="cellIs" dxfId="1926" priority="66" stopIfTrue="1" operator="lessThanOrEqual">
      <formula>0</formula>
    </cfRule>
    <cfRule type="cellIs" dxfId="1925" priority="65" stopIfTrue="1" operator="greaterThan">
      <formula>$F$55</formula>
    </cfRule>
    <cfRule type="cellIs" dxfId="1924" priority="64" stopIfTrue="1" operator="lessThanOrEqual">
      <formula>0</formula>
    </cfRule>
  </conditionalFormatting>
  <conditionalFormatting sqref="I81:I89">
    <cfRule type="cellIs" dxfId="1923" priority="97" stopIfTrue="1" operator="lessThanOrEqual">
      <formula>0</formula>
    </cfRule>
    <cfRule type="cellIs" dxfId="1922" priority="96" stopIfTrue="1" operator="greaterThan">
      <formula>$J81</formula>
    </cfRule>
  </conditionalFormatting>
  <conditionalFormatting sqref="I92:I100">
    <cfRule type="cellIs" dxfId="1921" priority="125" stopIfTrue="1" operator="greaterThan">
      <formula>4.5</formula>
    </cfRule>
    <cfRule type="cellIs" dxfId="1920" priority="126" stopIfTrue="1" operator="lessThanOrEqual">
      <formula>0</formula>
    </cfRule>
  </conditionalFormatting>
  <conditionalFormatting sqref="I10:J42">
    <cfRule type="cellIs" dxfId="1919" priority="10" operator="lessThan">
      <formula>97.9</formula>
    </cfRule>
  </conditionalFormatting>
  <conditionalFormatting sqref="J45:J47">
    <cfRule type="cellIs" dxfId="1918" priority="72" stopIfTrue="1" operator="lessThan">
      <formula>96.8</formula>
    </cfRule>
    <cfRule type="cellIs" dxfId="1917" priority="73" stopIfTrue="1" operator="greaterThan">
      <formula>100</formula>
    </cfRule>
    <cfRule type="cellIs" dxfId="1916" priority="74" operator="lessThan">
      <formula>98</formula>
    </cfRule>
  </conditionalFormatting>
  <conditionalFormatting sqref="J45:J49">
    <cfRule type="cellIs" dxfId="1915" priority="71" operator="lessThan">
      <formula>97.4</formula>
    </cfRule>
  </conditionalFormatting>
  <conditionalFormatting sqref="J50">
    <cfRule type="cellIs" dxfId="1914" priority="75" operator="lessThan">
      <formula>98</formula>
    </cfRule>
  </conditionalFormatting>
  <conditionalFormatting sqref="J52:J53">
    <cfRule type="cellIs" dxfId="1913" priority="77" stopIfTrue="1" operator="greaterThan">
      <formula>100</formula>
    </cfRule>
    <cfRule type="cellIs" dxfId="1912" priority="76" stopIfTrue="1" operator="lessThan">
      <formula>96.8</formula>
    </cfRule>
  </conditionalFormatting>
  <conditionalFormatting sqref="J52:J54">
    <cfRule type="cellIs" dxfId="1911" priority="78" operator="lessThan">
      <formula>98</formula>
    </cfRule>
  </conditionalFormatting>
  <conditionalFormatting sqref="J90">
    <cfRule type="cellIs" dxfId="1910" priority="79" stopIfTrue="1" operator="greaterThan">
      <formula>$F90</formula>
    </cfRule>
    <cfRule type="cellIs" dxfId="1909" priority="80" stopIfTrue="1" operator="lessThanOrEqual">
      <formula>0</formula>
    </cfRule>
  </conditionalFormatting>
  <conditionalFormatting sqref="K10:K42">
    <cfRule type="cellIs" dxfId="1908" priority="5" operator="greaterThan">
      <formula>6</formula>
    </cfRule>
    <cfRule type="cellIs" dxfId="1907" priority="6" operator="lessThan">
      <formula>4</formula>
    </cfRule>
    <cfRule type="cellIs" dxfId="1906" priority="9" operator="greaterThan">
      <formula>6.4</formula>
    </cfRule>
  </conditionalFormatting>
  <conditionalFormatting sqref="K74:K77">
    <cfRule type="cellIs" dxfId="1905" priority="55" stopIfTrue="1" operator="lessThan">
      <formula>100%</formula>
    </cfRule>
  </conditionalFormatting>
  <conditionalFormatting sqref="K92:K97">
    <cfRule type="cellIs" dxfId="1904" priority="131" stopIfTrue="1" operator="lessThan">
      <formula>100%</formula>
    </cfRule>
  </conditionalFormatting>
  <conditionalFormatting sqref="K99:K100">
    <cfRule type="cellIs" dxfId="1903" priority="138" stopIfTrue="1" operator="lessThan">
      <formula>100%</formula>
    </cfRule>
  </conditionalFormatting>
  <conditionalFormatting sqref="K81:N84 L85:N85">
    <cfRule type="cellIs" dxfId="1902" priority="109" stopIfTrue="1" operator="lessThan">
      <formula>100%</formula>
    </cfRule>
  </conditionalFormatting>
  <conditionalFormatting sqref="K86:N89 L90:N90">
    <cfRule type="cellIs" dxfId="1901" priority="81" stopIfTrue="1" operator="lessThan">
      <formula>100%</formula>
    </cfRule>
  </conditionalFormatting>
  <conditionalFormatting sqref="L18:L42">
    <cfRule type="cellIs" dxfId="1900" priority="7" operator="between">
      <formula>61</formula>
      <formula>65</formula>
    </cfRule>
    <cfRule type="cellIs" dxfId="1899" priority="8" operator="greaterThan">
      <formula>65</formula>
    </cfRule>
  </conditionalFormatting>
  <conditionalFormatting sqref="L10:M17">
    <cfRule type="cellIs" dxfId="1898" priority="22" operator="greaterThan">
      <formula>65</formula>
    </cfRule>
    <cfRule type="cellIs" dxfId="1897" priority="21" operator="between">
      <formula>61</formula>
      <formula>65</formula>
    </cfRule>
  </conditionalFormatting>
  <conditionalFormatting sqref="L45:M56">
    <cfRule type="cellIs" dxfId="1896" priority="86" operator="lessThan">
      <formula>98</formula>
    </cfRule>
  </conditionalFormatting>
  <conditionalFormatting sqref="L60:N60">
    <cfRule type="cellIs" dxfId="1895" priority="56" operator="notEqual">
      <formula>#REF!</formula>
    </cfRule>
  </conditionalFormatting>
  <conditionalFormatting sqref="L92:N100">
    <cfRule type="cellIs" dxfId="1894" priority="116" stopIfTrue="1" operator="lessThan">
      <formula>100%</formula>
    </cfRule>
  </conditionalFormatting>
  <conditionalFormatting sqref="M10:M17">
    <cfRule type="expression" dxfId="1893" priority="23">
      <formula>IF(+(IF(M10&lt;U10,0,IF(M10&gt;V10,0,1)))=0,1)</formula>
    </cfRule>
  </conditionalFormatting>
  <conditionalFormatting sqref="M18:M42">
    <cfRule type="expression" dxfId="1892" priority="4">
      <formula>IF(+(IF(M18&lt;U18,0,IF(M18&gt;V18,0,1)))=0,1)</formula>
    </cfRule>
  </conditionalFormatting>
  <conditionalFormatting sqref="N10:N42">
    <cfRule type="expression" dxfId="1891" priority="3">
      <formula>IF(+(IF(N10&lt;W10,0,IF(N10&gt;X10,0,1)))=0,1)</formula>
    </cfRule>
  </conditionalFormatting>
  <conditionalFormatting sqref="P6">
    <cfRule type="cellIs" dxfId="1890" priority="112" operator="greaterThanOrEqual">
      <formula>19</formula>
    </cfRule>
  </conditionalFormatting>
  <dataValidations count="1">
    <dataValidation type="list" allowBlank="1" showInputMessage="1" showErrorMessage="1" sqref="R8" xr:uid="{1758865E-5DE8-490B-82D7-C5398337015E}">
      <formula1>ProductList</formula1>
    </dataValidation>
  </dataValidations>
  <pageMargins left="0.7" right="0.7" top="0.75" bottom="0.75" header="0.3" footer="0.3"/>
  <pageSetup scale="44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1927-2200-4FE0-BA0F-7CCC1D7F0DF9}">
  <sheetPr>
    <pageSetUpPr fitToPage="1"/>
  </sheetPr>
  <dimension ref="A1:BE95"/>
  <sheetViews>
    <sheetView zoomScale="60" zoomScaleNormal="60" workbookViewId="0">
      <selection activeCell="B26" sqref="B26:O26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45852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419"/>
      <c r="R10" s="277">
        <f t="shared" ref="R10:R44" si="0">B10</f>
        <v>0</v>
      </c>
      <c r="S10" s="296" t="e">
        <f t="shared" ref="S10:S44" si="1">VLOOKUP($B10,$R$3:$X$9,2,FALSE)</f>
        <v>#N/A</v>
      </c>
      <c r="T10" s="296" t="e">
        <f t="shared" ref="T10:T44" si="2">VLOOKUP($B10,$R$3:$X$9,3,FALSE)</f>
        <v>#N/A</v>
      </c>
      <c r="U10" s="297" t="e">
        <f t="shared" ref="U10:U44" si="3">VLOOKUP($B10,$R$3:$X$9,4,FALSE)</f>
        <v>#N/A</v>
      </c>
      <c r="V10" s="297" t="e">
        <f t="shared" ref="V10:V44" si="4">VLOOKUP($B10,$R$3:$X$9,5,FALSE)</f>
        <v>#N/A</v>
      </c>
      <c r="W10" s="297" t="e">
        <f t="shared" ref="W10:W44" si="5">VLOOKUP($B10,$R$3:$X$9,6,FALSE)</f>
        <v>#N/A</v>
      </c>
      <c r="X10" s="297" t="e">
        <f t="shared" ref="X10:X44" si="6">VLOOKUP($B10,$R$3:$X$9,7,FALSE)</f>
        <v>#N/A</v>
      </c>
      <c r="Y10" s="297" t="e">
        <f t="shared" ref="Y10:Y44" si="7">VLOOKUP($B10,$R$3:$Z$9,8,FALSE)</f>
        <v>#N/A</v>
      </c>
      <c r="Z10" s="296" t="e">
        <f t="shared" ref="Z10:Z44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7"/>
      <c r="J11" s="427"/>
      <c r="K11" s="281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7"/>
      <c r="J14" s="427"/>
      <c r="K14" s="281"/>
      <c r="L14" s="276"/>
      <c r="M14" s="374"/>
      <c r="N14" s="370"/>
      <c r="O14" s="428"/>
      <c r="P14" s="419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7"/>
      <c r="J15" s="427"/>
      <c r="K15" s="281"/>
      <c r="L15" s="276"/>
      <c r="M15" s="374"/>
      <c r="N15" s="370"/>
      <c r="O15" s="428"/>
      <c r="P15" s="419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4"/>
      <c r="C18" s="366"/>
      <c r="D18" s="279"/>
      <c r="E18" s="279"/>
      <c r="F18" s="278"/>
      <c r="G18" s="279"/>
      <c r="H18" s="396"/>
      <c r="I18" s="427"/>
      <c r="J18" s="427"/>
      <c r="K18" s="436"/>
      <c r="L18" s="276"/>
      <c r="M18" s="374"/>
      <c r="N18" s="370"/>
      <c r="O18" s="428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34"/>
      <c r="C19" s="366"/>
      <c r="D19" s="279"/>
      <c r="E19" s="279"/>
      <c r="F19" s="278"/>
      <c r="G19" s="279"/>
      <c r="H19" s="396"/>
      <c r="I19" s="427"/>
      <c r="J19" s="427"/>
      <c r="K19" s="436"/>
      <c r="L19" s="276"/>
      <c r="M19" s="374"/>
      <c r="N19" s="370"/>
      <c r="O19" s="428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34"/>
      <c r="C20" s="366"/>
      <c r="D20" s="279"/>
      <c r="E20" s="279"/>
      <c r="F20" s="278"/>
      <c r="G20" s="279"/>
      <c r="H20" s="396"/>
      <c r="I20" s="427"/>
      <c r="J20" s="427"/>
      <c r="K20" s="436"/>
      <c r="L20" s="276"/>
      <c r="M20" s="374"/>
      <c r="N20" s="370"/>
      <c r="O20" s="428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34"/>
      <c r="C21" s="366"/>
      <c r="D21" s="279"/>
      <c r="E21" s="279"/>
      <c r="F21" s="278"/>
      <c r="G21" s="279"/>
      <c r="H21" s="396"/>
      <c r="I21" s="427"/>
      <c r="J21" s="427"/>
      <c r="K21" s="436"/>
      <c r="L21" s="276"/>
      <c r="M21" s="374"/>
      <c r="N21" s="370"/>
      <c r="O21" s="428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6" customHeight="1">
      <c r="B22" s="34" t="s">
        <v>12</v>
      </c>
      <c r="C22" s="366" t="str">
        <f>[25]Brewhouse!$A67</f>
        <v>GU059</v>
      </c>
      <c r="D22" s="279">
        <f>[25]Brewhouse!$AF67</f>
        <v>54.1</v>
      </c>
      <c r="E22" s="279">
        <f>[25]Brewhouse!$AI67</f>
        <v>51.6</v>
      </c>
      <c r="F22" s="278">
        <f>[25]Brewhouse!$V67</f>
        <v>60</v>
      </c>
      <c r="G22" s="279">
        <f>[25]Brewhouse!$AG67</f>
        <v>17.399999999999999</v>
      </c>
      <c r="H22" s="367"/>
      <c r="I22" s="427">
        <f>[25]Brewhouse!$AU67</f>
        <v>98.042300648720754</v>
      </c>
      <c r="J22" s="427">
        <f>[25]Brewhouse!$AV67</f>
        <v>98.684685147599097</v>
      </c>
      <c r="K22" s="436">
        <f>[25]Brewhouse!$R67</f>
        <v>11.388400702987694</v>
      </c>
      <c r="L22" s="276">
        <f>[25]Brewhouse!$O67</f>
        <v>60</v>
      </c>
      <c r="M22" s="374">
        <f>[25]Brewhouse!$U67-[25]Brewhouse!$T67</f>
        <v>0.11458333333333334</v>
      </c>
      <c r="N22" s="370">
        <f>[25]Brewhouse!$Z67</f>
        <v>0.26666666666666666</v>
      </c>
      <c r="O22" s="428" t="str">
        <f>[25]Brewhouse!$AW67</f>
        <v>D. Gomaz</v>
      </c>
      <c r="P22" s="419"/>
      <c r="R22" s="277" t="str">
        <f t="shared" si="0"/>
        <v>GUINNESS</v>
      </c>
      <c r="S22" s="296">
        <f t="shared" si="1"/>
        <v>17</v>
      </c>
      <c r="T22" s="296">
        <f t="shared" si="2"/>
        <v>17.5</v>
      </c>
      <c r="U22" s="297">
        <f t="shared" si="3"/>
        <v>0</v>
      </c>
      <c r="V22" s="297">
        <f t="shared" si="4"/>
        <v>0.1076388888888889</v>
      </c>
      <c r="W22" s="297">
        <f t="shared" si="5"/>
        <v>0.24652777777777779</v>
      </c>
      <c r="X22" s="297">
        <f t="shared" si="6"/>
        <v>0.28472222222222221</v>
      </c>
      <c r="Y22" s="297">
        <f t="shared" si="7"/>
        <v>0</v>
      </c>
      <c r="Z22" s="296">
        <f t="shared" si="8"/>
        <v>60</v>
      </c>
    </row>
    <row r="23" spans="2:26" ht="14.4">
      <c r="B23" s="34" t="s">
        <v>12</v>
      </c>
      <c r="C23" s="366" t="str">
        <f>[25]Brewhouse!$A68</f>
        <v>GU060</v>
      </c>
      <c r="D23" s="279">
        <f>[25]Brewhouse!$AF68</f>
        <v>55</v>
      </c>
      <c r="E23" s="279">
        <f>[25]Brewhouse!$AI68</f>
        <v>52.5</v>
      </c>
      <c r="F23" s="278">
        <f>[25]Brewhouse!$V68</f>
        <v>60</v>
      </c>
      <c r="G23" s="279">
        <f>[25]Brewhouse!$AG68</f>
        <v>17.2</v>
      </c>
      <c r="H23" s="367"/>
      <c r="I23" s="427">
        <f>[25]Brewhouse!$AU68</f>
        <v>98.519506903206036</v>
      </c>
      <c r="J23" s="427">
        <f>[25]Brewhouse!$AV68</f>
        <v>99.165018112683995</v>
      </c>
      <c r="K23" s="436">
        <f>[25]Brewhouse!$R68</f>
        <v>10.399999999999993</v>
      </c>
      <c r="L23" s="276">
        <f>[25]Brewhouse!$O68</f>
        <v>60</v>
      </c>
      <c r="M23" s="374">
        <f>[25]Brewhouse!$U68-[25]Brewhouse!$T68</f>
        <v>0.11736111111111114</v>
      </c>
      <c r="N23" s="370">
        <f>[25]Brewhouse!$Z68</f>
        <v>0.26458333333333334</v>
      </c>
      <c r="O23" s="428" t="str">
        <f>[25]Brewhouse!$AW68</f>
        <v>K. Benjamin</v>
      </c>
      <c r="P23" s="419"/>
      <c r="R23" s="277" t="str">
        <f t="shared" si="0"/>
        <v>GUINNESS</v>
      </c>
      <c r="S23" s="296">
        <f t="shared" si="1"/>
        <v>17</v>
      </c>
      <c r="T23" s="296">
        <f t="shared" si="2"/>
        <v>17.5</v>
      </c>
      <c r="U23" s="297">
        <f t="shared" si="3"/>
        <v>0</v>
      </c>
      <c r="V23" s="297">
        <f t="shared" si="4"/>
        <v>0.1076388888888889</v>
      </c>
      <c r="W23" s="297">
        <f t="shared" si="5"/>
        <v>0.24652777777777779</v>
      </c>
      <c r="X23" s="297">
        <f t="shared" si="6"/>
        <v>0.28472222222222221</v>
      </c>
      <c r="Y23" s="297">
        <f t="shared" si="7"/>
        <v>0</v>
      </c>
      <c r="Z23" s="296">
        <f t="shared" si="8"/>
        <v>60</v>
      </c>
    </row>
    <row r="24" spans="2:26" ht="15.75" customHeight="1">
      <c r="B24" s="34" t="s">
        <v>12</v>
      </c>
      <c r="C24" s="366" t="str">
        <f>[25]Brewhouse!$A69</f>
        <v>GU061</v>
      </c>
      <c r="D24" s="279">
        <f>[25]Brewhouse!$AF69</f>
        <v>54.4</v>
      </c>
      <c r="E24" s="279">
        <f>[25]Brewhouse!$AI69</f>
        <v>52.2</v>
      </c>
      <c r="F24" s="278">
        <f>[25]Brewhouse!$V69</f>
        <v>58</v>
      </c>
      <c r="G24" s="279">
        <f>[25]Brewhouse!$AG69</f>
        <v>17.2</v>
      </c>
      <c r="H24" s="367"/>
      <c r="I24" s="427">
        <f>[25]Brewhouse!$AU69</f>
        <v>97.87847240921738</v>
      </c>
      <c r="J24" s="427">
        <f>[25]Brewhouse!$AV69</f>
        <v>98.519895261077181</v>
      </c>
      <c r="K24" s="436">
        <f>[25]Brewhouse!$R69</f>
        <v>9.0877192982456148</v>
      </c>
      <c r="L24" s="276">
        <f>[25]Brewhouse!$O69</f>
        <v>58</v>
      </c>
      <c r="M24" s="374">
        <f>[25]Brewhouse!$U69-[25]Brewhouse!$T69</f>
        <v>0.11250000000000004</v>
      </c>
      <c r="N24" s="370">
        <f>[25]Brewhouse!$Z69</f>
        <v>0.26944444444444449</v>
      </c>
      <c r="O24" s="428" t="str">
        <f>[25]Brewhouse!$AW69</f>
        <v>K. Benjamin</v>
      </c>
      <c r="P24" s="419"/>
      <c r="R24" s="277" t="str">
        <f t="shared" si="0"/>
        <v>GUINNESS</v>
      </c>
      <c r="S24" s="296">
        <f t="shared" si="1"/>
        <v>17</v>
      </c>
      <c r="T24" s="296">
        <f t="shared" si="2"/>
        <v>17.5</v>
      </c>
      <c r="U24" s="297">
        <f t="shared" si="3"/>
        <v>0</v>
      </c>
      <c r="V24" s="297">
        <f t="shared" si="4"/>
        <v>0.1076388888888889</v>
      </c>
      <c r="W24" s="297">
        <f t="shared" si="5"/>
        <v>0.24652777777777779</v>
      </c>
      <c r="X24" s="297">
        <f t="shared" si="6"/>
        <v>0.28472222222222221</v>
      </c>
      <c r="Y24" s="297">
        <f t="shared" si="7"/>
        <v>0</v>
      </c>
      <c r="Z24" s="296">
        <f t="shared" si="8"/>
        <v>60</v>
      </c>
    </row>
    <row r="25" spans="2:26" ht="15.75" customHeight="1">
      <c r="B25" s="34" t="s">
        <v>12</v>
      </c>
      <c r="C25" s="366" t="str">
        <f>[25]Brewhouse!$A70</f>
        <v>GU062</v>
      </c>
      <c r="D25" s="279">
        <f>[25]Brewhouse!$AF70</f>
        <v>53.8</v>
      </c>
      <c r="E25" s="279">
        <f>[25]Brewhouse!$AI70</f>
        <v>51</v>
      </c>
      <c r="F25" s="278">
        <f>[25]Brewhouse!$V70</f>
        <v>65</v>
      </c>
      <c r="G25" s="279">
        <f>[25]Brewhouse!$AG70</f>
        <v>17.2</v>
      </c>
      <c r="H25" s="396">
        <v>17.2</v>
      </c>
      <c r="I25" s="427">
        <f>[25]Brewhouse!$AU70</f>
        <v>95.781056875880395</v>
      </c>
      <c r="J25" s="427">
        <f>[25]Brewhouse!$AV70</f>
        <v>96.408515890157361</v>
      </c>
      <c r="K25" s="436">
        <f>[25]Brewhouse!$R70</f>
        <v>5.7818181818181813</v>
      </c>
      <c r="L25" s="276">
        <f>[25]Brewhouse!$O70</f>
        <v>59</v>
      </c>
      <c r="M25" s="374">
        <f>[25]Brewhouse!$U70-[25]Brewhouse!$T70</f>
        <v>0.11597222222222225</v>
      </c>
      <c r="N25" s="370">
        <f>[25]Brewhouse!$Z70</f>
        <v>0.26597222222222228</v>
      </c>
      <c r="O25" s="428" t="str">
        <f>[25]Brewhouse!$AW70</f>
        <v>K. Benjamin</v>
      </c>
      <c r="P25" s="419"/>
      <c r="R25" s="277" t="str">
        <f t="shared" si="0"/>
        <v>GUINNESS</v>
      </c>
      <c r="S25" s="296">
        <f t="shared" si="1"/>
        <v>17</v>
      </c>
      <c r="T25" s="296">
        <f t="shared" si="2"/>
        <v>17.5</v>
      </c>
      <c r="U25" s="297">
        <f t="shared" si="3"/>
        <v>0</v>
      </c>
      <c r="V25" s="297">
        <f t="shared" si="4"/>
        <v>0.1076388888888889</v>
      </c>
      <c r="W25" s="297">
        <f t="shared" si="5"/>
        <v>0.24652777777777779</v>
      </c>
      <c r="X25" s="297">
        <f t="shared" si="6"/>
        <v>0.28472222222222221</v>
      </c>
      <c r="Y25" s="297">
        <f t="shared" si="7"/>
        <v>0</v>
      </c>
      <c r="Z25" s="296">
        <f t="shared" si="8"/>
        <v>60</v>
      </c>
    </row>
    <row r="26" spans="2:26" ht="15.75" customHeight="1">
      <c r="B26" s="34" t="s">
        <v>12</v>
      </c>
      <c r="C26" s="366" t="str">
        <f>[25]Brewhouse!$A71</f>
        <v>GU063</v>
      </c>
      <c r="D26" s="279">
        <f>[25]Brewhouse!$AF71</f>
        <v>53.8</v>
      </c>
      <c r="E26" s="279">
        <f>[25]Brewhouse!$AI71</f>
        <v>51.2</v>
      </c>
      <c r="F26" s="278">
        <f>[25]Brewhouse!$V71</f>
        <v>63</v>
      </c>
      <c r="G26" s="279">
        <f>[25]Brewhouse!$AG71</f>
        <v>17.3</v>
      </c>
      <c r="H26" s="367"/>
      <c r="I26" s="427">
        <f>[25]Brewhouse!$AU71</f>
        <v>96.861776608600863</v>
      </c>
      <c r="J26" s="427">
        <f>[25]Brewhouse!$AV71</f>
        <v>97.496204420884695</v>
      </c>
      <c r="K26" s="436">
        <f>[25]Brewhouse!$R71</f>
        <v>9.7212543554006938</v>
      </c>
      <c r="L26" s="276">
        <f>[25]Brewhouse!$O71</f>
        <v>59</v>
      </c>
      <c r="M26" s="374">
        <f>[25]Brewhouse!$U71-[25]Brewhouse!$T71</f>
        <v>0.11388888888888893</v>
      </c>
      <c r="N26" s="370">
        <f>[25]Brewhouse!$Z71</f>
        <v>0.26250000000000001</v>
      </c>
      <c r="O26" s="428" t="str">
        <f>[25]Brewhouse!$AW71</f>
        <v>R. Regis</v>
      </c>
      <c r="P26" s="419"/>
      <c r="R26" s="277" t="str">
        <f t="shared" si="0"/>
        <v>GUINNESS</v>
      </c>
      <c r="S26" s="296">
        <f t="shared" si="1"/>
        <v>17</v>
      </c>
      <c r="T26" s="296">
        <f t="shared" si="2"/>
        <v>17.5</v>
      </c>
      <c r="U26" s="297">
        <f t="shared" si="3"/>
        <v>0</v>
      </c>
      <c r="V26" s="297">
        <f t="shared" si="4"/>
        <v>0.1076388888888889</v>
      </c>
      <c r="W26" s="297">
        <f t="shared" si="5"/>
        <v>0.24652777777777779</v>
      </c>
      <c r="X26" s="297">
        <f t="shared" si="6"/>
        <v>0.28472222222222221</v>
      </c>
      <c r="Y26" s="297">
        <f t="shared" si="7"/>
        <v>0</v>
      </c>
      <c r="Z26" s="296">
        <f t="shared" si="8"/>
        <v>60</v>
      </c>
    </row>
    <row r="27" spans="2:26" ht="15.75" customHeight="1">
      <c r="B27" s="34"/>
      <c r="C27" s="366"/>
      <c r="D27" s="279"/>
      <c r="E27" s="279"/>
      <c r="F27" s="278"/>
      <c r="G27" s="279"/>
      <c r="H27" s="396"/>
      <c r="I27" s="427"/>
      <c r="J27" s="427"/>
      <c r="K27" s="436"/>
      <c r="L27" s="276"/>
      <c r="M27" s="374"/>
      <c r="N27" s="370"/>
      <c r="O27" s="428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6" customHeight="1">
      <c r="B28" s="33"/>
      <c r="C28" s="366"/>
      <c r="D28" s="279"/>
      <c r="E28" s="279"/>
      <c r="F28" s="278"/>
      <c r="G28" s="279"/>
      <c r="H28" s="396"/>
      <c r="I28" s="427"/>
      <c r="J28" s="427"/>
      <c r="K28" s="281"/>
      <c r="L28" s="276"/>
      <c r="M28" s="374"/>
      <c r="N28" s="370"/>
      <c r="O28" s="428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4.4">
      <c r="B29" s="33" t="s">
        <v>9</v>
      </c>
      <c r="C29" s="366" t="str">
        <f>[24]Brewhouse!$A303</f>
        <v>ST283</v>
      </c>
      <c r="D29" s="279">
        <f>[24]Brewhouse!$AD303</f>
        <v>49</v>
      </c>
      <c r="E29" s="279">
        <f>[24]Brewhouse!$AG303</f>
        <v>48.2</v>
      </c>
      <c r="F29" s="278">
        <f>[24]Brewhouse!$V303</f>
        <v>60</v>
      </c>
      <c r="G29" s="279">
        <f>[24]Brewhouse!$AE303</f>
        <v>11.9</v>
      </c>
      <c r="H29" s="367"/>
      <c r="I29" s="427">
        <f>[24]Brewhouse!$AS303</f>
        <v>102.86759733937893</v>
      </c>
      <c r="J29" s="427">
        <f>[24]Brewhouse!$AT303</f>
        <v>103.50680910563246</v>
      </c>
      <c r="K29" s="281">
        <f>[24]Brewhouse!$Q303</f>
        <v>7.6775431861804213</v>
      </c>
      <c r="L29" s="276">
        <f>[24]Brewhouse!$P303</f>
        <v>60</v>
      </c>
      <c r="M29" s="374">
        <f>[24]Brewhouse!$U303-[24]Brewhouse!$T303</f>
        <v>0.11736111111111114</v>
      </c>
      <c r="N29" s="370">
        <f>[24]Brewhouse!$AW303</f>
        <v>0.2583333333333333</v>
      </c>
      <c r="O29" s="428" t="str">
        <f>[24]Brewhouse!$AV303</f>
        <v>R. Regis</v>
      </c>
      <c r="P29" s="419"/>
      <c r="R29" s="277" t="str">
        <f t="shared" si="0"/>
        <v>STAG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34"/>
      <c r="C30" s="366"/>
      <c r="D30" s="279"/>
      <c r="E30" s="279"/>
      <c r="F30" s="278"/>
      <c r="G30" s="279"/>
      <c r="H30" s="396"/>
      <c r="I30" s="427"/>
      <c r="J30" s="427"/>
      <c r="K30" s="436"/>
      <c r="L30" s="276"/>
      <c r="M30" s="374"/>
      <c r="N30" s="370"/>
      <c r="O30" s="428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6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customHeight="1" thickBot="1">
      <c r="B43" s="358"/>
      <c r="C43" s="358"/>
      <c r="D43" s="358"/>
      <c r="E43" s="358"/>
      <c r="F43" s="294"/>
      <c r="G43" s="294"/>
      <c r="H43" s="348"/>
      <c r="I43" s="532"/>
      <c r="J43" s="532"/>
      <c r="K43" s="532"/>
      <c r="L43" s="532"/>
      <c r="M43" s="532"/>
      <c r="N43" s="532"/>
      <c r="O43" s="1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thickBot="1">
      <c r="B44" s="388" t="s">
        <v>163</v>
      </c>
      <c r="C44" s="388"/>
      <c r="D44" s="545" t="s">
        <v>35</v>
      </c>
      <c r="E44" s="546"/>
      <c r="F44" s="294"/>
      <c r="G44" s="294"/>
      <c r="H44" s="348"/>
      <c r="I44" s="24" t="s">
        <v>17</v>
      </c>
      <c r="J44" s="25" t="s">
        <v>36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R44" s="277" t="str">
        <f t="shared" si="0"/>
        <v xml:space="preserve">BRAND 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customHeight="1">
      <c r="A45" s="28"/>
      <c r="B45" s="569" t="str">
        <f>I45</f>
        <v>CARIB</v>
      </c>
      <c r="C45" s="362">
        <f>[23]Process!D536</f>
        <v>11.8</v>
      </c>
      <c r="D45" s="536">
        <v>11.94</v>
      </c>
      <c r="E45" s="525"/>
      <c r="F45" s="294"/>
      <c r="G45" s="294"/>
      <c r="H45" s="348"/>
      <c r="I45" s="29" t="s">
        <v>6</v>
      </c>
      <c r="J45" s="280"/>
      <c r="K45" s="284">
        <f>COUNTA([23]Brewhouse!$A$580:$A$603)</f>
        <v>24</v>
      </c>
      <c r="L45" s="305">
        <f>AVERAGE([23]Brewhouse!$AU$580:$AU$603)</f>
        <v>98.157765800796781</v>
      </c>
      <c r="M4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AVERAGE([23]Brewhouse!$AU$102:$AU$171,[23]Brewhouse!$AU$173:$AU$253,[23]Brewhouse!$AU$255:$AU$339,[23]Brewhouse!$AU$341:$AU$346,[23]Brewhouse!$AU$348,[23]Brewhouse!$AU$349:$AU$406,[23]Brewhouse!$AU$408:$AU$491,[23]Brewhouse!$AU$493:$AU$578,[23]Brewhouse!$AU$580:$AU$603)</f>
        <v>97.769637992093166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5" customHeight="1">
      <c r="A46" s="28"/>
      <c r="B46" s="594"/>
      <c r="C46" s="349">
        <f>[23]Process!D537</f>
        <v>11.8</v>
      </c>
      <c r="D46" s="537"/>
      <c r="E46" s="520"/>
      <c r="F46" s="294"/>
      <c r="G46" s="294"/>
      <c r="H46" s="348"/>
      <c r="I46" s="33" t="s">
        <v>9</v>
      </c>
      <c r="J46" s="280">
        <f>I29</f>
        <v>102.86759733937893</v>
      </c>
      <c r="K46" s="284">
        <f>COUNTA([24]Brewhouse!$A$275:$A$303)</f>
        <v>29</v>
      </c>
      <c r="L46" s="302">
        <f>AVERAGE([24]Brewhouse!$AS$275:$AS$303)</f>
        <v>99.429497754735706</v>
      </c>
      <c r="M46" s="302">
        <f>AVERAGE([24]Brewhouse!$AS$15:$AS$64,[24]Brewhouse!$AS$66:$AS$103,[24]Brewhouse!$AS$105:$AS$140,[24]Brewhouse!$AS$142:$AS$193,[24]Brewhouse!$AS$195:$AS$240,[24]Brewhouse!$AS$242:$AS$273,[24]Brewhouse!$AS$275:$AS$303)</f>
        <v>98.035425282547848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94"/>
      <c r="C47" s="349">
        <f>[23]Process!D540</f>
        <v>11.7</v>
      </c>
      <c r="D47" s="536">
        <v>11.81</v>
      </c>
      <c r="E47" s="525"/>
      <c r="F47" s="294"/>
      <c r="G47" s="294"/>
      <c r="H47" s="348"/>
      <c r="I47" s="34" t="s">
        <v>12</v>
      </c>
      <c r="J47" s="280">
        <f>AVERAGE(I22:I26)</f>
        <v>97.416622689125077</v>
      </c>
      <c r="K47" s="284">
        <f>COUNTA([25]Brewhouse!$A$64:$A$71)</f>
        <v>8</v>
      </c>
      <c r="L47" s="302">
        <f>AVERAGE([25]Brewhouse!$AU$64:$AU$71)</f>
        <v>97.273930939242547</v>
      </c>
      <c r="M47" s="302">
        <f>AVERAGE([25]Brewhouse!$AU$4:$AU$7,[25]Brewhouse!$AU$9:$AU$22,[25]Brewhouse!$AU$24:$AU$35,[25]Brewhouse!$AU$37:$AU$45,[25]Brewhouse!$AU$47:$AU$62,[25]Brewhouse!$AU$64:$AU$71)</f>
        <v>97.191383970163244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4"/>
      <c r="C48" s="349">
        <f>[23]Process!D541</f>
        <v>11.8</v>
      </c>
      <c r="D48" s="537"/>
      <c r="E48" s="520"/>
      <c r="F48" s="294"/>
      <c r="G48" s="294"/>
      <c r="H48" s="348"/>
      <c r="I48" s="22" t="s">
        <v>33</v>
      </c>
      <c r="J48" s="280"/>
      <c r="K48" s="284"/>
      <c r="L48" s="302"/>
      <c r="M48" s="302">
        <f>AVERAGE([26]Brewhouse!$AV$5:$AV$14,[26]Brewhouse!$AV$16:$AV$19,[26]Brewhouse!$AV$21:$AV$24,[26]Brewhouse!$AV$26:$AV$33,[26]Brewhouse!$AV$35:$AV$46,[26]Brewhouse!$AV$48:$AV$53)</f>
        <v>98.620083722669861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4"/>
      <c r="C49" s="349">
        <f>[23]Process!D542</f>
        <v>11.9</v>
      </c>
      <c r="D49" s="536">
        <v>11.96</v>
      </c>
      <c r="E49" s="525"/>
      <c r="F49" s="418"/>
      <c r="G49" s="294"/>
      <c r="H49" s="348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4"/>
      <c r="C50" s="349">
        <f>[23]Process!D543</f>
        <v>11.9</v>
      </c>
      <c r="D50" s="537"/>
      <c r="E50" s="520"/>
      <c r="F50" s="418"/>
      <c r="G50" s="294"/>
      <c r="H50" s="348"/>
      <c r="I50" s="36" t="s">
        <v>15</v>
      </c>
      <c r="J50" s="323"/>
      <c r="K50" s="284"/>
      <c r="L50" s="302"/>
      <c r="M50" s="302">
        <f>AVERAGE([27]Brewhouse!$AT$4:$AT$11,[27]Brewhouse!$AT$13:$AT$16,[27]Brewhouse!$AT$18:$AT$21)</f>
        <v>94.773169817643847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94"/>
      <c r="C51" s="349">
        <f>[23]Process!D544</f>
        <v>12</v>
      </c>
      <c r="D51" s="536">
        <v>11.96</v>
      </c>
      <c r="E51" s="525"/>
      <c r="F51" s="418"/>
      <c r="G51" s="294"/>
      <c r="H51" s="348"/>
      <c r="I51" s="37" t="s">
        <v>16</v>
      </c>
      <c r="J51" s="323"/>
      <c r="K51" s="284">
        <f>COUNTA([22]Brewhouse!$A$56:$A$65)</f>
        <v>10</v>
      </c>
      <c r="L51" s="302">
        <f>AVERAGE([22]Brewhouse!$AY$56:$AY$65)</f>
        <v>99.275500637605006</v>
      </c>
      <c r="M51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1" s="30">
        <v>98</v>
      </c>
      <c r="O51" s="11"/>
      <c r="P51" s="31" t="s">
        <v>41</v>
      </c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4"/>
      <c r="C52" s="349">
        <f>[23]Process!D545</f>
        <v>11.7</v>
      </c>
      <c r="D52" s="537"/>
      <c r="E52" s="520"/>
      <c r="F52" s="294"/>
      <c r="G52" s="294"/>
      <c r="H52" s="348"/>
      <c r="I52" s="411" t="s">
        <v>158</v>
      </c>
      <c r="J52" s="326"/>
      <c r="K52" s="284"/>
      <c r="L52" s="305"/>
      <c r="M52" s="305">
        <f>AVERAGE([28]Brewhouse!$AU$5:$AU$8,[28]Brewhouse!$AU$10:$AU$13)</f>
        <v>94.247666625193744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4"/>
      <c r="C53" s="349"/>
      <c r="D53" s="536"/>
      <c r="E53" s="525"/>
      <c r="F53" s="294"/>
      <c r="G53" s="294"/>
      <c r="H53" s="348"/>
      <c r="I53" s="410" t="s">
        <v>157</v>
      </c>
      <c r="J53" s="326"/>
      <c r="K53" s="284"/>
      <c r="L53" s="305"/>
      <c r="M53" s="305">
        <f>AVERAGE([29]Brewhouse!$AW$26:$AW$27)</f>
        <v>95.310680905194914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94"/>
      <c r="C54" s="349"/>
      <c r="D54" s="537"/>
      <c r="E54" s="520"/>
      <c r="F54" s="294"/>
      <c r="G54" s="294"/>
      <c r="H54" s="348"/>
      <c r="I54" s="406" t="s">
        <v>156</v>
      </c>
      <c r="J54" s="327"/>
      <c r="K54" s="407"/>
      <c r="L54" s="408"/>
      <c r="M54" s="408">
        <f>AVERAGE([30]Brewhouse!$AU$13:$AU$14)</f>
        <v>97.110575243268045</v>
      </c>
      <c r="N54" s="409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4"/>
      <c r="C55" s="349"/>
      <c r="D55" s="536"/>
      <c r="E55" s="525"/>
      <c r="F55" s="294"/>
      <c r="G55" s="294"/>
      <c r="H55" s="348"/>
      <c r="I55" s="1"/>
      <c r="J55" s="39"/>
      <c r="K55" s="404">
        <f>SUM(K45:K54)</f>
        <v>71</v>
      </c>
      <c r="L55" s="405">
        <f>((L45*K45)+(L46*K46)+(L47*K47)+(L48*K48)+(L49*K49)+(K52*L52)+(L50*K50)+(L51*K51)+(L54*K54))/(K55)</f>
        <v>98.735046028118987</v>
      </c>
      <c r="M55" s="405">
        <f>AVERAGE('[31]Jan 31st'!$L$65,'[32]Feb 28th'!$L$35,'[33]Mar. 31st'!$L$35,'[34]Apr. 30th'!$L$45,'[35]May 30th'!$L$37,L55)</f>
        <v>97.819049910914671</v>
      </c>
      <c r="N55" s="4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95"/>
      <c r="C56" s="350"/>
      <c r="D56" s="537"/>
      <c r="E56" s="520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89"/>
      <c r="C57" s="362"/>
      <c r="D57" s="517"/>
      <c r="E57" s="518"/>
      <c r="F57" s="294"/>
      <c r="G57" s="42"/>
      <c r="H57" s="41"/>
      <c r="I57" s="42"/>
      <c r="J57" s="572" t="s">
        <v>129</v>
      </c>
      <c r="K57" s="572"/>
      <c r="L57" s="294"/>
      <c r="M57" s="294"/>
      <c r="N57" s="294"/>
      <c r="O57" s="294"/>
      <c r="P57" s="12"/>
    </row>
    <row r="58" spans="1:56" ht="15" thickBot="1">
      <c r="B58" s="590"/>
      <c r="C58" s="362"/>
      <c r="D58" s="519"/>
      <c r="E58" s="520"/>
      <c r="F58" s="294"/>
      <c r="G58" s="42"/>
      <c r="H58" s="41"/>
      <c r="I58" s="42"/>
      <c r="J58" s="292" t="s">
        <v>17</v>
      </c>
      <c r="K58" s="293" t="s">
        <v>147</v>
      </c>
      <c r="L58" s="522" t="s">
        <v>136</v>
      </c>
      <c r="M58" s="522"/>
      <c r="N58" s="523"/>
      <c r="O58" s="294"/>
      <c r="P58" s="12"/>
    </row>
    <row r="59" spans="1:56" ht="15" customHeight="1" thickBot="1">
      <c r="B59" s="590"/>
      <c r="C59" s="349"/>
      <c r="D59" s="573"/>
      <c r="E59" s="574"/>
      <c r="F59" s="294"/>
      <c r="G59" s="42"/>
      <c r="H59" s="41"/>
      <c r="I59" s="42"/>
      <c r="J59" s="287" t="s">
        <v>6</v>
      </c>
      <c r="K59" s="324"/>
      <c r="L59" s="343" t="s">
        <v>37</v>
      </c>
      <c r="M59" s="307" t="s">
        <v>38</v>
      </c>
      <c r="N59" s="307" t="s">
        <v>84</v>
      </c>
      <c r="O59" s="294"/>
      <c r="P59" s="12"/>
    </row>
    <row r="60" spans="1:56" ht="15.75" customHeight="1" thickBot="1">
      <c r="B60" s="590"/>
      <c r="C60" s="349"/>
      <c r="D60" s="519"/>
      <c r="E60" s="520"/>
      <c r="F60" s="294"/>
      <c r="G60" s="42"/>
      <c r="H60" s="41"/>
      <c r="I60" s="42"/>
      <c r="J60" s="345" t="s">
        <v>9</v>
      </c>
      <c r="K60" s="324">
        <v>1</v>
      </c>
      <c r="L60" s="344">
        <f>AVERAGE(K69,'July 1st'!K67,'July 2nd'!K68,'July 3rd'!K68,'July 4th'!K68,'July 7th '!K68,'July 8th '!K68,'July 9th  '!K69,'July 10th '!K69)</f>
        <v>7.8888888888888893</v>
      </c>
      <c r="M60" s="325">
        <f>AVERAGE('[31]Jan 29th '!$M$70,'[32]Feb 28th'!$L$40,'[33]Mar. 31st'!$L$40,'[34]Apr. 30th'!$L$50,'[35]May 30th'!$L$42,L60)</f>
        <v>6.8492550122984897</v>
      </c>
      <c r="N60" s="417">
        <v>9.1999999999999993</v>
      </c>
      <c r="O60" s="294"/>
      <c r="P60" s="12"/>
    </row>
    <row r="61" spans="1:56" ht="15" customHeight="1">
      <c r="B61" s="590"/>
      <c r="C61" s="349"/>
      <c r="D61" s="573"/>
      <c r="E61" s="574"/>
      <c r="F61" s="294"/>
      <c r="G61" s="42"/>
      <c r="H61" s="41"/>
      <c r="I61" s="42"/>
      <c r="J61" s="288" t="s">
        <v>40</v>
      </c>
      <c r="K61" s="324">
        <v>5</v>
      </c>
      <c r="L61" s="294"/>
      <c r="M61" s="294"/>
      <c r="N61" s="294"/>
      <c r="O61" s="294"/>
      <c r="P61" s="12"/>
    </row>
    <row r="62" spans="1:56" ht="15" customHeight="1">
      <c r="B62" s="590"/>
      <c r="C62" s="349"/>
      <c r="D62" s="519"/>
      <c r="E62" s="520"/>
      <c r="F62" s="294"/>
      <c r="G62" s="42"/>
      <c r="H62" s="41"/>
      <c r="I62" s="42"/>
      <c r="J62" s="289" t="s">
        <v>33</v>
      </c>
      <c r="K62" s="324"/>
      <c r="L62" s="294"/>
      <c r="M62" s="294"/>
      <c r="N62" s="294"/>
      <c r="O62" s="294"/>
      <c r="P62" s="12"/>
    </row>
    <row r="63" spans="1:56" ht="14.4">
      <c r="B63" s="590"/>
      <c r="C63" s="349"/>
      <c r="D63" s="573"/>
      <c r="E63" s="574"/>
      <c r="F63" s="294"/>
      <c r="G63" s="42"/>
      <c r="H63" s="41"/>
      <c r="I63" s="42"/>
      <c r="J63" s="290" t="s">
        <v>16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90"/>
      <c r="C64" s="349"/>
      <c r="D64" s="519"/>
      <c r="E64" s="520"/>
      <c r="F64" s="294"/>
      <c r="G64" s="42"/>
      <c r="H64" s="41"/>
      <c r="I64" s="42"/>
      <c r="J64" s="291" t="s">
        <v>15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73"/>
      <c r="E65" s="574"/>
      <c r="F65" s="294"/>
      <c r="G65" s="42"/>
      <c r="H65" s="41"/>
      <c r="I65" s="42"/>
      <c r="J65" s="291" t="s">
        <v>149</v>
      </c>
      <c r="K65" s="324"/>
      <c r="L65" s="294"/>
      <c r="M65" s="294"/>
      <c r="N65" s="294"/>
      <c r="O65" s="294"/>
      <c r="P65" s="12"/>
      <c r="BC65" s="44"/>
      <c r="BD65" s="44"/>
    </row>
    <row r="66" spans="2:57" ht="15" thickBot="1">
      <c r="B66" s="591"/>
      <c r="C66" s="350"/>
      <c r="D66" s="575"/>
      <c r="E66" s="576"/>
      <c r="F66" s="294"/>
      <c r="G66" s="42"/>
      <c r="H66" s="41"/>
      <c r="I66" s="42"/>
      <c r="J66" s="291" t="s">
        <v>148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 thickBot="1">
      <c r="B67" s="312" t="s">
        <v>139</v>
      </c>
      <c r="C67" s="313"/>
      <c r="D67" s="577">
        <f>AVERAGE(D45:E66)</f>
        <v>11.9175</v>
      </c>
      <c r="E67" s="578"/>
      <c r="F67" s="294"/>
      <c r="G67" s="42"/>
      <c r="H67" s="41"/>
      <c r="I67" s="42"/>
      <c r="J67" s="295" t="s">
        <v>134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>
      <c r="B68" s="363"/>
      <c r="C68" s="364"/>
      <c r="D68" s="365"/>
      <c r="E68" s="365"/>
      <c r="F68" s="294"/>
      <c r="G68" s="42"/>
      <c r="H68" s="41"/>
      <c r="I68" s="42"/>
      <c r="J68" s="295" t="s">
        <v>131</v>
      </c>
      <c r="K68" s="324"/>
      <c r="L68" s="294"/>
      <c r="M68" s="294"/>
      <c r="N68" s="294"/>
      <c r="O68" s="294"/>
      <c r="P68" s="12"/>
      <c r="BC68" s="44"/>
      <c r="BD68" s="44"/>
    </row>
    <row r="69" spans="2:57" ht="15.6" customHeight="1">
      <c r="B69" s="45"/>
      <c r="C69" s="11"/>
      <c r="D69" s="11"/>
      <c r="E69" s="46"/>
      <c r="F69" s="294"/>
      <c r="G69" s="42"/>
      <c r="H69" s="41"/>
      <c r="I69" s="42"/>
      <c r="J69" s="346" t="s">
        <v>130</v>
      </c>
      <c r="K69" s="324">
        <f>SUM(K59:K68)</f>
        <v>6</v>
      </c>
      <c r="L69" s="294"/>
      <c r="M69" s="294"/>
      <c r="N69" s="294"/>
      <c r="O69" s="294"/>
      <c r="P69" s="12"/>
    </row>
    <row r="70" spans="2:57" ht="20.25" customHeight="1">
      <c r="B70" s="15" t="s">
        <v>42</v>
      </c>
      <c r="C70" s="1" t="s">
        <v>43</v>
      </c>
      <c r="D70" s="1"/>
      <c r="E70" s="1"/>
      <c r="F70" s="294"/>
      <c r="G70" s="42"/>
      <c r="H70" s="41"/>
      <c r="I70" s="42"/>
      <c r="L70" s="294"/>
      <c r="P70" s="334"/>
    </row>
    <row r="71" spans="2:57" ht="15" customHeight="1" thickBot="1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/>
      <c r="O71" s="48"/>
      <c r="P71" s="49"/>
    </row>
    <row r="72" spans="2:57" ht="15" customHeight="1" thickBot="1">
      <c r="B72" s="498" t="s">
        <v>17</v>
      </c>
      <c r="C72" s="498" t="s">
        <v>44</v>
      </c>
      <c r="D72" s="510" t="s">
        <v>45</v>
      </c>
      <c r="E72" s="512" t="s">
        <v>46</v>
      </c>
      <c r="F72" s="506" t="s">
        <v>47</v>
      </c>
      <c r="G72" s="496" t="s">
        <v>48</v>
      </c>
      <c r="H72" s="498" t="s">
        <v>49</v>
      </c>
      <c r="I72" s="498" t="s">
        <v>50</v>
      </c>
      <c r="J72" s="490" t="s">
        <v>28</v>
      </c>
      <c r="K72" s="502" t="s">
        <v>51</v>
      </c>
      <c r="L72" s="504" t="s">
        <v>52</v>
      </c>
      <c r="M72" s="490" t="s">
        <v>53</v>
      </c>
      <c r="N72" s="13"/>
      <c r="O72" s="13"/>
      <c r="P72" s="50"/>
    </row>
    <row r="73" spans="2:57" ht="28.5" customHeight="1" thickTop="1" thickBot="1">
      <c r="B73" s="499"/>
      <c r="C73" s="499"/>
      <c r="D73" s="511"/>
      <c r="E73" s="513"/>
      <c r="F73" s="507"/>
      <c r="G73" s="497"/>
      <c r="H73" s="499"/>
      <c r="I73" s="499"/>
      <c r="J73" s="491"/>
      <c r="K73" s="503"/>
      <c r="L73" s="505"/>
      <c r="M73" s="491"/>
      <c r="N73" s="13"/>
      <c r="O73" s="13"/>
      <c r="P73" s="50"/>
      <c r="Q73" s="355"/>
      <c r="AB73" s="51">
        <v>43474</v>
      </c>
      <c r="AC73" s="51">
        <v>43475</v>
      </c>
      <c r="AD73" s="51">
        <v>43476</v>
      </c>
      <c r="AE73" s="51">
        <v>43477</v>
      </c>
      <c r="AF73" s="51">
        <v>43478</v>
      </c>
      <c r="AG73" s="51">
        <v>43479</v>
      </c>
      <c r="AH73" s="51">
        <v>43480</v>
      </c>
      <c r="AI73" s="51">
        <v>43481</v>
      </c>
      <c r="AJ73" s="51">
        <v>43482</v>
      </c>
      <c r="AK73" s="51">
        <v>43483</v>
      </c>
      <c r="AL73" s="51">
        <v>43484</v>
      </c>
      <c r="AM73" s="51">
        <v>43485</v>
      </c>
      <c r="AN73" s="51">
        <v>43486</v>
      </c>
      <c r="AO73" s="51">
        <v>43487</v>
      </c>
      <c r="AP73" s="51">
        <v>43488</v>
      </c>
      <c r="AQ73" s="51">
        <v>43489</v>
      </c>
      <c r="AR73" s="51">
        <v>43490</v>
      </c>
      <c r="AS73" s="51">
        <v>43491</v>
      </c>
      <c r="AT73" s="51">
        <v>43492</v>
      </c>
      <c r="AU73" s="51">
        <v>43493</v>
      </c>
      <c r="AV73" s="51">
        <v>43494</v>
      </c>
      <c r="AW73" s="51">
        <v>43495</v>
      </c>
      <c r="AX73" s="51">
        <v>43496</v>
      </c>
    </row>
    <row r="74" spans="2:57" s="54" customFormat="1" ht="53.25" customHeight="1">
      <c r="B74" s="387" t="str">
        <f>B81</f>
        <v>CARIB</v>
      </c>
      <c r="C74" s="422">
        <v>45849</v>
      </c>
      <c r="D74" s="377">
        <f>[36]July_2025!$N$3</f>
        <v>411.3</v>
      </c>
      <c r="E74" s="378"/>
      <c r="F74" s="379"/>
      <c r="G74" s="303">
        <f>[36]July_2025!$N$7</f>
        <v>393.5</v>
      </c>
      <c r="H74" s="320"/>
      <c r="I74" s="322"/>
      <c r="J74" s="392" t="s">
        <v>184</v>
      </c>
      <c r="K74" s="286">
        <f>[37]July_2025!$N$18</f>
        <v>0.69035087719298249</v>
      </c>
      <c r="L74" s="391">
        <f>(((D74+E74)-G74)/(D74+E74))*100</f>
        <v>4.3277413080476563</v>
      </c>
      <c r="M74" s="435" t="s">
        <v>176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285.8</v>
      </c>
      <c r="AC74" s="57">
        <f>[20]January_2019!M7</f>
        <v>508.1</v>
      </c>
      <c r="AD74" s="57">
        <f>[20]January_2019!N7</f>
        <v>0</v>
      </c>
      <c r="AE74" s="57">
        <f>[20]January_2019!O7</f>
        <v>0</v>
      </c>
      <c r="AF74" s="57">
        <f>[20]January_2019!P7</f>
        <v>109.56666666666666</v>
      </c>
      <c r="AG74" s="57">
        <f>[20]January_2019!Q7</f>
        <v>297.64999999999998</v>
      </c>
      <c r="AH74" s="57">
        <f>[20]January_2019!R7</f>
        <v>122.3</v>
      </c>
      <c r="AI74" s="57">
        <f>[20]January_2019!S7</f>
        <v>0</v>
      </c>
      <c r="AJ74" s="57">
        <f>[20]January_2019!T7</f>
        <v>294.7</v>
      </c>
      <c r="AK74" s="57">
        <f>[20]January_2019!U7</f>
        <v>280.5</v>
      </c>
      <c r="AL74" s="57">
        <f>[20]January_2019!V7</f>
        <v>0</v>
      </c>
      <c r="AM74" s="57">
        <f>[20]January_2019!W7</f>
        <v>0</v>
      </c>
      <c r="AN74" s="57">
        <f>[20]January_2019!X7</f>
        <v>188.25</v>
      </c>
      <c r="AO74" s="57">
        <f>[20]January_2019!Y7</f>
        <v>295.7</v>
      </c>
      <c r="AP74" s="57">
        <f>[20]January_2019!Z7</f>
        <v>257.8</v>
      </c>
      <c r="AQ74" s="57">
        <f>[20]January_2019!AA7</f>
        <v>291.2</v>
      </c>
      <c r="AR74" s="57">
        <f>[20]January_2019!AB7</f>
        <v>187</v>
      </c>
      <c r="AS74" s="57">
        <f>[20]January_2019!AC7</f>
        <v>0</v>
      </c>
      <c r="AT74" s="57">
        <f>[20]January_2019!AD7</f>
        <v>0</v>
      </c>
      <c r="AU74" s="57">
        <f>[20]January_2019!AE7</f>
        <v>485.1</v>
      </c>
      <c r="AV74" s="57">
        <f>[20]January_2019!AF7</f>
        <v>171.55</v>
      </c>
      <c r="AW74" s="57">
        <f>[20]January_2019!AG7</f>
        <v>423.8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>
      <c r="B75" s="431"/>
      <c r="C75" s="422"/>
      <c r="D75" s="377"/>
      <c r="E75" s="378"/>
      <c r="F75" s="379"/>
      <c r="G75" s="303"/>
      <c r="H75" s="320"/>
      <c r="I75" s="322"/>
      <c r="J75" s="281"/>
      <c r="K75" s="286"/>
      <c r="L75" s="314"/>
      <c r="M75" s="434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53.25" hidden="1" customHeight="1">
      <c r="B76" s="432"/>
      <c r="C76" s="422"/>
      <c r="D76" s="377"/>
      <c r="E76" s="378"/>
      <c r="F76" s="379"/>
      <c r="G76" s="303"/>
      <c r="H76" s="320"/>
      <c r="I76" s="322"/>
      <c r="J76" s="392"/>
      <c r="K76" s="286"/>
      <c r="L76" s="314" t="e">
        <f>(((D76+E76)-G76)/(D76+E76))*100</f>
        <v>#DIV/0!</v>
      </c>
      <c r="M76" s="435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customHeight="1">
      <c r="B77" s="421"/>
      <c r="C77" s="283"/>
      <c r="D77" s="377"/>
      <c r="E77" s="378"/>
      <c r="F77" s="379"/>
      <c r="G77" s="303"/>
      <c r="H77" s="320"/>
      <c r="I77" s="322"/>
      <c r="J77" s="281"/>
      <c r="K77" s="286"/>
      <c r="L77" s="314"/>
      <c r="M77" s="416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 t="s">
        <v>41</v>
      </c>
      <c r="O78" s="56"/>
      <c r="P78" s="60"/>
    </row>
    <row r="79" spans="2:57" ht="14.4" thickBot="1">
      <c r="B79" s="492" t="s">
        <v>55</v>
      </c>
      <c r="C79" s="493"/>
      <c r="D79" s="493"/>
      <c r="E79" s="493"/>
      <c r="F79" s="494"/>
      <c r="G79" s="492" t="s">
        <v>56</v>
      </c>
      <c r="H79" s="493"/>
      <c r="I79" s="493"/>
      <c r="J79" s="494"/>
      <c r="K79" s="492" t="s">
        <v>51</v>
      </c>
      <c r="L79" s="493"/>
      <c r="M79" s="493"/>
      <c r="N79" s="495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 t="s">
        <v>36</v>
      </c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>
        <f>L74</f>
        <v>4.3277413080476563</v>
      </c>
      <c r="D81" s="76">
        <v>5.2156902795999391</v>
      </c>
      <c r="E81" s="76">
        <v>6.4875955332039696</v>
      </c>
      <c r="F81" s="66">
        <v>4.8</v>
      </c>
      <c r="G81" s="65">
        <f>[36]July_2025!$N$11</f>
        <v>3.4769774878281874</v>
      </c>
      <c r="H81" s="76">
        <v>4.0796860675875228</v>
      </c>
      <c r="I81" s="76">
        <v>6.3982424408428109</v>
      </c>
      <c r="J81" s="66">
        <v>4.8</v>
      </c>
      <c r="K81" s="67">
        <f>K74</f>
        <v>0.69035087719298249</v>
      </c>
      <c r="L81" s="194">
        <v>0.82329207301825447</v>
      </c>
      <c r="M81" s="194">
        <v>0.72600201766175254</v>
      </c>
      <c r="N81" s="68">
        <v>1</v>
      </c>
      <c r="O81" s="56"/>
      <c r="P81" s="69"/>
    </row>
    <row r="82" spans="2:16">
      <c r="B82" s="33" t="s">
        <v>9</v>
      </c>
      <c r="C82" s="65"/>
      <c r="D82" s="76">
        <v>6.0094060268245952</v>
      </c>
      <c r="E82" s="76">
        <v>6.1068883301576351</v>
      </c>
      <c r="F82" s="66">
        <v>4.8</v>
      </c>
      <c r="G82" s="65"/>
      <c r="H82" s="76">
        <v>5.5705046625446659</v>
      </c>
      <c r="I82" s="76">
        <v>5.7934321300413272</v>
      </c>
      <c r="J82" s="66">
        <v>4.8</v>
      </c>
      <c r="K82" s="67"/>
      <c r="L82" s="194">
        <v>0.4341337260515305</v>
      </c>
      <c r="M82" s="194">
        <v>0.74031334400869064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11.96027372373279</v>
      </c>
      <c r="F83" s="66">
        <v>5.5</v>
      </c>
      <c r="G83" s="65"/>
      <c r="H83" s="76"/>
      <c r="I83" s="76">
        <v>13.111031100634913</v>
      </c>
      <c r="J83" s="66">
        <v>5.5</v>
      </c>
      <c r="K83" s="67"/>
      <c r="L83" s="194"/>
      <c r="M83" s="194">
        <v>0.4869398559932232</v>
      </c>
      <c r="N83" s="68">
        <v>1</v>
      </c>
      <c r="P83" s="69"/>
    </row>
    <row r="84" spans="2:16">
      <c r="B84" s="22" t="s">
        <v>33</v>
      </c>
      <c r="C84" s="65"/>
      <c r="D84" s="76"/>
      <c r="E84" s="76">
        <v>5.4214697406339898</v>
      </c>
      <c r="F84" s="66">
        <v>3.3</v>
      </c>
      <c r="G84" s="65"/>
      <c r="H84" s="76"/>
      <c r="I84" s="76">
        <v>5.263029001952213</v>
      </c>
      <c r="J84" s="66">
        <v>3.3</v>
      </c>
      <c r="K84" s="67"/>
      <c r="L84" s="194"/>
      <c r="M84" s="194">
        <v>0.6919486215538847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7.3129862357869699</v>
      </c>
      <c r="F86" s="70">
        <f>[21]May_2022!$M$43</f>
        <v>3.4878406700073312</v>
      </c>
      <c r="G86" s="282"/>
      <c r="H86" s="76"/>
      <c r="I86" s="76">
        <v>8.9862703283331644</v>
      </c>
      <c r="J86" s="66">
        <v>5.5</v>
      </c>
      <c r="K86" s="67"/>
      <c r="L86" s="194"/>
      <c r="M86" s="194">
        <v>0.59276315789473688</v>
      </c>
      <c r="N86" s="68">
        <v>1</v>
      </c>
      <c r="P86" s="69"/>
    </row>
    <row r="87" spans="2:16">
      <c r="B87" s="37" t="s">
        <v>16</v>
      </c>
      <c r="C87" s="65"/>
      <c r="D87" s="76">
        <v>2.3359073359073403</v>
      </c>
      <c r="E87" s="76">
        <v>2.980561555075584</v>
      </c>
      <c r="F87" s="66">
        <v>3.3</v>
      </c>
      <c r="G87" s="282"/>
      <c r="H87" s="76">
        <v>3.7114579368100644</v>
      </c>
      <c r="I87" s="76">
        <v>4.4931174512296872</v>
      </c>
      <c r="J87" s="66">
        <v>3.3</v>
      </c>
      <c r="K87" s="67"/>
      <c r="L87" s="194">
        <v>1.7750877192982455</v>
      </c>
      <c r="M87" s="194">
        <v>0.83077455048409399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4" t="s">
        <v>161</v>
      </c>
      <c r="C89" s="65"/>
      <c r="D89" s="76">
        <v>9.4974642692485105</v>
      </c>
      <c r="E89" s="76">
        <v>7.2653644592663174</v>
      </c>
      <c r="F89" s="66">
        <v>4.8</v>
      </c>
      <c r="G89" s="282"/>
      <c r="H89" s="76">
        <v>10.183089539936029</v>
      </c>
      <c r="I89" s="76">
        <v>8.1715311054411259</v>
      </c>
      <c r="J89" s="66">
        <v>4.8</v>
      </c>
      <c r="K89" s="67"/>
      <c r="L89" s="194">
        <v>0.68877192982456148</v>
      </c>
      <c r="M89" s="194">
        <v>0.51368421052631585</v>
      </c>
      <c r="N89" s="71">
        <v>1</v>
      </c>
      <c r="O89" s="74"/>
      <c r="P89" s="75"/>
    </row>
    <row r="90" spans="2:16">
      <c r="D90" s="76">
        <v>5.1741166354879446</v>
      </c>
      <c r="E90" s="76">
        <v>6.5303261909612855</v>
      </c>
      <c r="F90" s="341">
        <v>5.5</v>
      </c>
      <c r="H90" s="76">
        <v>4.7317720296964687</v>
      </c>
      <c r="I90" s="76">
        <v>6.7514790675075513</v>
      </c>
      <c r="J90" s="341">
        <v>5.5</v>
      </c>
      <c r="L90" s="194">
        <v>0.80355263157894719</v>
      </c>
      <c r="M90" s="194">
        <v>0.70372559433485082</v>
      </c>
      <c r="N90" s="386">
        <v>1</v>
      </c>
    </row>
    <row r="94" spans="2:16">
      <c r="F94" s="315"/>
    </row>
    <row r="95" spans="2:16">
      <c r="F95" s="341"/>
    </row>
  </sheetData>
  <mergeCells count="51">
    <mergeCell ref="M72:M73"/>
    <mergeCell ref="B79:F79"/>
    <mergeCell ref="G79:J79"/>
    <mergeCell ref="K79:N79"/>
    <mergeCell ref="G72:G73"/>
    <mergeCell ref="H72:H73"/>
    <mergeCell ref="I72:I73"/>
    <mergeCell ref="J72:J73"/>
    <mergeCell ref="K72:K73"/>
    <mergeCell ref="L72:L73"/>
    <mergeCell ref="F72:F73"/>
    <mergeCell ref="D67:E67"/>
    <mergeCell ref="B72:B73"/>
    <mergeCell ref="C72:C73"/>
    <mergeCell ref="D72:D73"/>
    <mergeCell ref="E72:E73"/>
    <mergeCell ref="B57:B66"/>
    <mergeCell ref="D57:E58"/>
    <mergeCell ref="J57:K57"/>
    <mergeCell ref="L58:N58"/>
    <mergeCell ref="D59:E60"/>
    <mergeCell ref="D61:E62"/>
    <mergeCell ref="D63:E64"/>
    <mergeCell ref="D65:E66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7:B68">
    <cfRule type="cellIs" dxfId="1889" priority="93" operator="notBetween">
      <formula>#REF!</formula>
      <formula>#REF!</formula>
    </cfRule>
  </conditionalFormatting>
  <conditionalFormatting sqref="C71">
    <cfRule type="cellIs" dxfId="1888" priority="124" stopIfTrue="1" operator="lessThan">
      <formula>96</formula>
    </cfRule>
    <cfRule type="cellIs" dxfId="1887" priority="125" stopIfTrue="1" operator="greaterThan">
      <formula>100</formula>
    </cfRule>
  </conditionalFormatting>
  <conditionalFormatting sqref="C81:C82">
    <cfRule type="cellIs" dxfId="1886" priority="71" stopIfTrue="1" operator="lessThanOrEqual">
      <formula>0</formula>
    </cfRule>
  </conditionalFormatting>
  <conditionalFormatting sqref="C81:C85">
    <cfRule type="cellIs" dxfId="1885" priority="70" stopIfTrue="1" operator="greaterThan">
      <formula>$F81</formula>
    </cfRule>
  </conditionalFormatting>
  <conditionalFormatting sqref="C82">
    <cfRule type="cellIs" dxfId="1884" priority="128" stopIfTrue="1" operator="greaterThan">
      <formula>$F81</formula>
    </cfRule>
  </conditionalFormatting>
  <conditionalFormatting sqref="C83:C86">
    <cfRule type="cellIs" dxfId="1883" priority="77" stopIfTrue="1" operator="lessThanOrEqual">
      <formula>0</formula>
    </cfRule>
  </conditionalFormatting>
  <conditionalFormatting sqref="C86">
    <cfRule type="cellIs" dxfId="1882" priority="76" stopIfTrue="1" operator="greaterThan">
      <formula>$J86</formula>
    </cfRule>
  </conditionalFormatting>
  <conditionalFormatting sqref="C92:C96">
    <cfRule type="cellIs" dxfId="1881" priority="116" stopIfTrue="1" operator="lessThanOrEqual">
      <formula>0</formula>
    </cfRule>
  </conditionalFormatting>
  <conditionalFormatting sqref="C93:C96">
    <cfRule type="cellIs" dxfId="1880" priority="115" stopIfTrue="1" operator="greaterThan">
      <formula>$F$92</formula>
    </cfRule>
  </conditionalFormatting>
  <conditionalFormatting sqref="C98">
    <cfRule type="cellIs" dxfId="1879" priority="118" stopIfTrue="1" operator="lessThanOrEqual">
      <formula>0</formula>
    </cfRule>
    <cfRule type="cellIs" dxfId="1878" priority="117" stopIfTrue="1" operator="greaterThan">
      <formula>$F$92</formula>
    </cfRule>
  </conditionalFormatting>
  <conditionalFormatting sqref="C92:D92 D94:D100">
    <cfRule type="cellIs" dxfId="1877" priority="110" stopIfTrue="1" operator="greaterThan">
      <formula>4.5</formula>
    </cfRule>
  </conditionalFormatting>
  <conditionalFormatting sqref="D67:D68">
    <cfRule type="cellIs" dxfId="1876" priority="94" operator="notBetween">
      <formula>#REF!</formula>
      <formula>#REF!</formula>
    </cfRule>
  </conditionalFormatting>
  <conditionalFormatting sqref="D81:D88">
    <cfRule type="cellIs" dxfId="1875" priority="87" stopIfTrue="1" operator="lessThanOrEqual">
      <formula>0</formula>
    </cfRule>
  </conditionalFormatting>
  <conditionalFormatting sqref="D89">
    <cfRule type="cellIs" dxfId="1874" priority="86" stopIfTrue="1" operator="lessThanOrEqual">
      <formula>0</formula>
    </cfRule>
  </conditionalFormatting>
  <conditionalFormatting sqref="D92 D94:D100">
    <cfRule type="cellIs" dxfId="1873" priority="111" stopIfTrue="1" operator="lessThanOrEqual">
      <formula>0</formula>
    </cfRule>
  </conditionalFormatting>
  <conditionalFormatting sqref="D93">
    <cfRule type="cellIs" dxfId="1872" priority="103" stopIfTrue="1" operator="lessThanOrEqual">
      <formula>0</formula>
    </cfRule>
    <cfRule type="cellIs" dxfId="1871" priority="102" stopIfTrue="1" operator="greaterThan">
      <formula>$F$92</formula>
    </cfRule>
  </conditionalFormatting>
  <conditionalFormatting sqref="D81:E90">
    <cfRule type="cellIs" dxfId="1870" priority="67" stopIfTrue="1" operator="greaterThan">
      <formula>$F81</formula>
    </cfRule>
  </conditionalFormatting>
  <conditionalFormatting sqref="D90:E90">
    <cfRule type="cellIs" dxfId="1869" priority="68" stopIfTrue="1" operator="lessThanOrEqual">
      <formula>0</formula>
    </cfRule>
  </conditionalFormatting>
  <conditionalFormatting sqref="E10:E42">
    <cfRule type="cellIs" dxfId="1868" priority="5" operator="lessThan">
      <formula>48</formula>
    </cfRule>
  </conditionalFormatting>
  <conditionalFormatting sqref="E70 E71:F71">
    <cfRule type="cellIs" dxfId="1867" priority="107" stopIfTrue="1" operator="greaterThan">
      <formula>100</formula>
    </cfRule>
  </conditionalFormatting>
  <conditionalFormatting sqref="E71">
    <cfRule type="cellIs" dxfId="1866" priority="105" stopIfTrue="1" operator="greaterThan">
      <formula>100</formula>
    </cfRule>
    <cfRule type="cellIs" dxfId="1865" priority="104" stopIfTrue="1" operator="lessThan">
      <formula>96.8</formula>
    </cfRule>
  </conditionalFormatting>
  <conditionalFormatting sqref="E81:E89">
    <cfRule type="cellIs" dxfId="1864" priority="81" stopIfTrue="1" operator="lessThanOrEqual">
      <formula>0</formula>
    </cfRule>
  </conditionalFormatting>
  <conditionalFormatting sqref="E92:E100">
    <cfRule type="cellIs" dxfId="1863" priority="96" stopIfTrue="1" operator="greaterThan">
      <formula>4.5</formula>
    </cfRule>
    <cfRule type="cellIs" dxfId="1862" priority="97" stopIfTrue="1" operator="lessThanOrEqual">
      <formula>0</formula>
    </cfRule>
  </conditionalFormatting>
  <conditionalFormatting sqref="E71:F71 E70">
    <cfRule type="cellIs" dxfId="1861" priority="106" stopIfTrue="1" operator="lessThan">
      <formula>96.5</formula>
    </cfRule>
  </conditionalFormatting>
  <conditionalFormatting sqref="F10:F42">
    <cfRule type="cellIs" dxfId="1860" priority="6" operator="greaterThan">
      <formula>60</formula>
    </cfRule>
  </conditionalFormatting>
  <conditionalFormatting sqref="F71">
    <cfRule type="cellIs" dxfId="1859" priority="122" stopIfTrue="1" operator="lessThan">
      <formula>96.8</formula>
    </cfRule>
    <cfRule type="cellIs" dxfId="1858" priority="123" stopIfTrue="1" operator="greaterThan">
      <formula>100</formula>
    </cfRule>
  </conditionalFormatting>
  <conditionalFormatting sqref="F90">
    <cfRule type="cellIs" dxfId="1857" priority="83" stopIfTrue="1" operator="lessThanOrEqual">
      <formula>0</formula>
    </cfRule>
    <cfRule type="cellIs" dxfId="1856" priority="82" stopIfTrue="1" operator="greaterThan">
      <formula>$F90</formula>
    </cfRule>
  </conditionalFormatting>
  <conditionalFormatting sqref="F95">
    <cfRule type="cellIs" dxfId="1855" priority="36" stopIfTrue="1" operator="greaterThan">
      <formula>$F95</formula>
    </cfRule>
    <cfRule type="cellIs" dxfId="1854" priority="37" stopIfTrue="1" operator="lessThanOrEqual">
      <formula>0</formula>
    </cfRule>
  </conditionalFormatting>
  <conditionalFormatting sqref="G18:G27 G30">
    <cfRule type="expression" dxfId="1853" priority="15">
      <formula>IF(+(IF(G18&lt;S18,0,IF(G18&gt;T18,0,1)))=0,1)</formula>
    </cfRule>
  </conditionalFormatting>
  <conditionalFormatting sqref="G81:G82 C87:C89">
    <cfRule type="cellIs" dxfId="1852" priority="89" stopIfTrue="1" operator="lessThanOrEqual">
      <formula>0</formula>
    </cfRule>
    <cfRule type="cellIs" dxfId="1851" priority="88" stopIfTrue="1" operator="greaterThan">
      <formula>$F81</formula>
    </cfRule>
  </conditionalFormatting>
  <conditionalFormatting sqref="G81:G82">
    <cfRule type="cellIs" dxfId="1850" priority="72" stopIfTrue="1" operator="greaterThan">
      <formula>$F81</formula>
    </cfRule>
    <cfRule type="cellIs" dxfId="1849" priority="73" stopIfTrue="1" operator="lessThanOrEqual">
      <formula>0</formula>
    </cfRule>
  </conditionalFormatting>
  <conditionalFormatting sqref="G83">
    <cfRule type="cellIs" dxfId="1848" priority="127" stopIfTrue="1" operator="lessThanOrEqual">
      <formula>0</formula>
    </cfRule>
    <cfRule type="cellIs" dxfId="1847" priority="126" stopIfTrue="1" operator="greaterThan">
      <formula>$F82</formula>
    </cfRule>
  </conditionalFormatting>
  <conditionalFormatting sqref="G84">
    <cfRule type="cellIs" dxfId="1846" priority="85" stopIfTrue="1" operator="lessThanOrEqual">
      <formula>0</formula>
    </cfRule>
    <cfRule type="cellIs" dxfId="1845" priority="84" stopIfTrue="1" operator="greaterThan">
      <formula>$F84</formula>
    </cfRule>
  </conditionalFormatting>
  <conditionalFormatting sqref="G85:G89">
    <cfRule type="cellIs" dxfId="1844" priority="91" stopIfTrue="1" operator="lessThanOrEqual">
      <formula>0</formula>
    </cfRule>
    <cfRule type="cellIs" dxfId="1843" priority="90" stopIfTrue="1" operator="greaterThan">
      <formula>$J85</formula>
    </cfRule>
  </conditionalFormatting>
  <conditionalFormatting sqref="G94:G99 C97 C99">
    <cfRule type="cellIs" dxfId="1842" priority="119" stopIfTrue="1" operator="greaterThan">
      <formula>4.5</formula>
    </cfRule>
    <cfRule type="cellIs" dxfId="1841" priority="120" stopIfTrue="1" operator="lessThanOrEqual">
      <formula>0</formula>
    </cfRule>
  </conditionalFormatting>
  <conditionalFormatting sqref="G10:H17">
    <cfRule type="expression" dxfId="1840" priority="17">
      <formula>IF(+(IF(G10&lt;#REF!,0,IF(G10&gt;#REF!,0,1)))=0,1)</formula>
    </cfRule>
  </conditionalFormatting>
  <conditionalFormatting sqref="G28:H29">
    <cfRule type="expression" dxfId="1839" priority="1">
      <formula>IF(+(IF(G28&lt;#REF!,0,IF(G28&gt;#REF!,0,1)))=0,1)</formula>
    </cfRule>
  </conditionalFormatting>
  <conditionalFormatting sqref="G31:H42">
    <cfRule type="expression" dxfId="1838" priority="21">
      <formula>IF(+(IF(G31&lt;#REF!,0,IF(G31&gt;#REF!,0,1)))=0,1)</formula>
    </cfRule>
  </conditionalFormatting>
  <conditionalFormatting sqref="G93:H93">
    <cfRule type="cellIs" dxfId="1837" priority="100" stopIfTrue="1" operator="greaterThan">
      <formula>$F$92</formula>
    </cfRule>
    <cfRule type="cellIs" dxfId="1836" priority="101" stopIfTrue="1" operator="lessThanOrEqual">
      <formula>0</formula>
    </cfRule>
  </conditionalFormatting>
  <conditionalFormatting sqref="H18:H27 H30">
    <cfRule type="expression" dxfId="1835" priority="16">
      <formula>IF(+(IF(H18&lt;#REF!,0,IF(H18&gt;#REF!,0,1)))=0,1)</formula>
    </cfRule>
  </conditionalFormatting>
  <conditionalFormatting sqref="H56:H70">
    <cfRule type="cellIs" dxfId="1834" priority="98" stopIfTrue="1" operator="greaterThan">
      <formula>0</formula>
    </cfRule>
  </conditionalFormatting>
  <conditionalFormatting sqref="H74:H76">
    <cfRule type="cellIs" dxfId="1833" priority="23" stopIfTrue="1" operator="lessThanOrEqual">
      <formula>0</formula>
    </cfRule>
    <cfRule type="cellIs" dxfId="1832" priority="32" stopIfTrue="1" operator="greaterThan">
      <formula>$F$43</formula>
    </cfRule>
    <cfRule type="cellIs" dxfId="1831" priority="33" stopIfTrue="1" operator="lessThanOrEqual">
      <formula>0</formula>
    </cfRule>
    <cfRule type="cellIs" dxfId="1830" priority="34" stopIfTrue="1" operator="greaterThan">
      <formula>$F$41</formula>
    </cfRule>
    <cfRule type="cellIs" dxfId="1829" priority="35" stopIfTrue="1" operator="lessThanOrEqual">
      <formula>0</formula>
    </cfRule>
    <cfRule type="cellIs" dxfId="1828" priority="24" stopIfTrue="1" operator="greaterThan">
      <formula>$F$40</formula>
    </cfRule>
  </conditionalFormatting>
  <conditionalFormatting sqref="H77">
    <cfRule type="cellIs" dxfId="1827" priority="53" stopIfTrue="1" operator="lessThanOrEqual">
      <formula>0</formula>
    </cfRule>
    <cfRule type="cellIs" dxfId="1826" priority="52" stopIfTrue="1" operator="greaterThan">
      <formula>$F$56</formula>
    </cfRule>
    <cfRule type="cellIs" dxfId="1825" priority="51" stopIfTrue="1" operator="lessThanOrEqual">
      <formula>0</formula>
    </cfRule>
    <cfRule type="cellIs" dxfId="1824" priority="50" stopIfTrue="1" operator="greaterThan">
      <formula>$F$58</formula>
    </cfRule>
    <cfRule type="cellIs" dxfId="1823" priority="41" stopIfTrue="1" operator="lessThanOrEqual">
      <formula>0</formula>
    </cfRule>
    <cfRule type="cellIs" dxfId="1822" priority="42" stopIfTrue="1" operator="greaterThan">
      <formula>$F$55</formula>
    </cfRule>
  </conditionalFormatting>
  <conditionalFormatting sqref="H81:H88">
    <cfRule type="cellIs" dxfId="1821" priority="74" stopIfTrue="1" operator="greaterThan">
      <formula>$J81</formula>
    </cfRule>
    <cfRule type="cellIs" dxfId="1820" priority="75" stopIfTrue="1" operator="lessThanOrEqual">
      <formula>0</formula>
    </cfRule>
  </conditionalFormatting>
  <conditionalFormatting sqref="H89">
    <cfRule type="cellIs" dxfId="1819" priority="78" operator="greaterThan">
      <formula>5.3</formula>
    </cfRule>
  </conditionalFormatting>
  <conditionalFormatting sqref="H92 H94:H100">
    <cfRule type="cellIs" dxfId="1818" priority="112" stopIfTrue="1" operator="greaterThan">
      <formula>4.5</formula>
    </cfRule>
    <cfRule type="cellIs" dxfId="1817" priority="113" stopIfTrue="1" operator="lessThanOrEqual">
      <formula>0</formula>
    </cfRule>
  </conditionalFormatting>
  <conditionalFormatting sqref="H74:I76">
    <cfRule type="cellIs" dxfId="1816" priority="25" stopIfTrue="1" operator="lessThanOrEqual">
      <formula>0</formula>
    </cfRule>
    <cfRule type="cellIs" dxfId="1815" priority="22" stopIfTrue="1" operator="greaterThan">
      <formula>$F$42</formula>
    </cfRule>
  </conditionalFormatting>
  <conditionalFormatting sqref="H77:I77">
    <cfRule type="cellIs" dxfId="1814" priority="40" stopIfTrue="1" operator="greaterThan">
      <formula>$F$57</formula>
    </cfRule>
    <cfRule type="cellIs" dxfId="1813" priority="43" stopIfTrue="1" operator="lessThanOrEqual">
      <formula>0</formula>
    </cfRule>
  </conditionalFormatting>
  <conditionalFormatting sqref="H90:I90">
    <cfRule type="cellIs" dxfId="1812" priority="66" stopIfTrue="1" operator="lessThanOrEqual">
      <formula>0</formula>
    </cfRule>
    <cfRule type="cellIs" dxfId="1811" priority="65" stopIfTrue="1" operator="greaterThan">
      <formula>$J90</formula>
    </cfRule>
  </conditionalFormatting>
  <conditionalFormatting sqref="I74:I76">
    <cfRule type="cellIs" dxfId="1810" priority="26" stopIfTrue="1" operator="greaterThan">
      <formula>$F$40</formula>
    </cfRule>
    <cfRule type="cellIs" dxfId="1809" priority="27" stopIfTrue="1" operator="lessThanOrEqual">
      <formula>0</formula>
    </cfRule>
    <cfRule type="cellIs" dxfId="1808" priority="28" stopIfTrue="1" operator="greaterThan">
      <formula>$F$42</formula>
    </cfRule>
    <cfRule type="cellIs" dxfId="1807" priority="30" stopIfTrue="1" operator="greaterThan">
      <formula>$F$40</formula>
    </cfRule>
    <cfRule type="cellIs" dxfId="1806" priority="29" stopIfTrue="1" operator="lessThanOrEqual">
      <formula>0</formula>
    </cfRule>
    <cfRule type="cellIs" dxfId="1805" priority="31" stopIfTrue="1" operator="lessThanOrEqual">
      <formula>0</formula>
    </cfRule>
  </conditionalFormatting>
  <conditionalFormatting sqref="I77">
    <cfRule type="cellIs" dxfId="1804" priority="49" stopIfTrue="1" operator="lessThanOrEqual">
      <formula>0</formula>
    </cfRule>
    <cfRule type="cellIs" dxfId="1803" priority="45" stopIfTrue="1" operator="lessThanOrEqual">
      <formula>0</formula>
    </cfRule>
    <cfRule type="cellIs" dxfId="1802" priority="44" stopIfTrue="1" operator="greaterThan">
      <formula>$F$55</formula>
    </cfRule>
    <cfRule type="cellIs" dxfId="1801" priority="46" stopIfTrue="1" operator="greaterThan">
      <formula>$F$57</formula>
    </cfRule>
    <cfRule type="cellIs" dxfId="1800" priority="47" stopIfTrue="1" operator="lessThanOrEqual">
      <formula>0</formula>
    </cfRule>
    <cfRule type="cellIs" dxfId="1799" priority="48" stopIfTrue="1" operator="greaterThan">
      <formula>$F$55</formula>
    </cfRule>
  </conditionalFormatting>
  <conditionalFormatting sqref="I81:I89">
    <cfRule type="cellIs" dxfId="1798" priority="79" stopIfTrue="1" operator="greaterThan">
      <formula>$J81</formula>
    </cfRule>
    <cfRule type="cellIs" dxfId="1797" priority="80" stopIfTrue="1" operator="lessThanOrEqual">
      <formula>0</formula>
    </cfRule>
  </conditionalFormatting>
  <conditionalFormatting sqref="I92:I100">
    <cfRule type="cellIs" dxfId="1796" priority="109" stopIfTrue="1" operator="lessThanOrEqual">
      <formula>0</formula>
    </cfRule>
    <cfRule type="cellIs" dxfId="1795" priority="108" stopIfTrue="1" operator="greaterThan">
      <formula>4.5</formula>
    </cfRule>
  </conditionalFormatting>
  <conditionalFormatting sqref="I10:J42">
    <cfRule type="cellIs" dxfId="1794" priority="14" operator="lessThan">
      <formula>97.9</formula>
    </cfRule>
  </conditionalFormatting>
  <conditionalFormatting sqref="J45:J47">
    <cfRule type="cellIs" dxfId="1793" priority="56" stopIfTrue="1" operator="greaterThan">
      <formula>100</formula>
    </cfRule>
    <cfRule type="cellIs" dxfId="1792" priority="57" operator="lessThan">
      <formula>98</formula>
    </cfRule>
    <cfRule type="cellIs" dxfId="1791" priority="55" stopIfTrue="1" operator="lessThan">
      <formula>96.8</formula>
    </cfRule>
  </conditionalFormatting>
  <conditionalFormatting sqref="J45:J49">
    <cfRule type="cellIs" dxfId="1790" priority="54" operator="lessThan">
      <formula>97.4</formula>
    </cfRule>
  </conditionalFormatting>
  <conditionalFormatting sqref="J50">
    <cfRule type="cellIs" dxfId="1789" priority="58" operator="lessThan">
      <formula>98</formula>
    </cfRule>
  </conditionalFormatting>
  <conditionalFormatting sqref="J52:J53">
    <cfRule type="cellIs" dxfId="1788" priority="60" stopIfTrue="1" operator="greaterThan">
      <formula>100</formula>
    </cfRule>
    <cfRule type="cellIs" dxfId="1787" priority="59" stopIfTrue="1" operator="lessThan">
      <formula>96.8</formula>
    </cfRule>
  </conditionalFormatting>
  <conditionalFormatting sqref="J52:J54">
    <cfRule type="cellIs" dxfId="1786" priority="61" operator="lessThan">
      <formula>98</formula>
    </cfRule>
  </conditionalFormatting>
  <conditionalFormatting sqref="J90">
    <cfRule type="cellIs" dxfId="1785" priority="62" stopIfTrue="1" operator="greaterThan">
      <formula>$F90</formula>
    </cfRule>
    <cfRule type="cellIs" dxfId="1784" priority="63" stopIfTrue="1" operator="lessThanOrEqual">
      <formula>0</formula>
    </cfRule>
  </conditionalFormatting>
  <conditionalFormatting sqref="K10:K42">
    <cfRule type="cellIs" dxfId="1783" priority="10" operator="lessThan">
      <formula>4</formula>
    </cfRule>
    <cfRule type="cellIs" dxfId="1782" priority="9" operator="greaterThan">
      <formula>6</formula>
    </cfRule>
    <cfRule type="cellIs" dxfId="1781" priority="13" operator="greaterThan">
      <formula>6.4</formula>
    </cfRule>
  </conditionalFormatting>
  <conditionalFormatting sqref="K74:K77">
    <cfRule type="cellIs" dxfId="1780" priority="38" stopIfTrue="1" operator="lessThan">
      <formula>100%</formula>
    </cfRule>
  </conditionalFormatting>
  <conditionalFormatting sqref="K92:K97">
    <cfRule type="cellIs" dxfId="1779" priority="114" stopIfTrue="1" operator="lessThan">
      <formula>100%</formula>
    </cfRule>
  </conditionalFormatting>
  <conditionalFormatting sqref="K99:K100">
    <cfRule type="cellIs" dxfId="1778" priority="121" stopIfTrue="1" operator="lessThan">
      <formula>100%</formula>
    </cfRule>
  </conditionalFormatting>
  <conditionalFormatting sqref="K81:N84 L85:N85">
    <cfRule type="cellIs" dxfId="1777" priority="92" stopIfTrue="1" operator="lessThan">
      <formula>100%</formula>
    </cfRule>
  </conditionalFormatting>
  <conditionalFormatting sqref="K86:N89 L90:N90">
    <cfRule type="cellIs" dxfId="1776" priority="64" stopIfTrue="1" operator="lessThan">
      <formula>100%</formula>
    </cfRule>
  </conditionalFormatting>
  <conditionalFormatting sqref="L18:L27 L30:L42">
    <cfRule type="cellIs" dxfId="1775" priority="11" operator="between">
      <formula>61</formula>
      <formula>65</formula>
    </cfRule>
    <cfRule type="cellIs" dxfId="1774" priority="12" operator="greaterThan">
      <formula>65</formula>
    </cfRule>
  </conditionalFormatting>
  <conditionalFormatting sqref="L10:M17">
    <cfRule type="cellIs" dxfId="1773" priority="19" operator="greaterThan">
      <formula>65</formula>
    </cfRule>
    <cfRule type="cellIs" dxfId="1772" priority="18" operator="between">
      <formula>61</formula>
      <formula>65</formula>
    </cfRule>
  </conditionalFormatting>
  <conditionalFormatting sqref="L28:M29">
    <cfRule type="cellIs" dxfId="1771" priority="3" operator="greaterThan">
      <formula>65</formula>
    </cfRule>
    <cfRule type="cellIs" dxfId="1770" priority="2" operator="between">
      <formula>61</formula>
      <formula>65</formula>
    </cfRule>
  </conditionalFormatting>
  <conditionalFormatting sqref="L45:M56">
    <cfRule type="cellIs" dxfId="1769" priority="69" operator="lessThan">
      <formula>98</formula>
    </cfRule>
  </conditionalFormatting>
  <conditionalFormatting sqref="L60:N60">
    <cfRule type="cellIs" dxfId="1768" priority="39" operator="notEqual">
      <formula>#REF!</formula>
    </cfRule>
  </conditionalFormatting>
  <conditionalFormatting sqref="L92:N100">
    <cfRule type="cellIs" dxfId="1767" priority="99" stopIfTrue="1" operator="lessThan">
      <formula>100%</formula>
    </cfRule>
  </conditionalFormatting>
  <conditionalFormatting sqref="M10:M17">
    <cfRule type="expression" dxfId="1766" priority="20">
      <formula>IF(+(IF(M10&lt;U10,0,IF(M10&gt;V10,0,1)))=0,1)</formula>
    </cfRule>
  </conditionalFormatting>
  <conditionalFormatting sqref="M18:M42">
    <cfRule type="expression" dxfId="1765" priority="4">
      <formula>IF(+(IF(M18&lt;U18,0,IF(M18&gt;V18,0,1)))=0,1)</formula>
    </cfRule>
  </conditionalFormatting>
  <conditionalFormatting sqref="N10:N42">
    <cfRule type="expression" dxfId="1764" priority="7">
      <formula>IF(+(IF(N10&lt;W10,0,IF(N10&gt;X10,0,1)))=0,1)</formula>
    </cfRule>
  </conditionalFormatting>
  <conditionalFormatting sqref="P6">
    <cfRule type="cellIs" dxfId="1763" priority="95" operator="greaterThanOrEqual">
      <formula>19</formula>
    </cfRule>
  </conditionalFormatting>
  <dataValidations count="1">
    <dataValidation type="list" allowBlank="1" showInputMessage="1" showErrorMessage="1" sqref="R8" xr:uid="{DA9499DA-8A38-4A69-9C2D-E036C4C01A8F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A9DC-0469-493D-AD98-07655953A487}">
  <sheetPr>
    <pageSetUpPr fitToPage="1"/>
  </sheetPr>
  <dimension ref="A1:BE95"/>
  <sheetViews>
    <sheetView topLeftCell="B14" zoomScale="70" zoomScaleNormal="70" workbookViewId="0">
      <selection activeCell="B10" sqref="B10:O10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45853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[24]Brewhouse!$A304</f>
        <v>ST284</v>
      </c>
      <c r="D10" s="279">
        <f>[24]Brewhouse!$AD304</f>
        <v>44.8</v>
      </c>
      <c r="E10" s="279">
        <f>[24]Brewhouse!$AG304</f>
        <v>43.9</v>
      </c>
      <c r="F10" s="278">
        <f>[24]Brewhouse!$V304</f>
        <v>49</v>
      </c>
      <c r="G10" s="279">
        <f>[24]Brewhouse!$AE304</f>
        <v>11.9</v>
      </c>
      <c r="H10" s="396">
        <v>12</v>
      </c>
      <c r="I10" s="427">
        <f>[24]Brewhouse!$AS304</f>
        <v>93.690612514496564</v>
      </c>
      <c r="J10" s="427">
        <f>[24]Brewhouse!$AT304</f>
        <v>94.272799164673529</v>
      </c>
      <c r="K10" s="281">
        <f>[24]Brewhouse!$Q304</f>
        <v>13.83399209486166</v>
      </c>
      <c r="L10" s="276">
        <f>[24]Brewhouse!$P304</f>
        <v>72</v>
      </c>
      <c r="M10" s="374">
        <f>[24]Brewhouse!$U304-[24]Brewhouse!$T304</f>
        <v>0.1152777777777777</v>
      </c>
      <c r="N10" s="370">
        <f>[24]Brewhouse!$AW304</f>
        <v>0.26874999999999993</v>
      </c>
      <c r="O10" s="428" t="str">
        <f>[24]Brewhouse!$AV304</f>
        <v>R.Sookram</v>
      </c>
      <c r="P10" s="419"/>
      <c r="R10" s="277" t="str">
        <f t="shared" ref="R10:R44" si="0">B10</f>
        <v>STAG</v>
      </c>
      <c r="S10" s="296">
        <f t="shared" ref="S10:S44" si="1">VLOOKUP($B10,$R$3:$X$9,2,FALSE)</f>
        <v>11.6</v>
      </c>
      <c r="T10" s="296">
        <f t="shared" ref="T10:T44" si="2">VLOOKUP($B10,$R$3:$X$9,3,FALSE)</f>
        <v>12</v>
      </c>
      <c r="U10" s="297">
        <f t="shared" ref="U10:U44" si="3">VLOOKUP($B10,$R$3:$X$9,4,FALSE)</f>
        <v>0</v>
      </c>
      <c r="V10" s="297">
        <f t="shared" ref="V10:V44" si="4">VLOOKUP($B10,$R$3:$X$9,5,FALSE)</f>
        <v>0.118055555555556</v>
      </c>
      <c r="W10" s="297">
        <f t="shared" ref="W10:W44" si="5">VLOOKUP($B10,$R$3:$X$9,6,FALSE)</f>
        <v>0.22569444444444445</v>
      </c>
      <c r="X10" s="297">
        <f t="shared" ref="X10:X44" si="6">VLOOKUP($B10,$R$3:$X$9,7,FALSE)</f>
        <v>0.2638888888888889</v>
      </c>
      <c r="Y10" s="297">
        <f t="shared" ref="Y10:Y44" si="7">VLOOKUP($B10,$R$3:$Z$9,8,FALSE)</f>
        <v>0</v>
      </c>
      <c r="Z10" s="296">
        <f t="shared" ref="Z10:Z44" si="8">VLOOKUP($B10,$R$3:$Z$9,9,FALSE)</f>
        <v>60</v>
      </c>
    </row>
    <row r="11" spans="2:29" ht="15.75" customHeight="1">
      <c r="B11" s="34"/>
      <c r="C11" s="366"/>
      <c r="D11" s="279"/>
      <c r="E11" s="279"/>
      <c r="F11" s="278"/>
      <c r="G11" s="279"/>
      <c r="H11" s="396"/>
      <c r="I11" s="427"/>
      <c r="J11" s="427"/>
      <c r="K11" s="436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customHeight="1">
      <c r="B12" s="22" t="s">
        <v>33</v>
      </c>
      <c r="C12" s="366" t="str">
        <f>[26]Brewhouse!A55</f>
        <v>VM045</v>
      </c>
      <c r="D12" s="279">
        <f>[26]Brewhouse!AE55</f>
        <v>52.2</v>
      </c>
      <c r="E12" s="279">
        <f>[26]Brewhouse!AJ55</f>
        <v>46.9</v>
      </c>
      <c r="F12" s="278">
        <f>[26]Brewhouse!X55</f>
        <v>81</v>
      </c>
      <c r="G12" s="279">
        <f>[26]Brewhouse!AH55</f>
        <v>14.5</v>
      </c>
      <c r="H12" s="367"/>
      <c r="I12" s="368">
        <f>[26]Brewhouse!AV55</f>
        <v>96.86423362208302</v>
      </c>
      <c r="J12" s="368">
        <f>[26]Brewhouse!AW55</f>
        <v>97.017148382158013</v>
      </c>
      <c r="K12" s="281">
        <f>[26]Brewhouse!S55</f>
        <v>10.268199233716475</v>
      </c>
      <c r="L12" s="276">
        <f>[26]Brewhouse!R55</f>
        <v>60</v>
      </c>
      <c r="M12" s="374">
        <f>[26]Brewhouse!$W55-[26]Brewhouse!$V55</f>
        <v>0.1333333333333333</v>
      </c>
      <c r="N12" s="370">
        <f>[26]Brewhouse!AB55</f>
        <v>0.2805555555555555</v>
      </c>
      <c r="O12" s="371" t="str">
        <f>[26]Brewhouse!$AZ55</f>
        <v>K. Benjamin</v>
      </c>
      <c r="P12" s="419"/>
      <c r="R12" s="277" t="str">
        <f t="shared" si="0"/>
        <v>VITAMALT</v>
      </c>
      <c r="S12" s="296">
        <f t="shared" si="1"/>
        <v>14.4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.75" customHeight="1">
      <c r="B13" s="22" t="s">
        <v>33</v>
      </c>
      <c r="C13" s="366" t="str">
        <f>[26]Brewhouse!A56</f>
        <v>VM046</v>
      </c>
      <c r="D13" s="279">
        <f>[26]Brewhouse!AE56</f>
        <v>52.2</v>
      </c>
      <c r="E13" s="279">
        <f>[26]Brewhouse!AJ56</f>
        <v>48.6</v>
      </c>
      <c r="F13" s="278">
        <f>[26]Brewhouse!X56</f>
        <v>77</v>
      </c>
      <c r="G13" s="279">
        <f>[26]Brewhouse!AH56</f>
        <v>14.3</v>
      </c>
      <c r="H13" s="396">
        <v>14.3</v>
      </c>
      <c r="I13" s="368">
        <f>[26]Brewhouse!AV56</f>
        <v>98.765400463350318</v>
      </c>
      <c r="J13" s="368">
        <f>[26]Brewhouse!AW56</f>
        <v>98.921977710357453</v>
      </c>
      <c r="K13" s="281">
        <f>[26]Brewhouse!S56</f>
        <v>9.6934865900383187</v>
      </c>
      <c r="L13" s="276">
        <f>[26]Brewhouse!R56</f>
        <v>59</v>
      </c>
      <c r="M13" s="374">
        <f>[26]Brewhouse!$W56-[26]Brewhouse!$V56</f>
        <v>0.1333333333333333</v>
      </c>
      <c r="N13" s="370">
        <f>[26]Brewhouse!AB56</f>
        <v>0.26041666666666663</v>
      </c>
      <c r="O13" s="371" t="str">
        <f>[26]Brewhouse!$AZ56</f>
        <v>K. Benjamin</v>
      </c>
      <c r="P13" s="419"/>
      <c r="R13" s="277" t="str">
        <f t="shared" si="0"/>
        <v>VITAMALT</v>
      </c>
      <c r="S13" s="296">
        <f t="shared" si="1"/>
        <v>14.4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.75" customHeight="1">
      <c r="B14" s="22" t="s">
        <v>33</v>
      </c>
      <c r="C14" s="366" t="str">
        <f>[26]Brewhouse!A57</f>
        <v>VM047</v>
      </c>
      <c r="D14" s="279">
        <f>[26]Brewhouse!AE57</f>
        <v>52.5</v>
      </c>
      <c r="E14" s="279">
        <f>[26]Brewhouse!AJ57</f>
        <v>49.1</v>
      </c>
      <c r="F14" s="278">
        <f>[26]Brewhouse!X57</f>
        <v>88</v>
      </c>
      <c r="G14" s="279">
        <f>[26]Brewhouse!AH57</f>
        <v>14.2</v>
      </c>
      <c r="H14" s="396">
        <v>14.2</v>
      </c>
      <c r="I14" s="368">
        <f>[26]Brewhouse!AV57</f>
        <v>99.054620267666863</v>
      </c>
      <c r="J14" s="368">
        <f>[26]Brewhouse!AW57</f>
        <v>99.21165602788335</v>
      </c>
      <c r="K14" s="281">
        <f>[26]Brewhouse!S57</f>
        <v>9.4476190476190354</v>
      </c>
      <c r="L14" s="276">
        <f>[26]Brewhouse!R57</f>
        <v>61</v>
      </c>
      <c r="M14" s="374">
        <f>[26]Brewhouse!$W57-[26]Brewhouse!$V57</f>
        <v>0.13888888888888884</v>
      </c>
      <c r="N14" s="370">
        <f>[26]Brewhouse!AB57</f>
        <v>0.26944444444444449</v>
      </c>
      <c r="O14" s="371" t="str">
        <f>[26]Brewhouse!$AZ57</f>
        <v>K. Benjamin</v>
      </c>
      <c r="P14" s="419"/>
      <c r="R14" s="277" t="str">
        <f t="shared" si="0"/>
        <v>VITAMALT</v>
      </c>
      <c r="S14" s="296">
        <f t="shared" si="1"/>
        <v>14.4</v>
      </c>
      <c r="T14" s="296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296">
        <f t="shared" si="8"/>
        <v>75</v>
      </c>
    </row>
    <row r="15" spans="2:29" ht="15.75" customHeight="1">
      <c r="B15" s="22" t="s">
        <v>33</v>
      </c>
      <c r="C15" s="366" t="str">
        <f>[26]Brewhouse!A58</f>
        <v>VM048</v>
      </c>
      <c r="D15" s="279">
        <f>[26]Brewhouse!AE58</f>
        <v>51.8</v>
      </c>
      <c r="E15" s="279">
        <f>[26]Brewhouse!AJ58</f>
        <v>49.3</v>
      </c>
      <c r="F15" s="278">
        <f>[26]Brewhouse!X58</f>
        <v>88</v>
      </c>
      <c r="G15" s="279">
        <f>[26]Brewhouse!AH58</f>
        <v>14.2</v>
      </c>
      <c r="H15" s="396">
        <v>14.2</v>
      </c>
      <c r="I15" s="368">
        <f>[26]Brewhouse!AV58</f>
        <v>99.45810140928667</v>
      </c>
      <c r="J15" s="368">
        <f>[26]Brewhouse!AW58</f>
        <v>99.615776826367593</v>
      </c>
      <c r="K15" s="281">
        <f>[26]Brewhouse!S58</f>
        <v>10.540540540540528</v>
      </c>
      <c r="L15" s="276">
        <f>[26]Brewhouse!R58</f>
        <v>61</v>
      </c>
      <c r="M15" s="374">
        <f>[26]Brewhouse!$W58-[26]Brewhouse!$V58</f>
        <v>0.14583333333333326</v>
      </c>
      <c r="N15" s="370">
        <f>[26]Brewhouse!AB58</f>
        <v>0.2763888888888888</v>
      </c>
      <c r="O15" s="371" t="str">
        <f>[26]Brewhouse!$AZ58</f>
        <v>K. Benjamin</v>
      </c>
      <c r="P15" s="419"/>
      <c r="R15" s="277" t="str">
        <f t="shared" si="0"/>
        <v>VITAMALT</v>
      </c>
      <c r="S15" s="296">
        <f t="shared" si="1"/>
        <v>14.4</v>
      </c>
      <c r="T15" s="296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296">
        <f t="shared" si="8"/>
        <v>75</v>
      </c>
    </row>
    <row r="16" spans="2:29" ht="15.75" customHeight="1">
      <c r="B16" s="22" t="s">
        <v>33</v>
      </c>
      <c r="C16" s="366" t="str">
        <f>[26]Brewhouse!A59</f>
        <v>VM049</v>
      </c>
      <c r="D16" s="279">
        <f>[26]Brewhouse!AE59</f>
        <v>52</v>
      </c>
      <c r="E16" s="279">
        <f>[26]Brewhouse!AJ59</f>
        <v>48.6</v>
      </c>
      <c r="F16" s="278">
        <f>[26]Brewhouse!X59</f>
        <v>85</v>
      </c>
      <c r="G16" s="279">
        <f>[26]Brewhouse!AH59</f>
        <v>14.4</v>
      </c>
      <c r="H16" s="396">
        <v>14.4</v>
      </c>
      <c r="I16" s="368">
        <f>[26]Brewhouse!AV59</f>
        <v>99.445738552634495</v>
      </c>
      <c r="J16" s="368">
        <f>[26]Brewhouse!AW59</f>
        <v>99.6040587446073</v>
      </c>
      <c r="K16" s="281">
        <f>[26]Brewhouse!S59</f>
        <v>10.692307692307697</v>
      </c>
      <c r="L16" s="276">
        <f>[26]Brewhouse!R59</f>
        <v>61</v>
      </c>
      <c r="M16" s="374">
        <f>[26]Brewhouse!$W59-[26]Brewhouse!$V59</f>
        <v>0.14722222222222225</v>
      </c>
      <c r="N16" s="370">
        <f>[26]Brewhouse!AB59</f>
        <v>0.28611111111111109</v>
      </c>
      <c r="O16" s="371" t="str">
        <f>[26]Brewhouse!$AZ59</f>
        <v>R.Regis</v>
      </c>
      <c r="P16" s="419"/>
      <c r="R16" s="277" t="str">
        <f t="shared" si="0"/>
        <v>VITAMALT</v>
      </c>
      <c r="S16" s="296">
        <f t="shared" si="1"/>
        <v>14.4</v>
      </c>
      <c r="T16" s="296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296">
        <f t="shared" si="8"/>
        <v>75</v>
      </c>
    </row>
    <row r="17" spans="2:26" ht="15.75" customHeight="1">
      <c r="B17" s="22" t="s">
        <v>33</v>
      </c>
      <c r="C17" s="366" t="str">
        <f>[26]Brewhouse!A60</f>
        <v>VM050</v>
      </c>
      <c r="D17" s="279">
        <f>[26]Brewhouse!AE60</f>
        <v>52.5</v>
      </c>
      <c r="E17" s="279">
        <f>[26]Brewhouse!AJ60</f>
        <v>49.2</v>
      </c>
      <c r="F17" s="278">
        <f>[26]Brewhouse!X60</f>
        <v>85</v>
      </c>
      <c r="G17" s="279">
        <f>[26]Brewhouse!AH60</f>
        <v>14.3</v>
      </c>
      <c r="H17" s="396">
        <v>14.3</v>
      </c>
      <c r="I17" s="368">
        <f>[26]Brewhouse!AV60</f>
        <v>99.984726394996613</v>
      </c>
      <c r="J17" s="368">
        <f>[26]Brewhouse!AW60</f>
        <v>100.14323669443594</v>
      </c>
      <c r="K17" s="281">
        <f>[26]Brewhouse!S60</f>
        <v>10.780952380952375</v>
      </c>
      <c r="L17" s="276">
        <f>[26]Brewhouse!R60</f>
        <v>61</v>
      </c>
      <c r="M17" s="374">
        <f>[26]Brewhouse!$W60-[26]Brewhouse!$V60</f>
        <v>0.14027777777777772</v>
      </c>
      <c r="N17" s="370">
        <f>[26]Brewhouse!AB60</f>
        <v>0.29166666666666663</v>
      </c>
      <c r="O17" s="371" t="str">
        <f>[26]Brewhouse!$AZ60</f>
        <v>R.Regis</v>
      </c>
      <c r="P17" s="419"/>
      <c r="R17" s="277" t="str">
        <f t="shared" si="0"/>
        <v>VITAMALT</v>
      </c>
      <c r="S17" s="296">
        <f t="shared" si="1"/>
        <v>14.4</v>
      </c>
      <c r="T17" s="296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296">
        <f t="shared" si="8"/>
        <v>75</v>
      </c>
    </row>
    <row r="18" spans="2:26" ht="15.7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6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4.4" hidden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6" hidden="1" customHeight="1">
      <c r="B28" s="33"/>
      <c r="C28" s="366"/>
      <c r="D28" s="279"/>
      <c r="E28" s="279"/>
      <c r="F28" s="278"/>
      <c r="G28" s="279"/>
      <c r="H28" s="396"/>
      <c r="I28" s="427"/>
      <c r="J28" s="427"/>
      <c r="K28" s="281"/>
      <c r="L28" s="276"/>
      <c r="M28" s="374"/>
      <c r="N28" s="370"/>
      <c r="O28" s="428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4.4" hidden="1">
      <c r="B29" s="33"/>
      <c r="C29" s="366"/>
      <c r="D29" s="279"/>
      <c r="E29" s="279"/>
      <c r="F29" s="278"/>
      <c r="G29" s="279"/>
      <c r="H29" s="396"/>
      <c r="I29" s="427"/>
      <c r="J29" s="427"/>
      <c r="K29" s="281"/>
      <c r="L29" s="276"/>
      <c r="M29" s="374"/>
      <c r="N29" s="370"/>
      <c r="O29" s="428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4"/>
      <c r="C30" s="366"/>
      <c r="D30" s="279"/>
      <c r="E30" s="279"/>
      <c r="F30" s="278"/>
      <c r="G30" s="279"/>
      <c r="H30" s="396"/>
      <c r="I30" s="427"/>
      <c r="J30" s="427"/>
      <c r="K30" s="436"/>
      <c r="L30" s="276"/>
      <c r="M30" s="374"/>
      <c r="N30" s="370"/>
      <c r="O30" s="428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6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customHeight="1" thickBot="1">
      <c r="B43" s="358"/>
      <c r="C43" s="358"/>
      <c r="D43" s="358"/>
      <c r="E43" s="358"/>
      <c r="F43" s="294"/>
      <c r="G43" s="294"/>
      <c r="H43" s="348"/>
      <c r="I43" s="532"/>
      <c r="J43" s="532"/>
      <c r="K43" s="532"/>
      <c r="L43" s="532"/>
      <c r="M43" s="532"/>
      <c r="N43" s="532"/>
      <c r="O43" s="1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thickBot="1">
      <c r="B44" s="388" t="s">
        <v>163</v>
      </c>
      <c r="C44" s="388"/>
      <c r="D44" s="545" t="s">
        <v>35</v>
      </c>
      <c r="E44" s="546"/>
      <c r="F44" s="294"/>
      <c r="G44" s="294"/>
      <c r="H44" s="348"/>
      <c r="I44" s="24" t="s">
        <v>17</v>
      </c>
      <c r="J44" s="25" t="s">
        <v>36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R44" s="277" t="str">
        <f t="shared" si="0"/>
        <v xml:space="preserve">BRAND 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customHeight="1">
      <c r="A45" s="28"/>
      <c r="B45" s="569" t="str">
        <f>I45</f>
        <v>CARIB</v>
      </c>
      <c r="C45" s="362">
        <f>[23]Process!D546</f>
        <v>11.8</v>
      </c>
      <c r="D45" s="536">
        <v>11.78</v>
      </c>
      <c r="E45" s="525"/>
      <c r="F45" s="294"/>
      <c r="G45" s="294"/>
      <c r="H45" s="348"/>
      <c r="I45" s="29" t="s">
        <v>6</v>
      </c>
      <c r="J45" s="280"/>
      <c r="K45" s="284">
        <f>COUNTA([23]Brewhouse!$A$580:$A$603)</f>
        <v>24</v>
      </c>
      <c r="L45" s="305">
        <f>AVERAGE([23]Brewhouse!$AU$580:$AU$603)</f>
        <v>98.157765800796781</v>
      </c>
      <c r="M4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AVERAGE([23]Brewhouse!$AU$102:$AU$171,[23]Brewhouse!$AU$173:$AU$253,[23]Brewhouse!$AU$255:$AU$339,[23]Brewhouse!$AU$341:$AU$346,[23]Brewhouse!$AU$348,[23]Brewhouse!$AU$349:$AU$406,[23]Brewhouse!$AU$408:$AU$491,[23]Brewhouse!$AU$493:$AU$578,[23]Brewhouse!$AU$580:$AU$603)</f>
        <v>97.769637992093166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5" customHeight="1">
      <c r="A46" s="28"/>
      <c r="B46" s="594"/>
      <c r="C46" s="349">
        <f>[23]Process!D547</f>
        <v>11.9</v>
      </c>
      <c r="D46" s="537"/>
      <c r="E46" s="520"/>
      <c r="F46" s="294"/>
      <c r="G46" s="294"/>
      <c r="H46" s="348"/>
      <c r="I46" s="33" t="s">
        <v>9</v>
      </c>
      <c r="J46" s="280">
        <f>I10</f>
        <v>93.690612514496564</v>
      </c>
      <c r="K46" s="284">
        <f>COUNTA([24]Brewhouse!$A$275:$A$304)</f>
        <v>30</v>
      </c>
      <c r="L46" s="302">
        <f>AVERAGE([24]Brewhouse!$AS$275:$AS$304)</f>
        <v>99.238201580061059</v>
      </c>
      <c r="M46" s="302">
        <f>AVERAGE([24]Brewhouse!$AS$15:$AS$64,[24]Brewhouse!$AS$66:$AS$103,[24]Brewhouse!$AS$105:$AS$140,[24]Brewhouse!$AS$142:$AS$193,[24]Brewhouse!$AS$195:$AS$240,[24]Brewhouse!$AS$242:$AS$273,[24]Brewhouse!$AS$275:$AS$304)</f>
        <v>98.020126646040623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94"/>
      <c r="C47" s="349">
        <f>[23]Process!D548</f>
        <v>11.8</v>
      </c>
      <c r="D47" s="536">
        <v>11.68</v>
      </c>
      <c r="E47" s="525"/>
      <c r="F47" s="294"/>
      <c r="G47" s="294"/>
      <c r="H47" s="348"/>
      <c r="I47" s="34" t="s">
        <v>12</v>
      </c>
      <c r="J47" s="280"/>
      <c r="K47" s="284">
        <f>COUNTA([25]Brewhouse!$A$64:$A$71)</f>
        <v>8</v>
      </c>
      <c r="L47" s="302">
        <f>AVERAGE([25]Brewhouse!$AU$64:$AU$71)</f>
        <v>97.273930939242547</v>
      </c>
      <c r="M47" s="302">
        <f>AVERAGE([25]Brewhouse!$AU$4:$AU$7,[25]Brewhouse!$AU$9:$AU$22,[25]Brewhouse!$AU$24:$AU$35,[25]Brewhouse!$AU$37:$AU$45,[25]Brewhouse!$AU$47:$AU$62,[25]Brewhouse!$AU$64:$AU$71)</f>
        <v>97.191383970163244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4"/>
      <c r="C48" s="349">
        <f>[23]Process!D549</f>
        <v>11.8</v>
      </c>
      <c r="D48" s="537"/>
      <c r="E48" s="520"/>
      <c r="F48" s="294"/>
      <c r="G48" s="294"/>
      <c r="H48" s="348"/>
      <c r="I48" s="22" t="s">
        <v>33</v>
      </c>
      <c r="J48" s="280">
        <f>AVERAGE(I12:I17)</f>
        <v>98.928803451669651</v>
      </c>
      <c r="K48" s="284">
        <f>COUNTA([26]Brewhouse!$A$55:$A$60)</f>
        <v>6</v>
      </c>
      <c r="L48" s="302">
        <f>AVERAGE([26]Brewhouse!$AV$55:$AV$60)</f>
        <v>98.928803451669651</v>
      </c>
      <c r="M48" s="302">
        <f>AVERAGE([26]Brewhouse!$AV$5:$AV$14,[26]Brewhouse!$AV$16:$AV$19,[26]Brewhouse!$AV$21:$AV$24,[26]Brewhouse!$AV$26:$AV$33,[26]Brewhouse!$AV$35:$AV$46,[26]Brewhouse!$AV$48:$AV$53,[26]Brewhouse!$AV$55:$AV$60)</f>
        <v>98.657130090149835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4"/>
      <c r="C49" s="349">
        <f>[23]Process!D563</f>
        <v>12</v>
      </c>
      <c r="D49" s="536">
        <v>12.01</v>
      </c>
      <c r="E49" s="525"/>
      <c r="F49" s="418"/>
      <c r="G49" s="294"/>
      <c r="H49" s="348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4"/>
      <c r="C50" s="349">
        <f>[23]Process!D564</f>
        <v>11.6</v>
      </c>
      <c r="D50" s="537"/>
      <c r="E50" s="520"/>
      <c r="F50" s="418"/>
      <c r="G50" s="294"/>
      <c r="H50" s="348"/>
      <c r="I50" s="36" t="s">
        <v>15</v>
      </c>
      <c r="J50" s="323"/>
      <c r="K50" s="284"/>
      <c r="L50" s="302"/>
      <c r="M50" s="302">
        <f>AVERAGE([27]Brewhouse!$AT$4:$AT$11,[27]Brewhouse!$AT$13:$AT$16,[27]Brewhouse!$AT$18:$AT$21)</f>
        <v>94.773169817643847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94"/>
      <c r="C51" s="349">
        <f>[23]Process!D565</f>
        <v>11.9</v>
      </c>
      <c r="D51" s="536">
        <v>12</v>
      </c>
      <c r="E51" s="525"/>
      <c r="F51" s="418"/>
      <c r="G51" s="294"/>
      <c r="H51" s="348"/>
      <c r="I51" s="37" t="s">
        <v>16</v>
      </c>
      <c r="J51" s="323"/>
      <c r="K51" s="284">
        <f>COUNTA([22]Brewhouse!$A$56:$A$65)</f>
        <v>10</v>
      </c>
      <c r="L51" s="302">
        <f>AVERAGE([22]Brewhouse!$AY$56:$AY$65)</f>
        <v>99.275500637605006</v>
      </c>
      <c r="M51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1" s="30">
        <v>98</v>
      </c>
      <c r="O51" s="11"/>
      <c r="P51" s="31" t="s">
        <v>41</v>
      </c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4"/>
      <c r="C52" s="349">
        <f>[23]Process!D566</f>
        <v>11.6</v>
      </c>
      <c r="D52" s="537"/>
      <c r="E52" s="520"/>
      <c r="F52" s="294"/>
      <c r="G52" s="294"/>
      <c r="H52" s="348"/>
      <c r="I52" s="411" t="s">
        <v>158</v>
      </c>
      <c r="J52" s="326"/>
      <c r="K52" s="284"/>
      <c r="L52" s="305"/>
      <c r="M52" s="305">
        <f>AVERAGE([28]Brewhouse!$AU$5:$AU$8,[28]Brewhouse!$AU$10:$AU$13)</f>
        <v>94.247666625193744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4"/>
      <c r="C53" s="349">
        <f>[23]Process!D559</f>
        <v>11.5</v>
      </c>
      <c r="D53" s="536">
        <v>11.8</v>
      </c>
      <c r="E53" s="525"/>
      <c r="F53" s="294"/>
      <c r="G53" s="294"/>
      <c r="H53" s="348"/>
      <c r="I53" s="410" t="s">
        <v>157</v>
      </c>
      <c r="J53" s="326"/>
      <c r="K53" s="284"/>
      <c r="L53" s="305"/>
      <c r="M53" s="305">
        <f>AVERAGE([29]Brewhouse!$AW$26:$AW$27)</f>
        <v>95.310680905194914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94"/>
      <c r="C54" s="349">
        <f>[23]Process!D560</f>
        <v>11.8</v>
      </c>
      <c r="D54" s="537"/>
      <c r="E54" s="520"/>
      <c r="F54" s="294"/>
      <c r="G54" s="294"/>
      <c r="H54" s="348"/>
      <c r="I54" s="406" t="s">
        <v>156</v>
      </c>
      <c r="J54" s="327"/>
      <c r="K54" s="407"/>
      <c r="L54" s="408"/>
      <c r="M54" s="408">
        <f>AVERAGE([30]Brewhouse!$AU$13:$AU$14)</f>
        <v>97.110575243268045</v>
      </c>
      <c r="N54" s="409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4"/>
      <c r="C55" s="349">
        <f>[23]Process!D561</f>
        <v>11.6</v>
      </c>
      <c r="D55" s="536">
        <v>11.76</v>
      </c>
      <c r="E55" s="525"/>
      <c r="F55" s="294"/>
      <c r="G55" s="294"/>
      <c r="H55" s="348"/>
      <c r="I55" s="1"/>
      <c r="J55" s="39"/>
      <c r="K55" s="404">
        <f>SUM(K45:K54)</f>
        <v>78</v>
      </c>
      <c r="L55" s="405">
        <f>((L45*K45)+(L46*K46)+(L47*K47)+(L48*K48)+(L49*K49)+(K52*L52)+(L50*K50)+(L51*K51)+(L54*K54))/(K55)</f>
        <v>98.685278220781584</v>
      </c>
      <c r="M55" s="405">
        <f>AVERAGE('[31]Jan 31st'!$L$65,'[32]Feb 28th'!$L$35,'[33]Mar. 31st'!$L$35,'[34]Apr. 30th'!$L$45,'[35]May 30th'!$L$37,L55)</f>
        <v>97.810755276358449</v>
      </c>
      <c r="N55" s="4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95"/>
      <c r="C56" s="350">
        <f>[23]Process!D562</f>
        <v>11.6</v>
      </c>
      <c r="D56" s="537"/>
      <c r="E56" s="520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89"/>
      <c r="C57" s="362"/>
      <c r="D57" s="517"/>
      <c r="E57" s="518"/>
      <c r="F57" s="294"/>
      <c r="G57" s="42"/>
      <c r="H57" s="41"/>
      <c r="I57" s="42"/>
      <c r="J57" s="572" t="s">
        <v>129</v>
      </c>
      <c r="K57" s="572"/>
      <c r="L57" s="294"/>
      <c r="M57" s="294"/>
      <c r="N57" s="294"/>
      <c r="O57" s="294"/>
      <c r="P57" s="12"/>
    </row>
    <row r="58" spans="1:56" ht="15" thickBot="1">
      <c r="B58" s="590"/>
      <c r="C58" s="362"/>
      <c r="D58" s="519"/>
      <c r="E58" s="520"/>
      <c r="F58" s="294"/>
      <c r="G58" s="42"/>
      <c r="H58" s="41"/>
      <c r="I58" s="42"/>
      <c r="J58" s="292" t="s">
        <v>17</v>
      </c>
      <c r="K58" s="293" t="s">
        <v>147</v>
      </c>
      <c r="L58" s="522" t="s">
        <v>136</v>
      </c>
      <c r="M58" s="522"/>
      <c r="N58" s="523"/>
      <c r="O58" s="294"/>
      <c r="P58" s="12"/>
    </row>
    <row r="59" spans="1:56" ht="15" customHeight="1" thickBot="1">
      <c r="B59" s="590"/>
      <c r="C59" s="349"/>
      <c r="D59" s="573"/>
      <c r="E59" s="574"/>
      <c r="F59" s="294"/>
      <c r="G59" s="42"/>
      <c r="H59" s="41"/>
      <c r="I59" s="42"/>
      <c r="J59" s="287" t="s">
        <v>6</v>
      </c>
      <c r="K59" s="324"/>
      <c r="L59" s="343" t="s">
        <v>37</v>
      </c>
      <c r="M59" s="307" t="s">
        <v>38</v>
      </c>
      <c r="N59" s="307" t="s">
        <v>84</v>
      </c>
      <c r="O59" s="294"/>
      <c r="P59" s="12"/>
    </row>
    <row r="60" spans="1:56" ht="15.75" customHeight="1" thickBot="1">
      <c r="B60" s="590"/>
      <c r="C60" s="349"/>
      <c r="D60" s="519"/>
      <c r="E60" s="520"/>
      <c r="F60" s="294"/>
      <c r="G60" s="42"/>
      <c r="H60" s="41"/>
      <c r="I60" s="42"/>
      <c r="J60" s="345" t="s">
        <v>9</v>
      </c>
      <c r="K60" s="324">
        <v>1</v>
      </c>
      <c r="L60" s="344">
        <f>AVERAGE(K69,'July 1st'!K67,'July 2nd'!K68,'July 3rd'!K68,'July 4th'!K68,'July 7th '!K68,'July 8th '!K68,'July 9th  '!K69,'July 10th '!K69,'July 11th  '!K69)</f>
        <v>7.8</v>
      </c>
      <c r="M60" s="325">
        <f>AVERAGE('[31]Jan 29th '!$M$70,'[32]Feb 28th'!$L$40,'[33]Mar. 31st'!$L$40,'[34]Apr. 30th'!$L$50,'[35]May 30th'!$L$42,L60)</f>
        <v>6.8344401974836755</v>
      </c>
      <c r="N60" s="417">
        <v>9.1999999999999993</v>
      </c>
      <c r="O60" s="294"/>
      <c r="P60" s="12"/>
    </row>
    <row r="61" spans="1:56" ht="15" customHeight="1">
      <c r="B61" s="590"/>
      <c r="C61" s="349"/>
      <c r="D61" s="573"/>
      <c r="E61" s="574"/>
      <c r="F61" s="294"/>
      <c r="G61" s="42"/>
      <c r="H61" s="41"/>
      <c r="I61" s="42"/>
      <c r="J61" s="288" t="s">
        <v>40</v>
      </c>
      <c r="K61" s="324"/>
      <c r="L61" s="294"/>
      <c r="M61" s="294"/>
      <c r="N61" s="294"/>
      <c r="O61" s="294"/>
      <c r="P61" s="12"/>
    </row>
    <row r="62" spans="1:56" ht="15" customHeight="1">
      <c r="B62" s="590"/>
      <c r="C62" s="349"/>
      <c r="D62" s="519"/>
      <c r="E62" s="520"/>
      <c r="F62" s="294"/>
      <c r="G62" s="42"/>
      <c r="H62" s="41"/>
      <c r="I62" s="42"/>
      <c r="J62" s="289" t="s">
        <v>33</v>
      </c>
      <c r="K62" s="324">
        <v>6</v>
      </c>
      <c r="L62" s="294"/>
      <c r="M62" s="294"/>
      <c r="N62" s="294"/>
      <c r="O62" s="294"/>
      <c r="P62" s="12"/>
    </row>
    <row r="63" spans="1:56" ht="14.4">
      <c r="B63" s="590"/>
      <c r="C63" s="349"/>
      <c r="D63" s="573"/>
      <c r="E63" s="574"/>
      <c r="F63" s="294"/>
      <c r="G63" s="42"/>
      <c r="H63" s="41"/>
      <c r="I63" s="42"/>
      <c r="J63" s="290" t="s">
        <v>16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90"/>
      <c r="C64" s="349"/>
      <c r="D64" s="519"/>
      <c r="E64" s="520"/>
      <c r="F64" s="294"/>
      <c r="G64" s="42"/>
      <c r="H64" s="41"/>
      <c r="I64" s="42"/>
      <c r="J64" s="291" t="s">
        <v>15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73"/>
      <c r="E65" s="574"/>
      <c r="F65" s="294"/>
      <c r="G65" s="42"/>
      <c r="H65" s="41"/>
      <c r="I65" s="42"/>
      <c r="J65" s="291" t="s">
        <v>149</v>
      </c>
      <c r="K65" s="324"/>
      <c r="L65" s="294"/>
      <c r="M65" s="294"/>
      <c r="N65" s="294"/>
      <c r="O65" s="294"/>
      <c r="P65" s="12"/>
      <c r="BC65" s="44"/>
      <c r="BD65" s="44"/>
    </row>
    <row r="66" spans="2:57" ht="15" thickBot="1">
      <c r="B66" s="591"/>
      <c r="C66" s="350"/>
      <c r="D66" s="575"/>
      <c r="E66" s="576"/>
      <c r="F66" s="294"/>
      <c r="G66" s="42"/>
      <c r="H66" s="41"/>
      <c r="I66" s="42"/>
      <c r="J66" s="291" t="s">
        <v>148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 thickBot="1">
      <c r="B67" s="312" t="s">
        <v>139</v>
      </c>
      <c r="C67" s="313"/>
      <c r="D67" s="577">
        <f>AVERAGE(D45:E66)</f>
        <v>11.838333333333333</v>
      </c>
      <c r="E67" s="578"/>
      <c r="F67" s="294"/>
      <c r="G67" s="42"/>
      <c r="H67" s="41"/>
      <c r="I67" s="42"/>
      <c r="J67" s="295" t="s">
        <v>134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>
      <c r="B68" s="363"/>
      <c r="C68" s="364"/>
      <c r="D68" s="365"/>
      <c r="E68" s="365"/>
      <c r="F68" s="294"/>
      <c r="G68" s="42"/>
      <c r="H68" s="41"/>
      <c r="I68" s="42"/>
      <c r="J68" s="295" t="s">
        <v>131</v>
      </c>
      <c r="K68" s="324"/>
      <c r="L68" s="294"/>
      <c r="M68" s="294"/>
      <c r="N68" s="294"/>
      <c r="O68" s="294"/>
      <c r="P68" s="12"/>
      <c r="BC68" s="44"/>
      <c r="BD68" s="44"/>
    </row>
    <row r="69" spans="2:57" ht="15.6" customHeight="1">
      <c r="B69" s="45"/>
      <c r="C69" s="11"/>
      <c r="D69" s="11"/>
      <c r="E69" s="46"/>
      <c r="F69" s="294"/>
      <c r="G69" s="42"/>
      <c r="H69" s="41"/>
      <c r="I69" s="42"/>
      <c r="J69" s="346" t="s">
        <v>130</v>
      </c>
      <c r="K69" s="324">
        <f>SUM(K59:K68)</f>
        <v>7</v>
      </c>
      <c r="L69" s="294"/>
      <c r="M69" s="294"/>
      <c r="N69" s="294"/>
      <c r="O69" s="294"/>
      <c r="P69" s="12"/>
    </row>
    <row r="70" spans="2:57" ht="20.25" customHeight="1">
      <c r="B70" s="15" t="s">
        <v>42</v>
      </c>
      <c r="C70" s="1" t="s">
        <v>43</v>
      </c>
      <c r="D70" s="1"/>
      <c r="E70" s="1"/>
      <c r="F70" s="294"/>
      <c r="G70" s="42"/>
      <c r="H70" s="41"/>
      <c r="I70" s="42"/>
      <c r="L70" s="294"/>
      <c r="P70" s="334"/>
    </row>
    <row r="71" spans="2:57" ht="15" customHeight="1" thickBot="1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9"/>
    </row>
    <row r="72" spans="2:57" ht="15" customHeight="1" thickBot="1">
      <c r="B72" s="498" t="s">
        <v>17</v>
      </c>
      <c r="C72" s="498" t="s">
        <v>44</v>
      </c>
      <c r="D72" s="510" t="s">
        <v>45</v>
      </c>
      <c r="E72" s="512" t="s">
        <v>46</v>
      </c>
      <c r="F72" s="506" t="s">
        <v>47</v>
      </c>
      <c r="G72" s="496" t="s">
        <v>48</v>
      </c>
      <c r="H72" s="498" t="s">
        <v>49</v>
      </c>
      <c r="I72" s="498" t="s">
        <v>50</v>
      </c>
      <c r="J72" s="490" t="s">
        <v>28</v>
      </c>
      <c r="K72" s="502" t="s">
        <v>51</v>
      </c>
      <c r="L72" s="504" t="s">
        <v>52</v>
      </c>
      <c r="M72" s="490" t="s">
        <v>53</v>
      </c>
      <c r="N72" s="13"/>
      <c r="O72" s="13"/>
      <c r="P72" s="50"/>
    </row>
    <row r="73" spans="2:57" ht="28.5" customHeight="1" thickTop="1" thickBot="1">
      <c r="B73" s="499"/>
      <c r="C73" s="499"/>
      <c r="D73" s="511"/>
      <c r="E73" s="513"/>
      <c r="F73" s="507"/>
      <c r="G73" s="497"/>
      <c r="H73" s="499"/>
      <c r="I73" s="499"/>
      <c r="J73" s="491"/>
      <c r="K73" s="503"/>
      <c r="L73" s="505"/>
      <c r="M73" s="491"/>
      <c r="N73" s="13"/>
      <c r="O73" s="13"/>
      <c r="P73" s="50"/>
      <c r="Q73" s="355"/>
      <c r="AB73" s="51">
        <v>43474</v>
      </c>
      <c r="AC73" s="51">
        <v>43475</v>
      </c>
      <c r="AD73" s="51">
        <v>43476</v>
      </c>
      <c r="AE73" s="51">
        <v>43477</v>
      </c>
      <c r="AF73" s="51">
        <v>43478</v>
      </c>
      <c r="AG73" s="51">
        <v>43479</v>
      </c>
      <c r="AH73" s="51">
        <v>43480</v>
      </c>
      <c r="AI73" s="51">
        <v>43481</v>
      </c>
      <c r="AJ73" s="51">
        <v>43482</v>
      </c>
      <c r="AK73" s="51">
        <v>43483</v>
      </c>
      <c r="AL73" s="51">
        <v>43484</v>
      </c>
      <c r="AM73" s="51">
        <v>43485</v>
      </c>
      <c r="AN73" s="51">
        <v>43486</v>
      </c>
      <c r="AO73" s="51">
        <v>43487</v>
      </c>
      <c r="AP73" s="51">
        <v>43488</v>
      </c>
      <c r="AQ73" s="51">
        <v>43489</v>
      </c>
      <c r="AR73" s="51">
        <v>43490</v>
      </c>
      <c r="AS73" s="51">
        <v>43491</v>
      </c>
      <c r="AT73" s="51">
        <v>43492</v>
      </c>
      <c r="AU73" s="51">
        <v>43493</v>
      </c>
      <c r="AV73" s="51">
        <v>43494</v>
      </c>
      <c r="AW73" s="51">
        <v>43495</v>
      </c>
      <c r="AX73" s="51">
        <v>43496</v>
      </c>
    </row>
    <row r="74" spans="2:57" s="54" customFormat="1" ht="53.25" customHeight="1">
      <c r="B74" s="387" t="str">
        <f>B81</f>
        <v>CARIB</v>
      </c>
      <c r="C74" s="422">
        <v>45852</v>
      </c>
      <c r="D74" s="377">
        <f>[36]July_2025!$Q$3</f>
        <v>611.1</v>
      </c>
      <c r="E74" s="378"/>
      <c r="F74" s="379"/>
      <c r="G74" s="303">
        <f>[36]July_2025!$Q$7</f>
        <v>567.20000000000005</v>
      </c>
      <c r="H74" s="320"/>
      <c r="I74" s="322"/>
      <c r="J74" s="392" t="s">
        <v>164</v>
      </c>
      <c r="K74" s="286">
        <f>[37]July_2025!$Q$18</f>
        <v>1.9901754385964914</v>
      </c>
      <c r="L74" s="314">
        <f>(((D74+E74)-G74)/(D74+E74))*100</f>
        <v>7.1837669775814073</v>
      </c>
      <c r="M74" s="435" t="s">
        <v>185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285.8</v>
      </c>
      <c r="AC74" s="57">
        <f>[20]January_2019!M7</f>
        <v>508.1</v>
      </c>
      <c r="AD74" s="57">
        <f>[20]January_2019!N7</f>
        <v>0</v>
      </c>
      <c r="AE74" s="57">
        <f>[20]January_2019!O7</f>
        <v>0</v>
      </c>
      <c r="AF74" s="57">
        <f>[20]January_2019!P7</f>
        <v>109.56666666666666</v>
      </c>
      <c r="AG74" s="57">
        <f>[20]January_2019!Q7</f>
        <v>297.64999999999998</v>
      </c>
      <c r="AH74" s="57">
        <f>[20]January_2019!R7</f>
        <v>122.3</v>
      </c>
      <c r="AI74" s="57">
        <f>[20]January_2019!S7</f>
        <v>0</v>
      </c>
      <c r="AJ74" s="57">
        <f>[20]January_2019!T7</f>
        <v>294.7</v>
      </c>
      <c r="AK74" s="57">
        <f>[20]January_2019!U7</f>
        <v>280.5</v>
      </c>
      <c r="AL74" s="57">
        <f>[20]January_2019!V7</f>
        <v>0</v>
      </c>
      <c r="AM74" s="57">
        <f>[20]January_2019!W7</f>
        <v>0</v>
      </c>
      <c r="AN74" s="57">
        <f>[20]January_2019!X7</f>
        <v>188.25</v>
      </c>
      <c r="AO74" s="57">
        <f>[20]January_2019!Y7</f>
        <v>295.7</v>
      </c>
      <c r="AP74" s="57">
        <f>[20]January_2019!Z7</f>
        <v>257.8</v>
      </c>
      <c r="AQ74" s="57">
        <f>[20]January_2019!AA7</f>
        <v>291.2</v>
      </c>
      <c r="AR74" s="57">
        <f>[20]January_2019!AB7</f>
        <v>187</v>
      </c>
      <c r="AS74" s="57">
        <f>[20]January_2019!AC7</f>
        <v>0</v>
      </c>
      <c r="AT74" s="57">
        <f>[20]January_2019!AD7</f>
        <v>0</v>
      </c>
      <c r="AU74" s="57">
        <f>[20]January_2019!AE7</f>
        <v>485.1</v>
      </c>
      <c r="AV74" s="57">
        <f>[20]January_2019!AF7</f>
        <v>171.55</v>
      </c>
      <c r="AW74" s="57">
        <f>[20]January_2019!AG7</f>
        <v>423.8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20.399999999999999" customHeight="1">
      <c r="B75" s="431"/>
      <c r="C75" s="422"/>
      <c r="D75" s="377"/>
      <c r="E75" s="378"/>
      <c r="F75" s="379"/>
      <c r="G75" s="303"/>
      <c r="H75" s="320"/>
      <c r="I75" s="322"/>
      <c r="J75" s="281"/>
      <c r="K75" s="286"/>
      <c r="L75" s="314"/>
      <c r="M75" s="434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53.25" hidden="1" customHeight="1">
      <c r="B76" s="387"/>
      <c r="C76" s="422"/>
      <c r="D76" s="377"/>
      <c r="E76" s="378"/>
      <c r="F76" s="379"/>
      <c r="G76" s="303"/>
      <c r="H76" s="320"/>
      <c r="I76" s="322"/>
      <c r="J76" s="392"/>
      <c r="K76" s="286"/>
      <c r="L76" s="314"/>
      <c r="M76" s="438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customHeight="1" thickBot="1">
      <c r="B77" s="439"/>
      <c r="C77" s="440"/>
      <c r="D77" s="441"/>
      <c r="E77" s="442"/>
      <c r="F77" s="443"/>
      <c r="G77" s="444"/>
      <c r="H77" s="445"/>
      <c r="I77" s="446"/>
      <c r="J77" s="447"/>
      <c r="K77" s="448"/>
      <c r="L77" s="449"/>
      <c r="M77" s="437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 t="s">
        <v>41</v>
      </c>
      <c r="O78" s="56"/>
      <c r="P78" s="60"/>
    </row>
    <row r="79" spans="2:57" ht="14.4" thickBot="1">
      <c r="B79" s="492" t="s">
        <v>55</v>
      </c>
      <c r="C79" s="493"/>
      <c r="D79" s="493"/>
      <c r="E79" s="493"/>
      <c r="F79" s="494"/>
      <c r="G79" s="492" t="s">
        <v>56</v>
      </c>
      <c r="H79" s="493"/>
      <c r="I79" s="493"/>
      <c r="J79" s="494"/>
      <c r="K79" s="492" t="s">
        <v>51</v>
      </c>
      <c r="L79" s="493"/>
      <c r="M79" s="493"/>
      <c r="N79" s="495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 t="s">
        <v>36</v>
      </c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>
        <f>L74</f>
        <v>7.1837669775814073</v>
      </c>
      <c r="D81" s="76">
        <v>5.8540650428080587</v>
      </c>
      <c r="E81" s="76">
        <v>6.5047127260905366</v>
      </c>
      <c r="F81" s="66">
        <v>4.8</v>
      </c>
      <c r="G81" s="65">
        <f>[36]July_2025!$Q$11</f>
        <v>6.2760287573132452</v>
      </c>
      <c r="H81" s="76">
        <v>4.7882783726941645</v>
      </c>
      <c r="I81" s="76">
        <v>6.3952596799228694</v>
      </c>
      <c r="J81" s="66">
        <v>4.8</v>
      </c>
      <c r="K81" s="67">
        <f>K74</f>
        <v>1.9901754385964914</v>
      </c>
      <c r="L81" s="194">
        <v>1.0829397860355174</v>
      </c>
      <c r="M81" s="194">
        <v>0.74455813095208134</v>
      </c>
      <c r="N81" s="68">
        <v>1</v>
      </c>
      <c r="O81" s="56"/>
      <c r="P81" s="69"/>
    </row>
    <row r="82" spans="2:16">
      <c r="B82" s="33" t="s">
        <v>9</v>
      </c>
      <c r="C82" s="65"/>
      <c r="D82" s="76">
        <v>6.0094060268245952</v>
      </c>
      <c r="E82" s="76">
        <v>6.1068883301576351</v>
      </c>
      <c r="F82" s="66">
        <v>4.8</v>
      </c>
      <c r="G82" s="65"/>
      <c r="H82" s="76">
        <v>5.5705046625446659</v>
      </c>
      <c r="I82" s="76">
        <v>5.7934321300413272</v>
      </c>
      <c r="J82" s="66">
        <v>4.8</v>
      </c>
      <c r="K82" s="67"/>
      <c r="L82" s="194">
        <v>0.4341337260515305</v>
      </c>
      <c r="M82" s="194">
        <v>0.74031334400869064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11.96027372373279</v>
      </c>
      <c r="F83" s="66">
        <v>5.5</v>
      </c>
      <c r="G83" s="65"/>
      <c r="H83" s="76"/>
      <c r="I83" s="76">
        <v>13.111031100634913</v>
      </c>
      <c r="J83" s="66">
        <v>5.5</v>
      </c>
      <c r="K83" s="67"/>
      <c r="L83" s="194"/>
      <c r="M83" s="194">
        <v>0.4869398559932232</v>
      </c>
      <c r="N83" s="68">
        <v>1</v>
      </c>
      <c r="P83" s="69"/>
    </row>
    <row r="84" spans="2:16">
      <c r="B84" s="22" t="s">
        <v>33</v>
      </c>
      <c r="C84" s="65"/>
      <c r="D84" s="76"/>
      <c r="E84" s="76">
        <v>5.4214697406339898</v>
      </c>
      <c r="F84" s="66">
        <v>3.3</v>
      </c>
      <c r="G84" s="65"/>
      <c r="H84" s="76"/>
      <c r="I84" s="76">
        <v>5.263029001952213</v>
      </c>
      <c r="J84" s="66">
        <v>3.3</v>
      </c>
      <c r="K84" s="67"/>
      <c r="L84" s="194"/>
      <c r="M84" s="194">
        <v>0.6919486215538847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7.3129862357869699</v>
      </c>
      <c r="F86" s="70">
        <f>[21]May_2022!$M$43</f>
        <v>3.4878406700073312</v>
      </c>
      <c r="G86" s="282"/>
      <c r="H86" s="76"/>
      <c r="I86" s="76">
        <v>8.9862703283331644</v>
      </c>
      <c r="J86" s="66">
        <v>5.5</v>
      </c>
      <c r="K86" s="67"/>
      <c r="L86" s="194"/>
      <c r="M86" s="194">
        <v>0.59276315789473688</v>
      </c>
      <c r="N86" s="68">
        <v>1</v>
      </c>
      <c r="P86" s="69"/>
    </row>
    <row r="87" spans="2:16">
      <c r="B87" s="37" t="s">
        <v>16</v>
      </c>
      <c r="C87" s="65"/>
      <c r="D87" s="76">
        <v>2.3359073359073403</v>
      </c>
      <c r="E87" s="76">
        <v>2.980561555075584</v>
      </c>
      <c r="F87" s="66">
        <v>3.3</v>
      </c>
      <c r="G87" s="282"/>
      <c r="H87" s="76">
        <v>3.7114579368100644</v>
      </c>
      <c r="I87" s="76">
        <v>4.4931174512296872</v>
      </c>
      <c r="J87" s="66">
        <v>3.3</v>
      </c>
      <c r="K87" s="67"/>
      <c r="L87" s="194">
        <v>1.7750877192982455</v>
      </c>
      <c r="M87" s="194">
        <v>0.83077455048409399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4" t="s">
        <v>161</v>
      </c>
      <c r="C89" s="65"/>
      <c r="D89" s="76">
        <v>9.4974642692485105</v>
      </c>
      <c r="E89" s="76">
        <v>7.2653644592663174</v>
      </c>
      <c r="F89" s="66">
        <v>4.8</v>
      </c>
      <c r="G89" s="282"/>
      <c r="H89" s="76">
        <v>10.183089539936029</v>
      </c>
      <c r="I89" s="76">
        <v>8.1715311054411259</v>
      </c>
      <c r="J89" s="66">
        <v>4.8</v>
      </c>
      <c r="K89" s="67"/>
      <c r="L89" s="194">
        <v>0.68877192982456148</v>
      </c>
      <c r="M89" s="194">
        <v>0.51368421052631585</v>
      </c>
      <c r="N89" s="71">
        <v>1</v>
      </c>
      <c r="O89" s="74"/>
      <c r="P89" s="75"/>
    </row>
    <row r="90" spans="2:16">
      <c r="D90" s="76">
        <v>5.558739613966825</v>
      </c>
      <c r="E90" s="76">
        <v>6.5387357201749197</v>
      </c>
      <c r="F90" s="341">
        <v>5.5</v>
      </c>
      <c r="H90" s="76">
        <v>5.0041909991159574</v>
      </c>
      <c r="I90" s="76">
        <v>6.7459090431882096</v>
      </c>
      <c r="J90" s="341">
        <v>5.5</v>
      </c>
      <c r="L90" s="194">
        <v>0.93539961013645234</v>
      </c>
      <c r="M90" s="194">
        <v>0.71293182674199629</v>
      </c>
      <c r="N90" s="386">
        <v>1</v>
      </c>
    </row>
    <row r="94" spans="2:16">
      <c r="F94" s="315"/>
    </row>
    <row r="95" spans="2:16">
      <c r="F95" s="341"/>
    </row>
  </sheetData>
  <mergeCells count="51">
    <mergeCell ref="M72:M73"/>
    <mergeCell ref="B79:F79"/>
    <mergeCell ref="G79:J79"/>
    <mergeCell ref="K79:N79"/>
    <mergeCell ref="G72:G73"/>
    <mergeCell ref="H72:H73"/>
    <mergeCell ref="I72:I73"/>
    <mergeCell ref="J72:J73"/>
    <mergeCell ref="K72:K73"/>
    <mergeCell ref="L72:L73"/>
    <mergeCell ref="F72:F73"/>
    <mergeCell ref="D67:E67"/>
    <mergeCell ref="B72:B73"/>
    <mergeCell ref="C72:C73"/>
    <mergeCell ref="D72:D73"/>
    <mergeCell ref="E72:E73"/>
    <mergeCell ref="B57:B66"/>
    <mergeCell ref="D57:E58"/>
    <mergeCell ref="J57:K57"/>
    <mergeCell ref="L58:N58"/>
    <mergeCell ref="D59:E60"/>
    <mergeCell ref="D61:E62"/>
    <mergeCell ref="D63:E64"/>
    <mergeCell ref="D65:E66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7:B68">
    <cfRule type="cellIs" dxfId="1762" priority="119" operator="notBetween">
      <formula>#REF!</formula>
      <formula>#REF!</formula>
    </cfRule>
  </conditionalFormatting>
  <conditionalFormatting sqref="C71">
    <cfRule type="cellIs" dxfId="1761" priority="151" stopIfTrue="1" operator="greaterThan">
      <formula>100</formula>
    </cfRule>
    <cfRule type="cellIs" dxfId="1760" priority="150" stopIfTrue="1" operator="lessThan">
      <formula>96</formula>
    </cfRule>
  </conditionalFormatting>
  <conditionalFormatting sqref="C81:C82">
    <cfRule type="cellIs" dxfId="1759" priority="97" stopIfTrue="1" operator="lessThanOrEqual">
      <formula>0</formula>
    </cfRule>
  </conditionalFormatting>
  <conditionalFormatting sqref="C81:C85">
    <cfRule type="cellIs" dxfId="1758" priority="96" stopIfTrue="1" operator="greaterThan">
      <formula>$F81</formula>
    </cfRule>
  </conditionalFormatting>
  <conditionalFormatting sqref="C82">
    <cfRule type="cellIs" dxfId="1757" priority="154" stopIfTrue="1" operator="greaterThan">
      <formula>$F81</formula>
    </cfRule>
  </conditionalFormatting>
  <conditionalFormatting sqref="C83:C86">
    <cfRule type="cellIs" dxfId="1756" priority="103" stopIfTrue="1" operator="lessThanOrEqual">
      <formula>0</formula>
    </cfRule>
  </conditionalFormatting>
  <conditionalFormatting sqref="C86">
    <cfRule type="cellIs" dxfId="1755" priority="102" stopIfTrue="1" operator="greaterThan">
      <formula>$J86</formula>
    </cfRule>
  </conditionalFormatting>
  <conditionalFormatting sqref="C92:C96">
    <cfRule type="cellIs" dxfId="1754" priority="142" stopIfTrue="1" operator="lessThanOrEqual">
      <formula>0</formula>
    </cfRule>
  </conditionalFormatting>
  <conditionalFormatting sqref="C93:C96">
    <cfRule type="cellIs" dxfId="1753" priority="141" stopIfTrue="1" operator="greaterThan">
      <formula>$F$92</formula>
    </cfRule>
  </conditionalFormatting>
  <conditionalFormatting sqref="C98">
    <cfRule type="cellIs" dxfId="1752" priority="143" stopIfTrue="1" operator="greaterThan">
      <formula>$F$92</formula>
    </cfRule>
    <cfRule type="cellIs" dxfId="1751" priority="144" stopIfTrue="1" operator="lessThanOrEqual">
      <formula>0</formula>
    </cfRule>
  </conditionalFormatting>
  <conditionalFormatting sqref="C92:D92 D94:D100">
    <cfRule type="cellIs" dxfId="1750" priority="136" stopIfTrue="1" operator="greaterThan">
      <formula>4.5</formula>
    </cfRule>
  </conditionalFormatting>
  <conditionalFormatting sqref="D67:D68">
    <cfRule type="cellIs" dxfId="1749" priority="120" operator="notBetween">
      <formula>#REF!</formula>
      <formula>#REF!</formula>
    </cfRule>
  </conditionalFormatting>
  <conditionalFormatting sqref="D81:D88">
    <cfRule type="cellIs" dxfId="1748" priority="113" stopIfTrue="1" operator="lessThanOrEqual">
      <formula>0</formula>
    </cfRule>
  </conditionalFormatting>
  <conditionalFormatting sqref="D89">
    <cfRule type="cellIs" dxfId="1747" priority="112" stopIfTrue="1" operator="lessThanOrEqual">
      <formula>0</formula>
    </cfRule>
  </conditionalFormatting>
  <conditionalFormatting sqref="D92 D94:D100">
    <cfRule type="cellIs" dxfId="1746" priority="137" stopIfTrue="1" operator="lessThanOrEqual">
      <formula>0</formula>
    </cfRule>
  </conditionalFormatting>
  <conditionalFormatting sqref="D93">
    <cfRule type="cellIs" dxfId="1745" priority="129" stopIfTrue="1" operator="lessThanOrEqual">
      <formula>0</formula>
    </cfRule>
    <cfRule type="cellIs" dxfId="1744" priority="128" stopIfTrue="1" operator="greaterThan">
      <formula>$F$92</formula>
    </cfRule>
  </conditionalFormatting>
  <conditionalFormatting sqref="D81:E90">
    <cfRule type="cellIs" dxfId="1743" priority="93" stopIfTrue="1" operator="greaterThan">
      <formula>$F81</formula>
    </cfRule>
  </conditionalFormatting>
  <conditionalFormatting sqref="D90:E90">
    <cfRule type="cellIs" dxfId="1742" priority="94" stopIfTrue="1" operator="lessThanOrEqual">
      <formula>0</formula>
    </cfRule>
  </conditionalFormatting>
  <conditionalFormatting sqref="E10:E42">
    <cfRule type="cellIs" dxfId="1741" priority="2" operator="lessThan">
      <formula>48</formula>
    </cfRule>
  </conditionalFormatting>
  <conditionalFormatting sqref="E70 E71:F71">
    <cfRule type="cellIs" dxfId="1740" priority="133" stopIfTrue="1" operator="greaterThan">
      <formula>100</formula>
    </cfRule>
  </conditionalFormatting>
  <conditionalFormatting sqref="E71">
    <cfRule type="cellIs" dxfId="1739" priority="131" stopIfTrue="1" operator="greaterThan">
      <formula>100</formula>
    </cfRule>
    <cfRule type="cellIs" dxfId="1738" priority="130" stopIfTrue="1" operator="lessThan">
      <formula>96.8</formula>
    </cfRule>
  </conditionalFormatting>
  <conditionalFormatting sqref="E81:E89">
    <cfRule type="cellIs" dxfId="1737" priority="107" stopIfTrue="1" operator="lessThanOrEqual">
      <formula>0</formula>
    </cfRule>
  </conditionalFormatting>
  <conditionalFormatting sqref="E92:E100">
    <cfRule type="cellIs" dxfId="1736" priority="123" stopIfTrue="1" operator="lessThanOrEqual">
      <formula>0</formula>
    </cfRule>
    <cfRule type="cellIs" dxfId="1735" priority="122" stopIfTrue="1" operator="greaterThan">
      <formula>4.5</formula>
    </cfRule>
  </conditionalFormatting>
  <conditionalFormatting sqref="E71:F71 E70">
    <cfRule type="cellIs" dxfId="1734" priority="132" stopIfTrue="1" operator="lessThan">
      <formula>96.5</formula>
    </cfRule>
  </conditionalFormatting>
  <conditionalFormatting sqref="F10:F42">
    <cfRule type="cellIs" dxfId="1733" priority="3" operator="greaterThan">
      <formula>60</formula>
    </cfRule>
  </conditionalFormatting>
  <conditionalFormatting sqref="F71">
    <cfRule type="cellIs" dxfId="1732" priority="149" stopIfTrue="1" operator="greaterThan">
      <formula>100</formula>
    </cfRule>
    <cfRule type="cellIs" dxfId="1731" priority="148" stopIfTrue="1" operator="lessThan">
      <formula>96.8</formula>
    </cfRule>
  </conditionalFormatting>
  <conditionalFormatting sqref="F90">
    <cfRule type="cellIs" dxfId="1730" priority="108" stopIfTrue="1" operator="greaterThan">
      <formula>$F90</formula>
    </cfRule>
    <cfRule type="cellIs" dxfId="1729" priority="109" stopIfTrue="1" operator="lessThanOrEqual">
      <formula>0</formula>
    </cfRule>
  </conditionalFormatting>
  <conditionalFormatting sqref="F95">
    <cfRule type="cellIs" dxfId="1728" priority="62" stopIfTrue="1" operator="greaterThan">
      <formula>$F95</formula>
    </cfRule>
    <cfRule type="cellIs" dxfId="1727" priority="63" stopIfTrue="1" operator="lessThanOrEqual">
      <formula>0</formula>
    </cfRule>
  </conditionalFormatting>
  <conditionalFormatting sqref="G10">
    <cfRule type="expression" dxfId="1726" priority="13">
      <formula>IF(+(IF(G10&lt;#REF!,0,IF(G10&gt;#REF!,0,1)))=0,1)</formula>
    </cfRule>
  </conditionalFormatting>
  <conditionalFormatting sqref="G11">
    <cfRule type="expression" dxfId="1725" priority="26">
      <formula>IF(+(IF(G11&lt;S11,0,IF(G11&gt;T11,0,1)))=0,1)</formula>
    </cfRule>
  </conditionalFormatting>
  <conditionalFormatting sqref="G12:G27">
    <cfRule type="expression" dxfId="1724" priority="9">
      <formula>IF(+(IF(G12&lt;$S$10,0,IF(G12&gt;$T$10,0,1)))=0,1)</formula>
    </cfRule>
  </conditionalFormatting>
  <conditionalFormatting sqref="G28:G29">
    <cfRule type="expression" dxfId="1723" priority="28">
      <formula>IF(+(IF(G28&lt;#REF!,0,IF(G28&gt;#REF!,0,1)))=0,1)</formula>
    </cfRule>
  </conditionalFormatting>
  <conditionalFormatting sqref="G30">
    <cfRule type="expression" dxfId="1722" priority="41">
      <formula>IF(+(IF(G30&lt;S30,0,IF(G30&gt;T30,0,1)))=0,1)</formula>
    </cfRule>
  </conditionalFormatting>
  <conditionalFormatting sqref="G31 G32:H42">
    <cfRule type="expression" dxfId="1721" priority="47">
      <formula>IF(+(IF(G31&lt;#REF!,0,IF(G31&gt;#REF!,0,1)))=0,1)</formula>
    </cfRule>
  </conditionalFormatting>
  <conditionalFormatting sqref="G81:G82 C87:C89">
    <cfRule type="cellIs" dxfId="1720" priority="114" stopIfTrue="1" operator="greaterThan">
      <formula>$F81</formula>
    </cfRule>
    <cfRule type="cellIs" dxfId="1719" priority="115" stopIfTrue="1" operator="lessThanOrEqual">
      <formula>0</formula>
    </cfRule>
  </conditionalFormatting>
  <conditionalFormatting sqref="G81:G82">
    <cfRule type="cellIs" dxfId="1718" priority="98" stopIfTrue="1" operator="greaterThan">
      <formula>$F81</formula>
    </cfRule>
    <cfRule type="cellIs" dxfId="1717" priority="99" stopIfTrue="1" operator="lessThanOrEqual">
      <formula>0</formula>
    </cfRule>
  </conditionalFormatting>
  <conditionalFormatting sqref="G83">
    <cfRule type="cellIs" dxfId="1716" priority="152" stopIfTrue="1" operator="greaterThan">
      <formula>$F82</formula>
    </cfRule>
    <cfRule type="cellIs" dxfId="1715" priority="153" stopIfTrue="1" operator="lessThanOrEqual">
      <formula>0</formula>
    </cfRule>
  </conditionalFormatting>
  <conditionalFormatting sqref="G84">
    <cfRule type="cellIs" dxfId="1714" priority="110" stopIfTrue="1" operator="greaterThan">
      <formula>$F84</formula>
    </cfRule>
    <cfRule type="cellIs" dxfId="1713" priority="111" stopIfTrue="1" operator="lessThanOrEqual">
      <formula>0</formula>
    </cfRule>
  </conditionalFormatting>
  <conditionalFormatting sqref="G85:G89">
    <cfRule type="cellIs" dxfId="1712" priority="117" stopIfTrue="1" operator="lessThanOrEqual">
      <formula>0</formula>
    </cfRule>
    <cfRule type="cellIs" dxfId="1711" priority="116" stopIfTrue="1" operator="greaterThan">
      <formula>$J85</formula>
    </cfRule>
  </conditionalFormatting>
  <conditionalFormatting sqref="G94:G99 C97 C99">
    <cfRule type="cellIs" dxfId="1710" priority="145" stopIfTrue="1" operator="greaterThan">
      <formula>4.5</formula>
    </cfRule>
    <cfRule type="cellIs" dxfId="1709" priority="146" stopIfTrue="1" operator="lessThanOrEqual">
      <formula>0</formula>
    </cfRule>
  </conditionalFormatting>
  <conditionalFormatting sqref="G93:H93">
    <cfRule type="cellIs" dxfId="1708" priority="127" stopIfTrue="1" operator="lessThanOrEqual">
      <formula>0</formula>
    </cfRule>
    <cfRule type="cellIs" dxfId="1707" priority="126" stopIfTrue="1" operator="greaterThan">
      <formula>$F$92</formula>
    </cfRule>
  </conditionalFormatting>
  <conditionalFormatting sqref="H10:H31">
    <cfRule type="expression" dxfId="1706" priority="12">
      <formula>IF(+(IF(H10&lt;#REF!,0,IF(H10&gt;#REF!,0,1)))=0,1)</formula>
    </cfRule>
  </conditionalFormatting>
  <conditionalFormatting sqref="H56:H70">
    <cfRule type="cellIs" dxfId="1705" priority="124" stopIfTrue="1" operator="greaterThan">
      <formula>0</formula>
    </cfRule>
  </conditionalFormatting>
  <conditionalFormatting sqref="H74:H76">
    <cfRule type="cellIs" dxfId="1704" priority="60" stopIfTrue="1" operator="greaterThan">
      <formula>$F$41</formula>
    </cfRule>
    <cfRule type="cellIs" dxfId="1703" priority="58" stopIfTrue="1" operator="greaterThan">
      <formula>$F$43</formula>
    </cfRule>
    <cfRule type="cellIs" dxfId="1702" priority="61" stopIfTrue="1" operator="lessThanOrEqual">
      <formula>0</formula>
    </cfRule>
    <cfRule type="cellIs" dxfId="1701" priority="59" stopIfTrue="1" operator="lessThanOrEqual">
      <formula>0</formula>
    </cfRule>
    <cfRule type="cellIs" dxfId="1700" priority="50" stopIfTrue="1" operator="greaterThan">
      <formula>$F$40</formula>
    </cfRule>
    <cfRule type="cellIs" dxfId="1699" priority="49" stopIfTrue="1" operator="lessThanOrEqual">
      <formula>0</formula>
    </cfRule>
  </conditionalFormatting>
  <conditionalFormatting sqref="H77">
    <cfRule type="cellIs" dxfId="1698" priority="76" stopIfTrue="1" operator="greaterThan">
      <formula>$F$58</formula>
    </cfRule>
    <cfRule type="cellIs" dxfId="1697" priority="77" stopIfTrue="1" operator="lessThanOrEqual">
      <formula>0</formula>
    </cfRule>
    <cfRule type="cellIs" dxfId="1696" priority="78" stopIfTrue="1" operator="greaterThan">
      <formula>$F$56</formula>
    </cfRule>
    <cfRule type="cellIs" dxfId="1695" priority="79" stopIfTrue="1" operator="lessThanOrEqual">
      <formula>0</formula>
    </cfRule>
    <cfRule type="cellIs" dxfId="1694" priority="67" stopIfTrue="1" operator="lessThanOrEqual">
      <formula>0</formula>
    </cfRule>
    <cfRule type="cellIs" dxfId="1693" priority="68" stopIfTrue="1" operator="greaterThan">
      <formula>$F$55</formula>
    </cfRule>
  </conditionalFormatting>
  <conditionalFormatting sqref="H81:H88">
    <cfRule type="cellIs" dxfId="1692" priority="100" stopIfTrue="1" operator="greaterThan">
      <formula>$J81</formula>
    </cfRule>
    <cfRule type="cellIs" dxfId="1691" priority="101" stopIfTrue="1" operator="lessThanOrEqual">
      <formula>0</formula>
    </cfRule>
  </conditionalFormatting>
  <conditionalFormatting sqref="H89">
    <cfRule type="cellIs" dxfId="1690" priority="104" operator="greaterThan">
      <formula>5.3</formula>
    </cfRule>
  </conditionalFormatting>
  <conditionalFormatting sqref="H92 H94:H100">
    <cfRule type="cellIs" dxfId="1689" priority="139" stopIfTrue="1" operator="lessThanOrEqual">
      <formula>0</formula>
    </cfRule>
    <cfRule type="cellIs" dxfId="1688" priority="138" stopIfTrue="1" operator="greaterThan">
      <formula>4.5</formula>
    </cfRule>
  </conditionalFormatting>
  <conditionalFormatting sqref="H74:I76">
    <cfRule type="cellIs" dxfId="1687" priority="48" stopIfTrue="1" operator="greaterThan">
      <formula>$F$42</formula>
    </cfRule>
    <cfRule type="cellIs" dxfId="1686" priority="51" stopIfTrue="1" operator="lessThanOrEqual">
      <formula>0</formula>
    </cfRule>
  </conditionalFormatting>
  <conditionalFormatting sqref="H77:I77">
    <cfRule type="cellIs" dxfId="1685" priority="66" stopIfTrue="1" operator="greaterThan">
      <formula>$F$57</formula>
    </cfRule>
    <cfRule type="cellIs" dxfId="1684" priority="69" stopIfTrue="1" operator="lessThanOrEqual">
      <formula>0</formula>
    </cfRule>
  </conditionalFormatting>
  <conditionalFormatting sqref="H90:I90">
    <cfRule type="cellIs" dxfId="1683" priority="92" stopIfTrue="1" operator="lessThanOrEqual">
      <formula>0</formula>
    </cfRule>
    <cfRule type="cellIs" dxfId="1682" priority="91" stopIfTrue="1" operator="greaterThan">
      <formula>$J90</formula>
    </cfRule>
  </conditionalFormatting>
  <conditionalFormatting sqref="I74:I76">
    <cfRule type="cellIs" dxfId="1681" priority="54" stopIfTrue="1" operator="greaterThan">
      <formula>$F$42</formula>
    </cfRule>
    <cfRule type="cellIs" dxfId="1680" priority="56" stopIfTrue="1" operator="greaterThan">
      <formula>$F$40</formula>
    </cfRule>
    <cfRule type="cellIs" dxfId="1679" priority="57" stopIfTrue="1" operator="lessThanOrEqual">
      <formula>0</formula>
    </cfRule>
    <cfRule type="cellIs" dxfId="1678" priority="55" stopIfTrue="1" operator="lessThanOrEqual">
      <formula>0</formula>
    </cfRule>
    <cfRule type="cellIs" dxfId="1677" priority="52" stopIfTrue="1" operator="greaterThan">
      <formula>$F$40</formula>
    </cfRule>
    <cfRule type="cellIs" dxfId="1676" priority="53" stopIfTrue="1" operator="lessThanOrEqual">
      <formula>0</formula>
    </cfRule>
  </conditionalFormatting>
  <conditionalFormatting sqref="I77">
    <cfRule type="cellIs" dxfId="1675" priority="71" stopIfTrue="1" operator="lessThanOrEqual">
      <formula>0</formula>
    </cfRule>
    <cfRule type="cellIs" dxfId="1674" priority="73" stopIfTrue="1" operator="lessThanOrEqual">
      <formula>0</formula>
    </cfRule>
    <cfRule type="cellIs" dxfId="1673" priority="74" stopIfTrue="1" operator="greaterThan">
      <formula>$F$55</formula>
    </cfRule>
    <cfRule type="cellIs" dxfId="1672" priority="75" stopIfTrue="1" operator="lessThanOrEqual">
      <formula>0</formula>
    </cfRule>
    <cfRule type="cellIs" dxfId="1671" priority="72" stopIfTrue="1" operator="greaterThan">
      <formula>$F$57</formula>
    </cfRule>
    <cfRule type="cellIs" dxfId="1670" priority="70" stopIfTrue="1" operator="greaterThan">
      <formula>$F$55</formula>
    </cfRule>
  </conditionalFormatting>
  <conditionalFormatting sqref="I81:I89">
    <cfRule type="cellIs" dxfId="1669" priority="106" stopIfTrue="1" operator="lessThanOrEqual">
      <formula>0</formula>
    </cfRule>
    <cfRule type="cellIs" dxfId="1668" priority="105" stopIfTrue="1" operator="greaterThan">
      <formula>$J81</formula>
    </cfRule>
  </conditionalFormatting>
  <conditionalFormatting sqref="I92:I100">
    <cfRule type="cellIs" dxfId="1667" priority="135" stopIfTrue="1" operator="lessThanOrEqual">
      <formula>0</formula>
    </cfRule>
    <cfRule type="cellIs" dxfId="1666" priority="134" stopIfTrue="1" operator="greaterThan">
      <formula>4.5</formula>
    </cfRule>
  </conditionalFormatting>
  <conditionalFormatting sqref="I10:J42">
    <cfRule type="cellIs" dxfId="1665" priority="8" operator="lessThan">
      <formula>97.9</formula>
    </cfRule>
  </conditionalFormatting>
  <conditionalFormatting sqref="J45:J47">
    <cfRule type="cellIs" dxfId="1664" priority="81" stopIfTrue="1" operator="lessThan">
      <formula>96.8</formula>
    </cfRule>
    <cfRule type="cellIs" dxfId="1663" priority="82" stopIfTrue="1" operator="greaterThan">
      <formula>100</formula>
    </cfRule>
    <cfRule type="cellIs" dxfId="1662" priority="83" operator="lessThan">
      <formula>98</formula>
    </cfRule>
  </conditionalFormatting>
  <conditionalFormatting sqref="J45:J49">
    <cfRule type="cellIs" dxfId="1661" priority="80" operator="lessThan">
      <formula>97.4</formula>
    </cfRule>
  </conditionalFormatting>
  <conditionalFormatting sqref="J50">
    <cfRule type="cellIs" dxfId="1660" priority="84" operator="lessThan">
      <formula>98</formula>
    </cfRule>
  </conditionalFormatting>
  <conditionalFormatting sqref="J52:J53">
    <cfRule type="cellIs" dxfId="1659" priority="85" stopIfTrue="1" operator="lessThan">
      <formula>96.8</formula>
    </cfRule>
    <cfRule type="cellIs" dxfId="1658" priority="86" stopIfTrue="1" operator="greaterThan">
      <formula>100</formula>
    </cfRule>
  </conditionalFormatting>
  <conditionalFormatting sqref="J52:J54">
    <cfRule type="cellIs" dxfId="1657" priority="87" operator="lessThan">
      <formula>98</formula>
    </cfRule>
  </conditionalFormatting>
  <conditionalFormatting sqref="J90">
    <cfRule type="cellIs" dxfId="1656" priority="89" stopIfTrue="1" operator="lessThanOrEqual">
      <formula>0</formula>
    </cfRule>
    <cfRule type="cellIs" dxfId="1655" priority="88" stopIfTrue="1" operator="greaterThan">
      <formula>$F90</formula>
    </cfRule>
  </conditionalFormatting>
  <conditionalFormatting sqref="K10:K42">
    <cfRule type="cellIs" dxfId="1654" priority="5" operator="greaterThan">
      <formula>6</formula>
    </cfRule>
    <cfRule type="cellIs" dxfId="1653" priority="6" operator="lessThan">
      <formula>4</formula>
    </cfRule>
    <cfRule type="cellIs" dxfId="1652" priority="7" operator="greaterThan">
      <formula>6.4</formula>
    </cfRule>
  </conditionalFormatting>
  <conditionalFormatting sqref="K74:K77">
    <cfRule type="cellIs" dxfId="1651" priority="64" stopIfTrue="1" operator="lessThan">
      <formula>100%</formula>
    </cfRule>
  </conditionalFormatting>
  <conditionalFormatting sqref="K92:K97">
    <cfRule type="cellIs" dxfId="1650" priority="140" stopIfTrue="1" operator="lessThan">
      <formula>100%</formula>
    </cfRule>
  </conditionalFormatting>
  <conditionalFormatting sqref="K99:K100">
    <cfRule type="cellIs" dxfId="1649" priority="147" stopIfTrue="1" operator="lessThan">
      <formula>100%</formula>
    </cfRule>
  </conditionalFormatting>
  <conditionalFormatting sqref="K81:N84 L85:N85">
    <cfRule type="cellIs" dxfId="1648" priority="118" stopIfTrue="1" operator="lessThan">
      <formula>100%</formula>
    </cfRule>
  </conditionalFormatting>
  <conditionalFormatting sqref="K86:N89 L90:N90">
    <cfRule type="cellIs" dxfId="1647" priority="90" stopIfTrue="1" operator="lessThan">
      <formula>100%</formula>
    </cfRule>
  </conditionalFormatting>
  <conditionalFormatting sqref="L11:L27">
    <cfRule type="cellIs" dxfId="1646" priority="10" operator="between">
      <formula>61</formula>
      <formula>65</formula>
    </cfRule>
    <cfRule type="cellIs" dxfId="1645" priority="11" operator="greaterThan">
      <formula>65</formula>
    </cfRule>
  </conditionalFormatting>
  <conditionalFormatting sqref="L30:L42">
    <cfRule type="cellIs" dxfId="1644" priority="37" operator="between">
      <formula>61</formula>
      <formula>65</formula>
    </cfRule>
    <cfRule type="cellIs" dxfId="1643" priority="38" operator="greaterThan">
      <formula>65</formula>
    </cfRule>
  </conditionalFormatting>
  <conditionalFormatting sqref="L10:M10">
    <cfRule type="cellIs" dxfId="1642" priority="15" operator="greaterThan">
      <formula>65</formula>
    </cfRule>
    <cfRule type="cellIs" dxfId="1641" priority="14" operator="between">
      <formula>61</formula>
      <formula>65</formula>
    </cfRule>
  </conditionalFormatting>
  <conditionalFormatting sqref="L28:M29">
    <cfRule type="cellIs" dxfId="1640" priority="30" operator="greaterThan">
      <formula>65</formula>
    </cfRule>
    <cfRule type="cellIs" dxfId="1639" priority="29" operator="between">
      <formula>61</formula>
      <formula>65</formula>
    </cfRule>
  </conditionalFormatting>
  <conditionalFormatting sqref="L45:M56">
    <cfRule type="cellIs" dxfId="1638" priority="95" operator="lessThan">
      <formula>98</formula>
    </cfRule>
  </conditionalFormatting>
  <conditionalFormatting sqref="L60:N60">
    <cfRule type="cellIs" dxfId="1637" priority="65" operator="notEqual">
      <formula>#REF!</formula>
    </cfRule>
  </conditionalFormatting>
  <conditionalFormatting sqref="L92:N100">
    <cfRule type="cellIs" dxfId="1636" priority="125" stopIfTrue="1" operator="lessThan">
      <formula>100%</formula>
    </cfRule>
  </conditionalFormatting>
  <conditionalFormatting sqref="M10:M11">
    <cfRule type="expression" dxfId="1635" priority="16">
      <formula>IF(+(IF(M10&lt;U10,0,IF(M10&gt;V10,0,1)))=0,1)</formula>
    </cfRule>
  </conditionalFormatting>
  <conditionalFormatting sqref="M12:M27">
    <cfRule type="expression" dxfId="1634" priority="4">
      <formula>IF(+(IF(M12&lt;U12,0,IF(M12&gt;V12,0,1)))=0,1)</formula>
    </cfRule>
  </conditionalFormatting>
  <conditionalFormatting sqref="M28:M42">
    <cfRule type="expression" dxfId="1633" priority="31">
      <formula>IF(+(IF(M28&lt;U28,0,IF(M28&gt;V28,0,1)))=0,1)</formula>
    </cfRule>
  </conditionalFormatting>
  <conditionalFormatting sqref="N10:N42">
    <cfRule type="expression" dxfId="1632" priority="1">
      <formula>IF(+(IF(N10&lt;W10,0,IF(N10&gt;X10,0,1)))=0,1)</formula>
    </cfRule>
  </conditionalFormatting>
  <conditionalFormatting sqref="P6">
    <cfRule type="cellIs" dxfId="1631" priority="121" operator="greaterThanOrEqual">
      <formula>19</formula>
    </cfRule>
  </conditionalFormatting>
  <dataValidations disablePrompts="1" count="1">
    <dataValidation type="list" allowBlank="1" showInputMessage="1" showErrorMessage="1" sqref="R8" xr:uid="{14A114EE-E373-4C76-A608-8F0DFF09E995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20BA-BAFF-44DE-91AD-8419B8C2EDEA}">
  <sheetPr>
    <pageSetUpPr fitToPage="1"/>
  </sheetPr>
  <dimension ref="A1:BE95"/>
  <sheetViews>
    <sheetView topLeftCell="B20" zoomScale="70" zoomScaleNormal="70" workbookViewId="0">
      <selection activeCell="H76" sqref="H76:I76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45854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419"/>
      <c r="R10" s="277">
        <f t="shared" ref="R10:R44" si="0">B10</f>
        <v>0</v>
      </c>
      <c r="S10" s="296" t="e">
        <f t="shared" ref="S10:S44" si="1">VLOOKUP($B10,$R$3:$X$9,2,FALSE)</f>
        <v>#N/A</v>
      </c>
      <c r="T10" s="296" t="e">
        <f t="shared" ref="T10:T44" si="2">VLOOKUP($B10,$R$3:$X$9,3,FALSE)</f>
        <v>#N/A</v>
      </c>
      <c r="U10" s="297" t="e">
        <f t="shared" ref="U10:U44" si="3">VLOOKUP($B10,$R$3:$X$9,4,FALSE)</f>
        <v>#N/A</v>
      </c>
      <c r="V10" s="297" t="e">
        <f t="shared" ref="V10:V44" si="4">VLOOKUP($B10,$R$3:$X$9,5,FALSE)</f>
        <v>#N/A</v>
      </c>
      <c r="W10" s="297" t="e">
        <f t="shared" ref="W10:W44" si="5">VLOOKUP($B10,$R$3:$X$9,6,FALSE)</f>
        <v>#N/A</v>
      </c>
      <c r="X10" s="297" t="e">
        <f t="shared" ref="X10:X44" si="6">VLOOKUP($B10,$R$3:$X$9,7,FALSE)</f>
        <v>#N/A</v>
      </c>
      <c r="Y10" s="297" t="e">
        <f t="shared" ref="Y10:Y44" si="7">VLOOKUP($B10,$R$3:$Z$9,8,FALSE)</f>
        <v>#N/A</v>
      </c>
      <c r="Z10" s="296" t="e">
        <f t="shared" ref="Z10:Z44" si="8">VLOOKUP($B10,$R$3:$Z$9,9,FALSE)</f>
        <v>#N/A</v>
      </c>
    </row>
    <row r="11" spans="2:29" ht="15.75" hidden="1" customHeight="1">
      <c r="B11" s="34"/>
      <c r="C11" s="366"/>
      <c r="D11" s="279"/>
      <c r="E11" s="279"/>
      <c r="F11" s="278"/>
      <c r="G11" s="279"/>
      <c r="H11" s="396"/>
      <c r="I11" s="427"/>
      <c r="J11" s="427"/>
      <c r="K11" s="436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2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9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2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9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9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22" t="s">
        <v>33</v>
      </c>
      <c r="C18" s="366" t="str">
        <f>[26]Brewhouse!A61</f>
        <v>VM051</v>
      </c>
      <c r="D18" s="279">
        <f>[26]Brewhouse!AE61</f>
        <v>52.4</v>
      </c>
      <c r="E18" s="279">
        <f>[26]Brewhouse!AJ61</f>
        <v>50.2</v>
      </c>
      <c r="F18" s="278">
        <f>[26]Brewhouse!X61</f>
        <v>89</v>
      </c>
      <c r="G18" s="279">
        <f>[26]Brewhouse!AH61</f>
        <v>14</v>
      </c>
      <c r="H18" s="367"/>
      <c r="I18" s="368">
        <f>[26]Brewhouse!AV61</f>
        <v>99.787427077580119</v>
      </c>
      <c r="J18" s="368">
        <f>[26]Brewhouse!AW61</f>
        <v>99.945624589506693</v>
      </c>
      <c r="K18" s="281">
        <f>[26]Brewhouse!S61</f>
        <v>10.801526717557259</v>
      </c>
      <c r="L18" s="276">
        <f>[26]Brewhouse!R61</f>
        <v>61</v>
      </c>
      <c r="M18" s="374">
        <f>[26]Brewhouse!$W61-[26]Brewhouse!$V61</f>
        <v>0.14513888888888871</v>
      </c>
      <c r="N18" s="370">
        <f>[26]Brewhouse!AB61</f>
        <v>0.28888888888888875</v>
      </c>
      <c r="O18" s="371" t="str">
        <f>[26]Brewhouse!$AZ61</f>
        <v>R.Regis</v>
      </c>
      <c r="P18" s="419"/>
      <c r="R18" s="277" t="str">
        <f t="shared" si="0"/>
        <v>VITAMALT</v>
      </c>
      <c r="S18" s="296">
        <f t="shared" si="1"/>
        <v>14.4</v>
      </c>
      <c r="T18" s="296">
        <f t="shared" si="2"/>
        <v>14.6</v>
      </c>
      <c r="U18" s="297">
        <f t="shared" si="3"/>
        <v>0</v>
      </c>
      <c r="V18" s="297">
        <f t="shared" si="4"/>
        <v>0.13905092592592591</v>
      </c>
      <c r="W18" s="297">
        <f t="shared" si="5"/>
        <v>0.26041666666666669</v>
      </c>
      <c r="X18" s="297">
        <f t="shared" si="6"/>
        <v>0.2951388888888889</v>
      </c>
      <c r="Y18" s="297">
        <f t="shared" si="7"/>
        <v>0</v>
      </c>
      <c r="Z18" s="296">
        <f t="shared" si="8"/>
        <v>75</v>
      </c>
    </row>
    <row r="19" spans="2:26" ht="15.75" customHeight="1">
      <c r="B19" s="22" t="s">
        <v>33</v>
      </c>
      <c r="C19" s="366" t="str">
        <f>[26]Brewhouse!A62</f>
        <v>VM052</v>
      </c>
      <c r="D19" s="279">
        <f>[26]Brewhouse!AE62</f>
        <v>52.4</v>
      </c>
      <c r="E19" s="279">
        <f>[26]Brewhouse!AJ62</f>
        <v>50.2</v>
      </c>
      <c r="F19" s="278">
        <f>[26]Brewhouse!X62</f>
        <v>85</v>
      </c>
      <c r="G19" s="279">
        <f>[26]Brewhouse!AH62</f>
        <v>14.5</v>
      </c>
      <c r="H19" s="396">
        <v>14.7</v>
      </c>
      <c r="I19" s="368">
        <f>[26]Brewhouse!AV62</f>
        <v>103.57083663502391</v>
      </c>
      <c r="J19" s="368">
        <f>[26]Brewhouse!AW62</f>
        <v>103.73503215688133</v>
      </c>
      <c r="K19" s="281">
        <f>[26]Brewhouse!S62</f>
        <v>11.564885496183198</v>
      </c>
      <c r="L19" s="276">
        <f>[26]Brewhouse!R62</f>
        <v>60</v>
      </c>
      <c r="M19" s="374">
        <f>[26]Brewhouse!$W62-[26]Brewhouse!$V62</f>
        <v>0.14166666666666666</v>
      </c>
      <c r="N19" s="370">
        <f>[26]Brewhouse!AB62</f>
        <v>0.28263888888888888</v>
      </c>
      <c r="O19" s="371" t="str">
        <f>[26]Brewhouse!$AZ62</f>
        <v>R.Sookram</v>
      </c>
      <c r="P19" s="419"/>
      <c r="R19" s="277" t="str">
        <f t="shared" si="0"/>
        <v>VITAMALT</v>
      </c>
      <c r="S19" s="296">
        <f t="shared" si="1"/>
        <v>14.4</v>
      </c>
      <c r="T19" s="296">
        <f t="shared" si="2"/>
        <v>14.6</v>
      </c>
      <c r="U19" s="297">
        <f t="shared" si="3"/>
        <v>0</v>
      </c>
      <c r="V19" s="297">
        <f t="shared" si="4"/>
        <v>0.13905092592592591</v>
      </c>
      <c r="W19" s="297">
        <f t="shared" si="5"/>
        <v>0.26041666666666669</v>
      </c>
      <c r="X19" s="297">
        <f t="shared" si="6"/>
        <v>0.2951388888888889</v>
      </c>
      <c r="Y19" s="297">
        <f t="shared" si="7"/>
        <v>0</v>
      </c>
      <c r="Z19" s="296">
        <f t="shared" si="8"/>
        <v>75</v>
      </c>
    </row>
    <row r="20" spans="2:26" ht="15.7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6" customHeight="1">
      <c r="B22" s="29" t="s">
        <v>6</v>
      </c>
      <c r="C22" s="366" t="str">
        <f>[23]Brewhouse!$A604</f>
        <v>CA497</v>
      </c>
      <c r="D22" s="279">
        <f>[23]Brewhouse!$AF604</f>
        <v>50.4</v>
      </c>
      <c r="E22" s="279">
        <f>[23]Brewhouse!$AI604</f>
        <v>50</v>
      </c>
      <c r="F22" s="278">
        <f>[23]Brewhouse!$V604</f>
        <v>61</v>
      </c>
      <c r="G22" s="279">
        <f>[23]Brewhouse!$AG604</f>
        <v>11.9</v>
      </c>
      <c r="H22" s="396"/>
      <c r="I22" s="368">
        <f>[23]Brewhouse!$AU604</f>
        <v>102.03955950290941</v>
      </c>
      <c r="J22" s="368">
        <f>[23]Brewhouse!$AV604</f>
        <v>102.81887500974835</v>
      </c>
      <c r="K22" s="281">
        <f>[23]Brewhouse!$Q604</f>
        <v>9.1773308957952526</v>
      </c>
      <c r="L22" s="276">
        <f>[23]Brewhouse!$P604</f>
        <v>60</v>
      </c>
      <c r="M22" s="397">
        <f>[23]Brewhouse!$U604-[23]Brewhouse!$T604</f>
        <v>0.18055555555555558</v>
      </c>
      <c r="N22" s="370">
        <f>[23]Brewhouse!$Z604</f>
        <v>0.35763888888888895</v>
      </c>
      <c r="O22" s="371" t="str">
        <f>[23]Brewhouse!$AX604</f>
        <v>R. Sookram</v>
      </c>
      <c r="P22" s="419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4.4">
      <c r="B23" s="29" t="s">
        <v>6</v>
      </c>
      <c r="C23" s="366" t="str">
        <f>[23]Brewhouse!$A605</f>
        <v>CA498</v>
      </c>
      <c r="D23" s="279">
        <f>[23]Brewhouse!$AF605</f>
        <v>53.1</v>
      </c>
      <c r="E23" s="279">
        <f>[23]Brewhouse!$AI605</f>
        <v>51.7</v>
      </c>
      <c r="F23" s="278">
        <f>[23]Brewhouse!$V605</f>
        <v>54</v>
      </c>
      <c r="G23" s="279">
        <f>[23]Brewhouse!$AG605</f>
        <v>11.9</v>
      </c>
      <c r="H23" s="396">
        <v>11.7</v>
      </c>
      <c r="I23" s="368">
        <f>[23]Brewhouse!$AU605</f>
        <v>102.10932922097018</v>
      </c>
      <c r="J23" s="368">
        <f>[23]Brewhouse!$AV605</f>
        <v>102.89032776154174</v>
      </c>
      <c r="K23" s="281">
        <f>[23]Brewhouse!$Q605</f>
        <v>7.5182481751824781</v>
      </c>
      <c r="L23" s="276">
        <f>[23]Brewhouse!$P605</f>
        <v>58</v>
      </c>
      <c r="M23" s="397">
        <f>[23]Brewhouse!$U605-[23]Brewhouse!$T605</f>
        <v>0.10555555555555551</v>
      </c>
      <c r="N23" s="370">
        <f>[23]Brewhouse!$Z605</f>
        <v>0.32430555555555557</v>
      </c>
      <c r="O23" s="371" t="str">
        <f>[23]Brewhouse!$AX605</f>
        <v>K.Benjamin</v>
      </c>
      <c r="P23" s="419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29" t="s">
        <v>6</v>
      </c>
      <c r="C24" s="366" t="str">
        <f>[23]Brewhouse!$A606</f>
        <v>CA499</v>
      </c>
      <c r="D24" s="279">
        <f>[23]Brewhouse!$AF606</f>
        <v>51.8</v>
      </c>
      <c r="E24" s="279">
        <f>[23]Brewhouse!$AI606</f>
        <v>50.2</v>
      </c>
      <c r="F24" s="278">
        <f>[23]Brewhouse!$V606</f>
        <v>52</v>
      </c>
      <c r="G24" s="279">
        <f>[23]Brewhouse!$AG606</f>
        <v>12</v>
      </c>
      <c r="H24" s="396">
        <v>11.8</v>
      </c>
      <c r="I24" s="368">
        <f>[23]Brewhouse!$AU606</f>
        <v>100.02277176135468</v>
      </c>
      <c r="J24" s="368">
        <f>[23]Brewhouse!$AV606</f>
        <v>100.78781095381173</v>
      </c>
      <c r="K24" s="281">
        <f>[23]Brewhouse!$Q606</f>
        <v>8.1294964028777041</v>
      </c>
      <c r="L24" s="276">
        <f>[23]Brewhouse!$P606</f>
        <v>60</v>
      </c>
      <c r="M24" s="397">
        <f>[23]Brewhouse!$U606-[23]Brewhouse!$T606</f>
        <v>0.10277777777777786</v>
      </c>
      <c r="N24" s="370">
        <f>[23]Brewhouse!$Z606</f>
        <v>0.25138888888888888</v>
      </c>
      <c r="O24" s="371" t="str">
        <f>[23]Brewhouse!$AX606</f>
        <v>K.Benjamin</v>
      </c>
      <c r="P24" s="419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 t="s">
        <v>6</v>
      </c>
      <c r="C25" s="366" t="str">
        <f>[23]Brewhouse!$A607</f>
        <v>CA500</v>
      </c>
      <c r="D25" s="279">
        <f>[23]Brewhouse!$AF607</f>
        <v>52.1</v>
      </c>
      <c r="E25" s="279">
        <f>[23]Brewhouse!$AI607</f>
        <v>50.1</v>
      </c>
      <c r="F25" s="278">
        <f>[23]Brewhouse!$V607</f>
        <v>58</v>
      </c>
      <c r="G25" s="279">
        <f>[23]Brewhouse!$AG607</f>
        <v>11.9</v>
      </c>
      <c r="H25" s="396">
        <v>11.8</v>
      </c>
      <c r="I25" s="368">
        <f>[23]Brewhouse!$AU607</f>
        <v>99.31851681214593</v>
      </c>
      <c r="J25" s="368">
        <f>[23]Brewhouse!$AV607</f>
        <v>100.07804401134408</v>
      </c>
      <c r="K25" s="281">
        <f>[23]Brewhouse!$Q607</f>
        <v>7.8119349005424832</v>
      </c>
      <c r="L25" s="276">
        <f>[23]Brewhouse!$P607</f>
        <v>62</v>
      </c>
      <c r="M25" s="397">
        <f>[23]Brewhouse!$U607-[23]Brewhouse!$T607</f>
        <v>0.10555555555555562</v>
      </c>
      <c r="N25" s="370">
        <f>[23]Brewhouse!$Z607</f>
        <v>0.24861111111111112</v>
      </c>
      <c r="O25" s="371" t="str">
        <f>[23]Brewhouse!$AX607</f>
        <v>K.Benjamin</v>
      </c>
      <c r="P25" s="419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[23]Brewhouse!$A608</f>
        <v>CA501</v>
      </c>
      <c r="D26" s="279">
        <f>[23]Brewhouse!$AF608</f>
        <v>53.4</v>
      </c>
      <c r="E26" s="279">
        <f>[23]Brewhouse!$AI608</f>
        <v>51.7</v>
      </c>
      <c r="F26" s="278">
        <f>[23]Brewhouse!$V608</f>
        <v>64</v>
      </c>
      <c r="G26" s="279">
        <f>[23]Brewhouse!$AG608</f>
        <v>11.7</v>
      </c>
      <c r="H26" s="396">
        <v>11.8</v>
      </c>
      <c r="I26" s="368">
        <f>[23]Brewhouse!$AU608</f>
        <v>104.17809812254752</v>
      </c>
      <c r="J26" s="368">
        <f>[23]Brewhouse!$AV608</f>
        <v>104.97355897060523</v>
      </c>
      <c r="K26" s="281">
        <f>[23]Brewhouse!$Q608</f>
        <v>5.5109489051094824</v>
      </c>
      <c r="L26" s="276">
        <f>[23]Brewhouse!$P608</f>
        <v>60</v>
      </c>
      <c r="M26" s="397">
        <f>[23]Brewhouse!$U608-[23]Brewhouse!$T608</f>
        <v>0.11180555555555549</v>
      </c>
      <c r="N26" s="370">
        <f>[23]Brewhouse!$Z608</f>
        <v>0.25486111111111109</v>
      </c>
      <c r="O26" s="371" t="str">
        <f>[23]Brewhouse!$AX608</f>
        <v>K.Benjamin</v>
      </c>
      <c r="P26" s="419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 t="s">
        <v>6</v>
      </c>
      <c r="C27" s="366" t="str">
        <f>[23]Brewhouse!$A609</f>
        <v>CA502</v>
      </c>
      <c r="D27" s="279">
        <f>[23]Brewhouse!$AF609</f>
        <v>52.9</v>
      </c>
      <c r="E27" s="279">
        <f>[23]Brewhouse!$AI609</f>
        <v>50.9</v>
      </c>
      <c r="F27" s="278">
        <f>[23]Brewhouse!$V609</f>
        <v>59</v>
      </c>
      <c r="G27" s="279">
        <f>[23]Brewhouse!$AG609</f>
        <v>11.7</v>
      </c>
      <c r="H27" s="396">
        <v>11.8</v>
      </c>
      <c r="I27" s="368">
        <f>[23]Brewhouse!$AU609</f>
        <v>99.244839917035478</v>
      </c>
      <c r="J27" s="368">
        <f>[23]Brewhouse!$AV609</f>
        <v>100.00376170562595</v>
      </c>
      <c r="K27" s="281">
        <f>[23]Brewhouse!$Q609</f>
        <v>4.7810218978102146</v>
      </c>
      <c r="L27" s="276">
        <f>[23]Brewhouse!$P609</f>
        <v>60</v>
      </c>
      <c r="M27" s="397">
        <f>[23]Brewhouse!$U609-[23]Brewhouse!$T609</f>
        <v>0.10902777777777772</v>
      </c>
      <c r="N27" s="370">
        <f>[23]Brewhouse!$Z609</f>
        <v>0.24236111111111103</v>
      </c>
      <c r="O27" s="371" t="str">
        <f>[23]Brewhouse!$AX609</f>
        <v>R. Regis</v>
      </c>
      <c r="P27" s="419"/>
      <c r="R27" s="277" t="str">
        <f t="shared" si="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6" customHeight="1">
      <c r="B28" s="29" t="s">
        <v>6</v>
      </c>
      <c r="C28" s="366" t="str">
        <f>[23]Brewhouse!$A610</f>
        <v>CA503</v>
      </c>
      <c r="D28" s="279">
        <f>[23]Brewhouse!$AF610</f>
        <v>52.9</v>
      </c>
      <c r="E28" s="279">
        <f>[23]Brewhouse!$AI610</f>
        <v>51.7</v>
      </c>
      <c r="F28" s="278">
        <f>[23]Brewhouse!$V610</f>
        <v>62</v>
      </c>
      <c r="G28" s="279">
        <f>[23]Brewhouse!$AG610</f>
        <v>11.7</v>
      </c>
      <c r="H28" s="396">
        <v>11.7</v>
      </c>
      <c r="I28" s="368">
        <f>[23]Brewhouse!$AU610</f>
        <v>100.18083762081626</v>
      </c>
      <c r="J28" s="368">
        <f>[23]Brewhouse!$AV610</f>
        <v>100.94712775581598</v>
      </c>
      <c r="K28" s="281">
        <f>[23]Brewhouse!$Q610</f>
        <v>8.5918003565062389</v>
      </c>
      <c r="L28" s="276">
        <f>[23]Brewhouse!$P610</f>
        <v>60</v>
      </c>
      <c r="M28" s="397">
        <f>[23]Brewhouse!$U610-[23]Brewhouse!$T610</f>
        <v>0.11319444444444438</v>
      </c>
      <c r="N28" s="370">
        <f>[23]Brewhouse!$Z610</f>
        <v>0.25347222222222221</v>
      </c>
      <c r="O28" s="371" t="str">
        <f>[23]Brewhouse!$AX610</f>
        <v>R. Regis</v>
      </c>
      <c r="P28" s="419"/>
      <c r="R28" s="277" t="str">
        <f t="shared" si="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4.4">
      <c r="B29" s="29" t="s">
        <v>6</v>
      </c>
      <c r="C29" s="366" t="str">
        <f>[23]Brewhouse!$A611</f>
        <v>CA504</v>
      </c>
      <c r="D29" s="279">
        <f>[23]Brewhouse!$AF611</f>
        <v>51.4</v>
      </c>
      <c r="E29" s="279">
        <f>[23]Brewhouse!$AI611</f>
        <v>50.6</v>
      </c>
      <c r="F29" s="278">
        <f>[23]Brewhouse!$V611</f>
        <v>67</v>
      </c>
      <c r="G29" s="279">
        <f>[23]Brewhouse!$AG611</f>
        <v>11.8</v>
      </c>
      <c r="H29" s="396">
        <v>11.8</v>
      </c>
      <c r="I29" s="368">
        <f>[23]Brewhouse!$AU611</f>
        <v>98.931213213201133</v>
      </c>
      <c r="J29" s="368">
        <f>[23]Brewhouse!$AV611</f>
        <v>99.68794488493829</v>
      </c>
      <c r="K29" s="281">
        <f>[23]Brewhouse!$Q611</f>
        <v>8.8489208633093543</v>
      </c>
      <c r="L29" s="276">
        <f>[23]Brewhouse!$P611</f>
        <v>60</v>
      </c>
      <c r="M29" s="397">
        <f>[23]Brewhouse!$U611-[23]Brewhouse!$T611</f>
        <v>0.11249999999999982</v>
      </c>
      <c r="N29" s="370">
        <f>[23]Brewhouse!$Z611</f>
        <v>0.24999999999999989</v>
      </c>
      <c r="O29" s="371" t="str">
        <f>[23]Brewhouse!$AX611</f>
        <v>R. Regis</v>
      </c>
      <c r="P29" s="419"/>
      <c r="R29" s="277" t="str">
        <f t="shared" si="0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6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9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customHeight="1" thickBot="1">
      <c r="B43" s="358"/>
      <c r="C43" s="358"/>
      <c r="D43" s="358"/>
      <c r="E43" s="358"/>
      <c r="F43" s="294"/>
      <c r="G43" s="294"/>
      <c r="H43" s="348"/>
      <c r="I43" s="532"/>
      <c r="J43" s="532"/>
      <c r="K43" s="532"/>
      <c r="L43" s="532"/>
      <c r="M43" s="532"/>
      <c r="N43" s="532"/>
      <c r="O43" s="1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thickBot="1">
      <c r="B44" s="388" t="s">
        <v>163</v>
      </c>
      <c r="C44" s="388"/>
      <c r="D44" s="545" t="s">
        <v>35</v>
      </c>
      <c r="E44" s="546"/>
      <c r="F44" s="294"/>
      <c r="G44" s="294"/>
      <c r="H44" s="348"/>
      <c r="I44" s="24" t="s">
        <v>17</v>
      </c>
      <c r="J44" s="25" t="s">
        <v>36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R44" s="277" t="str">
        <f t="shared" si="0"/>
        <v xml:space="preserve">BRAND 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customHeight="1">
      <c r="A45" s="28"/>
      <c r="B45" s="569" t="str">
        <f>I45</f>
        <v>CARIB</v>
      </c>
      <c r="C45" s="362">
        <f>[23]Process!D551</f>
        <v>11.7</v>
      </c>
      <c r="D45" s="536">
        <v>11.82</v>
      </c>
      <c r="E45" s="525"/>
      <c r="F45" s="294"/>
      <c r="G45" s="294"/>
      <c r="H45" s="348"/>
      <c r="I45" s="29" t="s">
        <v>6</v>
      </c>
      <c r="J45" s="280">
        <f>AVERAGE(I22:I29)</f>
        <v>100.75314577137257</v>
      </c>
      <c r="K45" s="284">
        <f>COUNTA([23]Brewhouse!$A$580:$A$611)</f>
        <v>32</v>
      </c>
      <c r="L45" s="305">
        <f>AVERAGE([23]Brewhouse!$AU$580:$AU$611)</f>
        <v>98.80661079344074</v>
      </c>
      <c r="M4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AVERAGE([23]Brewhouse!$AU$102:$AU$171,[23]Brewhouse!$AU$173:$AU$253,[23]Brewhouse!$AU$255:$AU$339,[23]Brewhouse!$AU$341:$AU$346,[23]Brewhouse!$AU$348,[23]Brewhouse!$AU$349:$AU$406,[23]Brewhouse!$AU$408:$AU$491,[23]Brewhouse!$AU$493:$AU$578,[23]Brewhouse!$AU$580:$AU$611)</f>
        <v>97.817089408065812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5" customHeight="1">
      <c r="A46" s="28"/>
      <c r="B46" s="594"/>
      <c r="C46" s="349">
        <f>[23]Process!D552</f>
        <v>11.88</v>
      </c>
      <c r="D46" s="537"/>
      <c r="E46" s="520"/>
      <c r="F46" s="294"/>
      <c r="G46" s="294"/>
      <c r="H46" s="348"/>
      <c r="I46" s="33" t="s">
        <v>9</v>
      </c>
      <c r="J46" s="280"/>
      <c r="K46" s="284">
        <f>COUNTA([24]Brewhouse!$A$275:$A$304)</f>
        <v>30</v>
      </c>
      <c r="L46" s="302">
        <f>AVERAGE([24]Brewhouse!$AS$275:$AS$304)</f>
        <v>99.238201580061059</v>
      </c>
      <c r="M46" s="302">
        <f>AVERAGE([24]Brewhouse!$AS$15:$AS$64,[24]Brewhouse!$AS$66:$AS$103,[24]Brewhouse!$AS$105:$AS$140,[24]Brewhouse!$AS$142:$AS$193,[24]Brewhouse!$AS$195:$AS$240,[24]Brewhouse!$AS$242:$AS$273,[24]Brewhouse!$AS$275:$AS$304)</f>
        <v>98.020126646040623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94"/>
      <c r="C47" s="349">
        <f>[23]Process!D553</f>
        <v>11.8</v>
      </c>
      <c r="D47" s="536">
        <v>11.82</v>
      </c>
      <c r="E47" s="525"/>
      <c r="F47" s="294"/>
      <c r="G47" s="294"/>
      <c r="H47" s="348"/>
      <c r="I47" s="34" t="s">
        <v>12</v>
      </c>
      <c r="J47" s="280"/>
      <c r="K47" s="284">
        <f>COUNTA([25]Brewhouse!$A$64:$A$71)</f>
        <v>8</v>
      </c>
      <c r="L47" s="302">
        <f>AVERAGE([25]Brewhouse!$AU$64:$AU$71)</f>
        <v>97.273930939242547</v>
      </c>
      <c r="M47" s="302">
        <f>AVERAGE([25]Brewhouse!$AU$4:$AU$7,[25]Brewhouse!$AU$9:$AU$22,[25]Brewhouse!$AU$24:$AU$35,[25]Brewhouse!$AU$37:$AU$45,[25]Brewhouse!$AU$47:$AU$62,[25]Brewhouse!$AU$64:$AU$71)</f>
        <v>97.191383970163244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4"/>
      <c r="C48" s="349">
        <f>[23]Process!D554</f>
        <v>11.73</v>
      </c>
      <c r="D48" s="537"/>
      <c r="E48" s="520"/>
      <c r="F48" s="294"/>
      <c r="G48" s="294"/>
      <c r="H48" s="348"/>
      <c r="I48" s="22" t="s">
        <v>33</v>
      </c>
      <c r="J48" s="280">
        <f>AVERAGE(I18:I19)</f>
        <v>101.67913185630201</v>
      </c>
      <c r="K48" s="284">
        <f>COUNTA([26]Brewhouse!$A$55:$A$62)</f>
        <v>8</v>
      </c>
      <c r="L48" s="302">
        <f>AVERAGE([26]Brewhouse!$AV$55:$AV$62)</f>
        <v>99.616385552827751</v>
      </c>
      <c r="M48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4"/>
      <c r="C49" s="349">
        <f>[23]Process!D555</f>
        <v>11.96</v>
      </c>
      <c r="D49" s="536">
        <v>11.9</v>
      </c>
      <c r="E49" s="525"/>
      <c r="F49" s="418"/>
      <c r="G49" s="294"/>
      <c r="H49" s="348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4"/>
      <c r="C50" s="349">
        <f>[23]Process!D556</f>
        <v>11.85</v>
      </c>
      <c r="D50" s="537"/>
      <c r="E50" s="520"/>
      <c r="F50" s="418"/>
      <c r="G50" s="294"/>
      <c r="H50" s="348"/>
      <c r="I50" s="36" t="s">
        <v>15</v>
      </c>
      <c r="J50" s="323"/>
      <c r="K50" s="284"/>
      <c r="L50" s="302"/>
      <c r="M50" s="302">
        <f>AVERAGE([27]Brewhouse!$AT$4:$AT$11,[27]Brewhouse!$AT$13:$AT$16,[27]Brewhouse!$AT$18:$AT$21)</f>
        <v>94.773169817643847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94"/>
      <c r="C51" s="349">
        <f>[23]Process!D557</f>
        <v>11.9</v>
      </c>
      <c r="D51" s="536">
        <v>11.89</v>
      </c>
      <c r="E51" s="525"/>
      <c r="F51" s="418"/>
      <c r="G51" s="294"/>
      <c r="H51" s="348"/>
      <c r="I51" s="37" t="s">
        <v>16</v>
      </c>
      <c r="J51" s="323"/>
      <c r="K51" s="284">
        <f>COUNTA([22]Brewhouse!$A$56:$A$65)</f>
        <v>10</v>
      </c>
      <c r="L51" s="302">
        <f>AVERAGE([22]Brewhouse!$AY$56:$AY$65)</f>
        <v>99.275500637605006</v>
      </c>
      <c r="M51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1" s="30">
        <v>98</v>
      </c>
      <c r="O51" s="11"/>
      <c r="P51" s="31" t="s">
        <v>41</v>
      </c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4"/>
      <c r="C52" s="349">
        <f>[23]Process!D558</f>
        <v>11.9</v>
      </c>
      <c r="D52" s="537"/>
      <c r="E52" s="520"/>
      <c r="F52" s="294"/>
      <c r="G52" s="294"/>
      <c r="H52" s="348"/>
      <c r="I52" s="411" t="s">
        <v>158</v>
      </c>
      <c r="J52" s="326"/>
      <c r="K52" s="284"/>
      <c r="L52" s="305"/>
      <c r="M52" s="305">
        <f>AVERAGE([28]Brewhouse!$AU$5:$AU$8,[28]Brewhouse!$AU$10:$AU$13)</f>
        <v>94.247666625193744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4"/>
      <c r="C53" s="349"/>
      <c r="D53" s="536"/>
      <c r="E53" s="525"/>
      <c r="F53" s="294"/>
      <c r="G53" s="294"/>
      <c r="H53" s="348"/>
      <c r="I53" s="410" t="s">
        <v>157</v>
      </c>
      <c r="J53" s="326"/>
      <c r="K53" s="284"/>
      <c r="L53" s="305"/>
      <c r="M53" s="305">
        <f>AVERAGE([29]Brewhouse!$AW$26:$AW$27)</f>
        <v>95.310680905194914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94"/>
      <c r="C54" s="349"/>
      <c r="D54" s="537"/>
      <c r="E54" s="520"/>
      <c r="F54" s="294"/>
      <c r="G54" s="294"/>
      <c r="H54" s="348"/>
      <c r="I54" s="406" t="s">
        <v>156</v>
      </c>
      <c r="J54" s="327"/>
      <c r="K54" s="407"/>
      <c r="L54" s="408"/>
      <c r="M54" s="408">
        <f>AVERAGE([30]Brewhouse!$AU$13:$AU$14)</f>
        <v>97.110575243268045</v>
      </c>
      <c r="N54" s="409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4"/>
      <c r="C55" s="349"/>
      <c r="D55" s="536"/>
      <c r="E55" s="525"/>
      <c r="F55" s="294"/>
      <c r="G55" s="294"/>
      <c r="H55" s="348"/>
      <c r="I55" s="1"/>
      <c r="J55" s="39"/>
      <c r="K55" s="404">
        <f>SUM(K45:K54)</f>
        <v>88</v>
      </c>
      <c r="L55" s="405">
        <f>((L45*K45)+(L46*K46)+(L47*K47)+(L48*K48)+(L49*K49)+(K52*L52)+(L50*K50)+(L51*K51)+(L54*K54))/(K55)</f>
        <v>98.941308308006228</v>
      </c>
      <c r="M55" s="405">
        <f>AVERAGE('[31]Jan 31st'!$L$65,'[32]Feb 28th'!$L$35,'[33]Mar. 31st'!$L$35,'[34]Apr. 30th'!$L$45,'[35]May 30th'!$L$37,L55)</f>
        <v>97.853426957562547</v>
      </c>
      <c r="N55" s="4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95"/>
      <c r="C56" s="350"/>
      <c r="D56" s="537"/>
      <c r="E56" s="520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89" t="str">
        <f>I46</f>
        <v>STAG</v>
      </c>
      <c r="C57" s="362">
        <f>[24]Process!D270</f>
        <v>12.2</v>
      </c>
      <c r="D57" s="517">
        <v>12.05</v>
      </c>
      <c r="E57" s="518"/>
      <c r="F57" s="294"/>
      <c r="G57" s="42"/>
      <c r="H57" s="41"/>
      <c r="I57" s="42"/>
      <c r="J57" s="572" t="s">
        <v>129</v>
      </c>
      <c r="K57" s="572"/>
      <c r="L57" s="294"/>
      <c r="M57" s="294"/>
      <c r="N57" s="294"/>
      <c r="O57" s="294"/>
      <c r="P57" s="12"/>
    </row>
    <row r="58" spans="1:56" ht="15" thickBot="1">
      <c r="B58" s="590"/>
      <c r="C58" s="362">
        <f>[24]Process!D271</f>
        <v>12</v>
      </c>
      <c r="D58" s="519"/>
      <c r="E58" s="520"/>
      <c r="F58" s="294"/>
      <c r="G58" s="42"/>
      <c r="H58" s="41"/>
      <c r="I58" s="42"/>
      <c r="J58" s="292" t="s">
        <v>17</v>
      </c>
      <c r="K58" s="293" t="s">
        <v>147</v>
      </c>
      <c r="L58" s="522" t="s">
        <v>136</v>
      </c>
      <c r="M58" s="522"/>
      <c r="N58" s="523"/>
      <c r="O58" s="294"/>
      <c r="P58" s="12"/>
    </row>
    <row r="59" spans="1:56" ht="15" customHeight="1" thickBot="1">
      <c r="B59" s="590"/>
      <c r="C59" s="349">
        <f>[24]Process!D272</f>
        <v>11.8</v>
      </c>
      <c r="D59" s="573">
        <v>12.07</v>
      </c>
      <c r="E59" s="574"/>
      <c r="F59" s="294"/>
      <c r="G59" s="42"/>
      <c r="H59" s="41"/>
      <c r="I59" s="42"/>
      <c r="J59" s="287" t="s">
        <v>6</v>
      </c>
      <c r="K59" s="324">
        <v>8</v>
      </c>
      <c r="L59" s="343" t="s">
        <v>37</v>
      </c>
      <c r="M59" s="307" t="s">
        <v>38</v>
      </c>
      <c r="N59" s="307" t="s">
        <v>84</v>
      </c>
      <c r="O59" s="294"/>
      <c r="P59" s="12"/>
    </row>
    <row r="60" spans="1:56" ht="15.75" customHeight="1" thickBot="1">
      <c r="B60" s="590"/>
      <c r="C60" s="349">
        <f>[24]Process!D273</f>
        <v>11.8</v>
      </c>
      <c r="D60" s="519"/>
      <c r="E60" s="520"/>
      <c r="F60" s="294"/>
      <c r="G60" s="42"/>
      <c r="H60" s="41"/>
      <c r="I60" s="42"/>
      <c r="J60" s="345" t="s">
        <v>9</v>
      </c>
      <c r="K60" s="324"/>
      <c r="L60" s="344">
        <f>AVERAGE(K69,'July 1st'!K67,'July 2nd'!K68,'July 3rd'!K68,'July 4th'!K68,'July 7th '!K68,'July 8th '!K68,'July 9th  '!K69,'July 10th '!K69,'July 11th  '!K69,'July 14th'!K69)</f>
        <v>8</v>
      </c>
      <c r="M60" s="325">
        <f>AVERAGE('[31]Jan 29th '!$M$70,'[32]Feb 28th'!$L$40,'[33]Mar. 31st'!$L$40,'[34]Apr. 30th'!$L$50,'[35]May 30th'!$L$42,L60)</f>
        <v>6.8677735308170087</v>
      </c>
      <c r="N60" s="417">
        <v>9.1999999999999993</v>
      </c>
      <c r="O60" s="294"/>
      <c r="P60" s="12"/>
    </row>
    <row r="61" spans="1:56" ht="15" customHeight="1">
      <c r="B61" s="590"/>
      <c r="C61" s="349"/>
      <c r="D61" s="573"/>
      <c r="E61" s="574"/>
      <c r="F61" s="294"/>
      <c r="G61" s="42"/>
      <c r="H61" s="41"/>
      <c r="I61" s="42"/>
      <c r="J61" s="288" t="s">
        <v>40</v>
      </c>
      <c r="K61" s="324"/>
      <c r="L61" s="294"/>
      <c r="M61" s="294"/>
      <c r="N61" s="294"/>
      <c r="O61" s="294"/>
      <c r="P61" s="12"/>
    </row>
    <row r="62" spans="1:56" ht="15" customHeight="1">
      <c r="B62" s="590"/>
      <c r="C62" s="349"/>
      <c r="D62" s="519"/>
      <c r="E62" s="520"/>
      <c r="F62" s="294"/>
      <c r="G62" s="42"/>
      <c r="H62" s="41"/>
      <c r="I62" s="42"/>
      <c r="J62" s="289" t="s">
        <v>33</v>
      </c>
      <c r="K62" s="324">
        <v>2</v>
      </c>
      <c r="L62" s="294"/>
      <c r="M62" s="294"/>
      <c r="N62" s="294"/>
      <c r="O62" s="294"/>
      <c r="P62" s="12"/>
    </row>
    <row r="63" spans="1:56" ht="14.4">
      <c r="B63" s="590"/>
      <c r="C63" s="349"/>
      <c r="D63" s="573"/>
      <c r="E63" s="574"/>
      <c r="F63" s="294"/>
      <c r="G63" s="42"/>
      <c r="H63" s="41"/>
      <c r="I63" s="42"/>
      <c r="J63" s="290" t="s">
        <v>16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90"/>
      <c r="C64" s="349"/>
      <c r="D64" s="519"/>
      <c r="E64" s="520"/>
      <c r="F64" s="294"/>
      <c r="G64" s="42"/>
      <c r="H64" s="41"/>
      <c r="I64" s="42"/>
      <c r="J64" s="291" t="s">
        <v>15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73"/>
      <c r="E65" s="574"/>
      <c r="F65" s="294"/>
      <c r="G65" s="42"/>
      <c r="H65" s="41"/>
      <c r="I65" s="42"/>
      <c r="J65" s="291" t="s">
        <v>149</v>
      </c>
      <c r="K65" s="324"/>
      <c r="L65" s="294"/>
      <c r="M65" s="294"/>
      <c r="N65" s="294"/>
      <c r="O65" s="294"/>
      <c r="P65" s="12"/>
      <c r="BC65" s="44"/>
      <c r="BD65" s="44"/>
    </row>
    <row r="66" spans="2:57" ht="15" thickBot="1">
      <c r="B66" s="591"/>
      <c r="C66" s="350"/>
      <c r="D66" s="575"/>
      <c r="E66" s="576"/>
      <c r="F66" s="294"/>
      <c r="G66" s="42"/>
      <c r="H66" s="41"/>
      <c r="I66" s="42"/>
      <c r="J66" s="291" t="s">
        <v>148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 thickBot="1">
      <c r="B67" s="312" t="s">
        <v>139</v>
      </c>
      <c r="C67" s="313"/>
      <c r="D67" s="577">
        <f>AVERAGE(D45:E66)</f>
        <v>11.925000000000002</v>
      </c>
      <c r="E67" s="578"/>
      <c r="F67" s="294"/>
      <c r="G67" s="42"/>
      <c r="H67" s="41"/>
      <c r="I67" s="42"/>
      <c r="J67" s="295" t="s">
        <v>134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>
      <c r="B68" s="363"/>
      <c r="C68" s="364"/>
      <c r="D68" s="365"/>
      <c r="E68" s="365"/>
      <c r="F68" s="294"/>
      <c r="G68" s="42"/>
      <c r="H68" s="41"/>
      <c r="I68" s="42"/>
      <c r="J68" s="295" t="s">
        <v>131</v>
      </c>
      <c r="K68" s="324"/>
      <c r="L68" s="294"/>
      <c r="M68" s="294"/>
      <c r="N68" s="294"/>
      <c r="O68" s="294"/>
      <c r="P68" s="12"/>
      <c r="BC68" s="44"/>
      <c r="BD68" s="44"/>
    </row>
    <row r="69" spans="2:57" ht="15.6" customHeight="1">
      <c r="B69" s="45"/>
      <c r="C69" s="11"/>
      <c r="D69" s="11"/>
      <c r="E69" s="46"/>
      <c r="F69" s="294"/>
      <c r="G69" s="42"/>
      <c r="H69" s="41"/>
      <c r="I69" s="42"/>
      <c r="J69" s="346" t="s">
        <v>130</v>
      </c>
      <c r="K69" s="324">
        <f>SUM(K59:K68)</f>
        <v>10</v>
      </c>
      <c r="L69" s="294"/>
      <c r="M69" s="294"/>
      <c r="N69" s="294"/>
      <c r="O69" s="294"/>
      <c r="P69" s="12"/>
    </row>
    <row r="70" spans="2:57" ht="20.25" customHeight="1">
      <c r="B70" s="15" t="s">
        <v>42</v>
      </c>
      <c r="C70" s="1" t="s">
        <v>43</v>
      </c>
      <c r="D70" s="1"/>
      <c r="E70" s="1"/>
      <c r="F70" s="294"/>
      <c r="G70" s="42"/>
      <c r="H70" s="41"/>
      <c r="I70" s="42"/>
      <c r="L70" s="294"/>
      <c r="P70" s="334"/>
    </row>
    <row r="71" spans="2:57" ht="15" customHeight="1" thickBot="1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9"/>
    </row>
    <row r="72" spans="2:57" ht="15" customHeight="1" thickBot="1">
      <c r="B72" s="498" t="s">
        <v>17</v>
      </c>
      <c r="C72" s="498" t="s">
        <v>44</v>
      </c>
      <c r="D72" s="510" t="s">
        <v>45</v>
      </c>
      <c r="E72" s="512" t="s">
        <v>46</v>
      </c>
      <c r="F72" s="506" t="s">
        <v>47</v>
      </c>
      <c r="G72" s="496" t="s">
        <v>48</v>
      </c>
      <c r="H72" s="498" t="s">
        <v>49</v>
      </c>
      <c r="I72" s="498" t="s">
        <v>50</v>
      </c>
      <c r="J72" s="490" t="s">
        <v>28</v>
      </c>
      <c r="K72" s="502" t="s">
        <v>51</v>
      </c>
      <c r="L72" s="504" t="s">
        <v>52</v>
      </c>
      <c r="M72" s="490" t="s">
        <v>53</v>
      </c>
      <c r="N72" s="13"/>
      <c r="O72" s="13"/>
      <c r="P72" s="50"/>
    </row>
    <row r="73" spans="2:57" ht="28.5" customHeight="1" thickTop="1" thickBot="1">
      <c r="B73" s="499"/>
      <c r="C73" s="499"/>
      <c r="D73" s="511"/>
      <c r="E73" s="513"/>
      <c r="F73" s="507"/>
      <c r="G73" s="497"/>
      <c r="H73" s="499"/>
      <c r="I73" s="499"/>
      <c r="J73" s="491"/>
      <c r="K73" s="503"/>
      <c r="L73" s="505"/>
      <c r="M73" s="491"/>
      <c r="N73" s="13"/>
      <c r="O73" s="13"/>
      <c r="P73" s="50"/>
      <c r="Q73" s="355"/>
      <c r="AB73" s="51">
        <v>43474</v>
      </c>
      <c r="AC73" s="51">
        <v>43475</v>
      </c>
      <c r="AD73" s="51">
        <v>43476</v>
      </c>
      <c r="AE73" s="51">
        <v>43477</v>
      </c>
      <c r="AF73" s="51">
        <v>43478</v>
      </c>
      <c r="AG73" s="51">
        <v>43479</v>
      </c>
      <c r="AH73" s="51">
        <v>43480</v>
      </c>
      <c r="AI73" s="51">
        <v>43481</v>
      </c>
      <c r="AJ73" s="51">
        <v>43482</v>
      </c>
      <c r="AK73" s="51">
        <v>43483</v>
      </c>
      <c r="AL73" s="51">
        <v>43484</v>
      </c>
      <c r="AM73" s="51">
        <v>43485</v>
      </c>
      <c r="AN73" s="51">
        <v>43486</v>
      </c>
      <c r="AO73" s="51">
        <v>43487</v>
      </c>
      <c r="AP73" s="51">
        <v>43488</v>
      </c>
      <c r="AQ73" s="51">
        <v>43489</v>
      </c>
      <c r="AR73" s="51">
        <v>43490</v>
      </c>
      <c r="AS73" s="51">
        <v>43491</v>
      </c>
      <c r="AT73" s="51">
        <v>43492</v>
      </c>
      <c r="AU73" s="51">
        <v>43493</v>
      </c>
      <c r="AV73" s="51">
        <v>43494</v>
      </c>
      <c r="AW73" s="51">
        <v>43495</v>
      </c>
      <c r="AX73" s="51">
        <v>43496</v>
      </c>
    </row>
    <row r="74" spans="2:57" s="54" customFormat="1" ht="53.25" customHeight="1">
      <c r="B74" s="387" t="str">
        <f>B81</f>
        <v>CARIB</v>
      </c>
      <c r="C74" s="422">
        <v>45853</v>
      </c>
      <c r="D74" s="377">
        <f>[36]July_2025!$R$3</f>
        <v>409.9</v>
      </c>
      <c r="E74" s="378"/>
      <c r="F74" s="379"/>
      <c r="G74" s="303">
        <f>[36]July_2025!$R$7</f>
        <v>401.9</v>
      </c>
      <c r="H74" s="320"/>
      <c r="I74" s="322"/>
      <c r="J74" s="392" t="s">
        <v>164</v>
      </c>
      <c r="K74" s="286">
        <f>[37]July_2025!$R$18</f>
        <v>1.4101754385964911</v>
      </c>
      <c r="L74" s="391">
        <f>(((D74+E74)-G74)/(D74+E74))*100</f>
        <v>1.9516955354964627</v>
      </c>
      <c r="M74" s="435" t="s">
        <v>186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285.8</v>
      </c>
      <c r="AC74" s="57">
        <f>[20]January_2019!M7</f>
        <v>508.1</v>
      </c>
      <c r="AD74" s="57">
        <f>[20]January_2019!N7</f>
        <v>0</v>
      </c>
      <c r="AE74" s="57">
        <f>[20]January_2019!O7</f>
        <v>0</v>
      </c>
      <c r="AF74" s="57">
        <f>[20]January_2019!P7</f>
        <v>109.56666666666666</v>
      </c>
      <c r="AG74" s="57">
        <f>[20]January_2019!Q7</f>
        <v>297.64999999999998</v>
      </c>
      <c r="AH74" s="57">
        <f>[20]January_2019!R7</f>
        <v>122.3</v>
      </c>
      <c r="AI74" s="57">
        <f>[20]January_2019!S7</f>
        <v>0</v>
      </c>
      <c r="AJ74" s="57">
        <f>[20]January_2019!T7</f>
        <v>294.7</v>
      </c>
      <c r="AK74" s="57">
        <f>[20]January_2019!U7</f>
        <v>280.5</v>
      </c>
      <c r="AL74" s="57">
        <f>[20]January_2019!V7</f>
        <v>0</v>
      </c>
      <c r="AM74" s="57">
        <f>[20]January_2019!W7</f>
        <v>0</v>
      </c>
      <c r="AN74" s="57">
        <f>[20]January_2019!X7</f>
        <v>188.25</v>
      </c>
      <c r="AO74" s="57">
        <f>[20]January_2019!Y7</f>
        <v>295.7</v>
      </c>
      <c r="AP74" s="57">
        <f>[20]January_2019!Z7</f>
        <v>257.8</v>
      </c>
      <c r="AQ74" s="57">
        <f>[20]January_2019!AA7</f>
        <v>291.2</v>
      </c>
      <c r="AR74" s="57">
        <f>[20]January_2019!AB7</f>
        <v>187</v>
      </c>
      <c r="AS74" s="57">
        <f>[20]January_2019!AC7</f>
        <v>0</v>
      </c>
      <c r="AT74" s="57">
        <f>[20]January_2019!AD7</f>
        <v>0</v>
      </c>
      <c r="AU74" s="57">
        <f>[20]January_2019!AE7</f>
        <v>485.1</v>
      </c>
      <c r="AV74" s="57">
        <f>[20]January_2019!AF7</f>
        <v>171.55</v>
      </c>
      <c r="AW74" s="57">
        <f>[20]January_2019!AG7</f>
        <v>423.8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20.399999999999999" customHeight="1">
      <c r="B75" s="431"/>
      <c r="C75" s="422"/>
      <c r="D75" s="377"/>
      <c r="E75" s="378"/>
      <c r="F75" s="379"/>
      <c r="G75" s="303"/>
      <c r="H75" s="320"/>
      <c r="I75" s="322"/>
      <c r="J75" s="281"/>
      <c r="K75" s="286"/>
      <c r="L75" s="314"/>
      <c r="M75" s="434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53.25" customHeight="1">
      <c r="B76" s="432" t="str">
        <f>B82</f>
        <v>STAG</v>
      </c>
      <c r="C76" s="422">
        <v>45853</v>
      </c>
      <c r="D76" s="377">
        <f>[36]July_2025!$R$13</f>
        <v>200</v>
      </c>
      <c r="E76" s="378"/>
      <c r="F76" s="379">
        <f>[38]STAG!$L$18+[38]STAG!$L$20</f>
        <v>197.1</v>
      </c>
      <c r="G76" s="303">
        <f>[36]July_2025!$R$17</f>
        <v>190.2</v>
      </c>
      <c r="H76" s="320">
        <f>(D76-F76)/D76*100</f>
        <v>1.4500000000000028</v>
      </c>
      <c r="I76" s="322">
        <f>((F76+E76)-G76)/(F76+E76)*100</f>
        <v>3.5007610350076135</v>
      </c>
      <c r="J76" s="392" t="s">
        <v>164</v>
      </c>
      <c r="K76" s="286">
        <f>[37]July_2025!$R$25</f>
        <v>0.6673684210526315</v>
      </c>
      <c r="L76" s="314">
        <f>(((D76+E76)-G76)/(D76+E76))*100</f>
        <v>4.9000000000000057</v>
      </c>
      <c r="M76" s="438" t="s">
        <v>176</v>
      </c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customHeight="1" thickBot="1">
      <c r="B77" s="439"/>
      <c r="C77" s="440"/>
      <c r="D77" s="441"/>
      <c r="E77" s="442"/>
      <c r="F77" s="443"/>
      <c r="G77" s="444"/>
      <c r="H77" s="445"/>
      <c r="I77" s="446"/>
      <c r="J77" s="447"/>
      <c r="K77" s="448"/>
      <c r="L77" s="449"/>
      <c r="M77" s="437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 t="s">
        <v>41</v>
      </c>
      <c r="O78" s="56"/>
      <c r="P78" s="60"/>
    </row>
    <row r="79" spans="2:57" ht="14.4" thickBot="1">
      <c r="B79" s="492" t="s">
        <v>55</v>
      </c>
      <c r="C79" s="493"/>
      <c r="D79" s="493"/>
      <c r="E79" s="493"/>
      <c r="F79" s="494"/>
      <c r="G79" s="492" t="s">
        <v>56</v>
      </c>
      <c r="H79" s="493"/>
      <c r="I79" s="493"/>
      <c r="J79" s="494"/>
      <c r="K79" s="492" t="s">
        <v>51</v>
      </c>
      <c r="L79" s="493"/>
      <c r="M79" s="493"/>
      <c r="N79" s="495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 t="s">
        <v>36</v>
      </c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>
        <f>L74</f>
        <v>1.9516955354964627</v>
      </c>
      <c r="D81" s="76">
        <v>5.1567424767534424</v>
      </c>
      <c r="E81" s="76">
        <v>6.4308411851227927</v>
      </c>
      <c r="F81" s="66">
        <v>4.8</v>
      </c>
      <c r="G81" s="65">
        <f>[36]July_2025!$R$11</f>
        <v>1.8724965819710102</v>
      </c>
      <c r="H81" s="76">
        <v>4.2657333534483266</v>
      </c>
      <c r="I81" s="76">
        <v>6.321769489606484</v>
      </c>
      <c r="J81" s="66">
        <v>4.8</v>
      </c>
      <c r="K81" s="67">
        <f>K74</f>
        <v>1.4101754385964911</v>
      </c>
      <c r="L81" s="194">
        <v>1.1425010462702558</v>
      </c>
      <c r="M81" s="194">
        <v>0.7541870276439433</v>
      </c>
      <c r="N81" s="68">
        <v>1</v>
      </c>
      <c r="O81" s="56"/>
      <c r="P81" s="69"/>
    </row>
    <row r="82" spans="2:16">
      <c r="B82" s="33" t="s">
        <v>9</v>
      </c>
      <c r="C82" s="65">
        <f>L76</f>
        <v>4.9000000000000057</v>
      </c>
      <c r="D82" s="76">
        <v>5.7227748352925918</v>
      </c>
      <c r="E82" s="76">
        <v>6.0887030852231598</v>
      </c>
      <c r="F82" s="66">
        <v>4.8</v>
      </c>
      <c r="G82" s="65">
        <f>[36]July_2025!$R$21</f>
        <v>3.6066400000000067</v>
      </c>
      <c r="H82" s="76">
        <v>5.0603857242884045</v>
      </c>
      <c r="I82" s="76">
        <v>5.7601419753057765</v>
      </c>
      <c r="J82" s="66">
        <v>4.8</v>
      </c>
      <c r="K82" s="67">
        <f>K76</f>
        <v>0.6673684210526315</v>
      </c>
      <c r="L82" s="194">
        <v>0.50066010821446139</v>
      </c>
      <c r="M82" s="194">
        <v>0.73836015755280138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11.96027372373279</v>
      </c>
      <c r="F83" s="66">
        <v>5.5</v>
      </c>
      <c r="G83" s="65"/>
      <c r="H83" s="76"/>
      <c r="I83" s="76">
        <v>13.111031100634913</v>
      </c>
      <c r="J83" s="66">
        <v>5.5</v>
      </c>
      <c r="K83" s="67"/>
      <c r="L83" s="194"/>
      <c r="M83" s="194">
        <v>0.4869398559932232</v>
      </c>
      <c r="N83" s="68">
        <v>1</v>
      </c>
      <c r="P83" s="69"/>
    </row>
    <row r="84" spans="2:16">
      <c r="B84" s="22" t="s">
        <v>33</v>
      </c>
      <c r="C84" s="65"/>
      <c r="D84" s="76"/>
      <c r="E84" s="76">
        <v>5.4214697406339898</v>
      </c>
      <c r="F84" s="66">
        <v>3.3</v>
      </c>
      <c r="G84" s="65"/>
      <c r="H84" s="76"/>
      <c r="I84" s="76">
        <v>5.263029001952213</v>
      </c>
      <c r="J84" s="66">
        <v>3.3</v>
      </c>
      <c r="K84" s="67"/>
      <c r="L84" s="194"/>
      <c r="M84" s="194">
        <v>0.6919486215538847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7.3129862357869699</v>
      </c>
      <c r="F86" s="70">
        <f>[21]May_2022!$M$43</f>
        <v>3.4878406700073312</v>
      </c>
      <c r="G86" s="282"/>
      <c r="H86" s="76"/>
      <c r="I86" s="76">
        <v>8.9862703283331644</v>
      </c>
      <c r="J86" s="66">
        <v>5.5</v>
      </c>
      <c r="K86" s="67"/>
      <c r="L86" s="194"/>
      <c r="M86" s="194">
        <v>0.59276315789473688</v>
      </c>
      <c r="N86" s="68">
        <v>1</v>
      </c>
      <c r="P86" s="69"/>
    </row>
    <row r="87" spans="2:16">
      <c r="B87" s="37" t="s">
        <v>16</v>
      </c>
      <c r="C87" s="65"/>
      <c r="D87" s="76">
        <v>2.3359073359073403</v>
      </c>
      <c r="E87" s="76">
        <v>2.980561555075584</v>
      </c>
      <c r="F87" s="66">
        <v>3.3</v>
      </c>
      <c r="G87" s="282"/>
      <c r="H87" s="76">
        <v>3.7114579368100644</v>
      </c>
      <c r="I87" s="76">
        <v>4.4931174512296872</v>
      </c>
      <c r="J87" s="66">
        <v>3.3</v>
      </c>
      <c r="K87" s="67"/>
      <c r="L87" s="194">
        <v>1.7750877192982455</v>
      </c>
      <c r="M87" s="194">
        <v>0.83077455048409399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4" t="s">
        <v>161</v>
      </c>
      <c r="C89" s="65"/>
      <c r="D89" s="76">
        <v>9.4974642692485105</v>
      </c>
      <c r="E89" s="76">
        <v>7.2653644592663174</v>
      </c>
      <c r="F89" s="66">
        <v>4.8</v>
      </c>
      <c r="G89" s="282"/>
      <c r="H89" s="76">
        <v>10.183089539936029</v>
      </c>
      <c r="I89" s="76">
        <v>8.1715311054411259</v>
      </c>
      <c r="J89" s="66">
        <v>4.8</v>
      </c>
      <c r="K89" s="67"/>
      <c r="L89" s="194">
        <v>0.68877192982456148</v>
      </c>
      <c r="M89" s="194">
        <v>0.51368421052631585</v>
      </c>
      <c r="N89" s="71">
        <v>1</v>
      </c>
      <c r="O89" s="74"/>
      <c r="P89" s="75"/>
    </row>
    <row r="90" spans="2:16">
      <c r="D90" s="76">
        <v>5.1353049917299494</v>
      </c>
      <c r="E90" s="76">
        <v>6.4928260058198735</v>
      </c>
      <c r="F90" s="341">
        <v>5.5</v>
      </c>
      <c r="H90" s="76">
        <v>4.6170891003813983</v>
      </c>
      <c r="I90" s="76">
        <v>6.6956032389892437</v>
      </c>
      <c r="J90" s="341">
        <v>5.5</v>
      </c>
      <c r="L90" s="194">
        <v>0.95419457735247215</v>
      </c>
      <c r="M90" s="194">
        <v>0.71752964475801473</v>
      </c>
      <c r="N90" s="386">
        <v>1</v>
      </c>
    </row>
    <row r="94" spans="2:16">
      <c r="F94" s="315"/>
    </row>
    <row r="95" spans="2:16">
      <c r="F95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B57:B66"/>
    <mergeCell ref="D57:E58"/>
    <mergeCell ref="J57:K57"/>
    <mergeCell ref="L58:N58"/>
    <mergeCell ref="D59:E60"/>
    <mergeCell ref="D61:E62"/>
    <mergeCell ref="D63:E64"/>
    <mergeCell ref="D65:E66"/>
    <mergeCell ref="D67:E67"/>
    <mergeCell ref="B72:B73"/>
    <mergeCell ref="C72:C73"/>
    <mergeCell ref="D72:D73"/>
    <mergeCell ref="E72:E73"/>
    <mergeCell ref="M72:M73"/>
    <mergeCell ref="B79:F79"/>
    <mergeCell ref="G79:J79"/>
    <mergeCell ref="K79:N79"/>
    <mergeCell ref="G72:G73"/>
    <mergeCell ref="H72:H73"/>
    <mergeCell ref="I72:I73"/>
    <mergeCell ref="J72:J73"/>
    <mergeCell ref="K72:K73"/>
    <mergeCell ref="L72:L73"/>
    <mergeCell ref="F72:F73"/>
  </mergeCells>
  <conditionalFormatting sqref="B67:B68">
    <cfRule type="cellIs" dxfId="1630" priority="122" operator="notBetween">
      <formula>#REF!</formula>
      <formula>#REF!</formula>
    </cfRule>
  </conditionalFormatting>
  <conditionalFormatting sqref="C71">
    <cfRule type="cellIs" dxfId="1629" priority="154" stopIfTrue="1" operator="greaterThan">
      <formula>100</formula>
    </cfRule>
    <cfRule type="cellIs" dxfId="1628" priority="153" stopIfTrue="1" operator="lessThan">
      <formula>96</formula>
    </cfRule>
  </conditionalFormatting>
  <conditionalFormatting sqref="C81:C82">
    <cfRule type="cellIs" dxfId="1627" priority="100" stopIfTrue="1" operator="lessThanOrEqual">
      <formula>0</formula>
    </cfRule>
  </conditionalFormatting>
  <conditionalFormatting sqref="C81:C85">
    <cfRule type="cellIs" dxfId="1626" priority="99" stopIfTrue="1" operator="greaterThan">
      <formula>$F81</formula>
    </cfRule>
  </conditionalFormatting>
  <conditionalFormatting sqref="C82">
    <cfRule type="cellIs" dxfId="1625" priority="157" stopIfTrue="1" operator="greaterThan">
      <formula>$F81</formula>
    </cfRule>
  </conditionalFormatting>
  <conditionalFormatting sqref="C83:C86">
    <cfRule type="cellIs" dxfId="1624" priority="106" stopIfTrue="1" operator="lessThanOrEqual">
      <formula>0</formula>
    </cfRule>
  </conditionalFormatting>
  <conditionalFormatting sqref="C86">
    <cfRule type="cellIs" dxfId="1623" priority="105" stopIfTrue="1" operator="greaterThan">
      <formula>$J86</formula>
    </cfRule>
  </conditionalFormatting>
  <conditionalFormatting sqref="C92:C96">
    <cfRule type="cellIs" dxfId="1622" priority="145" stopIfTrue="1" operator="lessThanOrEqual">
      <formula>0</formula>
    </cfRule>
  </conditionalFormatting>
  <conditionalFormatting sqref="C93:C96">
    <cfRule type="cellIs" dxfId="1621" priority="144" stopIfTrue="1" operator="greaterThan">
      <formula>$F$92</formula>
    </cfRule>
  </conditionalFormatting>
  <conditionalFormatting sqref="C98">
    <cfRule type="cellIs" dxfId="1620" priority="146" stopIfTrue="1" operator="greaterThan">
      <formula>$F$92</formula>
    </cfRule>
    <cfRule type="cellIs" dxfId="1619" priority="147" stopIfTrue="1" operator="lessThanOrEqual">
      <formula>0</formula>
    </cfRule>
  </conditionalFormatting>
  <conditionalFormatting sqref="C92:D92 D94:D100">
    <cfRule type="cellIs" dxfId="1618" priority="139" stopIfTrue="1" operator="greaterThan">
      <formula>4.5</formula>
    </cfRule>
  </conditionalFormatting>
  <conditionalFormatting sqref="D67:D68">
    <cfRule type="cellIs" dxfId="1617" priority="123" operator="notBetween">
      <formula>#REF!</formula>
      <formula>#REF!</formula>
    </cfRule>
  </conditionalFormatting>
  <conditionalFormatting sqref="D81:D88">
    <cfRule type="cellIs" dxfId="1616" priority="116" stopIfTrue="1" operator="lessThanOrEqual">
      <formula>0</formula>
    </cfRule>
  </conditionalFormatting>
  <conditionalFormatting sqref="D89">
    <cfRule type="cellIs" dxfId="1615" priority="115" stopIfTrue="1" operator="lessThanOrEqual">
      <formula>0</formula>
    </cfRule>
  </conditionalFormatting>
  <conditionalFormatting sqref="D92 D94:D100">
    <cfRule type="cellIs" dxfId="1614" priority="140" stopIfTrue="1" operator="lessThanOrEqual">
      <formula>0</formula>
    </cfRule>
  </conditionalFormatting>
  <conditionalFormatting sqref="D93">
    <cfRule type="cellIs" dxfId="1613" priority="132" stopIfTrue="1" operator="lessThanOrEqual">
      <formula>0</formula>
    </cfRule>
    <cfRule type="cellIs" dxfId="1612" priority="131" stopIfTrue="1" operator="greaterThan">
      <formula>$F$92</formula>
    </cfRule>
  </conditionalFormatting>
  <conditionalFormatting sqref="D81:E90">
    <cfRule type="cellIs" dxfId="1611" priority="96" stopIfTrue="1" operator="greaterThan">
      <formula>$F81</formula>
    </cfRule>
  </conditionalFormatting>
  <conditionalFormatting sqref="D90:E90">
    <cfRule type="cellIs" dxfId="1610" priority="97" stopIfTrue="1" operator="lessThanOrEqual">
      <formula>0</formula>
    </cfRule>
  </conditionalFormatting>
  <conditionalFormatting sqref="E10:E42">
    <cfRule type="cellIs" dxfId="1609" priority="20" operator="lessThan">
      <formula>48</formula>
    </cfRule>
  </conditionalFormatting>
  <conditionalFormatting sqref="E70 E71:F71">
    <cfRule type="cellIs" dxfId="1608" priority="136" stopIfTrue="1" operator="greaterThan">
      <formula>100</formula>
    </cfRule>
  </conditionalFormatting>
  <conditionalFormatting sqref="E71">
    <cfRule type="cellIs" dxfId="1607" priority="134" stopIfTrue="1" operator="greaterThan">
      <formula>100</formula>
    </cfRule>
    <cfRule type="cellIs" dxfId="1606" priority="133" stopIfTrue="1" operator="lessThan">
      <formula>96.8</formula>
    </cfRule>
  </conditionalFormatting>
  <conditionalFormatting sqref="E81:E89">
    <cfRule type="cellIs" dxfId="1605" priority="110" stopIfTrue="1" operator="lessThanOrEqual">
      <formula>0</formula>
    </cfRule>
  </conditionalFormatting>
  <conditionalFormatting sqref="E92:E100">
    <cfRule type="cellIs" dxfId="1604" priority="125" stopIfTrue="1" operator="greaterThan">
      <formula>4.5</formula>
    </cfRule>
    <cfRule type="cellIs" dxfId="1603" priority="126" stopIfTrue="1" operator="lessThanOrEqual">
      <formula>0</formula>
    </cfRule>
  </conditionalFormatting>
  <conditionalFormatting sqref="E71:F71 E70">
    <cfRule type="cellIs" dxfId="1602" priority="135" stopIfTrue="1" operator="lessThan">
      <formula>96.5</formula>
    </cfRule>
  </conditionalFormatting>
  <conditionalFormatting sqref="F10:F42">
    <cfRule type="cellIs" dxfId="1601" priority="21" operator="greaterThan">
      <formula>60</formula>
    </cfRule>
  </conditionalFormatting>
  <conditionalFormatting sqref="F71">
    <cfRule type="cellIs" dxfId="1600" priority="152" stopIfTrue="1" operator="greaterThan">
      <formula>100</formula>
    </cfRule>
    <cfRule type="cellIs" dxfId="1599" priority="151" stopIfTrue="1" operator="lessThan">
      <formula>96.8</formula>
    </cfRule>
  </conditionalFormatting>
  <conditionalFormatting sqref="F90">
    <cfRule type="cellIs" dxfId="1598" priority="111" stopIfTrue="1" operator="greaterThan">
      <formula>$F90</formula>
    </cfRule>
    <cfRule type="cellIs" dxfId="1597" priority="112" stopIfTrue="1" operator="lessThanOrEqual">
      <formula>0</formula>
    </cfRule>
  </conditionalFormatting>
  <conditionalFormatting sqref="F95">
    <cfRule type="cellIs" dxfId="1596" priority="65" stopIfTrue="1" operator="greaterThan">
      <formula>$F95</formula>
    </cfRule>
    <cfRule type="cellIs" dxfId="1595" priority="66" stopIfTrue="1" operator="lessThanOrEqual">
      <formula>0</formula>
    </cfRule>
  </conditionalFormatting>
  <conditionalFormatting sqref="G10">
    <cfRule type="expression" dxfId="1594" priority="38">
      <formula>IF(+(IF(G10&lt;#REF!,0,IF(G10&gt;#REF!,0,1)))=0,1)</formula>
    </cfRule>
  </conditionalFormatting>
  <conditionalFormatting sqref="G11">
    <cfRule type="expression" dxfId="1593" priority="42">
      <formula>IF(+(IF(G11&lt;S11,0,IF(G11&gt;T11,0,1)))=0,1)</formula>
    </cfRule>
  </conditionalFormatting>
  <conditionalFormatting sqref="G12:G21">
    <cfRule type="expression" dxfId="1592" priority="34">
      <formula>IF(+(IF(G12&lt;$S$10,0,IF(G12&gt;$T$10,0,1)))=0,1)</formula>
    </cfRule>
  </conditionalFormatting>
  <conditionalFormatting sqref="G81:G82 C87:C89">
    <cfRule type="cellIs" dxfId="1591" priority="117" stopIfTrue="1" operator="greaterThan">
      <formula>$F81</formula>
    </cfRule>
    <cfRule type="cellIs" dxfId="1590" priority="118" stopIfTrue="1" operator="lessThanOrEqual">
      <formula>0</formula>
    </cfRule>
  </conditionalFormatting>
  <conditionalFormatting sqref="G81:G82">
    <cfRule type="cellIs" dxfId="1589" priority="101" stopIfTrue="1" operator="greaterThan">
      <formula>$F81</formula>
    </cfRule>
    <cfRule type="cellIs" dxfId="1588" priority="102" stopIfTrue="1" operator="lessThanOrEqual">
      <formula>0</formula>
    </cfRule>
  </conditionalFormatting>
  <conditionalFormatting sqref="G83">
    <cfRule type="cellIs" dxfId="1587" priority="155" stopIfTrue="1" operator="greaterThan">
      <formula>$F82</formula>
    </cfRule>
    <cfRule type="cellIs" dxfId="1586" priority="156" stopIfTrue="1" operator="lessThanOrEqual">
      <formula>0</formula>
    </cfRule>
  </conditionalFormatting>
  <conditionalFormatting sqref="G84">
    <cfRule type="cellIs" dxfId="1585" priority="114" stopIfTrue="1" operator="lessThanOrEqual">
      <formula>0</formula>
    </cfRule>
    <cfRule type="cellIs" dxfId="1584" priority="113" stopIfTrue="1" operator="greaterThan">
      <formula>$F84</formula>
    </cfRule>
  </conditionalFormatting>
  <conditionalFormatting sqref="G85:G89">
    <cfRule type="cellIs" dxfId="1583" priority="120" stopIfTrue="1" operator="lessThanOrEqual">
      <formula>0</formula>
    </cfRule>
    <cfRule type="cellIs" dxfId="1582" priority="119" stopIfTrue="1" operator="greaterThan">
      <formula>$J85</formula>
    </cfRule>
  </conditionalFormatting>
  <conditionalFormatting sqref="G94:G99 C97 C99">
    <cfRule type="cellIs" dxfId="1581" priority="148" stopIfTrue="1" operator="greaterThan">
      <formula>4.5</formula>
    </cfRule>
    <cfRule type="cellIs" dxfId="1580" priority="149" stopIfTrue="1" operator="lessThanOrEqual">
      <formula>0</formula>
    </cfRule>
  </conditionalFormatting>
  <conditionalFormatting sqref="G22:H42">
    <cfRule type="expression" dxfId="1579" priority="19">
      <formula>IF(+(IF(G22&lt;#REF!,0,IF(G22&gt;#REF!,0,1)))=0,1)</formula>
    </cfRule>
  </conditionalFormatting>
  <conditionalFormatting sqref="G93:H93">
    <cfRule type="cellIs" dxfId="1578" priority="129" stopIfTrue="1" operator="greaterThan">
      <formula>$F$92</formula>
    </cfRule>
    <cfRule type="cellIs" dxfId="1577" priority="130" stopIfTrue="1" operator="lessThanOrEqual">
      <formula>0</formula>
    </cfRule>
  </conditionalFormatting>
  <conditionalFormatting sqref="H10:H21">
    <cfRule type="expression" dxfId="1576" priority="37">
      <formula>IF(+(IF(H10&lt;#REF!,0,IF(H10&gt;#REF!,0,1)))=0,1)</formula>
    </cfRule>
  </conditionalFormatting>
  <conditionalFormatting sqref="H56:H70">
    <cfRule type="cellIs" dxfId="1575" priority="127" stopIfTrue="1" operator="greaterThan">
      <formula>0</formula>
    </cfRule>
  </conditionalFormatting>
  <conditionalFormatting sqref="H74:H75">
    <cfRule type="cellIs" dxfId="1574" priority="62" stopIfTrue="1" operator="lessThanOrEqual">
      <formula>0</formula>
    </cfRule>
    <cfRule type="cellIs" dxfId="1573" priority="63" stopIfTrue="1" operator="greaterThan">
      <formula>$F$41</formula>
    </cfRule>
    <cfRule type="cellIs" dxfId="1572" priority="64" stopIfTrue="1" operator="lessThanOrEqual">
      <formula>0</formula>
    </cfRule>
    <cfRule type="cellIs" dxfId="1571" priority="53" stopIfTrue="1" operator="greaterThan">
      <formula>$F$40</formula>
    </cfRule>
    <cfRule type="cellIs" dxfId="1570" priority="52" stopIfTrue="1" operator="lessThanOrEqual">
      <formula>0</formula>
    </cfRule>
    <cfRule type="cellIs" dxfId="1569" priority="61" stopIfTrue="1" operator="greaterThan">
      <formula>$F$43</formula>
    </cfRule>
  </conditionalFormatting>
  <conditionalFormatting sqref="H76">
    <cfRule type="cellIs" dxfId="1568" priority="14" stopIfTrue="1" operator="lessThanOrEqual">
      <formula>0</formula>
    </cfRule>
    <cfRule type="cellIs" dxfId="1567" priority="13" stopIfTrue="1" operator="greaterThan">
      <formula>$F$40</formula>
    </cfRule>
    <cfRule type="cellIs" dxfId="1566" priority="12" stopIfTrue="1" operator="lessThanOrEqual">
      <formula>0</formula>
    </cfRule>
    <cfRule type="cellIs" dxfId="1565" priority="11" stopIfTrue="1" operator="greaterThan">
      <formula>$F$42</formula>
    </cfRule>
    <cfRule type="cellIs" dxfId="1564" priority="3" stopIfTrue="1" operator="greaterThan">
      <formula>$F$39</formula>
    </cfRule>
    <cfRule type="cellIs" dxfId="1563" priority="2" stopIfTrue="1" operator="lessThanOrEqual">
      <formula>0</formula>
    </cfRule>
  </conditionalFormatting>
  <conditionalFormatting sqref="H77">
    <cfRule type="cellIs" dxfId="1562" priority="82" stopIfTrue="1" operator="lessThanOrEqual">
      <formula>0</formula>
    </cfRule>
    <cfRule type="cellIs" dxfId="1561" priority="71" stopIfTrue="1" operator="greaterThan">
      <formula>$F$55</formula>
    </cfRule>
    <cfRule type="cellIs" dxfId="1560" priority="70" stopIfTrue="1" operator="lessThanOrEqual">
      <formula>0</formula>
    </cfRule>
    <cfRule type="cellIs" dxfId="1559" priority="79" stopIfTrue="1" operator="greaterThan">
      <formula>$F$58</formula>
    </cfRule>
    <cfRule type="cellIs" dxfId="1558" priority="80" stopIfTrue="1" operator="lessThanOrEqual">
      <formula>0</formula>
    </cfRule>
    <cfRule type="cellIs" dxfId="1557" priority="81" stopIfTrue="1" operator="greaterThan">
      <formula>$F$56</formula>
    </cfRule>
  </conditionalFormatting>
  <conditionalFormatting sqref="H81:H88">
    <cfRule type="cellIs" dxfId="1556" priority="103" stopIfTrue="1" operator="greaterThan">
      <formula>$J81</formula>
    </cfRule>
    <cfRule type="cellIs" dxfId="1555" priority="104" stopIfTrue="1" operator="lessThanOrEqual">
      <formula>0</formula>
    </cfRule>
  </conditionalFormatting>
  <conditionalFormatting sqref="H89">
    <cfRule type="cellIs" dxfId="1554" priority="107" operator="greaterThan">
      <formula>5.3</formula>
    </cfRule>
  </conditionalFormatting>
  <conditionalFormatting sqref="H92 H94:H100">
    <cfRule type="cellIs" dxfId="1553" priority="141" stopIfTrue="1" operator="greaterThan">
      <formula>4.5</formula>
    </cfRule>
    <cfRule type="cellIs" dxfId="1552" priority="142" stopIfTrue="1" operator="lessThanOrEqual">
      <formula>0</formula>
    </cfRule>
  </conditionalFormatting>
  <conditionalFormatting sqref="H74:I75">
    <cfRule type="cellIs" dxfId="1551" priority="51" stopIfTrue="1" operator="greaterThan">
      <formula>$F$42</formula>
    </cfRule>
    <cfRule type="cellIs" dxfId="1550" priority="54" stopIfTrue="1" operator="lessThanOrEqual">
      <formula>0</formula>
    </cfRule>
  </conditionalFormatting>
  <conditionalFormatting sqref="H76:I76">
    <cfRule type="cellIs" dxfId="1549" priority="4" stopIfTrue="1" operator="lessThanOrEqual">
      <formula>0</formula>
    </cfRule>
    <cfRule type="cellIs" dxfId="1548" priority="1" stopIfTrue="1" operator="greaterThan">
      <formula>$F$41</formula>
    </cfRule>
  </conditionalFormatting>
  <conditionalFormatting sqref="H77:I77">
    <cfRule type="cellIs" dxfId="1547" priority="69" stopIfTrue="1" operator="greaterThan">
      <formula>$F$57</formula>
    </cfRule>
    <cfRule type="cellIs" dxfId="1546" priority="72" stopIfTrue="1" operator="lessThanOrEqual">
      <formula>0</formula>
    </cfRule>
  </conditionalFormatting>
  <conditionalFormatting sqref="H90:I90">
    <cfRule type="cellIs" dxfId="1545" priority="94" stopIfTrue="1" operator="greaterThan">
      <formula>$J90</formula>
    </cfRule>
    <cfRule type="cellIs" dxfId="1544" priority="95" stopIfTrue="1" operator="lessThanOrEqual">
      <formula>0</formula>
    </cfRule>
  </conditionalFormatting>
  <conditionalFormatting sqref="I74:I75">
    <cfRule type="cellIs" dxfId="1543" priority="58" stopIfTrue="1" operator="lessThanOrEqual">
      <formula>0</formula>
    </cfRule>
    <cfRule type="cellIs" dxfId="1542" priority="59" stopIfTrue="1" operator="greaterThan">
      <formula>$F$40</formula>
    </cfRule>
    <cfRule type="cellIs" dxfId="1541" priority="60" stopIfTrue="1" operator="lessThanOrEqual">
      <formula>0</formula>
    </cfRule>
    <cfRule type="cellIs" dxfId="1540" priority="55" stopIfTrue="1" operator="greaterThan">
      <formula>$F$40</formula>
    </cfRule>
    <cfRule type="cellIs" dxfId="1539" priority="57" stopIfTrue="1" operator="greaterThan">
      <formula>$F$42</formula>
    </cfRule>
    <cfRule type="cellIs" dxfId="1538" priority="56" stopIfTrue="1" operator="lessThanOrEqual">
      <formula>0</formula>
    </cfRule>
  </conditionalFormatting>
  <conditionalFormatting sqref="I76">
    <cfRule type="cellIs" dxfId="1537" priority="7" stopIfTrue="1" operator="greaterThan">
      <formula>$F$41</formula>
    </cfRule>
    <cfRule type="cellIs" dxfId="1536" priority="10" stopIfTrue="1" operator="lessThanOrEqual">
      <formula>0</formula>
    </cfRule>
    <cfRule type="cellIs" dxfId="1535" priority="9" stopIfTrue="1" operator="greaterThan">
      <formula>$F$39</formula>
    </cfRule>
    <cfRule type="cellIs" dxfId="1534" priority="8" stopIfTrue="1" operator="lessThanOrEqual">
      <formula>0</formula>
    </cfRule>
    <cfRule type="cellIs" dxfId="1533" priority="6" stopIfTrue="1" operator="lessThanOrEqual">
      <formula>0</formula>
    </cfRule>
    <cfRule type="cellIs" dxfId="1532" priority="5" stopIfTrue="1" operator="greaterThan">
      <formula>$F$39</formula>
    </cfRule>
  </conditionalFormatting>
  <conditionalFormatting sqref="I77">
    <cfRule type="cellIs" dxfId="1531" priority="74" stopIfTrue="1" operator="lessThanOrEqual">
      <formula>0</formula>
    </cfRule>
    <cfRule type="cellIs" dxfId="1530" priority="73" stopIfTrue="1" operator="greaterThan">
      <formula>$F$55</formula>
    </cfRule>
    <cfRule type="cellIs" dxfId="1529" priority="78" stopIfTrue="1" operator="lessThanOrEqual">
      <formula>0</formula>
    </cfRule>
    <cfRule type="cellIs" dxfId="1528" priority="77" stopIfTrue="1" operator="greaterThan">
      <formula>$F$55</formula>
    </cfRule>
    <cfRule type="cellIs" dxfId="1527" priority="76" stopIfTrue="1" operator="lessThanOrEqual">
      <formula>0</formula>
    </cfRule>
    <cfRule type="cellIs" dxfId="1526" priority="75" stopIfTrue="1" operator="greaterThan">
      <formula>$F$57</formula>
    </cfRule>
  </conditionalFormatting>
  <conditionalFormatting sqref="I81:I89">
    <cfRule type="cellIs" dxfId="1525" priority="108" stopIfTrue="1" operator="greaterThan">
      <formula>$J81</formula>
    </cfRule>
    <cfRule type="cellIs" dxfId="1524" priority="109" stopIfTrue="1" operator="lessThanOrEqual">
      <formula>0</formula>
    </cfRule>
  </conditionalFormatting>
  <conditionalFormatting sqref="I92:I100">
    <cfRule type="cellIs" dxfId="1523" priority="138" stopIfTrue="1" operator="lessThanOrEqual">
      <formula>0</formula>
    </cfRule>
    <cfRule type="cellIs" dxfId="1522" priority="137" stopIfTrue="1" operator="greaterThan">
      <formula>4.5</formula>
    </cfRule>
  </conditionalFormatting>
  <conditionalFormatting sqref="I10:J42">
    <cfRule type="cellIs" dxfId="1521" priority="22" operator="lessThan">
      <formula>97.9</formula>
    </cfRule>
  </conditionalFormatting>
  <conditionalFormatting sqref="J45:J47">
    <cfRule type="cellIs" dxfId="1520" priority="84" stopIfTrue="1" operator="lessThan">
      <formula>96.8</formula>
    </cfRule>
    <cfRule type="cellIs" dxfId="1519" priority="85" stopIfTrue="1" operator="greaterThan">
      <formula>100</formula>
    </cfRule>
    <cfRule type="cellIs" dxfId="1518" priority="86" operator="lessThan">
      <formula>98</formula>
    </cfRule>
  </conditionalFormatting>
  <conditionalFormatting sqref="J45:J49">
    <cfRule type="cellIs" dxfId="1517" priority="83" operator="lessThan">
      <formula>97.4</formula>
    </cfRule>
  </conditionalFormatting>
  <conditionalFormatting sqref="J50">
    <cfRule type="cellIs" dxfId="1516" priority="87" operator="lessThan">
      <formula>98</formula>
    </cfRule>
  </conditionalFormatting>
  <conditionalFormatting sqref="J52:J53">
    <cfRule type="cellIs" dxfId="1515" priority="88" stopIfTrue="1" operator="lessThan">
      <formula>96.8</formula>
    </cfRule>
    <cfRule type="cellIs" dxfId="1514" priority="89" stopIfTrue="1" operator="greaterThan">
      <formula>100</formula>
    </cfRule>
  </conditionalFormatting>
  <conditionalFormatting sqref="J52:J54">
    <cfRule type="cellIs" dxfId="1513" priority="90" operator="lessThan">
      <formula>98</formula>
    </cfRule>
  </conditionalFormatting>
  <conditionalFormatting sqref="J90">
    <cfRule type="cellIs" dxfId="1512" priority="91" stopIfTrue="1" operator="greaterThan">
      <formula>$F90</formula>
    </cfRule>
    <cfRule type="cellIs" dxfId="1511" priority="92" stopIfTrue="1" operator="lessThanOrEqual">
      <formula>0</formula>
    </cfRule>
  </conditionalFormatting>
  <conditionalFormatting sqref="K10:K42">
    <cfRule type="cellIs" dxfId="1510" priority="17" operator="lessThan">
      <formula>4</formula>
    </cfRule>
    <cfRule type="cellIs" dxfId="1509" priority="16" operator="greaterThan">
      <formula>6</formula>
    </cfRule>
    <cfRule type="cellIs" dxfId="1508" priority="18" operator="greaterThan">
      <formula>6.4</formula>
    </cfRule>
  </conditionalFormatting>
  <conditionalFormatting sqref="K74:K77">
    <cfRule type="cellIs" dxfId="1507" priority="67" stopIfTrue="1" operator="lessThan">
      <formula>100%</formula>
    </cfRule>
  </conditionalFormatting>
  <conditionalFormatting sqref="K92:K97">
    <cfRule type="cellIs" dxfId="1506" priority="143" stopIfTrue="1" operator="lessThan">
      <formula>100%</formula>
    </cfRule>
  </conditionalFormatting>
  <conditionalFormatting sqref="K99:K100">
    <cfRule type="cellIs" dxfId="1505" priority="150" stopIfTrue="1" operator="lessThan">
      <formula>100%</formula>
    </cfRule>
  </conditionalFormatting>
  <conditionalFormatting sqref="K81:N84 L85:N85">
    <cfRule type="cellIs" dxfId="1504" priority="121" stopIfTrue="1" operator="lessThan">
      <formula>100%</formula>
    </cfRule>
  </conditionalFormatting>
  <conditionalFormatting sqref="K86:N89 L90:N90">
    <cfRule type="cellIs" dxfId="1503" priority="93" stopIfTrue="1" operator="lessThan">
      <formula>100%</formula>
    </cfRule>
  </conditionalFormatting>
  <conditionalFormatting sqref="L11:L42">
    <cfRule type="cellIs" dxfId="1502" priority="25" operator="greaterThan">
      <formula>65</formula>
    </cfRule>
    <cfRule type="cellIs" dxfId="1501" priority="24" operator="between">
      <formula>61</formula>
      <formula>65</formula>
    </cfRule>
  </conditionalFormatting>
  <conditionalFormatting sqref="L10:M10">
    <cfRule type="cellIs" dxfId="1500" priority="40" operator="greaterThan">
      <formula>65</formula>
    </cfRule>
    <cfRule type="cellIs" dxfId="1499" priority="39" operator="between">
      <formula>61</formula>
      <formula>65</formula>
    </cfRule>
  </conditionalFormatting>
  <conditionalFormatting sqref="L45:M56">
    <cfRule type="cellIs" dxfId="1498" priority="98" operator="lessThan">
      <formula>98</formula>
    </cfRule>
  </conditionalFormatting>
  <conditionalFormatting sqref="L60:N60">
    <cfRule type="cellIs" dxfId="1497" priority="68" operator="notEqual">
      <formula>#REF!</formula>
    </cfRule>
  </conditionalFormatting>
  <conditionalFormatting sqref="L92:N100">
    <cfRule type="cellIs" dxfId="1496" priority="128" stopIfTrue="1" operator="lessThan">
      <formula>100%</formula>
    </cfRule>
  </conditionalFormatting>
  <conditionalFormatting sqref="M10:M11">
    <cfRule type="expression" dxfId="1495" priority="41">
      <formula>IF(+(IF(M10&lt;U10,0,IF(M10&gt;V10,0,1)))=0,1)</formula>
    </cfRule>
  </conditionalFormatting>
  <conditionalFormatting sqref="M12:M42">
    <cfRule type="expression" dxfId="1494" priority="23">
      <formula>IF(+(IF(M12&lt;U12,0,IF(M12&gt;V12,0,1)))=0,1)</formula>
    </cfRule>
  </conditionalFormatting>
  <conditionalFormatting sqref="N10:N42">
    <cfRule type="expression" dxfId="1493" priority="15">
      <formula>IF(+(IF(N10&lt;W10,0,IF(N10&gt;X10,0,1)))=0,1)</formula>
    </cfRule>
  </conditionalFormatting>
  <conditionalFormatting sqref="P6">
    <cfRule type="cellIs" dxfId="1492" priority="124" operator="greaterThanOrEqual">
      <formula>19</formula>
    </cfRule>
  </conditionalFormatting>
  <dataValidations count="1">
    <dataValidation type="list" allowBlank="1" showInputMessage="1" showErrorMessage="1" sqref="R8" xr:uid="{AA41C9EF-B71A-47AD-AE3D-8DAB43771368}">
      <formula1>ProductList</formula1>
    </dataValidation>
  </dataValidations>
  <pageMargins left="0.7" right="0.7" top="0.75" bottom="0.75" header="0.3" footer="0.3"/>
  <pageSetup scale="41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7EEB-D951-4804-A844-A1E940B8BA6A}">
  <sheetPr>
    <pageSetUpPr fitToPage="1"/>
  </sheetPr>
  <dimension ref="A1:BE95"/>
  <sheetViews>
    <sheetView topLeftCell="A34" zoomScale="70" zoomScaleNormal="70" workbookViewId="0">
      <selection activeCell="E30" sqref="E30:E37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45855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419"/>
      <c r="R10" s="277">
        <f t="shared" ref="R10:R44" si="0">B10</f>
        <v>0</v>
      </c>
      <c r="S10" s="296" t="e">
        <f t="shared" ref="S10:S44" si="1">VLOOKUP($B10,$R$3:$X$9,2,FALSE)</f>
        <v>#N/A</v>
      </c>
      <c r="T10" s="296" t="e">
        <f t="shared" ref="T10:T44" si="2">VLOOKUP($B10,$R$3:$X$9,3,FALSE)</f>
        <v>#N/A</v>
      </c>
      <c r="U10" s="297" t="e">
        <f t="shared" ref="U10:U44" si="3">VLOOKUP($B10,$R$3:$X$9,4,FALSE)</f>
        <v>#N/A</v>
      </c>
      <c r="V10" s="297" t="e">
        <f t="shared" ref="V10:V44" si="4">VLOOKUP($B10,$R$3:$X$9,5,FALSE)</f>
        <v>#N/A</v>
      </c>
      <c r="W10" s="297" t="e">
        <f t="shared" ref="W10:W44" si="5">VLOOKUP($B10,$R$3:$X$9,6,FALSE)</f>
        <v>#N/A</v>
      </c>
      <c r="X10" s="297" t="e">
        <f t="shared" ref="X10:X44" si="6">VLOOKUP($B10,$R$3:$X$9,7,FALSE)</f>
        <v>#N/A</v>
      </c>
      <c r="Y10" s="297" t="e">
        <f t="shared" ref="Y10:Y44" si="7">VLOOKUP($B10,$R$3:$Z$9,8,FALSE)</f>
        <v>#N/A</v>
      </c>
      <c r="Z10" s="296" t="e">
        <f t="shared" ref="Z10:Z44" si="8">VLOOKUP($B10,$R$3:$Z$9,9,FALSE)</f>
        <v>#N/A</v>
      </c>
    </row>
    <row r="11" spans="2:29" ht="15.75" hidden="1" customHeight="1">
      <c r="B11" s="34"/>
      <c r="C11" s="366"/>
      <c r="D11" s="279"/>
      <c r="E11" s="279"/>
      <c r="F11" s="278"/>
      <c r="G11" s="279"/>
      <c r="H11" s="396"/>
      <c r="I11" s="427"/>
      <c r="J11" s="427"/>
      <c r="K11" s="436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2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9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2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9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9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2"/>
      <c r="C18" s="366"/>
      <c r="D18" s="279"/>
      <c r="E18" s="279"/>
      <c r="F18" s="278"/>
      <c r="G18" s="279"/>
      <c r="H18" s="367"/>
      <c r="I18" s="368"/>
      <c r="J18" s="368"/>
      <c r="K18" s="281"/>
      <c r="L18" s="276"/>
      <c r="M18" s="374"/>
      <c r="N18" s="370"/>
      <c r="O18" s="371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6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4.4" hidden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6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4.4" hidden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customHeight="1">
      <c r="B30" s="29" t="s">
        <v>6</v>
      </c>
      <c r="C30" s="366" t="str">
        <f>[23]Brewhouse!$A612</f>
        <v>CA505</v>
      </c>
      <c r="D30" s="279">
        <f>[23]Brewhouse!$AF612</f>
        <v>51.8</v>
      </c>
      <c r="E30" s="279">
        <f>[23]Brewhouse!$AI612</f>
        <v>51.1</v>
      </c>
      <c r="F30" s="278">
        <f>[23]Brewhouse!$V612</f>
        <v>60</v>
      </c>
      <c r="G30" s="279">
        <f>[23]Brewhouse!$AG612</f>
        <v>11.4</v>
      </c>
      <c r="H30" s="396">
        <v>11.5</v>
      </c>
      <c r="I30" s="368">
        <f>[23]Brewhouse!$AU612</f>
        <v>95.871754585259907</v>
      </c>
      <c r="J30" s="368">
        <f>[23]Brewhouse!$AV612</f>
        <v>96.605243848735881</v>
      </c>
      <c r="K30" s="281">
        <f>[23]Brewhouse!$Q612</f>
        <v>5.9315589353612115</v>
      </c>
      <c r="L30" s="276">
        <f>[23]Brewhouse!$P612</f>
        <v>58</v>
      </c>
      <c r="M30" s="397">
        <f>[23]Brewhouse!$U612-[23]Brewhouse!$T612</f>
        <v>0.11388888888888893</v>
      </c>
      <c r="N30" s="370">
        <f>[23]Brewhouse!$Z612</f>
        <v>0.24375000000000002</v>
      </c>
      <c r="O30" s="371" t="str">
        <f>[23]Brewhouse!$AX612</f>
        <v>R. Sookram</v>
      </c>
      <c r="P30" s="419"/>
      <c r="R30" s="277" t="str">
        <f t="shared" si="0"/>
        <v>CARIB</v>
      </c>
      <c r="S30" s="296">
        <f t="shared" si="1"/>
        <v>11.6</v>
      </c>
      <c r="T30" s="296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296">
        <f t="shared" si="8"/>
        <v>60</v>
      </c>
    </row>
    <row r="31" spans="2:26" ht="15.75" customHeight="1">
      <c r="B31" s="29" t="s">
        <v>6</v>
      </c>
      <c r="C31" s="366" t="str">
        <f>[23]Brewhouse!$A613</f>
        <v>CA506</v>
      </c>
      <c r="D31" s="279">
        <f>[23]Brewhouse!$AF613</f>
        <v>52.2</v>
      </c>
      <c r="E31" s="279">
        <f>[23]Brewhouse!$AI613</f>
        <v>49.6</v>
      </c>
      <c r="F31" s="278">
        <f>[23]Brewhouse!$V613</f>
        <v>61</v>
      </c>
      <c r="G31" s="279">
        <f>[23]Brewhouse!$AG613</f>
        <v>11.7</v>
      </c>
      <c r="H31" s="396">
        <v>11.7</v>
      </c>
      <c r="I31" s="368">
        <f>[23]Brewhouse!$AU613</f>
        <v>96.469806047070719</v>
      </c>
      <c r="J31" s="368">
        <f>[23]Brewhouse!$AV613</f>
        <v>97.20758875054392</v>
      </c>
      <c r="K31" s="281">
        <f>[23]Brewhouse!$Q613</f>
        <v>7.8688524590163942</v>
      </c>
      <c r="L31" s="276">
        <f>[23]Brewhouse!$P613</f>
        <v>59</v>
      </c>
      <c r="M31" s="397">
        <f>[23]Brewhouse!$U613-[23]Brewhouse!$T613</f>
        <v>0.10833333333333334</v>
      </c>
      <c r="N31" s="370">
        <f>[23]Brewhouse!$Z613</f>
        <v>0.29166666666666669</v>
      </c>
      <c r="O31" s="371" t="str">
        <f>[23]Brewhouse!$AX613</f>
        <v>R. Sookram</v>
      </c>
      <c r="P31" s="419"/>
      <c r="R31" s="277" t="str">
        <f t="shared" si="0"/>
        <v>CARIB</v>
      </c>
      <c r="S31" s="296">
        <f t="shared" si="1"/>
        <v>11.6</v>
      </c>
      <c r="T31" s="296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296">
        <f t="shared" si="8"/>
        <v>60</v>
      </c>
    </row>
    <row r="32" spans="2:26" ht="15.6" customHeight="1">
      <c r="B32" s="29" t="s">
        <v>6</v>
      </c>
      <c r="C32" s="366" t="str">
        <f>[23]Brewhouse!$A614</f>
        <v>CA507</v>
      </c>
      <c r="D32" s="279">
        <f>[23]Brewhouse!$AF614</f>
        <v>52.9</v>
      </c>
      <c r="E32" s="279">
        <f>[23]Brewhouse!$AI614</f>
        <v>52</v>
      </c>
      <c r="F32" s="278">
        <f>[23]Brewhouse!$V614</f>
        <v>59</v>
      </c>
      <c r="G32" s="279">
        <f>[23]Brewhouse!$AG614</f>
        <v>11.6</v>
      </c>
      <c r="H32" s="396">
        <v>11.6</v>
      </c>
      <c r="I32" s="368">
        <f>[23]Brewhouse!$AU614</f>
        <v>99.97962239398484</v>
      </c>
      <c r="J32" s="368">
        <f>[23]Brewhouse!$AV614</f>
        <v>100.74433155202485</v>
      </c>
      <c r="K32" s="392"/>
      <c r="L32" s="276">
        <f>[23]Brewhouse!$P614</f>
        <v>58</v>
      </c>
      <c r="M32" s="397">
        <f>[23]Brewhouse!$U614-[23]Brewhouse!$T614</f>
        <v>0.10833333333333339</v>
      </c>
      <c r="N32" s="370">
        <f>[23]Brewhouse!$Z614</f>
        <v>0.24027777777777781</v>
      </c>
      <c r="O32" s="371" t="str">
        <f>[23]Brewhouse!$AX614</f>
        <v>R. Sookram</v>
      </c>
      <c r="P32" s="419"/>
      <c r="R32" s="277" t="str">
        <f t="shared" si="0"/>
        <v>CARIB</v>
      </c>
      <c r="S32" s="296">
        <f t="shared" si="1"/>
        <v>11.6</v>
      </c>
      <c r="T32" s="296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296">
        <f t="shared" si="8"/>
        <v>60</v>
      </c>
    </row>
    <row r="33" spans="1:26" ht="15.75" customHeight="1">
      <c r="B33" s="29" t="s">
        <v>6</v>
      </c>
      <c r="C33" s="366" t="str">
        <f>[23]Brewhouse!$A615</f>
        <v>CA508</v>
      </c>
      <c r="D33" s="279">
        <f>[23]Brewhouse!$AF615</f>
        <v>52.2</v>
      </c>
      <c r="E33" s="279">
        <f>[23]Brewhouse!$AI615</f>
        <v>50.1</v>
      </c>
      <c r="F33" s="278">
        <f>[23]Brewhouse!$V615</f>
        <v>56</v>
      </c>
      <c r="G33" s="279">
        <f>[23]Brewhouse!$AG615</f>
        <v>11.7</v>
      </c>
      <c r="H33" s="396">
        <v>11.7</v>
      </c>
      <c r="I33" s="368">
        <f>[23]Brewhouse!$AU615</f>
        <v>100.43692372257216</v>
      </c>
      <c r="J33" s="368">
        <f>[23]Brewhouse!$AV615</f>
        <v>101.20399928128201</v>
      </c>
      <c r="K33" s="281">
        <f>[23]Brewhouse!$Q615</f>
        <v>7.7419354838709555</v>
      </c>
      <c r="L33" s="276">
        <f>[23]Brewhouse!$P615</f>
        <v>59</v>
      </c>
      <c r="M33" s="397">
        <f>[23]Brewhouse!$U615-[23]Brewhouse!$T615</f>
        <v>0.10694444444444451</v>
      </c>
      <c r="N33" s="370">
        <f>[23]Brewhouse!$Z615</f>
        <v>0.24236111111111114</v>
      </c>
      <c r="O33" s="371" t="str">
        <f>[23]Brewhouse!$AX615</f>
        <v>K.Benjamin</v>
      </c>
      <c r="P33" s="423"/>
      <c r="R33" s="277" t="str">
        <f t="shared" si="0"/>
        <v>CARIB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1:26" ht="15.75" customHeight="1">
      <c r="B34" s="29" t="s">
        <v>6</v>
      </c>
      <c r="C34" s="366" t="str">
        <f>[23]Brewhouse!$A616</f>
        <v>CA509</v>
      </c>
      <c r="D34" s="279">
        <f>[23]Brewhouse!$AF616</f>
        <v>50.8</v>
      </c>
      <c r="E34" s="279">
        <f>[23]Brewhouse!$AI616</f>
        <v>50.4</v>
      </c>
      <c r="F34" s="278">
        <f>[23]Brewhouse!$V616</f>
        <v>58</v>
      </c>
      <c r="G34" s="279">
        <f>[23]Brewhouse!$AG616</f>
        <v>12</v>
      </c>
      <c r="H34" s="396">
        <v>11.9</v>
      </c>
      <c r="I34" s="368">
        <f>[23]Brewhouse!$AU616</f>
        <v>103.89768567471857</v>
      </c>
      <c r="J34" s="368">
        <f>[23]Brewhouse!$AV616</f>
        <v>104.69114583842574</v>
      </c>
      <c r="K34" s="281">
        <f>[23]Brewhouse!$Q616</f>
        <v>9.2753623188405889</v>
      </c>
      <c r="L34" s="276">
        <f>[23]Brewhouse!$P616</f>
        <v>62</v>
      </c>
      <c r="M34" s="397">
        <f>[23]Brewhouse!$U616-[23]Brewhouse!$T616</f>
        <v>0.11041666666666661</v>
      </c>
      <c r="N34" s="370">
        <f>[23]Brewhouse!$Z616</f>
        <v>0.23958333333333326</v>
      </c>
      <c r="O34" s="371" t="str">
        <f>[23]Brewhouse!$AX616</f>
        <v>K.Benjamin</v>
      </c>
      <c r="P34" s="419"/>
      <c r="R34" s="277" t="str">
        <f t="shared" si="0"/>
        <v>CARIB</v>
      </c>
      <c r="S34" s="296">
        <f t="shared" si="1"/>
        <v>11.6</v>
      </c>
      <c r="T34" s="296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296">
        <f t="shared" si="8"/>
        <v>60</v>
      </c>
    </row>
    <row r="35" spans="1:26" ht="15.75" customHeight="1">
      <c r="B35" s="29" t="s">
        <v>6</v>
      </c>
      <c r="C35" s="366" t="str">
        <f>[23]Brewhouse!$A617</f>
        <v>CA510</v>
      </c>
      <c r="D35" s="279">
        <f>[23]Brewhouse!$AF617</f>
        <v>50</v>
      </c>
      <c r="E35" s="279">
        <f>[23]Brewhouse!$AI617</f>
        <v>50</v>
      </c>
      <c r="F35" s="278">
        <f>[23]Brewhouse!$V617</f>
        <v>56</v>
      </c>
      <c r="G35" s="279">
        <f>[23]Brewhouse!$AG617</f>
        <v>11.6</v>
      </c>
      <c r="H35" s="396">
        <v>11.8</v>
      </c>
      <c r="I35" s="368">
        <f>[23]Brewhouse!$AU617</f>
        <v>99.462259754574006</v>
      </c>
      <c r="J35" s="368">
        <f>[23]Brewhouse!$AV617</f>
        <v>100.22184684638495</v>
      </c>
      <c r="K35" s="281">
        <f>[23]Brewhouse!$Q617</f>
        <v>10.886075949367081</v>
      </c>
      <c r="L35" s="276">
        <f>[23]Brewhouse!$P617</f>
        <v>59</v>
      </c>
      <c r="M35" s="397">
        <f>[23]Brewhouse!$U617-[23]Brewhouse!$T617</f>
        <v>0.11319444444444449</v>
      </c>
      <c r="N35" s="370">
        <f>[23]Brewhouse!$Z617</f>
        <v>0.2416666666666667</v>
      </c>
      <c r="O35" s="371" t="str">
        <f>[23]Brewhouse!$AX617</f>
        <v>K.Benjamin</v>
      </c>
      <c r="P35" s="419"/>
      <c r="R35" s="277" t="str">
        <f t="shared" si="0"/>
        <v>CARIB</v>
      </c>
      <c r="S35" s="296">
        <f t="shared" si="1"/>
        <v>11.6</v>
      </c>
      <c r="T35" s="296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296">
        <f t="shared" si="8"/>
        <v>60</v>
      </c>
    </row>
    <row r="36" spans="1:26" ht="15.75" customHeight="1">
      <c r="B36" s="29" t="s">
        <v>6</v>
      </c>
      <c r="C36" s="366" t="str">
        <f>[23]Brewhouse!$A618</f>
        <v>CA511</v>
      </c>
      <c r="D36" s="279">
        <f>[23]Brewhouse!$AF618</f>
        <v>51.7</v>
      </c>
      <c r="E36" s="279">
        <f>[23]Brewhouse!$AI618</f>
        <v>51.4</v>
      </c>
      <c r="F36" s="278">
        <f>[23]Brewhouse!$V618</f>
        <v>60</v>
      </c>
      <c r="G36" s="279">
        <f>[23]Brewhouse!$AG618</f>
        <v>12</v>
      </c>
      <c r="H36" s="396">
        <v>11.9</v>
      </c>
      <c r="I36" s="368">
        <f>[23]Brewhouse!$AU618</f>
        <v>105.95914769207411</v>
      </c>
      <c r="J36" s="368">
        <f>[23]Brewhouse!$AV618</f>
        <v>106.76835111299769</v>
      </c>
      <c r="K36" s="281">
        <f>[23]Brewhouse!$Q618</f>
        <v>8.6379928315412062</v>
      </c>
      <c r="L36" s="276">
        <f>[23]Brewhouse!$P618</f>
        <v>60</v>
      </c>
      <c r="M36" s="397">
        <f>[23]Brewhouse!$U618-[23]Brewhouse!$T618</f>
        <v>0.11319444444444449</v>
      </c>
      <c r="N36" s="370">
        <f>[23]Brewhouse!$Z618</f>
        <v>0.24236111111111114</v>
      </c>
      <c r="O36" s="371" t="str">
        <f>[23]Brewhouse!$AX618</f>
        <v>K.Benjamin</v>
      </c>
      <c r="P36" s="419"/>
      <c r="R36" s="277" t="str">
        <f t="shared" si="0"/>
        <v>CARIB</v>
      </c>
      <c r="S36" s="296">
        <f t="shared" si="1"/>
        <v>11.6</v>
      </c>
      <c r="T36" s="296">
        <f t="shared" si="2"/>
        <v>12</v>
      </c>
      <c r="U36" s="297">
        <f t="shared" si="3"/>
        <v>0</v>
      </c>
      <c r="V36" s="297">
        <f t="shared" si="4"/>
        <v>0.118055555555556</v>
      </c>
      <c r="W36" s="297">
        <f t="shared" si="5"/>
        <v>0.22569444444444445</v>
      </c>
      <c r="X36" s="297">
        <f t="shared" si="6"/>
        <v>0.2638888888888889</v>
      </c>
      <c r="Y36" s="297">
        <f t="shared" si="7"/>
        <v>0</v>
      </c>
      <c r="Z36" s="296">
        <f t="shared" si="8"/>
        <v>60</v>
      </c>
    </row>
    <row r="37" spans="1:26" ht="15.75" customHeight="1">
      <c r="B37" s="29" t="s">
        <v>6</v>
      </c>
      <c r="C37" s="366" t="str">
        <f>[23]Brewhouse!$A619</f>
        <v>CA512</v>
      </c>
      <c r="D37" s="279">
        <f>[23]Brewhouse!$AF619</f>
        <v>52.5</v>
      </c>
      <c r="E37" s="279">
        <f>[23]Brewhouse!$AI619</f>
        <v>50.8</v>
      </c>
      <c r="F37" s="278">
        <f>[23]Brewhouse!$V619</f>
        <v>66</v>
      </c>
      <c r="G37" s="279">
        <f>[23]Brewhouse!$AG619</f>
        <v>11.5</v>
      </c>
      <c r="H37" s="396">
        <v>11.5</v>
      </c>
      <c r="I37" s="368">
        <f>[23]Brewhouse!$AU619</f>
        <v>99.880376931714494</v>
      </c>
      <c r="J37" s="368">
        <f>[23]Brewhouse!$AV619</f>
        <v>100.64324658259869</v>
      </c>
      <c r="K37" s="281">
        <f>[23]Brewhouse!$Q619</f>
        <v>6.870503597122303</v>
      </c>
      <c r="L37" s="276">
        <f>[23]Brewhouse!$P619</f>
        <v>60</v>
      </c>
      <c r="M37" s="397">
        <f>[23]Brewhouse!$U619-[23]Brewhouse!$T619</f>
        <v>0.10972222222222228</v>
      </c>
      <c r="N37" s="370">
        <f>[23]Brewhouse!$Z619</f>
        <v>0.24652777777777779</v>
      </c>
      <c r="O37" s="371" t="str">
        <f>[23]Brewhouse!$AX619</f>
        <v>R. Regis</v>
      </c>
      <c r="P37" s="419"/>
      <c r="R37" s="277" t="str">
        <f t="shared" si="0"/>
        <v>CARIB</v>
      </c>
      <c r="S37" s="296">
        <f t="shared" si="1"/>
        <v>11.6</v>
      </c>
      <c r="T37" s="296">
        <f t="shared" si="2"/>
        <v>12</v>
      </c>
      <c r="U37" s="297">
        <f t="shared" si="3"/>
        <v>0</v>
      </c>
      <c r="V37" s="297">
        <f t="shared" si="4"/>
        <v>0.118055555555556</v>
      </c>
      <c r="W37" s="297">
        <f t="shared" si="5"/>
        <v>0.22569444444444445</v>
      </c>
      <c r="X37" s="297">
        <f t="shared" si="6"/>
        <v>0.2638888888888889</v>
      </c>
      <c r="Y37" s="297">
        <f t="shared" si="7"/>
        <v>0</v>
      </c>
      <c r="Z37" s="296">
        <f t="shared" si="8"/>
        <v>60</v>
      </c>
    </row>
    <row r="38" spans="1:26" ht="15.75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customHeight="1">
      <c r="B39" s="425" t="s">
        <v>187</v>
      </c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 t="str">
        <f t="shared" si="0"/>
        <v xml:space="preserve">July 17th 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customHeight="1">
      <c r="B40" s="33" t="s">
        <v>9</v>
      </c>
      <c r="C40" s="366" t="str">
        <f>[24]Brewhouse!$A305</f>
        <v>ST285</v>
      </c>
      <c r="D40" s="279">
        <f>[24]Brewhouse!$AD305</f>
        <v>47.6</v>
      </c>
      <c r="E40" s="279">
        <f>[24]Brewhouse!$AG305</f>
        <v>46.8</v>
      </c>
      <c r="F40" s="278">
        <f>[24]Brewhouse!$V305</f>
        <v>56</v>
      </c>
      <c r="G40" s="279">
        <f>[24]Brewhouse!$AE305</f>
        <v>12</v>
      </c>
      <c r="H40" s="396">
        <v>11.9</v>
      </c>
      <c r="I40" s="427">
        <f>[24]Brewhouse!$AS305</f>
        <v>94.202503008813892</v>
      </c>
      <c r="J40" s="427">
        <f>[24]Brewhouse!$AT305</f>
        <v>94.798726882359702</v>
      </c>
      <c r="K40" s="281">
        <f>[24]Brewhouse!$Q305</f>
        <v>14.365671641791049</v>
      </c>
      <c r="L40" s="276">
        <f>[24]Brewhouse!$P305</f>
        <v>60</v>
      </c>
      <c r="M40" s="374">
        <f>[24]Brewhouse!$U305-[24]Brewhouse!$T305</f>
        <v>0.11250000000000004</v>
      </c>
      <c r="N40" s="370">
        <f>[24]Brewhouse!$AW305</f>
        <v>0.24583333333333335</v>
      </c>
      <c r="O40" s="428" t="str">
        <f>[24]Brewhouse!$AV305</f>
        <v>R. Regis</v>
      </c>
      <c r="P40" s="419"/>
      <c r="R40" s="277" t="str">
        <f t="shared" si="0"/>
        <v>STAG</v>
      </c>
      <c r="S40" s="296">
        <f t="shared" si="1"/>
        <v>11.6</v>
      </c>
      <c r="T40" s="296">
        <f t="shared" si="2"/>
        <v>12</v>
      </c>
      <c r="U40" s="297">
        <f t="shared" si="3"/>
        <v>0</v>
      </c>
      <c r="V40" s="297">
        <f t="shared" si="4"/>
        <v>0.118055555555556</v>
      </c>
      <c r="W40" s="297">
        <f t="shared" si="5"/>
        <v>0.22569444444444445</v>
      </c>
      <c r="X40" s="297">
        <f t="shared" si="6"/>
        <v>0.2638888888888889</v>
      </c>
      <c r="Y40" s="297">
        <f t="shared" si="7"/>
        <v>0</v>
      </c>
      <c r="Z40" s="296">
        <f t="shared" si="8"/>
        <v>60</v>
      </c>
    </row>
    <row r="41" spans="1:26" ht="15.75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customHeight="1" thickBot="1">
      <c r="B43" s="358"/>
      <c r="C43" s="358"/>
      <c r="D43" s="358"/>
      <c r="E43" s="358"/>
      <c r="F43" s="294"/>
      <c r="G43" s="294"/>
      <c r="H43" s="348"/>
      <c r="I43" s="532"/>
      <c r="J43" s="532"/>
      <c r="K43" s="532"/>
      <c r="L43" s="532"/>
      <c r="M43" s="532"/>
      <c r="N43" s="532"/>
      <c r="O43" s="1"/>
      <c r="P43" s="12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" thickBot="1">
      <c r="B44" s="388" t="s">
        <v>163</v>
      </c>
      <c r="C44" s="388"/>
      <c r="D44" s="545" t="s">
        <v>35</v>
      </c>
      <c r="E44" s="546"/>
      <c r="F44" s="294"/>
      <c r="G44" s="294"/>
      <c r="H44" s="348"/>
      <c r="I44" s="24" t="s">
        <v>17</v>
      </c>
      <c r="J44" s="25" t="s">
        <v>36</v>
      </c>
      <c r="K44" s="26" t="s">
        <v>138</v>
      </c>
      <c r="L44" s="25" t="s">
        <v>37</v>
      </c>
      <c r="M44" s="25" t="s">
        <v>38</v>
      </c>
      <c r="N44" s="27" t="s">
        <v>39</v>
      </c>
      <c r="O44" s="294"/>
      <c r="P44" s="12"/>
      <c r="R44" s="277" t="str">
        <f t="shared" si="0"/>
        <v xml:space="preserve">BRAND 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customHeight="1">
      <c r="A45" s="28"/>
      <c r="B45" s="596" t="str">
        <f>I48</f>
        <v>VITAMALT</v>
      </c>
      <c r="C45" s="362">
        <f>[26]Process!D55</f>
        <v>14.5</v>
      </c>
      <c r="D45" s="536">
        <v>16.38</v>
      </c>
      <c r="E45" s="525"/>
      <c r="F45" s="294"/>
      <c r="G45" s="294"/>
      <c r="H45" s="348"/>
      <c r="I45" s="29" t="s">
        <v>6</v>
      </c>
      <c r="J45" s="280">
        <f>AVERAGE(I30:I37)</f>
        <v>100.2446971002461</v>
      </c>
      <c r="K45" s="284">
        <f>COUNTA([23]Brewhouse!$A$580:$A$619)</f>
        <v>40</v>
      </c>
      <c r="L45" s="305">
        <f>AVERAGE([23]Brewhouse!$AU$580:$AU$619)</f>
        <v>99.094228054801818</v>
      </c>
      <c r="M45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AVERAGE([23]Brewhouse!$AU$102:$AU$171,[23]Brewhouse!$AU$173:$AU$253,[23]Brewhouse!$AU$255:$AU$339,[23]Brewhouse!$AU$341:$AU$346,[23]Brewhouse!$AU$348,[23]Brewhouse!$AU$349:$AU$406,[23]Brewhouse!$AU$408:$AU$491,[23]Brewhouse!$AU$493:$AU$578,[23]Brewhouse!$AU$580:$AU$619)</f>
        <v>97.85509500794339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5" customHeight="1">
      <c r="A46" s="28"/>
      <c r="B46" s="597"/>
      <c r="C46" s="349">
        <f>[26]Process!D56</f>
        <v>14.3</v>
      </c>
      <c r="D46" s="537"/>
      <c r="E46" s="520"/>
      <c r="F46" s="294"/>
      <c r="G46" s="294"/>
      <c r="H46" s="348"/>
      <c r="I46" s="33" t="s">
        <v>9</v>
      </c>
      <c r="J46" s="280"/>
      <c r="K46" s="284">
        <f>COUNTA([24]Brewhouse!$A$275:$A$304)</f>
        <v>30</v>
      </c>
      <c r="L46" s="302">
        <f>AVERAGE([24]Brewhouse!$AS$275:$AS$304)</f>
        <v>99.238201580061059</v>
      </c>
      <c r="M46" s="302">
        <f>AVERAGE([24]Brewhouse!$AS$15:$AS$64,[24]Brewhouse!$AS$66:$AS$103,[24]Brewhouse!$AS$105:$AS$140,[24]Brewhouse!$AS$142:$AS$193,[24]Brewhouse!$AS$195:$AS$240,[24]Brewhouse!$AS$242:$AS$273,[24]Brewhouse!$AS$275:$AS$304)</f>
        <v>98.020126646040623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4.7" customHeight="1">
      <c r="A47" s="28"/>
      <c r="B47" s="597"/>
      <c r="C47" s="349">
        <f>[26]Process!D57</f>
        <v>14.2</v>
      </c>
      <c r="D47" s="536">
        <v>16.62</v>
      </c>
      <c r="E47" s="525"/>
      <c r="F47" s="294"/>
      <c r="G47" s="294"/>
      <c r="H47" s="348"/>
      <c r="I47" s="34" t="s">
        <v>12</v>
      </c>
      <c r="J47" s="280"/>
      <c r="K47" s="284">
        <f>COUNTA([25]Brewhouse!$A$64:$A$71)</f>
        <v>8</v>
      </c>
      <c r="L47" s="302">
        <f>AVERAGE([25]Brewhouse!$AU$64:$AU$71)</f>
        <v>97.273930939242547</v>
      </c>
      <c r="M47" s="302">
        <f>AVERAGE([25]Brewhouse!$AU$4:$AU$7,[25]Brewhouse!$AU$9:$AU$22,[25]Brewhouse!$AU$24:$AU$35,[25]Brewhouse!$AU$37:$AU$45,[25]Brewhouse!$AU$47:$AU$62,[25]Brewhouse!$AU$64:$AU$71)</f>
        <v>97.191383970163244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7"/>
      <c r="C48" s="349">
        <f>[26]Process!D58</f>
        <v>14.2</v>
      </c>
      <c r="D48" s="537"/>
      <c r="E48" s="520"/>
      <c r="F48" s="294"/>
      <c r="G48" s="294"/>
      <c r="H48" s="348"/>
      <c r="I48" s="22" t="s">
        <v>33</v>
      </c>
      <c r="J48" s="280"/>
      <c r="K48" s="284">
        <f>COUNTA([26]Brewhouse!$A$55:$A$62)</f>
        <v>8</v>
      </c>
      <c r="L48" s="302">
        <f>AVERAGE([26]Brewhouse!$AV$55:$AV$62)</f>
        <v>99.616385552827751</v>
      </c>
      <c r="M48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7"/>
      <c r="C49" s="349">
        <f>[26]Process!D59</f>
        <v>14.4</v>
      </c>
      <c r="D49" s="536">
        <v>16.440000000000001</v>
      </c>
      <c r="E49" s="525"/>
      <c r="F49" s="418"/>
      <c r="G49" s="294"/>
      <c r="H49" s="348"/>
      <c r="I49" s="35" t="s">
        <v>29</v>
      </c>
      <c r="J49" s="280"/>
      <c r="K49" s="284"/>
      <c r="L49" s="302"/>
      <c r="M49" s="302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7"/>
      <c r="C50" s="349">
        <f>[26]Process!D60</f>
        <v>14.3</v>
      </c>
      <c r="D50" s="537"/>
      <c r="E50" s="520"/>
      <c r="F50" s="418"/>
      <c r="G50" s="294"/>
      <c r="H50" s="348"/>
      <c r="I50" s="36" t="s">
        <v>15</v>
      </c>
      <c r="J50" s="323"/>
      <c r="K50" s="284"/>
      <c r="L50" s="302"/>
      <c r="M50" s="302">
        <f>AVERAGE([27]Brewhouse!$AT$4:$AT$11,[27]Brewhouse!$AT$13:$AT$16,[27]Brewhouse!$AT$18:$AT$21)</f>
        <v>94.773169817643847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97"/>
      <c r="C51" s="349">
        <f>[26]Process!D61</f>
        <v>14</v>
      </c>
      <c r="D51" s="536">
        <v>16.52</v>
      </c>
      <c r="E51" s="525"/>
      <c r="F51" s="418"/>
      <c r="G51" s="294"/>
      <c r="H51" s="348"/>
      <c r="I51" s="37" t="s">
        <v>16</v>
      </c>
      <c r="J51" s="323"/>
      <c r="K51" s="284">
        <f>COUNTA([22]Brewhouse!$A$56:$A$65)</f>
        <v>10</v>
      </c>
      <c r="L51" s="302">
        <f>AVERAGE([22]Brewhouse!$AY$56:$AY$65)</f>
        <v>99.275500637605006</v>
      </c>
      <c r="M51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1" s="30">
        <v>98</v>
      </c>
      <c r="O51" s="11"/>
      <c r="P51" s="31" t="s">
        <v>41</v>
      </c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7"/>
      <c r="C52" s="349">
        <f>[26]Process!D62</f>
        <v>14.5</v>
      </c>
      <c r="D52" s="537"/>
      <c r="E52" s="520"/>
      <c r="F52" s="294"/>
      <c r="G52" s="294"/>
      <c r="H52" s="348"/>
      <c r="I52" s="411" t="s">
        <v>158</v>
      </c>
      <c r="J52" s="326"/>
      <c r="K52" s="284"/>
      <c r="L52" s="305"/>
      <c r="M52" s="305">
        <f>AVERAGE([28]Brewhouse!$AU$5:$AU$8,[28]Brewhouse!$AU$10:$AU$13)</f>
        <v>94.247666625193744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7"/>
      <c r="C53" s="349"/>
      <c r="D53" s="536"/>
      <c r="E53" s="525"/>
      <c r="F53" s="294"/>
      <c r="G53" s="294"/>
      <c r="H53" s="348"/>
      <c r="I53" s="410" t="s">
        <v>157</v>
      </c>
      <c r="J53" s="326"/>
      <c r="K53" s="284"/>
      <c r="L53" s="305"/>
      <c r="M53" s="305">
        <f>AVERAGE([29]Brewhouse!$AW$26:$AW$27)</f>
        <v>95.310680905194914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customHeight="1" thickBot="1">
      <c r="A54" s="28"/>
      <c r="B54" s="597"/>
      <c r="C54" s="349"/>
      <c r="D54" s="537"/>
      <c r="E54" s="520"/>
      <c r="F54" s="294"/>
      <c r="G54" s="294"/>
      <c r="H54" s="348"/>
      <c r="I54" s="406" t="s">
        <v>156</v>
      </c>
      <c r="J54" s="327"/>
      <c r="K54" s="407"/>
      <c r="L54" s="408"/>
      <c r="M54" s="408">
        <f>AVERAGE([30]Brewhouse!$AU$13:$AU$14)</f>
        <v>97.110575243268045</v>
      </c>
      <c r="N54" s="409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7"/>
      <c r="C55" s="349"/>
      <c r="D55" s="536"/>
      <c r="E55" s="525"/>
      <c r="F55" s="294"/>
      <c r="G55" s="294"/>
      <c r="H55" s="348"/>
      <c r="I55" s="1"/>
      <c r="J55" s="39"/>
      <c r="K55" s="404">
        <f>SUM(K45:K54)</f>
        <v>96</v>
      </c>
      <c r="L55" s="405">
        <f>((L45*K45)+(L46*K46)+(L47*K47)+(L48*K48)+(L49*K49)+(K52*L52)+(L50*K50)+(L51*K51)+(L54*K54))/(K55)</f>
        <v>99.049924040692872</v>
      </c>
      <c r="M55" s="405">
        <f>AVERAGE('[31]Jan 31st'!$L$65,'[32]Feb 28th'!$L$35,'[33]Mar. 31st'!$L$35,'[34]Apr. 30th'!$L$45,'[35]May 30th'!$L$37,L55)</f>
        <v>97.871529579676988</v>
      </c>
      <c r="N55" s="4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thickBot="1">
      <c r="B56" s="598"/>
      <c r="C56" s="350"/>
      <c r="D56" s="537"/>
      <c r="E56" s="520"/>
      <c r="F56" s="294"/>
      <c r="G56" s="42"/>
      <c r="H56" s="41"/>
      <c r="I56" s="42"/>
      <c r="J56" s="42"/>
      <c r="K56" s="351"/>
      <c r="L56" s="348"/>
      <c r="M56" s="348"/>
      <c r="N56" s="11"/>
      <c r="O56" s="294"/>
      <c r="P56" s="12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89"/>
      <c r="C57" s="362"/>
      <c r="D57" s="517"/>
      <c r="E57" s="518"/>
      <c r="F57" s="294"/>
      <c r="G57" s="42"/>
      <c r="H57" s="41"/>
      <c r="I57" s="42"/>
      <c r="J57" s="572" t="s">
        <v>129</v>
      </c>
      <c r="K57" s="572"/>
      <c r="L57" s="294"/>
      <c r="M57" s="294"/>
      <c r="N57" s="294"/>
      <c r="O57" s="294"/>
      <c r="P57" s="12"/>
    </row>
    <row r="58" spans="1:56" ht="15" thickBot="1">
      <c r="B58" s="590"/>
      <c r="C58" s="362"/>
      <c r="D58" s="519"/>
      <c r="E58" s="520"/>
      <c r="F58" s="294"/>
      <c r="G58" s="42"/>
      <c r="H58" s="41"/>
      <c r="I58" s="42"/>
      <c r="J58" s="292" t="s">
        <v>17</v>
      </c>
      <c r="K58" s="293" t="s">
        <v>147</v>
      </c>
      <c r="L58" s="522" t="s">
        <v>136</v>
      </c>
      <c r="M58" s="522"/>
      <c r="N58" s="523"/>
      <c r="O58" s="294"/>
      <c r="P58" s="12"/>
    </row>
    <row r="59" spans="1:56" ht="15" customHeight="1" thickBot="1">
      <c r="B59" s="590"/>
      <c r="C59" s="349"/>
      <c r="D59" s="573"/>
      <c r="E59" s="574"/>
      <c r="F59" s="294"/>
      <c r="G59" s="42"/>
      <c r="H59" s="41"/>
      <c r="I59" s="42"/>
      <c r="J59" s="287" t="s">
        <v>6</v>
      </c>
      <c r="K59" s="324">
        <v>8</v>
      </c>
      <c r="L59" s="343" t="s">
        <v>37</v>
      </c>
      <c r="M59" s="307" t="s">
        <v>38</v>
      </c>
      <c r="N59" s="307" t="s">
        <v>84</v>
      </c>
      <c r="O59" s="294"/>
      <c r="P59" s="12"/>
    </row>
    <row r="60" spans="1:56" ht="15.75" customHeight="1" thickBot="1">
      <c r="B60" s="590"/>
      <c r="C60" s="349"/>
      <c r="D60" s="519"/>
      <c r="E60" s="520"/>
      <c r="F60" s="294"/>
      <c r="G60" s="42"/>
      <c r="H60" s="41"/>
      <c r="I60" s="42"/>
      <c r="J60" s="345" t="s">
        <v>9</v>
      </c>
      <c r="K60" s="324"/>
      <c r="L60" s="344">
        <f>AVERAGE(K69,'July 1st'!K67,'July 2nd'!K68,'July 3rd'!K68,'July 4th'!K68,'July 7th '!K68,'July 8th '!K68,'July 9th  '!K69,'July 10th '!K69,'July 11th  '!K69,'July 14th'!K69,'July 15th'!K69)</f>
        <v>8</v>
      </c>
      <c r="M60" s="325">
        <f>AVERAGE('[31]Jan 29th '!$M$70,'[32]Feb 28th'!$L$40,'[33]Mar. 31st'!$L$40,'[34]Apr. 30th'!$L$50,'[35]May 30th'!$L$42,L60)</f>
        <v>6.8677735308170087</v>
      </c>
      <c r="N60" s="417">
        <v>9.1999999999999993</v>
      </c>
      <c r="O60" s="294"/>
      <c r="P60" s="12"/>
    </row>
    <row r="61" spans="1:56" ht="15" customHeight="1">
      <c r="B61" s="590"/>
      <c r="C61" s="349"/>
      <c r="D61" s="573"/>
      <c r="E61" s="574"/>
      <c r="F61" s="294"/>
      <c r="G61" s="42"/>
      <c r="H61" s="41"/>
      <c r="I61" s="42"/>
      <c r="J61" s="288" t="s">
        <v>40</v>
      </c>
      <c r="K61" s="324"/>
      <c r="L61" s="294"/>
      <c r="M61" s="294"/>
      <c r="N61" s="294"/>
      <c r="O61" s="294"/>
      <c r="P61" s="12"/>
    </row>
    <row r="62" spans="1:56" ht="15" customHeight="1">
      <c r="B62" s="590"/>
      <c r="C62" s="349"/>
      <c r="D62" s="519"/>
      <c r="E62" s="520"/>
      <c r="F62" s="294"/>
      <c r="G62" s="42"/>
      <c r="H62" s="41"/>
      <c r="I62" s="42"/>
      <c r="J62" s="289" t="s">
        <v>33</v>
      </c>
      <c r="K62" s="324"/>
      <c r="L62" s="294"/>
      <c r="M62" s="294"/>
      <c r="N62" s="294"/>
      <c r="O62" s="294"/>
      <c r="P62" s="12"/>
    </row>
    <row r="63" spans="1:56" ht="14.4">
      <c r="B63" s="590"/>
      <c r="C63" s="349"/>
      <c r="D63" s="573"/>
      <c r="E63" s="574"/>
      <c r="F63" s="294"/>
      <c r="G63" s="42"/>
      <c r="H63" s="41"/>
      <c r="I63" s="42"/>
      <c r="J63" s="290" t="s">
        <v>16</v>
      </c>
      <c r="K63" s="324"/>
      <c r="L63" s="294"/>
      <c r="M63" s="294"/>
      <c r="N63" s="294"/>
      <c r="O63" s="294"/>
      <c r="P63" s="12"/>
      <c r="BC63" s="44"/>
      <c r="BD63" s="44"/>
    </row>
    <row r="64" spans="1:56" ht="14.4">
      <c r="B64" s="590"/>
      <c r="C64" s="349"/>
      <c r="D64" s="519"/>
      <c r="E64" s="520"/>
      <c r="F64" s="294"/>
      <c r="G64" s="42"/>
      <c r="H64" s="41"/>
      <c r="I64" s="42"/>
      <c r="J64" s="291" t="s">
        <v>15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73"/>
      <c r="E65" s="574"/>
      <c r="F65" s="294"/>
      <c r="G65" s="42"/>
      <c r="H65" s="41"/>
      <c r="I65" s="42"/>
      <c r="J65" s="291" t="s">
        <v>149</v>
      </c>
      <c r="K65" s="324"/>
      <c r="L65" s="294"/>
      <c r="M65" s="294"/>
      <c r="N65" s="294"/>
      <c r="O65" s="294"/>
      <c r="P65" s="12"/>
      <c r="BC65" s="44"/>
      <c r="BD65" s="44"/>
    </row>
    <row r="66" spans="2:57" ht="15" thickBot="1">
      <c r="B66" s="591"/>
      <c r="C66" s="350"/>
      <c r="D66" s="575"/>
      <c r="E66" s="576"/>
      <c r="F66" s="294"/>
      <c r="G66" s="42"/>
      <c r="H66" s="41"/>
      <c r="I66" s="42"/>
      <c r="J66" s="291" t="s">
        <v>148</v>
      </c>
      <c r="K66" s="324"/>
      <c r="L66" s="294"/>
      <c r="M66" s="294"/>
      <c r="N66" s="294"/>
      <c r="O66" s="294"/>
      <c r="P66" s="12"/>
      <c r="BC66" s="44"/>
      <c r="BD66" s="44"/>
    </row>
    <row r="67" spans="2:57" ht="17.7" customHeight="1" thickBot="1">
      <c r="B67" s="312" t="s">
        <v>139</v>
      </c>
      <c r="C67" s="313"/>
      <c r="D67" s="577">
        <f>AVERAGE(D45:E66)</f>
        <v>16.489999999999998</v>
      </c>
      <c r="E67" s="578"/>
      <c r="F67" s="294"/>
      <c r="G67" s="42"/>
      <c r="H67" s="41"/>
      <c r="I67" s="42"/>
      <c r="J67" s="295" t="s">
        <v>134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>
      <c r="B68" s="363"/>
      <c r="C68" s="364"/>
      <c r="D68" s="365"/>
      <c r="E68" s="365"/>
      <c r="F68" s="294"/>
      <c r="G68" s="42"/>
      <c r="H68" s="41"/>
      <c r="I68" s="42"/>
      <c r="J68" s="295" t="s">
        <v>131</v>
      </c>
      <c r="K68" s="324"/>
      <c r="L68" s="294"/>
      <c r="M68" s="294"/>
      <c r="N68" s="294"/>
      <c r="O68" s="294"/>
      <c r="P68" s="12"/>
      <c r="BC68" s="44"/>
      <c r="BD68" s="44"/>
    </row>
    <row r="69" spans="2:57" ht="15.6" customHeight="1">
      <c r="B69" s="45"/>
      <c r="C69" s="11"/>
      <c r="D69" s="11"/>
      <c r="E69" s="46"/>
      <c r="F69" s="294"/>
      <c r="G69" s="42"/>
      <c r="H69" s="41"/>
      <c r="I69" s="42"/>
      <c r="J69" s="346" t="s">
        <v>130</v>
      </c>
      <c r="K69" s="324">
        <f>SUM(K59:K68)</f>
        <v>8</v>
      </c>
      <c r="L69" s="294"/>
      <c r="M69" s="294"/>
      <c r="N69" s="294"/>
      <c r="O69" s="294"/>
      <c r="P69" s="12"/>
    </row>
    <row r="70" spans="2:57" ht="20.25" customHeight="1">
      <c r="B70" s="15" t="s">
        <v>42</v>
      </c>
      <c r="C70" s="1" t="s">
        <v>43</v>
      </c>
      <c r="D70" s="1"/>
      <c r="E70" s="1"/>
      <c r="F70" s="294"/>
      <c r="G70" s="42"/>
      <c r="H70" s="41"/>
      <c r="I70" s="42"/>
      <c r="L70" s="294"/>
      <c r="P70" s="334"/>
    </row>
    <row r="71" spans="2:57" ht="15" customHeight="1" thickBot="1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9"/>
    </row>
    <row r="72" spans="2:57" ht="15" customHeight="1" thickBot="1">
      <c r="B72" s="498" t="s">
        <v>17</v>
      </c>
      <c r="C72" s="498" t="s">
        <v>44</v>
      </c>
      <c r="D72" s="510" t="s">
        <v>45</v>
      </c>
      <c r="E72" s="512" t="s">
        <v>46</v>
      </c>
      <c r="F72" s="506" t="s">
        <v>47</v>
      </c>
      <c r="G72" s="496" t="s">
        <v>48</v>
      </c>
      <c r="H72" s="498" t="s">
        <v>49</v>
      </c>
      <c r="I72" s="498" t="s">
        <v>50</v>
      </c>
      <c r="J72" s="490" t="s">
        <v>28</v>
      </c>
      <c r="K72" s="502" t="s">
        <v>51</v>
      </c>
      <c r="L72" s="504" t="s">
        <v>52</v>
      </c>
      <c r="M72" s="490" t="s">
        <v>53</v>
      </c>
      <c r="N72" s="13"/>
      <c r="O72" s="13"/>
      <c r="P72" s="50"/>
    </row>
    <row r="73" spans="2:57" ht="28.5" customHeight="1" thickTop="1" thickBot="1">
      <c r="B73" s="499"/>
      <c r="C73" s="499"/>
      <c r="D73" s="511"/>
      <c r="E73" s="513"/>
      <c r="F73" s="507"/>
      <c r="G73" s="497"/>
      <c r="H73" s="499"/>
      <c r="I73" s="499"/>
      <c r="J73" s="491"/>
      <c r="K73" s="503"/>
      <c r="L73" s="505"/>
      <c r="M73" s="491"/>
      <c r="N73" s="13"/>
      <c r="O73" s="13"/>
      <c r="P73" s="50"/>
      <c r="Q73" s="355"/>
      <c r="AB73" s="51">
        <v>43474</v>
      </c>
      <c r="AC73" s="51">
        <v>43475</v>
      </c>
      <c r="AD73" s="51">
        <v>43476</v>
      </c>
      <c r="AE73" s="51">
        <v>43477</v>
      </c>
      <c r="AF73" s="51">
        <v>43478</v>
      </c>
      <c r="AG73" s="51">
        <v>43479</v>
      </c>
      <c r="AH73" s="51">
        <v>43480</v>
      </c>
      <c r="AI73" s="51">
        <v>43481</v>
      </c>
      <c r="AJ73" s="51">
        <v>43482</v>
      </c>
      <c r="AK73" s="51">
        <v>43483</v>
      </c>
      <c r="AL73" s="51">
        <v>43484</v>
      </c>
      <c r="AM73" s="51">
        <v>43485</v>
      </c>
      <c r="AN73" s="51">
        <v>43486</v>
      </c>
      <c r="AO73" s="51">
        <v>43487</v>
      </c>
      <c r="AP73" s="51">
        <v>43488</v>
      </c>
      <c r="AQ73" s="51">
        <v>43489</v>
      </c>
      <c r="AR73" s="51">
        <v>43490</v>
      </c>
      <c r="AS73" s="51">
        <v>43491</v>
      </c>
      <c r="AT73" s="51">
        <v>43492</v>
      </c>
      <c r="AU73" s="51">
        <v>43493</v>
      </c>
      <c r="AV73" s="51">
        <v>43494</v>
      </c>
      <c r="AW73" s="51">
        <v>43495</v>
      </c>
      <c r="AX73" s="51">
        <v>43496</v>
      </c>
    </row>
    <row r="74" spans="2:57" s="54" customFormat="1" ht="53.25" customHeight="1">
      <c r="B74" s="450" t="str">
        <f>B84</f>
        <v>VITAMALT</v>
      </c>
      <c r="C74" s="422">
        <v>45854</v>
      </c>
      <c r="D74" s="377">
        <f>[36]July_2025!$S$65</f>
        <v>392.09999999999997</v>
      </c>
      <c r="E74" s="378">
        <f>[38]VITAMALT!$J$6+[38]VITAMALT!$J$8+[38]VITAMALT!$J$10+[38]VITAMALT!$J$12</f>
        <v>16.399999999999999</v>
      </c>
      <c r="F74" s="379"/>
      <c r="G74" s="303">
        <f>[36]July_2025!$S$70</f>
        <v>394.3</v>
      </c>
      <c r="H74" s="320"/>
      <c r="I74" s="322"/>
      <c r="J74" s="392" t="s">
        <v>164</v>
      </c>
      <c r="K74" s="286">
        <f>[37]July_2025!$S$60</f>
        <v>1.3835087719298247</v>
      </c>
      <c r="L74" s="391">
        <f>(((D74+E74)-G74)/(D74+E74))*100</f>
        <v>3.4761321909424563</v>
      </c>
      <c r="M74" s="435" t="s">
        <v>186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285.8</v>
      </c>
      <c r="AC74" s="57">
        <f>[20]January_2019!M7</f>
        <v>508.1</v>
      </c>
      <c r="AD74" s="57">
        <f>[20]January_2019!N7</f>
        <v>0</v>
      </c>
      <c r="AE74" s="57">
        <f>[20]January_2019!O7</f>
        <v>0</v>
      </c>
      <c r="AF74" s="57">
        <f>[20]January_2019!P7</f>
        <v>109.56666666666666</v>
      </c>
      <c r="AG74" s="57">
        <f>[20]January_2019!Q7</f>
        <v>297.64999999999998</v>
      </c>
      <c r="AH74" s="57">
        <f>[20]January_2019!R7</f>
        <v>122.3</v>
      </c>
      <c r="AI74" s="57">
        <f>[20]January_2019!S7</f>
        <v>0</v>
      </c>
      <c r="AJ74" s="57">
        <f>[20]January_2019!T7</f>
        <v>294.7</v>
      </c>
      <c r="AK74" s="57">
        <f>[20]January_2019!U7</f>
        <v>280.5</v>
      </c>
      <c r="AL74" s="57">
        <f>[20]January_2019!V7</f>
        <v>0</v>
      </c>
      <c r="AM74" s="57">
        <f>[20]January_2019!W7</f>
        <v>0</v>
      </c>
      <c r="AN74" s="57">
        <f>[20]January_2019!X7</f>
        <v>188.25</v>
      </c>
      <c r="AO74" s="57">
        <f>[20]January_2019!Y7</f>
        <v>295.7</v>
      </c>
      <c r="AP74" s="57">
        <f>[20]January_2019!Z7</f>
        <v>257.8</v>
      </c>
      <c r="AQ74" s="57">
        <f>[20]January_2019!AA7</f>
        <v>291.2</v>
      </c>
      <c r="AR74" s="57">
        <f>[20]January_2019!AB7</f>
        <v>187</v>
      </c>
      <c r="AS74" s="57">
        <f>[20]January_2019!AC7</f>
        <v>0</v>
      </c>
      <c r="AT74" s="57">
        <f>[20]January_2019!AD7</f>
        <v>0</v>
      </c>
      <c r="AU74" s="57">
        <f>[20]January_2019!AE7</f>
        <v>485.1</v>
      </c>
      <c r="AV74" s="57">
        <f>[20]January_2019!AF7</f>
        <v>171.55</v>
      </c>
      <c r="AW74" s="57">
        <f>[20]January_2019!AG7</f>
        <v>423.8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20.399999999999999" customHeight="1">
      <c r="B75" s="431"/>
      <c r="C75" s="422"/>
      <c r="D75" s="377"/>
      <c r="E75" s="378"/>
      <c r="F75" s="379"/>
      <c r="G75" s="303"/>
      <c r="H75" s="320"/>
      <c r="I75" s="322"/>
      <c r="J75" s="281"/>
      <c r="K75" s="286"/>
      <c r="L75" s="314"/>
      <c r="M75" s="438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53.25" hidden="1" customHeight="1">
      <c r="B76" s="432" t="str">
        <f>B82</f>
        <v>STAG</v>
      </c>
      <c r="C76" s="422">
        <v>45853</v>
      </c>
      <c r="D76" s="377"/>
      <c r="E76" s="378"/>
      <c r="F76" s="379"/>
      <c r="G76" s="303"/>
      <c r="H76" s="320" t="e">
        <f>(D76-F76)/D76*100</f>
        <v>#DIV/0!</v>
      </c>
      <c r="I76" s="322" t="e">
        <f>((F76+E76)-G76)/(F76+E76)*100</f>
        <v>#DIV/0!</v>
      </c>
      <c r="J76" s="392" t="s">
        <v>164</v>
      </c>
      <c r="K76" s="286"/>
      <c r="L76" s="314" t="e">
        <f>(((D76+E76)-G76)/(D76+E76))*100</f>
        <v>#DIV/0!</v>
      </c>
      <c r="M76" s="438" t="s">
        <v>176</v>
      </c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6.5" customHeight="1" thickBot="1">
      <c r="B77" s="439"/>
      <c r="C77" s="440"/>
      <c r="D77" s="441"/>
      <c r="E77" s="442"/>
      <c r="F77" s="443"/>
      <c r="G77" s="444"/>
      <c r="H77" s="445"/>
      <c r="I77" s="446"/>
      <c r="J77" s="447"/>
      <c r="K77" s="448"/>
      <c r="L77" s="449"/>
      <c r="M77" s="437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5"/>
      <c r="AC77" s="415"/>
      <c r="AD77" s="415"/>
      <c r="AE77" s="415"/>
      <c r="AF77" s="415"/>
      <c r="AG77" s="415"/>
      <c r="AH77" s="415"/>
      <c r="AI77" s="415"/>
      <c r="AJ77" s="415"/>
      <c r="AK77" s="415"/>
      <c r="AL77" s="415"/>
      <c r="AM77" s="415"/>
      <c r="AN77" s="415"/>
      <c r="AO77" s="415"/>
      <c r="AP77" s="415"/>
      <c r="AQ77" s="415"/>
      <c r="AR77" s="415"/>
      <c r="AS77" s="415"/>
      <c r="AT77" s="415"/>
      <c r="AU77" s="415"/>
      <c r="AV77" s="415"/>
      <c r="AW77" s="415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 t="s">
        <v>41</v>
      </c>
      <c r="O78" s="56"/>
      <c r="P78" s="60"/>
    </row>
    <row r="79" spans="2:57" ht="14.4" thickBot="1">
      <c r="B79" s="492" t="s">
        <v>55</v>
      </c>
      <c r="C79" s="493"/>
      <c r="D79" s="493"/>
      <c r="E79" s="493"/>
      <c r="F79" s="494"/>
      <c r="G79" s="492" t="s">
        <v>56</v>
      </c>
      <c r="H79" s="493"/>
      <c r="I79" s="493"/>
      <c r="J79" s="494"/>
      <c r="K79" s="492" t="s">
        <v>51</v>
      </c>
      <c r="L79" s="493"/>
      <c r="M79" s="493"/>
      <c r="N79" s="495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 t="s">
        <v>36</v>
      </c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/>
      <c r="D81" s="76">
        <v>5.1567424767534424</v>
      </c>
      <c r="E81" s="76">
        <v>6.4308411851227927</v>
      </c>
      <c r="F81" s="66">
        <v>4.8</v>
      </c>
      <c r="G81" s="65"/>
      <c r="H81" s="76">
        <v>4.2657333534483266</v>
      </c>
      <c r="I81" s="76">
        <v>6.321769489606484</v>
      </c>
      <c r="J81" s="66">
        <v>4.8</v>
      </c>
      <c r="K81" s="67"/>
      <c r="L81" s="194">
        <v>1.1425010462702558</v>
      </c>
      <c r="M81" s="194">
        <v>0.7541870276439433</v>
      </c>
      <c r="N81" s="68">
        <v>1</v>
      </c>
      <c r="O81" s="56"/>
      <c r="P81" s="69"/>
    </row>
    <row r="82" spans="2:16">
      <c r="B82" s="33" t="s">
        <v>9</v>
      </c>
      <c r="C82" s="65"/>
      <c r="D82" s="76">
        <v>5.7227748352925918</v>
      </c>
      <c r="E82" s="76">
        <v>6.0887030852231598</v>
      </c>
      <c r="F82" s="66">
        <v>4.8</v>
      </c>
      <c r="G82" s="65"/>
      <c r="H82" s="76">
        <v>5.0603857242884045</v>
      </c>
      <c r="I82" s="76">
        <v>5.7601419753057765</v>
      </c>
      <c r="J82" s="66">
        <v>4.8</v>
      </c>
      <c r="K82" s="67"/>
      <c r="L82" s="194">
        <v>0.50066010821446139</v>
      </c>
      <c r="M82" s="194">
        <v>0.73836015755280138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11.96027372373279</v>
      </c>
      <c r="F83" s="66">
        <v>5.5</v>
      </c>
      <c r="G83" s="65"/>
      <c r="H83" s="76"/>
      <c r="I83" s="76">
        <v>13.111031100634913</v>
      </c>
      <c r="J83" s="66">
        <v>5.5</v>
      </c>
      <c r="K83" s="67"/>
      <c r="L83" s="194"/>
      <c r="M83" s="194">
        <v>0.4869398559932232</v>
      </c>
      <c r="N83" s="68">
        <v>1</v>
      </c>
      <c r="P83" s="69"/>
    </row>
    <row r="84" spans="2:16">
      <c r="B84" s="22" t="s">
        <v>33</v>
      </c>
      <c r="C84" s="65">
        <f>L74</f>
        <v>3.4761321909424563</v>
      </c>
      <c r="D84" s="76">
        <v>3.4761321909424563</v>
      </c>
      <c r="E84" s="76">
        <v>5.119233255999676</v>
      </c>
      <c r="F84" s="66">
        <v>3.3</v>
      </c>
      <c r="G84" s="65">
        <f>[36]July_2025!$S$74</f>
        <v>2.7479545757807706</v>
      </c>
      <c r="H84" s="76">
        <v>2.7479545757807706</v>
      </c>
      <c r="I84" s="76">
        <v>4.8747400258857825</v>
      </c>
      <c r="J84" s="66">
        <v>3.3</v>
      </c>
      <c r="K84" s="67">
        <f>K74</f>
        <v>1.3835087719298247</v>
      </c>
      <c r="L84" s="194">
        <v>1.3835087719298247</v>
      </c>
      <c r="M84" s="194">
        <v>0.77839364035087721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7.3129862357869699</v>
      </c>
      <c r="F86" s="70">
        <f>[21]May_2022!$M$43</f>
        <v>3.4878406700073312</v>
      </c>
      <c r="G86" s="282"/>
      <c r="H86" s="76"/>
      <c r="I86" s="76">
        <v>8.9862703283331644</v>
      </c>
      <c r="J86" s="66">
        <v>5.5</v>
      </c>
      <c r="K86" s="67"/>
      <c r="L86" s="194"/>
      <c r="M86" s="194">
        <v>0.59276315789473688</v>
      </c>
      <c r="N86" s="68">
        <v>1</v>
      </c>
      <c r="P86" s="69"/>
    </row>
    <row r="87" spans="2:16">
      <c r="B87" s="37" t="s">
        <v>16</v>
      </c>
      <c r="C87" s="65"/>
      <c r="D87" s="76">
        <v>2.3359073359073403</v>
      </c>
      <c r="E87" s="76">
        <v>2.980561555075584</v>
      </c>
      <c r="F87" s="66">
        <v>3.3</v>
      </c>
      <c r="G87" s="282"/>
      <c r="H87" s="76">
        <v>3.7114579368100644</v>
      </c>
      <c r="I87" s="76">
        <v>4.4931174512296872</v>
      </c>
      <c r="J87" s="66">
        <v>3.3</v>
      </c>
      <c r="K87" s="67"/>
      <c r="L87" s="194">
        <v>1.7750877192982455</v>
      </c>
      <c r="M87" s="194">
        <v>0.83077455048409399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4" t="s">
        <v>161</v>
      </c>
      <c r="C89" s="65"/>
      <c r="D89" s="76">
        <v>9.4974642692485105</v>
      </c>
      <c r="E89" s="76">
        <v>7.2653644592663174</v>
      </c>
      <c r="F89" s="66">
        <v>4.8</v>
      </c>
      <c r="G89" s="282"/>
      <c r="H89" s="76">
        <v>10.183089539936029</v>
      </c>
      <c r="I89" s="76">
        <v>8.1715311054411259</v>
      </c>
      <c r="J89" s="66">
        <v>4.8</v>
      </c>
      <c r="K89" s="67"/>
      <c r="L89" s="194">
        <v>0.68877192982456148</v>
      </c>
      <c r="M89" s="194">
        <v>0.51368421052631585</v>
      </c>
      <c r="N89" s="71">
        <v>1</v>
      </c>
      <c r="O89" s="74"/>
      <c r="P89" s="75"/>
    </row>
    <row r="90" spans="2:16">
      <c r="D90" s="76">
        <v>4.9743671329418291</v>
      </c>
      <c r="E90" s="76">
        <v>6.4674185889962006</v>
      </c>
      <c r="F90" s="341">
        <v>5.5</v>
      </c>
      <c r="H90" s="76">
        <v>4.3844382879589725</v>
      </c>
      <c r="I90" s="76">
        <v>6.652676465552422</v>
      </c>
      <c r="J90" s="341">
        <v>5.5</v>
      </c>
      <c r="L90" s="194">
        <v>0.98997076023391817</v>
      </c>
      <c r="M90" s="194">
        <v>0.72219542772861367</v>
      </c>
      <c r="N90" s="386">
        <v>1</v>
      </c>
    </row>
    <row r="94" spans="2:16">
      <c r="F94" s="315"/>
    </row>
    <row r="95" spans="2:16">
      <c r="F95" s="341"/>
    </row>
  </sheetData>
  <mergeCells count="51">
    <mergeCell ref="M72:M73"/>
    <mergeCell ref="B79:F79"/>
    <mergeCell ref="G79:J79"/>
    <mergeCell ref="K79:N79"/>
    <mergeCell ref="G72:G73"/>
    <mergeCell ref="H72:H73"/>
    <mergeCell ref="I72:I73"/>
    <mergeCell ref="J72:J73"/>
    <mergeCell ref="K72:K73"/>
    <mergeCell ref="L72:L73"/>
    <mergeCell ref="F72:F73"/>
    <mergeCell ref="D67:E67"/>
    <mergeCell ref="B72:B73"/>
    <mergeCell ref="C72:C73"/>
    <mergeCell ref="D72:D73"/>
    <mergeCell ref="E72:E73"/>
    <mergeCell ref="B57:B66"/>
    <mergeCell ref="D57:E58"/>
    <mergeCell ref="J57:K57"/>
    <mergeCell ref="L58:N58"/>
    <mergeCell ref="D59:E60"/>
    <mergeCell ref="D61:E62"/>
    <mergeCell ref="D63:E64"/>
    <mergeCell ref="D65:E66"/>
    <mergeCell ref="I43:N43"/>
    <mergeCell ref="D44:E44"/>
    <mergeCell ref="B45:B56"/>
    <mergeCell ref="D45:E46"/>
    <mergeCell ref="D47:E48"/>
    <mergeCell ref="D49:E50"/>
    <mergeCell ref="D51:E52"/>
    <mergeCell ref="D53:E54"/>
    <mergeCell ref="D55:E5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7:B68">
    <cfRule type="cellIs" dxfId="1491" priority="116" operator="notBetween">
      <formula>#REF!</formula>
      <formula>#REF!</formula>
    </cfRule>
  </conditionalFormatting>
  <conditionalFormatting sqref="C71">
    <cfRule type="cellIs" dxfId="1490" priority="147" stopIfTrue="1" operator="lessThan">
      <formula>96</formula>
    </cfRule>
    <cfRule type="cellIs" dxfId="1489" priority="148" stopIfTrue="1" operator="greaterThan">
      <formula>100</formula>
    </cfRule>
  </conditionalFormatting>
  <conditionalFormatting sqref="C81:C82">
    <cfRule type="cellIs" dxfId="1488" priority="94" stopIfTrue="1" operator="lessThanOrEqual">
      <formula>0</formula>
    </cfRule>
  </conditionalFormatting>
  <conditionalFormatting sqref="C81:C85">
    <cfRule type="cellIs" dxfId="1487" priority="93" stopIfTrue="1" operator="greaterThan">
      <formula>$F81</formula>
    </cfRule>
  </conditionalFormatting>
  <conditionalFormatting sqref="C82">
    <cfRule type="cellIs" dxfId="1486" priority="151" stopIfTrue="1" operator="greaterThan">
      <formula>$F81</formula>
    </cfRule>
  </conditionalFormatting>
  <conditionalFormatting sqref="C83:C86">
    <cfRule type="cellIs" dxfId="1485" priority="100" stopIfTrue="1" operator="lessThanOrEqual">
      <formula>0</formula>
    </cfRule>
  </conditionalFormatting>
  <conditionalFormatting sqref="C86">
    <cfRule type="cellIs" dxfId="1484" priority="99" stopIfTrue="1" operator="greaterThan">
      <formula>$J86</formula>
    </cfRule>
  </conditionalFormatting>
  <conditionalFormatting sqref="C92:C96">
    <cfRule type="cellIs" dxfId="1483" priority="139" stopIfTrue="1" operator="lessThanOrEqual">
      <formula>0</formula>
    </cfRule>
  </conditionalFormatting>
  <conditionalFormatting sqref="C93:C96">
    <cfRule type="cellIs" dxfId="1482" priority="138" stopIfTrue="1" operator="greaterThan">
      <formula>$F$92</formula>
    </cfRule>
  </conditionalFormatting>
  <conditionalFormatting sqref="C98">
    <cfRule type="cellIs" dxfId="1481" priority="141" stopIfTrue="1" operator="lessThanOrEqual">
      <formula>0</formula>
    </cfRule>
    <cfRule type="cellIs" dxfId="1480" priority="140" stopIfTrue="1" operator="greaterThan">
      <formula>$F$92</formula>
    </cfRule>
  </conditionalFormatting>
  <conditionalFormatting sqref="C92:D92 D94:D100">
    <cfRule type="cellIs" dxfId="1479" priority="133" stopIfTrue="1" operator="greaterThan">
      <formula>4.5</formula>
    </cfRule>
  </conditionalFormatting>
  <conditionalFormatting sqref="D67:D68">
    <cfRule type="cellIs" dxfId="1478" priority="117" operator="notBetween">
      <formula>#REF!</formula>
      <formula>#REF!</formula>
    </cfRule>
  </conditionalFormatting>
  <conditionalFormatting sqref="D81:D88">
    <cfRule type="cellIs" dxfId="1477" priority="110" stopIfTrue="1" operator="lessThanOrEqual">
      <formula>0</formula>
    </cfRule>
  </conditionalFormatting>
  <conditionalFormatting sqref="D89">
    <cfRule type="cellIs" dxfId="1476" priority="109" stopIfTrue="1" operator="lessThanOrEqual">
      <formula>0</formula>
    </cfRule>
  </conditionalFormatting>
  <conditionalFormatting sqref="D92 D94:D100">
    <cfRule type="cellIs" dxfId="1475" priority="134" stopIfTrue="1" operator="lessThanOrEqual">
      <formula>0</formula>
    </cfRule>
  </conditionalFormatting>
  <conditionalFormatting sqref="D93">
    <cfRule type="cellIs" dxfId="1474" priority="126" stopIfTrue="1" operator="lessThanOrEqual">
      <formula>0</formula>
    </cfRule>
    <cfRule type="cellIs" dxfId="1473" priority="125" stopIfTrue="1" operator="greaterThan">
      <formula>$F$92</formula>
    </cfRule>
  </conditionalFormatting>
  <conditionalFormatting sqref="D81:E90">
    <cfRule type="cellIs" dxfId="1472" priority="90" stopIfTrue="1" operator="greaterThan">
      <formula>$F81</formula>
    </cfRule>
  </conditionalFormatting>
  <conditionalFormatting sqref="D90:E90">
    <cfRule type="cellIs" dxfId="1471" priority="91" stopIfTrue="1" operator="lessThanOrEqual">
      <formula>0</formula>
    </cfRule>
  </conditionalFormatting>
  <conditionalFormatting sqref="E10:E42">
    <cfRule type="cellIs" dxfId="1470" priority="2" operator="lessThan">
      <formula>48</formula>
    </cfRule>
  </conditionalFormatting>
  <conditionalFormatting sqref="E70 E71:F71">
    <cfRule type="cellIs" dxfId="1469" priority="130" stopIfTrue="1" operator="greaterThan">
      <formula>100</formula>
    </cfRule>
  </conditionalFormatting>
  <conditionalFormatting sqref="E71">
    <cfRule type="cellIs" dxfId="1468" priority="128" stopIfTrue="1" operator="greaterThan">
      <formula>100</formula>
    </cfRule>
    <cfRule type="cellIs" dxfId="1467" priority="127" stopIfTrue="1" operator="lessThan">
      <formula>96.8</formula>
    </cfRule>
  </conditionalFormatting>
  <conditionalFormatting sqref="E81:E89">
    <cfRule type="cellIs" dxfId="1466" priority="104" stopIfTrue="1" operator="lessThanOrEqual">
      <formula>0</formula>
    </cfRule>
  </conditionalFormatting>
  <conditionalFormatting sqref="E92:E100">
    <cfRule type="cellIs" dxfId="1465" priority="120" stopIfTrue="1" operator="lessThanOrEqual">
      <formula>0</formula>
    </cfRule>
    <cfRule type="cellIs" dxfId="1464" priority="119" stopIfTrue="1" operator="greaterThan">
      <formula>4.5</formula>
    </cfRule>
  </conditionalFormatting>
  <conditionalFormatting sqref="E71:F71 E70">
    <cfRule type="cellIs" dxfId="1463" priority="129" stopIfTrue="1" operator="lessThan">
      <formula>96.5</formula>
    </cfRule>
  </conditionalFormatting>
  <conditionalFormatting sqref="F10:F42">
    <cfRule type="cellIs" dxfId="1462" priority="3" operator="greaterThan">
      <formula>60</formula>
    </cfRule>
  </conditionalFormatting>
  <conditionalFormatting sqref="F71">
    <cfRule type="cellIs" dxfId="1461" priority="146" stopIfTrue="1" operator="greaterThan">
      <formula>100</formula>
    </cfRule>
    <cfRule type="cellIs" dxfId="1460" priority="145" stopIfTrue="1" operator="lessThan">
      <formula>96.8</formula>
    </cfRule>
  </conditionalFormatting>
  <conditionalFormatting sqref="F90">
    <cfRule type="cellIs" dxfId="1459" priority="105" stopIfTrue="1" operator="greaterThan">
      <formula>$F90</formula>
    </cfRule>
    <cfRule type="cellIs" dxfId="1458" priority="106" stopIfTrue="1" operator="lessThanOrEqual">
      <formula>0</formula>
    </cfRule>
  </conditionalFormatting>
  <conditionalFormatting sqref="F95">
    <cfRule type="cellIs" dxfId="1457" priority="59" stopIfTrue="1" operator="greaterThan">
      <formula>$F95</formula>
    </cfRule>
    <cfRule type="cellIs" dxfId="1456" priority="60" stopIfTrue="1" operator="lessThanOrEqual">
      <formula>0</formula>
    </cfRule>
  </conditionalFormatting>
  <conditionalFormatting sqref="G10">
    <cfRule type="expression" dxfId="1455" priority="40">
      <formula>IF(+(IF(G10&lt;#REF!,0,IF(G10&gt;#REF!,0,1)))=0,1)</formula>
    </cfRule>
  </conditionalFormatting>
  <conditionalFormatting sqref="G11">
    <cfRule type="expression" dxfId="1454" priority="44">
      <formula>IF(+(IF(G11&lt;S11,0,IF(G11&gt;T11,0,1)))=0,1)</formula>
    </cfRule>
  </conditionalFormatting>
  <conditionalFormatting sqref="G12:G21">
    <cfRule type="expression" dxfId="1453" priority="38">
      <formula>IF(+(IF(G12&lt;$S$10,0,IF(G12&gt;$T$10,0,1)))=0,1)</formula>
    </cfRule>
  </conditionalFormatting>
  <conditionalFormatting sqref="G81:G82 C87:C89">
    <cfRule type="cellIs" dxfId="1452" priority="112" stopIfTrue="1" operator="lessThanOrEqual">
      <formula>0</formula>
    </cfRule>
    <cfRule type="cellIs" dxfId="1451" priority="111" stopIfTrue="1" operator="greaterThan">
      <formula>$F81</formula>
    </cfRule>
  </conditionalFormatting>
  <conditionalFormatting sqref="G81:G82">
    <cfRule type="cellIs" dxfId="1450" priority="96" stopIfTrue="1" operator="lessThanOrEqual">
      <formula>0</formula>
    </cfRule>
    <cfRule type="cellIs" dxfId="1449" priority="95" stopIfTrue="1" operator="greaterThan">
      <formula>$F81</formula>
    </cfRule>
  </conditionalFormatting>
  <conditionalFormatting sqref="G83">
    <cfRule type="cellIs" dxfId="1448" priority="150" stopIfTrue="1" operator="lessThanOrEqual">
      <formula>0</formula>
    </cfRule>
    <cfRule type="cellIs" dxfId="1447" priority="149" stopIfTrue="1" operator="greaterThan">
      <formula>$F82</formula>
    </cfRule>
  </conditionalFormatting>
  <conditionalFormatting sqref="G84">
    <cfRule type="cellIs" dxfId="1446" priority="108" stopIfTrue="1" operator="lessThanOrEqual">
      <formula>0</formula>
    </cfRule>
    <cfRule type="cellIs" dxfId="1445" priority="107" stopIfTrue="1" operator="greaterThan">
      <formula>$F84</formula>
    </cfRule>
  </conditionalFormatting>
  <conditionalFormatting sqref="G85:G89">
    <cfRule type="cellIs" dxfId="1444" priority="114" stopIfTrue="1" operator="lessThanOrEqual">
      <formula>0</formula>
    </cfRule>
    <cfRule type="cellIs" dxfId="1443" priority="113" stopIfTrue="1" operator="greaterThan">
      <formula>$J85</formula>
    </cfRule>
  </conditionalFormatting>
  <conditionalFormatting sqref="G94:G99 C97 C99">
    <cfRule type="cellIs" dxfId="1442" priority="142" stopIfTrue="1" operator="greaterThan">
      <formula>4.5</formula>
    </cfRule>
    <cfRule type="cellIs" dxfId="1441" priority="143" stopIfTrue="1" operator="lessThanOrEqual">
      <formula>0</formula>
    </cfRule>
  </conditionalFormatting>
  <conditionalFormatting sqref="G22:H42">
    <cfRule type="expression" dxfId="1440" priority="8">
      <formula>IF(+(IF(G22&lt;#REF!,0,IF(G22&gt;#REF!,0,1)))=0,1)</formula>
    </cfRule>
  </conditionalFormatting>
  <conditionalFormatting sqref="G93:H93">
    <cfRule type="cellIs" dxfId="1439" priority="123" stopIfTrue="1" operator="greaterThan">
      <formula>$F$92</formula>
    </cfRule>
    <cfRule type="cellIs" dxfId="1438" priority="124" stopIfTrue="1" operator="lessThanOrEqual">
      <formula>0</formula>
    </cfRule>
  </conditionalFormatting>
  <conditionalFormatting sqref="H10:H21">
    <cfRule type="expression" dxfId="1437" priority="39">
      <formula>IF(+(IF(H10&lt;#REF!,0,IF(H10&gt;#REF!,0,1)))=0,1)</formula>
    </cfRule>
  </conditionalFormatting>
  <conditionalFormatting sqref="H56:H70">
    <cfRule type="cellIs" dxfId="1436" priority="121" stopIfTrue="1" operator="greaterThan">
      <formula>0</formula>
    </cfRule>
  </conditionalFormatting>
  <conditionalFormatting sqref="H74:H75">
    <cfRule type="cellIs" dxfId="1435" priority="47" stopIfTrue="1" operator="greaterThan">
      <formula>$F$40</formula>
    </cfRule>
    <cfRule type="cellIs" dxfId="1434" priority="58" stopIfTrue="1" operator="lessThanOrEqual">
      <formula>0</formula>
    </cfRule>
    <cfRule type="cellIs" dxfId="1433" priority="57" stopIfTrue="1" operator="greaterThan">
      <formula>$F$41</formula>
    </cfRule>
    <cfRule type="cellIs" dxfId="1432" priority="56" stopIfTrue="1" operator="lessThanOrEqual">
      <formula>0</formula>
    </cfRule>
    <cfRule type="cellIs" dxfId="1431" priority="55" stopIfTrue="1" operator="greaterThan">
      <formula>$F$43</formula>
    </cfRule>
    <cfRule type="cellIs" dxfId="1430" priority="46" stopIfTrue="1" operator="lessThanOrEqual">
      <formula>0</formula>
    </cfRule>
  </conditionalFormatting>
  <conditionalFormatting sqref="H76">
    <cfRule type="cellIs" dxfId="1429" priority="14" stopIfTrue="1" operator="lessThanOrEqual">
      <formula>0</formula>
    </cfRule>
    <cfRule type="cellIs" dxfId="1428" priority="15" stopIfTrue="1" operator="greaterThan">
      <formula>$F$39</formula>
    </cfRule>
    <cfRule type="cellIs" dxfId="1427" priority="26" stopIfTrue="1" operator="lessThanOrEqual">
      <formula>0</formula>
    </cfRule>
    <cfRule type="cellIs" dxfId="1426" priority="25" stopIfTrue="1" operator="greaterThan">
      <formula>$F$40</formula>
    </cfRule>
    <cfRule type="cellIs" dxfId="1425" priority="24" stopIfTrue="1" operator="lessThanOrEqual">
      <formula>0</formula>
    </cfRule>
    <cfRule type="cellIs" dxfId="1424" priority="23" stopIfTrue="1" operator="greaterThan">
      <formula>$F$42</formula>
    </cfRule>
  </conditionalFormatting>
  <conditionalFormatting sqref="H77">
    <cfRule type="cellIs" dxfId="1423" priority="74" stopIfTrue="1" operator="lessThanOrEqual">
      <formula>0</formula>
    </cfRule>
    <cfRule type="cellIs" dxfId="1422" priority="65" stopIfTrue="1" operator="greaterThan">
      <formula>$F$55</formula>
    </cfRule>
    <cfRule type="cellIs" dxfId="1421" priority="76" stopIfTrue="1" operator="lessThanOrEqual">
      <formula>0</formula>
    </cfRule>
    <cfRule type="cellIs" dxfId="1420" priority="64" stopIfTrue="1" operator="lessThanOrEqual">
      <formula>0</formula>
    </cfRule>
    <cfRule type="cellIs" dxfId="1419" priority="73" stopIfTrue="1" operator="greaterThan">
      <formula>$F$58</formula>
    </cfRule>
    <cfRule type="cellIs" dxfId="1418" priority="75" stopIfTrue="1" operator="greaterThan">
      <formula>$F$56</formula>
    </cfRule>
  </conditionalFormatting>
  <conditionalFormatting sqref="H81:H88">
    <cfRule type="cellIs" dxfId="1417" priority="98" stopIfTrue="1" operator="lessThanOrEqual">
      <formula>0</formula>
    </cfRule>
    <cfRule type="cellIs" dxfId="1416" priority="97" stopIfTrue="1" operator="greaterThan">
      <formula>$J81</formula>
    </cfRule>
  </conditionalFormatting>
  <conditionalFormatting sqref="H89">
    <cfRule type="cellIs" dxfId="1415" priority="101" operator="greaterThan">
      <formula>5.3</formula>
    </cfRule>
  </conditionalFormatting>
  <conditionalFormatting sqref="H92 H94:H100">
    <cfRule type="cellIs" dxfId="1414" priority="136" stopIfTrue="1" operator="lessThanOrEqual">
      <formula>0</formula>
    </cfRule>
    <cfRule type="cellIs" dxfId="1413" priority="135" stopIfTrue="1" operator="greaterThan">
      <formula>4.5</formula>
    </cfRule>
  </conditionalFormatting>
  <conditionalFormatting sqref="H74:I75">
    <cfRule type="cellIs" dxfId="1412" priority="48" stopIfTrue="1" operator="lessThanOrEqual">
      <formula>0</formula>
    </cfRule>
    <cfRule type="cellIs" dxfId="1411" priority="45" stopIfTrue="1" operator="greaterThan">
      <formula>$F$42</formula>
    </cfRule>
  </conditionalFormatting>
  <conditionalFormatting sqref="H76:I76">
    <cfRule type="cellIs" dxfId="1410" priority="13" stopIfTrue="1" operator="greaterThan">
      <formula>$F$41</formula>
    </cfRule>
    <cfRule type="cellIs" dxfId="1409" priority="16" stopIfTrue="1" operator="lessThanOrEqual">
      <formula>0</formula>
    </cfRule>
  </conditionalFormatting>
  <conditionalFormatting sqref="H77:I77">
    <cfRule type="cellIs" dxfId="1408" priority="66" stopIfTrue="1" operator="lessThanOrEqual">
      <formula>0</formula>
    </cfRule>
    <cfRule type="cellIs" dxfId="1407" priority="63" stopIfTrue="1" operator="greaterThan">
      <formula>$F$57</formula>
    </cfRule>
  </conditionalFormatting>
  <conditionalFormatting sqref="H90:I90">
    <cfRule type="cellIs" dxfId="1406" priority="88" stopIfTrue="1" operator="greaterThan">
      <formula>$J90</formula>
    </cfRule>
    <cfRule type="cellIs" dxfId="1405" priority="89" stopIfTrue="1" operator="lessThanOrEqual">
      <formula>0</formula>
    </cfRule>
  </conditionalFormatting>
  <conditionalFormatting sqref="I74:I75">
    <cfRule type="cellIs" dxfId="1404" priority="49" stopIfTrue="1" operator="greaterThan">
      <formula>$F$40</formula>
    </cfRule>
    <cfRule type="cellIs" dxfId="1403" priority="54" stopIfTrue="1" operator="lessThanOrEqual">
      <formula>0</formula>
    </cfRule>
    <cfRule type="cellIs" dxfId="1402" priority="53" stopIfTrue="1" operator="greaterThan">
      <formula>$F$40</formula>
    </cfRule>
    <cfRule type="cellIs" dxfId="1401" priority="52" stopIfTrue="1" operator="lessThanOrEqual">
      <formula>0</formula>
    </cfRule>
    <cfRule type="cellIs" dxfId="1400" priority="51" stopIfTrue="1" operator="greaterThan">
      <formula>$F$42</formula>
    </cfRule>
    <cfRule type="cellIs" dxfId="1399" priority="50" stopIfTrue="1" operator="lessThanOrEqual">
      <formula>0</formula>
    </cfRule>
  </conditionalFormatting>
  <conditionalFormatting sqref="I76">
    <cfRule type="cellIs" dxfId="1398" priority="21" stopIfTrue="1" operator="greaterThan">
      <formula>$F$39</formula>
    </cfRule>
    <cfRule type="cellIs" dxfId="1397" priority="19" stopIfTrue="1" operator="greaterThan">
      <formula>$F$41</formula>
    </cfRule>
    <cfRule type="cellIs" dxfId="1396" priority="22" stopIfTrue="1" operator="lessThanOrEqual">
      <formula>0</formula>
    </cfRule>
    <cfRule type="cellIs" dxfId="1395" priority="17" stopIfTrue="1" operator="greaterThan">
      <formula>$F$39</formula>
    </cfRule>
    <cfRule type="cellIs" dxfId="1394" priority="18" stopIfTrue="1" operator="lessThanOrEqual">
      <formula>0</formula>
    </cfRule>
    <cfRule type="cellIs" dxfId="1393" priority="20" stopIfTrue="1" operator="lessThanOrEqual">
      <formula>0</formula>
    </cfRule>
  </conditionalFormatting>
  <conditionalFormatting sqref="I77">
    <cfRule type="cellIs" dxfId="1392" priority="72" stopIfTrue="1" operator="lessThanOrEqual">
      <formula>0</formula>
    </cfRule>
    <cfRule type="cellIs" dxfId="1391" priority="71" stopIfTrue="1" operator="greaterThan">
      <formula>$F$55</formula>
    </cfRule>
    <cfRule type="cellIs" dxfId="1390" priority="70" stopIfTrue="1" operator="lessThanOrEqual">
      <formula>0</formula>
    </cfRule>
    <cfRule type="cellIs" dxfId="1389" priority="69" stopIfTrue="1" operator="greaterThan">
      <formula>$F$57</formula>
    </cfRule>
    <cfRule type="cellIs" dxfId="1388" priority="68" stopIfTrue="1" operator="lessThanOrEqual">
      <formula>0</formula>
    </cfRule>
    <cfRule type="cellIs" dxfId="1387" priority="67" stopIfTrue="1" operator="greaterThan">
      <formula>$F$55</formula>
    </cfRule>
  </conditionalFormatting>
  <conditionalFormatting sqref="I81:I89">
    <cfRule type="cellIs" dxfId="1386" priority="102" stopIfTrue="1" operator="greaterThan">
      <formula>$J81</formula>
    </cfRule>
    <cfRule type="cellIs" dxfId="1385" priority="103" stopIfTrue="1" operator="lessThanOrEqual">
      <formula>0</formula>
    </cfRule>
  </conditionalFormatting>
  <conditionalFormatting sqref="I92:I100">
    <cfRule type="cellIs" dxfId="1384" priority="132" stopIfTrue="1" operator="lessThanOrEqual">
      <formula>0</formula>
    </cfRule>
    <cfRule type="cellIs" dxfId="1383" priority="131" stopIfTrue="1" operator="greaterThan">
      <formula>4.5</formula>
    </cfRule>
  </conditionalFormatting>
  <conditionalFormatting sqref="I10:J42">
    <cfRule type="cellIs" dxfId="1382" priority="7" operator="lessThan">
      <formula>97.9</formula>
    </cfRule>
  </conditionalFormatting>
  <conditionalFormatting sqref="J45:J47">
    <cfRule type="cellIs" dxfId="1381" priority="80" operator="lessThan">
      <formula>98</formula>
    </cfRule>
    <cfRule type="cellIs" dxfId="1380" priority="79" stopIfTrue="1" operator="greaterThan">
      <formula>100</formula>
    </cfRule>
    <cfRule type="cellIs" dxfId="1379" priority="78" stopIfTrue="1" operator="lessThan">
      <formula>96.8</formula>
    </cfRule>
  </conditionalFormatting>
  <conditionalFormatting sqref="J45:J49">
    <cfRule type="cellIs" dxfId="1378" priority="77" operator="lessThan">
      <formula>97.4</formula>
    </cfRule>
  </conditionalFormatting>
  <conditionalFormatting sqref="J50">
    <cfRule type="cellIs" dxfId="1377" priority="81" operator="lessThan">
      <formula>98</formula>
    </cfRule>
  </conditionalFormatting>
  <conditionalFormatting sqref="J52:J53">
    <cfRule type="cellIs" dxfId="1376" priority="83" stopIfTrue="1" operator="greaterThan">
      <formula>100</formula>
    </cfRule>
    <cfRule type="cellIs" dxfId="1375" priority="82" stopIfTrue="1" operator="lessThan">
      <formula>96.8</formula>
    </cfRule>
  </conditionalFormatting>
  <conditionalFormatting sqref="J52:J54">
    <cfRule type="cellIs" dxfId="1374" priority="84" operator="lessThan">
      <formula>98</formula>
    </cfRule>
  </conditionalFormatting>
  <conditionalFormatting sqref="J90">
    <cfRule type="cellIs" dxfId="1373" priority="86" stopIfTrue="1" operator="lessThanOrEqual">
      <formula>0</formula>
    </cfRule>
    <cfRule type="cellIs" dxfId="1372" priority="85" stopIfTrue="1" operator="greaterThan">
      <formula>$F90</formula>
    </cfRule>
  </conditionalFormatting>
  <conditionalFormatting sqref="K10:K42">
    <cfRule type="cellIs" dxfId="1371" priority="5" operator="lessThan">
      <formula>4</formula>
    </cfRule>
    <cfRule type="cellIs" dxfId="1370" priority="4" operator="greaterThan">
      <formula>6</formula>
    </cfRule>
    <cfRule type="cellIs" dxfId="1369" priority="6" operator="greaterThan">
      <formula>6.4</formula>
    </cfRule>
  </conditionalFormatting>
  <conditionalFormatting sqref="K74:K77">
    <cfRule type="cellIs" dxfId="1368" priority="61" stopIfTrue="1" operator="lessThan">
      <formula>100%</formula>
    </cfRule>
  </conditionalFormatting>
  <conditionalFormatting sqref="K92:K97">
    <cfRule type="cellIs" dxfId="1367" priority="137" stopIfTrue="1" operator="lessThan">
      <formula>100%</formula>
    </cfRule>
  </conditionalFormatting>
  <conditionalFormatting sqref="K99:K100">
    <cfRule type="cellIs" dxfId="1366" priority="144" stopIfTrue="1" operator="lessThan">
      <formula>100%</formula>
    </cfRule>
  </conditionalFormatting>
  <conditionalFormatting sqref="K81:N84 L85:N85">
    <cfRule type="cellIs" dxfId="1365" priority="115" stopIfTrue="1" operator="lessThan">
      <formula>100%</formula>
    </cfRule>
  </conditionalFormatting>
  <conditionalFormatting sqref="K86:N89 L90:N90">
    <cfRule type="cellIs" dxfId="1364" priority="87" stopIfTrue="1" operator="lessThan">
      <formula>100%</formula>
    </cfRule>
  </conditionalFormatting>
  <conditionalFormatting sqref="L11:L39 L41:L42">
    <cfRule type="cellIs" dxfId="1363" priority="37" operator="greaterThan">
      <formula>65</formula>
    </cfRule>
    <cfRule type="cellIs" dxfId="1362" priority="36" operator="between">
      <formula>61</formula>
      <formula>65</formula>
    </cfRule>
  </conditionalFormatting>
  <conditionalFormatting sqref="L10:M10">
    <cfRule type="cellIs" dxfId="1361" priority="42" operator="greaterThan">
      <formula>65</formula>
    </cfRule>
    <cfRule type="cellIs" dxfId="1360" priority="41" operator="between">
      <formula>61</formula>
      <formula>65</formula>
    </cfRule>
  </conditionalFormatting>
  <conditionalFormatting sqref="L40:M40">
    <cfRule type="cellIs" dxfId="1359" priority="11" operator="greaterThan">
      <formula>65</formula>
    </cfRule>
    <cfRule type="cellIs" dxfId="1358" priority="10" operator="between">
      <formula>61</formula>
      <formula>65</formula>
    </cfRule>
  </conditionalFormatting>
  <conditionalFormatting sqref="L45:M56">
    <cfRule type="cellIs" dxfId="1357" priority="92" operator="lessThan">
      <formula>98</formula>
    </cfRule>
  </conditionalFormatting>
  <conditionalFormatting sqref="L60:N60">
    <cfRule type="cellIs" dxfId="1356" priority="62" operator="notEqual">
      <formula>#REF!</formula>
    </cfRule>
  </conditionalFormatting>
  <conditionalFormatting sqref="L92:N100">
    <cfRule type="cellIs" dxfId="1355" priority="122" stopIfTrue="1" operator="lessThan">
      <formula>100%</formula>
    </cfRule>
  </conditionalFormatting>
  <conditionalFormatting sqref="M10:M11">
    <cfRule type="expression" dxfId="1354" priority="43">
      <formula>IF(+(IF(M10&lt;U10,0,IF(M10&gt;V10,0,1)))=0,1)</formula>
    </cfRule>
  </conditionalFormatting>
  <conditionalFormatting sqref="M12:M42">
    <cfRule type="expression" dxfId="1353" priority="12">
      <formula>IF(+(IF(M12&lt;U12,0,IF(M12&gt;V12,0,1)))=0,1)</formula>
    </cfRule>
  </conditionalFormatting>
  <conditionalFormatting sqref="N10:N42">
    <cfRule type="expression" dxfId="1352" priority="1">
      <formula>IF(+(IF(N10&lt;W10,0,IF(N10&gt;X10,0,1)))=0,1)</formula>
    </cfRule>
  </conditionalFormatting>
  <conditionalFormatting sqref="P6">
    <cfRule type="cellIs" dxfId="1351" priority="118" operator="greaterThanOrEqual">
      <formula>19</formula>
    </cfRule>
  </conditionalFormatting>
  <dataValidations count="1">
    <dataValidation type="list" allowBlank="1" showInputMessage="1" showErrorMessage="1" sqref="R8" xr:uid="{3465E6C9-C15A-4C47-9AEC-1A13C550B069}">
      <formula1>ProductList</formula1>
    </dataValidation>
  </dataValidations>
  <pageMargins left="0.7" right="0.7" top="0.75" bottom="0.75" header="0.3" footer="0.3"/>
  <pageSetup scale="44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3087-1766-423D-A5B6-1FB375FFF2F7}">
  <sheetPr>
    <pageSetUpPr fitToPage="1"/>
  </sheetPr>
  <dimension ref="A1:BE96"/>
  <sheetViews>
    <sheetView topLeftCell="A69" zoomScale="70" zoomScaleNormal="70" workbookViewId="0">
      <selection activeCell="H75" sqref="H75:I7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45856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3" t="s">
        <v>9</v>
      </c>
      <c r="C10" s="366" t="str">
        <f>[24]Brewhouse!$A305</f>
        <v>ST285</v>
      </c>
      <c r="D10" s="279">
        <f>[24]Brewhouse!$AD305</f>
        <v>47.6</v>
      </c>
      <c r="E10" s="279">
        <f>[24]Brewhouse!$AG305</f>
        <v>46.8</v>
      </c>
      <c r="F10" s="278">
        <f>[24]Brewhouse!$V305</f>
        <v>56</v>
      </c>
      <c r="G10" s="279">
        <f>[24]Brewhouse!$AE305</f>
        <v>12</v>
      </c>
      <c r="H10" s="396">
        <v>11.9</v>
      </c>
      <c r="I10" s="427">
        <f>[24]Brewhouse!$AS305</f>
        <v>94.202503008813892</v>
      </c>
      <c r="J10" s="427">
        <f>[24]Brewhouse!$AT305</f>
        <v>94.798726882359702</v>
      </c>
      <c r="K10" s="281">
        <f>[24]Brewhouse!$Q305</f>
        <v>14.365671641791049</v>
      </c>
      <c r="L10" s="276">
        <f>[24]Brewhouse!$P305</f>
        <v>60</v>
      </c>
      <c r="M10" s="374">
        <f>[24]Brewhouse!$U305-[24]Brewhouse!$T305</f>
        <v>0.11250000000000004</v>
      </c>
      <c r="N10" s="370">
        <f>[24]Brewhouse!$AW305</f>
        <v>0.24583333333333335</v>
      </c>
      <c r="O10" s="428" t="str">
        <f>[24]Brewhouse!$AV305</f>
        <v>R. Regis</v>
      </c>
      <c r="P10" s="339"/>
      <c r="R10" s="277" t="str">
        <f t="shared" ref="R10" si="0">B10</f>
        <v>STAG</v>
      </c>
      <c r="S10" s="296">
        <f t="shared" ref="S10:S45" si="1">VLOOKUP($B10,$R$3:$X$9,2,FALSE)</f>
        <v>11.6</v>
      </c>
      <c r="T10" s="296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33" t="s">
        <v>9</v>
      </c>
      <c r="C11" s="366" t="str">
        <f>[24]Brewhouse!$A306</f>
        <v>ST286</v>
      </c>
      <c r="D11" s="279">
        <f>[24]Brewhouse!$AD306</f>
        <v>49.5</v>
      </c>
      <c r="E11" s="279">
        <f>[24]Brewhouse!$AG306</f>
        <v>49.1</v>
      </c>
      <c r="F11" s="278">
        <f>[24]Brewhouse!$V306</f>
        <v>62</v>
      </c>
      <c r="G11" s="452">
        <f>[24]Brewhouse!$AE306</f>
        <v>12.1</v>
      </c>
      <c r="H11" s="396">
        <v>12.1</v>
      </c>
      <c r="I11" s="427">
        <f>[24]Brewhouse!$AS306</f>
        <v>99.822653073625858</v>
      </c>
      <c r="J11" s="427">
        <f>[24]Brewhouse!$AT306</f>
        <v>100.45424073312022</v>
      </c>
      <c r="K11" s="281">
        <f>[24]Brewhouse!$Q306</f>
        <v>13.320825515947456</v>
      </c>
      <c r="L11" s="276">
        <f>[24]Brewhouse!$P306</f>
        <v>60</v>
      </c>
      <c r="M11" s="374">
        <f>[24]Brewhouse!$U306-[24]Brewhouse!$T306</f>
        <v>0.10972222222222219</v>
      </c>
      <c r="N11" s="370">
        <f>[24]Brewhouse!$AW306</f>
        <v>0.23958333333333331</v>
      </c>
      <c r="O11" s="428" t="str">
        <f>[24]Brewhouse!$AV306</f>
        <v>R. Regis</v>
      </c>
      <c r="P11" s="419"/>
      <c r="R11" s="277" t="str">
        <f t="shared" ref="R11:R45" si="9">B11</f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[24]Brewhouse!$A307</f>
        <v>ST287</v>
      </c>
      <c r="D12" s="279">
        <f>[24]Brewhouse!$AD307</f>
        <v>51</v>
      </c>
      <c r="E12" s="279">
        <f>[24]Brewhouse!$AG307</f>
        <v>49.1</v>
      </c>
      <c r="F12" s="278">
        <f>[24]Brewhouse!$V307</f>
        <v>57</v>
      </c>
      <c r="G12" s="279">
        <f>[24]Brewhouse!$AE307</f>
        <v>11.8</v>
      </c>
      <c r="H12" s="396">
        <v>11.9</v>
      </c>
      <c r="I12" s="427">
        <f>[24]Brewhouse!$AS307</f>
        <v>97.222694469498265</v>
      </c>
      <c r="J12" s="427">
        <f>[24]Brewhouse!$AT307</f>
        <v>97.837831937387804</v>
      </c>
      <c r="K12" s="281">
        <f>[24]Brewhouse!$Q307</f>
        <v>12.014787430683919</v>
      </c>
      <c r="L12" s="276">
        <f>[24]Brewhouse!$P307</f>
        <v>60</v>
      </c>
      <c r="M12" s="374">
        <f>[24]Brewhouse!$U307-[24]Brewhouse!$T307</f>
        <v>0.10972222222222222</v>
      </c>
      <c r="N12" s="370">
        <f>[24]Brewhouse!$AW307</f>
        <v>0.23819444444444446</v>
      </c>
      <c r="O12" s="428" t="str">
        <f>[24]Brewhouse!$AV307</f>
        <v>D. Gomaz</v>
      </c>
      <c r="P12" s="419"/>
      <c r="R12" s="277" t="str">
        <f t="shared" si="9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[24]Brewhouse!$A308</f>
        <v>ST288</v>
      </c>
      <c r="D13" s="279">
        <f>[24]Brewhouse!$AD308</f>
        <v>50.8</v>
      </c>
      <c r="E13" s="279">
        <f>[24]Brewhouse!$AG308</f>
        <v>50.6</v>
      </c>
      <c r="F13" s="278">
        <f>[24]Brewhouse!$V308</f>
        <v>62</v>
      </c>
      <c r="G13" s="279">
        <f>[24]Brewhouse!$AE308</f>
        <v>11.8</v>
      </c>
      <c r="H13" s="396">
        <v>11.8</v>
      </c>
      <c r="I13" s="427">
        <f>[24]Brewhouse!$AS308</f>
        <v>100.1928378850634</v>
      </c>
      <c r="J13" s="427">
        <f>[24]Brewhouse!$AT308</f>
        <v>100.82676773995564</v>
      </c>
      <c r="K13" s="281">
        <f>[24]Brewhouse!$Q308</f>
        <v>12.382739212007495</v>
      </c>
      <c r="L13" s="276">
        <f>[24]Brewhouse!$P308</f>
        <v>60</v>
      </c>
      <c r="M13" s="374">
        <f>[24]Brewhouse!$U308-[24]Brewhouse!$T308</f>
        <v>0.11180555555555555</v>
      </c>
      <c r="N13" s="370">
        <f>[24]Brewhouse!$AW308</f>
        <v>0.25069444444444444</v>
      </c>
      <c r="O13" s="428" t="str">
        <f>[24]Brewhouse!$AV308</f>
        <v>D. Gomaz</v>
      </c>
      <c r="P13" s="419"/>
      <c r="R13" s="277" t="str">
        <f t="shared" si="9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[24]Brewhouse!$A309</f>
        <v>ST289</v>
      </c>
      <c r="D14" s="279">
        <f>[24]Brewhouse!$AD309</f>
        <v>50.4</v>
      </c>
      <c r="E14" s="279">
        <f>[24]Brewhouse!$AG309</f>
        <v>50.3</v>
      </c>
      <c r="F14" s="278">
        <f>[24]Brewhouse!$V309</f>
        <v>62</v>
      </c>
      <c r="G14" s="279">
        <f>[24]Brewhouse!$AE309</f>
        <v>11.7</v>
      </c>
      <c r="H14" s="396">
        <v>11.7</v>
      </c>
      <c r="I14" s="427">
        <f>[24]Brewhouse!$AS309</f>
        <v>98.959067698121331</v>
      </c>
      <c r="J14" s="427">
        <f>[24]Brewhouse!$AT309</f>
        <v>99.584779182287448</v>
      </c>
      <c r="K14" s="281">
        <f>[24]Brewhouse!$Q309</f>
        <v>13.457943925233637</v>
      </c>
      <c r="L14" s="276">
        <f>[24]Brewhouse!$P309</f>
        <v>59</v>
      </c>
      <c r="M14" s="374">
        <f>[24]Brewhouse!$U309-[24]Brewhouse!$T309</f>
        <v>0.11319444444444449</v>
      </c>
      <c r="N14" s="370">
        <f>[24]Brewhouse!$AW309</f>
        <v>0.24930555555555561</v>
      </c>
      <c r="O14" s="428" t="str">
        <f>[24]Brewhouse!$AV309</f>
        <v>D. Gomaz</v>
      </c>
      <c r="P14" s="419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[24]Brewhouse!$A310</f>
        <v>ST290</v>
      </c>
      <c r="D15" s="279">
        <f>[24]Brewhouse!$AD310</f>
        <v>50.8</v>
      </c>
      <c r="E15" s="279">
        <f>[24]Brewhouse!$AG310</f>
        <v>51</v>
      </c>
      <c r="F15" s="278">
        <f>[24]Brewhouse!$V310</f>
        <v>60</v>
      </c>
      <c r="G15" s="279">
        <f>[24]Brewhouse!$AE310</f>
        <v>11.9</v>
      </c>
      <c r="H15" s="396">
        <v>11.6</v>
      </c>
      <c r="I15" s="427">
        <f>[24]Brewhouse!$AS310</f>
        <v>101.75751144156999</v>
      </c>
      <c r="J15" s="427">
        <f>[24]Brewhouse!$AT310</f>
        <v>102.40155226528778</v>
      </c>
      <c r="K15" s="281">
        <f>[24]Brewhouse!$Q310</f>
        <v>11.962616822429904</v>
      </c>
      <c r="L15" s="276">
        <f>[24]Brewhouse!$P310</f>
        <v>60</v>
      </c>
      <c r="M15" s="374">
        <f>[24]Brewhouse!$U310-[24]Brewhouse!$T310</f>
        <v>0.11597222222222214</v>
      </c>
      <c r="N15" s="370">
        <f>[24]Brewhouse!$AW310</f>
        <v>0.25694444444444442</v>
      </c>
      <c r="O15" s="428" t="str">
        <f>[24]Brewhouse!$AV310</f>
        <v>D. Gomaz</v>
      </c>
      <c r="P15" s="419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29" t="s">
        <v>6</v>
      </c>
      <c r="C18" s="366" t="str">
        <f>[23]Brewhouse!$A620</f>
        <v>CA513</v>
      </c>
      <c r="D18" s="279">
        <f>[23]Brewhouse!$AF620</f>
        <v>51.8</v>
      </c>
      <c r="E18" s="279">
        <f>[23]Brewhouse!$AI620</f>
        <v>51.3</v>
      </c>
      <c r="F18" s="278">
        <f>[23]Brewhouse!$V620</f>
        <v>58</v>
      </c>
      <c r="G18" s="279">
        <f>[23]Brewhouse!$AG620</f>
        <v>11.6</v>
      </c>
      <c r="H18" s="396">
        <v>11.6</v>
      </c>
      <c r="I18" s="368">
        <f>[23]Brewhouse!$AU620</f>
        <v>97.789021546474856</v>
      </c>
      <c r="J18" s="368">
        <f>[23]Brewhouse!$AV620</f>
        <v>98.506364195935731</v>
      </c>
      <c r="K18" s="281">
        <f>[23]Brewhouse!$Q620</f>
        <v>9.8010849909583992</v>
      </c>
      <c r="L18" s="276">
        <f>[23]Brewhouse!$P620</f>
        <v>60</v>
      </c>
      <c r="M18" s="397">
        <f>[23]Brewhouse!$U620-[23]Brewhouse!$T620</f>
        <v>0.11944444444444435</v>
      </c>
      <c r="N18" s="370">
        <f>[23]Brewhouse!$Z620</f>
        <v>0.25555555555555554</v>
      </c>
      <c r="O18" s="371" t="str">
        <f>[23]Brewhouse!$AX620</f>
        <v>K.Benjamin</v>
      </c>
      <c r="P18" s="419"/>
      <c r="R18" s="277" t="str">
        <f t="shared" si="9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 t="s">
        <v>6</v>
      </c>
      <c r="C19" s="366" t="str">
        <f>[23]Brewhouse!$A621</f>
        <v>CA514</v>
      </c>
      <c r="D19" s="279">
        <f>[23]Brewhouse!$AF621</f>
        <v>52.7</v>
      </c>
      <c r="E19" s="279">
        <f>[23]Brewhouse!$AI621</f>
        <v>50.9</v>
      </c>
      <c r="F19" s="278">
        <f>[23]Brewhouse!$V621</f>
        <v>60</v>
      </c>
      <c r="G19" s="279">
        <f>[23]Brewhouse!$AG621</f>
        <v>11.7</v>
      </c>
      <c r="H19" s="396">
        <v>11.6</v>
      </c>
      <c r="I19" s="368">
        <f>[23]Brewhouse!$AU621</f>
        <v>99.121390865142828</v>
      </c>
      <c r="J19" s="368">
        <f>[23]Brewhouse!$AV621</f>
        <v>99.879410565807774</v>
      </c>
      <c r="K19" s="281">
        <f>[23]Brewhouse!$Q621</f>
        <v>6.003616636528017</v>
      </c>
      <c r="L19" s="276">
        <f>[23]Brewhouse!$P621</f>
        <v>59</v>
      </c>
      <c r="M19" s="397">
        <f>[23]Brewhouse!$U621-[23]Brewhouse!$T621</f>
        <v>0.10833333333333339</v>
      </c>
      <c r="N19" s="370">
        <f>[23]Brewhouse!$Z621</f>
        <v>0.2416666666666667</v>
      </c>
      <c r="O19" s="371" t="str">
        <f>[23]Brewhouse!$AX621</f>
        <v>K.Benjamin</v>
      </c>
      <c r="P19" s="419"/>
      <c r="R19" s="277" t="str">
        <f t="shared" si="9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 t="s">
        <v>6</v>
      </c>
      <c r="C20" s="366" t="str">
        <f>[23]Brewhouse!$A622</f>
        <v>CA515</v>
      </c>
      <c r="D20" s="279">
        <f>[23]Brewhouse!$AF622</f>
        <v>52.8</v>
      </c>
      <c r="E20" s="279">
        <f>[23]Brewhouse!$AI622</f>
        <v>51.2</v>
      </c>
      <c r="F20" s="278">
        <f>[23]Brewhouse!$V622</f>
        <v>55</v>
      </c>
      <c r="G20" s="279">
        <f>[23]Brewhouse!$AG622</f>
        <v>11.8</v>
      </c>
      <c r="H20" s="396">
        <v>11.8</v>
      </c>
      <c r="I20" s="368">
        <f>[23]Brewhouse!$AU622</f>
        <v>100.60238313741721</v>
      </c>
      <c r="J20" s="368">
        <f>[23]Brewhouse!$AV622</f>
        <v>101.37172856009953</v>
      </c>
      <c r="K20" s="281">
        <f>[23]Brewhouse!$Q622</f>
        <v>7.9496402877697863</v>
      </c>
      <c r="L20" s="276">
        <f>[23]Brewhouse!$P622</f>
        <v>62</v>
      </c>
      <c r="M20" s="397">
        <f>[23]Brewhouse!$U622-[23]Brewhouse!$T622</f>
        <v>0.10416666666666663</v>
      </c>
      <c r="N20" s="370">
        <f>[23]Brewhouse!$Z622</f>
        <v>0.2402777777777777</v>
      </c>
      <c r="O20" s="371" t="str">
        <f>[23]Brewhouse!$AX622</f>
        <v>K.Benjamin</v>
      </c>
      <c r="P20" s="419"/>
      <c r="R20" s="277" t="str">
        <f t="shared" si="9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29" t="s">
        <v>6</v>
      </c>
      <c r="C21" s="366" t="str">
        <f>[23]Brewhouse!$A623</f>
        <v>CA516</v>
      </c>
      <c r="D21" s="279">
        <f>[23]Brewhouse!$AF623</f>
        <v>52.1</v>
      </c>
      <c r="E21" s="279">
        <f>[23]Brewhouse!$AI623</f>
        <v>50.7</v>
      </c>
      <c r="F21" s="278">
        <f>[23]Brewhouse!$V623</f>
        <v>59</v>
      </c>
      <c r="G21" s="279">
        <f>[23]Brewhouse!$AG623</f>
        <v>11.8</v>
      </c>
      <c r="H21" s="396">
        <v>11.8</v>
      </c>
      <c r="I21" s="368">
        <f>[23]Brewhouse!$AU623</f>
        <v>99.619937989590866</v>
      </c>
      <c r="J21" s="368">
        <f>[23]Brewhouse!$AV623</f>
        <v>100.38177027337983</v>
      </c>
      <c r="K21" s="281">
        <f>[23]Brewhouse!$Q623</f>
        <v>6.0694698354661796</v>
      </c>
      <c r="L21" s="276">
        <f>[23]Brewhouse!$P623</f>
        <v>59</v>
      </c>
      <c r="M21" s="397">
        <f>[23]Brewhouse!$U623-[23]Brewhouse!$T623</f>
        <v>0.10486111111111118</v>
      </c>
      <c r="N21" s="370">
        <f>[23]Brewhouse!$Z623</f>
        <v>0.23680555555555571</v>
      </c>
      <c r="O21" s="371" t="str">
        <f>[23]Brewhouse!$AX623</f>
        <v>R. Regis</v>
      </c>
      <c r="P21" s="419"/>
      <c r="R21" s="277" t="str">
        <f t="shared" si="9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29" t="s">
        <v>6</v>
      </c>
      <c r="C22" s="366" t="str">
        <f>[23]Brewhouse!$A624</f>
        <v>CA517</v>
      </c>
      <c r="D22" s="279">
        <f>[23]Brewhouse!$AF624</f>
        <v>51.6</v>
      </c>
      <c r="E22" s="279">
        <f>[23]Brewhouse!$AI624</f>
        <v>49.8</v>
      </c>
      <c r="F22" s="278">
        <f>[23]Brewhouse!$V624</f>
        <v>58</v>
      </c>
      <c r="G22" s="279">
        <f>[23]Brewhouse!$AG624</f>
        <v>11.7</v>
      </c>
      <c r="H22" s="396">
        <v>11.7</v>
      </c>
      <c r="I22" s="368">
        <f>[23]Brewhouse!$AU624</f>
        <v>96.02723351981524</v>
      </c>
      <c r="J22" s="368">
        <f>[23]Brewhouse!$AV624</f>
        <v>96.73149836302251</v>
      </c>
      <c r="K22" s="281">
        <f>[23]Brewhouse!$Q624</f>
        <v>7.9927667269439322</v>
      </c>
      <c r="L22" s="276">
        <f>[23]Brewhouse!$P624</f>
        <v>60</v>
      </c>
      <c r="M22" s="397">
        <f>[23]Brewhouse!$U624-[23]Brewhouse!$T624</f>
        <v>0.1055555555555554</v>
      </c>
      <c r="N22" s="370">
        <f>[23]Brewhouse!$Z624</f>
        <v>0.2402777777777777</v>
      </c>
      <c r="O22" s="371" t="str">
        <f>[23]Brewhouse!$AX624</f>
        <v>R. Regis</v>
      </c>
      <c r="P22" s="419"/>
      <c r="R22" s="277" t="str">
        <f t="shared" si="9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6" customHeight="1">
      <c r="B23" s="29" t="s">
        <v>6</v>
      </c>
      <c r="C23" s="366" t="str">
        <f>[23]Brewhouse!$A625</f>
        <v>CA518</v>
      </c>
      <c r="D23" s="279">
        <f>[23]Brewhouse!$AF625</f>
        <v>49.6</v>
      </c>
      <c r="E23" s="279">
        <f>[23]Brewhouse!$AI625</f>
        <v>50.3</v>
      </c>
      <c r="F23" s="278">
        <f>[23]Brewhouse!$V625</f>
        <v>62</v>
      </c>
      <c r="G23" s="279">
        <f>[23]Brewhouse!$AG625</f>
        <v>12</v>
      </c>
      <c r="H23" s="396">
        <v>11.9</v>
      </c>
      <c r="I23" s="368">
        <f>[23]Brewhouse!$AU625</f>
        <v>100.34637549466056</v>
      </c>
      <c r="J23" s="368">
        <f>[23]Brewhouse!$AV625</f>
        <v>101.11384769323206</v>
      </c>
      <c r="K23" s="281">
        <f>[23]Brewhouse!$Q625</f>
        <v>13.333333333333327</v>
      </c>
      <c r="L23" s="276">
        <f>[23]Brewhouse!$P625</f>
        <v>60</v>
      </c>
      <c r="M23" s="397">
        <f>[23]Brewhouse!$U625-[23]Brewhouse!$T625</f>
        <v>0.10902777777777772</v>
      </c>
      <c r="N23" s="370">
        <f>[23]Brewhouse!$Z625</f>
        <v>0.24722222222222212</v>
      </c>
      <c r="O23" s="371" t="str">
        <f>[23]Brewhouse!$AX625</f>
        <v>R. Regis</v>
      </c>
      <c r="P23" s="419"/>
      <c r="R23" s="277" t="str">
        <f t="shared" si="9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4.4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9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9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9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9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9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9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9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9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99" t="str">
        <f>I48</f>
        <v>GUINNESS</v>
      </c>
      <c r="C46" s="362">
        <f>[25]Process!D76</f>
        <v>17.600000000000001</v>
      </c>
      <c r="D46" s="536">
        <v>17.739999999999998</v>
      </c>
      <c r="E46" s="525"/>
      <c r="F46" s="294"/>
      <c r="G46" s="294"/>
      <c r="H46" s="348"/>
      <c r="I46" s="29" t="s">
        <v>6</v>
      </c>
      <c r="J46" s="280">
        <f>AVERAGE(I18:I23)</f>
        <v>98.917723758850272</v>
      </c>
      <c r="K46" s="284">
        <f>COUNTA([23]Brewhouse!$A$580:$A$625)</f>
        <v>46</v>
      </c>
      <c r="L46" s="305">
        <f>AVERAGE([23]Brewhouse!$AU$580:$AU$625)</f>
        <v>99.071205755329871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AVERAGE([23]Brewhouse!$AU$102:$AU$171,[23]Brewhouse!$AU$173:$AU$253,[23]Brewhouse!$AU$255:$AU$339,[23]Brewhouse!$AU$341:$AU$346,[23]Brewhouse!$AU$348,[23]Brewhouse!$AU$349:$AU$406,[23]Brewhouse!$AU$408:$AU$491,[23]Brewhouse!$AU$493:$AU$578,[23]Brewhouse!$AU$580:$AU$625)</f>
        <v>97.867427256503234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600"/>
      <c r="C47" s="349">
        <f>[25]Process!D77</f>
        <v>17.399999999999999</v>
      </c>
      <c r="D47" s="537"/>
      <c r="E47" s="520"/>
      <c r="F47" s="294"/>
      <c r="G47" s="294"/>
      <c r="H47" s="348"/>
      <c r="I47" s="33" t="s">
        <v>9</v>
      </c>
      <c r="J47" s="280">
        <f>AVERAGE(I10:I15)</f>
        <v>98.692877929448784</v>
      </c>
      <c r="K47" s="284">
        <f>COUNTA([24]Brewhouse!$A$275:$A$310)</f>
        <v>36</v>
      </c>
      <c r="L47" s="302">
        <f>AVERAGE([24]Brewhouse!$AS$275:$AS$310)</f>
        <v>99.147314304959025</v>
      </c>
      <c r="M47" s="302">
        <f>AVERAGE([24]Brewhouse!$AS$15:$AS$64,[24]Brewhouse!$AS$66:$AS$103,[24]Brewhouse!$AS$105:$AS$140,[24]Brewhouse!$AS$142:$AS$193,[24]Brewhouse!$AS$195:$AS$240,[24]Brewhouse!$AS$242:$AS$273,[24]Brewhouse!$AS$275:$AS$310)</f>
        <v>98.034045638111152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600"/>
      <c r="C48" s="349">
        <f>[25]Process!D78</f>
        <v>17.3</v>
      </c>
      <c r="D48" s="536">
        <v>17.84</v>
      </c>
      <c r="E48" s="525"/>
      <c r="F48" s="294"/>
      <c r="G48" s="294"/>
      <c r="H48" s="348"/>
      <c r="I48" s="34" t="s">
        <v>12</v>
      </c>
      <c r="J48" s="280"/>
      <c r="K48" s="284">
        <f>COUNTA([25]Brewhouse!$A$64:$A$71)</f>
        <v>8</v>
      </c>
      <c r="L48" s="302">
        <f>AVERAGE([25]Brewhouse!$AU$64:$AU$71)</f>
        <v>97.273930939242547</v>
      </c>
      <c r="M48" s="302">
        <f>AVERAGE([25]Brewhouse!$AU$4:$AU$7,[25]Brewhouse!$AU$9:$AU$22,[25]Brewhouse!$AU$24:$AU$35,[25]Brewhouse!$AU$37:$AU$45,[25]Brewhouse!$AU$47:$AU$62,[25]Brewhouse!$AU$64:$AU$71)</f>
        <v>97.191383970163244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600"/>
      <c r="C49" s="349">
        <f>[25]Process!D79</f>
        <v>17.5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600"/>
      <c r="C50" s="349">
        <f>[25]Process!D80</f>
        <v>17.399999999999999</v>
      </c>
      <c r="D50" s="536">
        <v>17.399999999999999</v>
      </c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600"/>
      <c r="C51" s="349">
        <f>[25]Process!D81</f>
        <v>17.399999999999999</v>
      </c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600"/>
      <c r="C52" s="349">
        <f>[25]Process!D82</f>
        <v>17.399999999999999</v>
      </c>
      <c r="D52" s="536">
        <v>17.75</v>
      </c>
      <c r="E52" s="525"/>
      <c r="F52" s="418"/>
      <c r="G52" s="294"/>
      <c r="H52" s="348"/>
      <c r="I52" s="37" t="s">
        <v>16</v>
      </c>
      <c r="J52" s="323"/>
      <c r="K52" s="284">
        <f>COUNTA([22]Brewhouse!$A$56:$A$65)</f>
        <v>10</v>
      </c>
      <c r="L52" s="302">
        <f>AVERAGE([22]Brewhouse!$AY$56:$AY$65)</f>
        <v>99.275500637605006</v>
      </c>
      <c r="M52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600"/>
      <c r="C53" s="349">
        <f>[25]Process!D83</f>
        <v>17.399999999999999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600"/>
      <c r="C54" s="349"/>
      <c r="D54" s="536"/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600"/>
      <c r="C55" s="349"/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600"/>
      <c r="C56" s="349"/>
      <c r="D56" s="536"/>
      <c r="E56" s="525"/>
      <c r="F56" s="294"/>
      <c r="G56" s="294"/>
      <c r="H56" s="348"/>
      <c r="I56" s="1"/>
      <c r="J56" s="39"/>
      <c r="K56" s="404">
        <f>SUM(K46:K55)</f>
        <v>108</v>
      </c>
      <c r="L56" s="405">
        <f>((L46*K46)+(L47*K47)+(L48*K48)+(L49*K49)+(L50*K50)+(K53*L53)+(L51*K51)+(L52*K52)+(L55*K55))/(K56)</f>
        <v>99.022743685521405</v>
      </c>
      <c r="M56" s="405">
        <f>AVERAGE('[31]Jan 31st'!$L$65,'[32]Feb 28th'!$L$35,'[33]Mar. 31st'!$L$35,'[34]Apr. 30th'!$L$45,'[35]May 30th'!$L$37,L56)</f>
        <v>97.866999520481741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601"/>
      <c r="C57" s="350"/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89"/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90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90"/>
      <c r="C60" s="349"/>
      <c r="D60" s="573"/>
      <c r="E60" s="574"/>
      <c r="F60" s="294"/>
      <c r="G60" s="42"/>
      <c r="H60" s="41"/>
      <c r="I60" s="42"/>
      <c r="J60" s="287" t="s">
        <v>6</v>
      </c>
      <c r="K60" s="324">
        <v>6</v>
      </c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90"/>
      <c r="C61" s="349"/>
      <c r="D61" s="519"/>
      <c r="E61" s="520"/>
      <c r="F61" s="294"/>
      <c r="G61" s="42"/>
      <c r="H61" s="41"/>
      <c r="I61" s="42"/>
      <c r="J61" s="345" t="s">
        <v>9</v>
      </c>
      <c r="K61" s="324">
        <v>6</v>
      </c>
      <c r="L61" s="344">
        <f>AVERAGE(K70,'July 1st'!K67,'July 2nd'!K68,'July 3rd'!K68,'July 4th'!K68,'July 7th '!K68,'July 8th '!K68,'July 9th  '!K69,'July 10th '!K69,'July 11th  '!K69,'July 14th'!K69,'July 15th'!K69,'July 16th '!K69)</f>
        <v>8.3076923076923084</v>
      </c>
      <c r="M61" s="325">
        <f>AVERAGE('[31]Jan 29th '!$M$70,'[32]Feb 28th'!$L$40,'[33]Mar. 31st'!$L$40,'[34]Apr. 30th'!$L$50,'[35]May 30th'!$L$42,L61)</f>
        <v>6.9190555820990598</v>
      </c>
      <c r="N61" s="417">
        <v>9.1999999999999993</v>
      </c>
      <c r="O61" s="294"/>
      <c r="P61" s="12"/>
    </row>
    <row r="62" spans="1:56" ht="15" customHeight="1">
      <c r="B62" s="590"/>
      <c r="C62" s="349"/>
      <c r="D62" s="573"/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90"/>
      <c r="C63" s="349"/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90"/>
      <c r="C64" s="349"/>
      <c r="D64" s="573"/>
      <c r="E64" s="574"/>
      <c r="F64" s="294"/>
      <c r="G64" s="42"/>
      <c r="H64" s="41"/>
      <c r="I64" s="42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90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91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>
        <f>AVERAGE(D46:E67)</f>
        <v>17.682499999999997</v>
      </c>
      <c r="E68" s="578"/>
      <c r="F68" s="294"/>
      <c r="G68" s="42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12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3.25" customHeight="1">
      <c r="B75" s="451" t="str">
        <f>B84</f>
        <v>GUINN</v>
      </c>
      <c r="C75" s="422">
        <v>45854</v>
      </c>
      <c r="D75" s="377">
        <f>[36]July_2025!$T$23</f>
        <v>412.79999999999995</v>
      </c>
      <c r="E75" s="378">
        <f>[38]GUINNESS!$S$6</f>
        <v>9.3000000000000007</v>
      </c>
      <c r="F75" s="379">
        <f>[38]GUINNESS!$L$6+[38]GUINNESS!$L$8+[38]GUINNESS!$L$10+[38]GUINNESS!$L$12</f>
        <v>396.2</v>
      </c>
      <c r="G75" s="303">
        <f>[36]July_2025!$T$28</f>
        <v>377.2</v>
      </c>
      <c r="H75" s="320">
        <f>(D75-F75)/D75*100</f>
        <v>4.0213178294573559</v>
      </c>
      <c r="I75" s="322">
        <f>((F75+E75)-G75)/(F75+E75)*100</f>
        <v>6.9790382244143068</v>
      </c>
      <c r="J75" s="392" t="s">
        <v>188</v>
      </c>
      <c r="K75" s="286">
        <f>[37]July_2025!$T$32</f>
        <v>1.3112280701754386</v>
      </c>
      <c r="L75" s="314">
        <f>(((D75+E75)-G75)/(D75+E75))*100</f>
        <v>10.637289741767349</v>
      </c>
      <c r="M75" s="435" t="s">
        <v>186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>
      <c r="B76" s="431"/>
      <c r="C76" s="422"/>
      <c r="D76" s="377"/>
      <c r="E76" s="378"/>
      <c r="F76" s="379"/>
      <c r="G76" s="303"/>
      <c r="H76" s="320"/>
      <c r="I76" s="322"/>
      <c r="J76" s="281"/>
      <c r="K76" s="286"/>
      <c r="L76" s="314"/>
      <c r="M76" s="438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53.25" hidden="1" customHeight="1">
      <c r="B77" s="432" t="str">
        <f>B83</f>
        <v>STAG</v>
      </c>
      <c r="C77" s="422">
        <v>45853</v>
      </c>
      <c r="D77" s="377"/>
      <c r="E77" s="378"/>
      <c r="F77" s="379"/>
      <c r="G77" s="303"/>
      <c r="H77" s="320" t="e">
        <f>(D77-F77)/D77*100</f>
        <v>#DIV/0!</v>
      </c>
      <c r="I77" s="322" t="e">
        <f>((F77+E77)-G77)/(F77+E77)*100</f>
        <v>#DIV/0!</v>
      </c>
      <c r="J77" s="392" t="s">
        <v>164</v>
      </c>
      <c r="K77" s="286"/>
      <c r="L77" s="314" t="e">
        <f>(((D77+E77)-G77)/(D77+E77))*100</f>
        <v>#DIV/0!</v>
      </c>
      <c r="M77" s="438" t="s">
        <v>176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6.5" customHeight="1" thickBot="1">
      <c r="B78" s="439"/>
      <c r="C78" s="440"/>
      <c r="D78" s="441"/>
      <c r="E78" s="442"/>
      <c r="F78" s="443"/>
      <c r="G78" s="444"/>
      <c r="H78" s="445"/>
      <c r="I78" s="446"/>
      <c r="J78" s="447"/>
      <c r="K78" s="448"/>
      <c r="L78" s="449"/>
      <c r="M78" s="437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415"/>
      <c r="AC78" s="415"/>
      <c r="AD78" s="415"/>
      <c r="AE78" s="415"/>
      <c r="AF78" s="415"/>
      <c r="AG78" s="415"/>
      <c r="AH78" s="415"/>
      <c r="AI78" s="415"/>
      <c r="AJ78" s="415"/>
      <c r="AK78" s="415"/>
      <c r="AL78" s="415"/>
      <c r="AM78" s="415"/>
      <c r="AN78" s="415"/>
      <c r="AO78" s="415"/>
      <c r="AP78" s="415"/>
      <c r="AQ78" s="415"/>
      <c r="AR78" s="415"/>
      <c r="AS78" s="415"/>
      <c r="AT78" s="415"/>
      <c r="AU78" s="415"/>
      <c r="AV78" s="415"/>
      <c r="AW78" s="415"/>
    </row>
    <row r="79" spans="2:57" ht="18" customHeight="1" thickBot="1">
      <c r="B79" s="59"/>
      <c r="C79" s="30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 t="s">
        <v>41</v>
      </c>
      <c r="O79" s="56"/>
      <c r="P79" s="60"/>
    </row>
    <row r="80" spans="2:57" ht="14.4" thickBot="1">
      <c r="B80" s="492" t="s">
        <v>55</v>
      </c>
      <c r="C80" s="493"/>
      <c r="D80" s="493"/>
      <c r="E80" s="493"/>
      <c r="F80" s="494"/>
      <c r="G80" s="492" t="s">
        <v>56</v>
      </c>
      <c r="H80" s="493"/>
      <c r="I80" s="493"/>
      <c r="J80" s="494"/>
      <c r="K80" s="492" t="s">
        <v>51</v>
      </c>
      <c r="L80" s="493"/>
      <c r="M80" s="493"/>
      <c r="N80" s="495"/>
      <c r="O80" s="56"/>
      <c r="P80" s="50"/>
    </row>
    <row r="81" spans="2:16">
      <c r="B81" s="61" t="s">
        <v>17</v>
      </c>
      <c r="C81" s="62" t="s">
        <v>36</v>
      </c>
      <c r="D81" s="62" t="s">
        <v>37</v>
      </c>
      <c r="E81" s="62" t="s">
        <v>38</v>
      </c>
      <c r="F81" s="63" t="s">
        <v>39</v>
      </c>
      <c r="G81" s="62" t="s">
        <v>36</v>
      </c>
      <c r="H81" s="62" t="s">
        <v>37</v>
      </c>
      <c r="I81" s="62" t="s">
        <v>38</v>
      </c>
      <c r="J81" s="63" t="s">
        <v>39</v>
      </c>
      <c r="K81" s="62" t="s">
        <v>36</v>
      </c>
      <c r="L81" s="62" t="s">
        <v>37</v>
      </c>
      <c r="M81" s="62" t="s">
        <v>38</v>
      </c>
      <c r="N81" s="63" t="s">
        <v>39</v>
      </c>
      <c r="O81" s="56"/>
      <c r="P81" s="64"/>
    </row>
    <row r="82" spans="2:16">
      <c r="B82" s="29" t="s">
        <v>6</v>
      </c>
      <c r="C82" s="65"/>
      <c r="D82" s="76">
        <v>5.1567424767534424</v>
      </c>
      <c r="E82" s="76">
        <v>6.4308411851227927</v>
      </c>
      <c r="F82" s="66">
        <v>4.8</v>
      </c>
      <c r="G82" s="65"/>
      <c r="H82" s="76">
        <v>4.2657333534483266</v>
      </c>
      <c r="I82" s="76">
        <v>6.321769489606484</v>
      </c>
      <c r="J82" s="66">
        <v>4.8</v>
      </c>
      <c r="K82" s="67"/>
      <c r="L82" s="194">
        <v>1.1425010462702558</v>
      </c>
      <c r="M82" s="194">
        <v>0.7541870276439433</v>
      </c>
      <c r="N82" s="68">
        <v>1</v>
      </c>
      <c r="O82" s="56"/>
      <c r="P82" s="69"/>
    </row>
    <row r="83" spans="2:16">
      <c r="B83" s="33" t="s">
        <v>9</v>
      </c>
      <c r="C83" s="65"/>
      <c r="D83" s="76">
        <v>5.7227748352925918</v>
      </c>
      <c r="E83" s="76">
        <v>6.0887030852231598</v>
      </c>
      <c r="F83" s="66">
        <v>4.8</v>
      </c>
      <c r="G83" s="65"/>
      <c r="H83" s="76">
        <v>5.0603857242884045</v>
      </c>
      <c r="I83" s="76">
        <v>5.7601419753057765</v>
      </c>
      <c r="J83" s="66">
        <v>4.8</v>
      </c>
      <c r="K83" s="67">
        <f>K75</f>
        <v>1.3112280701754386</v>
      </c>
      <c r="L83" s="194">
        <v>0.50066010821446139</v>
      </c>
      <c r="M83" s="194">
        <v>0.73836015755280138</v>
      </c>
      <c r="N83" s="68">
        <v>1</v>
      </c>
      <c r="P83" s="69"/>
    </row>
    <row r="84" spans="2:16">
      <c r="B84" s="34" t="s">
        <v>40</v>
      </c>
      <c r="C84" s="65">
        <f>L75</f>
        <v>10.637289741767349</v>
      </c>
      <c r="D84" s="76">
        <v>11.529356060606059</v>
      </c>
      <c r="E84" s="76">
        <v>11.911409395973138</v>
      </c>
      <c r="F84" s="66">
        <v>5.5</v>
      </c>
      <c r="G84" s="65">
        <f>[36]July_2025!$T$32</f>
        <v>15.104013217358037</v>
      </c>
      <c r="H84" s="76">
        <v>15.989501390883994</v>
      </c>
      <c r="I84" s="76">
        <v>13.451437390677656</v>
      </c>
      <c r="J84" s="66">
        <v>5.5</v>
      </c>
      <c r="K84" s="67"/>
      <c r="L84" s="194">
        <v>1.3112280701754386</v>
      </c>
      <c r="M84" s="194">
        <v>0.54260860979462877</v>
      </c>
      <c r="N84" s="68">
        <v>1</v>
      </c>
      <c r="P84" s="69"/>
    </row>
    <row r="85" spans="2:16">
      <c r="B85" s="22" t="s">
        <v>33</v>
      </c>
      <c r="C85" s="65"/>
      <c r="D85" s="76">
        <v>3.4761321909424563</v>
      </c>
      <c r="E85" s="76">
        <v>5.119233255999676</v>
      </c>
      <c r="F85" s="66">
        <v>3.3</v>
      </c>
      <c r="G85" s="65"/>
      <c r="H85" s="76">
        <v>2.7479545757807706</v>
      </c>
      <c r="I85" s="76">
        <v>4.8747400258857825</v>
      </c>
      <c r="J85" s="66">
        <v>3.3</v>
      </c>
      <c r="K85" s="67"/>
      <c r="L85" s="194">
        <v>1.3835087719298247</v>
      </c>
      <c r="M85" s="194">
        <v>0.77839364035087721</v>
      </c>
      <c r="N85" s="68">
        <v>1</v>
      </c>
      <c r="P85" s="69"/>
    </row>
    <row r="86" spans="2:16">
      <c r="B86" s="35" t="s">
        <v>29</v>
      </c>
      <c r="C86" s="65"/>
      <c r="D86" s="76"/>
      <c r="E86" s="76"/>
      <c r="F86" s="66">
        <v>3.3</v>
      </c>
      <c r="G86" s="282"/>
      <c r="H86" s="76"/>
      <c r="I86" s="76"/>
      <c r="J86" s="66">
        <v>3</v>
      </c>
      <c r="L86" s="194"/>
      <c r="M86" s="194"/>
      <c r="N86" s="68">
        <v>1</v>
      </c>
      <c r="P86" s="69"/>
    </row>
    <row r="87" spans="2:16">
      <c r="B87" s="36" t="s">
        <v>15</v>
      </c>
      <c r="C87" s="282"/>
      <c r="D87" s="76"/>
      <c r="E87" s="76">
        <v>7.3129862357869699</v>
      </c>
      <c r="F87" s="70">
        <f>[21]May_2022!$M$43</f>
        <v>3.4878406700073312</v>
      </c>
      <c r="G87" s="282"/>
      <c r="H87" s="76"/>
      <c r="I87" s="76">
        <v>8.9862703283331644</v>
      </c>
      <c r="J87" s="66">
        <v>5.5</v>
      </c>
      <c r="K87" s="67"/>
      <c r="L87" s="194"/>
      <c r="M87" s="194">
        <v>0.59276315789473688</v>
      </c>
      <c r="N87" s="68">
        <v>1</v>
      </c>
      <c r="P87" s="69"/>
    </row>
    <row r="88" spans="2:16">
      <c r="B88" s="37" t="s">
        <v>16</v>
      </c>
      <c r="C88" s="65"/>
      <c r="D88" s="76">
        <v>2.3359073359073403</v>
      </c>
      <c r="E88" s="76">
        <v>2.980561555075584</v>
      </c>
      <c r="F88" s="66">
        <v>3.3</v>
      </c>
      <c r="G88" s="282"/>
      <c r="H88" s="76">
        <v>3.7114579368100644</v>
      </c>
      <c r="I88" s="76">
        <v>4.4931174512296872</v>
      </c>
      <c r="J88" s="66">
        <v>3.3</v>
      </c>
      <c r="K88" s="67"/>
      <c r="L88" s="194">
        <v>1.7750877192982455</v>
      </c>
      <c r="M88" s="194">
        <v>0.83077455048409399</v>
      </c>
      <c r="N88" s="71">
        <v>1</v>
      </c>
      <c r="P88" s="69"/>
    </row>
    <row r="89" spans="2:16" ht="14.4" thickBot="1">
      <c r="B89" s="38" t="s">
        <v>127</v>
      </c>
      <c r="C89" s="65"/>
      <c r="D89" s="76"/>
      <c r="E89" s="76"/>
      <c r="F89" s="66">
        <v>7.5</v>
      </c>
      <c r="G89" s="282"/>
      <c r="H89" s="76"/>
      <c r="I89" s="76"/>
      <c r="J89" s="66">
        <v>7.5</v>
      </c>
      <c r="K89" s="67"/>
      <c r="L89" s="194"/>
      <c r="M89" s="194"/>
      <c r="N89" s="71">
        <v>1</v>
      </c>
      <c r="P89" s="69"/>
    </row>
    <row r="90" spans="2:16" ht="14.4" thickBot="1">
      <c r="B90" s="414" t="s">
        <v>161</v>
      </c>
      <c r="C90" s="65"/>
      <c r="D90" s="76">
        <v>9.4974642692485105</v>
      </c>
      <c r="E90" s="76">
        <v>7.2653644592663174</v>
      </c>
      <c r="F90" s="66">
        <v>4.8</v>
      </c>
      <c r="G90" s="282"/>
      <c r="H90" s="76">
        <v>10.183089539936029</v>
      </c>
      <c r="I90" s="76">
        <v>8.1715311054411259</v>
      </c>
      <c r="J90" s="66">
        <v>4.8</v>
      </c>
      <c r="K90" s="67"/>
      <c r="L90" s="194">
        <v>0.68877192982456148</v>
      </c>
      <c r="M90" s="194">
        <v>0.51368421052631585</v>
      </c>
      <c r="N90" s="71">
        <v>1</v>
      </c>
      <c r="O90" s="74"/>
      <c r="P90" s="75"/>
    </row>
    <row r="91" spans="2:16">
      <c r="D91" s="76">
        <v>5.5718968705961807</v>
      </c>
      <c r="E91" s="76">
        <v>6.5111216715466158</v>
      </c>
      <c r="F91" s="341">
        <v>5.5</v>
      </c>
      <c r="H91" s="76">
        <v>5.8736428763788568</v>
      </c>
      <c r="I91" s="76">
        <v>6.771233326142359</v>
      </c>
      <c r="J91" s="341">
        <v>5.5</v>
      </c>
      <c r="L91" s="194">
        <v>1.0146828609986505</v>
      </c>
      <c r="M91" s="194">
        <v>0.72629342121323093</v>
      </c>
      <c r="N91" s="386">
        <v>1</v>
      </c>
    </row>
    <row r="95" spans="2:16">
      <c r="F95" s="315"/>
    </row>
    <row r="96" spans="2:16">
      <c r="F96" s="341"/>
    </row>
  </sheetData>
  <mergeCells count="51">
    <mergeCell ref="M73:M74"/>
    <mergeCell ref="B80:F80"/>
    <mergeCell ref="G80:J80"/>
    <mergeCell ref="K80:N80"/>
    <mergeCell ref="G73:G74"/>
    <mergeCell ref="H73:H74"/>
    <mergeCell ref="I73:I74"/>
    <mergeCell ref="J73:J74"/>
    <mergeCell ref="K73:K74"/>
    <mergeCell ref="L73:L74"/>
    <mergeCell ref="F73:F74"/>
    <mergeCell ref="D68:E68"/>
    <mergeCell ref="B73:B74"/>
    <mergeCell ref="C73:C74"/>
    <mergeCell ref="D73:D74"/>
    <mergeCell ref="E73:E74"/>
    <mergeCell ref="B58:B67"/>
    <mergeCell ref="D58:E59"/>
    <mergeCell ref="J58:K58"/>
    <mergeCell ref="L59:N59"/>
    <mergeCell ref="D60:E61"/>
    <mergeCell ref="D62:E63"/>
    <mergeCell ref="D64:E65"/>
    <mergeCell ref="D66:E67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8:B69">
    <cfRule type="cellIs" dxfId="1350" priority="142" operator="notBetween">
      <formula>#REF!</formula>
      <formula>#REF!</formula>
    </cfRule>
  </conditionalFormatting>
  <conditionalFormatting sqref="C72">
    <cfRule type="cellIs" dxfId="1349" priority="174" stopIfTrue="1" operator="greaterThan">
      <formula>100</formula>
    </cfRule>
    <cfRule type="cellIs" dxfId="1348" priority="173" stopIfTrue="1" operator="lessThan">
      <formula>96</formula>
    </cfRule>
  </conditionalFormatting>
  <conditionalFormatting sqref="C82:C83">
    <cfRule type="cellIs" dxfId="1347" priority="120" stopIfTrue="1" operator="lessThanOrEqual">
      <formula>0</formula>
    </cfRule>
  </conditionalFormatting>
  <conditionalFormatting sqref="C82:C86">
    <cfRule type="cellIs" dxfId="1346" priority="119" stopIfTrue="1" operator="greaterThan">
      <formula>$F82</formula>
    </cfRule>
  </conditionalFormatting>
  <conditionalFormatting sqref="C83">
    <cfRule type="cellIs" dxfId="1345" priority="177" stopIfTrue="1" operator="greaterThan">
      <formula>$F82</formula>
    </cfRule>
  </conditionalFormatting>
  <conditionalFormatting sqref="C84:C87">
    <cfRule type="cellIs" dxfId="1344" priority="126" stopIfTrue="1" operator="lessThanOrEqual">
      <formula>0</formula>
    </cfRule>
  </conditionalFormatting>
  <conditionalFormatting sqref="C87">
    <cfRule type="cellIs" dxfId="1343" priority="125" stopIfTrue="1" operator="greaterThan">
      <formula>$J87</formula>
    </cfRule>
  </conditionalFormatting>
  <conditionalFormatting sqref="C93:C97">
    <cfRule type="cellIs" dxfId="1342" priority="165" stopIfTrue="1" operator="lessThanOrEqual">
      <formula>0</formula>
    </cfRule>
  </conditionalFormatting>
  <conditionalFormatting sqref="C94:C97">
    <cfRule type="cellIs" dxfId="1341" priority="164" stopIfTrue="1" operator="greaterThan">
      <formula>$F$93</formula>
    </cfRule>
  </conditionalFormatting>
  <conditionalFormatting sqref="C99">
    <cfRule type="cellIs" dxfId="1340" priority="167" stopIfTrue="1" operator="lessThanOrEqual">
      <formula>0</formula>
    </cfRule>
    <cfRule type="cellIs" dxfId="1339" priority="166" stopIfTrue="1" operator="greaterThan">
      <formula>$F$93</formula>
    </cfRule>
  </conditionalFormatting>
  <conditionalFormatting sqref="C93:D93 D95:D101">
    <cfRule type="cellIs" dxfId="1338" priority="159" stopIfTrue="1" operator="greaterThan">
      <formula>4.5</formula>
    </cfRule>
  </conditionalFormatting>
  <conditionalFormatting sqref="D68:D69">
    <cfRule type="cellIs" dxfId="1337" priority="143" operator="notBetween">
      <formula>#REF!</formula>
      <formula>#REF!</formula>
    </cfRule>
  </conditionalFormatting>
  <conditionalFormatting sqref="D82:D89">
    <cfRule type="cellIs" dxfId="1336" priority="136" stopIfTrue="1" operator="lessThanOrEqual">
      <formula>0</formula>
    </cfRule>
  </conditionalFormatting>
  <conditionalFormatting sqref="D90">
    <cfRule type="cellIs" dxfId="1335" priority="135" stopIfTrue="1" operator="lessThanOrEqual">
      <formula>0</formula>
    </cfRule>
  </conditionalFormatting>
  <conditionalFormatting sqref="D93 D95:D101">
    <cfRule type="cellIs" dxfId="1334" priority="160" stopIfTrue="1" operator="lessThanOrEqual">
      <formula>0</formula>
    </cfRule>
  </conditionalFormatting>
  <conditionalFormatting sqref="D94">
    <cfRule type="cellIs" dxfId="1333" priority="152" stopIfTrue="1" operator="lessThanOrEqual">
      <formula>0</formula>
    </cfRule>
    <cfRule type="cellIs" dxfId="1332" priority="151" stopIfTrue="1" operator="greaterThan">
      <formula>$F$93</formula>
    </cfRule>
  </conditionalFormatting>
  <conditionalFormatting sqref="D82:E91">
    <cfRule type="cellIs" dxfId="1331" priority="116" stopIfTrue="1" operator="greaterThan">
      <formula>$F82</formula>
    </cfRule>
  </conditionalFormatting>
  <conditionalFormatting sqref="D91:E91">
    <cfRule type="cellIs" dxfId="1330" priority="117" stopIfTrue="1" operator="lessThanOrEqual">
      <formula>0</formula>
    </cfRule>
  </conditionalFormatting>
  <conditionalFormatting sqref="E10:E43">
    <cfRule type="cellIs" dxfId="1329" priority="2" operator="lessThan">
      <formula>48</formula>
    </cfRule>
  </conditionalFormatting>
  <conditionalFormatting sqref="E71 E72:F72">
    <cfRule type="cellIs" dxfId="1328" priority="156" stopIfTrue="1" operator="greaterThan">
      <formula>100</formula>
    </cfRule>
  </conditionalFormatting>
  <conditionalFormatting sqref="E72">
    <cfRule type="cellIs" dxfId="1327" priority="153" stopIfTrue="1" operator="lessThan">
      <formula>96.8</formula>
    </cfRule>
    <cfRule type="cellIs" dxfId="1326" priority="154" stopIfTrue="1" operator="greaterThan">
      <formula>100</formula>
    </cfRule>
  </conditionalFormatting>
  <conditionalFormatting sqref="E82:E90">
    <cfRule type="cellIs" dxfId="1325" priority="130" stopIfTrue="1" operator="lessThanOrEqual">
      <formula>0</formula>
    </cfRule>
  </conditionalFormatting>
  <conditionalFormatting sqref="E93:E101">
    <cfRule type="cellIs" dxfId="1324" priority="145" stopIfTrue="1" operator="greaterThan">
      <formula>4.5</formula>
    </cfRule>
    <cfRule type="cellIs" dxfId="1323" priority="146" stopIfTrue="1" operator="lessThanOrEqual">
      <formula>0</formula>
    </cfRule>
  </conditionalFormatting>
  <conditionalFormatting sqref="E72:F72 E71">
    <cfRule type="cellIs" dxfId="1322" priority="155" stopIfTrue="1" operator="lessThan">
      <formula>96.5</formula>
    </cfRule>
  </conditionalFormatting>
  <conditionalFormatting sqref="F10:F43">
    <cfRule type="cellIs" dxfId="1321" priority="3" operator="greaterThan">
      <formula>60</formula>
    </cfRule>
  </conditionalFormatting>
  <conditionalFormatting sqref="F72">
    <cfRule type="cellIs" dxfId="1320" priority="171" stopIfTrue="1" operator="lessThan">
      <formula>96.8</formula>
    </cfRule>
    <cfRule type="cellIs" dxfId="1319" priority="172" stopIfTrue="1" operator="greaterThan">
      <formula>100</formula>
    </cfRule>
  </conditionalFormatting>
  <conditionalFormatting sqref="F91">
    <cfRule type="cellIs" dxfId="1318" priority="132" stopIfTrue="1" operator="lessThanOrEqual">
      <formula>0</formula>
    </cfRule>
    <cfRule type="cellIs" dxfId="1317" priority="131" stopIfTrue="1" operator="greaterThan">
      <formula>$F91</formula>
    </cfRule>
  </conditionalFormatting>
  <conditionalFormatting sqref="F96">
    <cfRule type="cellIs" dxfId="1316" priority="85" stopIfTrue="1" operator="greaterThan">
      <formula>$F96</formula>
    </cfRule>
    <cfRule type="cellIs" dxfId="1315" priority="86" stopIfTrue="1" operator="lessThanOrEqual">
      <formula>0</formula>
    </cfRule>
  </conditionalFormatting>
  <conditionalFormatting sqref="G82:G83 C88:C90">
    <cfRule type="cellIs" dxfId="1314" priority="138" stopIfTrue="1" operator="lessThanOrEqual">
      <formula>0</formula>
    </cfRule>
    <cfRule type="cellIs" dxfId="1313" priority="137" stopIfTrue="1" operator="greaterThan">
      <formula>$F82</formula>
    </cfRule>
  </conditionalFormatting>
  <conditionalFormatting sqref="G82:G83">
    <cfRule type="cellIs" dxfId="1312" priority="121" stopIfTrue="1" operator="greaterThan">
      <formula>$F82</formula>
    </cfRule>
    <cfRule type="cellIs" dxfId="1311" priority="122" stopIfTrue="1" operator="lessThanOrEqual">
      <formula>0</formula>
    </cfRule>
  </conditionalFormatting>
  <conditionalFormatting sqref="G84">
    <cfRule type="cellIs" dxfId="1310" priority="175" stopIfTrue="1" operator="greaterThan">
      <formula>$F83</formula>
    </cfRule>
    <cfRule type="cellIs" dxfId="1309" priority="176" stopIfTrue="1" operator="lessThanOrEqual">
      <formula>0</formula>
    </cfRule>
  </conditionalFormatting>
  <conditionalFormatting sqref="G85">
    <cfRule type="cellIs" dxfId="1308" priority="134" stopIfTrue="1" operator="lessThanOrEqual">
      <formula>0</formula>
    </cfRule>
    <cfRule type="cellIs" dxfId="1307" priority="133" stopIfTrue="1" operator="greaterThan">
      <formula>$F85</formula>
    </cfRule>
  </conditionalFormatting>
  <conditionalFormatting sqref="G86:G90">
    <cfRule type="cellIs" dxfId="1306" priority="139" stopIfTrue="1" operator="greaterThan">
      <formula>$J86</formula>
    </cfRule>
    <cfRule type="cellIs" dxfId="1305" priority="140" stopIfTrue="1" operator="lessThanOrEqual">
      <formula>0</formula>
    </cfRule>
  </conditionalFormatting>
  <conditionalFormatting sqref="G95:G100 C98 C100">
    <cfRule type="cellIs" dxfId="1304" priority="169" stopIfTrue="1" operator="lessThanOrEqual">
      <formula>0</formula>
    </cfRule>
    <cfRule type="cellIs" dxfId="1303" priority="168" stopIfTrue="1" operator="greaterThan">
      <formula>4.5</formula>
    </cfRule>
  </conditionalFormatting>
  <conditionalFormatting sqref="G10:H43">
    <cfRule type="expression" dxfId="1302" priority="8">
      <formula>IF(+(IF(G10&lt;#REF!,0,IF(G10&gt;#REF!,0,1)))=0,1)</formula>
    </cfRule>
  </conditionalFormatting>
  <conditionalFormatting sqref="G94:H94">
    <cfRule type="cellIs" dxfId="1301" priority="150" stopIfTrue="1" operator="lessThanOrEqual">
      <formula>0</formula>
    </cfRule>
    <cfRule type="cellIs" dxfId="1300" priority="149" stopIfTrue="1" operator="greaterThan">
      <formula>$F$93</formula>
    </cfRule>
  </conditionalFormatting>
  <conditionalFormatting sqref="H57:H71">
    <cfRule type="cellIs" dxfId="1299" priority="147" stopIfTrue="1" operator="greaterThan">
      <formula>0</formula>
    </cfRule>
  </conditionalFormatting>
  <conditionalFormatting sqref="H75">
    <cfRule type="cellIs" dxfId="1298" priority="22" stopIfTrue="1" operator="greaterThan">
      <formula>$F$42</formula>
    </cfRule>
    <cfRule type="cellIs" dxfId="1297" priority="23" stopIfTrue="1" operator="lessThanOrEqual">
      <formula>0</formula>
    </cfRule>
    <cfRule type="cellIs" dxfId="1296" priority="24" stopIfTrue="1" operator="greaterThan">
      <formula>$F$40</formula>
    </cfRule>
    <cfRule type="cellIs" dxfId="1295" priority="25" stopIfTrue="1" operator="lessThanOrEqual">
      <formula>0</formula>
    </cfRule>
    <cfRule type="cellIs" dxfId="1294" priority="13" stopIfTrue="1" operator="lessThanOrEqual">
      <formula>0</formula>
    </cfRule>
    <cfRule type="cellIs" dxfId="1293" priority="14" stopIfTrue="1" operator="greaterThan">
      <formula>$F$39</formula>
    </cfRule>
  </conditionalFormatting>
  <conditionalFormatting sqref="H76">
    <cfRule type="cellIs" dxfId="1292" priority="73" stopIfTrue="1" operator="greaterThan">
      <formula>$F$41</formula>
    </cfRule>
    <cfRule type="cellIs" dxfId="1291" priority="82" stopIfTrue="1" operator="lessThanOrEqual">
      <formula>0</formula>
    </cfRule>
    <cfRule type="cellIs" dxfId="1290" priority="81" stopIfTrue="1" operator="greaterThan">
      <formula>$F$44</formula>
    </cfRule>
    <cfRule type="cellIs" dxfId="1289" priority="83" stopIfTrue="1" operator="greaterThan">
      <formula>$F$42</formula>
    </cfRule>
    <cfRule type="cellIs" dxfId="1288" priority="72" stopIfTrue="1" operator="lessThanOrEqual">
      <formula>0</formula>
    </cfRule>
    <cfRule type="cellIs" dxfId="1287" priority="84" stopIfTrue="1" operator="lessThanOrEqual">
      <formula>0</formula>
    </cfRule>
  </conditionalFormatting>
  <conditionalFormatting sqref="H77">
    <cfRule type="cellIs" dxfId="1286" priority="59" stopIfTrue="1" operator="lessThanOrEqual">
      <formula>0</formula>
    </cfRule>
    <cfRule type="cellIs" dxfId="1285" priority="60" stopIfTrue="1" operator="greaterThan">
      <formula>$F$41</formula>
    </cfRule>
    <cfRule type="cellIs" dxfId="1284" priority="61" stopIfTrue="1" operator="lessThanOrEqual">
      <formula>0</formula>
    </cfRule>
    <cfRule type="cellIs" dxfId="1283" priority="58" stopIfTrue="1" operator="greaterThan">
      <formula>$F$43</formula>
    </cfRule>
    <cfRule type="cellIs" dxfId="1282" priority="50" stopIfTrue="1" operator="greaterThan">
      <formula>$F$40</formula>
    </cfRule>
    <cfRule type="cellIs" dxfId="1281" priority="49" stopIfTrue="1" operator="lessThanOrEqual">
      <formula>0</formula>
    </cfRule>
  </conditionalFormatting>
  <conditionalFormatting sqref="H78">
    <cfRule type="cellIs" dxfId="1280" priority="99" stopIfTrue="1" operator="greaterThan">
      <formula>$F$59</formula>
    </cfRule>
    <cfRule type="cellIs" dxfId="1279" priority="100" stopIfTrue="1" operator="lessThanOrEqual">
      <formula>0</formula>
    </cfRule>
    <cfRule type="cellIs" dxfId="1278" priority="90" stopIfTrue="1" operator="lessThanOrEqual">
      <formula>0</formula>
    </cfRule>
    <cfRule type="cellIs" dxfId="1277" priority="91" stopIfTrue="1" operator="greaterThan">
      <formula>$F$56</formula>
    </cfRule>
    <cfRule type="cellIs" dxfId="1276" priority="102" stopIfTrue="1" operator="lessThanOrEqual">
      <formula>0</formula>
    </cfRule>
    <cfRule type="cellIs" dxfId="1275" priority="101" stopIfTrue="1" operator="greaterThan">
      <formula>$F$57</formula>
    </cfRule>
  </conditionalFormatting>
  <conditionalFormatting sqref="H82:H89">
    <cfRule type="cellIs" dxfId="1274" priority="124" stopIfTrue="1" operator="lessThanOrEqual">
      <formula>0</formula>
    </cfRule>
    <cfRule type="cellIs" dxfId="1273" priority="123" stopIfTrue="1" operator="greaterThan">
      <formula>$J82</formula>
    </cfRule>
  </conditionalFormatting>
  <conditionalFormatting sqref="H90">
    <cfRule type="cellIs" dxfId="1272" priority="127" operator="greaterThan">
      <formula>5.3</formula>
    </cfRule>
  </conditionalFormatting>
  <conditionalFormatting sqref="H93 H95:H101">
    <cfRule type="cellIs" dxfId="1271" priority="161" stopIfTrue="1" operator="greaterThan">
      <formula>4.5</formula>
    </cfRule>
    <cfRule type="cellIs" dxfId="1270" priority="162" stopIfTrue="1" operator="lessThanOrEqual">
      <formula>0</formula>
    </cfRule>
  </conditionalFormatting>
  <conditionalFormatting sqref="H75:I75">
    <cfRule type="cellIs" dxfId="1269" priority="12" stopIfTrue="1" operator="greaterThan">
      <formula>$F$41</formula>
    </cfRule>
    <cfRule type="cellIs" dxfId="1268" priority="15" stopIfTrue="1" operator="lessThanOrEqual">
      <formula>0</formula>
    </cfRule>
  </conditionalFormatting>
  <conditionalFormatting sqref="H76:I76">
    <cfRule type="cellIs" dxfId="1267" priority="71" stopIfTrue="1" operator="greaterThan">
      <formula>$F$43</formula>
    </cfRule>
    <cfRule type="cellIs" dxfId="1266" priority="74" stopIfTrue="1" operator="lessThanOrEqual">
      <formula>0</formula>
    </cfRule>
  </conditionalFormatting>
  <conditionalFormatting sqref="H77:I77">
    <cfRule type="cellIs" dxfId="1265" priority="48" stopIfTrue="1" operator="greaterThan">
      <formula>$F$42</formula>
    </cfRule>
    <cfRule type="cellIs" dxfId="1264" priority="51" stopIfTrue="1" operator="lessThanOrEqual">
      <formula>0</formula>
    </cfRule>
  </conditionalFormatting>
  <conditionalFormatting sqref="H78:I78">
    <cfRule type="cellIs" dxfId="1263" priority="92" stopIfTrue="1" operator="lessThanOrEqual">
      <formula>0</formula>
    </cfRule>
    <cfRule type="cellIs" dxfId="1262" priority="89" stopIfTrue="1" operator="greaterThan">
      <formula>$F$58</formula>
    </cfRule>
  </conditionalFormatting>
  <conditionalFormatting sqref="H91:I91">
    <cfRule type="cellIs" dxfId="1261" priority="114" stopIfTrue="1" operator="greaterThan">
      <formula>$J91</formula>
    </cfRule>
    <cfRule type="cellIs" dxfId="1260" priority="115" stopIfTrue="1" operator="lessThanOrEqual">
      <formula>0</formula>
    </cfRule>
  </conditionalFormatting>
  <conditionalFormatting sqref="I75">
    <cfRule type="cellIs" dxfId="1259" priority="20" stopIfTrue="1" operator="greaterThan">
      <formula>$F$39</formula>
    </cfRule>
    <cfRule type="cellIs" dxfId="1258" priority="21" stopIfTrue="1" operator="lessThanOrEqual">
      <formula>0</formula>
    </cfRule>
    <cfRule type="cellIs" dxfId="1257" priority="16" stopIfTrue="1" operator="greaterThan">
      <formula>$F$39</formula>
    </cfRule>
    <cfRule type="cellIs" dxfId="1256" priority="19" stopIfTrue="1" operator="lessThanOrEqual">
      <formula>0</formula>
    </cfRule>
    <cfRule type="cellIs" dxfId="1255" priority="17" stopIfTrue="1" operator="lessThanOrEqual">
      <formula>0</formula>
    </cfRule>
    <cfRule type="cellIs" dxfId="1254" priority="18" stopIfTrue="1" operator="greaterThan">
      <formula>$F$41</formula>
    </cfRule>
  </conditionalFormatting>
  <conditionalFormatting sqref="I76">
    <cfRule type="cellIs" dxfId="1253" priority="79" stopIfTrue="1" operator="greaterThan">
      <formula>$F$41</formula>
    </cfRule>
    <cfRule type="cellIs" dxfId="1252" priority="80" stopIfTrue="1" operator="lessThanOrEqual">
      <formula>0</formula>
    </cfRule>
    <cfRule type="cellIs" dxfId="1251" priority="75" stopIfTrue="1" operator="greaterThan">
      <formula>$F$41</formula>
    </cfRule>
    <cfRule type="cellIs" dxfId="1250" priority="76" stopIfTrue="1" operator="lessThanOrEqual">
      <formula>0</formula>
    </cfRule>
    <cfRule type="cellIs" dxfId="1249" priority="77" stopIfTrue="1" operator="greaterThan">
      <formula>$F$43</formula>
    </cfRule>
    <cfRule type="cellIs" dxfId="1248" priority="78" stopIfTrue="1" operator="lessThanOrEqual">
      <formula>0</formula>
    </cfRule>
  </conditionalFormatting>
  <conditionalFormatting sqref="I77">
    <cfRule type="cellIs" dxfId="1247" priority="53" stopIfTrue="1" operator="lessThanOrEqual">
      <formula>0</formula>
    </cfRule>
    <cfRule type="cellIs" dxfId="1246" priority="57" stopIfTrue="1" operator="lessThanOrEqual">
      <formula>0</formula>
    </cfRule>
    <cfRule type="cellIs" dxfId="1245" priority="55" stopIfTrue="1" operator="lessThanOrEqual">
      <formula>0</formula>
    </cfRule>
    <cfRule type="cellIs" dxfId="1244" priority="54" stopIfTrue="1" operator="greaterThan">
      <formula>$F$42</formula>
    </cfRule>
    <cfRule type="cellIs" dxfId="1243" priority="52" stopIfTrue="1" operator="greaterThan">
      <formula>$F$40</formula>
    </cfRule>
    <cfRule type="cellIs" dxfId="1242" priority="56" stopIfTrue="1" operator="greaterThan">
      <formula>$F$40</formula>
    </cfRule>
  </conditionalFormatting>
  <conditionalFormatting sqref="I78">
    <cfRule type="cellIs" dxfId="1241" priority="97" stopIfTrue="1" operator="greaterThan">
      <formula>$F$56</formula>
    </cfRule>
    <cfRule type="cellIs" dxfId="1240" priority="96" stopIfTrue="1" operator="lessThanOrEqual">
      <formula>0</formula>
    </cfRule>
    <cfRule type="cellIs" dxfId="1239" priority="95" stopIfTrue="1" operator="greaterThan">
      <formula>$F$58</formula>
    </cfRule>
    <cfRule type="cellIs" dxfId="1238" priority="94" stopIfTrue="1" operator="lessThanOrEqual">
      <formula>0</formula>
    </cfRule>
    <cfRule type="cellIs" dxfId="1237" priority="93" stopIfTrue="1" operator="greaterThan">
      <formula>$F$56</formula>
    </cfRule>
    <cfRule type="cellIs" dxfId="1236" priority="98" stopIfTrue="1" operator="lessThanOrEqual">
      <formula>0</formula>
    </cfRule>
  </conditionalFormatting>
  <conditionalFormatting sqref="I82:I90">
    <cfRule type="cellIs" dxfId="1235" priority="128" stopIfTrue="1" operator="greaterThan">
      <formula>$J82</formula>
    </cfRule>
    <cfRule type="cellIs" dxfId="1234" priority="129" stopIfTrue="1" operator="lessThanOrEqual">
      <formula>0</formula>
    </cfRule>
  </conditionalFormatting>
  <conditionalFormatting sqref="I93:I101">
    <cfRule type="cellIs" dxfId="1233" priority="158" stopIfTrue="1" operator="lessThanOrEqual">
      <formula>0</formula>
    </cfRule>
    <cfRule type="cellIs" dxfId="1232" priority="157" stopIfTrue="1" operator="greaterThan">
      <formula>4.5</formula>
    </cfRule>
  </conditionalFormatting>
  <conditionalFormatting sqref="I10:J43">
    <cfRule type="cellIs" dxfId="1231" priority="7" operator="lessThan">
      <formula>97.9</formula>
    </cfRule>
  </conditionalFormatting>
  <conditionalFormatting sqref="J46:J48">
    <cfRule type="cellIs" dxfId="1230" priority="106" operator="lessThan">
      <formula>98</formula>
    </cfRule>
    <cfRule type="cellIs" dxfId="1229" priority="105" stopIfTrue="1" operator="greaterThan">
      <formula>100</formula>
    </cfRule>
    <cfRule type="cellIs" dxfId="1228" priority="104" stopIfTrue="1" operator="lessThan">
      <formula>96.8</formula>
    </cfRule>
  </conditionalFormatting>
  <conditionalFormatting sqref="J46:J50">
    <cfRule type="cellIs" dxfId="1227" priority="103" operator="lessThan">
      <formula>97.4</formula>
    </cfRule>
  </conditionalFormatting>
  <conditionalFormatting sqref="J51">
    <cfRule type="cellIs" dxfId="1226" priority="107" operator="lessThan">
      <formula>98</formula>
    </cfRule>
  </conditionalFormatting>
  <conditionalFormatting sqref="J53:J54">
    <cfRule type="cellIs" dxfId="1225" priority="108" stopIfTrue="1" operator="lessThan">
      <formula>96.8</formula>
    </cfRule>
    <cfRule type="cellIs" dxfId="1224" priority="109" stopIfTrue="1" operator="greaterThan">
      <formula>100</formula>
    </cfRule>
  </conditionalFormatting>
  <conditionalFormatting sqref="J53:J55">
    <cfRule type="cellIs" dxfId="1223" priority="110" operator="lessThan">
      <formula>98</formula>
    </cfRule>
  </conditionalFormatting>
  <conditionalFormatting sqref="J91">
    <cfRule type="cellIs" dxfId="1222" priority="112" stopIfTrue="1" operator="lessThanOrEqual">
      <formula>0</formula>
    </cfRule>
    <cfRule type="cellIs" dxfId="1221" priority="111" stopIfTrue="1" operator="greaterThan">
      <formula>$F91</formula>
    </cfRule>
  </conditionalFormatting>
  <conditionalFormatting sqref="K10:K43">
    <cfRule type="cellIs" dxfId="1220" priority="6" operator="greaterThan">
      <formula>6.4</formula>
    </cfRule>
    <cfRule type="cellIs" dxfId="1219" priority="5" operator="lessThan">
      <formula>4</formula>
    </cfRule>
    <cfRule type="cellIs" dxfId="1218" priority="4" operator="greaterThan">
      <formula>6</formula>
    </cfRule>
  </conditionalFormatting>
  <conditionalFormatting sqref="K75:K78">
    <cfRule type="cellIs" dxfId="1217" priority="87" stopIfTrue="1" operator="lessThan">
      <formula>100%</formula>
    </cfRule>
  </conditionalFormatting>
  <conditionalFormatting sqref="K93:K98">
    <cfRule type="cellIs" dxfId="1216" priority="163" stopIfTrue="1" operator="lessThan">
      <formula>100%</formula>
    </cfRule>
  </conditionalFormatting>
  <conditionalFormatting sqref="K100:K101">
    <cfRule type="cellIs" dxfId="1215" priority="170" stopIfTrue="1" operator="lessThan">
      <formula>100%</formula>
    </cfRule>
  </conditionalFormatting>
  <conditionalFormatting sqref="K82:N85 L86:N86">
    <cfRule type="cellIs" dxfId="1214" priority="141" stopIfTrue="1" operator="lessThan">
      <formula>100%</formula>
    </cfRule>
  </conditionalFormatting>
  <conditionalFormatting sqref="K87:N90 L91:N91">
    <cfRule type="cellIs" dxfId="1213" priority="113" stopIfTrue="1" operator="lessThan">
      <formula>100%</formula>
    </cfRule>
  </conditionalFormatting>
  <conditionalFormatting sqref="L18:L43">
    <cfRule type="cellIs" dxfId="1212" priority="11" operator="greaterThan">
      <formula>65</formula>
    </cfRule>
    <cfRule type="cellIs" dxfId="1211" priority="10" operator="between">
      <formula>61</formula>
      <formula>65</formula>
    </cfRule>
  </conditionalFormatting>
  <conditionalFormatting sqref="L10:M17">
    <cfRule type="cellIs" dxfId="1210" priority="34" operator="between">
      <formula>61</formula>
      <formula>65</formula>
    </cfRule>
    <cfRule type="cellIs" dxfId="1209" priority="35" operator="greaterThan">
      <formula>65</formula>
    </cfRule>
  </conditionalFormatting>
  <conditionalFormatting sqref="L46:M57">
    <cfRule type="cellIs" dxfId="1208" priority="118" operator="lessThan">
      <formula>98</formula>
    </cfRule>
  </conditionalFormatting>
  <conditionalFormatting sqref="L61:N61">
    <cfRule type="cellIs" dxfId="1207" priority="88" operator="notEqual">
      <formula>#REF!</formula>
    </cfRule>
  </conditionalFormatting>
  <conditionalFormatting sqref="L93:N101">
    <cfRule type="cellIs" dxfId="1206" priority="148" stopIfTrue="1" operator="lessThan">
      <formula>100%</formula>
    </cfRule>
  </conditionalFormatting>
  <conditionalFormatting sqref="M10:M17">
    <cfRule type="expression" dxfId="1205" priority="36">
      <formula>IF(+(IF(M10&lt;U10,0,IF(M10&gt;V10,0,1)))=0,1)</formula>
    </cfRule>
  </conditionalFormatting>
  <conditionalFormatting sqref="M18:M43">
    <cfRule type="expression" dxfId="1204" priority="9">
      <formula>IF(+(IF(M18&lt;U18,0,IF(M18&gt;V18,0,1)))=0,1)</formula>
    </cfRule>
  </conditionalFormatting>
  <conditionalFormatting sqref="N10:N43">
    <cfRule type="expression" dxfId="1203" priority="1">
      <formula>IF(+(IF(N10&lt;W10,0,IF(N10&gt;X10,0,1)))=0,1)</formula>
    </cfRule>
  </conditionalFormatting>
  <conditionalFormatting sqref="P6">
    <cfRule type="cellIs" dxfId="1202" priority="144" operator="greaterThanOrEqual">
      <formula>19</formula>
    </cfRule>
  </conditionalFormatting>
  <dataValidations count="1">
    <dataValidation type="list" allowBlank="1" showInputMessage="1" showErrorMessage="1" sqref="R8" xr:uid="{1FEEFF7E-EB7E-430A-A6FD-D3B41B8DC574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95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3B5E-8E57-4173-A31B-122708EFA4EA}">
  <sheetPr>
    <pageSetUpPr fitToPage="1"/>
  </sheetPr>
  <dimension ref="A1:BE96"/>
  <sheetViews>
    <sheetView topLeftCell="A26" zoomScale="70" zoomScaleNormal="70" workbookViewId="0">
      <selection activeCell="C25" sqref="C2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45859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 hidden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339"/>
      <c r="R10" s="277">
        <f t="shared" ref="R10:R45" si="0">B10</f>
        <v>0</v>
      </c>
      <c r="S10" s="296" t="e">
        <f t="shared" ref="S10:S45" si="1">VLOOKUP($B10,$R$3:$X$9,2,FALSE)</f>
        <v>#N/A</v>
      </c>
      <c r="T10" s="296" t="e">
        <f t="shared" ref="T10:T45" si="2">VLOOKUP($B10,$R$3:$X$9,3,FALSE)</f>
        <v>#N/A</v>
      </c>
      <c r="U10" s="297" t="e">
        <f t="shared" ref="U10:U45" si="3">VLOOKUP($B10,$R$3:$X$9,4,FALSE)</f>
        <v>#N/A</v>
      </c>
      <c r="V10" s="297" t="e">
        <f t="shared" ref="V10:V45" si="4">VLOOKUP($B10,$R$3:$X$9,5,FALSE)</f>
        <v>#N/A</v>
      </c>
      <c r="W10" s="297" t="e">
        <f t="shared" ref="W10:W45" si="5">VLOOKUP($B10,$R$3:$X$9,6,FALSE)</f>
        <v>#N/A</v>
      </c>
      <c r="X10" s="297" t="e">
        <f t="shared" ref="X10:X45" si="6">VLOOKUP($B10,$R$3:$X$9,7,FALSE)</f>
        <v>#N/A</v>
      </c>
      <c r="Y10" s="297" t="e">
        <f t="shared" ref="Y10:Y45" si="7">VLOOKUP($B10,$R$3:$Z$9,8,FALSE)</f>
        <v>#N/A</v>
      </c>
      <c r="Z10" s="296" t="e">
        <f t="shared" ref="Z10:Z45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452"/>
      <c r="H11" s="396"/>
      <c r="I11" s="427"/>
      <c r="J11" s="427"/>
      <c r="K11" s="281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7"/>
      <c r="J14" s="427"/>
      <c r="K14" s="281"/>
      <c r="L14" s="276"/>
      <c r="M14" s="374"/>
      <c r="N14" s="370"/>
      <c r="O14" s="428"/>
      <c r="P14" s="419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7"/>
      <c r="J15" s="427"/>
      <c r="K15" s="281"/>
      <c r="L15" s="276"/>
      <c r="M15" s="374"/>
      <c r="N15" s="370"/>
      <c r="O15" s="428"/>
      <c r="P15" s="419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6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4.4">
      <c r="B24" s="29" t="s">
        <v>6</v>
      </c>
      <c r="C24" s="366" t="str">
        <f>[23]Brewhouse!$A626</f>
        <v>CA519</v>
      </c>
      <c r="D24" s="279">
        <f>[23]Brewhouse!$AF626</f>
        <v>52.2</v>
      </c>
      <c r="E24" s="279">
        <f>[23]Brewhouse!$AI626</f>
        <v>50.2</v>
      </c>
      <c r="F24" s="278">
        <f>[23]Brewhouse!$V626</f>
        <v>61</v>
      </c>
      <c r="G24" s="279">
        <f>[23]Brewhouse!$AG626</f>
        <v>11.9</v>
      </c>
      <c r="H24" s="396">
        <v>11.9</v>
      </c>
      <c r="I24" s="368">
        <f>[23]Brewhouse!$AU626</f>
        <v>99.024059657078709</v>
      </c>
      <c r="J24" s="368">
        <f>[23]Brewhouse!$AV626</f>
        <v>99.78150151766738</v>
      </c>
      <c r="K24" s="281">
        <f>[23]Brewhouse!$Q626</f>
        <v>6.9077757685352497</v>
      </c>
      <c r="L24" s="276">
        <f>[23]Brewhouse!$P626</f>
        <v>60</v>
      </c>
      <c r="M24" s="397">
        <f>[23]Brewhouse!$U626-[23]Brewhouse!$T626</f>
        <v>0.10694444444444445</v>
      </c>
      <c r="N24" s="370">
        <f>[23]Brewhouse!$Z626</f>
        <v>0.24861111111111112</v>
      </c>
      <c r="O24" s="371" t="str">
        <f>[23]Brewhouse!$AX626</f>
        <v>R. Regis</v>
      </c>
      <c r="P24" s="419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 t="s">
        <v>6</v>
      </c>
      <c r="C25" s="366" t="str">
        <f>[23]Brewhouse!$A627</f>
        <v>CA520</v>
      </c>
      <c r="D25" s="279">
        <f>[23]Brewhouse!$AF627</f>
        <v>53.8</v>
      </c>
      <c r="E25" s="279">
        <f>[23]Brewhouse!$AI627</f>
        <v>53</v>
      </c>
      <c r="F25" s="278">
        <f>[23]Brewhouse!$V627</f>
        <v>64</v>
      </c>
      <c r="G25" s="279">
        <f>[23]Brewhouse!$AG627</f>
        <v>11.5</v>
      </c>
      <c r="H25" s="367"/>
      <c r="I25" s="368">
        <f>[23]Brewhouse!$AU627</f>
        <v>100.72779578911953</v>
      </c>
      <c r="J25" s="368">
        <f>[23]Brewhouse!$AV627</f>
        <v>101.49831172173359</v>
      </c>
      <c r="K25" s="281">
        <f>[23]Brewhouse!$Q627</f>
        <v>7.2043010752688108</v>
      </c>
      <c r="L25" s="276">
        <f>[23]Brewhouse!$P627</f>
        <v>60</v>
      </c>
      <c r="M25" s="397">
        <f>[23]Brewhouse!$U627-[23]Brewhouse!$T627</f>
        <v>0.11458333333333337</v>
      </c>
      <c r="N25" s="370">
        <f>[23]Brewhouse!$Z627</f>
        <v>0.30208333333333337</v>
      </c>
      <c r="O25" s="371" t="str">
        <f>[23]Brewhouse!$AX627</f>
        <v>D. Gomez</v>
      </c>
      <c r="P25" s="419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99"/>
      <c r="C46" s="362"/>
      <c r="D46" s="536"/>
      <c r="E46" s="525"/>
      <c r="F46" s="294"/>
      <c r="G46" s="294"/>
      <c r="H46" s="348"/>
      <c r="I46" s="29" t="s">
        <v>6</v>
      </c>
      <c r="J46" s="280">
        <f>AVERAGE(I24:I25)</f>
        <v>99.875927723099124</v>
      </c>
      <c r="K46" s="284">
        <f>COUNTA([23]Brewhouse!$A$580:$A$627)</f>
        <v>48</v>
      </c>
      <c r="L46" s="305">
        <f>AVERAGE([23]Brewhouse!$AU$580:$AU$627)</f>
        <v>99.104735837320234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AVERAGE([23]Brewhouse!$AU$102:$AU$171,[23]Brewhouse!$AU$173:$AU$253,[23]Brewhouse!$AU$255:$AU$339,[23]Brewhouse!$AU$341:$AU$346,[23]Brewhouse!$AU$348,[23]Brewhouse!$AU$349:$AU$406,[23]Brewhouse!$AU$408:$AU$491,[23]Brewhouse!$AU$493:$AU$578,[23]Brewhouse!$AU$580:$AU$627)</f>
        <v>97.875167142694352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600"/>
      <c r="C47" s="349"/>
      <c r="D47" s="537"/>
      <c r="E47" s="520"/>
      <c r="F47" s="294"/>
      <c r="G47" s="294"/>
      <c r="H47" s="348"/>
      <c r="I47" s="33" t="s">
        <v>9</v>
      </c>
      <c r="J47" s="280"/>
      <c r="K47" s="284">
        <f>COUNTA([24]Brewhouse!$A$275:$A$310)</f>
        <v>36</v>
      </c>
      <c r="L47" s="302">
        <f>AVERAGE([24]Brewhouse!$AS$275:$AS$310)</f>
        <v>99.147314304959025</v>
      </c>
      <c r="M47" s="302">
        <f>AVERAGE([24]Brewhouse!$AS$15:$AS$64,[24]Brewhouse!$AS$66:$AS$103,[24]Brewhouse!$AS$105:$AS$140,[24]Brewhouse!$AS$142:$AS$193,[24]Brewhouse!$AS$195:$AS$240,[24]Brewhouse!$AS$242:$AS$273,[24]Brewhouse!$AS$275:$AS$310)</f>
        <v>98.034045638111152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600"/>
      <c r="C48" s="349"/>
      <c r="D48" s="536"/>
      <c r="E48" s="525"/>
      <c r="F48" s="294"/>
      <c r="G48" s="294"/>
      <c r="H48" s="348"/>
      <c r="I48" s="34" t="s">
        <v>12</v>
      </c>
      <c r="J48" s="280"/>
      <c r="K48" s="284">
        <f>COUNTA([25]Brewhouse!$A$64:$A$71)</f>
        <v>8</v>
      </c>
      <c r="L48" s="302">
        <f>AVERAGE([25]Brewhouse!$AU$64:$AU$71)</f>
        <v>97.273930939242547</v>
      </c>
      <c r="M48" s="302">
        <f>AVERAGE([25]Brewhouse!$AU$4:$AU$7,[25]Brewhouse!$AU$9:$AU$22,[25]Brewhouse!$AU$24:$AU$35,[25]Brewhouse!$AU$37:$AU$45,[25]Brewhouse!$AU$47:$AU$62,[25]Brewhouse!$AU$64:$AU$71)</f>
        <v>97.191383970163244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600"/>
      <c r="C49" s="349"/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600"/>
      <c r="C50" s="349"/>
      <c r="D50" s="536"/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600"/>
      <c r="C51" s="349"/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600"/>
      <c r="C52" s="349"/>
      <c r="D52" s="536"/>
      <c r="E52" s="525"/>
      <c r="F52" s="418"/>
      <c r="G52" s="294"/>
      <c r="H52" s="348"/>
      <c r="I52" s="37" t="s">
        <v>16</v>
      </c>
      <c r="J52" s="323"/>
      <c r="K52" s="284">
        <f>COUNTA([22]Brewhouse!$A$56:$A$65)</f>
        <v>10</v>
      </c>
      <c r="L52" s="302">
        <f>AVERAGE([22]Brewhouse!$AY$56:$AY$65)</f>
        <v>99.275500637605006</v>
      </c>
      <c r="M52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600"/>
      <c r="C53" s="349"/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600"/>
      <c r="C54" s="349"/>
      <c r="D54" s="536"/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600"/>
      <c r="C55" s="349"/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600"/>
      <c r="C56" s="349"/>
      <c r="D56" s="536"/>
      <c r="E56" s="525"/>
      <c r="F56" s="294"/>
      <c r="G56" s="294"/>
      <c r="H56" s="348"/>
      <c r="I56" s="1"/>
      <c r="J56" s="39"/>
      <c r="K56" s="404">
        <f>SUM(K46:K55)</f>
        <v>110</v>
      </c>
      <c r="L56" s="405">
        <f>((L46*K46)+(L47*K47)+(L48*K48)+(L49*K49)+(L50*K50)+(K53*L53)+(L51*K51)+(L52*K52)+(L55*K55))/(K56)</f>
        <v>99.038256122568257</v>
      </c>
      <c r="M56" s="405">
        <f>AVERAGE('[31]Jan 31st'!$L$65,'[32]Feb 28th'!$L$35,'[33]Mar. 31st'!$L$35,'[34]Apr. 30th'!$L$45,'[35]May 30th'!$L$37,L56)</f>
        <v>97.869584926656216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601"/>
      <c r="C57" s="350"/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89"/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90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90"/>
      <c r="C60" s="349"/>
      <c r="D60" s="573"/>
      <c r="E60" s="574"/>
      <c r="F60" s="294"/>
      <c r="G60" s="42"/>
      <c r="H60" s="41"/>
      <c r="I60" s="42"/>
      <c r="J60" s="287" t="s">
        <v>6</v>
      </c>
      <c r="K60" s="324">
        <v>2</v>
      </c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90"/>
      <c r="C61" s="349"/>
      <c r="D61" s="519"/>
      <c r="E61" s="520"/>
      <c r="F61" s="294"/>
      <c r="G61" s="42"/>
      <c r="H61" s="41"/>
      <c r="I61" s="42"/>
      <c r="J61" s="345" t="s">
        <v>9</v>
      </c>
      <c r="K61" s="324"/>
      <c r="L61" s="344">
        <f>AVERAGE(K70,'July 1st'!K67,'July 2nd'!K68,'July 3rd'!K68,'July 4th'!K68,'July 7th '!K68,'July 8th '!K68,'July 9th  '!K69,'July 10th '!K69,'July 11th  '!K69,'July 14th'!K69,'July 15th'!K69,'July 16th '!K69,'July 17th '!K70)</f>
        <v>7.8571428571428568</v>
      </c>
      <c r="M61" s="325">
        <f>AVERAGE('[31]Jan 29th '!$M$70,'[32]Feb 28th'!$L$40,'[33]Mar. 31st'!$L$40,'[34]Apr. 30th'!$L$50,'[35]May 30th'!$L$42,L61)</f>
        <v>6.843964007007485</v>
      </c>
      <c r="N61" s="417">
        <v>9.1999999999999993</v>
      </c>
      <c r="O61" s="294"/>
      <c r="P61" s="12"/>
    </row>
    <row r="62" spans="1:56" ht="15" customHeight="1">
      <c r="B62" s="590"/>
      <c r="C62" s="349"/>
      <c r="D62" s="573"/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90"/>
      <c r="C63" s="349"/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90"/>
      <c r="C64" s="349"/>
      <c r="D64" s="573"/>
      <c r="E64" s="574"/>
      <c r="F64" s="294"/>
      <c r="G64" s="42"/>
      <c r="H64" s="41"/>
      <c r="I64" s="42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90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91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 t="e">
        <f>AVERAGE(D46:E67)</f>
        <v>#DIV/0!</v>
      </c>
      <c r="E68" s="578"/>
      <c r="F68" s="294"/>
      <c r="G68" s="42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2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3.25" hidden="1" customHeight="1">
      <c r="B75" s="451" t="str">
        <f>B84</f>
        <v>GUINN</v>
      </c>
      <c r="C75" s="422">
        <v>45854</v>
      </c>
      <c r="D75" s="377"/>
      <c r="E75" s="378"/>
      <c r="F75" s="379"/>
      <c r="G75" s="303"/>
      <c r="H75" s="320" t="e">
        <f>(D75-F75)/D75*100</f>
        <v>#DIV/0!</v>
      </c>
      <c r="I75" s="322" t="e">
        <f>((F75+E75)-G75)/(F75+E75)*100</f>
        <v>#DIV/0!</v>
      </c>
      <c r="J75" s="392" t="s">
        <v>188</v>
      </c>
      <c r="K75" s="286"/>
      <c r="L75" s="314" t="e">
        <f>(((D75+E75)-G75)/(D75+E75))*100</f>
        <v>#DIV/0!</v>
      </c>
      <c r="M75" s="435" t="s">
        <v>186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>
      <c r="B76" s="431"/>
      <c r="C76" s="422"/>
      <c r="D76" s="377"/>
      <c r="E76" s="378"/>
      <c r="F76" s="379"/>
      <c r="G76" s="303"/>
      <c r="H76" s="320"/>
      <c r="I76" s="322"/>
      <c r="J76" s="281"/>
      <c r="K76" s="286"/>
      <c r="L76" s="314"/>
      <c r="M76" s="438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53.25" hidden="1" customHeight="1">
      <c r="B77" s="432" t="str">
        <f>B83</f>
        <v>STAG</v>
      </c>
      <c r="C77" s="422">
        <v>45853</v>
      </c>
      <c r="D77" s="377"/>
      <c r="E77" s="378"/>
      <c r="F77" s="379"/>
      <c r="G77" s="303"/>
      <c r="H77" s="320" t="e">
        <f>(D77-F77)/D77*100</f>
        <v>#DIV/0!</v>
      </c>
      <c r="I77" s="322" t="e">
        <f>((F77+E77)-G77)/(F77+E77)*100</f>
        <v>#DIV/0!</v>
      </c>
      <c r="J77" s="392" t="s">
        <v>164</v>
      </c>
      <c r="K77" s="286"/>
      <c r="L77" s="314" t="e">
        <f>(((D77+E77)-G77)/(D77+E77))*100</f>
        <v>#DIV/0!</v>
      </c>
      <c r="M77" s="438" t="s">
        <v>176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6.5" customHeight="1" thickBot="1">
      <c r="B78" s="439"/>
      <c r="C78" s="440"/>
      <c r="D78" s="441"/>
      <c r="E78" s="442"/>
      <c r="F78" s="443"/>
      <c r="G78" s="444"/>
      <c r="H78" s="445"/>
      <c r="I78" s="446"/>
      <c r="J78" s="447"/>
      <c r="K78" s="448"/>
      <c r="L78" s="449"/>
      <c r="M78" s="437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415"/>
      <c r="AC78" s="415"/>
      <c r="AD78" s="415"/>
      <c r="AE78" s="415"/>
      <c r="AF78" s="415"/>
      <c r="AG78" s="415"/>
      <c r="AH78" s="415"/>
      <c r="AI78" s="415"/>
      <c r="AJ78" s="415"/>
      <c r="AK78" s="415"/>
      <c r="AL78" s="415"/>
      <c r="AM78" s="415"/>
      <c r="AN78" s="415"/>
      <c r="AO78" s="415"/>
      <c r="AP78" s="415"/>
      <c r="AQ78" s="415"/>
      <c r="AR78" s="415"/>
      <c r="AS78" s="415"/>
      <c r="AT78" s="415"/>
      <c r="AU78" s="415"/>
      <c r="AV78" s="415"/>
      <c r="AW78" s="415"/>
    </row>
    <row r="79" spans="2:57" ht="18" customHeight="1" thickBot="1">
      <c r="B79" s="59"/>
      <c r="C79" s="30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 t="s">
        <v>41</v>
      </c>
      <c r="O79" s="56"/>
      <c r="P79" s="60"/>
    </row>
    <row r="80" spans="2:57" ht="14.4" thickBot="1">
      <c r="B80" s="492" t="s">
        <v>55</v>
      </c>
      <c r="C80" s="493"/>
      <c r="D80" s="493"/>
      <c r="E80" s="493"/>
      <c r="F80" s="494"/>
      <c r="G80" s="492" t="s">
        <v>56</v>
      </c>
      <c r="H80" s="493"/>
      <c r="I80" s="493"/>
      <c r="J80" s="494"/>
      <c r="K80" s="492" t="s">
        <v>51</v>
      </c>
      <c r="L80" s="493"/>
      <c r="M80" s="493"/>
      <c r="N80" s="495"/>
      <c r="O80" s="56"/>
      <c r="P80" s="50"/>
    </row>
    <row r="81" spans="2:16">
      <c r="B81" s="61" t="s">
        <v>17</v>
      </c>
      <c r="C81" s="62" t="s">
        <v>36</v>
      </c>
      <c r="D81" s="62" t="s">
        <v>37</v>
      </c>
      <c r="E81" s="62" t="s">
        <v>38</v>
      </c>
      <c r="F81" s="63" t="s">
        <v>39</v>
      </c>
      <c r="G81" s="62" t="s">
        <v>36</v>
      </c>
      <c r="H81" s="62" t="s">
        <v>37</v>
      </c>
      <c r="I81" s="62" t="s">
        <v>38</v>
      </c>
      <c r="J81" s="63" t="s">
        <v>39</v>
      </c>
      <c r="K81" s="62" t="s">
        <v>36</v>
      </c>
      <c r="L81" s="62" t="s">
        <v>37</v>
      </c>
      <c r="M81" s="62" t="s">
        <v>38</v>
      </c>
      <c r="N81" s="63" t="s">
        <v>39</v>
      </c>
      <c r="O81" s="56"/>
      <c r="P81" s="64"/>
    </row>
    <row r="82" spans="2:16">
      <c r="B82" s="29" t="s">
        <v>6</v>
      </c>
      <c r="C82" s="65"/>
      <c r="D82" s="76">
        <v>5.1567424767534424</v>
      </c>
      <c r="E82" s="76">
        <v>6.4308411851227927</v>
      </c>
      <c r="F82" s="66">
        <v>4.8</v>
      </c>
      <c r="G82" s="65"/>
      <c r="H82" s="76">
        <v>4.2657333534483266</v>
      </c>
      <c r="I82" s="76">
        <v>6.321769489606484</v>
      </c>
      <c r="J82" s="66">
        <v>4.8</v>
      </c>
      <c r="K82" s="67"/>
      <c r="L82" s="194">
        <v>1.1425010462702558</v>
      </c>
      <c r="M82" s="194">
        <v>0.7541870276439433</v>
      </c>
      <c r="N82" s="68">
        <v>1</v>
      </c>
      <c r="O82" s="56"/>
      <c r="P82" s="69"/>
    </row>
    <row r="83" spans="2:16">
      <c r="B83" s="33" t="s">
        <v>9</v>
      </c>
      <c r="C83" s="65"/>
      <c r="D83" s="76">
        <v>5.7227748352925918</v>
      </c>
      <c r="E83" s="76">
        <v>6.0887030852231598</v>
      </c>
      <c r="F83" s="66">
        <v>4.8</v>
      </c>
      <c r="G83" s="65"/>
      <c r="H83" s="76">
        <v>5.0603857242884045</v>
      </c>
      <c r="I83" s="76">
        <v>5.7601419753057765</v>
      </c>
      <c r="J83" s="66">
        <v>4.8</v>
      </c>
      <c r="K83" s="67"/>
      <c r="L83" s="194">
        <v>0.50066010821446139</v>
      </c>
      <c r="M83" s="194">
        <v>0.73836015755280138</v>
      </c>
      <c r="N83" s="68">
        <v>1</v>
      </c>
      <c r="P83" s="69"/>
    </row>
    <row r="84" spans="2:16">
      <c r="B84" s="34" t="s">
        <v>40</v>
      </c>
      <c r="C84" s="65"/>
      <c r="D84" s="76">
        <v>11.529356060606059</v>
      </c>
      <c r="E84" s="76">
        <v>11.911409395973138</v>
      </c>
      <c r="F84" s="66">
        <v>5.5</v>
      </c>
      <c r="G84" s="65"/>
      <c r="H84" s="76">
        <v>15.989501390883994</v>
      </c>
      <c r="I84" s="76">
        <v>13.451437390677656</v>
      </c>
      <c r="J84" s="66">
        <v>5.5</v>
      </c>
      <c r="K84" s="67"/>
      <c r="L84" s="194">
        <v>1.3112280701754386</v>
      </c>
      <c r="M84" s="194">
        <v>0.54260860979462877</v>
      </c>
      <c r="N84" s="68">
        <v>1</v>
      </c>
      <c r="P84" s="69"/>
    </row>
    <row r="85" spans="2:16">
      <c r="B85" s="22" t="s">
        <v>33</v>
      </c>
      <c r="C85" s="65"/>
      <c r="D85" s="76">
        <v>3.4761321909424563</v>
      </c>
      <c r="E85" s="76">
        <v>5.119233255999676</v>
      </c>
      <c r="F85" s="66">
        <v>3.3</v>
      </c>
      <c r="G85" s="65"/>
      <c r="H85" s="76">
        <v>2.7479545757807706</v>
      </c>
      <c r="I85" s="76">
        <v>4.8747400258857825</v>
      </c>
      <c r="J85" s="66">
        <v>3.3</v>
      </c>
      <c r="K85" s="67"/>
      <c r="L85" s="194">
        <v>1.3835087719298247</v>
      </c>
      <c r="M85" s="194">
        <v>0.77839364035087721</v>
      </c>
      <c r="N85" s="68">
        <v>1</v>
      </c>
      <c r="P85" s="69"/>
    </row>
    <row r="86" spans="2:16">
      <c r="B86" s="35" t="s">
        <v>29</v>
      </c>
      <c r="C86" s="65"/>
      <c r="D86" s="76"/>
      <c r="E86" s="76"/>
      <c r="F86" s="66">
        <v>3.3</v>
      </c>
      <c r="G86" s="282"/>
      <c r="H86" s="76"/>
      <c r="I86" s="76"/>
      <c r="J86" s="66">
        <v>3</v>
      </c>
      <c r="L86" s="194"/>
      <c r="M86" s="194"/>
      <c r="N86" s="68">
        <v>1</v>
      </c>
      <c r="P86" s="69"/>
    </row>
    <row r="87" spans="2:16">
      <c r="B87" s="36" t="s">
        <v>15</v>
      </c>
      <c r="C87" s="282"/>
      <c r="D87" s="76"/>
      <c r="E87" s="76">
        <v>7.3129862357869699</v>
      </c>
      <c r="F87" s="70">
        <f>[21]May_2022!$M$43</f>
        <v>3.4878406700073312</v>
      </c>
      <c r="G87" s="282"/>
      <c r="H87" s="76"/>
      <c r="I87" s="76">
        <v>8.9862703283331644</v>
      </c>
      <c r="J87" s="66">
        <v>5.5</v>
      </c>
      <c r="K87" s="67"/>
      <c r="L87" s="194"/>
      <c r="M87" s="194">
        <v>0.59276315789473688</v>
      </c>
      <c r="N87" s="68">
        <v>1</v>
      </c>
      <c r="P87" s="69"/>
    </row>
    <row r="88" spans="2:16">
      <c r="B88" s="37" t="s">
        <v>16</v>
      </c>
      <c r="C88" s="65"/>
      <c r="D88" s="76">
        <v>2.3359073359073403</v>
      </c>
      <c r="E88" s="76">
        <v>2.980561555075584</v>
      </c>
      <c r="F88" s="66">
        <v>3.3</v>
      </c>
      <c r="G88" s="282"/>
      <c r="H88" s="76">
        <v>3.7114579368100644</v>
      </c>
      <c r="I88" s="76">
        <v>4.4931174512296872</v>
      </c>
      <c r="J88" s="66">
        <v>3.3</v>
      </c>
      <c r="K88" s="67"/>
      <c r="L88" s="194">
        <v>1.7750877192982455</v>
      </c>
      <c r="M88" s="194">
        <v>0.83077455048409399</v>
      </c>
      <c r="N88" s="71">
        <v>1</v>
      </c>
      <c r="P88" s="69"/>
    </row>
    <row r="89" spans="2:16" ht="14.4" thickBot="1">
      <c r="B89" s="38" t="s">
        <v>127</v>
      </c>
      <c r="C89" s="65"/>
      <c r="D89" s="76"/>
      <c r="E89" s="76"/>
      <c r="F89" s="66">
        <v>7.5</v>
      </c>
      <c r="G89" s="282"/>
      <c r="H89" s="76"/>
      <c r="I89" s="76"/>
      <c r="J89" s="66">
        <v>7.5</v>
      </c>
      <c r="K89" s="67"/>
      <c r="L89" s="194"/>
      <c r="M89" s="194"/>
      <c r="N89" s="71">
        <v>1</v>
      </c>
      <c r="P89" s="69"/>
    </row>
    <row r="90" spans="2:16" ht="14.4" thickBot="1">
      <c r="B90" s="414" t="s">
        <v>161</v>
      </c>
      <c r="C90" s="65"/>
      <c r="D90" s="76">
        <v>9.4974642692485105</v>
      </c>
      <c r="E90" s="76">
        <v>7.2653644592663174</v>
      </c>
      <c r="F90" s="66">
        <v>4.8</v>
      </c>
      <c r="G90" s="282"/>
      <c r="H90" s="76">
        <v>10.183089539936029</v>
      </c>
      <c r="I90" s="76">
        <v>8.1715311054411259</v>
      </c>
      <c r="J90" s="66">
        <v>4.8</v>
      </c>
      <c r="K90" s="67"/>
      <c r="L90" s="194">
        <v>0.68877192982456148</v>
      </c>
      <c r="M90" s="194">
        <v>0.51368421052631585</v>
      </c>
      <c r="N90" s="71">
        <v>1</v>
      </c>
      <c r="O90" s="74"/>
      <c r="P90" s="75"/>
    </row>
    <row r="91" spans="2:16">
      <c r="D91" s="76">
        <v>5.5718968705961807</v>
      </c>
      <c r="E91" s="76">
        <v>6.5111216715466158</v>
      </c>
      <c r="F91" s="341">
        <v>5.5</v>
      </c>
      <c r="H91" s="76">
        <v>5.8736428763788568</v>
      </c>
      <c r="I91" s="76">
        <v>6.771233326142359</v>
      </c>
      <c r="J91" s="341">
        <v>5.5</v>
      </c>
      <c r="L91" s="194">
        <v>1.0146828609986505</v>
      </c>
      <c r="M91" s="194">
        <v>0.72629342121323093</v>
      </c>
      <c r="N91" s="386">
        <v>1</v>
      </c>
    </row>
    <row r="95" spans="2:16">
      <c r="F95" s="315"/>
    </row>
    <row r="96" spans="2:16">
      <c r="F96" s="341"/>
    </row>
  </sheetData>
  <mergeCells count="51">
    <mergeCell ref="M73:M74"/>
    <mergeCell ref="B80:F80"/>
    <mergeCell ref="G80:J80"/>
    <mergeCell ref="K80:N80"/>
    <mergeCell ref="G73:G74"/>
    <mergeCell ref="H73:H74"/>
    <mergeCell ref="I73:I74"/>
    <mergeCell ref="J73:J74"/>
    <mergeCell ref="K73:K74"/>
    <mergeCell ref="L73:L74"/>
    <mergeCell ref="F73:F74"/>
    <mergeCell ref="D68:E68"/>
    <mergeCell ref="B73:B74"/>
    <mergeCell ref="C73:C74"/>
    <mergeCell ref="D73:D74"/>
    <mergeCell ref="E73:E74"/>
    <mergeCell ref="B58:B67"/>
    <mergeCell ref="D58:E59"/>
    <mergeCell ref="J58:K58"/>
    <mergeCell ref="L59:N59"/>
    <mergeCell ref="D60:E61"/>
    <mergeCell ref="D62:E63"/>
    <mergeCell ref="D64:E65"/>
    <mergeCell ref="D66:E67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8:B69">
    <cfRule type="cellIs" dxfId="1201" priority="114" operator="notBetween">
      <formula>#REF!</formula>
      <formula>#REF!</formula>
    </cfRule>
  </conditionalFormatting>
  <conditionalFormatting sqref="C72">
    <cfRule type="cellIs" dxfId="1200" priority="146" stopIfTrue="1" operator="greaterThan">
      <formula>100</formula>
    </cfRule>
    <cfRule type="cellIs" dxfId="1199" priority="145" stopIfTrue="1" operator="lessThan">
      <formula>96</formula>
    </cfRule>
  </conditionalFormatting>
  <conditionalFormatting sqref="C82:C83">
    <cfRule type="cellIs" dxfId="1198" priority="92" stopIfTrue="1" operator="lessThanOrEqual">
      <formula>0</formula>
    </cfRule>
  </conditionalFormatting>
  <conditionalFormatting sqref="C82:C86">
    <cfRule type="cellIs" dxfId="1197" priority="91" stopIfTrue="1" operator="greaterThan">
      <formula>$F82</formula>
    </cfRule>
  </conditionalFormatting>
  <conditionalFormatting sqref="C83">
    <cfRule type="cellIs" dxfId="1196" priority="149" stopIfTrue="1" operator="greaterThan">
      <formula>$F82</formula>
    </cfRule>
  </conditionalFormatting>
  <conditionalFormatting sqref="C84:C87">
    <cfRule type="cellIs" dxfId="1195" priority="98" stopIfTrue="1" operator="lessThanOrEqual">
      <formula>0</formula>
    </cfRule>
  </conditionalFormatting>
  <conditionalFormatting sqref="C87">
    <cfRule type="cellIs" dxfId="1194" priority="97" stopIfTrue="1" operator="greaterThan">
      <formula>$J87</formula>
    </cfRule>
  </conditionalFormatting>
  <conditionalFormatting sqref="C93:C97">
    <cfRule type="cellIs" dxfId="1193" priority="137" stopIfTrue="1" operator="lessThanOrEqual">
      <formula>0</formula>
    </cfRule>
  </conditionalFormatting>
  <conditionalFormatting sqref="C94:C97">
    <cfRule type="cellIs" dxfId="1192" priority="136" stopIfTrue="1" operator="greaterThan">
      <formula>$F$93</formula>
    </cfRule>
  </conditionalFormatting>
  <conditionalFormatting sqref="C99">
    <cfRule type="cellIs" dxfId="1191" priority="139" stopIfTrue="1" operator="lessThanOrEqual">
      <formula>0</formula>
    </cfRule>
    <cfRule type="cellIs" dxfId="1190" priority="138" stopIfTrue="1" operator="greaterThan">
      <formula>$F$93</formula>
    </cfRule>
  </conditionalFormatting>
  <conditionalFormatting sqref="C93:D93 D95:D101">
    <cfRule type="cellIs" dxfId="1189" priority="131" stopIfTrue="1" operator="greaterThan">
      <formula>4.5</formula>
    </cfRule>
  </conditionalFormatting>
  <conditionalFormatting sqref="D68:D69">
    <cfRule type="cellIs" dxfId="1188" priority="115" operator="notBetween">
      <formula>#REF!</formula>
      <formula>#REF!</formula>
    </cfRule>
  </conditionalFormatting>
  <conditionalFormatting sqref="D82:D89">
    <cfRule type="cellIs" dxfId="1187" priority="108" stopIfTrue="1" operator="lessThanOrEqual">
      <formula>0</formula>
    </cfRule>
  </conditionalFormatting>
  <conditionalFormatting sqref="D90">
    <cfRule type="cellIs" dxfId="1186" priority="107" stopIfTrue="1" operator="lessThanOrEqual">
      <formula>0</formula>
    </cfRule>
  </conditionalFormatting>
  <conditionalFormatting sqref="D93 D95:D101">
    <cfRule type="cellIs" dxfId="1185" priority="132" stopIfTrue="1" operator="lessThanOrEqual">
      <formula>0</formula>
    </cfRule>
  </conditionalFormatting>
  <conditionalFormatting sqref="D94">
    <cfRule type="cellIs" dxfId="1184" priority="124" stopIfTrue="1" operator="lessThanOrEqual">
      <formula>0</formula>
    </cfRule>
    <cfRule type="cellIs" dxfId="1183" priority="123" stopIfTrue="1" operator="greaterThan">
      <formula>$F$93</formula>
    </cfRule>
  </conditionalFormatting>
  <conditionalFormatting sqref="D82:E91">
    <cfRule type="cellIs" dxfId="1182" priority="88" stopIfTrue="1" operator="greaterThan">
      <formula>$F82</formula>
    </cfRule>
  </conditionalFormatting>
  <conditionalFormatting sqref="D91:E91">
    <cfRule type="cellIs" dxfId="1181" priority="89" stopIfTrue="1" operator="lessThanOrEqual">
      <formula>0</formula>
    </cfRule>
  </conditionalFormatting>
  <conditionalFormatting sqref="E10:E43">
    <cfRule type="cellIs" dxfId="1180" priority="2" operator="lessThan">
      <formula>48</formula>
    </cfRule>
  </conditionalFormatting>
  <conditionalFormatting sqref="E71 E72:F72">
    <cfRule type="cellIs" dxfId="1179" priority="128" stopIfTrue="1" operator="greaterThan">
      <formula>100</formula>
    </cfRule>
  </conditionalFormatting>
  <conditionalFormatting sqref="E72">
    <cfRule type="cellIs" dxfId="1178" priority="125" stopIfTrue="1" operator="lessThan">
      <formula>96.8</formula>
    </cfRule>
    <cfRule type="cellIs" dxfId="1177" priority="126" stopIfTrue="1" operator="greaterThan">
      <formula>100</formula>
    </cfRule>
  </conditionalFormatting>
  <conditionalFormatting sqref="E82:E90">
    <cfRule type="cellIs" dxfId="1176" priority="102" stopIfTrue="1" operator="lessThanOrEqual">
      <formula>0</formula>
    </cfRule>
  </conditionalFormatting>
  <conditionalFormatting sqref="E93:E101">
    <cfRule type="cellIs" dxfId="1175" priority="117" stopIfTrue="1" operator="greaterThan">
      <formula>4.5</formula>
    </cfRule>
    <cfRule type="cellIs" dxfId="1174" priority="118" stopIfTrue="1" operator="lessThanOrEqual">
      <formula>0</formula>
    </cfRule>
  </conditionalFormatting>
  <conditionalFormatting sqref="E72:F72 E71">
    <cfRule type="cellIs" dxfId="1173" priority="127" stopIfTrue="1" operator="lessThan">
      <formula>96.5</formula>
    </cfRule>
  </conditionalFormatting>
  <conditionalFormatting sqref="F10:F43">
    <cfRule type="cellIs" dxfId="1172" priority="3" operator="greaterThan">
      <formula>60</formula>
    </cfRule>
  </conditionalFormatting>
  <conditionalFormatting sqref="F72">
    <cfRule type="cellIs" dxfId="1171" priority="143" stopIfTrue="1" operator="lessThan">
      <formula>96.8</formula>
    </cfRule>
    <cfRule type="cellIs" dxfId="1170" priority="144" stopIfTrue="1" operator="greaterThan">
      <formula>100</formula>
    </cfRule>
  </conditionalFormatting>
  <conditionalFormatting sqref="F91">
    <cfRule type="cellIs" dxfId="1169" priority="104" stopIfTrue="1" operator="lessThanOrEqual">
      <formula>0</formula>
    </cfRule>
    <cfRule type="cellIs" dxfId="1168" priority="103" stopIfTrue="1" operator="greaterThan">
      <formula>$F91</formula>
    </cfRule>
  </conditionalFormatting>
  <conditionalFormatting sqref="F96">
    <cfRule type="cellIs" dxfId="1167" priority="57" stopIfTrue="1" operator="greaterThan">
      <formula>$F96</formula>
    </cfRule>
    <cfRule type="cellIs" dxfId="1166" priority="58" stopIfTrue="1" operator="lessThanOrEqual">
      <formula>0</formula>
    </cfRule>
  </conditionalFormatting>
  <conditionalFormatting sqref="G82:G83 C88:C90">
    <cfRule type="cellIs" dxfId="1165" priority="110" stopIfTrue="1" operator="lessThanOrEqual">
      <formula>0</formula>
    </cfRule>
    <cfRule type="cellIs" dxfId="1164" priority="109" stopIfTrue="1" operator="greaterThan">
      <formula>$F82</formula>
    </cfRule>
  </conditionalFormatting>
  <conditionalFormatting sqref="G82:G83">
    <cfRule type="cellIs" dxfId="1163" priority="93" stopIfTrue="1" operator="greaterThan">
      <formula>$F82</formula>
    </cfRule>
    <cfRule type="cellIs" dxfId="1162" priority="94" stopIfTrue="1" operator="lessThanOrEqual">
      <formula>0</formula>
    </cfRule>
  </conditionalFormatting>
  <conditionalFormatting sqref="G84">
    <cfRule type="cellIs" dxfId="1161" priority="147" stopIfTrue="1" operator="greaterThan">
      <formula>$F83</formula>
    </cfRule>
    <cfRule type="cellIs" dxfId="1160" priority="148" stopIfTrue="1" operator="lessThanOrEqual">
      <formula>0</formula>
    </cfRule>
  </conditionalFormatting>
  <conditionalFormatting sqref="G85">
    <cfRule type="cellIs" dxfId="1159" priority="106" stopIfTrue="1" operator="lessThanOrEqual">
      <formula>0</formula>
    </cfRule>
    <cfRule type="cellIs" dxfId="1158" priority="105" stopIfTrue="1" operator="greaterThan">
      <formula>$F85</formula>
    </cfRule>
  </conditionalFormatting>
  <conditionalFormatting sqref="G86:G90">
    <cfRule type="cellIs" dxfId="1157" priority="111" stopIfTrue="1" operator="greaterThan">
      <formula>$J86</formula>
    </cfRule>
    <cfRule type="cellIs" dxfId="1156" priority="112" stopIfTrue="1" operator="lessThanOrEqual">
      <formula>0</formula>
    </cfRule>
  </conditionalFormatting>
  <conditionalFormatting sqref="G95:G100 C98 C100">
    <cfRule type="cellIs" dxfId="1155" priority="141" stopIfTrue="1" operator="lessThanOrEqual">
      <formula>0</formula>
    </cfRule>
    <cfRule type="cellIs" dxfId="1154" priority="140" stopIfTrue="1" operator="greaterThan">
      <formula>4.5</formula>
    </cfRule>
  </conditionalFormatting>
  <conditionalFormatting sqref="G10:H43">
    <cfRule type="expression" dxfId="1153" priority="8">
      <formula>IF(+(IF(G10&lt;#REF!,0,IF(G10&gt;#REF!,0,1)))=0,1)</formula>
    </cfRule>
  </conditionalFormatting>
  <conditionalFormatting sqref="G94:H94">
    <cfRule type="cellIs" dxfId="1152" priority="122" stopIfTrue="1" operator="lessThanOrEqual">
      <formula>0</formula>
    </cfRule>
    <cfRule type="cellIs" dxfId="1151" priority="121" stopIfTrue="1" operator="greaterThan">
      <formula>$F$93</formula>
    </cfRule>
  </conditionalFormatting>
  <conditionalFormatting sqref="H57:H71">
    <cfRule type="cellIs" dxfId="1150" priority="119" stopIfTrue="1" operator="greaterThan">
      <formula>0</formula>
    </cfRule>
  </conditionalFormatting>
  <conditionalFormatting sqref="H75">
    <cfRule type="cellIs" dxfId="1149" priority="22" stopIfTrue="1" operator="greaterThan">
      <formula>$F$42</formula>
    </cfRule>
    <cfRule type="cellIs" dxfId="1148" priority="23" stopIfTrue="1" operator="lessThanOrEqual">
      <formula>0</formula>
    </cfRule>
    <cfRule type="cellIs" dxfId="1147" priority="24" stopIfTrue="1" operator="greaterThan">
      <formula>$F$40</formula>
    </cfRule>
    <cfRule type="cellIs" dxfId="1146" priority="25" stopIfTrue="1" operator="lessThanOrEqual">
      <formula>0</formula>
    </cfRule>
    <cfRule type="cellIs" dxfId="1145" priority="13" stopIfTrue="1" operator="lessThanOrEqual">
      <formula>0</formula>
    </cfRule>
    <cfRule type="cellIs" dxfId="1144" priority="14" stopIfTrue="1" operator="greaterThan">
      <formula>$F$39</formula>
    </cfRule>
  </conditionalFormatting>
  <conditionalFormatting sqref="H76">
    <cfRule type="cellIs" dxfId="1143" priority="45" stopIfTrue="1" operator="greaterThan">
      <formula>$F$41</formula>
    </cfRule>
    <cfRule type="cellIs" dxfId="1142" priority="54" stopIfTrue="1" operator="lessThanOrEqual">
      <formula>0</formula>
    </cfRule>
    <cfRule type="cellIs" dxfId="1141" priority="53" stopIfTrue="1" operator="greaterThan">
      <formula>$F$44</formula>
    </cfRule>
    <cfRule type="cellIs" dxfId="1140" priority="55" stopIfTrue="1" operator="greaterThan">
      <formula>$F$42</formula>
    </cfRule>
    <cfRule type="cellIs" dxfId="1139" priority="44" stopIfTrue="1" operator="lessThanOrEqual">
      <formula>0</formula>
    </cfRule>
    <cfRule type="cellIs" dxfId="1138" priority="56" stopIfTrue="1" operator="lessThanOrEqual">
      <formula>0</formula>
    </cfRule>
  </conditionalFormatting>
  <conditionalFormatting sqref="H77">
    <cfRule type="cellIs" dxfId="1137" priority="40" stopIfTrue="1" operator="lessThanOrEqual">
      <formula>0</formula>
    </cfRule>
    <cfRule type="cellIs" dxfId="1136" priority="41" stopIfTrue="1" operator="greaterThan">
      <formula>$F$41</formula>
    </cfRule>
    <cfRule type="cellIs" dxfId="1135" priority="42" stopIfTrue="1" operator="lessThanOrEqual">
      <formula>0</formula>
    </cfRule>
    <cfRule type="cellIs" dxfId="1134" priority="39" stopIfTrue="1" operator="greaterThan">
      <formula>$F$43</formula>
    </cfRule>
    <cfRule type="cellIs" dxfId="1133" priority="31" stopIfTrue="1" operator="greaterThan">
      <formula>$F$40</formula>
    </cfRule>
    <cfRule type="cellIs" dxfId="1132" priority="30" stopIfTrue="1" operator="lessThanOrEqual">
      <formula>0</formula>
    </cfRule>
  </conditionalFormatting>
  <conditionalFormatting sqref="H78">
    <cfRule type="cellIs" dxfId="1131" priority="71" stopIfTrue="1" operator="greaterThan">
      <formula>$F$59</formula>
    </cfRule>
    <cfRule type="cellIs" dxfId="1130" priority="72" stopIfTrue="1" operator="lessThanOrEqual">
      <formula>0</formula>
    </cfRule>
    <cfRule type="cellIs" dxfId="1129" priority="62" stopIfTrue="1" operator="lessThanOrEqual">
      <formula>0</formula>
    </cfRule>
    <cfRule type="cellIs" dxfId="1128" priority="63" stopIfTrue="1" operator="greaterThan">
      <formula>$F$56</formula>
    </cfRule>
    <cfRule type="cellIs" dxfId="1127" priority="74" stopIfTrue="1" operator="lessThanOrEqual">
      <formula>0</formula>
    </cfRule>
    <cfRule type="cellIs" dxfId="1126" priority="73" stopIfTrue="1" operator="greaterThan">
      <formula>$F$57</formula>
    </cfRule>
  </conditionalFormatting>
  <conditionalFormatting sqref="H82:H89">
    <cfRule type="cellIs" dxfId="1125" priority="96" stopIfTrue="1" operator="lessThanOrEqual">
      <formula>0</formula>
    </cfRule>
    <cfRule type="cellIs" dxfId="1124" priority="95" stopIfTrue="1" operator="greaterThan">
      <formula>$J82</formula>
    </cfRule>
  </conditionalFormatting>
  <conditionalFormatting sqref="H90">
    <cfRule type="cellIs" dxfId="1123" priority="99" operator="greaterThan">
      <formula>5.3</formula>
    </cfRule>
  </conditionalFormatting>
  <conditionalFormatting sqref="H93 H95:H101">
    <cfRule type="cellIs" dxfId="1122" priority="133" stopIfTrue="1" operator="greaterThan">
      <formula>4.5</formula>
    </cfRule>
    <cfRule type="cellIs" dxfId="1121" priority="134" stopIfTrue="1" operator="lessThanOrEqual">
      <formula>0</formula>
    </cfRule>
  </conditionalFormatting>
  <conditionalFormatting sqref="H75:I75">
    <cfRule type="cellIs" dxfId="1120" priority="12" stopIfTrue="1" operator="greaterThan">
      <formula>$F$41</formula>
    </cfRule>
    <cfRule type="cellIs" dxfId="1119" priority="15" stopIfTrue="1" operator="lessThanOrEqual">
      <formula>0</formula>
    </cfRule>
  </conditionalFormatting>
  <conditionalFormatting sqref="H76:I76">
    <cfRule type="cellIs" dxfId="1118" priority="43" stopIfTrue="1" operator="greaterThan">
      <formula>$F$43</formula>
    </cfRule>
    <cfRule type="cellIs" dxfId="1117" priority="46" stopIfTrue="1" operator="lessThanOrEqual">
      <formula>0</formula>
    </cfRule>
  </conditionalFormatting>
  <conditionalFormatting sqref="H77:I77">
    <cfRule type="cellIs" dxfId="1116" priority="29" stopIfTrue="1" operator="greaterThan">
      <formula>$F$42</formula>
    </cfRule>
    <cfRule type="cellIs" dxfId="1115" priority="32" stopIfTrue="1" operator="lessThanOrEqual">
      <formula>0</formula>
    </cfRule>
  </conditionalFormatting>
  <conditionalFormatting sqref="H78:I78">
    <cfRule type="cellIs" dxfId="1114" priority="64" stopIfTrue="1" operator="lessThanOrEqual">
      <formula>0</formula>
    </cfRule>
    <cfRule type="cellIs" dxfId="1113" priority="61" stopIfTrue="1" operator="greaterThan">
      <formula>$F$58</formula>
    </cfRule>
  </conditionalFormatting>
  <conditionalFormatting sqref="H91:I91">
    <cfRule type="cellIs" dxfId="1112" priority="86" stopIfTrue="1" operator="greaterThan">
      <formula>$J91</formula>
    </cfRule>
    <cfRule type="cellIs" dxfId="1111" priority="87" stopIfTrue="1" operator="lessThanOrEqual">
      <formula>0</formula>
    </cfRule>
  </conditionalFormatting>
  <conditionalFormatting sqref="I75">
    <cfRule type="cellIs" dxfId="1110" priority="20" stopIfTrue="1" operator="greaterThan">
      <formula>$F$39</formula>
    </cfRule>
    <cfRule type="cellIs" dxfId="1109" priority="21" stopIfTrue="1" operator="lessThanOrEqual">
      <formula>0</formula>
    </cfRule>
    <cfRule type="cellIs" dxfId="1108" priority="16" stopIfTrue="1" operator="greaterThan">
      <formula>$F$39</formula>
    </cfRule>
    <cfRule type="cellIs" dxfId="1107" priority="19" stopIfTrue="1" operator="lessThanOrEqual">
      <formula>0</formula>
    </cfRule>
    <cfRule type="cellIs" dxfId="1106" priority="17" stopIfTrue="1" operator="lessThanOrEqual">
      <formula>0</formula>
    </cfRule>
    <cfRule type="cellIs" dxfId="1105" priority="18" stopIfTrue="1" operator="greaterThan">
      <formula>$F$41</formula>
    </cfRule>
  </conditionalFormatting>
  <conditionalFormatting sqref="I76">
    <cfRule type="cellIs" dxfId="1104" priority="51" stopIfTrue="1" operator="greaterThan">
      <formula>$F$41</formula>
    </cfRule>
    <cfRule type="cellIs" dxfId="1103" priority="52" stopIfTrue="1" operator="lessThanOrEqual">
      <formula>0</formula>
    </cfRule>
    <cfRule type="cellIs" dxfId="1102" priority="47" stopIfTrue="1" operator="greaterThan">
      <formula>$F$41</formula>
    </cfRule>
    <cfRule type="cellIs" dxfId="1101" priority="48" stopIfTrue="1" operator="lessThanOrEqual">
      <formula>0</formula>
    </cfRule>
    <cfRule type="cellIs" dxfId="1100" priority="49" stopIfTrue="1" operator="greaterThan">
      <formula>$F$43</formula>
    </cfRule>
    <cfRule type="cellIs" dxfId="1099" priority="50" stopIfTrue="1" operator="lessThanOrEqual">
      <formula>0</formula>
    </cfRule>
  </conditionalFormatting>
  <conditionalFormatting sqref="I77">
    <cfRule type="cellIs" dxfId="1098" priority="34" stopIfTrue="1" operator="lessThanOrEqual">
      <formula>0</formula>
    </cfRule>
    <cfRule type="cellIs" dxfId="1097" priority="38" stopIfTrue="1" operator="lessThanOrEqual">
      <formula>0</formula>
    </cfRule>
    <cfRule type="cellIs" dxfId="1096" priority="36" stopIfTrue="1" operator="lessThanOrEqual">
      <formula>0</formula>
    </cfRule>
    <cfRule type="cellIs" dxfId="1095" priority="35" stopIfTrue="1" operator="greaterThan">
      <formula>$F$42</formula>
    </cfRule>
    <cfRule type="cellIs" dxfId="1094" priority="33" stopIfTrue="1" operator="greaterThan">
      <formula>$F$40</formula>
    </cfRule>
    <cfRule type="cellIs" dxfId="1093" priority="37" stopIfTrue="1" operator="greaterThan">
      <formula>$F$40</formula>
    </cfRule>
  </conditionalFormatting>
  <conditionalFormatting sqref="I78">
    <cfRule type="cellIs" dxfId="1092" priority="69" stopIfTrue="1" operator="greaterThan">
      <formula>$F$56</formula>
    </cfRule>
    <cfRule type="cellIs" dxfId="1091" priority="68" stopIfTrue="1" operator="lessThanOrEqual">
      <formula>0</formula>
    </cfRule>
    <cfRule type="cellIs" dxfId="1090" priority="67" stopIfTrue="1" operator="greaterThan">
      <formula>$F$58</formula>
    </cfRule>
    <cfRule type="cellIs" dxfId="1089" priority="66" stopIfTrue="1" operator="lessThanOrEqual">
      <formula>0</formula>
    </cfRule>
    <cfRule type="cellIs" dxfId="1088" priority="65" stopIfTrue="1" operator="greaterThan">
      <formula>$F$56</formula>
    </cfRule>
    <cfRule type="cellIs" dxfId="1087" priority="70" stopIfTrue="1" operator="lessThanOrEqual">
      <formula>0</formula>
    </cfRule>
  </conditionalFormatting>
  <conditionalFormatting sqref="I82:I90">
    <cfRule type="cellIs" dxfId="1086" priority="100" stopIfTrue="1" operator="greaterThan">
      <formula>$J82</formula>
    </cfRule>
    <cfRule type="cellIs" dxfId="1085" priority="101" stopIfTrue="1" operator="lessThanOrEqual">
      <formula>0</formula>
    </cfRule>
  </conditionalFormatting>
  <conditionalFormatting sqref="I93:I101">
    <cfRule type="cellIs" dxfId="1084" priority="130" stopIfTrue="1" operator="lessThanOrEqual">
      <formula>0</formula>
    </cfRule>
    <cfRule type="cellIs" dxfId="1083" priority="129" stopIfTrue="1" operator="greaterThan">
      <formula>4.5</formula>
    </cfRule>
  </conditionalFormatting>
  <conditionalFormatting sqref="I10:J43">
    <cfRule type="cellIs" dxfId="1082" priority="7" operator="lessThan">
      <formula>97.9</formula>
    </cfRule>
  </conditionalFormatting>
  <conditionalFormatting sqref="J46:J48">
    <cfRule type="cellIs" dxfId="1081" priority="78" operator="lessThan">
      <formula>98</formula>
    </cfRule>
    <cfRule type="cellIs" dxfId="1080" priority="77" stopIfTrue="1" operator="greaterThan">
      <formula>100</formula>
    </cfRule>
    <cfRule type="cellIs" dxfId="1079" priority="76" stopIfTrue="1" operator="lessThan">
      <formula>96.8</formula>
    </cfRule>
  </conditionalFormatting>
  <conditionalFormatting sqref="J46:J50">
    <cfRule type="cellIs" dxfId="1078" priority="75" operator="lessThan">
      <formula>97.4</formula>
    </cfRule>
  </conditionalFormatting>
  <conditionalFormatting sqref="J51">
    <cfRule type="cellIs" dxfId="1077" priority="79" operator="lessThan">
      <formula>98</formula>
    </cfRule>
  </conditionalFormatting>
  <conditionalFormatting sqref="J53:J54">
    <cfRule type="cellIs" dxfId="1076" priority="80" stopIfTrue="1" operator="lessThan">
      <formula>96.8</formula>
    </cfRule>
    <cfRule type="cellIs" dxfId="1075" priority="81" stopIfTrue="1" operator="greaterThan">
      <formula>100</formula>
    </cfRule>
  </conditionalFormatting>
  <conditionalFormatting sqref="J53:J55">
    <cfRule type="cellIs" dxfId="1074" priority="82" operator="lessThan">
      <formula>98</formula>
    </cfRule>
  </conditionalFormatting>
  <conditionalFormatting sqref="J91">
    <cfRule type="cellIs" dxfId="1073" priority="84" stopIfTrue="1" operator="lessThanOrEqual">
      <formula>0</formula>
    </cfRule>
    <cfRule type="cellIs" dxfId="1072" priority="83" stopIfTrue="1" operator="greaterThan">
      <formula>$F91</formula>
    </cfRule>
  </conditionalFormatting>
  <conditionalFormatting sqref="K10:K43">
    <cfRule type="cellIs" dxfId="1071" priority="6" operator="greaterThan">
      <formula>6.4</formula>
    </cfRule>
    <cfRule type="cellIs" dxfId="1070" priority="5" operator="lessThan">
      <formula>4</formula>
    </cfRule>
    <cfRule type="cellIs" dxfId="1069" priority="4" operator="greaterThan">
      <formula>6</formula>
    </cfRule>
  </conditionalFormatting>
  <conditionalFormatting sqref="K75:K78">
    <cfRule type="cellIs" dxfId="1068" priority="59" stopIfTrue="1" operator="lessThan">
      <formula>100%</formula>
    </cfRule>
  </conditionalFormatting>
  <conditionalFormatting sqref="K93:K98">
    <cfRule type="cellIs" dxfId="1067" priority="135" stopIfTrue="1" operator="lessThan">
      <formula>100%</formula>
    </cfRule>
  </conditionalFormatting>
  <conditionalFormatting sqref="K100:K101">
    <cfRule type="cellIs" dxfId="1066" priority="142" stopIfTrue="1" operator="lessThan">
      <formula>100%</formula>
    </cfRule>
  </conditionalFormatting>
  <conditionalFormatting sqref="K82:N85 L86:N86">
    <cfRule type="cellIs" dxfId="1065" priority="113" stopIfTrue="1" operator="lessThan">
      <formula>100%</formula>
    </cfRule>
  </conditionalFormatting>
  <conditionalFormatting sqref="K87:N90 L91:N91">
    <cfRule type="cellIs" dxfId="1064" priority="85" stopIfTrue="1" operator="lessThan">
      <formula>100%</formula>
    </cfRule>
  </conditionalFormatting>
  <conditionalFormatting sqref="L18:L43">
    <cfRule type="cellIs" dxfId="1063" priority="11" operator="greaterThan">
      <formula>65</formula>
    </cfRule>
    <cfRule type="cellIs" dxfId="1062" priority="10" operator="between">
      <formula>61</formula>
      <formula>65</formula>
    </cfRule>
  </conditionalFormatting>
  <conditionalFormatting sqref="L10:M17">
    <cfRule type="cellIs" dxfId="1061" priority="26" operator="between">
      <formula>61</formula>
      <formula>65</formula>
    </cfRule>
    <cfRule type="cellIs" dxfId="1060" priority="27" operator="greaterThan">
      <formula>65</formula>
    </cfRule>
  </conditionalFormatting>
  <conditionalFormatting sqref="L46:M57">
    <cfRule type="cellIs" dxfId="1059" priority="90" operator="lessThan">
      <formula>98</formula>
    </cfRule>
  </conditionalFormatting>
  <conditionalFormatting sqref="L61:N61">
    <cfRule type="cellIs" dxfId="1058" priority="60" operator="notEqual">
      <formula>#REF!</formula>
    </cfRule>
  </conditionalFormatting>
  <conditionalFormatting sqref="L93:N101">
    <cfRule type="cellIs" dxfId="1057" priority="120" stopIfTrue="1" operator="lessThan">
      <formula>100%</formula>
    </cfRule>
  </conditionalFormatting>
  <conditionalFormatting sqref="M10:M17">
    <cfRule type="expression" dxfId="1056" priority="28">
      <formula>IF(+(IF(M10&lt;U10,0,IF(M10&gt;V10,0,1)))=0,1)</formula>
    </cfRule>
  </conditionalFormatting>
  <conditionalFormatting sqref="M18:M43">
    <cfRule type="expression" dxfId="1055" priority="9">
      <formula>IF(+(IF(M18&lt;U18,0,IF(M18&gt;V18,0,1)))=0,1)</formula>
    </cfRule>
  </conditionalFormatting>
  <conditionalFormatting sqref="N10:N43">
    <cfRule type="expression" dxfId="1054" priority="1">
      <formula>IF(+(IF(N10&lt;W10,0,IF(N10&gt;X10,0,1)))=0,1)</formula>
    </cfRule>
  </conditionalFormatting>
  <conditionalFormatting sqref="P6">
    <cfRule type="cellIs" dxfId="1053" priority="116" operator="greaterThanOrEqual">
      <formula>19</formula>
    </cfRule>
  </conditionalFormatting>
  <dataValidations count="1">
    <dataValidation type="list" allowBlank="1" showInputMessage="1" showErrorMessage="1" sqref="R8" xr:uid="{B59F56CD-DD17-44D7-B0D9-2EACAFBC00EC}">
      <formula1>ProductList</formula1>
    </dataValidation>
  </dataValidations>
  <pageMargins left="0.7" right="0.7" top="0.75" bottom="0.75" header="0.3" footer="0.3"/>
  <pageSetup scale="53" fitToWidth="0" orientation="landscape" r:id="rId1"/>
  <rowBreaks count="1" manualBreakCount="1">
    <brk id="95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0751-F76A-4F7C-B70A-1AC44CEEAFCB}">
  <sheetPr>
    <pageSetUpPr fitToPage="1"/>
  </sheetPr>
  <dimension ref="A1:BE96"/>
  <sheetViews>
    <sheetView topLeftCell="A17" zoomScale="70" zoomScaleNormal="70" workbookViewId="0">
      <selection activeCell="M75" sqref="M7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45860</v>
      </c>
      <c r="J4" s="398" t="s">
        <v>181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183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4" t="s">
        <v>12</v>
      </c>
      <c r="C10" s="366" t="str">
        <f>[25]Brewhouse!$A72</f>
        <v>GU064</v>
      </c>
      <c r="D10" s="279">
        <f>[25]Brewhouse!$AF72</f>
        <v>51.9</v>
      </c>
      <c r="E10" s="279">
        <f>[25]Brewhouse!$AI72</f>
        <v>49.4</v>
      </c>
      <c r="F10" s="278">
        <f>[25]Brewhouse!$V72</f>
        <v>61</v>
      </c>
      <c r="G10" s="279">
        <f>[25]Brewhouse!$AG72</f>
        <v>17.3</v>
      </c>
      <c r="H10" s="396">
        <v>17.2</v>
      </c>
      <c r="I10" s="427">
        <f>[25]Brewhouse!$AU72</f>
        <v>93.381881284929378</v>
      </c>
      <c r="J10" s="427">
        <f>[25]Brewhouse!$AV72</f>
        <v>93.993623367273486</v>
      </c>
      <c r="K10" s="436">
        <f>[25]Brewhouse!$R72</f>
        <v>13.859348198970839</v>
      </c>
      <c r="L10" s="276">
        <f>[25]Brewhouse!$O72</f>
        <v>79</v>
      </c>
      <c r="M10" s="374">
        <f>[25]Brewhouse!$U72-[25]Brewhouse!$T72</f>
        <v>0.15416666666666662</v>
      </c>
      <c r="N10" s="370">
        <f>[25]Brewhouse!$Z72</f>
        <v>0.29305555555555551</v>
      </c>
      <c r="O10" s="428" t="str">
        <f>[25]Brewhouse!$AW72</f>
        <v>R. Regis</v>
      </c>
      <c r="P10" s="339"/>
      <c r="R10" s="277" t="str">
        <f t="shared" ref="R10:R45" si="0">B10</f>
        <v>GUINNESS</v>
      </c>
      <c r="S10" s="296">
        <f t="shared" ref="S10:S45" si="1">VLOOKUP($B10,$R$3:$X$9,2,FALSE)</f>
        <v>17</v>
      </c>
      <c r="T10" s="296">
        <f t="shared" ref="T10:T45" si="2">VLOOKUP($B10,$R$3:$X$9,3,FALSE)</f>
        <v>17.5</v>
      </c>
      <c r="U10" s="297">
        <f t="shared" ref="U10:U45" si="3">VLOOKUP($B10,$R$3:$X$9,4,FALSE)</f>
        <v>0</v>
      </c>
      <c r="V10" s="297">
        <f t="shared" ref="V10:V45" si="4">VLOOKUP($B10,$R$3:$X$9,5,FALSE)</f>
        <v>0.1076388888888889</v>
      </c>
      <c r="W10" s="297">
        <f t="shared" ref="W10:W45" si="5">VLOOKUP($B10,$R$3:$X$9,6,FALSE)</f>
        <v>0.24652777777777779</v>
      </c>
      <c r="X10" s="297">
        <f t="shared" ref="X10:X45" si="6">VLOOKUP($B10,$R$3:$X$9,7,FALSE)</f>
        <v>0.28472222222222221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34" t="s">
        <v>12</v>
      </c>
      <c r="C11" s="366" t="str">
        <f>[25]Brewhouse!$A73</f>
        <v>GU065</v>
      </c>
      <c r="D11" s="279">
        <f>[25]Brewhouse!$AF73</f>
        <v>52.9</v>
      </c>
      <c r="E11" s="279">
        <f>[25]Brewhouse!$AI73</f>
        <v>50.6</v>
      </c>
      <c r="F11" s="278">
        <f>[25]Brewhouse!$V73</f>
        <v>60</v>
      </c>
      <c r="G11" s="279">
        <f>[25]Brewhouse!$AG73</f>
        <v>17.3</v>
      </c>
      <c r="H11" s="396">
        <v>17.3</v>
      </c>
      <c r="I11" s="427">
        <f>[25]Brewhouse!$AU73</f>
        <v>95.573978353377044</v>
      </c>
      <c r="J11" s="427">
        <f>[25]Brewhouse!$AV73</f>
        <v>96.200190118952804</v>
      </c>
      <c r="K11" s="436">
        <f>[25]Brewhouse!$R73</f>
        <v>11.949910554561717</v>
      </c>
      <c r="L11" s="276">
        <f>[25]Brewhouse!$O73</f>
        <v>58</v>
      </c>
      <c r="M11" s="374">
        <f>[25]Brewhouse!$U73-[25]Brewhouse!$T73</f>
        <v>0.11180555555555555</v>
      </c>
      <c r="N11" s="370">
        <f>[25]Brewhouse!$Z73</f>
        <v>0.24652777777777779</v>
      </c>
      <c r="O11" s="428" t="str">
        <f>[25]Brewhouse!$AW73</f>
        <v>R. Regis</v>
      </c>
      <c r="P11" s="419"/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5.75" customHeight="1">
      <c r="B12" s="34" t="s">
        <v>12</v>
      </c>
      <c r="C12" s="366" t="str">
        <f>[25]Brewhouse!$A74</f>
        <v>GU066</v>
      </c>
      <c r="D12" s="279">
        <f>[25]Brewhouse!$AF74</f>
        <v>53.3</v>
      </c>
      <c r="E12" s="279">
        <f>[25]Brewhouse!$AI74</f>
        <v>51</v>
      </c>
      <c r="F12" s="278">
        <f>[25]Brewhouse!$V74</f>
        <v>63</v>
      </c>
      <c r="G12" s="279">
        <f>[25]Brewhouse!$AG74</f>
        <v>17.3</v>
      </c>
      <c r="H12" s="396">
        <v>17.399999999999999</v>
      </c>
      <c r="I12" s="427">
        <f>[25]Brewhouse!$AU74</f>
        <v>96.329503873957094</v>
      </c>
      <c r="J12" s="427">
        <f>[25]Brewhouse!$AV74</f>
        <v>96.960665930169824</v>
      </c>
      <c r="K12" s="436">
        <f>[25]Brewhouse!$R74</f>
        <v>12.862190812720851</v>
      </c>
      <c r="L12" s="276">
        <f>[25]Brewhouse!$O74</f>
        <v>59</v>
      </c>
      <c r="M12" s="374">
        <f>[25]Brewhouse!$U74-[25]Brewhouse!$T74</f>
        <v>0.11944444444444435</v>
      </c>
      <c r="N12" s="370">
        <f>[25]Brewhouse!$Z74</f>
        <v>0.26041666666666663</v>
      </c>
      <c r="O12" s="428" t="str">
        <f>[25]Brewhouse!$AW74</f>
        <v>R. Regis</v>
      </c>
      <c r="P12" s="419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15.75" customHeight="1">
      <c r="B13" s="34" t="s">
        <v>12</v>
      </c>
      <c r="C13" s="366" t="str">
        <f>[25]Brewhouse!$A75</f>
        <v>GU067</v>
      </c>
      <c r="D13" s="279">
        <f>[25]Brewhouse!$AF75</f>
        <v>54.1</v>
      </c>
      <c r="E13" s="279">
        <f>[25]Brewhouse!$AI75</f>
        <v>51.9</v>
      </c>
      <c r="F13" s="278">
        <f>[25]Brewhouse!$V75</f>
        <v>65</v>
      </c>
      <c r="G13" s="279">
        <f>[25]Brewhouse!$AG75</f>
        <v>17.2</v>
      </c>
      <c r="H13" s="396">
        <v>17.399999999999999</v>
      </c>
      <c r="I13" s="427">
        <f>[25]Brewhouse!$AU75</f>
        <v>97.549176167683427</v>
      </c>
      <c r="J13" s="427">
        <f>[25]Brewhouse!$AV75</f>
        <v>98.188106327680686</v>
      </c>
      <c r="K13" s="436">
        <f>[25]Brewhouse!$R75</f>
        <v>10.072202166064979</v>
      </c>
      <c r="L13" s="276">
        <f>[25]Brewhouse!$O75</f>
        <v>56</v>
      </c>
      <c r="M13" s="374">
        <f>[25]Brewhouse!$U75-[25]Brewhouse!$T75</f>
        <v>0.11458333333333337</v>
      </c>
      <c r="N13" s="370">
        <f>[25]Brewhouse!$Z75</f>
        <v>0.25208333333333344</v>
      </c>
      <c r="O13" s="428" t="str">
        <f>[25]Brewhouse!$AW75</f>
        <v>D. Gomaz</v>
      </c>
      <c r="P13" s="419"/>
      <c r="R13" s="277" t="str">
        <f t="shared" si="0"/>
        <v>GUINNESS</v>
      </c>
      <c r="S13" s="296">
        <f t="shared" si="1"/>
        <v>17</v>
      </c>
      <c r="T13" s="296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296">
        <f t="shared" si="8"/>
        <v>60</v>
      </c>
    </row>
    <row r="14" spans="2:29" ht="15.75" customHeight="1">
      <c r="B14" s="34" t="s">
        <v>12</v>
      </c>
      <c r="C14" s="366" t="str">
        <f>[25]Brewhouse!$A76</f>
        <v>GU068</v>
      </c>
      <c r="D14" s="279">
        <f>[25]Brewhouse!$AF76</f>
        <v>53.7</v>
      </c>
      <c r="E14" s="279">
        <f>[25]Brewhouse!$AI76</f>
        <v>51.4</v>
      </c>
      <c r="F14" s="278">
        <f>[25]Brewhouse!$V76</f>
        <v>64</v>
      </c>
      <c r="G14" s="279">
        <f>[25]Brewhouse!$AG76</f>
        <v>17.3</v>
      </c>
      <c r="H14" s="396">
        <v>17.3</v>
      </c>
      <c r="I14" s="427">
        <f>[25]Brewhouse!$AU76</f>
        <v>97.240142923478217</v>
      </c>
      <c r="J14" s="427">
        <f>[25]Brewhouse!$AV76</f>
        <v>97.877048969403759</v>
      </c>
      <c r="K14" s="436">
        <f>[25]Brewhouse!$R76</f>
        <v>9.3211009174311901</v>
      </c>
      <c r="L14" s="276">
        <f>[25]Brewhouse!$O76</f>
        <v>60</v>
      </c>
      <c r="M14" s="374">
        <f>[25]Brewhouse!$U76-[25]Brewhouse!$T76</f>
        <v>0.11944444444444446</v>
      </c>
      <c r="N14" s="370">
        <f>[25]Brewhouse!$Z76</f>
        <v>0.25763888888888886</v>
      </c>
      <c r="O14" s="428" t="str">
        <f>[25]Brewhouse!$AW76</f>
        <v>D. Gomaz</v>
      </c>
      <c r="P14" s="419"/>
      <c r="R14" s="277" t="str">
        <f t="shared" si="0"/>
        <v>GUINNESS</v>
      </c>
      <c r="S14" s="296">
        <f t="shared" si="1"/>
        <v>17</v>
      </c>
      <c r="T14" s="296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296">
        <f t="shared" si="8"/>
        <v>60</v>
      </c>
    </row>
    <row r="15" spans="2:29" ht="15.75" customHeight="1">
      <c r="B15" s="34" t="s">
        <v>12</v>
      </c>
      <c r="C15" s="366" t="str">
        <f>[25]Brewhouse!$A77</f>
        <v>GU069</v>
      </c>
      <c r="D15" s="279">
        <f>[25]Brewhouse!$AF77</f>
        <v>51.6</v>
      </c>
      <c r="E15" s="279">
        <f>[25]Brewhouse!$AI77</f>
        <v>49.5</v>
      </c>
      <c r="F15" s="278">
        <f>[25]Brewhouse!$V77</f>
        <v>61</v>
      </c>
      <c r="G15" s="279">
        <f>[25]Brewhouse!$AG77</f>
        <v>17</v>
      </c>
      <c r="H15" s="396">
        <v>17.3</v>
      </c>
      <c r="I15" s="427">
        <f>[25]Brewhouse!$AU77</f>
        <v>91.800652908866041</v>
      </c>
      <c r="J15" s="427">
        <f>[25]Brewhouse!$AV77</f>
        <v>92.402036408515883</v>
      </c>
      <c r="K15" s="436">
        <f>[25]Brewhouse!$R77</f>
        <v>12.597864768683269</v>
      </c>
      <c r="L15" s="276">
        <f>[25]Brewhouse!$O77</f>
        <v>59</v>
      </c>
      <c r="M15" s="374">
        <f>[25]Brewhouse!$U77-[25]Brewhouse!$T77</f>
        <v>0.11111111111111116</v>
      </c>
      <c r="N15" s="370">
        <f>[25]Brewhouse!$Z77</f>
        <v>0.25069444444444444</v>
      </c>
      <c r="O15" s="428" t="str">
        <f>[25]Brewhouse!$AW77</f>
        <v>D. Gomaz</v>
      </c>
      <c r="P15" s="419"/>
      <c r="R15" s="277" t="str">
        <f t="shared" si="0"/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5.75" customHeight="1">
      <c r="B16" s="34" t="s">
        <v>12</v>
      </c>
      <c r="C16" s="366" t="str">
        <f>[25]Brewhouse!$A78</f>
        <v>GU070</v>
      </c>
      <c r="D16" s="279">
        <f>[25]Brewhouse!$AF78</f>
        <v>56.2</v>
      </c>
      <c r="E16" s="279">
        <f>[25]Brewhouse!$AI78</f>
        <v>53.5</v>
      </c>
      <c r="F16" s="278">
        <f>[25]Brewhouse!$V78</f>
        <v>61</v>
      </c>
      <c r="G16" s="279">
        <f>[25]Brewhouse!$AG78</f>
        <v>17.399999999999999</v>
      </c>
      <c r="H16" s="396">
        <v>17.399999999999999</v>
      </c>
      <c r="I16" s="427">
        <f>[25]Brewhouse!$AU78</f>
        <v>96.204501549542428</v>
      </c>
      <c r="J16" s="427">
        <f>[25]Brewhouse!$AV78</f>
        <v>96.842233245793224</v>
      </c>
      <c r="K16" s="436">
        <f>[25]Brewhouse!$R78</f>
        <v>10.666666666666663</v>
      </c>
      <c r="L16" s="276">
        <f>[25]Brewhouse!$O78</f>
        <v>59</v>
      </c>
      <c r="M16" s="374">
        <f>[25]Brewhouse!$U78-[25]Brewhouse!$T78</f>
        <v>0.11875000000000002</v>
      </c>
      <c r="N16" s="370">
        <f>[25]Brewhouse!$Z78</f>
        <v>0.25208333333333333</v>
      </c>
      <c r="O16" s="428" t="str">
        <f>[25]Brewhouse!$AW78</f>
        <v>K. Benjamin</v>
      </c>
      <c r="P16" s="419"/>
      <c r="R16" s="277" t="str">
        <f t="shared" si="0"/>
        <v>GUINNESS</v>
      </c>
      <c r="S16" s="296">
        <f t="shared" si="1"/>
        <v>17</v>
      </c>
      <c r="T16" s="296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296">
        <f t="shared" si="8"/>
        <v>60</v>
      </c>
    </row>
    <row r="17" spans="2:26" ht="15.75" customHeight="1">
      <c r="B17" s="34" t="s">
        <v>12</v>
      </c>
      <c r="C17" s="366" t="str">
        <f>[25]Brewhouse!$A79</f>
        <v>GU071</v>
      </c>
      <c r="D17" s="279">
        <f>[25]Brewhouse!$AF79</f>
        <v>53.7</v>
      </c>
      <c r="E17" s="279">
        <f>[25]Brewhouse!$AI79</f>
        <v>51.3</v>
      </c>
      <c r="F17" s="278">
        <f>[25]Brewhouse!$V79</f>
        <v>61</v>
      </c>
      <c r="G17" s="279">
        <f>[25]Brewhouse!$AG79</f>
        <v>17.3</v>
      </c>
      <c r="H17" s="396">
        <v>17.3</v>
      </c>
      <c r="I17" s="427">
        <f>[25]Brewhouse!$AU79</f>
        <v>97.206266997269381</v>
      </c>
      <c r="J17" s="427">
        <f>[25]Brewhouse!$AV79</f>
        <v>97.842727905358402</v>
      </c>
      <c r="K17" s="436">
        <f>[25]Brewhouse!$R79</f>
        <v>11.192982456140344</v>
      </c>
      <c r="L17" s="276">
        <f>[25]Brewhouse!$O79</f>
        <v>59</v>
      </c>
      <c r="M17" s="374">
        <f>[25]Brewhouse!$U79-[25]Brewhouse!$T79</f>
        <v>0.11041666666666661</v>
      </c>
      <c r="N17" s="370">
        <f>[25]Brewhouse!$Z79</f>
        <v>0.24374999999999991</v>
      </c>
      <c r="O17" s="428" t="str">
        <f>[25]Brewhouse!$AW79</f>
        <v>K. Benjamin</v>
      </c>
      <c r="P17" s="419"/>
      <c r="R17" s="277" t="str">
        <f t="shared" si="0"/>
        <v>GUINNESS</v>
      </c>
      <c r="S17" s="296">
        <f t="shared" si="1"/>
        <v>17</v>
      </c>
      <c r="T17" s="296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296">
        <f t="shared" si="8"/>
        <v>60</v>
      </c>
    </row>
    <row r="18" spans="2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6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4.4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88" t="str">
        <f>I46</f>
        <v>CARIB</v>
      </c>
      <c r="C46" s="362">
        <f>[23]Process!D567</f>
        <v>11.8</v>
      </c>
      <c r="D46" s="536">
        <v>11.9</v>
      </c>
      <c r="E46" s="525"/>
      <c r="F46" s="294"/>
      <c r="G46" s="294"/>
      <c r="H46" s="348"/>
      <c r="I46" s="29" t="s">
        <v>6</v>
      </c>
      <c r="J46" s="280"/>
      <c r="K46" s="284">
        <f>COUNTA([23]Brewhouse!$A$580:$A$627)</f>
        <v>48</v>
      </c>
      <c r="L46" s="305">
        <f>AVERAGE([23]Brewhouse!$AU$580:$AU$627)</f>
        <v>99.104735837320234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AVERAGE([23]Brewhouse!$AU$102:$AU$171,[23]Brewhouse!$AU$173:$AU$253,[23]Brewhouse!$AU$255:$AU$339,[23]Brewhouse!$AU$341:$AU$346,[23]Brewhouse!$AU$348,[23]Brewhouse!$AU$349:$AU$406,[23]Brewhouse!$AU$408:$AU$491,[23]Brewhouse!$AU$493:$AU$578,[23]Brewhouse!$AU$580:$AU$627)</f>
        <v>97.875167142694352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515"/>
      <c r="C47" s="349">
        <f>[23]Process!D568</f>
        <v>11.8</v>
      </c>
      <c r="D47" s="537"/>
      <c r="E47" s="520"/>
      <c r="F47" s="294"/>
      <c r="G47" s="294"/>
      <c r="H47" s="348"/>
      <c r="I47" s="33" t="s">
        <v>9</v>
      </c>
      <c r="J47" s="280"/>
      <c r="K47" s="284">
        <f>COUNTA([24]Brewhouse!$A$275:$A$310)</f>
        <v>36</v>
      </c>
      <c r="L47" s="302">
        <f>AVERAGE([24]Brewhouse!$AS$275:$AS$310)</f>
        <v>99.147314304959025</v>
      </c>
      <c r="M47" s="302">
        <f>AVERAGE([24]Brewhouse!$AS$15:$AS$64,[24]Brewhouse!$AS$66:$AS$103,[24]Brewhouse!$AS$105:$AS$140,[24]Brewhouse!$AS$142:$AS$193,[24]Brewhouse!$AS$195:$AS$240,[24]Brewhouse!$AS$242:$AS$273,[24]Brewhouse!$AS$275:$AS$310)</f>
        <v>98.034045638111152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15"/>
      <c r="C48" s="349">
        <f>[23]Process!D569</f>
        <v>11.7</v>
      </c>
      <c r="D48" s="536">
        <v>11.8</v>
      </c>
      <c r="E48" s="525"/>
      <c r="F48" s="294"/>
      <c r="G48" s="294"/>
      <c r="H48" s="348"/>
      <c r="I48" s="34" t="s">
        <v>12</v>
      </c>
      <c r="J48" s="280">
        <f>AVERAGE(I10:I17)</f>
        <v>95.660763007387885</v>
      </c>
      <c r="K48" s="284">
        <f>COUNTA([25]Brewhouse!$A$64:$A$79)</f>
        <v>16</v>
      </c>
      <c r="L48" s="302">
        <f>AVERAGE([25]Brewhouse!$AU$64:$AU$79)</f>
        <v>96.467346973315216</v>
      </c>
      <c r="M48" s="302">
        <f>AVERAGE([25]Brewhouse!$AU$4:$AU$7,[25]Brewhouse!$AU$9:$AU$22,[25]Brewhouse!$AU$24:$AU$35,[25]Brewhouse!$AU$37:$AU$45,[25]Brewhouse!$AU$47:$AU$62,[25]Brewhouse!$AU$64:$AU$79)</f>
        <v>97.0189196363294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15"/>
      <c r="C49" s="349">
        <f>[23]Process!D570</f>
        <v>11.9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15"/>
      <c r="C50" s="349">
        <f>[23]Process!D571</f>
        <v>11.9</v>
      </c>
      <c r="D50" s="536">
        <v>12.01</v>
      </c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515"/>
      <c r="C51" s="349">
        <f>[23]Process!D572</f>
        <v>11.9</v>
      </c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15"/>
      <c r="C52" s="349">
        <f>[23]Process!D573</f>
        <v>11.8</v>
      </c>
      <c r="D52" s="536">
        <v>11.9</v>
      </c>
      <c r="E52" s="525"/>
      <c r="F52" s="418"/>
      <c r="G52" s="294"/>
      <c r="H52" s="348"/>
      <c r="I52" s="37" t="s">
        <v>16</v>
      </c>
      <c r="J52" s="323"/>
      <c r="K52" s="284">
        <f>COUNTA([22]Brewhouse!$A$56:$A$65)</f>
        <v>10</v>
      </c>
      <c r="L52" s="302">
        <f>AVERAGE([22]Brewhouse!$AY$56:$AY$65)</f>
        <v>99.275500637605006</v>
      </c>
      <c r="M52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15"/>
      <c r="C53" s="349">
        <f>[23]Process!D574</f>
        <v>11.8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515"/>
      <c r="C54" s="349">
        <f>[23]Process!$D$533</f>
        <v>11.8</v>
      </c>
      <c r="D54" s="536">
        <v>12</v>
      </c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15"/>
      <c r="C55" s="349">
        <f>[23]Process!$D$550</f>
        <v>11.7</v>
      </c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515"/>
      <c r="C56" s="349">
        <f>[23]Process!D575</f>
        <v>11.7</v>
      </c>
      <c r="D56" s="536">
        <v>12.1</v>
      </c>
      <c r="E56" s="525"/>
      <c r="F56" s="294"/>
      <c r="G56" s="294"/>
      <c r="H56" s="348"/>
      <c r="I56" s="1"/>
      <c r="J56" s="39"/>
      <c r="K56" s="404">
        <f>SUM(K46:K55)</f>
        <v>118</v>
      </c>
      <c r="L56" s="405">
        <f>((L46*K46)+(L47*K47)+(L48*K48)+(L49*K49)+(L50*K50)+(K53*L53)+(L51*K51)+(L52*K52)+(L55*K55))/(K56)</f>
        <v>98.809273538488227</v>
      </c>
      <c r="M56" s="405">
        <f>AVERAGE('[31]Jan 31st'!$L$65,'[32]Feb 28th'!$L$35,'[33]Mar. 31st'!$L$35,'[34]Apr. 30th'!$L$45,'[35]May 30th'!$L$37,L56)</f>
        <v>97.831421162642883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16"/>
      <c r="C57" s="350">
        <f>[23]Process!D576</f>
        <v>11.6</v>
      </c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89"/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90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90"/>
      <c r="C60" s="349"/>
      <c r="D60" s="573"/>
      <c r="E60" s="574"/>
      <c r="F60" s="294"/>
      <c r="G60" s="42"/>
      <c r="H60" s="41"/>
      <c r="I60" s="42"/>
      <c r="J60" s="287" t="s">
        <v>6</v>
      </c>
      <c r="K60" s="324"/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90"/>
      <c r="C61" s="349"/>
      <c r="D61" s="519"/>
      <c r="E61" s="520"/>
      <c r="F61" s="294"/>
      <c r="G61" s="42"/>
      <c r="H61" s="41"/>
      <c r="I61" s="42"/>
      <c r="J61" s="345" t="s">
        <v>9</v>
      </c>
      <c r="K61" s="324"/>
      <c r="L61" s="344">
        <f>AVERAGE(K70,'July 1st'!K67,'July 2nd'!K68,'July 3rd'!K68,'July 4th'!K68,'July 7th '!K68,'July 8th '!K68,'July 9th  '!K69,'July 10th '!K69,'July 11th  '!K69,'July 14th'!K69,'July 15th'!K69,'July 16th '!K69,'July 17th '!K70)</f>
        <v>8.2857142857142865</v>
      </c>
      <c r="M61" s="325">
        <f>AVERAGE('[31]Jan 29th '!$M$70,'[32]Feb 28th'!$L$40,'[33]Mar. 31st'!$L$40,'[34]Apr. 30th'!$L$50,'[35]May 30th'!$L$42,L61)</f>
        <v>6.9153925784360561</v>
      </c>
      <c r="N61" s="417">
        <v>9.1999999999999993</v>
      </c>
      <c r="O61" s="294"/>
      <c r="P61" s="12"/>
    </row>
    <row r="62" spans="1:56" ht="15" customHeight="1">
      <c r="B62" s="590"/>
      <c r="C62" s="349"/>
      <c r="D62" s="573"/>
      <c r="E62" s="574"/>
      <c r="F62" s="294"/>
      <c r="G62" s="42"/>
      <c r="H62" s="41"/>
      <c r="I62" s="42"/>
      <c r="J62" s="288" t="s">
        <v>40</v>
      </c>
      <c r="K62" s="324">
        <v>8</v>
      </c>
      <c r="L62" s="294"/>
      <c r="M62" s="294"/>
      <c r="N62" s="294"/>
      <c r="O62" s="294"/>
      <c r="P62" s="12"/>
    </row>
    <row r="63" spans="1:56" ht="15" customHeight="1">
      <c r="B63" s="590"/>
      <c r="C63" s="349"/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90"/>
      <c r="C64" s="349"/>
      <c r="D64" s="573"/>
      <c r="E64" s="574"/>
      <c r="F64" s="294"/>
      <c r="G64" s="42"/>
      <c r="H64" s="41"/>
      <c r="I64" s="42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90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91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>
        <f>AVERAGE(D46:E67)</f>
        <v>11.951666666666666</v>
      </c>
      <c r="E68" s="578"/>
      <c r="F68" s="294"/>
      <c r="G68" s="42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8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3.25" customHeight="1">
      <c r="B75" s="387" t="str">
        <f>B82</f>
        <v>CARIB</v>
      </c>
      <c r="C75" s="422">
        <v>45859</v>
      </c>
      <c r="D75" s="377">
        <f>[36]July_2025!$X$3</f>
        <v>613.79999999999995</v>
      </c>
      <c r="E75" s="378"/>
      <c r="F75" s="379"/>
      <c r="G75" s="303">
        <f>[36]July_2025!$X$7</f>
        <v>578.9</v>
      </c>
      <c r="H75" s="320"/>
      <c r="I75" s="322"/>
      <c r="J75" s="392" t="s">
        <v>189</v>
      </c>
      <c r="K75" s="286">
        <f>[37]July_2025!$X$18</f>
        <v>0.67707602339181283</v>
      </c>
      <c r="L75" s="314">
        <f>(((D75+E75)-G75)/(D75+E75))*100</f>
        <v>5.6858911697621339</v>
      </c>
      <c r="M75" s="435" t="s">
        <v>186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>
      <c r="B76" s="431"/>
      <c r="C76" s="422"/>
      <c r="D76" s="377"/>
      <c r="E76" s="378"/>
      <c r="F76" s="379"/>
      <c r="G76" s="303"/>
      <c r="H76" s="320"/>
      <c r="I76" s="322"/>
      <c r="J76" s="281"/>
      <c r="K76" s="286"/>
      <c r="L76" s="314"/>
      <c r="M76" s="438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53.25" hidden="1" customHeight="1">
      <c r="B77" s="432" t="str">
        <f>B83</f>
        <v>STAG</v>
      </c>
      <c r="C77" s="422">
        <v>45853</v>
      </c>
      <c r="D77" s="377"/>
      <c r="E77" s="378"/>
      <c r="F77" s="379"/>
      <c r="G77" s="303"/>
      <c r="H77" s="320" t="e">
        <f>(D77-F77)/D77*100</f>
        <v>#DIV/0!</v>
      </c>
      <c r="I77" s="322" t="e">
        <f>((F77+E77)-G77)/(F77+E77)*100</f>
        <v>#DIV/0!</v>
      </c>
      <c r="J77" s="392" t="s">
        <v>164</v>
      </c>
      <c r="K77" s="286"/>
      <c r="L77" s="314" t="e">
        <f>(((D77+E77)-G77)/(D77+E77))*100</f>
        <v>#DIV/0!</v>
      </c>
      <c r="M77" s="438" t="s">
        <v>176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6.5" customHeight="1" thickBot="1">
      <c r="B78" s="439"/>
      <c r="C78" s="440"/>
      <c r="D78" s="441"/>
      <c r="E78" s="442"/>
      <c r="F78" s="443"/>
      <c r="G78" s="444"/>
      <c r="H78" s="445"/>
      <c r="I78" s="446"/>
      <c r="J78" s="447"/>
      <c r="K78" s="448"/>
      <c r="L78" s="449"/>
      <c r="M78" s="437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415"/>
      <c r="AC78" s="415"/>
      <c r="AD78" s="415"/>
      <c r="AE78" s="415"/>
      <c r="AF78" s="415"/>
      <c r="AG78" s="415"/>
      <c r="AH78" s="415"/>
      <c r="AI78" s="415"/>
      <c r="AJ78" s="415"/>
      <c r="AK78" s="415"/>
      <c r="AL78" s="415"/>
      <c r="AM78" s="415"/>
      <c r="AN78" s="415"/>
      <c r="AO78" s="415"/>
      <c r="AP78" s="415"/>
      <c r="AQ78" s="415"/>
      <c r="AR78" s="415"/>
      <c r="AS78" s="415"/>
      <c r="AT78" s="415"/>
      <c r="AU78" s="415"/>
      <c r="AV78" s="415"/>
      <c r="AW78" s="415"/>
    </row>
    <row r="79" spans="2:57" ht="18" customHeight="1" thickBot="1">
      <c r="B79" s="59"/>
      <c r="C79" s="30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 t="s">
        <v>41</v>
      </c>
      <c r="O79" s="56"/>
      <c r="P79" s="60"/>
    </row>
    <row r="80" spans="2:57" ht="14.4" thickBot="1">
      <c r="B80" s="492" t="s">
        <v>55</v>
      </c>
      <c r="C80" s="493"/>
      <c r="D80" s="493"/>
      <c r="E80" s="493"/>
      <c r="F80" s="494"/>
      <c r="G80" s="492" t="s">
        <v>56</v>
      </c>
      <c r="H80" s="493"/>
      <c r="I80" s="493"/>
      <c r="J80" s="494"/>
      <c r="K80" s="492" t="s">
        <v>51</v>
      </c>
      <c r="L80" s="493"/>
      <c r="M80" s="493"/>
      <c r="N80" s="495"/>
      <c r="O80" s="56"/>
      <c r="P80" s="50"/>
    </row>
    <row r="81" spans="2:16">
      <c r="B81" s="61" t="s">
        <v>17</v>
      </c>
      <c r="C81" s="62" t="s">
        <v>36</v>
      </c>
      <c r="D81" s="62" t="s">
        <v>37</v>
      </c>
      <c r="E81" s="62" t="s">
        <v>38</v>
      </c>
      <c r="F81" s="63" t="s">
        <v>39</v>
      </c>
      <c r="G81" s="62" t="s">
        <v>36</v>
      </c>
      <c r="H81" s="62" t="s">
        <v>37</v>
      </c>
      <c r="I81" s="62" t="s">
        <v>38</v>
      </c>
      <c r="J81" s="63" t="s">
        <v>39</v>
      </c>
      <c r="K81" s="62" t="s">
        <v>36</v>
      </c>
      <c r="L81" s="62" t="s">
        <v>37</v>
      </c>
      <c r="M81" s="62" t="s">
        <v>38</v>
      </c>
      <c r="N81" s="63" t="s">
        <v>39</v>
      </c>
      <c r="O81" s="56"/>
      <c r="P81" s="64"/>
    </row>
    <row r="82" spans="2:16">
      <c r="B82" s="29" t="s">
        <v>6</v>
      </c>
      <c r="C82" s="65">
        <f>L75</f>
        <v>5.6858911697621339</v>
      </c>
      <c r="D82" s="76">
        <v>5.2684433347434041</v>
      </c>
      <c r="E82" s="76">
        <v>6.413171505328136</v>
      </c>
      <c r="F82" s="66">
        <v>4.8</v>
      </c>
      <c r="G82" s="65">
        <f>[36]July_2025!$X$11</f>
        <v>4.3079252939956705</v>
      </c>
      <c r="H82" s="76">
        <v>4.2746261893476367</v>
      </c>
      <c r="I82" s="76">
        <v>6.274159315747835</v>
      </c>
      <c r="J82" s="66">
        <v>4.8</v>
      </c>
      <c r="K82" s="67">
        <f>K75</f>
        <v>0.67707602339181283</v>
      </c>
      <c r="L82" s="194">
        <v>1.070832167873434</v>
      </c>
      <c r="M82" s="194">
        <v>0.75308743776253206</v>
      </c>
      <c r="N82" s="68">
        <v>1</v>
      </c>
      <c r="O82" s="56"/>
      <c r="P82" s="69"/>
    </row>
    <row r="83" spans="2:16">
      <c r="B83" s="33" t="s">
        <v>9</v>
      </c>
      <c r="C83" s="65"/>
      <c r="D83" s="76">
        <v>5.7227748352925918</v>
      </c>
      <c r="E83" s="76">
        <v>6.0887030852231598</v>
      </c>
      <c r="F83" s="66">
        <v>4.8</v>
      </c>
      <c r="G83" s="65"/>
      <c r="H83" s="76">
        <v>5.0603857242884045</v>
      </c>
      <c r="I83" s="76">
        <v>5.7601419753057765</v>
      </c>
      <c r="J83" s="66">
        <v>4.8</v>
      </c>
      <c r="K83" s="67"/>
      <c r="L83" s="194">
        <v>0.50066010821446139</v>
      </c>
      <c r="M83" s="194">
        <v>0.73836015755280138</v>
      </c>
      <c r="N83" s="68">
        <v>1</v>
      </c>
      <c r="P83" s="69"/>
    </row>
    <row r="84" spans="2:16">
      <c r="B84" s="34" t="s">
        <v>40</v>
      </c>
      <c r="C84" s="65"/>
      <c r="D84" s="76">
        <v>11.466477138118925</v>
      </c>
      <c r="E84" s="76">
        <v>11.904314441431504</v>
      </c>
      <c r="F84" s="66">
        <v>5.5</v>
      </c>
      <c r="G84" s="65"/>
      <c r="H84" s="76">
        <v>15.89175434604109</v>
      </c>
      <c r="I84" s="76">
        <v>13.439540856999288</v>
      </c>
      <c r="J84" s="66">
        <v>5.5</v>
      </c>
      <c r="K84" s="67"/>
      <c r="L84" s="194">
        <v>1.3112280701754386</v>
      </c>
      <c r="M84" s="194">
        <v>0.54260860979462877</v>
      </c>
      <c r="N84" s="68">
        <v>1</v>
      </c>
      <c r="P84" s="69"/>
    </row>
    <row r="85" spans="2:16">
      <c r="B85" s="22" t="s">
        <v>33</v>
      </c>
      <c r="C85" s="65"/>
      <c r="D85" s="76">
        <v>3.4761321909424563</v>
      </c>
      <c r="E85" s="76">
        <v>5.119233255999676</v>
      </c>
      <c r="F85" s="66">
        <v>3.3</v>
      </c>
      <c r="G85" s="65"/>
      <c r="H85" s="76">
        <v>2.7479545757807706</v>
      </c>
      <c r="I85" s="76">
        <v>4.8747400258857825</v>
      </c>
      <c r="J85" s="66">
        <v>3.3</v>
      </c>
      <c r="K85" s="67"/>
      <c r="L85" s="194">
        <v>1.3835087719298247</v>
      </c>
      <c r="M85" s="194">
        <v>0.77839364035087721</v>
      </c>
      <c r="N85" s="68">
        <v>1</v>
      </c>
      <c r="P85" s="69"/>
    </row>
    <row r="86" spans="2:16">
      <c r="B86" s="35" t="s">
        <v>29</v>
      </c>
      <c r="C86" s="65"/>
      <c r="D86" s="76"/>
      <c r="E86" s="76"/>
      <c r="F86" s="66">
        <v>3.3</v>
      </c>
      <c r="G86" s="282"/>
      <c r="H86" s="76"/>
      <c r="I86" s="76"/>
      <c r="J86" s="66">
        <v>3</v>
      </c>
      <c r="L86" s="194"/>
      <c r="M86" s="194"/>
      <c r="N86" s="68">
        <v>1</v>
      </c>
      <c r="P86" s="69"/>
    </row>
    <row r="87" spans="2:16">
      <c r="B87" s="36" t="s">
        <v>15</v>
      </c>
      <c r="C87" s="282"/>
      <c r="D87" s="76"/>
      <c r="E87" s="76">
        <v>7.3129862357869699</v>
      </c>
      <c r="F87" s="70">
        <f>[21]May_2022!$M$43</f>
        <v>3.4878406700073312</v>
      </c>
      <c r="G87" s="282"/>
      <c r="H87" s="76"/>
      <c r="I87" s="76">
        <v>8.9862703283331644</v>
      </c>
      <c r="J87" s="66">
        <v>5.5</v>
      </c>
      <c r="K87" s="67"/>
      <c r="L87" s="194"/>
      <c r="M87" s="194">
        <v>0.59276315789473688</v>
      </c>
      <c r="N87" s="68">
        <v>1</v>
      </c>
      <c r="P87" s="69"/>
    </row>
    <row r="88" spans="2:16">
      <c r="B88" s="37" t="s">
        <v>16</v>
      </c>
      <c r="C88" s="65"/>
      <c r="D88" s="76">
        <v>2.3359073359073403</v>
      </c>
      <c r="E88" s="76">
        <v>2.980561555075584</v>
      </c>
      <c r="F88" s="66">
        <v>3.3</v>
      </c>
      <c r="G88" s="282"/>
      <c r="H88" s="76">
        <v>3.7114579368100644</v>
      </c>
      <c r="I88" s="76">
        <v>4.4931174512296872</v>
      </c>
      <c r="J88" s="66">
        <v>3.3</v>
      </c>
      <c r="K88" s="67"/>
      <c r="L88" s="194">
        <v>1.7750877192982455</v>
      </c>
      <c r="M88" s="194">
        <v>0.83077455048409399</v>
      </c>
      <c r="N88" s="71">
        <v>1</v>
      </c>
      <c r="P88" s="69"/>
    </row>
    <row r="89" spans="2:16" ht="14.4" thickBot="1">
      <c r="B89" s="38" t="s">
        <v>127</v>
      </c>
      <c r="C89" s="65"/>
      <c r="D89" s="76"/>
      <c r="E89" s="76"/>
      <c r="F89" s="66">
        <v>7.5</v>
      </c>
      <c r="G89" s="282"/>
      <c r="H89" s="76"/>
      <c r="I89" s="76"/>
      <c r="J89" s="66">
        <v>7.5</v>
      </c>
      <c r="K89" s="67"/>
      <c r="L89" s="194"/>
      <c r="M89" s="194"/>
      <c r="N89" s="71">
        <v>1</v>
      </c>
      <c r="P89" s="69"/>
    </row>
    <row r="90" spans="2:16" ht="14.4" thickBot="1">
      <c r="B90" s="414" t="s">
        <v>161</v>
      </c>
      <c r="C90" s="65"/>
      <c r="D90" s="76">
        <v>9.4974642692485105</v>
      </c>
      <c r="E90" s="76">
        <v>7.2653644592663174</v>
      </c>
      <c r="F90" s="66">
        <v>4.8</v>
      </c>
      <c r="G90" s="282"/>
      <c r="H90" s="76">
        <v>10.183089539936029</v>
      </c>
      <c r="I90" s="76">
        <v>8.1715311054411259</v>
      </c>
      <c r="J90" s="66">
        <v>4.8</v>
      </c>
      <c r="K90" s="67"/>
      <c r="L90" s="194">
        <v>0.68877192982456148</v>
      </c>
      <c r="M90" s="194">
        <v>0.51368421052631585</v>
      </c>
      <c r="N90" s="71">
        <v>1</v>
      </c>
      <c r="O90" s="74"/>
      <c r="P90" s="75"/>
    </row>
    <row r="91" spans="2:16">
      <c r="D91" s="76">
        <v>5.5798326374185523</v>
      </c>
      <c r="E91" s="76">
        <v>6.50033055265376</v>
      </c>
      <c r="F91" s="341">
        <v>5.5</v>
      </c>
      <c r="H91" s="76">
        <v>5.6992436636752686</v>
      </c>
      <c r="I91" s="76">
        <v>6.7420998738693436</v>
      </c>
      <c r="J91" s="341">
        <v>5.5</v>
      </c>
      <c r="L91" s="194">
        <v>0.99056808688387643</v>
      </c>
      <c r="M91" s="194">
        <v>0.72595337373737379</v>
      </c>
      <c r="N91" s="386">
        <v>1</v>
      </c>
    </row>
    <row r="95" spans="2:16">
      <c r="F95" s="315"/>
    </row>
    <row r="96" spans="2:16">
      <c r="F96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B58:B67"/>
    <mergeCell ref="D58:E59"/>
    <mergeCell ref="J58:K58"/>
    <mergeCell ref="L59:N59"/>
    <mergeCell ref="D60:E61"/>
    <mergeCell ref="D62:E63"/>
    <mergeCell ref="D64:E65"/>
    <mergeCell ref="D66:E67"/>
    <mergeCell ref="D68:E68"/>
    <mergeCell ref="B73:B74"/>
    <mergeCell ref="C73:C74"/>
    <mergeCell ref="D73:D74"/>
    <mergeCell ref="E73:E74"/>
    <mergeCell ref="M73:M74"/>
    <mergeCell ref="B80:F80"/>
    <mergeCell ref="G80:J80"/>
    <mergeCell ref="K80:N80"/>
    <mergeCell ref="G73:G74"/>
    <mergeCell ref="H73:H74"/>
    <mergeCell ref="I73:I74"/>
    <mergeCell ref="J73:J74"/>
    <mergeCell ref="K73:K74"/>
    <mergeCell ref="L73:L74"/>
    <mergeCell ref="F73:F74"/>
  </mergeCells>
  <conditionalFormatting sqref="B68:B69">
    <cfRule type="cellIs" dxfId="1052" priority="126" operator="notBetween">
      <formula>#REF!</formula>
      <formula>#REF!</formula>
    </cfRule>
  </conditionalFormatting>
  <conditionalFormatting sqref="C72">
    <cfRule type="cellIs" dxfId="1051" priority="157" stopIfTrue="1" operator="lessThan">
      <formula>96</formula>
    </cfRule>
    <cfRule type="cellIs" dxfId="1050" priority="158" stopIfTrue="1" operator="greaterThan">
      <formula>100</formula>
    </cfRule>
  </conditionalFormatting>
  <conditionalFormatting sqref="C82:C83">
    <cfRule type="cellIs" dxfId="1049" priority="104" stopIfTrue="1" operator="lessThanOrEqual">
      <formula>0</formula>
    </cfRule>
  </conditionalFormatting>
  <conditionalFormatting sqref="C82:C86">
    <cfRule type="cellIs" dxfId="1048" priority="103" stopIfTrue="1" operator="greaterThan">
      <formula>$F82</formula>
    </cfRule>
  </conditionalFormatting>
  <conditionalFormatting sqref="C83">
    <cfRule type="cellIs" dxfId="1047" priority="161" stopIfTrue="1" operator="greaterThan">
      <formula>$F82</formula>
    </cfRule>
  </conditionalFormatting>
  <conditionalFormatting sqref="C84:C87">
    <cfRule type="cellIs" dxfId="1046" priority="110" stopIfTrue="1" operator="lessThanOrEqual">
      <formula>0</formula>
    </cfRule>
  </conditionalFormatting>
  <conditionalFormatting sqref="C87">
    <cfRule type="cellIs" dxfId="1045" priority="109" stopIfTrue="1" operator="greaterThan">
      <formula>$J87</formula>
    </cfRule>
  </conditionalFormatting>
  <conditionalFormatting sqref="C93:C97">
    <cfRule type="cellIs" dxfId="1044" priority="149" stopIfTrue="1" operator="lessThanOrEqual">
      <formula>0</formula>
    </cfRule>
  </conditionalFormatting>
  <conditionalFormatting sqref="C94:C97">
    <cfRule type="cellIs" dxfId="1043" priority="148" stopIfTrue="1" operator="greaterThan">
      <formula>$F$93</formula>
    </cfRule>
  </conditionalFormatting>
  <conditionalFormatting sqref="C99">
    <cfRule type="cellIs" dxfId="1042" priority="151" stopIfTrue="1" operator="lessThanOrEqual">
      <formula>0</formula>
    </cfRule>
    <cfRule type="cellIs" dxfId="1041" priority="150" stopIfTrue="1" operator="greaterThan">
      <formula>$F$93</formula>
    </cfRule>
  </conditionalFormatting>
  <conditionalFormatting sqref="C93:D93 D95:D101">
    <cfRule type="cellIs" dxfId="1040" priority="143" stopIfTrue="1" operator="greaterThan">
      <formula>4.5</formula>
    </cfRule>
  </conditionalFormatting>
  <conditionalFormatting sqref="D68:D69">
    <cfRule type="cellIs" dxfId="1039" priority="127" operator="notBetween">
      <formula>#REF!</formula>
      <formula>#REF!</formula>
    </cfRule>
  </conditionalFormatting>
  <conditionalFormatting sqref="D82:D89">
    <cfRule type="cellIs" dxfId="1038" priority="120" stopIfTrue="1" operator="lessThanOrEqual">
      <formula>0</formula>
    </cfRule>
  </conditionalFormatting>
  <conditionalFormatting sqref="D90">
    <cfRule type="cellIs" dxfId="1037" priority="119" stopIfTrue="1" operator="lessThanOrEqual">
      <formula>0</formula>
    </cfRule>
  </conditionalFormatting>
  <conditionalFormatting sqref="D93 D95:D101">
    <cfRule type="cellIs" dxfId="1036" priority="144" stopIfTrue="1" operator="lessThanOrEqual">
      <formula>0</formula>
    </cfRule>
  </conditionalFormatting>
  <conditionalFormatting sqref="D94">
    <cfRule type="cellIs" dxfId="1035" priority="136" stopIfTrue="1" operator="lessThanOrEqual">
      <formula>0</formula>
    </cfRule>
    <cfRule type="cellIs" dxfId="1034" priority="135" stopIfTrue="1" operator="greaterThan">
      <formula>$F$93</formula>
    </cfRule>
  </conditionalFormatting>
  <conditionalFormatting sqref="D82:E91">
    <cfRule type="cellIs" dxfId="1033" priority="100" stopIfTrue="1" operator="greaterThan">
      <formula>$F82</formula>
    </cfRule>
  </conditionalFormatting>
  <conditionalFormatting sqref="D91:E91">
    <cfRule type="cellIs" dxfId="1032" priority="101" stopIfTrue="1" operator="lessThanOrEqual">
      <formula>0</formula>
    </cfRule>
  </conditionalFormatting>
  <conditionalFormatting sqref="E10:E43">
    <cfRule type="cellIs" dxfId="1031" priority="2" operator="lessThan">
      <formula>48</formula>
    </cfRule>
  </conditionalFormatting>
  <conditionalFormatting sqref="E71 E72:F72">
    <cfRule type="cellIs" dxfId="1030" priority="140" stopIfTrue="1" operator="greaterThan">
      <formula>100</formula>
    </cfRule>
  </conditionalFormatting>
  <conditionalFormatting sqref="E72">
    <cfRule type="cellIs" dxfId="1029" priority="138" stopIfTrue="1" operator="greaterThan">
      <formula>100</formula>
    </cfRule>
    <cfRule type="cellIs" dxfId="1028" priority="137" stopIfTrue="1" operator="lessThan">
      <formula>96.8</formula>
    </cfRule>
  </conditionalFormatting>
  <conditionalFormatting sqref="E82:E90">
    <cfRule type="cellIs" dxfId="1027" priority="114" stopIfTrue="1" operator="lessThanOrEqual">
      <formula>0</formula>
    </cfRule>
  </conditionalFormatting>
  <conditionalFormatting sqref="E93:E101">
    <cfRule type="cellIs" dxfId="1026" priority="130" stopIfTrue="1" operator="lessThanOrEqual">
      <formula>0</formula>
    </cfRule>
    <cfRule type="cellIs" dxfId="1025" priority="129" stopIfTrue="1" operator="greaterThan">
      <formula>4.5</formula>
    </cfRule>
  </conditionalFormatting>
  <conditionalFormatting sqref="E72:F72 E71">
    <cfRule type="cellIs" dxfId="1024" priority="139" stopIfTrue="1" operator="lessThan">
      <formula>96.5</formula>
    </cfRule>
  </conditionalFormatting>
  <conditionalFormatting sqref="F10:F43">
    <cfRule type="cellIs" dxfId="1023" priority="3" operator="greaterThan">
      <formula>60</formula>
    </cfRule>
  </conditionalFormatting>
  <conditionalFormatting sqref="F72">
    <cfRule type="cellIs" dxfId="1022" priority="156" stopIfTrue="1" operator="greaterThan">
      <formula>100</formula>
    </cfRule>
    <cfRule type="cellIs" dxfId="1021" priority="155" stopIfTrue="1" operator="lessThan">
      <formula>96.8</formula>
    </cfRule>
  </conditionalFormatting>
  <conditionalFormatting sqref="F91">
    <cfRule type="cellIs" dxfId="1020" priority="116" stopIfTrue="1" operator="lessThanOrEqual">
      <formula>0</formula>
    </cfRule>
    <cfRule type="cellIs" dxfId="1019" priority="115" stopIfTrue="1" operator="greaterThan">
      <formula>$F91</formula>
    </cfRule>
  </conditionalFormatting>
  <conditionalFormatting sqref="F96">
    <cfRule type="cellIs" dxfId="1018" priority="70" stopIfTrue="1" operator="lessThanOrEqual">
      <formula>0</formula>
    </cfRule>
    <cfRule type="cellIs" dxfId="1017" priority="69" stopIfTrue="1" operator="greaterThan">
      <formula>$F96</formula>
    </cfRule>
  </conditionalFormatting>
  <conditionalFormatting sqref="G10:G17">
    <cfRule type="expression" dxfId="1016" priority="11">
      <formula>IF(+(IF(G10&lt;S10,0,IF(G10&gt;T10,0,1)))=0,1)</formula>
    </cfRule>
  </conditionalFormatting>
  <conditionalFormatting sqref="G82:G83 C88:C90">
    <cfRule type="cellIs" dxfId="1015" priority="122" stopIfTrue="1" operator="lessThanOrEqual">
      <formula>0</formula>
    </cfRule>
    <cfRule type="cellIs" dxfId="1014" priority="121" stopIfTrue="1" operator="greaterThan">
      <formula>$F82</formula>
    </cfRule>
  </conditionalFormatting>
  <conditionalFormatting sqref="G82:G83">
    <cfRule type="cellIs" dxfId="1013" priority="106" stopIfTrue="1" operator="lessThanOrEqual">
      <formula>0</formula>
    </cfRule>
    <cfRule type="cellIs" dxfId="1012" priority="105" stopIfTrue="1" operator="greaterThan">
      <formula>$F82</formula>
    </cfRule>
  </conditionalFormatting>
  <conditionalFormatting sqref="G84">
    <cfRule type="cellIs" dxfId="1011" priority="160" stopIfTrue="1" operator="lessThanOrEqual">
      <formula>0</formula>
    </cfRule>
    <cfRule type="cellIs" dxfId="1010" priority="159" stopIfTrue="1" operator="greaterThan">
      <formula>$F83</formula>
    </cfRule>
  </conditionalFormatting>
  <conditionalFormatting sqref="G85">
    <cfRule type="cellIs" dxfId="1009" priority="117" stopIfTrue="1" operator="greaterThan">
      <formula>$F85</formula>
    </cfRule>
    <cfRule type="cellIs" dxfId="1008" priority="118" stopIfTrue="1" operator="lessThanOrEqual">
      <formula>0</formula>
    </cfRule>
  </conditionalFormatting>
  <conditionalFormatting sqref="G86:G90">
    <cfRule type="cellIs" dxfId="1007" priority="124" stopIfTrue="1" operator="lessThanOrEqual">
      <formula>0</formula>
    </cfRule>
    <cfRule type="cellIs" dxfId="1006" priority="123" stopIfTrue="1" operator="greaterThan">
      <formula>$J86</formula>
    </cfRule>
  </conditionalFormatting>
  <conditionalFormatting sqref="G95:G100 C98 C100">
    <cfRule type="cellIs" dxfId="1005" priority="152" stopIfTrue="1" operator="greaterThan">
      <formula>4.5</formula>
    </cfRule>
    <cfRule type="cellIs" dxfId="1004" priority="153" stopIfTrue="1" operator="lessThanOrEqual">
      <formula>0</formula>
    </cfRule>
  </conditionalFormatting>
  <conditionalFormatting sqref="G94:H94">
    <cfRule type="cellIs" dxfId="1003" priority="133" stopIfTrue="1" operator="greaterThan">
      <formula>$F$93</formula>
    </cfRule>
    <cfRule type="cellIs" dxfId="1002" priority="134" stopIfTrue="1" operator="lessThanOrEqual">
      <formula>0</formula>
    </cfRule>
  </conditionalFormatting>
  <conditionalFormatting sqref="H10:H17 G18:H43">
    <cfRule type="expression" dxfId="1001" priority="20">
      <formula>IF(+(IF(G10&lt;#REF!,0,IF(G10&gt;#REF!,0,1)))=0,1)</formula>
    </cfRule>
  </conditionalFormatting>
  <conditionalFormatting sqref="H57:H71">
    <cfRule type="cellIs" dxfId="1000" priority="131" stopIfTrue="1" operator="greaterThan">
      <formula>0</formula>
    </cfRule>
  </conditionalFormatting>
  <conditionalFormatting sqref="H75">
    <cfRule type="cellIs" dxfId="999" priority="37" stopIfTrue="1" operator="lessThanOrEqual">
      <formula>0</formula>
    </cfRule>
    <cfRule type="cellIs" dxfId="998" priority="25" stopIfTrue="1" operator="lessThanOrEqual">
      <formula>0</formula>
    </cfRule>
    <cfRule type="cellIs" dxfId="997" priority="26" stopIfTrue="1" operator="greaterThan">
      <formula>$F$39</formula>
    </cfRule>
    <cfRule type="cellIs" dxfId="996" priority="34" stopIfTrue="1" operator="greaterThan">
      <formula>$F$42</formula>
    </cfRule>
    <cfRule type="cellIs" dxfId="995" priority="35" stopIfTrue="1" operator="lessThanOrEqual">
      <formula>0</formula>
    </cfRule>
    <cfRule type="cellIs" dxfId="994" priority="36" stopIfTrue="1" operator="greaterThan">
      <formula>$F$40</formula>
    </cfRule>
  </conditionalFormatting>
  <conditionalFormatting sqref="H76">
    <cfRule type="cellIs" dxfId="993" priority="65" stopIfTrue="1" operator="greaterThan">
      <formula>$F$44</formula>
    </cfRule>
    <cfRule type="cellIs" dxfId="992" priority="56" stopIfTrue="1" operator="lessThanOrEqual">
      <formula>0</formula>
    </cfRule>
    <cfRule type="cellIs" dxfId="991" priority="67" stopIfTrue="1" operator="greaterThan">
      <formula>$F$42</formula>
    </cfRule>
    <cfRule type="cellIs" dxfId="990" priority="57" stopIfTrue="1" operator="greaterThan">
      <formula>$F$41</formula>
    </cfRule>
    <cfRule type="cellIs" dxfId="989" priority="68" stopIfTrue="1" operator="lessThanOrEqual">
      <formula>0</formula>
    </cfRule>
    <cfRule type="cellIs" dxfId="988" priority="66" stopIfTrue="1" operator="lessThanOrEqual">
      <formula>0</formula>
    </cfRule>
  </conditionalFormatting>
  <conditionalFormatting sqref="H77">
    <cfRule type="cellIs" dxfId="987" priority="43" stopIfTrue="1" operator="greaterThan">
      <formula>$F$40</formula>
    </cfRule>
    <cfRule type="cellIs" dxfId="986" priority="51" stopIfTrue="1" operator="greaterThan">
      <formula>$F$43</formula>
    </cfRule>
    <cfRule type="cellIs" dxfId="985" priority="52" stopIfTrue="1" operator="lessThanOrEqual">
      <formula>0</formula>
    </cfRule>
    <cfRule type="cellIs" dxfId="984" priority="53" stopIfTrue="1" operator="greaterThan">
      <formula>$F$41</formula>
    </cfRule>
    <cfRule type="cellIs" dxfId="983" priority="54" stopIfTrue="1" operator="lessThanOrEqual">
      <formula>0</formula>
    </cfRule>
    <cfRule type="cellIs" dxfId="982" priority="42" stopIfTrue="1" operator="lessThanOrEqual">
      <formula>0</formula>
    </cfRule>
  </conditionalFormatting>
  <conditionalFormatting sqref="H78">
    <cfRule type="cellIs" dxfId="981" priority="75" stopIfTrue="1" operator="greaterThan">
      <formula>$F$56</formula>
    </cfRule>
    <cfRule type="cellIs" dxfId="980" priority="83" stopIfTrue="1" operator="greaterThan">
      <formula>$F$59</formula>
    </cfRule>
    <cfRule type="cellIs" dxfId="979" priority="74" stopIfTrue="1" operator="lessThanOrEqual">
      <formula>0</formula>
    </cfRule>
    <cfRule type="cellIs" dxfId="978" priority="86" stopIfTrue="1" operator="lessThanOrEqual">
      <formula>0</formula>
    </cfRule>
    <cfRule type="cellIs" dxfId="977" priority="85" stopIfTrue="1" operator="greaterThan">
      <formula>$F$57</formula>
    </cfRule>
    <cfRule type="cellIs" dxfId="976" priority="84" stopIfTrue="1" operator="lessThanOrEqual">
      <formula>0</formula>
    </cfRule>
  </conditionalFormatting>
  <conditionalFormatting sqref="H82:H89">
    <cfRule type="cellIs" dxfId="975" priority="108" stopIfTrue="1" operator="lessThanOrEqual">
      <formula>0</formula>
    </cfRule>
    <cfRule type="cellIs" dxfId="974" priority="107" stopIfTrue="1" operator="greaterThan">
      <formula>$J82</formula>
    </cfRule>
  </conditionalFormatting>
  <conditionalFormatting sqref="H90">
    <cfRule type="cellIs" dxfId="973" priority="111" operator="greaterThan">
      <formula>5.3</formula>
    </cfRule>
  </conditionalFormatting>
  <conditionalFormatting sqref="H93 H95:H101">
    <cfRule type="cellIs" dxfId="972" priority="146" stopIfTrue="1" operator="lessThanOrEqual">
      <formula>0</formula>
    </cfRule>
    <cfRule type="cellIs" dxfId="971" priority="145" stopIfTrue="1" operator="greaterThan">
      <formula>4.5</formula>
    </cfRule>
  </conditionalFormatting>
  <conditionalFormatting sqref="H75:I75">
    <cfRule type="cellIs" dxfId="970" priority="27" stopIfTrue="1" operator="lessThanOrEqual">
      <formula>0</formula>
    </cfRule>
    <cfRule type="cellIs" dxfId="969" priority="24" stopIfTrue="1" operator="greaterThan">
      <formula>$F$41</formula>
    </cfRule>
  </conditionalFormatting>
  <conditionalFormatting sqref="H76:I76">
    <cfRule type="cellIs" dxfId="968" priority="58" stopIfTrue="1" operator="lessThanOrEqual">
      <formula>0</formula>
    </cfRule>
    <cfRule type="cellIs" dxfId="967" priority="55" stopIfTrue="1" operator="greaterThan">
      <formula>$F$43</formula>
    </cfRule>
  </conditionalFormatting>
  <conditionalFormatting sqref="H77:I77">
    <cfRule type="cellIs" dxfId="966" priority="44" stopIfTrue="1" operator="lessThanOrEqual">
      <formula>0</formula>
    </cfRule>
    <cfRule type="cellIs" dxfId="965" priority="41" stopIfTrue="1" operator="greaterThan">
      <formula>$F$42</formula>
    </cfRule>
  </conditionalFormatting>
  <conditionalFormatting sqref="H78:I78">
    <cfRule type="cellIs" dxfId="964" priority="73" stopIfTrue="1" operator="greaterThan">
      <formula>$F$58</formula>
    </cfRule>
    <cfRule type="cellIs" dxfId="963" priority="76" stopIfTrue="1" operator="lessThanOrEqual">
      <formula>0</formula>
    </cfRule>
  </conditionalFormatting>
  <conditionalFormatting sqref="H91:I91">
    <cfRule type="cellIs" dxfId="962" priority="98" stopIfTrue="1" operator="greaterThan">
      <formula>$J91</formula>
    </cfRule>
    <cfRule type="cellIs" dxfId="961" priority="99" stopIfTrue="1" operator="lessThanOrEqual">
      <formula>0</formula>
    </cfRule>
  </conditionalFormatting>
  <conditionalFormatting sqref="I75">
    <cfRule type="cellIs" dxfId="960" priority="32" stopIfTrue="1" operator="greaterThan">
      <formula>$F$39</formula>
    </cfRule>
    <cfRule type="cellIs" dxfId="959" priority="33" stopIfTrue="1" operator="lessThanOrEqual">
      <formula>0</formula>
    </cfRule>
    <cfRule type="cellIs" dxfId="958" priority="28" stopIfTrue="1" operator="greaterThan">
      <formula>$F$39</formula>
    </cfRule>
    <cfRule type="cellIs" dxfId="957" priority="30" stopIfTrue="1" operator="greaterThan">
      <formula>$F$41</formula>
    </cfRule>
    <cfRule type="cellIs" dxfId="956" priority="29" stopIfTrue="1" operator="lessThanOrEqual">
      <formula>0</formula>
    </cfRule>
    <cfRule type="cellIs" dxfId="955" priority="31" stopIfTrue="1" operator="lessThanOrEqual">
      <formula>0</formula>
    </cfRule>
  </conditionalFormatting>
  <conditionalFormatting sqref="I76">
    <cfRule type="cellIs" dxfId="954" priority="62" stopIfTrue="1" operator="lessThanOrEqual">
      <formula>0</formula>
    </cfRule>
    <cfRule type="cellIs" dxfId="953" priority="63" stopIfTrue="1" operator="greaterThan">
      <formula>$F$41</formula>
    </cfRule>
    <cfRule type="cellIs" dxfId="952" priority="64" stopIfTrue="1" operator="lessThanOrEqual">
      <formula>0</formula>
    </cfRule>
    <cfRule type="cellIs" dxfId="951" priority="59" stopIfTrue="1" operator="greaterThan">
      <formula>$F$41</formula>
    </cfRule>
    <cfRule type="cellIs" dxfId="950" priority="60" stopIfTrue="1" operator="lessThanOrEqual">
      <formula>0</formula>
    </cfRule>
    <cfRule type="cellIs" dxfId="949" priority="61" stopIfTrue="1" operator="greaterThan">
      <formula>$F$43</formula>
    </cfRule>
  </conditionalFormatting>
  <conditionalFormatting sqref="I77">
    <cfRule type="cellIs" dxfId="948" priority="48" stopIfTrue="1" operator="lessThanOrEqual">
      <formula>0</formula>
    </cfRule>
    <cfRule type="cellIs" dxfId="947" priority="50" stopIfTrue="1" operator="lessThanOrEqual">
      <formula>0</formula>
    </cfRule>
    <cfRule type="cellIs" dxfId="946" priority="49" stopIfTrue="1" operator="greaterThan">
      <formula>$F$40</formula>
    </cfRule>
    <cfRule type="cellIs" dxfId="945" priority="45" stopIfTrue="1" operator="greaterThan">
      <formula>$F$40</formula>
    </cfRule>
    <cfRule type="cellIs" dxfId="944" priority="46" stopIfTrue="1" operator="lessThanOrEqual">
      <formula>0</formula>
    </cfRule>
    <cfRule type="cellIs" dxfId="943" priority="47" stopIfTrue="1" operator="greaterThan">
      <formula>$F$42</formula>
    </cfRule>
  </conditionalFormatting>
  <conditionalFormatting sqref="I78">
    <cfRule type="cellIs" dxfId="942" priority="78" stopIfTrue="1" operator="lessThanOrEqual">
      <formula>0</formula>
    </cfRule>
    <cfRule type="cellIs" dxfId="941" priority="81" stopIfTrue="1" operator="greaterThan">
      <formula>$F$56</formula>
    </cfRule>
    <cfRule type="cellIs" dxfId="940" priority="80" stopIfTrue="1" operator="lessThanOrEqual">
      <formula>0</formula>
    </cfRule>
    <cfRule type="cellIs" dxfId="939" priority="79" stopIfTrue="1" operator="greaterThan">
      <formula>$F$58</formula>
    </cfRule>
    <cfRule type="cellIs" dxfId="938" priority="82" stopIfTrue="1" operator="lessThanOrEqual">
      <formula>0</formula>
    </cfRule>
    <cfRule type="cellIs" dxfId="937" priority="77" stopIfTrue="1" operator="greaterThan">
      <formula>$F$56</formula>
    </cfRule>
  </conditionalFormatting>
  <conditionalFormatting sqref="I82:I90">
    <cfRule type="cellIs" dxfId="936" priority="113" stopIfTrue="1" operator="lessThanOrEqual">
      <formula>0</formula>
    </cfRule>
    <cfRule type="cellIs" dxfId="935" priority="112" stopIfTrue="1" operator="greaterThan">
      <formula>$J82</formula>
    </cfRule>
  </conditionalFormatting>
  <conditionalFormatting sqref="I93:I101">
    <cfRule type="cellIs" dxfId="934" priority="141" stopIfTrue="1" operator="greaterThan">
      <formula>4.5</formula>
    </cfRule>
    <cfRule type="cellIs" dxfId="933" priority="142" stopIfTrue="1" operator="lessThanOrEqual">
      <formula>0</formula>
    </cfRule>
  </conditionalFormatting>
  <conditionalFormatting sqref="I10:J43">
    <cfRule type="cellIs" dxfId="932" priority="10" operator="lessThan">
      <formula>97.9</formula>
    </cfRule>
  </conditionalFormatting>
  <conditionalFormatting sqref="J46:J48">
    <cfRule type="cellIs" dxfId="931" priority="89" stopIfTrue="1" operator="greaterThan">
      <formula>100</formula>
    </cfRule>
    <cfRule type="cellIs" dxfId="930" priority="90" operator="lessThan">
      <formula>98</formula>
    </cfRule>
    <cfRule type="cellIs" dxfId="929" priority="88" stopIfTrue="1" operator="lessThan">
      <formula>96.8</formula>
    </cfRule>
  </conditionalFormatting>
  <conditionalFormatting sqref="J46:J50">
    <cfRule type="cellIs" dxfId="928" priority="87" operator="lessThan">
      <formula>97.4</formula>
    </cfRule>
  </conditionalFormatting>
  <conditionalFormatting sqref="J51">
    <cfRule type="cellIs" dxfId="927" priority="91" operator="lessThan">
      <formula>98</formula>
    </cfRule>
  </conditionalFormatting>
  <conditionalFormatting sqref="J53:J54">
    <cfRule type="cellIs" dxfId="926" priority="92" stopIfTrue="1" operator="lessThan">
      <formula>96.8</formula>
    </cfRule>
    <cfRule type="cellIs" dxfId="925" priority="93" stopIfTrue="1" operator="greaterThan">
      <formula>100</formula>
    </cfRule>
  </conditionalFormatting>
  <conditionalFormatting sqref="J53:J55">
    <cfRule type="cellIs" dxfId="924" priority="94" operator="lessThan">
      <formula>98</formula>
    </cfRule>
  </conditionalFormatting>
  <conditionalFormatting sqref="J91">
    <cfRule type="cellIs" dxfId="923" priority="96" stopIfTrue="1" operator="lessThanOrEqual">
      <formula>0</formula>
    </cfRule>
    <cfRule type="cellIs" dxfId="922" priority="95" stopIfTrue="1" operator="greaterThan">
      <formula>$F91</formula>
    </cfRule>
  </conditionalFormatting>
  <conditionalFormatting sqref="K10:K43">
    <cfRule type="cellIs" dxfId="921" priority="9" operator="greaterThan">
      <formula>6.4</formula>
    </cfRule>
    <cfRule type="cellIs" dxfId="920" priority="6" operator="lessThan">
      <formula>4</formula>
    </cfRule>
    <cfRule type="cellIs" dxfId="919" priority="5" operator="greaterThan">
      <formula>6</formula>
    </cfRule>
  </conditionalFormatting>
  <conditionalFormatting sqref="K75:K78">
    <cfRule type="cellIs" dxfId="918" priority="71" stopIfTrue="1" operator="lessThan">
      <formula>100%</formula>
    </cfRule>
  </conditionalFormatting>
  <conditionalFormatting sqref="K93:K98">
    <cfRule type="cellIs" dxfId="917" priority="147" stopIfTrue="1" operator="lessThan">
      <formula>100%</formula>
    </cfRule>
  </conditionalFormatting>
  <conditionalFormatting sqref="K100:K101">
    <cfRule type="cellIs" dxfId="916" priority="154" stopIfTrue="1" operator="lessThan">
      <formula>100%</formula>
    </cfRule>
  </conditionalFormatting>
  <conditionalFormatting sqref="K82:N85 L86:N86">
    <cfRule type="cellIs" dxfId="915" priority="125" stopIfTrue="1" operator="lessThan">
      <formula>100%</formula>
    </cfRule>
  </conditionalFormatting>
  <conditionalFormatting sqref="K87:N90 L91:N91">
    <cfRule type="cellIs" dxfId="914" priority="97" stopIfTrue="1" operator="lessThan">
      <formula>100%</formula>
    </cfRule>
  </conditionalFormatting>
  <conditionalFormatting sqref="L10:L43">
    <cfRule type="cellIs" dxfId="913" priority="8" operator="greaterThan">
      <formula>65</formula>
    </cfRule>
    <cfRule type="cellIs" dxfId="912" priority="7" operator="between">
      <formula>61</formula>
      <formula>65</formula>
    </cfRule>
  </conditionalFormatting>
  <conditionalFormatting sqref="L46:M57">
    <cfRule type="cellIs" dxfId="911" priority="102" operator="lessThan">
      <formula>98</formula>
    </cfRule>
  </conditionalFormatting>
  <conditionalFormatting sqref="L61:N61">
    <cfRule type="cellIs" dxfId="910" priority="72" operator="notEqual">
      <formula>#REF!</formula>
    </cfRule>
  </conditionalFormatting>
  <conditionalFormatting sqref="L93:N101">
    <cfRule type="cellIs" dxfId="909" priority="132" stopIfTrue="1" operator="lessThan">
      <formula>100%</formula>
    </cfRule>
  </conditionalFormatting>
  <conditionalFormatting sqref="M10:M43">
    <cfRule type="expression" dxfId="908" priority="1">
      <formula>IF(+(IF(M10&lt;U10,0,IF(M10&gt;V10,0,1)))=0,1)</formula>
    </cfRule>
  </conditionalFormatting>
  <conditionalFormatting sqref="N10:N43">
    <cfRule type="expression" dxfId="907" priority="4">
      <formula>IF(+(IF(N10&lt;W10,0,IF(N10&gt;X10,0,1)))=0,1)</formula>
    </cfRule>
  </conditionalFormatting>
  <conditionalFormatting sqref="P6">
    <cfRule type="cellIs" dxfId="906" priority="128" operator="greaterThanOrEqual">
      <formula>19</formula>
    </cfRule>
  </conditionalFormatting>
  <dataValidations count="1">
    <dataValidation type="list" allowBlank="1" showInputMessage="1" showErrorMessage="1" sqref="R8" xr:uid="{1D2CD7FF-13F9-4E48-9C1E-92DB347B1B4C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5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6F91-9129-4192-A48B-096D679C7BC3}">
  <sheetPr>
    <pageSetUpPr fitToPage="1"/>
  </sheetPr>
  <dimension ref="A1:BE98"/>
  <sheetViews>
    <sheetView topLeftCell="A21" zoomScale="70" zoomScaleNormal="70" workbookViewId="0">
      <selection activeCell="D48" sqref="D48:E49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45861</v>
      </c>
      <c r="J4" s="398" t="s">
        <v>194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29" t="s">
        <v>6</v>
      </c>
      <c r="C10" s="366" t="str">
        <f>[23]Brewhouse!$A628</f>
        <v>CA521</v>
      </c>
      <c r="D10" s="279">
        <f>[23]Brewhouse!$AF628</f>
        <v>50.8</v>
      </c>
      <c r="E10" s="279">
        <f>[23]Brewhouse!$AI628</f>
        <v>48.8</v>
      </c>
      <c r="F10" s="278">
        <f>[23]Brewhouse!$V628</f>
        <v>56</v>
      </c>
      <c r="G10" s="279">
        <f>[23]Brewhouse!$AG628</f>
        <v>11.8</v>
      </c>
      <c r="H10" s="396">
        <v>11.8</v>
      </c>
      <c r="I10" s="368">
        <f>[23]Brewhouse!$AU628</f>
        <v>95.062413786977345</v>
      </c>
      <c r="J10" s="368">
        <f>[23]Brewhouse!$AV628</f>
        <v>95.759526119468532</v>
      </c>
      <c r="K10" s="281">
        <f>[23]Brewhouse!$Q628</f>
        <v>8.4460694698354732</v>
      </c>
      <c r="L10" s="276">
        <f>[23]Brewhouse!$P628</f>
        <v>61</v>
      </c>
      <c r="M10" s="397">
        <f>[23]Brewhouse!$U628-[23]Brewhouse!$T628</f>
        <v>0.10694444444444443</v>
      </c>
      <c r="N10" s="370">
        <f>[23]Brewhouse!$Z628</f>
        <v>0.23194444444444445</v>
      </c>
      <c r="O10" s="371" t="str">
        <f>[23]Brewhouse!$AX628</f>
        <v>K.Benjamin</v>
      </c>
      <c r="P10" s="339"/>
      <c r="R10" s="277" t="str">
        <f t="shared" ref="R10:R45" si="0">B10</f>
        <v>CARIB</v>
      </c>
      <c r="S10" s="296">
        <f t="shared" ref="S10:S45" si="1">VLOOKUP($B10,$R$3:$X$9,2,FALSE)</f>
        <v>11.6</v>
      </c>
      <c r="T10" s="296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29" t="s">
        <v>6</v>
      </c>
      <c r="C11" s="366" t="str">
        <f>[23]Brewhouse!$A629</f>
        <v>CA522</v>
      </c>
      <c r="D11" s="279">
        <f>[23]Brewhouse!$AF629</f>
        <v>52.1</v>
      </c>
      <c r="E11" s="279">
        <f>[23]Brewhouse!$AI629</f>
        <v>51.9</v>
      </c>
      <c r="F11" s="278">
        <f>[23]Brewhouse!$V629</f>
        <v>60</v>
      </c>
      <c r="G11" s="279">
        <f>[23]Brewhouse!$AG629</f>
        <v>11.7</v>
      </c>
      <c r="H11" s="396">
        <v>11.7</v>
      </c>
      <c r="I11" s="368">
        <f>[23]Brewhouse!$AU629</f>
        <v>100.19998827600605</v>
      </c>
      <c r="J11" s="368">
        <f>[23]Brewhouse!$AV629</f>
        <v>100.93477550431274</v>
      </c>
      <c r="K11" s="281">
        <f>[23]Brewhouse!$Q629</f>
        <v>6.5185185185185111</v>
      </c>
      <c r="L11" s="276">
        <f>[23]Brewhouse!$P629</f>
        <v>60</v>
      </c>
      <c r="M11" s="397">
        <f>[23]Brewhouse!$U629-[23]Brewhouse!$T629</f>
        <v>0.1111111111111111</v>
      </c>
      <c r="N11" s="370">
        <f>[23]Brewhouse!$Z629</f>
        <v>0.23194444444444445</v>
      </c>
      <c r="O11" s="371" t="str">
        <f>[23]Brewhouse!$AX629</f>
        <v>R. Regis</v>
      </c>
      <c r="P11" s="419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[23]Brewhouse!$A630</f>
        <v>CA523</v>
      </c>
      <c r="D12" s="279">
        <f>[23]Brewhouse!$AF630</f>
        <v>51.6</v>
      </c>
      <c r="E12" s="279">
        <f>[23]Brewhouse!$AI630</f>
        <v>50</v>
      </c>
      <c r="F12" s="278">
        <f>[23]Brewhouse!$V630</f>
        <v>61</v>
      </c>
      <c r="G12" s="279">
        <f>[23]Brewhouse!$AG630</f>
        <v>11.7</v>
      </c>
      <c r="H12" s="396">
        <v>11.8</v>
      </c>
      <c r="I12" s="368">
        <f>[23]Brewhouse!$AU630</f>
        <v>96.770453619089452</v>
      </c>
      <c r="J12" s="368">
        <f>[23]Brewhouse!$AV630</f>
        <v>97.479935010741045</v>
      </c>
      <c r="K12" s="281">
        <f>[23]Brewhouse!$Q630</f>
        <v>7.9927667269439322</v>
      </c>
      <c r="L12" s="276">
        <f>[23]Brewhouse!$P630</f>
        <v>60</v>
      </c>
      <c r="M12" s="397">
        <f>[23]Brewhouse!$U630-[23]Brewhouse!$T630</f>
        <v>0.11388888888888887</v>
      </c>
      <c r="N12" s="370">
        <f>[23]Brewhouse!$Z630</f>
        <v>0.28402777777777777</v>
      </c>
      <c r="O12" s="371" t="str">
        <f>[23]Brewhouse!$AX630</f>
        <v>R. Regis</v>
      </c>
      <c r="P12" s="419" t="s">
        <v>196</v>
      </c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[23]Brewhouse!$A631</f>
        <v>CA524</v>
      </c>
      <c r="D13" s="279">
        <f>[23]Brewhouse!$AF631</f>
        <v>50.1</v>
      </c>
      <c r="E13" s="279">
        <f>[23]Brewhouse!$AI631</f>
        <v>49.7</v>
      </c>
      <c r="F13" s="278">
        <f>[23]Brewhouse!$V631</f>
        <v>61</v>
      </c>
      <c r="G13" s="279">
        <f>[23]Brewhouse!$AG631</f>
        <v>11.9</v>
      </c>
      <c r="H13" s="396">
        <v>11.7</v>
      </c>
      <c r="I13" s="368">
        <f>[23]Brewhouse!$AU631</f>
        <v>98.89554470892142</v>
      </c>
      <c r="J13" s="368">
        <f>[23]Brewhouse!$AV631</f>
        <v>99.526533157856463</v>
      </c>
      <c r="K13" s="281">
        <f>[23]Brewhouse!$Q631</f>
        <v>10.705244122965633</v>
      </c>
      <c r="L13" s="276">
        <f>[23]Brewhouse!$P631</f>
        <v>61</v>
      </c>
      <c r="M13" s="397">
        <f>[23]Brewhouse!$U631-[23]Brewhouse!$T631</f>
        <v>0.11458333333333337</v>
      </c>
      <c r="N13" s="370">
        <f>[23]Brewhouse!$Z631</f>
        <v>0.24305555555555558</v>
      </c>
      <c r="O13" s="371" t="str">
        <f>[23]Brewhouse!$AX631</f>
        <v>R. Regis</v>
      </c>
      <c r="P13" s="419" t="s">
        <v>195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[23]Brewhouse!$A632</f>
        <v>CA525</v>
      </c>
      <c r="D14" s="279">
        <f>[23]Brewhouse!$AF632</f>
        <v>52.4</v>
      </c>
      <c r="E14" s="279">
        <f>[23]Brewhouse!$AI632</f>
        <v>50.4</v>
      </c>
      <c r="F14" s="278">
        <f>[23]Brewhouse!$V632</f>
        <v>63</v>
      </c>
      <c r="G14" s="279">
        <f>[23]Brewhouse!$AG632</f>
        <v>12</v>
      </c>
      <c r="H14" s="396">
        <v>11.8</v>
      </c>
      <c r="I14" s="368">
        <f>[23]Brewhouse!$AU632</f>
        <v>100.67434879413655</v>
      </c>
      <c r="J14" s="368">
        <f>[23]Brewhouse!$AV632</f>
        <v>101.18935601737272</v>
      </c>
      <c r="K14" s="281">
        <f>[23]Brewhouse!$Q632</f>
        <v>7.3835125448028629</v>
      </c>
      <c r="L14" s="276">
        <f>[23]Brewhouse!$P632</f>
        <v>55</v>
      </c>
      <c r="M14" s="397">
        <f>[23]Brewhouse!$U632-[23]Brewhouse!$T632</f>
        <v>0.10486111111111107</v>
      </c>
      <c r="N14" s="370">
        <f>[23]Brewhouse!$Z632</f>
        <v>0.24305555555555552</v>
      </c>
      <c r="O14" s="371" t="str">
        <f>[23]Brewhouse!$AX632</f>
        <v>D. Gomez</v>
      </c>
      <c r="P14" s="419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[23]Brewhouse!$A633</f>
        <v>CA526</v>
      </c>
      <c r="D15" s="279">
        <f>[23]Brewhouse!$AF633</f>
        <v>53.4</v>
      </c>
      <c r="E15" s="279">
        <f>[23]Brewhouse!$AI633</f>
        <v>52.2</v>
      </c>
      <c r="F15" s="278">
        <f>[23]Brewhouse!$V633</f>
        <v>65</v>
      </c>
      <c r="G15" s="279">
        <f>[23]Brewhouse!$AG633</f>
        <v>11.6</v>
      </c>
      <c r="H15" s="396">
        <v>11.9</v>
      </c>
      <c r="I15" s="368">
        <f>[23]Brewhouse!$AU633</f>
        <v>100.86706866858944</v>
      </c>
      <c r="J15" s="368">
        <f>[23]Brewhouse!$AV633</f>
        <v>101.38300505313829</v>
      </c>
      <c r="K15" s="281">
        <f>[23]Brewhouse!$Q633</f>
        <v>5.338208409506402</v>
      </c>
      <c r="L15" s="276">
        <f>[23]Brewhouse!$P633</f>
        <v>62</v>
      </c>
      <c r="M15" s="397">
        <f>[23]Brewhouse!$U633-[23]Brewhouse!$T633</f>
        <v>0.11249999999999993</v>
      </c>
      <c r="N15" s="370">
        <f>[23]Brewhouse!$Z633</f>
        <v>0.24791666666666667</v>
      </c>
      <c r="O15" s="371" t="str">
        <f>[23]Brewhouse!$AX633</f>
        <v>D. Gomez</v>
      </c>
      <c r="P15" s="419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[23]Brewhouse!$A634</f>
        <v>CA527</v>
      </c>
      <c r="D16" s="279">
        <f>[23]Brewhouse!$AF634</f>
        <v>52.5</v>
      </c>
      <c r="E16" s="279">
        <f>[23]Brewhouse!$AI634</f>
        <v>50.6</v>
      </c>
      <c r="F16" s="278">
        <f>[23]Brewhouse!$V634</f>
        <v>60</v>
      </c>
      <c r="G16" s="279">
        <f>[23]Brewhouse!$AG634</f>
        <v>11.7</v>
      </c>
      <c r="H16" s="396">
        <v>11.8</v>
      </c>
      <c r="I16" s="368">
        <f>[23]Brewhouse!$AU634</f>
        <v>98.908486249601395</v>
      </c>
      <c r="J16" s="368">
        <f>[23]Brewhouse!$AV634</f>
        <v>99.414348571801057</v>
      </c>
      <c r="K16" s="281">
        <f>[23]Brewhouse!$Q634</f>
        <v>6.1956521739130466</v>
      </c>
      <c r="L16" s="276">
        <f>[23]Brewhouse!$P634</f>
        <v>59</v>
      </c>
      <c r="M16" s="397">
        <f>[23]Brewhouse!$U634-[23]Brewhouse!$T634</f>
        <v>0.1069444444444444</v>
      </c>
      <c r="N16" s="370">
        <f>[23]Brewhouse!$Z634</f>
        <v>0.24444444444444446</v>
      </c>
      <c r="O16" s="371" t="str">
        <f>[23]Brewhouse!$AX634</f>
        <v>D. Gomez</v>
      </c>
      <c r="P16" s="419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[23]Brewhouse!$A635</f>
        <v>CA528</v>
      </c>
      <c r="D17" s="279">
        <f>[23]Brewhouse!$AF635</f>
        <v>51.3</v>
      </c>
      <c r="E17" s="279">
        <f>[23]Brewhouse!$AI635</f>
        <v>50.9</v>
      </c>
      <c r="F17" s="278">
        <f>[23]Brewhouse!$V635</f>
        <v>62</v>
      </c>
      <c r="G17" s="279">
        <f>[23]Brewhouse!$AG635</f>
        <v>11.9</v>
      </c>
      <c r="H17" s="396">
        <v>11.9</v>
      </c>
      <c r="I17" s="368">
        <f>[23]Brewhouse!$AU635</f>
        <v>97.04819842597729</v>
      </c>
      <c r="J17" s="368">
        <f>[23]Brewhouse!$AV635</f>
        <v>97.525547829167664</v>
      </c>
      <c r="K17" s="281">
        <f>[23]Brewhouse!$Q635</f>
        <v>7.1926605504587187</v>
      </c>
      <c r="L17" s="276">
        <f>[23]Brewhouse!$P635</f>
        <v>60</v>
      </c>
      <c r="M17" s="397">
        <f>[23]Brewhouse!$U635-[23]Brewhouse!$T635</f>
        <v>0.11041666666666661</v>
      </c>
      <c r="N17" s="370">
        <f>[23]Brewhouse!$Z635</f>
        <v>0.24861111111111112</v>
      </c>
      <c r="O17" s="371" t="str">
        <f>[23]Brewhouse!$AX635</f>
        <v>D. Gomez</v>
      </c>
      <c r="P17" s="419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[23]Brewhouse!$A636</f>
        <v>CA529</v>
      </c>
      <c r="D18" s="279">
        <f>[23]Brewhouse!$AF636</f>
        <v>50.4</v>
      </c>
      <c r="E18" s="279">
        <f>[23]Brewhouse!$AI636</f>
        <v>48.1</v>
      </c>
      <c r="F18" s="278">
        <f>[23]Brewhouse!$V636</f>
        <v>64</v>
      </c>
      <c r="G18" s="279">
        <f>[23]Brewhouse!$AG636</f>
        <v>11.9</v>
      </c>
      <c r="H18" s="396">
        <v>11.9</v>
      </c>
      <c r="I18" s="368">
        <f>[23]Brewhouse!$AU636</f>
        <v>94.762519708980534</v>
      </c>
      <c r="J18" s="368">
        <f>[23]Brewhouse!$AV636</f>
        <v>95.227291991612532</v>
      </c>
      <c r="K18" s="281">
        <f>[23]Brewhouse!$Q636</f>
        <v>10.000000000000005</v>
      </c>
      <c r="L18" s="276">
        <f>[23]Brewhouse!$P636</f>
        <v>60</v>
      </c>
      <c r="M18" s="397">
        <f>[23]Brewhouse!$U636-[23]Brewhouse!$T636</f>
        <v>0.11111111111111116</v>
      </c>
      <c r="N18" s="370">
        <f>[23]Brewhouse!$Z636</f>
        <v>0.26388888888888895</v>
      </c>
      <c r="O18" s="371" t="str">
        <f>[23]Brewhouse!$AX636</f>
        <v>K.Benjamin</v>
      </c>
      <c r="P18" s="419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 t="s">
        <v>6</v>
      </c>
      <c r="C19" s="366" t="str">
        <f>[23]Brewhouse!$A637</f>
        <v>CA530</v>
      </c>
      <c r="D19" s="279">
        <f>[23]Brewhouse!$AF637</f>
        <v>51.6</v>
      </c>
      <c r="E19" s="279">
        <f>[23]Brewhouse!$AI637</f>
        <v>49.7</v>
      </c>
      <c r="F19" s="278">
        <f>[23]Brewhouse!$V637</f>
        <v>54</v>
      </c>
      <c r="G19" s="279">
        <f>[23]Brewhouse!$AG637</f>
        <v>11.9</v>
      </c>
      <c r="H19" s="396">
        <v>11.9</v>
      </c>
      <c r="I19" s="368">
        <f>[23]Brewhouse!$AU637</f>
        <v>97.914703316763664</v>
      </c>
      <c r="J19" s="368">
        <f>[23]Brewhouse!$AV637</f>
        <v>98.394935800065326</v>
      </c>
      <c r="K19" s="281">
        <f>[23]Brewhouse!$Q637</f>
        <v>8.3243243243243192</v>
      </c>
      <c r="L19" s="276">
        <f>[23]Brewhouse!$P637</f>
        <v>60</v>
      </c>
      <c r="M19" s="397">
        <f>[23]Brewhouse!$U637-[23]Brewhouse!$T637</f>
        <v>0.10555555555555562</v>
      </c>
      <c r="N19" s="370">
        <f>[23]Brewhouse!$Z637</f>
        <v>0.23333333333333339</v>
      </c>
      <c r="O19" s="371" t="str">
        <f>[23]Brewhouse!$AX637</f>
        <v>K.Benjamin</v>
      </c>
      <c r="P19" s="419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6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4.4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88" t="str">
        <f>I46</f>
        <v>CARIB</v>
      </c>
      <c r="C46" s="362">
        <f>[23]Process!D577</f>
        <v>11.8</v>
      </c>
      <c r="D46" s="536">
        <v>11.91</v>
      </c>
      <c r="E46" s="525"/>
      <c r="F46" s="294"/>
      <c r="G46" s="294"/>
      <c r="H46" s="348"/>
      <c r="I46" s="29" t="s">
        <v>6</v>
      </c>
      <c r="J46" s="280">
        <f>AVERAGE(I10:I19)</f>
        <v>98.110372555504313</v>
      </c>
      <c r="K46" s="284">
        <f>COUNTA([23]Brewhouse!$A$580:$A$637)</f>
        <v>58</v>
      </c>
      <c r="L46" s="305">
        <f>AVERAGE([23]Brewhouse!$AU$580:$AU$637)</f>
        <v>98.933293892179549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AVERAGE([23]Brewhouse!$AU$102:$AU$171,[23]Brewhouse!$AU$173:$AU$253,[23]Brewhouse!$AU$255:$AU$339,[23]Brewhouse!$AU$341:$AU$346,[23]Brewhouse!$AU$348,[23]Brewhouse!$AU$349:$AU$406,[23]Brewhouse!$AU$408:$AU$491,[23]Brewhouse!$AU$493:$AU$578,[23]Brewhouse!$AU$580:$AU$637)</f>
        <v>97.879613369779591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515"/>
      <c r="C47" s="349">
        <f>[23]Process!D578</f>
        <v>11.7</v>
      </c>
      <c r="D47" s="537"/>
      <c r="E47" s="520"/>
      <c r="F47" s="294"/>
      <c r="G47" s="294"/>
      <c r="H47" s="348"/>
      <c r="I47" s="33" t="s">
        <v>9</v>
      </c>
      <c r="J47" s="280"/>
      <c r="K47" s="284">
        <f>COUNTA([24]Brewhouse!$A$275:$A$310)</f>
        <v>36</v>
      </c>
      <c r="L47" s="302">
        <f>AVERAGE([24]Brewhouse!$AS$275:$AS$310)</f>
        <v>99.147314304959025</v>
      </c>
      <c r="M47" s="302">
        <f>AVERAGE([24]Brewhouse!$AS$15:$AS$64,[24]Brewhouse!$AS$66:$AS$103,[24]Brewhouse!$AS$105:$AS$140,[24]Brewhouse!$AS$142:$AS$193,[24]Brewhouse!$AS$195:$AS$240,[24]Brewhouse!$AS$242:$AS$273,[24]Brewhouse!$AS$275:$AS$310)</f>
        <v>98.034045638111152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15"/>
      <c r="C48" s="349">
        <f>[23]Process!D580</f>
        <v>12</v>
      </c>
      <c r="D48" s="536">
        <v>11.94</v>
      </c>
      <c r="E48" s="525"/>
      <c r="F48" s="294"/>
      <c r="G48" s="294"/>
      <c r="H48" s="348"/>
      <c r="I48" s="34" t="s">
        <v>12</v>
      </c>
      <c r="J48" s="280"/>
      <c r="K48" s="284">
        <f>COUNTA([25]Brewhouse!$A$64:$A$79)</f>
        <v>16</v>
      </c>
      <c r="L48" s="302">
        <f>AVERAGE([25]Brewhouse!$AU$64:$AU$79)</f>
        <v>96.467346973315216</v>
      </c>
      <c r="M48" s="302">
        <f>AVERAGE([25]Brewhouse!$AU$4:$AU$7,[25]Brewhouse!$AU$9:$AU$22,[25]Brewhouse!$AU$24:$AU$35,[25]Brewhouse!$AU$37:$AU$45,[25]Brewhouse!$AU$47:$AU$62,[25]Brewhouse!$AU$64:$AU$79)</f>
        <v>97.0189196363294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15"/>
      <c r="C49" s="349">
        <f>[23]Process!D581</f>
        <v>11.8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15"/>
      <c r="C50" s="349">
        <f>[23]Process!D582</f>
        <v>11.9</v>
      </c>
      <c r="D50" s="536">
        <v>11.94</v>
      </c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515"/>
      <c r="C51" s="349">
        <f>[23]Process!D583</f>
        <v>11.7</v>
      </c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15"/>
      <c r="C52" s="349">
        <f>[23]Process!D584</f>
        <v>12.2</v>
      </c>
      <c r="D52" s="536">
        <v>11.89</v>
      </c>
      <c r="E52" s="525"/>
      <c r="F52" s="418"/>
      <c r="G52" s="294"/>
      <c r="H52" s="348"/>
      <c r="I52" s="37" t="s">
        <v>16</v>
      </c>
      <c r="J52" s="323"/>
      <c r="K52" s="284">
        <f>COUNTA([22]Brewhouse!$A$56:$A$65)</f>
        <v>10</v>
      </c>
      <c r="L52" s="302">
        <f>AVERAGE([22]Brewhouse!$AY$56:$AY$65)</f>
        <v>99.275500637605006</v>
      </c>
      <c r="M52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15"/>
      <c r="C53" s="349">
        <f>[23]Process!D585</f>
        <v>11.9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515"/>
      <c r="C54" s="349"/>
      <c r="D54" s="536"/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15"/>
      <c r="C55" s="349"/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515"/>
      <c r="C56" s="349"/>
      <c r="D56" s="536"/>
      <c r="E56" s="525"/>
      <c r="F56" s="294"/>
      <c r="G56" s="294"/>
      <c r="H56" s="348"/>
      <c r="I56" s="1"/>
      <c r="J56" s="39"/>
      <c r="K56" s="404">
        <f>SUM(K46:K55)</f>
        <v>128</v>
      </c>
      <c r="L56" s="405">
        <f>((L46*K46)+(L47*K47)+(L48*K48)+(L49*K49)+(L50*K50)+(K53*L53)+(L51*K51)+(L52*K52)+(L55*K55))/(K56)</f>
        <v>98.754671899192616</v>
      </c>
      <c r="M56" s="405">
        <f>AVERAGE('[31]Jan 31st'!$L$65,'[32]Feb 28th'!$L$35,'[33]Mar. 31st'!$L$35,'[34]Apr. 30th'!$L$45,'[35]May 30th'!$L$37,L56)</f>
        <v>97.822320889426962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16"/>
      <c r="C57" s="350"/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89" t="s">
        <v>191</v>
      </c>
      <c r="C58" s="362">
        <f>[29]Process!D24</f>
        <v>16.7</v>
      </c>
      <c r="D58" s="517">
        <v>17</v>
      </c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90"/>
      <c r="C59" s="362">
        <f>[29]Process!D25</f>
        <v>16.7</v>
      </c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90"/>
      <c r="C60" s="349"/>
      <c r="D60" s="573"/>
      <c r="E60" s="574"/>
      <c r="F60" s="294"/>
      <c r="G60" s="42"/>
      <c r="H60" s="41"/>
      <c r="I60" s="42"/>
      <c r="J60" s="287" t="s">
        <v>6</v>
      </c>
      <c r="K60" s="324">
        <v>10</v>
      </c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90"/>
      <c r="C61" s="349"/>
      <c r="D61" s="519"/>
      <c r="E61" s="520"/>
      <c r="F61" s="294"/>
      <c r="G61" s="42"/>
      <c r="H61" s="41"/>
      <c r="I61" s="42"/>
      <c r="J61" s="345" t="s">
        <v>9</v>
      </c>
      <c r="K61" s="324"/>
      <c r="L61" s="344">
        <f>AVERAGE(K70,'July 1st'!K67,'July 2nd'!K68,'July 3rd'!K68,'July 4th'!K68,'July 7th '!K68,'July 8th '!K68,'July 9th  '!K69,'July 10th '!K69,'July 11th  '!K69,'July 14th'!K69,'July 15th'!K69,'July 16th '!K69,'July 17th '!K70,'July 21st'!K70)</f>
        <v>8.4</v>
      </c>
      <c r="M61" s="325">
        <f>AVERAGE('[31]Jan 29th '!$M$70,'[32]Feb 28th'!$L$40,'[33]Mar. 31st'!$L$40,'[34]Apr. 30th'!$L$50,'[35]May 30th'!$L$42,L61)</f>
        <v>6.9344401974836751</v>
      </c>
      <c r="N61" s="417">
        <v>9.1999999999999993</v>
      </c>
      <c r="O61" s="294"/>
      <c r="P61" s="12"/>
    </row>
    <row r="62" spans="1:56" ht="15" customHeight="1">
      <c r="B62" s="593" t="s">
        <v>192</v>
      </c>
      <c r="C62" s="349">
        <f>[30]Process!D13</f>
        <v>13.6</v>
      </c>
      <c r="D62" s="573">
        <v>14</v>
      </c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90"/>
      <c r="C63" s="349">
        <f>[30]Process!D14</f>
        <v>13.7</v>
      </c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90"/>
      <c r="C64" s="349"/>
      <c r="D64" s="573"/>
      <c r="E64" s="574"/>
      <c r="F64" s="294"/>
      <c r="G64" s="42"/>
      <c r="H64" s="41"/>
      <c r="I64" s="42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90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602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>
        <f>AVERAGE(D46:E67)</f>
        <v>13.113333333333335</v>
      </c>
      <c r="E68" s="578"/>
      <c r="F68" s="294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10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33" customHeight="1" thickBot="1">
      <c r="B75" s="479" t="str">
        <f>B84</f>
        <v>CARIB</v>
      </c>
      <c r="C75" s="464">
        <v>45860</v>
      </c>
      <c r="D75" s="465">
        <f>[36]July_2025!$Y$3</f>
        <v>408.61999999999995</v>
      </c>
      <c r="E75" s="466"/>
      <c r="F75" s="467"/>
      <c r="G75" s="468">
        <f>[36]July_2025!$Y$7</f>
        <v>391.9</v>
      </c>
      <c r="H75" s="469"/>
      <c r="I75" s="470"/>
      <c r="J75" s="471" t="s">
        <v>189</v>
      </c>
      <c r="K75" s="472">
        <f>[37]July_2025!$Y$18</f>
        <v>0.45836257309941519</v>
      </c>
      <c r="L75" s="473">
        <f>(((D75+E75)-G75)/(D75+E75))*100</f>
        <v>4.0918212520189838</v>
      </c>
      <c r="M75" s="474" t="s">
        <v>190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 thickBot="1">
      <c r="B76" s="478"/>
      <c r="C76" s="453"/>
      <c r="D76" s="454"/>
      <c r="E76" s="455"/>
      <c r="F76" s="456"/>
      <c r="G76" s="457"/>
      <c r="H76" s="458"/>
      <c r="I76" s="475"/>
      <c r="J76" s="476"/>
      <c r="K76" s="459"/>
      <c r="L76" s="477"/>
      <c r="M76" s="434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39" customHeight="1" thickBot="1">
      <c r="B77" s="480" t="s">
        <v>191</v>
      </c>
      <c r="C77" s="464">
        <v>45860</v>
      </c>
      <c r="D77" s="465">
        <f>[36]July_2025!$Y$76</f>
        <v>104.5</v>
      </c>
      <c r="E77" s="466"/>
      <c r="F77" s="467"/>
      <c r="G77" s="468">
        <f>[36]July_2025!$Y$80</f>
        <v>92.5</v>
      </c>
      <c r="H77" s="469"/>
      <c r="I77" s="470"/>
      <c r="J77" s="471" t="s">
        <v>164</v>
      </c>
      <c r="K77" s="472">
        <f>[37]July_2025!$Y$67</f>
        <v>0.32456140350877194</v>
      </c>
      <c r="L77" s="473">
        <f>(((D77+E77)-G77)/(D77+E77))*100</f>
        <v>11.483253588516746</v>
      </c>
      <c r="M77" s="474" t="s">
        <v>186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4.4" thickBot="1">
      <c r="B78" s="481"/>
      <c r="C78" s="453"/>
      <c r="D78" s="454"/>
      <c r="E78" s="455"/>
      <c r="F78" s="456"/>
      <c r="G78" s="457"/>
      <c r="H78" s="458"/>
      <c r="I78" s="475"/>
      <c r="J78" s="476"/>
      <c r="K78" s="459"/>
      <c r="L78" s="477"/>
      <c r="M78" s="43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6.6" customHeight="1" thickBot="1">
      <c r="B79" s="480" t="s">
        <v>192</v>
      </c>
      <c r="C79" s="464">
        <v>45860</v>
      </c>
      <c r="D79" s="465">
        <f>[36]July_2025!$Y$45</f>
        <v>100.8</v>
      </c>
      <c r="E79" s="466"/>
      <c r="F79" s="467"/>
      <c r="G79" s="468">
        <f>[36]July_2025!$Y$49</f>
        <v>92.9</v>
      </c>
      <c r="H79" s="469"/>
      <c r="I79" s="470"/>
      <c r="J79" s="471" t="s">
        <v>164</v>
      </c>
      <c r="K79" s="472">
        <f>[37]July_2025!$Y$46</f>
        <v>0.32596491228070179</v>
      </c>
      <c r="L79" s="473">
        <f>(((D79+E79)-G79)/(D79+E79))*100</f>
        <v>7.837301587301579</v>
      </c>
      <c r="M79" s="474" t="s">
        <v>186</v>
      </c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s="54" customFormat="1" ht="16.5" customHeight="1" thickBot="1">
      <c r="B80" s="460"/>
      <c r="C80" s="440"/>
      <c r="D80" s="441"/>
      <c r="E80" s="442"/>
      <c r="F80" s="443"/>
      <c r="G80" s="444"/>
      <c r="H80" s="445"/>
      <c r="I80" s="461"/>
      <c r="J80" s="462"/>
      <c r="K80" s="448"/>
      <c r="L80" s="463"/>
      <c r="M80" s="437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4.4" thickBot="1">
      <c r="B82" s="492" t="s">
        <v>55</v>
      </c>
      <c r="C82" s="493"/>
      <c r="D82" s="493"/>
      <c r="E82" s="493"/>
      <c r="F82" s="494"/>
      <c r="G82" s="492" t="s">
        <v>56</v>
      </c>
      <c r="H82" s="493"/>
      <c r="I82" s="493"/>
      <c r="J82" s="494"/>
      <c r="K82" s="492" t="s">
        <v>51</v>
      </c>
      <c r="L82" s="493"/>
      <c r="M82" s="493"/>
      <c r="N82" s="495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>
        <f>L75</f>
        <v>4.0918212520189838</v>
      </c>
      <c r="D84" s="76">
        <v>5.2662955279694073</v>
      </c>
      <c r="E84" s="76">
        <v>6.3948910856442973</v>
      </c>
      <c r="F84" s="66">
        <v>4.8</v>
      </c>
      <c r="G84" s="65">
        <f>[36]July_2025!$Y$11</f>
        <v>3.0798031321133386</v>
      </c>
      <c r="H84" s="76">
        <v>4.2717391337773529</v>
      </c>
      <c r="I84" s="76">
        <v>6.2424398534960357</v>
      </c>
      <c r="J84" s="66">
        <v>4.8</v>
      </c>
      <c r="K84" s="67">
        <f>K75</f>
        <v>0.45836257309941519</v>
      </c>
      <c r="L84" s="194">
        <v>0.98910528770334361</v>
      </c>
      <c r="M84" s="194">
        <v>0.7489437986229226</v>
      </c>
      <c r="N84" s="68">
        <v>1</v>
      </c>
      <c r="O84" s="56"/>
      <c r="P84" s="69"/>
    </row>
    <row r="85" spans="2:16">
      <c r="B85" s="33" t="s">
        <v>9</v>
      </c>
      <c r="C85" s="65"/>
      <c r="D85" s="76">
        <v>5.7227748352925918</v>
      </c>
      <c r="E85" s="76">
        <v>6.0887030852231598</v>
      </c>
      <c r="F85" s="66">
        <v>4.8</v>
      </c>
      <c r="G85" s="65"/>
      <c r="H85" s="76">
        <v>5.0603857242884045</v>
      </c>
      <c r="I85" s="76">
        <v>5.7601419753057765</v>
      </c>
      <c r="J85" s="66">
        <v>4.8</v>
      </c>
      <c r="K85" s="67"/>
      <c r="L85" s="194">
        <v>0.50066010821446139</v>
      </c>
      <c r="M85" s="194">
        <v>0.73836015755280138</v>
      </c>
      <c r="N85" s="68">
        <v>1</v>
      </c>
      <c r="P85" s="69"/>
    </row>
    <row r="86" spans="2:16">
      <c r="B86" s="34" t="s">
        <v>40</v>
      </c>
      <c r="C86" s="65"/>
      <c r="D86" s="76">
        <v>11.466477138118925</v>
      </c>
      <c r="E86" s="76">
        <v>11.904314441431504</v>
      </c>
      <c r="F86" s="66">
        <v>5.5</v>
      </c>
      <c r="G86" s="65"/>
      <c r="H86" s="76">
        <v>15.89175434604109</v>
      </c>
      <c r="I86" s="76">
        <v>13.439540856999288</v>
      </c>
      <c r="J86" s="66">
        <v>5.5</v>
      </c>
      <c r="K86" s="67"/>
      <c r="L86" s="194">
        <v>1.3112280701754386</v>
      </c>
      <c r="M86" s="194">
        <v>0.54260860979462877</v>
      </c>
      <c r="N86" s="68">
        <v>1</v>
      </c>
      <c r="P86" s="69"/>
    </row>
    <row r="87" spans="2:16">
      <c r="B87" s="22" t="s">
        <v>33</v>
      </c>
      <c r="C87" s="65"/>
      <c r="D87" s="76">
        <v>3.4761321909424563</v>
      </c>
      <c r="E87" s="76">
        <v>5.119233255999676</v>
      </c>
      <c r="F87" s="66">
        <v>3.3</v>
      </c>
      <c r="G87" s="65"/>
      <c r="H87" s="76">
        <v>2.7479545757807706</v>
      </c>
      <c r="I87" s="76">
        <v>4.8747400258857825</v>
      </c>
      <c r="J87" s="66">
        <v>3.3</v>
      </c>
      <c r="K87" s="67"/>
      <c r="L87" s="194">
        <v>1.3835087719298247</v>
      </c>
      <c r="M87" s="194">
        <v>0.77839364035087721</v>
      </c>
      <c r="N87" s="68">
        <v>1</v>
      </c>
      <c r="P87" s="69"/>
    </row>
    <row r="88" spans="2:16">
      <c r="B88" s="35" t="s">
        <v>192</v>
      </c>
      <c r="C88" s="65">
        <f>L79</f>
        <v>7.837301587301579</v>
      </c>
      <c r="D88" s="76">
        <v>7.837301587301579</v>
      </c>
      <c r="E88" s="76">
        <v>7.837301587301579</v>
      </c>
      <c r="F88" s="66">
        <v>3.3</v>
      </c>
      <c r="G88" s="282">
        <f>[36]July_2025!$Y$53</f>
        <v>5.3377569154690221</v>
      </c>
      <c r="H88" s="76">
        <v>5.3377569154690221</v>
      </c>
      <c r="I88" s="76">
        <v>5.3377569154690221</v>
      </c>
      <c r="J88" s="66">
        <v>3</v>
      </c>
      <c r="K88" s="67">
        <f>K79</f>
        <v>0.32596491228070179</v>
      </c>
      <c r="L88" s="194">
        <v>0.32596491228070179</v>
      </c>
      <c r="M88" s="194">
        <v>0.32596491228070179</v>
      </c>
      <c r="N88" s="68">
        <v>1</v>
      </c>
      <c r="P88" s="69"/>
    </row>
    <row r="89" spans="2:16">
      <c r="B89" s="36" t="s">
        <v>15</v>
      </c>
      <c r="C89" s="282"/>
      <c r="D89" s="76"/>
      <c r="E89" s="76">
        <v>7.3129862357869699</v>
      </c>
      <c r="F89" s="70">
        <f>[21]May_2022!$M$43</f>
        <v>3.4878406700073312</v>
      </c>
      <c r="G89" s="282"/>
      <c r="H89" s="76"/>
      <c r="I89" s="76">
        <v>8.9862703283331644</v>
      </c>
      <c r="J89" s="66">
        <v>5.5</v>
      </c>
      <c r="K89" s="67"/>
      <c r="L89" s="194"/>
      <c r="M89" s="194">
        <v>0.59276315789473688</v>
      </c>
      <c r="N89" s="68">
        <v>1</v>
      </c>
      <c r="P89" s="69"/>
    </row>
    <row r="90" spans="2:16">
      <c r="B90" s="37" t="s">
        <v>16</v>
      </c>
      <c r="C90" s="65"/>
      <c r="D90" s="76">
        <v>2.3359073359073403</v>
      </c>
      <c r="E90" s="76">
        <v>2.980561555075584</v>
      </c>
      <c r="F90" s="66">
        <v>3.3</v>
      </c>
      <c r="G90" s="282"/>
      <c r="H90" s="76">
        <v>3.7114579368100644</v>
      </c>
      <c r="I90" s="76">
        <v>4.4931174512296872</v>
      </c>
      <c r="J90" s="66">
        <v>3.3</v>
      </c>
      <c r="K90" s="67"/>
      <c r="L90" s="194">
        <v>1.7750877192982455</v>
      </c>
      <c r="M90" s="194">
        <v>0.83077455048409399</v>
      </c>
      <c r="N90" s="71">
        <v>1</v>
      </c>
      <c r="P90" s="69"/>
    </row>
    <row r="91" spans="2:16" ht="14.4" thickBot="1">
      <c r="B91" s="38" t="s">
        <v>191</v>
      </c>
      <c r="C91" s="65">
        <f>L77</f>
        <v>11.483253588516746</v>
      </c>
      <c r="D91" s="76">
        <v>11.483253588516746</v>
      </c>
      <c r="E91" s="76">
        <v>11.483253588516746</v>
      </c>
      <c r="F91" s="66">
        <v>7.5</v>
      </c>
      <c r="G91" s="282">
        <f>[36]July_2025!$Y$84</f>
        <v>9.7934336121043764</v>
      </c>
      <c r="H91" s="76">
        <v>9.7934336121043764</v>
      </c>
      <c r="I91" s="76">
        <v>9.7934336121043764</v>
      </c>
      <c r="J91" s="66">
        <v>7.5</v>
      </c>
      <c r="K91" s="67">
        <f>K77</f>
        <v>0.32456140350877194</v>
      </c>
      <c r="L91" s="194">
        <v>0.32456140350877194</v>
      </c>
      <c r="M91" s="194">
        <v>0.32456140350877194</v>
      </c>
      <c r="N91" s="71">
        <v>1</v>
      </c>
      <c r="P91" s="69"/>
    </row>
    <row r="92" spans="2:16" ht="14.4" thickBot="1">
      <c r="B92" s="414" t="s">
        <v>161</v>
      </c>
      <c r="C92" s="65"/>
      <c r="D92" s="76">
        <v>9.4974642692485105</v>
      </c>
      <c r="E92" s="76">
        <v>7.2653644592663174</v>
      </c>
      <c r="F92" s="66">
        <v>4.8</v>
      </c>
      <c r="G92" s="282"/>
      <c r="H92" s="76">
        <v>10.183089539936029</v>
      </c>
      <c r="I92" s="76">
        <v>8.1715311054411259</v>
      </c>
      <c r="J92" s="66">
        <v>4.8</v>
      </c>
      <c r="K92" s="67"/>
      <c r="L92" s="194">
        <v>0.68877192982456148</v>
      </c>
      <c r="M92" s="194">
        <v>0.51368421052631585</v>
      </c>
      <c r="N92" s="71">
        <v>1</v>
      </c>
      <c r="O92" s="74"/>
      <c r="P92" s="75"/>
    </row>
    <row r="93" spans="2:16">
      <c r="D93" s="76">
        <v>5.7006141955368239</v>
      </c>
      <c r="E93" s="76">
        <v>6.5030981612399525</v>
      </c>
      <c r="F93" s="341">
        <v>5.5</v>
      </c>
      <c r="H93" s="76">
        <v>5.6957874466755198</v>
      </c>
      <c r="I93" s="76">
        <v>6.7287755710931094</v>
      </c>
      <c r="J93" s="341">
        <v>5.5</v>
      </c>
      <c r="L93" s="194">
        <v>0.88099071207430335</v>
      </c>
      <c r="M93" s="194">
        <v>0.71871772948580936</v>
      </c>
      <c r="N93" s="386">
        <v>1</v>
      </c>
    </row>
    <row r="97" spans="6:6">
      <c r="F97" s="315"/>
    </row>
    <row r="98" spans="6:6">
      <c r="F98" s="341"/>
    </row>
  </sheetData>
  <mergeCells count="52">
    <mergeCell ref="B58:B61"/>
    <mergeCell ref="B62:B67"/>
    <mergeCell ref="S1:T1"/>
    <mergeCell ref="U1:V1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D58:E59"/>
    <mergeCell ref="J58:K58"/>
    <mergeCell ref="L59:N59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D60:E61"/>
    <mergeCell ref="D62:E63"/>
    <mergeCell ref="D64:E65"/>
    <mergeCell ref="D66:E67"/>
    <mergeCell ref="D68:E68"/>
    <mergeCell ref="B82:F82"/>
    <mergeCell ref="G82:J82"/>
    <mergeCell ref="K82:N82"/>
    <mergeCell ref="G73:G74"/>
    <mergeCell ref="H73:H74"/>
    <mergeCell ref="I73:I74"/>
    <mergeCell ref="J73:J74"/>
    <mergeCell ref="K73:K74"/>
    <mergeCell ref="L73:L74"/>
    <mergeCell ref="F73:F74"/>
    <mergeCell ref="B73:B74"/>
    <mergeCell ref="C73:C74"/>
    <mergeCell ref="D73:D74"/>
    <mergeCell ref="E73:E74"/>
    <mergeCell ref="M73:M74"/>
  </mergeCells>
  <conditionalFormatting sqref="B68:B69">
    <cfRule type="cellIs" dxfId="905" priority="124" operator="notBetween">
      <formula>#REF!</formula>
      <formula>#REF!</formula>
    </cfRule>
  </conditionalFormatting>
  <conditionalFormatting sqref="C72">
    <cfRule type="cellIs" dxfId="904" priority="156" stopIfTrue="1" operator="greaterThan">
      <formula>100</formula>
    </cfRule>
    <cfRule type="cellIs" dxfId="903" priority="155" stopIfTrue="1" operator="lessThan">
      <formula>96</formula>
    </cfRule>
  </conditionalFormatting>
  <conditionalFormatting sqref="C84:C85">
    <cfRule type="cellIs" dxfId="902" priority="102" stopIfTrue="1" operator="lessThanOrEqual">
      <formula>0</formula>
    </cfRule>
  </conditionalFormatting>
  <conditionalFormatting sqref="C84:C88">
    <cfRule type="cellIs" dxfId="901" priority="101" stopIfTrue="1" operator="greaterThan">
      <formula>$F84</formula>
    </cfRule>
  </conditionalFormatting>
  <conditionalFormatting sqref="C85">
    <cfRule type="cellIs" dxfId="900" priority="159" stopIfTrue="1" operator="greaterThan">
      <formula>$F84</formula>
    </cfRule>
  </conditionalFormatting>
  <conditionalFormatting sqref="C86:C89">
    <cfRule type="cellIs" dxfId="899" priority="108" stopIfTrue="1" operator="lessThanOrEqual">
      <formula>0</formula>
    </cfRule>
  </conditionalFormatting>
  <conditionalFormatting sqref="C89">
    <cfRule type="cellIs" dxfId="898" priority="107" stopIfTrue="1" operator="greaterThan">
      <formula>$J89</formula>
    </cfRule>
  </conditionalFormatting>
  <conditionalFormatting sqref="C95:C99">
    <cfRule type="cellIs" dxfId="897" priority="147" stopIfTrue="1" operator="lessThanOrEqual">
      <formula>0</formula>
    </cfRule>
  </conditionalFormatting>
  <conditionalFormatting sqref="C96:C99">
    <cfRule type="cellIs" dxfId="896" priority="146" stopIfTrue="1" operator="greaterThan">
      <formula>$F$95</formula>
    </cfRule>
  </conditionalFormatting>
  <conditionalFormatting sqref="C101">
    <cfRule type="cellIs" dxfId="895" priority="149" stopIfTrue="1" operator="lessThanOrEqual">
      <formula>0</formula>
    </cfRule>
    <cfRule type="cellIs" dxfId="894" priority="148" stopIfTrue="1" operator="greaterThan">
      <formula>$F$95</formula>
    </cfRule>
  </conditionalFormatting>
  <conditionalFormatting sqref="C95:D95 D97:D103">
    <cfRule type="cellIs" dxfId="893" priority="141" stopIfTrue="1" operator="greaterThan">
      <formula>4.5</formula>
    </cfRule>
  </conditionalFormatting>
  <conditionalFormatting sqref="D68:D69">
    <cfRule type="cellIs" dxfId="892" priority="125" operator="notBetween">
      <formula>#REF!</formula>
      <formula>#REF!</formula>
    </cfRule>
  </conditionalFormatting>
  <conditionalFormatting sqref="D84:D91">
    <cfRule type="cellIs" dxfId="891" priority="118" stopIfTrue="1" operator="lessThanOrEqual">
      <formula>0</formula>
    </cfRule>
  </conditionalFormatting>
  <conditionalFormatting sqref="D92">
    <cfRule type="cellIs" dxfId="890" priority="117" stopIfTrue="1" operator="lessThanOrEqual">
      <formula>0</formula>
    </cfRule>
  </conditionalFormatting>
  <conditionalFormatting sqref="D95 D97:D103">
    <cfRule type="cellIs" dxfId="889" priority="142" stopIfTrue="1" operator="lessThanOrEqual">
      <formula>0</formula>
    </cfRule>
  </conditionalFormatting>
  <conditionalFormatting sqref="D96">
    <cfRule type="cellIs" dxfId="888" priority="134" stopIfTrue="1" operator="lessThanOrEqual">
      <formula>0</formula>
    </cfRule>
    <cfRule type="cellIs" dxfId="887" priority="133" stopIfTrue="1" operator="greaterThan">
      <formula>$F$95</formula>
    </cfRule>
  </conditionalFormatting>
  <conditionalFormatting sqref="D84:E93">
    <cfRule type="cellIs" dxfId="886" priority="98" stopIfTrue="1" operator="greaterThan">
      <formula>$F84</formula>
    </cfRule>
  </conditionalFormatting>
  <conditionalFormatting sqref="D93:E93">
    <cfRule type="cellIs" dxfId="885" priority="99" stopIfTrue="1" operator="lessThanOrEqual">
      <formula>0</formula>
    </cfRule>
  </conditionalFormatting>
  <conditionalFormatting sqref="E10:E43">
    <cfRule type="cellIs" dxfId="884" priority="3" operator="lessThan">
      <formula>48</formula>
    </cfRule>
  </conditionalFormatting>
  <conditionalFormatting sqref="E71 E72:F72">
    <cfRule type="cellIs" dxfId="883" priority="138" stopIfTrue="1" operator="greaterThan">
      <formula>100</formula>
    </cfRule>
  </conditionalFormatting>
  <conditionalFormatting sqref="E72">
    <cfRule type="cellIs" dxfId="882" priority="135" stopIfTrue="1" operator="lessThan">
      <formula>96.8</formula>
    </cfRule>
    <cfRule type="cellIs" dxfId="881" priority="136" stopIfTrue="1" operator="greaterThan">
      <formula>100</formula>
    </cfRule>
  </conditionalFormatting>
  <conditionalFormatting sqref="E84:E92">
    <cfRule type="cellIs" dxfId="880" priority="112" stopIfTrue="1" operator="lessThanOrEqual">
      <formula>0</formula>
    </cfRule>
  </conditionalFormatting>
  <conditionalFormatting sqref="E95:E103">
    <cfRule type="cellIs" dxfId="879" priority="127" stopIfTrue="1" operator="greaterThan">
      <formula>4.5</formula>
    </cfRule>
    <cfRule type="cellIs" dxfId="878" priority="128" stopIfTrue="1" operator="lessThanOrEqual">
      <formula>0</formula>
    </cfRule>
  </conditionalFormatting>
  <conditionalFormatting sqref="E72:F72 E71">
    <cfRule type="cellIs" dxfId="877" priority="137" stopIfTrue="1" operator="lessThan">
      <formula>96.5</formula>
    </cfRule>
  </conditionalFormatting>
  <conditionalFormatting sqref="F10:F43">
    <cfRule type="cellIs" dxfId="876" priority="4" operator="greaterThan">
      <formula>60</formula>
    </cfRule>
  </conditionalFormatting>
  <conditionalFormatting sqref="F72">
    <cfRule type="cellIs" dxfId="875" priority="153" stopIfTrue="1" operator="lessThan">
      <formula>96.8</formula>
    </cfRule>
    <cfRule type="cellIs" dxfId="874" priority="154" stopIfTrue="1" operator="greaterThan">
      <formula>100</formula>
    </cfRule>
  </conditionalFormatting>
  <conditionalFormatting sqref="F93">
    <cfRule type="cellIs" dxfId="873" priority="114" stopIfTrue="1" operator="lessThanOrEqual">
      <formula>0</formula>
    </cfRule>
    <cfRule type="cellIs" dxfId="872" priority="113" stopIfTrue="1" operator="greaterThan">
      <formula>$F93</formula>
    </cfRule>
  </conditionalFormatting>
  <conditionalFormatting sqref="F98">
    <cfRule type="cellIs" dxfId="871" priority="68" stopIfTrue="1" operator="lessThanOrEqual">
      <formula>0</formula>
    </cfRule>
    <cfRule type="cellIs" dxfId="870" priority="67" stopIfTrue="1" operator="greaterThan">
      <formula>$F98</formula>
    </cfRule>
  </conditionalFormatting>
  <conditionalFormatting sqref="G84:G85 C90:C92">
    <cfRule type="cellIs" dxfId="869" priority="120" stopIfTrue="1" operator="lessThanOrEqual">
      <formula>0</formula>
    </cfRule>
    <cfRule type="cellIs" dxfId="868" priority="119" stopIfTrue="1" operator="greaterThan">
      <formula>$F84</formula>
    </cfRule>
  </conditionalFormatting>
  <conditionalFormatting sqref="G84:G85">
    <cfRule type="cellIs" dxfId="867" priority="103" stopIfTrue="1" operator="greaterThan">
      <formula>$F84</formula>
    </cfRule>
    <cfRule type="cellIs" dxfId="866" priority="104" stopIfTrue="1" operator="lessThanOrEqual">
      <formula>0</formula>
    </cfRule>
  </conditionalFormatting>
  <conditionalFormatting sqref="G86">
    <cfRule type="cellIs" dxfId="865" priority="158" stopIfTrue="1" operator="lessThanOrEqual">
      <formula>0</formula>
    </cfRule>
    <cfRule type="cellIs" dxfId="864" priority="157" stopIfTrue="1" operator="greaterThan">
      <formula>$F85</formula>
    </cfRule>
  </conditionalFormatting>
  <conditionalFormatting sqref="G87">
    <cfRule type="cellIs" dxfId="863" priority="116" stopIfTrue="1" operator="lessThanOrEqual">
      <formula>0</formula>
    </cfRule>
    <cfRule type="cellIs" dxfId="862" priority="115" stopIfTrue="1" operator="greaterThan">
      <formula>$F87</formula>
    </cfRule>
  </conditionalFormatting>
  <conditionalFormatting sqref="G88:G92">
    <cfRule type="cellIs" dxfId="861" priority="121" stopIfTrue="1" operator="greaterThan">
      <formula>$J88</formula>
    </cfRule>
    <cfRule type="cellIs" dxfId="860" priority="122" stopIfTrue="1" operator="lessThanOrEqual">
      <formula>0</formula>
    </cfRule>
  </conditionalFormatting>
  <conditionalFormatting sqref="G97:G102 C100 C102">
    <cfRule type="cellIs" dxfId="859" priority="150" stopIfTrue="1" operator="greaterThan">
      <formula>4.5</formula>
    </cfRule>
    <cfRule type="cellIs" dxfId="858" priority="151" stopIfTrue="1" operator="lessThanOrEqual">
      <formula>0</formula>
    </cfRule>
  </conditionalFormatting>
  <conditionalFormatting sqref="G10:H43">
    <cfRule type="expression" dxfId="857" priority="9">
      <formula>IF(+(IF(G10&lt;#REF!,0,IF(G10&gt;#REF!,0,1)))=0,1)</formula>
    </cfRule>
  </conditionalFormatting>
  <conditionalFormatting sqref="G96:H96">
    <cfRule type="cellIs" dxfId="856" priority="132" stopIfTrue="1" operator="lessThanOrEqual">
      <formula>0</formula>
    </cfRule>
    <cfRule type="cellIs" dxfId="855" priority="131" stopIfTrue="1" operator="greaterThan">
      <formula>$F$95</formula>
    </cfRule>
  </conditionalFormatting>
  <conditionalFormatting sqref="H57:H71">
    <cfRule type="cellIs" dxfId="854" priority="129" stopIfTrue="1" operator="greaterThan">
      <formula>0</formula>
    </cfRule>
  </conditionalFormatting>
  <conditionalFormatting sqref="H75">
    <cfRule type="cellIs" dxfId="853" priority="36" stopIfTrue="1" operator="lessThanOrEqual">
      <formula>0</formula>
    </cfRule>
    <cfRule type="cellIs" dxfId="852" priority="26" stopIfTrue="1" operator="lessThanOrEqual">
      <formula>0</formula>
    </cfRule>
    <cfRule type="cellIs" dxfId="851" priority="27" stopIfTrue="1" operator="greaterThan">
      <formula>$F$39</formula>
    </cfRule>
    <cfRule type="cellIs" dxfId="850" priority="38" stopIfTrue="1" operator="lessThanOrEqual">
      <formula>0</formula>
    </cfRule>
    <cfRule type="cellIs" dxfId="849" priority="37" stopIfTrue="1" operator="greaterThan">
      <formula>$F$40</formula>
    </cfRule>
    <cfRule type="cellIs" dxfId="848" priority="35" stopIfTrue="1" operator="greaterThan">
      <formula>$F$42</formula>
    </cfRule>
  </conditionalFormatting>
  <conditionalFormatting sqref="H76">
    <cfRule type="cellIs" dxfId="847" priority="66" stopIfTrue="1" operator="lessThanOrEqual">
      <formula>0</formula>
    </cfRule>
    <cfRule type="cellIs" dxfId="846" priority="64" stopIfTrue="1" operator="lessThanOrEqual">
      <formula>0</formula>
    </cfRule>
    <cfRule type="cellIs" dxfId="845" priority="63" stopIfTrue="1" operator="greaterThan">
      <formula>$F$44</formula>
    </cfRule>
    <cfRule type="cellIs" dxfId="844" priority="55" stopIfTrue="1" operator="greaterThan">
      <formula>$F$41</formula>
    </cfRule>
    <cfRule type="cellIs" dxfId="843" priority="65" stopIfTrue="1" operator="greaterThan">
      <formula>$F$42</formula>
    </cfRule>
    <cfRule type="cellIs" dxfId="842" priority="54" stopIfTrue="1" operator="lessThanOrEqual">
      <formula>0</formula>
    </cfRule>
  </conditionalFormatting>
  <conditionalFormatting sqref="H77:H79">
    <cfRule type="cellIs" dxfId="841" priority="52" stopIfTrue="1" operator="lessThanOrEqual">
      <formula>0</formula>
    </cfRule>
    <cfRule type="cellIs" dxfId="840" priority="50" stopIfTrue="1" operator="lessThanOrEqual">
      <formula>0</formula>
    </cfRule>
    <cfRule type="cellIs" dxfId="839" priority="49" stopIfTrue="1" operator="greaterThan">
      <formula>$F$43</formula>
    </cfRule>
    <cfRule type="cellIs" dxfId="838" priority="51" stopIfTrue="1" operator="greaterThan">
      <formula>$F$41</formula>
    </cfRule>
    <cfRule type="cellIs" dxfId="837" priority="40" stopIfTrue="1" operator="lessThanOrEqual">
      <formula>0</formula>
    </cfRule>
    <cfRule type="cellIs" dxfId="836" priority="41" stopIfTrue="1" operator="greaterThan">
      <formula>$F$40</formula>
    </cfRule>
  </conditionalFormatting>
  <conditionalFormatting sqref="H80">
    <cfRule type="cellIs" dxfId="835" priority="84" stopIfTrue="1" operator="lessThanOrEqual">
      <formula>0</formula>
    </cfRule>
    <cfRule type="cellIs" dxfId="834" priority="73" stopIfTrue="1" operator="greaterThan">
      <formula>$F$56</formula>
    </cfRule>
    <cfRule type="cellIs" dxfId="833" priority="72" stopIfTrue="1" operator="lessThanOrEqual">
      <formula>0</formula>
    </cfRule>
    <cfRule type="cellIs" dxfId="832" priority="81" stopIfTrue="1" operator="greaterThan">
      <formula>$F$59</formula>
    </cfRule>
    <cfRule type="cellIs" dxfId="831" priority="82" stopIfTrue="1" operator="lessThanOrEqual">
      <formula>0</formula>
    </cfRule>
    <cfRule type="cellIs" dxfId="830" priority="83" stopIfTrue="1" operator="greaterThan">
      <formula>$F$57</formula>
    </cfRule>
  </conditionalFormatting>
  <conditionalFormatting sqref="H84:H91">
    <cfRule type="cellIs" dxfId="829" priority="105" stopIfTrue="1" operator="greaterThan">
      <formula>$J84</formula>
    </cfRule>
    <cfRule type="cellIs" dxfId="828" priority="106" stopIfTrue="1" operator="lessThanOrEqual">
      <formula>0</formula>
    </cfRule>
  </conditionalFormatting>
  <conditionalFormatting sqref="H92">
    <cfRule type="cellIs" dxfId="827" priority="109" operator="greaterThan">
      <formula>5.3</formula>
    </cfRule>
  </conditionalFormatting>
  <conditionalFormatting sqref="H95 H97:H103">
    <cfRule type="cellIs" dxfId="826" priority="144" stopIfTrue="1" operator="lessThanOrEqual">
      <formula>0</formula>
    </cfRule>
    <cfRule type="cellIs" dxfId="825" priority="143" stopIfTrue="1" operator="greaterThan">
      <formula>4.5</formula>
    </cfRule>
  </conditionalFormatting>
  <conditionalFormatting sqref="H75:I75">
    <cfRule type="cellIs" dxfId="824" priority="25" stopIfTrue="1" operator="greaterThan">
      <formula>$F$41</formula>
    </cfRule>
    <cfRule type="cellIs" dxfId="823" priority="28" stopIfTrue="1" operator="lessThanOrEqual">
      <formula>0</formula>
    </cfRule>
  </conditionalFormatting>
  <conditionalFormatting sqref="H76:I76">
    <cfRule type="cellIs" dxfId="822" priority="53" stopIfTrue="1" operator="greaterThan">
      <formula>$F$43</formula>
    </cfRule>
    <cfRule type="cellIs" dxfId="821" priority="56" stopIfTrue="1" operator="lessThanOrEqual">
      <formula>0</formula>
    </cfRule>
  </conditionalFormatting>
  <conditionalFormatting sqref="H77:I79">
    <cfRule type="cellIs" dxfId="820" priority="39" stopIfTrue="1" operator="greaterThan">
      <formula>$F$42</formula>
    </cfRule>
    <cfRule type="cellIs" dxfId="819" priority="42" stopIfTrue="1" operator="lessThanOrEqual">
      <formula>0</formula>
    </cfRule>
  </conditionalFormatting>
  <conditionalFormatting sqref="H80:I80">
    <cfRule type="cellIs" dxfId="818" priority="74" stopIfTrue="1" operator="lessThanOrEqual">
      <formula>0</formula>
    </cfRule>
    <cfRule type="cellIs" dxfId="817" priority="71" stopIfTrue="1" operator="greaterThan">
      <formula>$F$58</formula>
    </cfRule>
  </conditionalFormatting>
  <conditionalFormatting sqref="H93:I93">
    <cfRule type="cellIs" dxfId="816" priority="96" stopIfTrue="1" operator="greaterThan">
      <formula>$J93</formula>
    </cfRule>
    <cfRule type="cellIs" dxfId="815" priority="97" stopIfTrue="1" operator="lessThanOrEqual">
      <formula>0</formula>
    </cfRule>
  </conditionalFormatting>
  <conditionalFormatting sqref="I75">
    <cfRule type="cellIs" dxfId="814" priority="34" stopIfTrue="1" operator="lessThanOrEqual">
      <formula>0</formula>
    </cfRule>
    <cfRule type="cellIs" dxfId="813" priority="33" stopIfTrue="1" operator="greaterThan">
      <formula>$F$39</formula>
    </cfRule>
    <cfRule type="cellIs" dxfId="812" priority="29" stopIfTrue="1" operator="greaterThan">
      <formula>$F$39</formula>
    </cfRule>
    <cfRule type="cellIs" dxfId="811" priority="30" stopIfTrue="1" operator="lessThanOrEqual">
      <formula>0</formula>
    </cfRule>
    <cfRule type="cellIs" dxfId="810" priority="32" stopIfTrue="1" operator="lessThanOrEqual">
      <formula>0</formula>
    </cfRule>
    <cfRule type="cellIs" dxfId="809" priority="31" stopIfTrue="1" operator="greaterThan">
      <formula>$F$41</formula>
    </cfRule>
  </conditionalFormatting>
  <conditionalFormatting sqref="I76">
    <cfRule type="cellIs" dxfId="808" priority="62" stopIfTrue="1" operator="lessThanOrEqual">
      <formula>0</formula>
    </cfRule>
    <cfRule type="cellIs" dxfId="807" priority="60" stopIfTrue="1" operator="lessThanOrEqual">
      <formula>0</formula>
    </cfRule>
    <cfRule type="cellIs" dxfId="806" priority="57" stopIfTrue="1" operator="greaterThan">
      <formula>$F$41</formula>
    </cfRule>
    <cfRule type="cellIs" dxfId="805" priority="58" stopIfTrue="1" operator="lessThanOrEqual">
      <formula>0</formula>
    </cfRule>
    <cfRule type="cellIs" dxfId="804" priority="59" stopIfTrue="1" operator="greaterThan">
      <formula>$F$43</formula>
    </cfRule>
    <cfRule type="cellIs" dxfId="803" priority="61" stopIfTrue="1" operator="greaterThan">
      <formula>$F$41</formula>
    </cfRule>
  </conditionalFormatting>
  <conditionalFormatting sqref="I77:I79">
    <cfRule type="cellIs" dxfId="802" priority="48" stopIfTrue="1" operator="lessThanOrEqual">
      <formula>0</formula>
    </cfRule>
    <cfRule type="cellIs" dxfId="801" priority="47" stopIfTrue="1" operator="greaterThan">
      <formula>$F$40</formula>
    </cfRule>
    <cfRule type="cellIs" dxfId="800" priority="46" stopIfTrue="1" operator="lessThanOrEqual">
      <formula>0</formula>
    </cfRule>
    <cfRule type="cellIs" dxfId="799" priority="45" stopIfTrue="1" operator="greaterThan">
      <formula>$F$42</formula>
    </cfRule>
    <cfRule type="cellIs" dxfId="798" priority="43" stopIfTrue="1" operator="greaterThan">
      <formula>$F$40</formula>
    </cfRule>
    <cfRule type="cellIs" dxfId="797" priority="44" stopIfTrue="1" operator="lessThanOrEqual">
      <formula>0</formula>
    </cfRule>
  </conditionalFormatting>
  <conditionalFormatting sqref="I80">
    <cfRule type="cellIs" dxfId="796" priority="75" stopIfTrue="1" operator="greaterThan">
      <formula>$F$56</formula>
    </cfRule>
    <cfRule type="cellIs" dxfId="795" priority="76" stopIfTrue="1" operator="lessThanOrEqual">
      <formula>0</formula>
    </cfRule>
    <cfRule type="cellIs" dxfId="794" priority="77" stopIfTrue="1" operator="greaterThan">
      <formula>$F$58</formula>
    </cfRule>
    <cfRule type="cellIs" dxfId="793" priority="80" stopIfTrue="1" operator="lessThanOrEqual">
      <formula>0</formula>
    </cfRule>
    <cfRule type="cellIs" dxfId="792" priority="78" stopIfTrue="1" operator="lessThanOrEqual">
      <formula>0</formula>
    </cfRule>
    <cfRule type="cellIs" dxfId="791" priority="79" stopIfTrue="1" operator="greaterThan">
      <formula>$F$56</formula>
    </cfRule>
  </conditionalFormatting>
  <conditionalFormatting sqref="I84:I92">
    <cfRule type="cellIs" dxfId="790" priority="110" stopIfTrue="1" operator="greaterThan">
      <formula>$J84</formula>
    </cfRule>
    <cfRule type="cellIs" dxfId="789" priority="111" stopIfTrue="1" operator="lessThanOrEqual">
      <formula>0</formula>
    </cfRule>
  </conditionalFormatting>
  <conditionalFormatting sqref="I95:I103">
    <cfRule type="cellIs" dxfId="788" priority="139" stopIfTrue="1" operator="greaterThan">
      <formula>4.5</formula>
    </cfRule>
    <cfRule type="cellIs" dxfId="787" priority="140" stopIfTrue="1" operator="lessThanOrEqual">
      <formula>0</formula>
    </cfRule>
  </conditionalFormatting>
  <conditionalFormatting sqref="I10:J43">
    <cfRule type="cellIs" dxfId="786" priority="8" operator="lessThan">
      <formula>97.9</formula>
    </cfRule>
  </conditionalFormatting>
  <conditionalFormatting sqref="J46:J48">
    <cfRule type="cellIs" dxfId="785" priority="86" stopIfTrue="1" operator="lessThan">
      <formula>96.8</formula>
    </cfRule>
    <cfRule type="cellIs" dxfId="784" priority="87" stopIfTrue="1" operator="greaterThan">
      <formula>100</formula>
    </cfRule>
    <cfRule type="cellIs" dxfId="783" priority="88" operator="lessThan">
      <formula>98</formula>
    </cfRule>
  </conditionalFormatting>
  <conditionalFormatting sqref="J46:J50">
    <cfRule type="cellIs" dxfId="782" priority="85" operator="lessThan">
      <formula>97.4</formula>
    </cfRule>
  </conditionalFormatting>
  <conditionalFormatting sqref="J51">
    <cfRule type="cellIs" dxfId="781" priority="89" operator="lessThan">
      <formula>98</formula>
    </cfRule>
  </conditionalFormatting>
  <conditionalFormatting sqref="J53:J54">
    <cfRule type="cellIs" dxfId="780" priority="91" stopIfTrue="1" operator="greaterThan">
      <formula>100</formula>
    </cfRule>
    <cfRule type="cellIs" dxfId="779" priority="90" stopIfTrue="1" operator="lessThan">
      <formula>96.8</formula>
    </cfRule>
  </conditionalFormatting>
  <conditionalFormatting sqref="J53:J55">
    <cfRule type="cellIs" dxfId="778" priority="92" operator="lessThan">
      <formula>98</formula>
    </cfRule>
  </conditionalFormatting>
  <conditionalFormatting sqref="J93">
    <cfRule type="cellIs" dxfId="777" priority="94" stopIfTrue="1" operator="lessThanOrEqual">
      <formula>0</formula>
    </cfRule>
    <cfRule type="cellIs" dxfId="776" priority="93" stopIfTrue="1" operator="greaterThan">
      <formula>$F93</formula>
    </cfRule>
  </conditionalFormatting>
  <conditionalFormatting sqref="K10:K43">
    <cfRule type="cellIs" dxfId="775" priority="5" operator="greaterThan">
      <formula>6</formula>
    </cfRule>
    <cfRule type="cellIs" dxfId="774" priority="6" operator="lessThan">
      <formula>4</formula>
    </cfRule>
    <cfRule type="cellIs" dxfId="773" priority="7" operator="greaterThan">
      <formula>6.4</formula>
    </cfRule>
  </conditionalFormatting>
  <conditionalFormatting sqref="K75:K80">
    <cfRule type="cellIs" dxfId="772" priority="69" stopIfTrue="1" operator="lessThan">
      <formula>100%</formula>
    </cfRule>
  </conditionalFormatting>
  <conditionalFormatting sqref="K95:K100">
    <cfRule type="cellIs" dxfId="771" priority="145" stopIfTrue="1" operator="lessThan">
      <formula>100%</formula>
    </cfRule>
  </conditionalFormatting>
  <conditionalFormatting sqref="K102:K103">
    <cfRule type="cellIs" dxfId="770" priority="152" stopIfTrue="1" operator="lessThan">
      <formula>100%</formula>
    </cfRule>
  </conditionalFormatting>
  <conditionalFormatting sqref="K84:N92">
    <cfRule type="cellIs" dxfId="769" priority="1" stopIfTrue="1" operator="lessThan">
      <formula>100%</formula>
    </cfRule>
  </conditionalFormatting>
  <conditionalFormatting sqref="L10:L43">
    <cfRule type="cellIs" dxfId="768" priority="12" operator="greaterThan">
      <formula>65</formula>
    </cfRule>
    <cfRule type="cellIs" dxfId="767" priority="11" operator="between">
      <formula>61</formula>
      <formula>65</formula>
    </cfRule>
  </conditionalFormatting>
  <conditionalFormatting sqref="L46:M57">
    <cfRule type="cellIs" dxfId="766" priority="100" operator="lessThan">
      <formula>98</formula>
    </cfRule>
  </conditionalFormatting>
  <conditionalFormatting sqref="L61:N61">
    <cfRule type="cellIs" dxfId="765" priority="70" operator="notEqual">
      <formula>#REF!</formula>
    </cfRule>
  </conditionalFormatting>
  <conditionalFormatting sqref="L93:N93">
    <cfRule type="cellIs" dxfId="764" priority="95" stopIfTrue="1" operator="lessThan">
      <formula>100%</formula>
    </cfRule>
  </conditionalFormatting>
  <conditionalFormatting sqref="L95:N103">
    <cfRule type="cellIs" dxfId="763" priority="130" stopIfTrue="1" operator="lessThan">
      <formula>100%</formula>
    </cfRule>
  </conditionalFormatting>
  <conditionalFormatting sqref="M10:M43">
    <cfRule type="expression" dxfId="762" priority="10">
      <formula>IF(+(IF(M10&lt;U10,0,IF(M10&gt;V10,0,1)))=0,1)</formula>
    </cfRule>
  </conditionalFormatting>
  <conditionalFormatting sqref="N10:N43">
    <cfRule type="expression" dxfId="761" priority="2">
      <formula>IF(+(IF(N10&lt;W10,0,IF(N10&gt;X10,0,1)))=0,1)</formula>
    </cfRule>
  </conditionalFormatting>
  <conditionalFormatting sqref="P6">
    <cfRule type="cellIs" dxfId="760" priority="126" operator="greaterThanOrEqual">
      <formula>19</formula>
    </cfRule>
  </conditionalFormatting>
  <dataValidations count="1">
    <dataValidation type="list" allowBlank="1" showInputMessage="1" showErrorMessage="1" sqref="R8" xr:uid="{D8F41D11-3EAF-4225-AE31-8956B3AF9AF5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9D10-D99F-40BC-8FB6-C011D87689F8}">
  <sheetPr>
    <pageSetUpPr fitToPage="1"/>
  </sheetPr>
  <dimension ref="A1:BE98"/>
  <sheetViews>
    <sheetView topLeftCell="A17" zoomScale="70" zoomScaleNormal="70" workbookViewId="0">
      <selection activeCell="C15" sqref="C1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45862</v>
      </c>
      <c r="J4" s="398" t="s">
        <v>199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29" t="s">
        <v>6</v>
      </c>
      <c r="C10" s="366" t="str">
        <f>[23]Brewhouse!$A638</f>
        <v>CA531</v>
      </c>
      <c r="D10" s="279">
        <f>[23]Brewhouse!$AF638</f>
        <v>51.8</v>
      </c>
      <c r="E10" s="279">
        <f>[23]Brewhouse!$AI638</f>
        <v>49.9</v>
      </c>
      <c r="F10" s="278">
        <f>[23]Brewhouse!$V638</f>
        <v>54</v>
      </c>
      <c r="G10" s="279">
        <f>[23]Brewhouse!$AG638</f>
        <v>12</v>
      </c>
      <c r="H10" s="396">
        <v>12</v>
      </c>
      <c r="I10" s="368">
        <f>[23]Brewhouse!$AU638</f>
        <v>99.055189518738786</v>
      </c>
      <c r="J10" s="368">
        <f>[23]Brewhouse!$AV638</f>
        <v>99.54106895289118</v>
      </c>
      <c r="K10" s="281">
        <f>[23]Brewhouse!$Q638</f>
        <v>7.7978339350180521</v>
      </c>
      <c r="L10" s="276">
        <f>[23]Brewhouse!$P638</f>
        <v>63</v>
      </c>
      <c r="M10" s="397">
        <f>[23]Brewhouse!$U638-[23]Brewhouse!$T638</f>
        <v>0.11180555555555549</v>
      </c>
      <c r="N10" s="370">
        <f>[23]Brewhouse!$Z638</f>
        <v>0.2451388888888888</v>
      </c>
      <c r="O10" s="371" t="str">
        <f>[23]Brewhouse!$AX638</f>
        <v>K.Benjamin</v>
      </c>
      <c r="P10" s="339"/>
      <c r="R10" s="277" t="str">
        <f t="shared" ref="R10:R45" si="0">B10</f>
        <v>CARIB</v>
      </c>
      <c r="S10" s="296">
        <f t="shared" ref="S10:S45" si="1">VLOOKUP($B10,$R$3:$X$9,2,FALSE)</f>
        <v>11.6</v>
      </c>
      <c r="T10" s="296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29" t="s">
        <v>6</v>
      </c>
      <c r="C11" s="366" t="str">
        <f>[23]Brewhouse!$A639</f>
        <v>CA532</v>
      </c>
      <c r="D11" s="279">
        <f>[23]Brewhouse!$AF639</f>
        <v>52.2</v>
      </c>
      <c r="E11" s="279">
        <f>[23]Brewhouse!$AI639</f>
        <v>50.4</v>
      </c>
      <c r="F11" s="278">
        <f>[23]Brewhouse!$V639</f>
        <v>61</v>
      </c>
      <c r="G11" s="279">
        <f>[23]Brewhouse!$AG639</f>
        <v>11.8</v>
      </c>
      <c r="H11" s="396">
        <v>12</v>
      </c>
      <c r="I11" s="368">
        <f>[23]Brewhouse!$AU639</f>
        <v>99.280004783298395</v>
      </c>
      <c r="J11" s="368">
        <f>[23]Brewhouse!$AV639</f>
        <v>99.78779530134797</v>
      </c>
      <c r="K11" s="281">
        <f>[23]Brewhouse!$Q639</f>
        <v>7.410071942446038</v>
      </c>
      <c r="L11" s="276">
        <f>[23]Brewhouse!$P639</f>
        <v>62</v>
      </c>
      <c r="M11" s="397">
        <f>[23]Brewhouse!$U639-[23]Brewhouse!$T639</f>
        <v>0.11180555555555555</v>
      </c>
      <c r="N11" s="370">
        <f>[23]Brewhouse!$Z639</f>
        <v>0.24444444444444444</v>
      </c>
      <c r="O11" s="371" t="str">
        <f>[23]Brewhouse!$AX639</f>
        <v>R. Regis</v>
      </c>
      <c r="P11" s="419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[23]Brewhouse!$A640</f>
        <v>CA533</v>
      </c>
      <c r="D12" s="279">
        <f>[23]Brewhouse!$AF640</f>
        <v>52.5</v>
      </c>
      <c r="E12" s="279">
        <f>[23]Brewhouse!$AI640</f>
        <v>50.5</v>
      </c>
      <c r="F12" s="278">
        <f>[23]Brewhouse!$V640</f>
        <v>64</v>
      </c>
      <c r="G12" s="279">
        <f>[23]Brewhouse!$AG640</f>
        <v>11.6</v>
      </c>
      <c r="H12" s="396">
        <v>11.6</v>
      </c>
      <c r="I12" s="368">
        <f>[23]Brewhouse!$AU640</f>
        <v>97.703493169177563</v>
      </c>
      <c r="J12" s="368">
        <f>[23]Brewhouse!$AV640</f>
        <v>98.203220254404059</v>
      </c>
      <c r="K12" s="281">
        <f>[23]Brewhouse!$Q640</f>
        <v>7.7558348294434474</v>
      </c>
      <c r="L12" s="276">
        <f>[23]Brewhouse!$P640</f>
        <v>60</v>
      </c>
      <c r="M12" s="397">
        <f>[23]Brewhouse!$U640-[23]Brewhouse!$T640</f>
        <v>0.10972222222222222</v>
      </c>
      <c r="N12" s="370">
        <f>[23]Brewhouse!$Z640</f>
        <v>0.25</v>
      </c>
      <c r="O12" s="371" t="str">
        <f>[23]Brewhouse!$AX640</f>
        <v>R. Regis</v>
      </c>
      <c r="P12" s="419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[23]Brewhouse!$A641</f>
        <v>CA534</v>
      </c>
      <c r="D13" s="279">
        <f>[23]Brewhouse!$AF641</f>
        <v>52.2</v>
      </c>
      <c r="E13" s="279">
        <f>[23]Brewhouse!$AI641</f>
        <v>50.4</v>
      </c>
      <c r="F13" s="278">
        <f>[23]Brewhouse!$V641</f>
        <v>59</v>
      </c>
      <c r="G13" s="279">
        <f>[23]Brewhouse!$AG641</f>
        <v>11.7</v>
      </c>
      <c r="H13" s="396">
        <v>11.8</v>
      </c>
      <c r="I13" s="368">
        <f>[23]Brewhouse!$AU641</f>
        <v>98.395012844387324</v>
      </c>
      <c r="J13" s="368">
        <f>[23]Brewhouse!$AV641</f>
        <v>98.898276866733056</v>
      </c>
      <c r="K13" s="281">
        <f>[23]Brewhouse!$Q641</f>
        <v>7.9069767441860366</v>
      </c>
      <c r="L13" s="276">
        <f>[23]Brewhouse!$P641</f>
        <v>61</v>
      </c>
      <c r="M13" s="397">
        <f>[23]Brewhouse!$U641-[23]Brewhouse!$T641</f>
        <v>0.10694444444444445</v>
      </c>
      <c r="N13" s="370">
        <f>[23]Brewhouse!$Z641</f>
        <v>0.31388888888888888</v>
      </c>
      <c r="O13" s="371" t="str">
        <f>[23]Brewhouse!$AX641</f>
        <v>R. Regis</v>
      </c>
      <c r="P13" s="419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[23]Brewhouse!$A642</f>
        <v>CA535</v>
      </c>
      <c r="D14" s="279">
        <f>[23]Brewhouse!$AF642</f>
        <v>53</v>
      </c>
      <c r="E14" s="279">
        <f>[23]Brewhouse!$AI642</f>
        <v>51.1</v>
      </c>
      <c r="F14" s="278">
        <f>[23]Brewhouse!$V642</f>
        <v>61</v>
      </c>
      <c r="G14" s="279">
        <f>[23]Brewhouse!$AG642</f>
        <v>11.7</v>
      </c>
      <c r="H14" s="396">
        <v>11.6</v>
      </c>
      <c r="I14" s="368">
        <f>[23]Brewhouse!$AU642</f>
        <v>99.267754869638566</v>
      </c>
      <c r="J14" s="368">
        <f>[23]Brewhouse!$AV642</f>
        <v>99.775594358262993</v>
      </c>
      <c r="K14" s="281">
        <f>[23]Brewhouse!$Q642</f>
        <v>7.1914132379248583</v>
      </c>
      <c r="L14" s="276">
        <f>[23]Brewhouse!$P642</f>
        <v>59</v>
      </c>
      <c r="M14" s="397">
        <f>[23]Brewhouse!$U642-[23]Brewhouse!$T642</f>
        <v>0.10486111111111107</v>
      </c>
      <c r="N14" s="370">
        <f>[23]Brewhouse!$Z642</f>
        <v>0.24722222222222223</v>
      </c>
      <c r="O14" s="371" t="str">
        <f>[23]Brewhouse!$AX642</f>
        <v>D. Gomez</v>
      </c>
      <c r="P14" s="419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[23]Brewhouse!$A643</f>
        <v>CA536</v>
      </c>
      <c r="D15" s="279">
        <f>[23]Brewhouse!$AF643</f>
        <v>53</v>
      </c>
      <c r="E15" s="279">
        <f>[23]Brewhouse!$AI643</f>
        <v>51.6</v>
      </c>
      <c r="F15" s="278">
        <f>[23]Brewhouse!$V643</f>
        <v>64</v>
      </c>
      <c r="G15" s="279">
        <f>[23]Brewhouse!$AG643</f>
        <v>11.6</v>
      </c>
      <c r="H15" s="396">
        <v>11.6</v>
      </c>
      <c r="I15" s="368">
        <f>[23]Brewhouse!$AU643</f>
        <v>98.363616167337554</v>
      </c>
      <c r="J15" s="368">
        <f>[23]Brewhouse!$AV643</f>
        <v>98.867048178418187</v>
      </c>
      <c r="K15" s="281">
        <f>[23]Brewhouse!$Q643</f>
        <v>5.1179673321234125</v>
      </c>
      <c r="L15" s="276">
        <f>[23]Brewhouse!$P643</f>
        <v>59</v>
      </c>
      <c r="M15" s="397">
        <f>[23]Brewhouse!$U643-[23]Brewhouse!$T643</f>
        <v>0.10555555555555562</v>
      </c>
      <c r="N15" s="370">
        <f>[23]Brewhouse!$Z643</f>
        <v>0.24236111111111114</v>
      </c>
      <c r="O15" s="371" t="str">
        <f>[23]Brewhouse!$AX643</f>
        <v>D. Gomez</v>
      </c>
      <c r="P15" s="419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9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3" t="s">
        <v>9</v>
      </c>
      <c r="C18" s="366" t="str">
        <f>[24]Brewhouse!$A311</f>
        <v>ST291</v>
      </c>
      <c r="D18" s="279">
        <f>[24]Brewhouse!$AD311</f>
        <v>48.8</v>
      </c>
      <c r="E18" s="279">
        <f>[24]Brewhouse!$AG311</f>
        <v>48.1</v>
      </c>
      <c r="F18" s="278">
        <f>[24]Brewhouse!$V311</f>
        <v>62</v>
      </c>
      <c r="G18" s="279">
        <f>[24]Brewhouse!$AE311</f>
        <v>11.6</v>
      </c>
      <c r="H18" s="396">
        <v>11.8</v>
      </c>
      <c r="I18" s="427">
        <f>[24]Brewhouse!$AS311</f>
        <v>93.975252209934993</v>
      </c>
      <c r="J18" s="427">
        <f>[24]Brewhouse!$AT311</f>
        <v>94.372664892828595</v>
      </c>
      <c r="K18" s="281">
        <f>[24]Brewhouse!$Q311</f>
        <v>14.018691588785046</v>
      </c>
      <c r="L18" s="276">
        <f>[24]Brewhouse!$P311</f>
        <v>61</v>
      </c>
      <c r="M18" s="374">
        <f>[24]Brewhouse!$U311-[24]Brewhouse!$T311</f>
        <v>0.11041666666666661</v>
      </c>
      <c r="N18" s="370">
        <f>[24]Brewhouse!$AW311</f>
        <v>0.25486111111111109</v>
      </c>
      <c r="O18" s="428" t="str">
        <f>[24]Brewhouse!$AV311</f>
        <v>D. Gomaz</v>
      </c>
      <c r="P18" s="419"/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33" t="s">
        <v>9</v>
      </c>
      <c r="C19" s="366" t="str">
        <f>[24]Brewhouse!$A312</f>
        <v>ST292</v>
      </c>
      <c r="D19" s="279">
        <f>[24]Brewhouse!$AD312</f>
        <v>48.5</v>
      </c>
      <c r="E19" s="279">
        <f>[24]Brewhouse!$AG312</f>
        <v>49.3</v>
      </c>
      <c r="F19" s="278">
        <f>[24]Brewhouse!$V312</f>
        <v>64</v>
      </c>
      <c r="G19" s="279">
        <f>[24]Brewhouse!$AE312</f>
        <v>12.2</v>
      </c>
      <c r="H19" s="396">
        <v>12.2</v>
      </c>
      <c r="I19" s="427">
        <f>[24]Brewhouse!$AS312</f>
        <v>101.56488400108132</v>
      </c>
      <c r="J19" s="427">
        <f>[24]Brewhouse!$AT312</f>
        <v>101.99439253752536</v>
      </c>
      <c r="K19" s="281">
        <f>[24]Brewhouse!$Q312</f>
        <v>10.344827586206893</v>
      </c>
      <c r="L19" s="276">
        <f>[24]Brewhouse!$P312</f>
        <v>58</v>
      </c>
      <c r="M19" s="374">
        <f>[24]Brewhouse!$U312-[24]Brewhouse!$T312</f>
        <v>0.1131944444444446</v>
      </c>
      <c r="N19" s="370">
        <f>[24]Brewhouse!$AW312</f>
        <v>0.24305555555555569</v>
      </c>
      <c r="O19" s="428" t="str">
        <f>[24]Brewhouse!$AV312</f>
        <v>D. Gomaz</v>
      </c>
      <c r="P19" s="419"/>
      <c r="R19" s="277" t="str">
        <f t="shared" si="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33" t="s">
        <v>9</v>
      </c>
      <c r="C20" s="366" t="str">
        <f>[24]Brewhouse!$A313</f>
        <v>ST293</v>
      </c>
      <c r="D20" s="279">
        <f>[24]Brewhouse!$AD313</f>
        <v>49.5</v>
      </c>
      <c r="E20" s="279">
        <f>[24]Brewhouse!$AG313</f>
        <v>49.4</v>
      </c>
      <c r="F20" s="278">
        <f>[24]Brewhouse!$V313</f>
        <v>56</v>
      </c>
      <c r="G20" s="279">
        <f>[24]Brewhouse!$AE313</f>
        <v>12</v>
      </c>
      <c r="H20" s="367"/>
      <c r="I20" s="427">
        <f>[24]Brewhouse!$AS313</f>
        <v>99.768359962874058</v>
      </c>
      <c r="J20" s="427">
        <f>[24]Brewhouse!$AT313</f>
        <v>100.19054909802605</v>
      </c>
      <c r="K20" s="281">
        <f>[24]Brewhouse!$Q313</f>
        <v>14.022140221402216</v>
      </c>
      <c r="L20" s="276">
        <f>[24]Brewhouse!$P313</f>
        <v>61</v>
      </c>
      <c r="M20" s="374">
        <f>[24]Brewhouse!$U313-[24]Brewhouse!$T313</f>
        <v>0.1069444444444444</v>
      </c>
      <c r="N20" s="370">
        <f>[24]Brewhouse!$AW313</f>
        <v>0.23888888888888882</v>
      </c>
      <c r="O20" s="428" t="str">
        <f>[24]Brewhouse!$AV313</f>
        <v>K. Benjamin</v>
      </c>
      <c r="P20" s="419"/>
      <c r="R20" s="277" t="str">
        <f t="shared" si="0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33" t="s">
        <v>9</v>
      </c>
      <c r="C21" s="366" t="str">
        <f>[24]Brewhouse!$A314</f>
        <v>ST294</v>
      </c>
      <c r="D21" s="279">
        <f>[24]Brewhouse!$AD314</f>
        <v>50.1</v>
      </c>
      <c r="E21" s="279">
        <f>[24]Brewhouse!$AG314</f>
        <v>50.5</v>
      </c>
      <c r="F21" s="278">
        <f>[24]Brewhouse!$V314</f>
        <v>59</v>
      </c>
      <c r="G21" s="279">
        <f>[24]Brewhouse!$AE314</f>
        <v>11.8</v>
      </c>
      <c r="H21" s="367"/>
      <c r="I21" s="427">
        <f>[24]Brewhouse!$AS314</f>
        <v>100.20347494466111</v>
      </c>
      <c r="J21" s="427">
        <f>[24]Brewhouse!$AT314</f>
        <v>100.6275053531178</v>
      </c>
      <c r="K21" s="281">
        <f>[24]Brewhouse!$Q314</f>
        <v>13.333333333333325</v>
      </c>
      <c r="L21" s="276">
        <f>[24]Brewhouse!$P314</f>
        <v>58</v>
      </c>
      <c r="M21" s="374">
        <f>[24]Brewhouse!$U314-[24]Brewhouse!$T314</f>
        <v>0.10902777777777772</v>
      </c>
      <c r="N21" s="370">
        <f>[24]Brewhouse!$AW314</f>
        <v>0.24027777777777781</v>
      </c>
      <c r="O21" s="428" t="str">
        <f>[24]Brewhouse!$AV314</f>
        <v>K. Benjamin</v>
      </c>
      <c r="P21" s="419"/>
      <c r="R21" s="277" t="str">
        <f t="shared" si="0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33"/>
      <c r="C22" s="366"/>
      <c r="D22" s="279"/>
      <c r="E22" s="279"/>
      <c r="F22" s="278"/>
      <c r="G22" s="279"/>
      <c r="H22" s="396"/>
      <c r="I22" s="427"/>
      <c r="J22" s="427"/>
      <c r="K22" s="281"/>
      <c r="L22" s="276"/>
      <c r="M22" s="374"/>
      <c r="N22" s="370"/>
      <c r="O22" s="428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6" hidden="1" customHeight="1">
      <c r="B23" s="33"/>
      <c r="C23" s="366"/>
      <c r="D23" s="279"/>
      <c r="E23" s="279"/>
      <c r="F23" s="278"/>
      <c r="G23" s="279"/>
      <c r="H23" s="396"/>
      <c r="I23" s="427"/>
      <c r="J23" s="427"/>
      <c r="K23" s="281"/>
      <c r="L23" s="276"/>
      <c r="M23" s="374"/>
      <c r="N23" s="370"/>
      <c r="O23" s="428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4.4" hidden="1">
      <c r="B24" s="33"/>
      <c r="C24" s="366"/>
      <c r="D24" s="279"/>
      <c r="E24" s="279"/>
      <c r="F24" s="278"/>
      <c r="G24" s="279"/>
      <c r="H24" s="396"/>
      <c r="I24" s="427"/>
      <c r="J24" s="427"/>
      <c r="K24" s="281"/>
      <c r="L24" s="276"/>
      <c r="M24" s="374"/>
      <c r="N24" s="370"/>
      <c r="O24" s="428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3"/>
      <c r="C25" s="366"/>
      <c r="D25" s="279"/>
      <c r="E25" s="279"/>
      <c r="F25" s="278"/>
      <c r="G25" s="279"/>
      <c r="H25" s="396"/>
      <c r="I25" s="427"/>
      <c r="J25" s="427"/>
      <c r="K25" s="281"/>
      <c r="L25" s="276"/>
      <c r="M25" s="374"/>
      <c r="N25" s="370"/>
      <c r="O25" s="428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3"/>
      <c r="C26" s="366"/>
      <c r="D26" s="279"/>
      <c r="E26" s="279"/>
      <c r="F26" s="278"/>
      <c r="G26" s="279"/>
      <c r="H26" s="396"/>
      <c r="I26" s="427"/>
      <c r="J26" s="427"/>
      <c r="K26" s="281"/>
      <c r="L26" s="276"/>
      <c r="M26" s="374"/>
      <c r="N26" s="370"/>
      <c r="O26" s="428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3"/>
      <c r="C27" s="366"/>
      <c r="D27" s="279"/>
      <c r="E27" s="279"/>
      <c r="F27" s="278"/>
      <c r="G27" s="279"/>
      <c r="H27" s="396"/>
      <c r="I27" s="427"/>
      <c r="J27" s="427"/>
      <c r="K27" s="281"/>
      <c r="L27" s="276"/>
      <c r="M27" s="374"/>
      <c r="N27" s="370"/>
      <c r="O27" s="428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27"/>
      <c r="J28" s="427"/>
      <c r="K28" s="281"/>
      <c r="L28" s="276"/>
      <c r="M28" s="374"/>
      <c r="N28" s="370"/>
      <c r="O28" s="428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33"/>
      <c r="C29" s="366"/>
      <c r="D29" s="279"/>
      <c r="E29" s="279"/>
      <c r="F29" s="278"/>
      <c r="G29" s="279"/>
      <c r="H29" s="396"/>
      <c r="I29" s="427"/>
      <c r="J29" s="427"/>
      <c r="K29" s="281"/>
      <c r="L29" s="276"/>
      <c r="M29" s="374"/>
      <c r="N29" s="370"/>
      <c r="O29" s="428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33"/>
      <c r="C30" s="366"/>
      <c r="D30" s="279"/>
      <c r="E30" s="279"/>
      <c r="F30" s="278"/>
      <c r="G30" s="279"/>
      <c r="H30" s="396"/>
      <c r="I30" s="427"/>
      <c r="J30" s="427"/>
      <c r="K30" s="281"/>
      <c r="L30" s="276"/>
      <c r="M30" s="374"/>
      <c r="N30" s="370"/>
      <c r="O30" s="428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27"/>
      <c r="J31" s="427"/>
      <c r="K31" s="281"/>
      <c r="L31" s="276"/>
      <c r="M31" s="374"/>
      <c r="N31" s="370"/>
      <c r="O31" s="428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27"/>
      <c r="J32" s="427"/>
      <c r="K32" s="281"/>
      <c r="L32" s="276"/>
      <c r="M32" s="374"/>
      <c r="N32" s="370"/>
      <c r="O32" s="428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93" t="str">
        <f>I47</f>
        <v>STAG</v>
      </c>
      <c r="C46" s="362">
        <f>[24]Process!D275</f>
        <v>12</v>
      </c>
      <c r="D46" s="536">
        <v>12.13</v>
      </c>
      <c r="E46" s="525"/>
      <c r="F46" s="294"/>
      <c r="G46" s="294"/>
      <c r="H46" s="348"/>
      <c r="I46" s="29" t="s">
        <v>6</v>
      </c>
      <c r="J46" s="280">
        <f>AVERAGE(I10:I15)</f>
        <v>98.677511892096376</v>
      </c>
      <c r="K46" s="284">
        <f>COUNTA([23]Brewhouse!$A$580:$A$643)</f>
        <v>64</v>
      </c>
      <c r="L46" s="305">
        <f>AVERAGE([23]Brewhouse!$AU$580:$AU$643)</f>
        <v>98.909314329671759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AVERAGE([23]Brewhouse!$AU$102:$AU$171,[23]Brewhouse!$AU$173:$AU$253,[23]Brewhouse!$AU$255:$AU$339,[23]Brewhouse!$AU$341:$AU$346,[23]Brewhouse!$AU$348,[23]Brewhouse!$AU$349:$AU$406,[23]Brewhouse!$AU$408:$AU$491,[23]Brewhouse!$AU$493:$AU$578,[23]Brewhouse!$AU$580:$AU$643)</f>
        <v>97.888561764422391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590"/>
      <c r="C47" s="349">
        <f>[24]Process!D276</f>
        <v>11.9</v>
      </c>
      <c r="D47" s="537"/>
      <c r="E47" s="520"/>
      <c r="F47" s="294"/>
      <c r="G47" s="294"/>
      <c r="H47" s="348"/>
      <c r="I47" s="33" t="s">
        <v>9</v>
      </c>
      <c r="J47" s="280">
        <f>AVERAGE(I18:I21)</f>
        <v>98.877992779637879</v>
      </c>
      <c r="K47" s="284">
        <f>COUNTA([24]Brewhouse!$A$275:$A$314)</f>
        <v>40</v>
      </c>
      <c r="L47" s="302">
        <f>AVERAGE([24]Brewhouse!$AS$275:$AS$314)</f>
        <v>99.120382152426913</v>
      </c>
      <c r="M47" s="302">
        <f>AVERAGE([24]Brewhouse!$AS$15:$AS$64,[24]Brewhouse!$AS$66:$AS$103,[24]Brewhouse!$AS$105:$AS$140,[24]Brewhouse!$AS$142:$AS$193,[24]Brewhouse!$AS$195:$AS$240,[24]Brewhouse!$AS$242:$AS$273,[24]Brewhouse!$AS$275:$AS$314)</f>
        <v>98.045527912145516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0"/>
      <c r="C48" s="349">
        <f>[24]Process!D277</f>
        <v>11.9</v>
      </c>
      <c r="D48" s="536">
        <v>12.19</v>
      </c>
      <c r="E48" s="525"/>
      <c r="F48" s="294"/>
      <c r="G48" s="294"/>
      <c r="H48" s="348"/>
      <c r="I48" s="34" t="s">
        <v>12</v>
      </c>
      <c r="J48" s="280"/>
      <c r="K48" s="284">
        <f>COUNTA([25]Brewhouse!$A$64:$A$79)</f>
        <v>16</v>
      </c>
      <c r="L48" s="302">
        <f>AVERAGE([25]Brewhouse!$AU$64:$AU$79)</f>
        <v>96.467346973315216</v>
      </c>
      <c r="M48" s="302">
        <f>AVERAGE([25]Brewhouse!$AU$4:$AU$7,[25]Brewhouse!$AU$9:$AU$22,[25]Brewhouse!$AU$24:$AU$35,[25]Brewhouse!$AU$37:$AU$45,[25]Brewhouse!$AU$47:$AU$62,[25]Brewhouse!$AU$64:$AU$79)</f>
        <v>97.0189196363294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0"/>
      <c r="C49" s="349">
        <f>[24]Process!D278</f>
        <v>11.9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0"/>
      <c r="C50" s="349">
        <f>[24]Process!D279</f>
        <v>12.3</v>
      </c>
      <c r="D50" s="536">
        <v>12.08</v>
      </c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590"/>
      <c r="C51" s="349">
        <f>[24]Process!D280</f>
        <v>11.7</v>
      </c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0"/>
      <c r="C52" s="349">
        <f>[24]Process!D281</f>
        <v>11.6</v>
      </c>
      <c r="D52" s="536">
        <v>12.2</v>
      </c>
      <c r="E52" s="525"/>
      <c r="F52" s="418"/>
      <c r="G52" s="294"/>
      <c r="H52" s="348"/>
      <c r="I52" s="37" t="s">
        <v>16</v>
      </c>
      <c r="J52" s="323"/>
      <c r="K52" s="284">
        <f>COUNTA([22]Brewhouse!$A$56:$A$65)</f>
        <v>10</v>
      </c>
      <c r="L52" s="302">
        <f>AVERAGE([22]Brewhouse!$AY$56:$AY$65)</f>
        <v>99.275500637605006</v>
      </c>
      <c r="M52" s="302">
        <f>AVERAGE([22]Brewhouse!$AY$6:$AY$13,[22]Brewhouse!$AY$15:$AY$20,[22]Brewhouse!$AY$22:$AY$29,[22]Brewhouse!$AY$31:$AY$34,[22]Brewhouse!$AY$36:$AY$43,[22]Brewhouse!$AY$45:$AY$50, [22]Brewhouse!$AY$56:$AY$65)</f>
        <v>97.145199955194968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0"/>
      <c r="C53" s="349">
        <f>[24]Process!D282</f>
        <v>11.7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590"/>
      <c r="C54" s="349"/>
      <c r="D54" s="536"/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0"/>
      <c r="C55" s="349"/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590"/>
      <c r="C56" s="349"/>
      <c r="D56" s="536"/>
      <c r="E56" s="525"/>
      <c r="F56" s="294"/>
      <c r="G56" s="294"/>
      <c r="H56" s="348"/>
      <c r="I56" s="1"/>
      <c r="J56" s="39"/>
      <c r="K56" s="404">
        <f>SUM(K46:K55)</f>
        <v>138</v>
      </c>
      <c r="L56" s="405">
        <f>((L46*K46)+(L47*K47)+(L48*K48)+(L49*K49)+(L50*K50)+(K53*L53)+(L51*K51)+(L52*K52)+(L55*K55))/(K56)</f>
        <v>98.754891634549168</v>
      </c>
      <c r="M56" s="405">
        <f>AVERAGE('[31]Jan 31st'!$L$65,'[32]Feb 28th'!$L$35,'[33]Mar. 31st'!$L$35,'[34]Apr. 30th'!$L$45,'[35]May 30th'!$L$37,L56)</f>
        <v>97.822357511986368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91"/>
      <c r="C57" s="350"/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89"/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90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90"/>
      <c r="C60" s="349"/>
      <c r="D60" s="573"/>
      <c r="E60" s="574"/>
      <c r="F60" s="294"/>
      <c r="G60" s="42"/>
      <c r="H60" s="41"/>
      <c r="I60" s="42"/>
      <c r="J60" s="287" t="s">
        <v>6</v>
      </c>
      <c r="K60" s="324">
        <v>6</v>
      </c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90"/>
      <c r="C61" s="349"/>
      <c r="D61" s="519"/>
      <c r="E61" s="520"/>
      <c r="F61" s="294"/>
      <c r="G61" s="42"/>
      <c r="H61" s="41"/>
      <c r="I61" s="42"/>
      <c r="J61" s="345" t="s">
        <v>9</v>
      </c>
      <c r="K61" s="324">
        <v>4</v>
      </c>
      <c r="L61" s="344">
        <f>AVERAGE(K70,'July 1st'!K67,'July 2nd'!K68,'July 3rd'!K68,'July 4th'!K68,'July 7th '!K68,'July 8th '!K68,'July 9th  '!K69,'July 10th '!K69,'July 11th  '!K69,'July 14th'!K69,'July 15th'!K69,'July 16th '!K69,'July 17th '!K70,'July 21st'!K70)</f>
        <v>8.4</v>
      </c>
      <c r="M61" s="325">
        <f>AVERAGE('[31]Jan 29th '!$M$70,'[32]Feb 28th'!$L$40,'[33]Mar. 31st'!$L$40,'[34]Apr. 30th'!$L$50,'[35]May 30th'!$L$42,L61)</f>
        <v>6.9344401974836751</v>
      </c>
      <c r="N61" s="417">
        <v>9.1999999999999993</v>
      </c>
      <c r="O61" s="294"/>
      <c r="P61" s="12"/>
    </row>
    <row r="62" spans="1:56" ht="15" customHeight="1">
      <c r="B62" s="590"/>
      <c r="C62" s="349"/>
      <c r="D62" s="573"/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90"/>
      <c r="C63" s="349"/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90"/>
      <c r="C64" s="349"/>
      <c r="D64" s="573"/>
      <c r="E64" s="574"/>
      <c r="F64" s="294"/>
      <c r="G64" s="42"/>
      <c r="H64" s="41"/>
      <c r="I64" s="42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90"/>
      <c r="C65" s="349"/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90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602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>
        <f>AVERAGE(D46:E67)</f>
        <v>12.149999999999999</v>
      </c>
      <c r="E68" s="578"/>
      <c r="F68" s="294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10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9.4" customHeight="1" thickBot="1">
      <c r="B75" s="432" t="str">
        <f>B85</f>
        <v>STAG</v>
      </c>
      <c r="C75" s="464">
        <v>45861</v>
      </c>
      <c r="D75" s="465">
        <f>[36]July_2025!$Z$13</f>
        <v>401</v>
      </c>
      <c r="E75" s="466"/>
      <c r="F75" s="467"/>
      <c r="G75" s="468">
        <f>[36]July_2025!$Z$17</f>
        <v>382.6</v>
      </c>
      <c r="H75" s="469"/>
      <c r="I75" s="470"/>
      <c r="J75" s="471" t="s">
        <v>164</v>
      </c>
      <c r="K75" s="472">
        <f>[37]July_2025!$Z$25</f>
        <v>1.3424561403508772</v>
      </c>
      <c r="L75" s="482">
        <f>(((D75+E75)-G75)/(D75+E75))*100</f>
        <v>4.5885286783042334</v>
      </c>
      <c r="M75" s="474" t="s">
        <v>197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hidden="1" customHeight="1">
      <c r="B76" s="478"/>
      <c r="C76" s="453"/>
      <c r="D76" s="454"/>
      <c r="E76" s="455"/>
      <c r="F76" s="456"/>
      <c r="G76" s="457"/>
      <c r="H76" s="458"/>
      <c r="I76" s="475"/>
      <c r="J76" s="476"/>
      <c r="K76" s="459"/>
      <c r="L76" s="477"/>
      <c r="M76" s="434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39" hidden="1" customHeight="1" thickBot="1">
      <c r="B77" s="480"/>
      <c r="C77" s="464"/>
      <c r="D77" s="465"/>
      <c r="E77" s="466"/>
      <c r="F77" s="467"/>
      <c r="G77" s="468"/>
      <c r="H77" s="469"/>
      <c r="I77" s="470"/>
      <c r="J77" s="471" t="s">
        <v>164</v>
      </c>
      <c r="K77" s="472"/>
      <c r="L77" s="473" t="e">
        <f>(((D77+E77)-G77)/(D77+E77))*100</f>
        <v>#DIV/0!</v>
      </c>
      <c r="M77" s="474" t="s">
        <v>186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4.4" hidden="1" thickBot="1">
      <c r="B78" s="481"/>
      <c r="C78" s="453"/>
      <c r="D78" s="454"/>
      <c r="E78" s="455"/>
      <c r="F78" s="456"/>
      <c r="G78" s="457"/>
      <c r="H78" s="458"/>
      <c r="I78" s="475"/>
      <c r="J78" s="476"/>
      <c r="K78" s="459"/>
      <c r="L78" s="477"/>
      <c r="M78" s="43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6.6" hidden="1" customHeight="1" thickBot="1">
      <c r="B79" s="480"/>
      <c r="C79" s="464"/>
      <c r="D79" s="465"/>
      <c r="E79" s="466"/>
      <c r="F79" s="467"/>
      <c r="G79" s="468"/>
      <c r="H79" s="469"/>
      <c r="I79" s="470"/>
      <c r="J79" s="471" t="s">
        <v>164</v>
      </c>
      <c r="K79" s="472"/>
      <c r="L79" s="473" t="e">
        <f>(((D79+E79)-G79)/(D79+E79))*100</f>
        <v>#DIV/0!</v>
      </c>
      <c r="M79" s="474" t="s">
        <v>186</v>
      </c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s="54" customFormat="1" ht="16.5" hidden="1" customHeight="1" thickBot="1">
      <c r="B80" s="460"/>
      <c r="C80" s="440"/>
      <c r="D80" s="441"/>
      <c r="E80" s="442"/>
      <c r="F80" s="443"/>
      <c r="G80" s="444"/>
      <c r="H80" s="445"/>
      <c r="I80" s="461"/>
      <c r="J80" s="462"/>
      <c r="K80" s="448"/>
      <c r="L80" s="463"/>
      <c r="M80" s="437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4.4" thickBot="1">
      <c r="B82" s="492" t="s">
        <v>55</v>
      </c>
      <c r="C82" s="493"/>
      <c r="D82" s="493"/>
      <c r="E82" s="493"/>
      <c r="F82" s="494"/>
      <c r="G82" s="492" t="s">
        <v>56</v>
      </c>
      <c r="H82" s="493"/>
      <c r="I82" s="493"/>
      <c r="J82" s="494"/>
      <c r="K82" s="492" t="s">
        <v>51</v>
      </c>
      <c r="L82" s="493"/>
      <c r="M82" s="493"/>
      <c r="N82" s="495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/>
      <c r="D84" s="76">
        <v>5.2662955279694073</v>
      </c>
      <c r="E84" s="76">
        <v>6.3948910856442973</v>
      </c>
      <c r="F84" s="66">
        <v>4.8</v>
      </c>
      <c r="G84" s="65"/>
      <c r="H84" s="76">
        <v>4.2717391337773529</v>
      </c>
      <c r="I84" s="76">
        <v>6.2424398534960357</v>
      </c>
      <c r="J84" s="66">
        <v>4.8</v>
      </c>
      <c r="K84" s="67"/>
      <c r="L84" s="194">
        <v>0.98910528770334361</v>
      </c>
      <c r="M84" s="194">
        <v>0.7489437986229226</v>
      </c>
      <c r="N84" s="68">
        <v>1</v>
      </c>
      <c r="O84" s="56"/>
      <c r="P84" s="69"/>
    </row>
    <row r="85" spans="2:16">
      <c r="B85" s="33" t="s">
        <v>9</v>
      </c>
      <c r="C85" s="65">
        <f>L75</f>
        <v>4.5885286783042334</v>
      </c>
      <c r="D85" s="76">
        <v>5.3357161092672998</v>
      </c>
      <c r="E85" s="76">
        <v>6.0447102477865347</v>
      </c>
      <c r="F85" s="66">
        <v>4.8</v>
      </c>
      <c r="G85" s="65">
        <f>[36]July_2025!$Z$21</f>
        <v>2.3625168775567076</v>
      </c>
      <c r="H85" s="76">
        <v>4.1399008677748848</v>
      </c>
      <c r="I85" s="76">
        <v>5.6600558802664223</v>
      </c>
      <c r="J85" s="66">
        <v>4.8</v>
      </c>
      <c r="K85" s="67">
        <f>K75</f>
        <v>1.3424561403508772</v>
      </c>
      <c r="L85" s="194">
        <v>0.68748104262984389</v>
      </c>
      <c r="M85" s="194">
        <v>0.75411372063900284</v>
      </c>
      <c r="N85" s="68">
        <v>1</v>
      </c>
      <c r="P85" s="69"/>
    </row>
    <row r="86" spans="2:16">
      <c r="B86" s="34" t="s">
        <v>40</v>
      </c>
      <c r="C86" s="65"/>
      <c r="D86" s="76">
        <v>11.466477138118925</v>
      </c>
      <c r="E86" s="76">
        <v>11.904314441431504</v>
      </c>
      <c r="F86" s="66">
        <v>5.5</v>
      </c>
      <c r="G86" s="65"/>
      <c r="H86" s="76">
        <v>15.89175434604109</v>
      </c>
      <c r="I86" s="76">
        <v>13.439540856999288</v>
      </c>
      <c r="J86" s="66">
        <v>5.5</v>
      </c>
      <c r="K86" s="67"/>
      <c r="L86" s="194">
        <v>1.3112280701754386</v>
      </c>
      <c r="M86" s="194">
        <v>0.54260860979462877</v>
      </c>
      <c r="N86" s="68">
        <v>1</v>
      </c>
      <c r="P86" s="69"/>
    </row>
    <row r="87" spans="2:16">
      <c r="B87" s="22" t="s">
        <v>33</v>
      </c>
      <c r="C87" s="65"/>
      <c r="D87" s="76">
        <v>3.4761321909424563</v>
      </c>
      <c r="E87" s="76">
        <v>5.119233255999676</v>
      </c>
      <c r="F87" s="66">
        <v>3.3</v>
      </c>
      <c r="G87" s="65"/>
      <c r="H87" s="76">
        <v>2.7479545757807706</v>
      </c>
      <c r="I87" s="76">
        <v>4.8747400258857825</v>
      </c>
      <c r="J87" s="66">
        <v>3.3</v>
      </c>
      <c r="K87" s="67"/>
      <c r="L87" s="194">
        <v>1.3835087719298247</v>
      </c>
      <c r="M87" s="194">
        <v>0.77839364035087721</v>
      </c>
      <c r="N87" s="68">
        <v>1</v>
      </c>
      <c r="P87" s="69"/>
    </row>
    <row r="88" spans="2:16">
      <c r="B88" s="35" t="s">
        <v>192</v>
      </c>
      <c r="C88" s="65"/>
      <c r="D88" s="76">
        <v>7.837301587301579</v>
      </c>
      <c r="E88" s="76">
        <v>7.837301587301579</v>
      </c>
      <c r="F88" s="66">
        <v>3.3</v>
      </c>
      <c r="G88" s="282"/>
      <c r="H88" s="76">
        <v>5.3377569154690221</v>
      </c>
      <c r="I88" s="76">
        <v>5.3377569154690221</v>
      </c>
      <c r="J88" s="66">
        <v>3</v>
      </c>
      <c r="K88" s="67"/>
      <c r="L88" s="194">
        <v>0.32596491228070179</v>
      </c>
      <c r="M88" s="194">
        <v>0.32596491228070179</v>
      </c>
      <c r="N88" s="68">
        <v>1</v>
      </c>
      <c r="P88" s="69"/>
    </row>
    <row r="89" spans="2:16">
      <c r="B89" s="36" t="s">
        <v>15</v>
      </c>
      <c r="C89" s="282"/>
      <c r="D89" s="76"/>
      <c r="E89" s="76">
        <v>7.3129862357869699</v>
      </c>
      <c r="F89" s="70">
        <f>[21]May_2022!$M$43</f>
        <v>3.4878406700073312</v>
      </c>
      <c r="G89" s="282"/>
      <c r="H89" s="76"/>
      <c r="I89" s="76">
        <v>8.9862703283331644</v>
      </c>
      <c r="J89" s="66">
        <v>5.5</v>
      </c>
      <c r="K89" s="67"/>
      <c r="L89" s="194"/>
      <c r="M89" s="194">
        <v>0.59276315789473688</v>
      </c>
      <c r="N89" s="68">
        <v>1</v>
      </c>
      <c r="P89" s="69"/>
    </row>
    <row r="90" spans="2:16">
      <c r="B90" s="37" t="s">
        <v>16</v>
      </c>
      <c r="C90" s="65"/>
      <c r="D90" s="76">
        <v>2.3359073359073403</v>
      </c>
      <c r="E90" s="76">
        <v>2.980561555075584</v>
      </c>
      <c r="F90" s="66">
        <v>3.3</v>
      </c>
      <c r="G90" s="282"/>
      <c r="H90" s="76">
        <v>3.7114579368100644</v>
      </c>
      <c r="I90" s="76">
        <v>4.4931174512296872</v>
      </c>
      <c r="J90" s="66">
        <v>3.3</v>
      </c>
      <c r="K90" s="67"/>
      <c r="L90" s="194">
        <v>1.7750877192982455</v>
      </c>
      <c r="M90" s="194">
        <v>0.83077455048409399</v>
      </c>
      <c r="N90" s="71">
        <v>1</v>
      </c>
      <c r="P90" s="69"/>
    </row>
    <row r="91" spans="2:16" ht="14.4" thickBot="1">
      <c r="B91" s="38" t="s">
        <v>191</v>
      </c>
      <c r="C91" s="65"/>
      <c r="D91" s="76">
        <v>11.483253588516746</v>
      </c>
      <c r="E91" s="76">
        <v>11.483253588516746</v>
      </c>
      <c r="F91" s="66">
        <v>7.5</v>
      </c>
      <c r="G91" s="282"/>
      <c r="H91" s="76">
        <v>9.7934336121043764</v>
      </c>
      <c r="I91" s="76">
        <v>9.7934336121043764</v>
      </c>
      <c r="J91" s="66">
        <v>7.5</v>
      </c>
      <c r="K91" s="67"/>
      <c r="L91" s="194">
        <v>0.32456140350877194</v>
      </c>
      <c r="M91" s="194">
        <v>0.32456140350877194</v>
      </c>
      <c r="N91" s="71">
        <v>1</v>
      </c>
      <c r="P91" s="69"/>
    </row>
    <row r="92" spans="2:16" ht="14.4" thickBot="1">
      <c r="B92" s="414" t="s">
        <v>161</v>
      </c>
      <c r="C92" s="65"/>
      <c r="D92" s="76">
        <v>9.4974642692485105</v>
      </c>
      <c r="E92" s="76">
        <v>7.2653644592663174</v>
      </c>
      <c r="F92" s="66">
        <v>4.8</v>
      </c>
      <c r="G92" s="282"/>
      <c r="H92" s="76">
        <v>10.183089539936029</v>
      </c>
      <c r="I92" s="76">
        <v>8.1715311054411259</v>
      </c>
      <c r="J92" s="66">
        <v>4.8</v>
      </c>
      <c r="K92" s="67"/>
      <c r="L92" s="194">
        <v>0.68877192982456148</v>
      </c>
      <c r="M92" s="194">
        <v>0.51368421052631585</v>
      </c>
      <c r="N92" s="71">
        <v>1</v>
      </c>
      <c r="O92" s="74"/>
      <c r="P92" s="75"/>
    </row>
    <row r="93" spans="2:16">
      <c r="D93" s="76">
        <v>5.6294587224618491</v>
      </c>
      <c r="E93" s="76">
        <v>6.487912833870368</v>
      </c>
      <c r="F93" s="341">
        <v>5.5</v>
      </c>
      <c r="H93" s="76">
        <v>5.5038518812310642</v>
      </c>
      <c r="I93" s="76">
        <v>6.6969622596530565</v>
      </c>
      <c r="J93" s="341">
        <v>5.5</v>
      </c>
      <c r="L93" s="194">
        <v>0.90662768031189089</v>
      </c>
      <c r="M93" s="194">
        <v>0.72291129983486679</v>
      </c>
      <c r="N93" s="386">
        <v>1</v>
      </c>
    </row>
    <row r="97" spans="6:6">
      <c r="F97" s="315"/>
    </row>
    <row r="98" spans="6:6">
      <c r="F98" s="341"/>
    </row>
  </sheetData>
  <mergeCells count="51">
    <mergeCell ref="B82:F82"/>
    <mergeCell ref="G82:J82"/>
    <mergeCell ref="K82:N82"/>
    <mergeCell ref="B58:B67"/>
    <mergeCell ref="G73:G74"/>
    <mergeCell ref="H73:H74"/>
    <mergeCell ref="I73:I74"/>
    <mergeCell ref="J73:J74"/>
    <mergeCell ref="K73:K74"/>
    <mergeCell ref="L73:L74"/>
    <mergeCell ref="D68:E68"/>
    <mergeCell ref="B73:B74"/>
    <mergeCell ref="C73:C74"/>
    <mergeCell ref="D73:D74"/>
    <mergeCell ref="E73:E74"/>
    <mergeCell ref="F73:F74"/>
    <mergeCell ref="D64:E65"/>
    <mergeCell ref="D66:E67"/>
    <mergeCell ref="M73:M74"/>
    <mergeCell ref="I44:N44"/>
    <mergeCell ref="D45:E45"/>
    <mergeCell ref="D58:E59"/>
    <mergeCell ref="J58:K58"/>
    <mergeCell ref="L59:N59"/>
    <mergeCell ref="D60:E61"/>
    <mergeCell ref="D62:E63"/>
    <mergeCell ref="B46:B57"/>
    <mergeCell ref="D46:E47"/>
    <mergeCell ref="D48:E49"/>
    <mergeCell ref="D50:E51"/>
    <mergeCell ref="D52:E53"/>
    <mergeCell ref="D54:E55"/>
    <mergeCell ref="D56:E5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8:B69">
    <cfRule type="cellIs" dxfId="759" priority="133" operator="notBetween">
      <formula>#REF!</formula>
      <formula>#REF!</formula>
    </cfRule>
  </conditionalFormatting>
  <conditionalFormatting sqref="C72">
    <cfRule type="cellIs" dxfId="758" priority="164" stopIfTrue="1" operator="lessThan">
      <formula>96</formula>
    </cfRule>
    <cfRule type="cellIs" dxfId="757" priority="165" stopIfTrue="1" operator="greaterThan">
      <formula>100</formula>
    </cfRule>
  </conditionalFormatting>
  <conditionalFormatting sqref="C84:C85">
    <cfRule type="cellIs" dxfId="756" priority="112" stopIfTrue="1" operator="lessThanOrEqual">
      <formula>0</formula>
    </cfRule>
  </conditionalFormatting>
  <conditionalFormatting sqref="C84:C88">
    <cfRule type="cellIs" dxfId="755" priority="111" stopIfTrue="1" operator="greaterThan">
      <formula>$F84</formula>
    </cfRule>
  </conditionalFormatting>
  <conditionalFormatting sqref="C85">
    <cfRule type="cellIs" dxfId="754" priority="168" stopIfTrue="1" operator="greaterThan">
      <formula>$F84</formula>
    </cfRule>
  </conditionalFormatting>
  <conditionalFormatting sqref="C86:C89">
    <cfRule type="cellIs" dxfId="753" priority="118" stopIfTrue="1" operator="lessThanOrEqual">
      <formula>0</formula>
    </cfRule>
  </conditionalFormatting>
  <conditionalFormatting sqref="C89">
    <cfRule type="cellIs" dxfId="752" priority="117" stopIfTrue="1" operator="greaterThan">
      <formula>$J89</formula>
    </cfRule>
  </conditionalFormatting>
  <conditionalFormatting sqref="C95:C99">
    <cfRule type="cellIs" dxfId="751" priority="156" stopIfTrue="1" operator="lessThanOrEqual">
      <formula>0</formula>
    </cfRule>
  </conditionalFormatting>
  <conditionalFormatting sqref="C96:C99">
    <cfRule type="cellIs" dxfId="750" priority="155" stopIfTrue="1" operator="greaterThan">
      <formula>$F$95</formula>
    </cfRule>
  </conditionalFormatting>
  <conditionalFormatting sqref="C101">
    <cfRule type="cellIs" dxfId="749" priority="157" stopIfTrue="1" operator="greaterThan">
      <formula>$F$95</formula>
    </cfRule>
    <cfRule type="cellIs" dxfId="748" priority="158" stopIfTrue="1" operator="lessThanOrEqual">
      <formula>0</formula>
    </cfRule>
  </conditionalFormatting>
  <conditionalFormatting sqref="C95:D95 D97:D103">
    <cfRule type="cellIs" dxfId="747" priority="150" stopIfTrue="1" operator="greaterThan">
      <formula>4.5</formula>
    </cfRule>
  </conditionalFormatting>
  <conditionalFormatting sqref="D68:D69">
    <cfRule type="cellIs" dxfId="746" priority="134" operator="notBetween">
      <formula>#REF!</formula>
      <formula>#REF!</formula>
    </cfRule>
  </conditionalFormatting>
  <conditionalFormatting sqref="D84:D91">
    <cfRule type="cellIs" dxfId="745" priority="128" stopIfTrue="1" operator="lessThanOrEqual">
      <formula>0</formula>
    </cfRule>
  </conditionalFormatting>
  <conditionalFormatting sqref="D92">
    <cfRule type="cellIs" dxfId="744" priority="127" stopIfTrue="1" operator="lessThanOrEqual">
      <formula>0</formula>
    </cfRule>
  </conditionalFormatting>
  <conditionalFormatting sqref="D95 D97:D103">
    <cfRule type="cellIs" dxfId="743" priority="151" stopIfTrue="1" operator="lessThanOrEqual">
      <formula>0</formula>
    </cfRule>
  </conditionalFormatting>
  <conditionalFormatting sqref="D96">
    <cfRule type="cellIs" dxfId="742" priority="143" stopIfTrue="1" operator="lessThanOrEqual">
      <formula>0</formula>
    </cfRule>
    <cfRule type="cellIs" dxfId="741" priority="142" stopIfTrue="1" operator="greaterThan">
      <formula>$F$95</formula>
    </cfRule>
  </conditionalFormatting>
  <conditionalFormatting sqref="D84:E93">
    <cfRule type="cellIs" dxfId="740" priority="108" stopIfTrue="1" operator="greaterThan">
      <formula>$F84</formula>
    </cfRule>
  </conditionalFormatting>
  <conditionalFormatting sqref="D93:E93">
    <cfRule type="cellIs" dxfId="739" priority="109" stopIfTrue="1" operator="lessThanOrEqual">
      <formula>0</formula>
    </cfRule>
  </conditionalFormatting>
  <conditionalFormatting sqref="E10:E43">
    <cfRule type="cellIs" dxfId="738" priority="2" operator="lessThan">
      <formula>48</formula>
    </cfRule>
  </conditionalFormatting>
  <conditionalFormatting sqref="E71 E72:F72">
    <cfRule type="cellIs" dxfId="737" priority="147" stopIfTrue="1" operator="greaterThan">
      <formula>100</formula>
    </cfRule>
  </conditionalFormatting>
  <conditionalFormatting sqref="E72">
    <cfRule type="cellIs" dxfId="736" priority="145" stopIfTrue="1" operator="greaterThan">
      <formula>100</formula>
    </cfRule>
    <cfRule type="cellIs" dxfId="735" priority="144" stopIfTrue="1" operator="lessThan">
      <formula>96.8</formula>
    </cfRule>
  </conditionalFormatting>
  <conditionalFormatting sqref="E84:E92">
    <cfRule type="cellIs" dxfId="734" priority="122" stopIfTrue="1" operator="lessThanOrEqual">
      <formula>0</formula>
    </cfRule>
  </conditionalFormatting>
  <conditionalFormatting sqref="E95:E103">
    <cfRule type="cellIs" dxfId="733" priority="137" stopIfTrue="1" operator="lessThanOrEqual">
      <formula>0</formula>
    </cfRule>
    <cfRule type="cellIs" dxfId="732" priority="136" stopIfTrue="1" operator="greaterThan">
      <formula>4.5</formula>
    </cfRule>
  </conditionalFormatting>
  <conditionalFormatting sqref="E72:F72 E71">
    <cfRule type="cellIs" dxfId="731" priority="146" stopIfTrue="1" operator="lessThan">
      <formula>96.5</formula>
    </cfRule>
  </conditionalFormatting>
  <conditionalFormatting sqref="F10:F43">
    <cfRule type="cellIs" dxfId="730" priority="3" operator="greaterThan">
      <formula>60</formula>
    </cfRule>
  </conditionalFormatting>
  <conditionalFormatting sqref="F72">
    <cfRule type="cellIs" dxfId="729" priority="163" stopIfTrue="1" operator="greaterThan">
      <formula>100</formula>
    </cfRule>
    <cfRule type="cellIs" dxfId="728" priority="162" stopIfTrue="1" operator="lessThan">
      <formula>96.8</formula>
    </cfRule>
  </conditionalFormatting>
  <conditionalFormatting sqref="F93">
    <cfRule type="cellIs" dxfId="727" priority="124" stopIfTrue="1" operator="lessThanOrEqual">
      <formula>0</formula>
    </cfRule>
    <cfRule type="cellIs" dxfId="726" priority="123" stopIfTrue="1" operator="greaterThan">
      <formula>$F93</formula>
    </cfRule>
  </conditionalFormatting>
  <conditionalFormatting sqref="F98">
    <cfRule type="cellIs" dxfId="725" priority="77" stopIfTrue="1" operator="greaterThan">
      <formula>$F98</formula>
    </cfRule>
    <cfRule type="cellIs" dxfId="724" priority="78" stopIfTrue="1" operator="lessThanOrEqual">
      <formula>0</formula>
    </cfRule>
  </conditionalFormatting>
  <conditionalFormatting sqref="G84:G85 C90:C92">
    <cfRule type="cellIs" dxfId="723" priority="129" stopIfTrue="1" operator="greaterThan">
      <formula>$F84</formula>
    </cfRule>
    <cfRule type="cellIs" dxfId="722" priority="130" stopIfTrue="1" operator="lessThanOrEqual">
      <formula>0</formula>
    </cfRule>
  </conditionalFormatting>
  <conditionalFormatting sqref="G84:G85">
    <cfRule type="cellIs" dxfId="721" priority="114" stopIfTrue="1" operator="lessThanOrEqual">
      <formula>0</formula>
    </cfRule>
    <cfRule type="cellIs" dxfId="720" priority="113" stopIfTrue="1" operator="greaterThan">
      <formula>$F84</formula>
    </cfRule>
  </conditionalFormatting>
  <conditionalFormatting sqref="G86">
    <cfRule type="cellIs" dxfId="719" priority="166" stopIfTrue="1" operator="greaterThan">
      <formula>$F85</formula>
    </cfRule>
    <cfRule type="cellIs" dxfId="718" priority="167" stopIfTrue="1" operator="lessThanOrEqual">
      <formula>0</formula>
    </cfRule>
  </conditionalFormatting>
  <conditionalFormatting sqref="G87">
    <cfRule type="cellIs" dxfId="717" priority="126" stopIfTrue="1" operator="lessThanOrEqual">
      <formula>0</formula>
    </cfRule>
    <cfRule type="cellIs" dxfId="716" priority="125" stopIfTrue="1" operator="greaterThan">
      <formula>$F87</formula>
    </cfRule>
  </conditionalFormatting>
  <conditionalFormatting sqref="G88:G92">
    <cfRule type="cellIs" dxfId="715" priority="132" stopIfTrue="1" operator="lessThanOrEqual">
      <formula>0</formula>
    </cfRule>
    <cfRule type="cellIs" dxfId="714" priority="131" stopIfTrue="1" operator="greaterThan">
      <formula>$J88</formula>
    </cfRule>
  </conditionalFormatting>
  <conditionalFormatting sqref="G97:G102 C100 C102">
    <cfRule type="cellIs" dxfId="713" priority="159" stopIfTrue="1" operator="greaterThan">
      <formula>4.5</formula>
    </cfRule>
    <cfRule type="cellIs" dxfId="712" priority="160" stopIfTrue="1" operator="lessThanOrEqual">
      <formula>0</formula>
    </cfRule>
  </conditionalFormatting>
  <conditionalFormatting sqref="G10:H43">
    <cfRule type="expression" dxfId="711" priority="8">
      <formula>IF(+(IF(G10&lt;#REF!,0,IF(G10&gt;#REF!,0,1)))=0,1)</formula>
    </cfRule>
  </conditionalFormatting>
  <conditionalFormatting sqref="G96:H96">
    <cfRule type="cellIs" dxfId="710" priority="141" stopIfTrue="1" operator="lessThanOrEqual">
      <formula>0</formula>
    </cfRule>
    <cfRule type="cellIs" dxfId="709" priority="140" stopIfTrue="1" operator="greaterThan">
      <formula>$F$95</formula>
    </cfRule>
  </conditionalFormatting>
  <conditionalFormatting sqref="H57:H71">
    <cfRule type="cellIs" dxfId="708" priority="138" stopIfTrue="1" operator="greaterThan">
      <formula>0</formula>
    </cfRule>
  </conditionalFormatting>
  <conditionalFormatting sqref="H75">
    <cfRule type="cellIs" dxfId="707" priority="47" stopIfTrue="1" operator="greaterThan">
      <formula>$F$40</formula>
    </cfRule>
    <cfRule type="cellIs" dxfId="706" priority="46" stopIfTrue="1" operator="lessThanOrEqual">
      <formula>0</formula>
    </cfRule>
    <cfRule type="cellIs" dxfId="705" priority="48" stopIfTrue="1" operator="lessThanOrEqual">
      <formula>0</formula>
    </cfRule>
    <cfRule type="cellIs" dxfId="704" priority="36" stopIfTrue="1" operator="lessThanOrEqual">
      <formula>0</formula>
    </cfRule>
    <cfRule type="cellIs" dxfId="703" priority="37" stopIfTrue="1" operator="greaterThan">
      <formula>$F$39</formula>
    </cfRule>
    <cfRule type="cellIs" dxfId="702" priority="45" stopIfTrue="1" operator="greaterThan">
      <formula>$F$42</formula>
    </cfRule>
  </conditionalFormatting>
  <conditionalFormatting sqref="H76">
    <cfRule type="cellIs" dxfId="701" priority="64" stopIfTrue="1" operator="lessThanOrEqual">
      <formula>0</formula>
    </cfRule>
    <cfRule type="cellIs" dxfId="700" priority="65" stopIfTrue="1" operator="greaterThan">
      <formula>$F$41</formula>
    </cfRule>
    <cfRule type="cellIs" dxfId="699" priority="73" stopIfTrue="1" operator="greaterThan">
      <formula>$F$44</formula>
    </cfRule>
    <cfRule type="cellIs" dxfId="698" priority="74" stopIfTrue="1" operator="lessThanOrEqual">
      <formula>0</formula>
    </cfRule>
    <cfRule type="cellIs" dxfId="697" priority="75" stopIfTrue="1" operator="greaterThan">
      <formula>$F$42</formula>
    </cfRule>
    <cfRule type="cellIs" dxfId="696" priority="76" stopIfTrue="1" operator="lessThanOrEqual">
      <formula>0</formula>
    </cfRule>
  </conditionalFormatting>
  <conditionalFormatting sqref="H77:H79">
    <cfRule type="cellIs" dxfId="695" priority="50" stopIfTrue="1" operator="lessThanOrEqual">
      <formula>0</formula>
    </cfRule>
    <cfRule type="cellIs" dxfId="694" priority="59" stopIfTrue="1" operator="greaterThan">
      <formula>$F$43</formula>
    </cfRule>
    <cfRule type="cellIs" dxfId="693" priority="60" stopIfTrue="1" operator="lessThanOrEqual">
      <formula>0</formula>
    </cfRule>
    <cfRule type="cellIs" dxfId="692" priority="61" stopIfTrue="1" operator="greaterThan">
      <formula>$F$41</formula>
    </cfRule>
    <cfRule type="cellIs" dxfId="691" priority="62" stopIfTrue="1" operator="lessThanOrEqual">
      <formula>0</formula>
    </cfRule>
    <cfRule type="cellIs" dxfId="690" priority="51" stopIfTrue="1" operator="greaterThan">
      <formula>$F$40</formula>
    </cfRule>
  </conditionalFormatting>
  <conditionalFormatting sqref="H80">
    <cfRule type="cellIs" dxfId="689" priority="82" stopIfTrue="1" operator="lessThanOrEqual">
      <formula>0</formula>
    </cfRule>
    <cfRule type="cellIs" dxfId="688" priority="93" stopIfTrue="1" operator="greaterThan">
      <formula>$F$57</formula>
    </cfRule>
    <cfRule type="cellIs" dxfId="687" priority="92" stopIfTrue="1" operator="lessThanOrEqual">
      <formula>0</formula>
    </cfRule>
    <cfRule type="cellIs" dxfId="686" priority="91" stopIfTrue="1" operator="greaterThan">
      <formula>$F$59</formula>
    </cfRule>
    <cfRule type="cellIs" dxfId="685" priority="94" stopIfTrue="1" operator="lessThanOrEqual">
      <formula>0</formula>
    </cfRule>
    <cfRule type="cellIs" dxfId="684" priority="83" stopIfTrue="1" operator="greaterThan">
      <formula>$F$56</formula>
    </cfRule>
  </conditionalFormatting>
  <conditionalFormatting sqref="H84:H91">
    <cfRule type="cellIs" dxfId="683" priority="116" stopIfTrue="1" operator="lessThanOrEqual">
      <formula>0</formula>
    </cfRule>
    <cfRule type="cellIs" dxfId="682" priority="115" stopIfTrue="1" operator="greaterThan">
      <formula>$J84</formula>
    </cfRule>
  </conditionalFormatting>
  <conditionalFormatting sqref="H92">
    <cfRule type="cellIs" dxfId="681" priority="119" operator="greaterThan">
      <formula>5.3</formula>
    </cfRule>
  </conditionalFormatting>
  <conditionalFormatting sqref="H95 H97:H103">
    <cfRule type="cellIs" dxfId="680" priority="153" stopIfTrue="1" operator="lessThanOrEqual">
      <formula>0</formula>
    </cfRule>
    <cfRule type="cellIs" dxfId="679" priority="152" stopIfTrue="1" operator="greaterThan">
      <formula>4.5</formula>
    </cfRule>
  </conditionalFormatting>
  <conditionalFormatting sqref="H75:I75">
    <cfRule type="cellIs" dxfId="678" priority="35" stopIfTrue="1" operator="greaterThan">
      <formula>$F$41</formula>
    </cfRule>
    <cfRule type="cellIs" dxfId="677" priority="38" stopIfTrue="1" operator="lessThanOrEqual">
      <formula>0</formula>
    </cfRule>
  </conditionalFormatting>
  <conditionalFormatting sqref="H76:I76">
    <cfRule type="cellIs" dxfId="676" priority="63" stopIfTrue="1" operator="greaterThan">
      <formula>$F$43</formula>
    </cfRule>
    <cfRule type="cellIs" dxfId="675" priority="66" stopIfTrue="1" operator="lessThanOrEqual">
      <formula>0</formula>
    </cfRule>
  </conditionalFormatting>
  <conditionalFormatting sqref="H77:I79">
    <cfRule type="cellIs" dxfId="674" priority="49" stopIfTrue="1" operator="greaterThan">
      <formula>$F$42</formula>
    </cfRule>
    <cfRule type="cellIs" dxfId="673" priority="52" stopIfTrue="1" operator="lessThanOrEqual">
      <formula>0</formula>
    </cfRule>
  </conditionalFormatting>
  <conditionalFormatting sqref="H80:I80">
    <cfRule type="cellIs" dxfId="672" priority="81" stopIfTrue="1" operator="greaterThan">
      <formula>$F$58</formula>
    </cfRule>
    <cfRule type="cellIs" dxfId="671" priority="84" stopIfTrue="1" operator="lessThanOrEqual">
      <formula>0</formula>
    </cfRule>
  </conditionalFormatting>
  <conditionalFormatting sqref="H93:I93">
    <cfRule type="cellIs" dxfId="670" priority="106" stopIfTrue="1" operator="greaterThan">
      <formula>$J93</formula>
    </cfRule>
    <cfRule type="cellIs" dxfId="669" priority="107" stopIfTrue="1" operator="lessThanOrEqual">
      <formula>0</formula>
    </cfRule>
  </conditionalFormatting>
  <conditionalFormatting sqref="I75">
    <cfRule type="cellIs" dxfId="668" priority="39" stopIfTrue="1" operator="greaterThan">
      <formula>$F$39</formula>
    </cfRule>
    <cfRule type="cellIs" dxfId="667" priority="40" stopIfTrue="1" operator="lessThanOrEqual">
      <formula>0</formula>
    </cfRule>
    <cfRule type="cellIs" dxfId="666" priority="41" stopIfTrue="1" operator="greaterThan">
      <formula>$F$41</formula>
    </cfRule>
    <cfRule type="cellIs" dxfId="665" priority="42" stopIfTrue="1" operator="lessThanOrEqual">
      <formula>0</formula>
    </cfRule>
    <cfRule type="cellIs" dxfId="664" priority="43" stopIfTrue="1" operator="greaterThan">
      <formula>$F$39</formula>
    </cfRule>
    <cfRule type="cellIs" dxfId="663" priority="44" stopIfTrue="1" operator="lessThanOrEqual">
      <formula>0</formula>
    </cfRule>
  </conditionalFormatting>
  <conditionalFormatting sqref="I76">
    <cfRule type="cellIs" dxfId="662" priority="68" stopIfTrue="1" operator="lessThanOrEqual">
      <formula>0</formula>
    </cfRule>
    <cfRule type="cellIs" dxfId="661" priority="67" stopIfTrue="1" operator="greaterThan">
      <formula>$F$41</formula>
    </cfRule>
    <cfRule type="cellIs" dxfId="660" priority="72" stopIfTrue="1" operator="lessThanOrEqual">
      <formula>0</formula>
    </cfRule>
    <cfRule type="cellIs" dxfId="659" priority="71" stopIfTrue="1" operator="greaterThan">
      <formula>$F$41</formula>
    </cfRule>
    <cfRule type="cellIs" dxfId="658" priority="70" stopIfTrue="1" operator="lessThanOrEqual">
      <formula>0</formula>
    </cfRule>
    <cfRule type="cellIs" dxfId="657" priority="69" stopIfTrue="1" operator="greaterThan">
      <formula>$F$43</formula>
    </cfRule>
  </conditionalFormatting>
  <conditionalFormatting sqref="I77:I79">
    <cfRule type="cellIs" dxfId="656" priority="53" stopIfTrue="1" operator="greaterThan">
      <formula>$F$40</formula>
    </cfRule>
    <cfRule type="cellIs" dxfId="655" priority="54" stopIfTrue="1" operator="lessThanOrEqual">
      <formula>0</formula>
    </cfRule>
    <cfRule type="cellIs" dxfId="654" priority="55" stopIfTrue="1" operator="greaterThan">
      <formula>$F$42</formula>
    </cfRule>
    <cfRule type="cellIs" dxfId="653" priority="56" stopIfTrue="1" operator="lessThanOrEqual">
      <formula>0</formula>
    </cfRule>
    <cfRule type="cellIs" dxfId="652" priority="57" stopIfTrue="1" operator="greaterThan">
      <formula>$F$40</formula>
    </cfRule>
    <cfRule type="cellIs" dxfId="651" priority="58" stopIfTrue="1" operator="lessThanOrEqual">
      <formula>0</formula>
    </cfRule>
  </conditionalFormatting>
  <conditionalFormatting sqref="I80">
    <cfRule type="cellIs" dxfId="650" priority="87" stopIfTrue="1" operator="greaterThan">
      <formula>$F$58</formula>
    </cfRule>
    <cfRule type="cellIs" dxfId="649" priority="89" stopIfTrue="1" operator="greaterThan">
      <formula>$F$56</formula>
    </cfRule>
    <cfRule type="cellIs" dxfId="648" priority="88" stopIfTrue="1" operator="lessThanOrEqual">
      <formula>0</formula>
    </cfRule>
    <cfRule type="cellIs" dxfId="647" priority="86" stopIfTrue="1" operator="lessThanOrEqual">
      <formula>0</formula>
    </cfRule>
    <cfRule type="cellIs" dxfId="646" priority="85" stopIfTrue="1" operator="greaterThan">
      <formula>$F$56</formula>
    </cfRule>
    <cfRule type="cellIs" dxfId="645" priority="90" stopIfTrue="1" operator="lessThanOrEqual">
      <formula>0</formula>
    </cfRule>
  </conditionalFormatting>
  <conditionalFormatting sqref="I84:I92">
    <cfRule type="cellIs" dxfId="644" priority="120" stopIfTrue="1" operator="greaterThan">
      <formula>$J84</formula>
    </cfRule>
    <cfRule type="cellIs" dxfId="643" priority="121" stopIfTrue="1" operator="lessThanOrEqual">
      <formula>0</formula>
    </cfRule>
  </conditionalFormatting>
  <conditionalFormatting sqref="I95:I103">
    <cfRule type="cellIs" dxfId="642" priority="148" stopIfTrue="1" operator="greaterThan">
      <formula>4.5</formula>
    </cfRule>
    <cfRule type="cellIs" dxfId="641" priority="149" stopIfTrue="1" operator="lessThanOrEqual">
      <formula>0</formula>
    </cfRule>
  </conditionalFormatting>
  <conditionalFormatting sqref="I10:J43">
    <cfRule type="cellIs" dxfId="640" priority="7" operator="lessThan">
      <formula>97.9</formula>
    </cfRule>
  </conditionalFormatting>
  <conditionalFormatting sqref="J46:J48">
    <cfRule type="cellIs" dxfId="639" priority="98" operator="lessThan">
      <formula>98</formula>
    </cfRule>
    <cfRule type="cellIs" dxfId="638" priority="97" stopIfTrue="1" operator="greaterThan">
      <formula>100</formula>
    </cfRule>
    <cfRule type="cellIs" dxfId="637" priority="96" stopIfTrue="1" operator="lessThan">
      <formula>96.8</formula>
    </cfRule>
  </conditionalFormatting>
  <conditionalFormatting sqref="J46:J50">
    <cfRule type="cellIs" dxfId="636" priority="95" operator="lessThan">
      <formula>97.4</formula>
    </cfRule>
  </conditionalFormatting>
  <conditionalFormatting sqref="J51">
    <cfRule type="cellIs" dxfId="635" priority="99" operator="lessThan">
      <formula>98</formula>
    </cfRule>
  </conditionalFormatting>
  <conditionalFormatting sqref="J53:J54">
    <cfRule type="cellIs" dxfId="634" priority="101" stopIfTrue="1" operator="greaterThan">
      <formula>100</formula>
    </cfRule>
    <cfRule type="cellIs" dxfId="633" priority="100" stopIfTrue="1" operator="lessThan">
      <formula>96.8</formula>
    </cfRule>
  </conditionalFormatting>
  <conditionalFormatting sqref="J53:J55">
    <cfRule type="cellIs" dxfId="632" priority="102" operator="lessThan">
      <formula>98</formula>
    </cfRule>
  </conditionalFormatting>
  <conditionalFormatting sqref="J93">
    <cfRule type="cellIs" dxfId="631" priority="104" stopIfTrue="1" operator="lessThanOrEqual">
      <formula>0</formula>
    </cfRule>
    <cfRule type="cellIs" dxfId="630" priority="103" stopIfTrue="1" operator="greaterThan">
      <formula>$F93</formula>
    </cfRule>
  </conditionalFormatting>
  <conditionalFormatting sqref="K10:K43">
    <cfRule type="cellIs" dxfId="629" priority="4" operator="greaterThan">
      <formula>6</formula>
    </cfRule>
    <cfRule type="cellIs" dxfId="628" priority="6" operator="greaterThan">
      <formula>6.4</formula>
    </cfRule>
    <cfRule type="cellIs" dxfId="627" priority="5" operator="lessThan">
      <formula>4</formula>
    </cfRule>
  </conditionalFormatting>
  <conditionalFormatting sqref="K75:K80">
    <cfRule type="cellIs" dxfId="626" priority="79" stopIfTrue="1" operator="lessThan">
      <formula>100%</formula>
    </cfRule>
  </conditionalFormatting>
  <conditionalFormatting sqref="K95:K100">
    <cfRule type="cellIs" dxfId="625" priority="154" stopIfTrue="1" operator="lessThan">
      <formula>100%</formula>
    </cfRule>
  </conditionalFormatting>
  <conditionalFormatting sqref="K102:K103">
    <cfRule type="cellIs" dxfId="624" priority="161" stopIfTrue="1" operator="lessThan">
      <formula>100%</formula>
    </cfRule>
  </conditionalFormatting>
  <conditionalFormatting sqref="K84:N92">
    <cfRule type="cellIs" dxfId="623" priority="23" stopIfTrue="1" operator="lessThan">
      <formula>100%</formula>
    </cfRule>
  </conditionalFormatting>
  <conditionalFormatting sqref="L10:L17">
    <cfRule type="cellIs" dxfId="622" priority="22" operator="greaterThan">
      <formula>65</formula>
    </cfRule>
    <cfRule type="cellIs" dxfId="621" priority="21" operator="between">
      <formula>61</formula>
      <formula>65</formula>
    </cfRule>
  </conditionalFormatting>
  <conditionalFormatting sqref="L33:L43">
    <cfRule type="cellIs" dxfId="620" priority="33" operator="between">
      <formula>61</formula>
      <formula>65</formula>
    </cfRule>
    <cfRule type="cellIs" dxfId="619" priority="34" operator="greaterThan">
      <formula>65</formula>
    </cfRule>
  </conditionalFormatting>
  <conditionalFormatting sqref="L18:M32">
    <cfRule type="cellIs" dxfId="618" priority="10" operator="greaterThan">
      <formula>65</formula>
    </cfRule>
    <cfRule type="cellIs" dxfId="617" priority="9" operator="between">
      <formula>61</formula>
      <formula>65</formula>
    </cfRule>
  </conditionalFormatting>
  <conditionalFormatting sqref="L46:M57">
    <cfRule type="cellIs" dxfId="616" priority="110" operator="lessThan">
      <formula>98</formula>
    </cfRule>
  </conditionalFormatting>
  <conditionalFormatting sqref="L61:N61">
    <cfRule type="cellIs" dxfId="615" priority="80" operator="notEqual">
      <formula>#REF!</formula>
    </cfRule>
  </conditionalFormatting>
  <conditionalFormatting sqref="L93:N93">
    <cfRule type="cellIs" dxfId="614" priority="105" stopIfTrue="1" operator="lessThan">
      <formula>100%</formula>
    </cfRule>
  </conditionalFormatting>
  <conditionalFormatting sqref="L95:N103">
    <cfRule type="cellIs" dxfId="613" priority="139" stopIfTrue="1" operator="lessThan">
      <formula>100%</formula>
    </cfRule>
  </conditionalFormatting>
  <conditionalFormatting sqref="M10:M43">
    <cfRule type="expression" dxfId="612" priority="11">
      <formula>IF(+(IF(M10&lt;U10,0,IF(M10&gt;V10,0,1)))=0,1)</formula>
    </cfRule>
  </conditionalFormatting>
  <conditionalFormatting sqref="N10:N43">
    <cfRule type="expression" dxfId="611" priority="1">
      <formula>IF(+(IF(N10&lt;W10,0,IF(N10&gt;X10,0,1)))=0,1)</formula>
    </cfRule>
  </conditionalFormatting>
  <conditionalFormatting sqref="P6">
    <cfRule type="cellIs" dxfId="610" priority="135" operator="greaterThanOrEqual">
      <formula>19</formula>
    </cfRule>
  </conditionalFormatting>
  <dataValidations count="1">
    <dataValidation type="list" allowBlank="1" showInputMessage="1" showErrorMessage="1" sqref="R8" xr:uid="{A73FCD48-07F4-45F1-A00F-6887CA83B179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71B2-5EC4-40E6-8404-3B457F259404}">
  <sheetPr>
    <pageSetUpPr fitToPage="1"/>
  </sheetPr>
  <dimension ref="A1:BE98"/>
  <sheetViews>
    <sheetView topLeftCell="A23" zoomScale="70" zoomScaleNormal="70" workbookViewId="0">
      <selection activeCell="L79" sqref="L79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45863</v>
      </c>
      <c r="J4" s="398" t="s">
        <v>199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182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33" t="s">
        <v>9</v>
      </c>
      <c r="C10" s="366" t="str">
        <f>[24]Brewhouse!$A315</f>
        <v>ST295</v>
      </c>
      <c r="D10" s="279">
        <f>[24]Brewhouse!$AD315</f>
        <v>48.8</v>
      </c>
      <c r="E10" s="279">
        <f>[24]Brewhouse!$AG315</f>
        <v>47.3</v>
      </c>
      <c r="F10" s="278">
        <f>[24]Brewhouse!$V315</f>
        <v>54</v>
      </c>
      <c r="G10" s="279">
        <f>[24]Brewhouse!$AE315</f>
        <v>11.9</v>
      </c>
      <c r="H10" s="396">
        <v>11.9</v>
      </c>
      <c r="I10" s="427">
        <f>[24]Brewhouse!$AS315</f>
        <v>94.928429491720962</v>
      </c>
      <c r="J10" s="427">
        <f>[24]Brewhouse!$AT315</f>
        <v>95.329873073515287</v>
      </c>
      <c r="K10" s="281">
        <f>[24]Brewhouse!$Q315</f>
        <v>14.205607476635517</v>
      </c>
      <c r="L10" s="276">
        <f>[24]Brewhouse!$P315</f>
        <v>60</v>
      </c>
      <c r="M10" s="374">
        <f>[24]Brewhouse!$U315-[24]Brewhouse!$T315</f>
        <v>0.11736111111111111</v>
      </c>
      <c r="N10" s="370">
        <f>[24]Brewhouse!$AW315</f>
        <v>0.24652777777777779</v>
      </c>
      <c r="O10" s="428" t="str">
        <f>[24]Brewhouse!$AV315</f>
        <v>K. Benjamin</v>
      </c>
      <c r="P10" s="339"/>
      <c r="R10" s="277" t="str">
        <f t="shared" ref="R10:R45" si="0">B10</f>
        <v>STAG</v>
      </c>
      <c r="S10" s="296">
        <f t="shared" ref="S10:S45" si="1">VLOOKUP($B10,$R$3:$X$9,2,FALSE)</f>
        <v>11.6</v>
      </c>
      <c r="T10" s="296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33" t="s">
        <v>9</v>
      </c>
      <c r="C11" s="366" t="str">
        <f>[24]Brewhouse!$A316</f>
        <v>ST296</v>
      </c>
      <c r="D11" s="279">
        <f>[24]Brewhouse!$AD316</f>
        <v>50</v>
      </c>
      <c r="E11" s="279">
        <f>[24]Brewhouse!$AG316</f>
        <v>49.6</v>
      </c>
      <c r="F11" s="278">
        <f>[24]Brewhouse!$V316</f>
        <v>57</v>
      </c>
      <c r="G11" s="279">
        <f>[24]Brewhouse!$AE316</f>
        <v>11.9</v>
      </c>
      <c r="H11" s="396">
        <v>11.8</v>
      </c>
      <c r="I11" s="427">
        <f>[24]Brewhouse!$AS316</f>
        <v>99.544399636138706</v>
      </c>
      <c r="J11" s="427">
        <f>[24]Brewhouse!$AT316</f>
        <v>99.965363730367002</v>
      </c>
      <c r="K11" s="281">
        <f>[24]Brewhouse!$Q316</f>
        <v>14.311926605504583</v>
      </c>
      <c r="L11" s="276">
        <f>[24]Brewhouse!$P316</f>
        <v>60</v>
      </c>
      <c r="M11" s="374">
        <f>[24]Brewhouse!$U316-[24]Brewhouse!$T316</f>
        <v>0.1111111111111111</v>
      </c>
      <c r="N11" s="370">
        <f>[24]Brewhouse!$AW316</f>
        <v>0.24513888888888888</v>
      </c>
      <c r="O11" s="428" t="str">
        <f>[24]Brewhouse!$AV316</f>
        <v>R. Regis</v>
      </c>
      <c r="P11" s="419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[24]Brewhouse!$A317</f>
        <v>ST297</v>
      </c>
      <c r="D12" s="279">
        <f>[24]Brewhouse!$AD317</f>
        <v>49.4</v>
      </c>
      <c r="E12" s="279">
        <f>[24]Brewhouse!$AG317</f>
        <v>49.3</v>
      </c>
      <c r="F12" s="278">
        <f>[24]Brewhouse!$V317</f>
        <v>61</v>
      </c>
      <c r="G12" s="279">
        <f>[24]Brewhouse!$AE317</f>
        <v>12</v>
      </c>
      <c r="H12" s="396">
        <v>11.8</v>
      </c>
      <c r="I12" s="427">
        <f>[24]Brewhouse!$AS317</f>
        <v>99.816505716242673</v>
      </c>
      <c r="J12" s="427">
        <f>[24]Brewhouse!$AT317</f>
        <v>100.2386205220124</v>
      </c>
      <c r="K12" s="281">
        <f>[24]Brewhouse!$Q317</f>
        <v>13.94495412844037</v>
      </c>
      <c r="L12" s="276">
        <f>[24]Brewhouse!$P317</f>
        <v>60</v>
      </c>
      <c r="M12" s="374">
        <f>[24]Brewhouse!$U317-[24]Brewhouse!$T317</f>
        <v>0.11319444444444443</v>
      </c>
      <c r="N12" s="370">
        <f>[24]Brewhouse!$AW317</f>
        <v>0.25069444444444444</v>
      </c>
      <c r="O12" s="428" t="str">
        <f>[24]Brewhouse!$AV317</f>
        <v>R. Regis</v>
      </c>
      <c r="P12" s="419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[24]Brewhouse!$A318</f>
        <v>ST298</v>
      </c>
      <c r="D13" s="279">
        <f>[24]Brewhouse!$AD318</f>
        <v>50.5</v>
      </c>
      <c r="E13" s="279">
        <f>[24]Brewhouse!$AG318</f>
        <v>50.4</v>
      </c>
      <c r="F13" s="278">
        <f>[24]Brewhouse!$V318</f>
        <v>56</v>
      </c>
      <c r="G13" s="279">
        <f>[24]Brewhouse!$AE318</f>
        <v>11.7</v>
      </c>
      <c r="H13" s="396">
        <v>11.6</v>
      </c>
      <c r="I13" s="427">
        <f>[24]Brewhouse!$AS318</f>
        <v>99.237925273194392</v>
      </c>
      <c r="J13" s="427">
        <f>[24]Brewhouse!$AT318</f>
        <v>99.657731716610868</v>
      </c>
      <c r="K13" s="281">
        <f>[24]Brewhouse!$Q318</f>
        <v>12.104283054003725</v>
      </c>
      <c r="L13" s="276">
        <f>[24]Brewhouse!$P318</f>
        <v>61</v>
      </c>
      <c r="M13" s="374">
        <f>[24]Brewhouse!$U318-[24]Brewhouse!$T318</f>
        <v>0.10972222222222222</v>
      </c>
      <c r="N13" s="370">
        <f>[24]Brewhouse!$AW318</f>
        <v>0.25763888888888892</v>
      </c>
      <c r="O13" s="428" t="str">
        <f>[24]Brewhouse!$AV318</f>
        <v>R. Regis</v>
      </c>
      <c r="P13" s="419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[24]Brewhouse!$A319</f>
        <v>ST299</v>
      </c>
      <c r="D14" s="279">
        <f>[24]Brewhouse!$AD319</f>
        <v>49.8</v>
      </c>
      <c r="E14" s="279">
        <f>[24]Brewhouse!$AG319</f>
        <v>49.3</v>
      </c>
      <c r="F14" s="278">
        <f>[24]Brewhouse!$V319</f>
        <v>62</v>
      </c>
      <c r="G14" s="279">
        <f>[24]Brewhouse!$AE319</f>
        <v>11.9</v>
      </c>
      <c r="H14" s="396">
        <v>11.9</v>
      </c>
      <c r="I14" s="427">
        <f>[24]Brewhouse!$AS319</f>
        <v>98.818203292397726</v>
      </c>
      <c r="J14" s="427">
        <f>[24]Brewhouse!$AT319</f>
        <v>99.23623418486936</v>
      </c>
      <c r="K14" s="281">
        <f>[24]Brewhouse!$Q319</f>
        <v>12.921348314606739</v>
      </c>
      <c r="L14" s="276">
        <f>[24]Brewhouse!$P319</f>
        <v>60</v>
      </c>
      <c r="M14" s="374">
        <f>[24]Brewhouse!$U319-[24]Brewhouse!$T319</f>
        <v>0.11249999999999993</v>
      </c>
      <c r="N14" s="370">
        <f>[24]Brewhouse!$AW319</f>
        <v>0.24374999999999997</v>
      </c>
      <c r="O14" s="428" t="str">
        <f>[24]Brewhouse!$AV319</f>
        <v>R. Regis</v>
      </c>
      <c r="P14" s="419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[24]Brewhouse!$A320</f>
        <v>ST300</v>
      </c>
      <c r="D15" s="279">
        <f>[24]Brewhouse!$AD320</f>
        <v>50.3</v>
      </c>
      <c r="E15" s="279">
        <f>[24]Brewhouse!$AG320</f>
        <v>50.3</v>
      </c>
      <c r="F15" s="278">
        <f>[24]Brewhouse!$V320</f>
        <v>63</v>
      </c>
      <c r="G15" s="279">
        <f>[24]Brewhouse!$AE320</f>
        <v>11.8</v>
      </c>
      <c r="H15" s="396">
        <v>11.8</v>
      </c>
      <c r="I15" s="427">
        <f>[24]Brewhouse!$AS320</f>
        <v>100.05733894116882</v>
      </c>
      <c r="J15" s="427">
        <f>[24]Brewhouse!$AT320</f>
        <v>100.48047220845685</v>
      </c>
      <c r="K15" s="281">
        <f>[24]Brewhouse!$Q320</f>
        <v>9.0211132437620005</v>
      </c>
      <c r="L15" s="276">
        <f>[24]Brewhouse!$P320</f>
        <v>60</v>
      </c>
      <c r="M15" s="374">
        <f>[24]Brewhouse!$U320-[24]Brewhouse!$T320</f>
        <v>0.11388888888888893</v>
      </c>
      <c r="N15" s="370">
        <f>[24]Brewhouse!$AW320</f>
        <v>0.24583333333333335</v>
      </c>
      <c r="O15" s="428" t="str">
        <f>[24]Brewhouse!$AV320</f>
        <v>D. Gomaz</v>
      </c>
      <c r="P15" s="419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[24]Brewhouse!$A321</f>
        <v>ST301</v>
      </c>
      <c r="D16" s="279">
        <f>[24]Brewhouse!$AD321</f>
        <v>49.6</v>
      </c>
      <c r="E16" s="279">
        <f>[24]Brewhouse!$AG321</f>
        <v>49.6</v>
      </c>
      <c r="F16" s="278">
        <f>[24]Brewhouse!$V321</f>
        <v>63</v>
      </c>
      <c r="G16" s="279">
        <f>[24]Brewhouse!$AE321</f>
        <v>11.7</v>
      </c>
      <c r="H16" s="396">
        <v>11.7</v>
      </c>
      <c r="I16" s="427">
        <f>[24]Brewhouse!$AS321</f>
        <v>97.785382132528241</v>
      </c>
      <c r="J16" s="427">
        <f>[24]Brewhouse!$AT321</f>
        <v>98.198907503806325</v>
      </c>
      <c r="K16" s="281">
        <f>[24]Brewhouse!$Q321</f>
        <v>11.214953271028037</v>
      </c>
      <c r="L16" s="276">
        <f>[24]Brewhouse!$P321</f>
        <v>60</v>
      </c>
      <c r="M16" s="374">
        <f>[24]Brewhouse!$U321-[24]Brewhouse!$T321</f>
        <v>0.1118055555555556</v>
      </c>
      <c r="N16" s="370">
        <f>[24]Brewhouse!$AW321</f>
        <v>0.23888888888888893</v>
      </c>
      <c r="O16" s="428" t="str">
        <f>[24]Brewhouse!$AV321</f>
        <v>D. Gomaz</v>
      </c>
      <c r="P16" s="419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33" t="s">
        <v>9</v>
      </c>
      <c r="C17" s="366" t="str">
        <f>[24]Brewhouse!$A322</f>
        <v>ST302</v>
      </c>
      <c r="D17" s="279">
        <f>[24]Brewhouse!$AD322</f>
        <v>50.5</v>
      </c>
      <c r="E17" s="279">
        <f>[24]Brewhouse!$AG322</f>
        <v>50.8</v>
      </c>
      <c r="F17" s="278">
        <f>[24]Brewhouse!$V322</f>
        <v>64</v>
      </c>
      <c r="G17" s="279">
        <f>[24]Brewhouse!$AE322</f>
        <v>11.7</v>
      </c>
      <c r="H17" s="396">
        <v>11.8</v>
      </c>
      <c r="I17" s="427">
        <f>[24]Brewhouse!$AS322</f>
        <v>100.40336592166086</v>
      </c>
      <c r="J17" s="427">
        <f>[24]Brewhouse!$AT322</f>
        <v>100.82768139566632</v>
      </c>
      <c r="K17" s="281">
        <f>[24]Brewhouse!$Q322</f>
        <v>10.694183864915564</v>
      </c>
      <c r="L17" s="276">
        <f>[24]Brewhouse!$P322</f>
        <v>63</v>
      </c>
      <c r="M17" s="374">
        <f>[24]Brewhouse!$U322-[24]Brewhouse!$T322</f>
        <v>0.11319444444444438</v>
      </c>
      <c r="N17" s="370">
        <f>[24]Brewhouse!$AW322</f>
        <v>0.23819444444444438</v>
      </c>
      <c r="O17" s="428" t="str">
        <f>[24]Brewhouse!$AV322</f>
        <v>D. Gomaz</v>
      </c>
      <c r="P17" s="419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33"/>
      <c r="C18" s="366"/>
      <c r="D18" s="279"/>
      <c r="E18" s="279"/>
      <c r="F18" s="278"/>
      <c r="G18" s="279"/>
      <c r="H18" s="396"/>
      <c r="I18" s="427"/>
      <c r="J18" s="427"/>
      <c r="K18" s="281"/>
      <c r="L18" s="276"/>
      <c r="M18" s="374"/>
      <c r="N18" s="370"/>
      <c r="O18" s="428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33"/>
      <c r="C19" s="366"/>
      <c r="D19" s="279"/>
      <c r="E19" s="279"/>
      <c r="F19" s="278"/>
      <c r="G19" s="279"/>
      <c r="H19" s="396"/>
      <c r="I19" s="427"/>
      <c r="J19" s="427"/>
      <c r="K19" s="281"/>
      <c r="L19" s="276"/>
      <c r="M19" s="374"/>
      <c r="N19" s="370"/>
      <c r="O19" s="428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6" customHeight="1">
      <c r="B21" s="37" t="s">
        <v>16</v>
      </c>
      <c r="C21" s="366" t="str">
        <f>[22]Brewhouse!$A66</f>
        <v>SM055</v>
      </c>
      <c r="D21" s="279">
        <f>[22]Brewhouse!$AH66</f>
        <v>52.9</v>
      </c>
      <c r="E21" s="279">
        <f>[22]Brewhouse!$AM66</f>
        <v>48.5</v>
      </c>
      <c r="F21" s="278">
        <f>[22]Brewhouse!$Z66</f>
        <v>60</v>
      </c>
      <c r="G21" s="279">
        <f>[22]Brewhouse!$AK66</f>
        <v>17.5</v>
      </c>
      <c r="H21" s="396">
        <v>17.7</v>
      </c>
      <c r="I21" s="368">
        <f>[22]Brewhouse!$AY66</f>
        <v>94.119623769471843</v>
      </c>
      <c r="J21" s="368">
        <f>[22]Brewhouse!$AZ66</f>
        <v>94.35083813373393</v>
      </c>
      <c r="K21" s="281">
        <f>[22]Brewhouse!$U66</f>
        <v>16.408317580340263</v>
      </c>
      <c r="L21" s="276">
        <f>[22]Brewhouse!$T66</f>
        <v>60</v>
      </c>
      <c r="M21" s="374">
        <f>[22]Brewhouse!$Y66-[22]Brewhouse!$X66</f>
        <v>0.12361111111111112</v>
      </c>
      <c r="N21" s="370">
        <f>[22]Brewhouse!$AD66</f>
        <v>0.27152777777777781</v>
      </c>
      <c r="O21" s="371" t="str">
        <f>[22]Brewhouse!$BC66</f>
        <v>K. Benjamin</v>
      </c>
      <c r="P21" s="419"/>
      <c r="R21" s="277" t="str">
        <f t="shared" si="0"/>
        <v>STARMALT</v>
      </c>
      <c r="S21" s="296">
        <f t="shared" si="1"/>
        <v>17.100000000000001</v>
      </c>
      <c r="T21" s="296">
        <f t="shared" si="2"/>
        <v>17.5</v>
      </c>
      <c r="U21" s="297">
        <f t="shared" si="3"/>
        <v>0</v>
      </c>
      <c r="V21" s="297">
        <f t="shared" si="4"/>
        <v>0.13605324074074074</v>
      </c>
      <c r="W21" s="297">
        <f t="shared" si="5"/>
        <v>0.27430555555555552</v>
      </c>
      <c r="X21" s="297">
        <f t="shared" si="6"/>
        <v>0.30902777777777779</v>
      </c>
      <c r="Y21" s="297">
        <f t="shared" si="7"/>
        <v>0</v>
      </c>
      <c r="Z21" s="296">
        <f t="shared" si="8"/>
        <v>85</v>
      </c>
    </row>
    <row r="22" spans="2:26" ht="15.75" customHeight="1">
      <c r="B22" s="37" t="s">
        <v>16</v>
      </c>
      <c r="C22" s="366" t="str">
        <f>[22]Brewhouse!$A67</f>
        <v>SM056</v>
      </c>
      <c r="D22" s="279">
        <f>[22]Brewhouse!$AH67</f>
        <v>56.1</v>
      </c>
      <c r="E22" s="279">
        <f>[22]Brewhouse!$AM67</f>
        <v>50.5</v>
      </c>
      <c r="F22" s="278">
        <f>[22]Brewhouse!$Z67</f>
        <v>62</v>
      </c>
      <c r="G22" s="279">
        <f>[22]Brewhouse!$AK67</f>
        <v>17.7</v>
      </c>
      <c r="H22" s="396">
        <v>17.7</v>
      </c>
      <c r="I22" s="368">
        <f>[22]Brewhouse!$AY67</f>
        <v>99.044919151670612</v>
      </c>
      <c r="J22" s="368">
        <f>[22]Brewhouse!$AZ67</f>
        <v>99.288692579651936</v>
      </c>
      <c r="K22" s="281">
        <f>[22]Brewhouse!$U67</f>
        <v>14.937611408199647</v>
      </c>
      <c r="L22" s="276">
        <f>[22]Brewhouse!$T67</f>
        <v>60</v>
      </c>
      <c r="M22" s="374">
        <f>[22]Brewhouse!$Y67-[22]Brewhouse!$X67</f>
        <v>0.13125000000000009</v>
      </c>
      <c r="N22" s="370">
        <f>[22]Brewhouse!$AD67</f>
        <v>0.27638888888888891</v>
      </c>
      <c r="O22" s="371" t="str">
        <f>[22]Brewhouse!$BC67</f>
        <v>K. Benjamin</v>
      </c>
      <c r="P22" s="419"/>
      <c r="R22" s="277" t="str">
        <f t="shared" si="0"/>
        <v>STARMALT</v>
      </c>
      <c r="S22" s="296">
        <f t="shared" si="1"/>
        <v>17.100000000000001</v>
      </c>
      <c r="T22" s="296">
        <f t="shared" si="2"/>
        <v>17.5</v>
      </c>
      <c r="U22" s="297">
        <f t="shared" si="3"/>
        <v>0</v>
      </c>
      <c r="V22" s="297">
        <f t="shared" si="4"/>
        <v>0.13605324074074074</v>
      </c>
      <c r="W22" s="297">
        <f t="shared" si="5"/>
        <v>0.27430555555555552</v>
      </c>
      <c r="X22" s="297">
        <f t="shared" si="6"/>
        <v>0.30902777777777779</v>
      </c>
      <c r="Y22" s="297">
        <f t="shared" si="7"/>
        <v>0</v>
      </c>
      <c r="Z22" s="296">
        <f t="shared" si="8"/>
        <v>85</v>
      </c>
    </row>
    <row r="23" spans="2:26" ht="15.6" customHeight="1">
      <c r="B23" s="37" t="s">
        <v>16</v>
      </c>
      <c r="C23" s="366" t="str">
        <f>[22]Brewhouse!$A68</f>
        <v>SM057</v>
      </c>
      <c r="D23" s="279">
        <f>[22]Brewhouse!$AH68</f>
        <v>56.1</v>
      </c>
      <c r="E23" s="279">
        <f>[22]Brewhouse!$AM68</f>
        <v>50.8</v>
      </c>
      <c r="F23" s="278">
        <f>[22]Brewhouse!$Z68</f>
        <v>65</v>
      </c>
      <c r="G23" s="279">
        <f>[22]Brewhouse!$AK68</f>
        <v>17.5</v>
      </c>
      <c r="H23" s="396">
        <v>17.5</v>
      </c>
      <c r="I23" s="368">
        <f>[22]Brewhouse!$AY68</f>
        <v>98.26555370627031</v>
      </c>
      <c r="J23" s="368">
        <f>[22]Brewhouse!$AZ68</f>
        <v>98.507863425500048</v>
      </c>
      <c r="K23" s="281">
        <f>[22]Brewhouse!$U68</f>
        <v>12.798573975044574</v>
      </c>
      <c r="L23" s="276">
        <f>[22]Brewhouse!$T68</f>
        <v>58</v>
      </c>
      <c r="M23" s="374">
        <f>[22]Brewhouse!$Y68-[22]Brewhouse!$X68</f>
        <v>0.12708333333333321</v>
      </c>
      <c r="N23" s="370">
        <f>[22]Brewhouse!$AD68</f>
        <v>0.27569444444444435</v>
      </c>
      <c r="O23" s="371" t="str">
        <f>[22]Brewhouse!$BC68</f>
        <v>K. Benjamin</v>
      </c>
      <c r="P23" s="419"/>
      <c r="R23" s="277" t="str">
        <f t="shared" si="0"/>
        <v>STARMALT</v>
      </c>
      <c r="S23" s="296">
        <f t="shared" si="1"/>
        <v>17.100000000000001</v>
      </c>
      <c r="T23" s="296">
        <f t="shared" si="2"/>
        <v>17.5</v>
      </c>
      <c r="U23" s="297">
        <f t="shared" si="3"/>
        <v>0</v>
      </c>
      <c r="V23" s="297">
        <f t="shared" si="4"/>
        <v>0.13605324074074074</v>
      </c>
      <c r="W23" s="297">
        <f t="shared" si="5"/>
        <v>0.27430555555555552</v>
      </c>
      <c r="X23" s="297">
        <f t="shared" si="6"/>
        <v>0.30902777777777779</v>
      </c>
      <c r="Y23" s="297">
        <f t="shared" si="7"/>
        <v>0</v>
      </c>
      <c r="Z23" s="296">
        <f t="shared" si="8"/>
        <v>85</v>
      </c>
    </row>
    <row r="24" spans="2:26" ht="14.4">
      <c r="B24" s="33"/>
      <c r="C24" s="366"/>
      <c r="D24" s="279"/>
      <c r="E24" s="279"/>
      <c r="F24" s="278"/>
      <c r="G24" s="279"/>
      <c r="H24" s="396"/>
      <c r="I24" s="427"/>
      <c r="J24" s="427"/>
      <c r="K24" s="281"/>
      <c r="L24" s="276"/>
      <c r="M24" s="374"/>
      <c r="N24" s="370"/>
      <c r="O24" s="428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3"/>
      <c r="C25" s="366"/>
      <c r="D25" s="279"/>
      <c r="E25" s="279"/>
      <c r="F25" s="278"/>
      <c r="G25" s="279"/>
      <c r="H25" s="396"/>
      <c r="I25" s="427"/>
      <c r="J25" s="427"/>
      <c r="K25" s="281"/>
      <c r="L25" s="276"/>
      <c r="M25" s="374"/>
      <c r="N25" s="370"/>
      <c r="O25" s="428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3"/>
      <c r="C26" s="366"/>
      <c r="D26" s="279"/>
      <c r="E26" s="279"/>
      <c r="F26" s="278"/>
      <c r="G26" s="279"/>
      <c r="H26" s="396"/>
      <c r="I26" s="427"/>
      <c r="J26" s="427"/>
      <c r="K26" s="281"/>
      <c r="L26" s="276"/>
      <c r="M26" s="374"/>
      <c r="N26" s="370"/>
      <c r="O26" s="428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3"/>
      <c r="C27" s="366"/>
      <c r="D27" s="279"/>
      <c r="E27" s="279"/>
      <c r="F27" s="278"/>
      <c r="G27" s="279"/>
      <c r="H27" s="396"/>
      <c r="I27" s="427"/>
      <c r="J27" s="427"/>
      <c r="K27" s="281"/>
      <c r="L27" s="276"/>
      <c r="M27" s="374"/>
      <c r="N27" s="370"/>
      <c r="O27" s="428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27"/>
      <c r="J28" s="427"/>
      <c r="K28" s="281"/>
      <c r="L28" s="276"/>
      <c r="M28" s="374"/>
      <c r="N28" s="370"/>
      <c r="O28" s="428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33"/>
      <c r="C29" s="366"/>
      <c r="D29" s="279"/>
      <c r="E29" s="279"/>
      <c r="F29" s="278"/>
      <c r="G29" s="279"/>
      <c r="H29" s="396"/>
      <c r="I29" s="427"/>
      <c r="J29" s="427"/>
      <c r="K29" s="281"/>
      <c r="L29" s="276"/>
      <c r="M29" s="374"/>
      <c r="N29" s="370"/>
      <c r="O29" s="428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33"/>
      <c r="C30" s="366"/>
      <c r="D30" s="279"/>
      <c r="E30" s="279"/>
      <c r="F30" s="278"/>
      <c r="G30" s="279"/>
      <c r="H30" s="396"/>
      <c r="I30" s="427"/>
      <c r="J30" s="427"/>
      <c r="K30" s="281"/>
      <c r="L30" s="276"/>
      <c r="M30" s="374"/>
      <c r="N30" s="370"/>
      <c r="O30" s="428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27"/>
      <c r="J31" s="427"/>
      <c r="K31" s="281"/>
      <c r="L31" s="276"/>
      <c r="M31" s="374"/>
      <c r="N31" s="370"/>
      <c r="O31" s="428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27"/>
      <c r="J32" s="427"/>
      <c r="K32" s="281"/>
      <c r="L32" s="276"/>
      <c r="M32" s="374"/>
      <c r="N32" s="370"/>
      <c r="O32" s="428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93" t="str">
        <f>I47</f>
        <v>STAG</v>
      </c>
      <c r="C46" s="362">
        <f>[24]Process!D283</f>
        <v>11.9</v>
      </c>
      <c r="D46" s="536">
        <v>11.93</v>
      </c>
      <c r="E46" s="525"/>
      <c r="F46" s="294"/>
      <c r="G46" s="294"/>
      <c r="H46" s="348"/>
      <c r="I46" s="29" t="s">
        <v>6</v>
      </c>
      <c r="J46" s="280"/>
      <c r="K46" s="284">
        <f>COUNTA([23]Brewhouse!$A$580:$A$643)</f>
        <v>64</v>
      </c>
      <c r="L46" s="305">
        <f>AVERAGE([23]Brewhouse!$AU$580:$AU$643)</f>
        <v>98.909314329671759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AVERAGE([23]Brewhouse!$AU$102:$AU$171,[23]Brewhouse!$AU$173:$AU$253,[23]Brewhouse!$AU$255:$AU$339,[23]Brewhouse!$AU$341:$AU$346,[23]Brewhouse!$AU$348,[23]Brewhouse!$AU$349:$AU$406,[23]Brewhouse!$AU$408:$AU$491,[23]Brewhouse!$AU$493:$AU$578,[23]Brewhouse!$AU$580:$AU$643)</f>
        <v>97.888561764422391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590"/>
      <c r="C47" s="349">
        <f>[24]Process!D284</f>
        <v>11.9</v>
      </c>
      <c r="D47" s="537"/>
      <c r="E47" s="520"/>
      <c r="F47" s="294"/>
      <c r="G47" s="294"/>
      <c r="H47" s="348"/>
      <c r="I47" s="33" t="s">
        <v>9</v>
      </c>
      <c r="J47" s="280">
        <f>AVERAGE(I10:I17)</f>
        <v>98.823943800631554</v>
      </c>
      <c r="K47" s="284">
        <f>COUNTA([24]Brewhouse!$A$275:$A$322)</f>
        <v>48</v>
      </c>
      <c r="L47" s="302">
        <f>AVERAGE([24]Brewhouse!$AS$275:$AS$322)</f>
        <v>99.07097576046101</v>
      </c>
      <c r="M47" s="302">
        <f>AVERAGE([24]Brewhouse!$AS$15:$AS$64,[24]Brewhouse!$AS$66:$AS$103,[24]Brewhouse!$AS$105:$AS$140,[24]Brewhouse!$AS$142:$AS$193,[24]Brewhouse!$AS$195:$AS$240,[24]Brewhouse!$AS$242:$AS$273,[24]Brewhouse!$AS$275:$AS$322)</f>
        <v>98.066148200582248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0"/>
      <c r="C48" s="349">
        <f>[24]Process!D285</f>
        <v>11.8</v>
      </c>
      <c r="D48" s="536">
        <v>12.12</v>
      </c>
      <c r="E48" s="525"/>
      <c r="F48" s="294"/>
      <c r="G48" s="294"/>
      <c r="H48" s="348"/>
      <c r="I48" s="34" t="s">
        <v>12</v>
      </c>
      <c r="J48" s="280"/>
      <c r="K48" s="284">
        <f>COUNTA([25]Brewhouse!$A$64:$A$79)</f>
        <v>16</v>
      </c>
      <c r="L48" s="302">
        <f>AVERAGE([25]Brewhouse!$AU$64:$AU$79)</f>
        <v>96.467346973315216</v>
      </c>
      <c r="M48" s="302">
        <f>AVERAGE([25]Brewhouse!$AU$4:$AU$7,[25]Brewhouse!$AU$9:$AU$22,[25]Brewhouse!$AU$24:$AU$35,[25]Brewhouse!$AU$37:$AU$45,[25]Brewhouse!$AU$47:$AU$62,[25]Brewhouse!$AU$64:$AU$79)</f>
        <v>97.0189196363294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0"/>
      <c r="C49" s="349">
        <f>[24]Process!D286</f>
        <v>11.8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0"/>
      <c r="C50" s="349">
        <f>[24]Process!D287</f>
        <v>12</v>
      </c>
      <c r="D50" s="536">
        <v>12</v>
      </c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590"/>
      <c r="C51" s="349">
        <f>[24]Process!D288</f>
        <v>11.8</v>
      </c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0"/>
      <c r="C52" s="349">
        <f>[24]Process!D289</f>
        <v>11.8</v>
      </c>
      <c r="D52" s="536">
        <v>12.15</v>
      </c>
      <c r="E52" s="525"/>
      <c r="F52" s="418"/>
      <c r="G52" s="294"/>
      <c r="H52" s="348"/>
      <c r="I52" s="37" t="s">
        <v>16</v>
      </c>
      <c r="J52" s="323">
        <f>AVERAGE(I21:I23)</f>
        <v>97.143365542470931</v>
      </c>
      <c r="K52" s="284">
        <f>COUNTA([22]Brewhouse!$A$56:$A$68)</f>
        <v>13</v>
      </c>
      <c r="L52" s="302">
        <f>AVERAGE([22]Brewhouse!$AY$56:$AY$68)</f>
        <v>98.783469461804842</v>
      </c>
      <c r="M52" s="302">
        <f>AVERAGE([22]Brewhouse!$AY$6:$AY$13,[22]Brewhouse!$AY$15:$AY$20,[22]Brewhouse!$AY$22:$AY$29,[22]Brewhouse!$AY$31:$AY$34,[22]Brewhouse!$AY$36:$AY$43,[22]Brewhouse!$AY$45:$AY$50, [22]Brewhouse!$AY$56:$AY$68)</f>
        <v>97.145096120512477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0"/>
      <c r="C53" s="349">
        <f>[24]Process!D290</f>
        <v>11.8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590"/>
      <c r="C54" s="349"/>
      <c r="D54" s="536"/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1"/>
      <c r="C55" s="349"/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514" t="str">
        <f>I46</f>
        <v>CARIB</v>
      </c>
      <c r="C56" s="349">
        <v>12</v>
      </c>
      <c r="D56" s="536">
        <v>11.86</v>
      </c>
      <c r="E56" s="525"/>
      <c r="F56" s="294"/>
      <c r="G56" s="294"/>
      <c r="H56" s="348"/>
      <c r="I56" s="1"/>
      <c r="J56" s="39"/>
      <c r="K56" s="404">
        <f>SUM(K46:K55)</f>
        <v>149</v>
      </c>
      <c r="L56" s="405">
        <f>((L46*K46)+(L47*K47)+(L48*K48)+(L49*K49)+(L50*K50)+(K53*L53)+(L51*K51)+(L52*K52)+(L55*K55))/(K56)</f>
        <v>98.726152299330536</v>
      </c>
      <c r="M56" s="405">
        <f>AVERAGE('[31]Jan 31st'!$L$65,'[32]Feb 28th'!$L$35,'[33]Mar. 31st'!$L$35,'[34]Apr. 30th'!$L$45,'[35]May 30th'!$L$37,'[39]June 30th'!$L$57,L56)</f>
        <v>97.811151828056069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16"/>
      <c r="C57" s="350">
        <v>11.7</v>
      </c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14" t="str">
        <f>I46</f>
        <v>CARIB</v>
      </c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15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15"/>
      <c r="C60" s="349">
        <f>[23]Process!D588</f>
        <v>12</v>
      </c>
      <c r="D60" s="573">
        <v>11.84</v>
      </c>
      <c r="E60" s="574"/>
      <c r="F60" s="294"/>
      <c r="G60" s="42"/>
      <c r="H60" s="41"/>
      <c r="I60" s="42"/>
      <c r="J60" s="287" t="s">
        <v>6</v>
      </c>
      <c r="K60" s="324"/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15"/>
      <c r="C61" s="349">
        <f>[23]Process!D589</f>
        <v>11.9</v>
      </c>
      <c r="D61" s="519"/>
      <c r="E61" s="520"/>
      <c r="F61" s="294"/>
      <c r="G61" s="42"/>
      <c r="H61" s="41"/>
      <c r="I61" s="42"/>
      <c r="J61" s="345" t="s">
        <v>9</v>
      </c>
      <c r="K61" s="324">
        <v>8</v>
      </c>
      <c r="L61" s="344">
        <f>AVERAGE(K70,'July 1st'!K67,'July 2nd'!K68,'July 3rd'!K68,'July 4th'!K68,'July 7th '!K68,'July 8th '!K68,'July 9th  '!K69,'July 10th '!K69,'July 11th  '!K69,'July 14th'!K69,'July 15th'!K69,'July 16th '!K69,'July 17th '!K70,'July 21st'!K70,'July 23rd'!K70)</f>
        <v>8.5625</v>
      </c>
      <c r="M61" s="325">
        <f>AVERAGE('[31]Jan 29th '!$M$70,'[32]Feb 28th'!$L$40,'[33]Mar. 31st'!$L$40,'[34]Apr. 30th'!$L$50,'[35]May 30th'!$L$42,L61)</f>
        <v>6.9615235308170087</v>
      </c>
      <c r="N61" s="417">
        <v>9.1999999999999993</v>
      </c>
      <c r="O61" s="294"/>
      <c r="P61" s="12"/>
    </row>
    <row r="62" spans="1:56" ht="15" customHeight="1">
      <c r="B62" s="515"/>
      <c r="C62" s="349">
        <f>[23]Process!D590</f>
        <v>12.2</v>
      </c>
      <c r="D62" s="573">
        <v>11.92</v>
      </c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15"/>
      <c r="C63" s="349">
        <f>[23]Process!D591</f>
        <v>11.9</v>
      </c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15"/>
      <c r="C64" s="349">
        <f>[23]Process!D592</f>
        <v>11.8</v>
      </c>
      <c r="D64" s="573">
        <v>11.87</v>
      </c>
      <c r="E64" s="574"/>
      <c r="F64" s="294"/>
      <c r="G64" s="42"/>
      <c r="H64" s="41"/>
      <c r="I64" s="42"/>
      <c r="J64" s="290" t="s">
        <v>16</v>
      </c>
      <c r="K64" s="324">
        <v>3</v>
      </c>
      <c r="L64" s="294"/>
      <c r="M64" s="294"/>
      <c r="N64" s="294"/>
      <c r="O64" s="294"/>
      <c r="P64" s="12"/>
      <c r="BC64" s="44"/>
      <c r="BD64" s="44"/>
    </row>
    <row r="65" spans="2:57" ht="14.4">
      <c r="B65" s="515"/>
      <c r="C65" s="349">
        <f>[23]Process!D593</f>
        <v>11.8</v>
      </c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15"/>
      <c r="C66" s="349">
        <f>[23]Process!D594</f>
        <v>11.9</v>
      </c>
      <c r="D66" s="573">
        <v>11.91</v>
      </c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16"/>
      <c r="C67" s="350">
        <f>[23]Process!D595</f>
        <v>11.9</v>
      </c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>
        <f>AVERAGE(D46:E67)</f>
        <v>11.955555555555556</v>
      </c>
      <c r="E68" s="578"/>
      <c r="F68" s="294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11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9.4" customHeight="1" thickBot="1">
      <c r="B75" s="432" t="str">
        <f>B85</f>
        <v>STAG</v>
      </c>
      <c r="C75" s="464">
        <v>45862</v>
      </c>
      <c r="D75" s="465">
        <f>[36]July_2025!$AA$13</f>
        <v>403.79999999999995</v>
      </c>
      <c r="E75" s="466"/>
      <c r="F75" s="467"/>
      <c r="G75" s="468">
        <f>[36]July_2025!$AA$17</f>
        <v>384.3</v>
      </c>
      <c r="H75" s="469"/>
      <c r="I75" s="470"/>
      <c r="J75" s="471" t="s">
        <v>173</v>
      </c>
      <c r="K75" s="472">
        <f>[37]July_2025!$AA$25</f>
        <v>0.67421052631578948</v>
      </c>
      <c r="L75" s="473">
        <f>(((D75+E75)-G75)/(D75+E75))*100</f>
        <v>4.8291233283803727</v>
      </c>
      <c r="M75" s="504" t="s">
        <v>197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 thickBot="1">
      <c r="B76" s="478"/>
      <c r="C76" s="453"/>
      <c r="D76" s="454"/>
      <c r="E76" s="455"/>
      <c r="F76" s="456"/>
      <c r="G76" s="457"/>
      <c r="H76" s="458"/>
      <c r="I76" s="475"/>
      <c r="J76" s="476"/>
      <c r="K76" s="459"/>
      <c r="L76" s="477"/>
      <c r="M76" s="592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39" customHeight="1" thickBot="1">
      <c r="B77" s="387" t="str">
        <f>B84</f>
        <v>CARIB</v>
      </c>
      <c r="C77" s="464">
        <f>C75</f>
        <v>45862</v>
      </c>
      <c r="D77" s="465">
        <f>[36]July_2025!$AA$3</f>
        <v>99.3</v>
      </c>
      <c r="E77" s="466"/>
      <c r="F77" s="467"/>
      <c r="G77" s="468">
        <f>[36]July_2025!$AA$7</f>
        <v>93</v>
      </c>
      <c r="H77" s="469"/>
      <c r="I77" s="470"/>
      <c r="J77" s="471" t="s">
        <v>164</v>
      </c>
      <c r="K77" s="472">
        <f>[37]July_2025!$AA$18</f>
        <v>0.32631578947368423</v>
      </c>
      <c r="L77" s="473">
        <f>(((D77+E77)-G77)/(D77+E77))*100</f>
        <v>6.3444108761329279</v>
      </c>
      <c r="M77" s="505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4.4" thickBot="1">
      <c r="B78" s="481"/>
      <c r="C78" s="453"/>
      <c r="D78" s="454"/>
      <c r="E78" s="455"/>
      <c r="F78" s="456"/>
      <c r="G78" s="457"/>
      <c r="H78" s="458"/>
      <c r="I78" s="475"/>
      <c r="J78" s="476"/>
      <c r="K78" s="459"/>
      <c r="L78" s="477"/>
      <c r="M78" s="43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6.6" customHeight="1" thickBot="1">
      <c r="B79" s="387" t="str">
        <f>B77</f>
        <v>CARIB</v>
      </c>
      <c r="C79" s="464">
        <f>C77</f>
        <v>45862</v>
      </c>
      <c r="D79" s="465">
        <f>[36]July_2025!$AB$3</f>
        <v>399.33</v>
      </c>
      <c r="E79" s="466"/>
      <c r="F79" s="467"/>
      <c r="G79" s="468">
        <f>[36]July_2025!$AB$7</f>
        <v>380.8</v>
      </c>
      <c r="H79" s="469"/>
      <c r="I79" s="470"/>
      <c r="J79" s="471" t="s">
        <v>180</v>
      </c>
      <c r="K79" s="472">
        <f>[37]July_2025!$AB$18</f>
        <v>0.44538011695906432</v>
      </c>
      <c r="L79" s="473">
        <f>(((D79+E79)-G79)/(D79+E79))*100</f>
        <v>4.6402724563644044</v>
      </c>
      <c r="M79" s="483" t="s">
        <v>186</v>
      </c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s="54" customFormat="1" ht="16.5" customHeight="1" thickBot="1">
      <c r="B80" s="460"/>
      <c r="C80" s="440"/>
      <c r="D80" s="441"/>
      <c r="E80" s="442"/>
      <c r="F80" s="443"/>
      <c r="G80" s="444"/>
      <c r="H80" s="445"/>
      <c r="I80" s="461"/>
      <c r="J80" s="462"/>
      <c r="K80" s="448"/>
      <c r="L80" s="463"/>
      <c r="M80" s="437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4.4" thickBot="1">
      <c r="B82" s="492" t="s">
        <v>55</v>
      </c>
      <c r="C82" s="493"/>
      <c r="D82" s="493"/>
      <c r="E82" s="493"/>
      <c r="F82" s="494"/>
      <c r="G82" s="492" t="s">
        <v>56</v>
      </c>
      <c r="H82" s="493"/>
      <c r="I82" s="493"/>
      <c r="J82" s="494"/>
      <c r="K82" s="492" t="s">
        <v>51</v>
      </c>
      <c r="L82" s="493"/>
      <c r="M82" s="493"/>
      <c r="N82" s="495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>
        <f>AVERAGE(L77,L79)</f>
        <v>5.4923416662486666</v>
      </c>
      <c r="D84" s="76">
        <v>5.1046674390685336</v>
      </c>
      <c r="E84" s="76">
        <v>6.3510712927007873</v>
      </c>
      <c r="F84" s="66">
        <v>4.8</v>
      </c>
      <c r="G84" s="65">
        <f>AVERAGE([36]July_2025!$AA$11,[36]July_2025!$AB$11)</f>
        <v>4.5254440810181151</v>
      </c>
      <c r="H84" s="76">
        <v>4.0731714390887097</v>
      </c>
      <c r="I84" s="76">
        <v>6.1781700333118934</v>
      </c>
      <c r="J84" s="66">
        <v>4.8</v>
      </c>
      <c r="K84" s="67">
        <f>AVERAGE(K77,K79)</f>
        <v>0.38584795321637427</v>
      </c>
      <c r="L84" s="194">
        <v>0.86202484976475791</v>
      </c>
      <c r="M84" s="194">
        <v>0.73901325166961152</v>
      </c>
      <c r="N84" s="68">
        <v>1</v>
      </c>
      <c r="O84" s="56"/>
      <c r="P84" s="69"/>
    </row>
    <row r="85" spans="2:16">
      <c r="B85" s="33" t="s">
        <v>9</v>
      </c>
      <c r="C85" s="65">
        <f>L75</f>
        <v>4.8291233283803727</v>
      </c>
      <c r="D85" s="76">
        <v>5.3357161092672998</v>
      </c>
      <c r="E85" s="76">
        <v>6.0447102477865347</v>
      </c>
      <c r="F85" s="66">
        <v>4.8</v>
      </c>
      <c r="G85" s="65">
        <f>[36]July_2025!$Z$21</f>
        <v>2.3625168775567076</v>
      </c>
      <c r="H85" s="76">
        <v>3.8846311618032878</v>
      </c>
      <c r="I85" s="76">
        <v>5.5876613612264929</v>
      </c>
      <c r="J85" s="66">
        <v>4.8</v>
      </c>
      <c r="K85" s="67">
        <f>K75</f>
        <v>0.67421052631578948</v>
      </c>
      <c r="L85" s="194">
        <v>0.68507080603198067</v>
      </c>
      <c r="M85" s="194">
        <v>0.75208296975611877</v>
      </c>
      <c r="N85" s="68">
        <v>1</v>
      </c>
      <c r="P85" s="69"/>
    </row>
    <row r="86" spans="2:16">
      <c r="B86" s="34" t="s">
        <v>40</v>
      </c>
      <c r="C86" s="65"/>
      <c r="D86" s="76">
        <v>11.466477138118925</v>
      </c>
      <c r="E86" s="76">
        <v>11.904314441431504</v>
      </c>
      <c r="F86" s="66">
        <v>5.5</v>
      </c>
      <c r="G86" s="65"/>
      <c r="H86" s="76">
        <v>15.89175434604109</v>
      </c>
      <c r="I86" s="76">
        <v>13.439540856999288</v>
      </c>
      <c r="J86" s="66">
        <v>5.5</v>
      </c>
      <c r="K86" s="67"/>
      <c r="L86" s="194">
        <v>1.3112280701754386</v>
      </c>
      <c r="M86" s="194">
        <v>0.54260860979462877</v>
      </c>
      <c r="N86" s="68">
        <v>1</v>
      </c>
      <c r="P86" s="69"/>
    </row>
    <row r="87" spans="2:16">
      <c r="B87" s="22" t="s">
        <v>33</v>
      </c>
      <c r="C87" s="65"/>
      <c r="D87" s="76">
        <v>3.4761321909424563</v>
      </c>
      <c r="E87" s="76">
        <v>5.119233255999676</v>
      </c>
      <c r="F87" s="66">
        <v>3.3</v>
      </c>
      <c r="G87" s="65"/>
      <c r="H87" s="76">
        <v>2.7479545757807706</v>
      </c>
      <c r="I87" s="76">
        <v>4.8747400258857825</v>
      </c>
      <c r="J87" s="66">
        <v>3.3</v>
      </c>
      <c r="K87" s="67"/>
      <c r="L87" s="194">
        <v>1.3835087719298247</v>
      </c>
      <c r="M87" s="194">
        <v>0.77839364035087721</v>
      </c>
      <c r="N87" s="68">
        <v>1</v>
      </c>
      <c r="P87" s="69"/>
    </row>
    <row r="88" spans="2:16">
      <c r="B88" s="35" t="s">
        <v>192</v>
      </c>
      <c r="C88" s="65"/>
      <c r="D88" s="76">
        <v>7.837301587301579</v>
      </c>
      <c r="E88" s="76">
        <v>7.837301587301579</v>
      </c>
      <c r="F88" s="66">
        <v>3.3</v>
      </c>
      <c r="G88" s="282"/>
      <c r="H88" s="76">
        <v>5.3377569154690221</v>
      </c>
      <c r="I88" s="76">
        <v>5.3377569154690221</v>
      </c>
      <c r="J88" s="66">
        <v>3</v>
      </c>
      <c r="K88" s="67"/>
      <c r="L88" s="194">
        <v>0.32596491228070179</v>
      </c>
      <c r="M88" s="194">
        <v>0.32596491228070179</v>
      </c>
      <c r="N88" s="68">
        <v>1</v>
      </c>
      <c r="P88" s="69"/>
    </row>
    <row r="89" spans="2:16">
      <c r="B89" s="36" t="s">
        <v>15</v>
      </c>
      <c r="C89" s="282"/>
      <c r="D89" s="76"/>
      <c r="E89" s="76">
        <v>7.3129862357869699</v>
      </c>
      <c r="F89" s="70">
        <f>[21]May_2022!$M$43</f>
        <v>3.4878406700073312</v>
      </c>
      <c r="G89" s="282"/>
      <c r="H89" s="76"/>
      <c r="I89" s="76">
        <v>8.9862703283331644</v>
      </c>
      <c r="J89" s="66">
        <v>5.5</v>
      </c>
      <c r="K89" s="67"/>
      <c r="L89" s="194"/>
      <c r="M89" s="194">
        <v>0.59276315789473688</v>
      </c>
      <c r="N89" s="68">
        <v>1</v>
      </c>
      <c r="P89" s="69"/>
    </row>
    <row r="90" spans="2:16">
      <c r="B90" s="37" t="s">
        <v>16</v>
      </c>
      <c r="C90" s="65"/>
      <c r="D90" s="76">
        <v>2.3359073359073403</v>
      </c>
      <c r="E90" s="76">
        <v>2.980561555075584</v>
      </c>
      <c r="F90" s="66">
        <v>3.3</v>
      </c>
      <c r="G90" s="282"/>
      <c r="H90" s="76">
        <v>3.7114579368100644</v>
      </c>
      <c r="I90" s="76">
        <v>4.4931174512296872</v>
      </c>
      <c r="J90" s="66">
        <v>3.3</v>
      </c>
      <c r="K90" s="67"/>
      <c r="L90" s="194">
        <v>1.7750877192982455</v>
      </c>
      <c r="M90" s="194">
        <v>0.83077455048409399</v>
      </c>
      <c r="N90" s="71">
        <v>1</v>
      </c>
      <c r="P90" s="69"/>
    </row>
    <row r="91" spans="2:16" ht="14.4" thickBot="1">
      <c r="B91" s="38" t="s">
        <v>191</v>
      </c>
      <c r="C91" s="65"/>
      <c r="D91" s="76">
        <v>11.483253588516746</v>
      </c>
      <c r="E91" s="76">
        <v>11.483253588516746</v>
      </c>
      <c r="F91" s="66">
        <v>7.5</v>
      </c>
      <c r="G91" s="282"/>
      <c r="H91" s="76">
        <v>9.7934336121043764</v>
      </c>
      <c r="I91" s="76">
        <v>9.7934336121043764</v>
      </c>
      <c r="J91" s="66">
        <v>7.5</v>
      </c>
      <c r="K91" s="67"/>
      <c r="L91" s="194">
        <v>0.32456140350877194</v>
      </c>
      <c r="M91" s="194">
        <v>0.32456140350877194</v>
      </c>
      <c r="N91" s="71">
        <v>1</v>
      </c>
      <c r="P91" s="69"/>
    </row>
    <row r="92" spans="2:16" ht="14.4" thickBot="1">
      <c r="B92" s="414" t="s">
        <v>161</v>
      </c>
      <c r="C92" s="65"/>
      <c r="D92" s="76">
        <v>9.4974642692485105</v>
      </c>
      <c r="E92" s="76">
        <v>7.2653644592663174</v>
      </c>
      <c r="F92" s="66">
        <v>4.8</v>
      </c>
      <c r="G92" s="282"/>
      <c r="H92" s="76">
        <v>10.183089539936029</v>
      </c>
      <c r="I92" s="76">
        <v>8.1715311054411259</v>
      </c>
      <c r="J92" s="66">
        <v>4.8</v>
      </c>
      <c r="K92" s="67"/>
      <c r="L92" s="194">
        <v>0.68877192982456148</v>
      </c>
      <c r="M92" s="194">
        <v>0.51368421052631585</v>
      </c>
      <c r="N92" s="71">
        <v>1</v>
      </c>
      <c r="O92" s="74"/>
      <c r="P92" s="75"/>
    </row>
    <row r="93" spans="2:16">
      <c r="D93" s="76">
        <v>5.5117411445915181</v>
      </c>
      <c r="E93" s="76">
        <v>6.4640228160417603</v>
      </c>
      <c r="F93" s="341">
        <v>5.5</v>
      </c>
      <c r="H93" s="76">
        <v>5.2105650644967776</v>
      </c>
      <c r="I93" s="76">
        <v>6.6367933571125306</v>
      </c>
      <c r="J93" s="341">
        <v>5.5</v>
      </c>
      <c r="L93" s="194">
        <v>0.84596212754107469</v>
      </c>
      <c r="M93" s="194">
        <v>0.71814760858673465</v>
      </c>
      <c r="N93" s="386">
        <v>1</v>
      </c>
    </row>
    <row r="97" spans="6:6">
      <c r="F97" s="315"/>
    </row>
    <row r="98" spans="6:6">
      <c r="F98" s="341"/>
    </row>
  </sheetData>
  <mergeCells count="53">
    <mergeCell ref="M4:N4"/>
    <mergeCell ref="B56:B57"/>
    <mergeCell ref="B46:B55"/>
    <mergeCell ref="M75:M77"/>
    <mergeCell ref="S1:T1"/>
    <mergeCell ref="I44:N44"/>
    <mergeCell ref="D45:E45"/>
    <mergeCell ref="D46:E47"/>
    <mergeCell ref="D48:E49"/>
    <mergeCell ref="D50:E51"/>
    <mergeCell ref="D52:E53"/>
    <mergeCell ref="D54:E55"/>
    <mergeCell ref="D56:E57"/>
    <mergeCell ref="B58:B67"/>
    <mergeCell ref="D58:E59"/>
    <mergeCell ref="J58:K58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L59:N59"/>
    <mergeCell ref="D60:E61"/>
    <mergeCell ref="D62:E63"/>
    <mergeCell ref="D64:E65"/>
    <mergeCell ref="D66:E67"/>
    <mergeCell ref="D68:E68"/>
    <mergeCell ref="B73:B74"/>
    <mergeCell ref="C73:C74"/>
    <mergeCell ref="D73:D74"/>
    <mergeCell ref="E73:E74"/>
    <mergeCell ref="M73:M74"/>
    <mergeCell ref="B82:F82"/>
    <mergeCell ref="G82:J82"/>
    <mergeCell ref="K82:N82"/>
    <mergeCell ref="G73:G74"/>
    <mergeCell ref="H73:H74"/>
    <mergeCell ref="I73:I74"/>
    <mergeCell ref="J73:J74"/>
    <mergeCell ref="K73:K74"/>
    <mergeCell ref="L73:L74"/>
    <mergeCell ref="F73:F74"/>
  </mergeCells>
  <conditionalFormatting sqref="B68:B69">
    <cfRule type="cellIs" dxfId="609" priority="137" operator="notBetween">
      <formula>#REF!</formula>
      <formula>#REF!</formula>
    </cfRule>
  </conditionalFormatting>
  <conditionalFormatting sqref="C72">
    <cfRule type="cellIs" dxfId="608" priority="169" stopIfTrue="1" operator="greaterThan">
      <formula>100</formula>
    </cfRule>
    <cfRule type="cellIs" dxfId="607" priority="168" stopIfTrue="1" operator="lessThan">
      <formula>96</formula>
    </cfRule>
  </conditionalFormatting>
  <conditionalFormatting sqref="C84:C85">
    <cfRule type="cellIs" dxfId="606" priority="116" stopIfTrue="1" operator="lessThanOrEqual">
      <formula>0</formula>
    </cfRule>
  </conditionalFormatting>
  <conditionalFormatting sqref="C84:C88">
    <cfRule type="cellIs" dxfId="605" priority="115" stopIfTrue="1" operator="greaterThan">
      <formula>$F84</formula>
    </cfRule>
  </conditionalFormatting>
  <conditionalFormatting sqref="C85">
    <cfRule type="cellIs" dxfId="604" priority="172" stopIfTrue="1" operator="greaterThan">
      <formula>$F84</formula>
    </cfRule>
  </conditionalFormatting>
  <conditionalFormatting sqref="C86:C89">
    <cfRule type="cellIs" dxfId="603" priority="122" stopIfTrue="1" operator="lessThanOrEqual">
      <formula>0</formula>
    </cfRule>
  </conditionalFormatting>
  <conditionalFormatting sqref="C89">
    <cfRule type="cellIs" dxfId="602" priority="121" stopIfTrue="1" operator="greaterThan">
      <formula>$J89</formula>
    </cfRule>
  </conditionalFormatting>
  <conditionalFormatting sqref="C95:C99">
    <cfRule type="cellIs" dxfId="601" priority="160" stopIfTrue="1" operator="lessThanOrEqual">
      <formula>0</formula>
    </cfRule>
  </conditionalFormatting>
  <conditionalFormatting sqref="C96:C99">
    <cfRule type="cellIs" dxfId="600" priority="159" stopIfTrue="1" operator="greaterThan">
      <formula>$F$95</formula>
    </cfRule>
  </conditionalFormatting>
  <conditionalFormatting sqref="C101">
    <cfRule type="cellIs" dxfId="599" priority="161" stopIfTrue="1" operator="greaterThan">
      <formula>$F$95</formula>
    </cfRule>
    <cfRule type="cellIs" dxfId="598" priority="162" stopIfTrue="1" operator="lessThanOrEqual">
      <formula>0</formula>
    </cfRule>
  </conditionalFormatting>
  <conditionalFormatting sqref="C95:D95 D97:D103">
    <cfRule type="cellIs" dxfId="597" priority="154" stopIfTrue="1" operator="greaterThan">
      <formula>4.5</formula>
    </cfRule>
  </conditionalFormatting>
  <conditionalFormatting sqref="D68:D69">
    <cfRule type="cellIs" dxfId="596" priority="138" operator="notBetween">
      <formula>#REF!</formula>
      <formula>#REF!</formula>
    </cfRule>
  </conditionalFormatting>
  <conditionalFormatting sqref="D84:D91">
    <cfRule type="cellIs" dxfId="595" priority="132" stopIfTrue="1" operator="lessThanOrEqual">
      <formula>0</formula>
    </cfRule>
  </conditionalFormatting>
  <conditionalFormatting sqref="D92">
    <cfRule type="cellIs" dxfId="594" priority="131" stopIfTrue="1" operator="lessThanOrEqual">
      <formula>0</formula>
    </cfRule>
  </conditionalFormatting>
  <conditionalFormatting sqref="D95 D97:D103">
    <cfRule type="cellIs" dxfId="593" priority="155" stopIfTrue="1" operator="lessThanOrEqual">
      <formula>0</formula>
    </cfRule>
  </conditionalFormatting>
  <conditionalFormatting sqref="D96">
    <cfRule type="cellIs" dxfId="592" priority="147" stopIfTrue="1" operator="lessThanOrEqual">
      <formula>0</formula>
    </cfRule>
    <cfRule type="cellIs" dxfId="591" priority="146" stopIfTrue="1" operator="greaterThan">
      <formula>$F$95</formula>
    </cfRule>
  </conditionalFormatting>
  <conditionalFormatting sqref="D84:E93">
    <cfRule type="cellIs" dxfId="590" priority="112" stopIfTrue="1" operator="greaterThan">
      <formula>$F84</formula>
    </cfRule>
  </conditionalFormatting>
  <conditionalFormatting sqref="D93:E93">
    <cfRule type="cellIs" dxfId="589" priority="113" stopIfTrue="1" operator="lessThanOrEqual">
      <formula>0</formula>
    </cfRule>
  </conditionalFormatting>
  <conditionalFormatting sqref="E10:E43">
    <cfRule type="cellIs" dxfId="588" priority="2" operator="lessThan">
      <formula>48</formula>
    </cfRule>
  </conditionalFormatting>
  <conditionalFormatting sqref="E71 E72:F72">
    <cfRule type="cellIs" dxfId="587" priority="151" stopIfTrue="1" operator="greaterThan">
      <formula>100</formula>
    </cfRule>
  </conditionalFormatting>
  <conditionalFormatting sqref="E72">
    <cfRule type="cellIs" dxfId="586" priority="149" stopIfTrue="1" operator="greaterThan">
      <formula>100</formula>
    </cfRule>
    <cfRule type="cellIs" dxfId="585" priority="148" stopIfTrue="1" operator="lessThan">
      <formula>96.8</formula>
    </cfRule>
  </conditionalFormatting>
  <conditionalFormatting sqref="E84:E92">
    <cfRule type="cellIs" dxfId="584" priority="126" stopIfTrue="1" operator="lessThanOrEqual">
      <formula>0</formula>
    </cfRule>
  </conditionalFormatting>
  <conditionalFormatting sqref="E95:E103">
    <cfRule type="cellIs" dxfId="583" priority="141" stopIfTrue="1" operator="lessThanOrEqual">
      <formula>0</formula>
    </cfRule>
    <cfRule type="cellIs" dxfId="582" priority="140" stopIfTrue="1" operator="greaterThan">
      <formula>4.5</formula>
    </cfRule>
  </conditionalFormatting>
  <conditionalFormatting sqref="E72:F72 E71">
    <cfRule type="cellIs" dxfId="581" priority="150" stopIfTrue="1" operator="lessThan">
      <formula>96.5</formula>
    </cfRule>
  </conditionalFormatting>
  <conditionalFormatting sqref="F10:F19">
    <cfRule type="cellIs" dxfId="580" priority="14" operator="greaterThan">
      <formula>60</formula>
    </cfRule>
  </conditionalFormatting>
  <conditionalFormatting sqref="F24:F43">
    <cfRule type="cellIs" dxfId="579" priority="25" operator="greaterThan">
      <formula>60</formula>
    </cfRule>
  </conditionalFormatting>
  <conditionalFormatting sqref="F72">
    <cfRule type="cellIs" dxfId="578" priority="166" stopIfTrue="1" operator="lessThan">
      <formula>96.8</formula>
    </cfRule>
    <cfRule type="cellIs" dxfId="577" priority="167" stopIfTrue="1" operator="greaterThan">
      <formula>100</formula>
    </cfRule>
  </conditionalFormatting>
  <conditionalFormatting sqref="F93">
    <cfRule type="cellIs" dxfId="576" priority="127" stopIfTrue="1" operator="greaterThan">
      <formula>$F93</formula>
    </cfRule>
    <cfRule type="cellIs" dxfId="575" priority="128" stopIfTrue="1" operator="lessThanOrEqual">
      <formula>0</formula>
    </cfRule>
  </conditionalFormatting>
  <conditionalFormatting sqref="F98">
    <cfRule type="cellIs" dxfId="574" priority="82" stopIfTrue="1" operator="lessThanOrEqual">
      <formula>0</formula>
    </cfRule>
    <cfRule type="cellIs" dxfId="573" priority="81" stopIfTrue="1" operator="greaterThan">
      <formula>$F98</formula>
    </cfRule>
  </conditionalFormatting>
  <conditionalFormatting sqref="G20:G23">
    <cfRule type="expression" dxfId="572" priority="8">
      <formula>IF(+(IF(G20&lt;S20,0,IF(G20&gt;T20,0,1)))=0,1)</formula>
    </cfRule>
  </conditionalFormatting>
  <conditionalFormatting sqref="G84:G85 C90:C92">
    <cfRule type="cellIs" dxfId="571" priority="133" stopIfTrue="1" operator="greaterThan">
      <formula>$F84</formula>
    </cfRule>
    <cfRule type="cellIs" dxfId="570" priority="134" stopIfTrue="1" operator="lessThanOrEqual">
      <formula>0</formula>
    </cfRule>
  </conditionalFormatting>
  <conditionalFormatting sqref="G84:G85">
    <cfRule type="cellIs" dxfId="569" priority="118" stopIfTrue="1" operator="lessThanOrEqual">
      <formula>0</formula>
    </cfRule>
    <cfRule type="cellIs" dxfId="568" priority="117" stopIfTrue="1" operator="greaterThan">
      <formula>$F84</formula>
    </cfRule>
  </conditionalFormatting>
  <conditionalFormatting sqref="G86">
    <cfRule type="cellIs" dxfId="567" priority="170" stopIfTrue="1" operator="greaterThan">
      <formula>$F85</formula>
    </cfRule>
    <cfRule type="cellIs" dxfId="566" priority="171" stopIfTrue="1" operator="lessThanOrEqual">
      <formula>0</formula>
    </cfRule>
  </conditionalFormatting>
  <conditionalFormatting sqref="G87">
    <cfRule type="cellIs" dxfId="565" priority="129" stopIfTrue="1" operator="greaterThan">
      <formula>$F87</formula>
    </cfRule>
    <cfRule type="cellIs" dxfId="564" priority="130" stopIfTrue="1" operator="lessThanOrEqual">
      <formula>0</formula>
    </cfRule>
  </conditionalFormatting>
  <conditionalFormatting sqref="G88:G92">
    <cfRule type="cellIs" dxfId="563" priority="135" stopIfTrue="1" operator="greaterThan">
      <formula>$J88</formula>
    </cfRule>
    <cfRule type="cellIs" dxfId="562" priority="136" stopIfTrue="1" operator="lessThanOrEqual">
      <formula>0</formula>
    </cfRule>
  </conditionalFormatting>
  <conditionalFormatting sqref="G97:G102 C100 C102">
    <cfRule type="cellIs" dxfId="561" priority="164" stopIfTrue="1" operator="lessThanOrEqual">
      <formula>0</formula>
    </cfRule>
    <cfRule type="cellIs" dxfId="560" priority="163" stopIfTrue="1" operator="greaterThan">
      <formula>4.5</formula>
    </cfRule>
  </conditionalFormatting>
  <conditionalFormatting sqref="G10:H19">
    <cfRule type="expression" dxfId="559" priority="19">
      <formula>IF(+(IF(G10&lt;#REF!,0,IF(G10&gt;#REF!,0,1)))=0,1)</formula>
    </cfRule>
  </conditionalFormatting>
  <conditionalFormatting sqref="G96:H96">
    <cfRule type="cellIs" dxfId="558" priority="144" stopIfTrue="1" operator="greaterThan">
      <formula>$F$95</formula>
    </cfRule>
    <cfRule type="cellIs" dxfId="557" priority="145" stopIfTrue="1" operator="lessThanOrEqual">
      <formula>0</formula>
    </cfRule>
  </conditionalFormatting>
  <conditionalFormatting sqref="H20:H23 G24:H43">
    <cfRule type="expression" dxfId="556" priority="30">
      <formula>IF(+(IF(G20&lt;#REF!,0,IF(G20&gt;#REF!,0,1)))=0,1)</formula>
    </cfRule>
  </conditionalFormatting>
  <conditionalFormatting sqref="H57:H71">
    <cfRule type="cellIs" dxfId="555" priority="142" stopIfTrue="1" operator="greaterThan">
      <formula>0</formula>
    </cfRule>
  </conditionalFormatting>
  <conditionalFormatting sqref="H75">
    <cfRule type="cellIs" dxfId="554" priority="52" stopIfTrue="1" operator="lessThanOrEqual">
      <formula>0</formula>
    </cfRule>
    <cfRule type="cellIs" dxfId="553" priority="40" stopIfTrue="1" operator="lessThanOrEqual">
      <formula>0</formula>
    </cfRule>
    <cfRule type="cellIs" dxfId="552" priority="41" stopIfTrue="1" operator="greaterThan">
      <formula>$F$39</formula>
    </cfRule>
    <cfRule type="cellIs" dxfId="551" priority="49" stopIfTrue="1" operator="greaterThan">
      <formula>$F$42</formula>
    </cfRule>
    <cfRule type="cellIs" dxfId="550" priority="50" stopIfTrue="1" operator="lessThanOrEqual">
      <formula>0</formula>
    </cfRule>
    <cfRule type="cellIs" dxfId="549" priority="51" stopIfTrue="1" operator="greaterThan">
      <formula>$F$40</formula>
    </cfRule>
  </conditionalFormatting>
  <conditionalFormatting sqref="H76">
    <cfRule type="cellIs" dxfId="548" priority="77" stopIfTrue="1" operator="greaterThan">
      <formula>$F$44</formula>
    </cfRule>
    <cfRule type="cellIs" dxfId="547" priority="79" stopIfTrue="1" operator="greaterThan">
      <formula>$F$42</formula>
    </cfRule>
    <cfRule type="cellIs" dxfId="546" priority="80" stopIfTrue="1" operator="lessThanOrEqual">
      <formula>0</formula>
    </cfRule>
    <cfRule type="cellIs" dxfId="545" priority="69" stopIfTrue="1" operator="greaterThan">
      <formula>$F$41</formula>
    </cfRule>
    <cfRule type="cellIs" dxfId="544" priority="68" stopIfTrue="1" operator="lessThanOrEqual">
      <formula>0</formula>
    </cfRule>
    <cfRule type="cellIs" dxfId="543" priority="78" stopIfTrue="1" operator="lessThanOrEqual">
      <formula>0</formula>
    </cfRule>
  </conditionalFormatting>
  <conditionalFormatting sqref="H77:H79">
    <cfRule type="cellIs" dxfId="542" priority="66" stopIfTrue="1" operator="lessThanOrEqual">
      <formula>0</formula>
    </cfRule>
    <cfRule type="cellIs" dxfId="541" priority="64" stopIfTrue="1" operator="lessThanOrEqual">
      <formula>0</formula>
    </cfRule>
    <cfRule type="cellIs" dxfId="540" priority="63" stopIfTrue="1" operator="greaterThan">
      <formula>$F$43</formula>
    </cfRule>
    <cfRule type="cellIs" dxfId="539" priority="55" stopIfTrue="1" operator="greaterThan">
      <formula>$F$40</formula>
    </cfRule>
    <cfRule type="cellIs" dxfId="538" priority="54" stopIfTrue="1" operator="lessThanOrEqual">
      <formula>0</formula>
    </cfRule>
    <cfRule type="cellIs" dxfId="537" priority="65" stopIfTrue="1" operator="greaterThan">
      <formula>$F$41</formula>
    </cfRule>
  </conditionalFormatting>
  <conditionalFormatting sqref="H80">
    <cfRule type="cellIs" dxfId="536" priority="96" stopIfTrue="1" operator="lessThanOrEqual">
      <formula>0</formula>
    </cfRule>
    <cfRule type="cellIs" dxfId="535" priority="97" stopIfTrue="1" operator="greaterThan">
      <formula>$F$57</formula>
    </cfRule>
    <cfRule type="cellIs" dxfId="534" priority="86" stopIfTrue="1" operator="lessThanOrEqual">
      <formula>0</formula>
    </cfRule>
    <cfRule type="cellIs" dxfId="533" priority="87" stopIfTrue="1" operator="greaterThan">
      <formula>$F$56</formula>
    </cfRule>
    <cfRule type="cellIs" dxfId="532" priority="98" stopIfTrue="1" operator="lessThanOrEqual">
      <formula>0</formula>
    </cfRule>
    <cfRule type="cellIs" dxfId="531" priority="95" stopIfTrue="1" operator="greaterThan">
      <formula>$F$59</formula>
    </cfRule>
  </conditionalFormatting>
  <conditionalFormatting sqref="H84:H91">
    <cfRule type="cellIs" dxfId="530" priority="119" stopIfTrue="1" operator="greaterThan">
      <formula>$J84</formula>
    </cfRule>
    <cfRule type="cellIs" dxfId="529" priority="120" stopIfTrue="1" operator="lessThanOrEqual">
      <formula>0</formula>
    </cfRule>
  </conditionalFormatting>
  <conditionalFormatting sqref="H92">
    <cfRule type="cellIs" dxfId="528" priority="123" operator="greaterThan">
      <formula>5.3</formula>
    </cfRule>
  </conditionalFormatting>
  <conditionalFormatting sqref="H95 H97:H103">
    <cfRule type="cellIs" dxfId="527" priority="157" stopIfTrue="1" operator="lessThanOrEqual">
      <formula>0</formula>
    </cfRule>
    <cfRule type="cellIs" dxfId="526" priority="156" stopIfTrue="1" operator="greaterThan">
      <formula>4.5</formula>
    </cfRule>
  </conditionalFormatting>
  <conditionalFormatting sqref="H75:I75">
    <cfRule type="cellIs" dxfId="525" priority="39" stopIfTrue="1" operator="greaterThan">
      <formula>$F$41</formula>
    </cfRule>
    <cfRule type="cellIs" dxfId="524" priority="42" stopIfTrue="1" operator="lessThanOrEqual">
      <formula>0</formula>
    </cfRule>
  </conditionalFormatting>
  <conditionalFormatting sqref="H76:I76">
    <cfRule type="cellIs" dxfId="523" priority="67" stopIfTrue="1" operator="greaterThan">
      <formula>$F$43</formula>
    </cfRule>
    <cfRule type="cellIs" dxfId="522" priority="70" stopIfTrue="1" operator="lessThanOrEqual">
      <formula>0</formula>
    </cfRule>
  </conditionalFormatting>
  <conditionalFormatting sqref="H77:I79">
    <cfRule type="cellIs" dxfId="521" priority="53" stopIfTrue="1" operator="greaterThan">
      <formula>$F$42</formula>
    </cfRule>
    <cfRule type="cellIs" dxfId="520" priority="56" stopIfTrue="1" operator="lessThanOrEqual">
      <formula>0</formula>
    </cfRule>
  </conditionalFormatting>
  <conditionalFormatting sqref="H80:I80">
    <cfRule type="cellIs" dxfId="519" priority="88" stopIfTrue="1" operator="lessThanOrEqual">
      <formula>0</formula>
    </cfRule>
    <cfRule type="cellIs" dxfId="518" priority="85" stopIfTrue="1" operator="greaterThan">
      <formula>$F$58</formula>
    </cfRule>
  </conditionalFormatting>
  <conditionalFormatting sqref="H93:I93">
    <cfRule type="cellIs" dxfId="517" priority="110" stopIfTrue="1" operator="greaterThan">
      <formula>$J93</formula>
    </cfRule>
    <cfRule type="cellIs" dxfId="516" priority="111" stopIfTrue="1" operator="lessThanOrEqual">
      <formula>0</formula>
    </cfRule>
  </conditionalFormatting>
  <conditionalFormatting sqref="I75">
    <cfRule type="cellIs" dxfId="515" priority="46" stopIfTrue="1" operator="lessThanOrEqual">
      <formula>0</formula>
    </cfRule>
    <cfRule type="cellIs" dxfId="514" priority="44" stopIfTrue="1" operator="lessThanOrEqual">
      <formula>0</formula>
    </cfRule>
    <cfRule type="cellIs" dxfId="513" priority="47" stopIfTrue="1" operator="greaterThan">
      <formula>$F$39</formula>
    </cfRule>
    <cfRule type="cellIs" dxfId="512" priority="48" stopIfTrue="1" operator="lessThanOrEqual">
      <formula>0</formula>
    </cfRule>
    <cfRule type="cellIs" dxfId="511" priority="43" stopIfTrue="1" operator="greaterThan">
      <formula>$F$39</formula>
    </cfRule>
    <cfRule type="cellIs" dxfId="510" priority="45" stopIfTrue="1" operator="greaterThan">
      <formula>$F$41</formula>
    </cfRule>
  </conditionalFormatting>
  <conditionalFormatting sqref="I76">
    <cfRule type="cellIs" dxfId="509" priority="74" stopIfTrue="1" operator="lessThanOrEqual">
      <formula>0</formula>
    </cfRule>
    <cfRule type="cellIs" dxfId="508" priority="76" stopIfTrue="1" operator="lessThanOrEqual">
      <formula>0</formula>
    </cfRule>
    <cfRule type="cellIs" dxfId="507" priority="75" stopIfTrue="1" operator="greaterThan">
      <formula>$F$41</formula>
    </cfRule>
    <cfRule type="cellIs" dxfId="506" priority="71" stopIfTrue="1" operator="greaterThan">
      <formula>$F$41</formula>
    </cfRule>
    <cfRule type="cellIs" dxfId="505" priority="72" stopIfTrue="1" operator="lessThanOrEqual">
      <formula>0</formula>
    </cfRule>
    <cfRule type="cellIs" dxfId="504" priority="73" stopIfTrue="1" operator="greaterThan">
      <formula>$F$43</formula>
    </cfRule>
  </conditionalFormatting>
  <conditionalFormatting sqref="I77:I79">
    <cfRule type="cellIs" dxfId="503" priority="61" stopIfTrue="1" operator="greaterThan">
      <formula>$F$40</formula>
    </cfRule>
    <cfRule type="cellIs" dxfId="502" priority="57" stopIfTrue="1" operator="greaterThan">
      <formula>$F$40</formula>
    </cfRule>
    <cfRule type="cellIs" dxfId="501" priority="58" stopIfTrue="1" operator="lessThanOrEqual">
      <formula>0</formula>
    </cfRule>
    <cfRule type="cellIs" dxfId="500" priority="59" stopIfTrue="1" operator="greaterThan">
      <formula>$F$42</formula>
    </cfRule>
    <cfRule type="cellIs" dxfId="499" priority="60" stopIfTrue="1" operator="lessThanOrEqual">
      <formula>0</formula>
    </cfRule>
    <cfRule type="cellIs" dxfId="498" priority="62" stopIfTrue="1" operator="lessThanOrEqual">
      <formula>0</formula>
    </cfRule>
  </conditionalFormatting>
  <conditionalFormatting sqref="I80">
    <cfRule type="cellIs" dxfId="497" priority="93" stopIfTrue="1" operator="greaterThan">
      <formula>$F$56</formula>
    </cfRule>
    <cfRule type="cellIs" dxfId="496" priority="92" stopIfTrue="1" operator="lessThanOrEqual">
      <formula>0</formula>
    </cfRule>
    <cfRule type="cellIs" dxfId="495" priority="91" stopIfTrue="1" operator="greaterThan">
      <formula>$F$58</formula>
    </cfRule>
    <cfRule type="cellIs" dxfId="494" priority="89" stopIfTrue="1" operator="greaterThan">
      <formula>$F$56</formula>
    </cfRule>
    <cfRule type="cellIs" dxfId="493" priority="90" stopIfTrue="1" operator="lessThanOrEqual">
      <formula>0</formula>
    </cfRule>
    <cfRule type="cellIs" dxfId="492" priority="94" stopIfTrue="1" operator="lessThanOrEqual">
      <formula>0</formula>
    </cfRule>
  </conditionalFormatting>
  <conditionalFormatting sqref="I84:I92">
    <cfRule type="cellIs" dxfId="491" priority="124" stopIfTrue="1" operator="greaterThan">
      <formula>$J84</formula>
    </cfRule>
    <cfRule type="cellIs" dxfId="490" priority="125" stopIfTrue="1" operator="lessThanOrEqual">
      <formula>0</formula>
    </cfRule>
  </conditionalFormatting>
  <conditionalFormatting sqref="I95:I103">
    <cfRule type="cellIs" dxfId="489" priority="153" stopIfTrue="1" operator="lessThanOrEqual">
      <formula>0</formula>
    </cfRule>
    <cfRule type="cellIs" dxfId="488" priority="152" stopIfTrue="1" operator="greaterThan">
      <formula>4.5</formula>
    </cfRule>
  </conditionalFormatting>
  <conditionalFormatting sqref="I10:J43">
    <cfRule type="cellIs" dxfId="487" priority="3" operator="lessThan">
      <formula>97.9</formula>
    </cfRule>
  </conditionalFormatting>
  <conditionalFormatting sqref="J46:J48">
    <cfRule type="cellIs" dxfId="486" priority="102" operator="lessThan">
      <formula>98</formula>
    </cfRule>
    <cfRule type="cellIs" dxfId="485" priority="100" stopIfTrue="1" operator="lessThan">
      <formula>96.8</formula>
    </cfRule>
    <cfRule type="cellIs" dxfId="484" priority="101" stopIfTrue="1" operator="greaterThan">
      <formula>100</formula>
    </cfRule>
  </conditionalFormatting>
  <conditionalFormatting sqref="J46:J50">
    <cfRule type="cellIs" dxfId="483" priority="99" operator="lessThan">
      <formula>97.4</formula>
    </cfRule>
  </conditionalFormatting>
  <conditionalFormatting sqref="J51">
    <cfRule type="cellIs" dxfId="482" priority="103" operator="lessThan">
      <formula>98</formula>
    </cfRule>
  </conditionalFormatting>
  <conditionalFormatting sqref="J53:J54">
    <cfRule type="cellIs" dxfId="481" priority="104" stopIfTrue="1" operator="lessThan">
      <formula>96.8</formula>
    </cfRule>
    <cfRule type="cellIs" dxfId="480" priority="105" stopIfTrue="1" operator="greaterThan">
      <formula>100</formula>
    </cfRule>
  </conditionalFormatting>
  <conditionalFormatting sqref="J53:J55">
    <cfRule type="cellIs" dxfId="479" priority="106" operator="lessThan">
      <formula>98</formula>
    </cfRule>
  </conditionalFormatting>
  <conditionalFormatting sqref="J93">
    <cfRule type="cellIs" dxfId="478" priority="107" stopIfTrue="1" operator="greaterThan">
      <formula>$F93</formula>
    </cfRule>
    <cfRule type="cellIs" dxfId="477" priority="108" stopIfTrue="1" operator="lessThanOrEqual">
      <formula>0</formula>
    </cfRule>
  </conditionalFormatting>
  <conditionalFormatting sqref="K10:K43">
    <cfRule type="cellIs" dxfId="476" priority="15" operator="greaterThan">
      <formula>6</formula>
    </cfRule>
    <cfRule type="cellIs" dxfId="475" priority="16" operator="lessThan">
      <formula>4</formula>
    </cfRule>
    <cfRule type="cellIs" dxfId="474" priority="17" operator="greaterThan">
      <formula>6.4</formula>
    </cfRule>
  </conditionalFormatting>
  <conditionalFormatting sqref="K75:K80">
    <cfRule type="cellIs" dxfId="473" priority="83" stopIfTrue="1" operator="lessThan">
      <formula>100%</formula>
    </cfRule>
  </conditionalFormatting>
  <conditionalFormatting sqref="K95:K100">
    <cfRule type="cellIs" dxfId="472" priority="158" stopIfTrue="1" operator="lessThan">
      <formula>100%</formula>
    </cfRule>
  </conditionalFormatting>
  <conditionalFormatting sqref="K102:K103">
    <cfRule type="cellIs" dxfId="471" priority="165" stopIfTrue="1" operator="lessThan">
      <formula>100%</formula>
    </cfRule>
  </conditionalFormatting>
  <conditionalFormatting sqref="K84:N92">
    <cfRule type="cellIs" dxfId="470" priority="36" stopIfTrue="1" operator="lessThan">
      <formula>100%</formula>
    </cfRule>
  </conditionalFormatting>
  <conditionalFormatting sqref="L20:L23">
    <cfRule type="cellIs" dxfId="469" priority="10" operator="between">
      <formula>61</formula>
      <formula>65</formula>
    </cfRule>
    <cfRule type="cellIs" dxfId="468" priority="11" operator="greaterThan">
      <formula>65</formula>
    </cfRule>
  </conditionalFormatting>
  <conditionalFormatting sqref="L33:L43">
    <cfRule type="cellIs" dxfId="467" priority="37" operator="between">
      <formula>61</formula>
      <formula>65</formula>
    </cfRule>
    <cfRule type="cellIs" dxfId="466" priority="38" operator="greaterThan">
      <formula>65</formula>
    </cfRule>
  </conditionalFormatting>
  <conditionalFormatting sqref="L10:M19">
    <cfRule type="cellIs" dxfId="465" priority="21" operator="greaterThan">
      <formula>65</formula>
    </cfRule>
    <cfRule type="cellIs" dxfId="464" priority="20" operator="between">
      <formula>61</formula>
      <formula>65</formula>
    </cfRule>
  </conditionalFormatting>
  <conditionalFormatting sqref="L24:M32">
    <cfRule type="cellIs" dxfId="463" priority="32" operator="greaterThan">
      <formula>65</formula>
    </cfRule>
    <cfRule type="cellIs" dxfId="462" priority="31" operator="between">
      <formula>61</formula>
      <formula>65</formula>
    </cfRule>
  </conditionalFormatting>
  <conditionalFormatting sqref="L46:M57">
    <cfRule type="cellIs" dxfId="461" priority="114" operator="lessThan">
      <formula>98</formula>
    </cfRule>
  </conditionalFormatting>
  <conditionalFormatting sqref="L61:N61">
    <cfRule type="cellIs" dxfId="460" priority="84" operator="notEqual">
      <formula>#REF!</formula>
    </cfRule>
  </conditionalFormatting>
  <conditionalFormatting sqref="L93:N93">
    <cfRule type="cellIs" dxfId="459" priority="109" stopIfTrue="1" operator="lessThan">
      <formula>100%</formula>
    </cfRule>
  </conditionalFormatting>
  <conditionalFormatting sqref="L95:N103">
    <cfRule type="cellIs" dxfId="458" priority="143" stopIfTrue="1" operator="lessThan">
      <formula>100%</formula>
    </cfRule>
  </conditionalFormatting>
  <conditionalFormatting sqref="M10:M19">
    <cfRule type="expression" dxfId="457" priority="22">
      <formula>IF(+(IF(M10&lt;U10,0,IF(M10&gt;V10,0,1)))=0,1)</formula>
    </cfRule>
  </conditionalFormatting>
  <conditionalFormatting sqref="M20:M23">
    <cfRule type="expression" dxfId="456" priority="7">
      <formula>IF(+(IF(M20&lt;U20,0,IF(M20&gt;V20,0,1)))=0,1)</formula>
    </cfRule>
  </conditionalFormatting>
  <conditionalFormatting sqref="M24:M43">
    <cfRule type="expression" dxfId="455" priority="33">
      <formula>IF(+(IF(M24&lt;U24,0,IF(M24&gt;V24,0,1)))=0,1)</formula>
    </cfRule>
  </conditionalFormatting>
  <conditionalFormatting sqref="N10:N43">
    <cfRule type="expression" dxfId="454" priority="1">
      <formula>IF(+(IF(N10&lt;W10,0,IF(N10&gt;X10,0,1)))=0,1)</formula>
    </cfRule>
  </conditionalFormatting>
  <conditionalFormatting sqref="P6">
    <cfRule type="cellIs" dxfId="453" priority="139" operator="greaterThanOrEqual">
      <formula>19</formula>
    </cfRule>
  </conditionalFormatting>
  <dataValidations disablePrompts="1" count="1">
    <dataValidation type="list" allowBlank="1" showInputMessage="1" showErrorMessage="1" sqref="R8" xr:uid="{457BE35D-3C3B-4BE3-B1B1-9640D28B5F7D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BB60-1AB7-4404-B986-B73BA471D233}">
  <sheetPr>
    <pageSetUpPr fitToPage="1"/>
  </sheetPr>
  <dimension ref="A1:BE98"/>
  <sheetViews>
    <sheetView topLeftCell="A9" zoomScale="70" zoomScaleNormal="70" workbookViewId="0">
      <selection activeCell="N24" sqref="N24:N2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45866</v>
      </c>
      <c r="J4" s="398" t="s">
        <v>199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200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 hidden="1">
      <c r="B10" s="33"/>
      <c r="C10" s="366"/>
      <c r="D10" s="279"/>
      <c r="E10" s="279"/>
      <c r="F10" s="278"/>
      <c r="G10" s="279"/>
      <c r="H10" s="396"/>
      <c r="I10" s="427"/>
      <c r="J10" s="427"/>
      <c r="K10" s="281"/>
      <c r="L10" s="276"/>
      <c r="M10" s="374"/>
      <c r="N10" s="370"/>
      <c r="O10" s="428"/>
      <c r="P10" s="339"/>
      <c r="R10" s="277">
        <f t="shared" ref="R10:R45" si="0">B10</f>
        <v>0</v>
      </c>
      <c r="S10" s="296" t="e">
        <f t="shared" ref="S10:S45" si="1">VLOOKUP($B10,$R$3:$X$9,2,FALSE)</f>
        <v>#N/A</v>
      </c>
      <c r="T10" s="296" t="e">
        <f t="shared" ref="T10:T45" si="2">VLOOKUP($B10,$R$3:$X$9,3,FALSE)</f>
        <v>#N/A</v>
      </c>
      <c r="U10" s="297" t="e">
        <f t="shared" ref="U10:U45" si="3">VLOOKUP($B10,$R$3:$X$9,4,FALSE)</f>
        <v>#N/A</v>
      </c>
      <c r="V10" s="297" t="e">
        <f t="shared" ref="V10:V45" si="4">VLOOKUP($B10,$R$3:$X$9,5,FALSE)</f>
        <v>#N/A</v>
      </c>
      <c r="W10" s="297" t="e">
        <f t="shared" ref="W10:W45" si="5">VLOOKUP($B10,$R$3:$X$9,6,FALSE)</f>
        <v>#N/A</v>
      </c>
      <c r="X10" s="297" t="e">
        <f t="shared" ref="X10:X45" si="6">VLOOKUP($B10,$R$3:$X$9,7,FALSE)</f>
        <v>#N/A</v>
      </c>
      <c r="Y10" s="297" t="e">
        <f t="shared" ref="Y10:Y45" si="7">VLOOKUP($B10,$R$3:$Z$9,8,FALSE)</f>
        <v>#N/A</v>
      </c>
      <c r="Z10" s="296" t="e">
        <f t="shared" ref="Z10:Z45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7"/>
      <c r="J11" s="427"/>
      <c r="K11" s="281"/>
      <c r="L11" s="276"/>
      <c r="M11" s="374"/>
      <c r="N11" s="370"/>
      <c r="O11" s="428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7"/>
      <c r="J12" s="427"/>
      <c r="K12" s="281"/>
      <c r="L12" s="276"/>
      <c r="M12" s="374"/>
      <c r="N12" s="370"/>
      <c r="O12" s="428"/>
      <c r="P12" s="41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7"/>
      <c r="J13" s="427"/>
      <c r="K13" s="281"/>
      <c r="L13" s="276"/>
      <c r="M13" s="374"/>
      <c r="N13" s="370"/>
      <c r="O13" s="428"/>
      <c r="P13" s="41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7"/>
      <c r="J14" s="427"/>
      <c r="K14" s="281"/>
      <c r="L14" s="276"/>
      <c r="M14" s="374"/>
      <c r="N14" s="370"/>
      <c r="O14" s="428"/>
      <c r="P14" s="419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7"/>
      <c r="J15" s="427"/>
      <c r="K15" s="281"/>
      <c r="L15" s="276"/>
      <c r="M15" s="374"/>
      <c r="N15" s="370"/>
      <c r="O15" s="428"/>
      <c r="P15" s="419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7"/>
      <c r="J16" s="427"/>
      <c r="K16" s="281"/>
      <c r="L16" s="276"/>
      <c r="M16" s="374"/>
      <c r="N16" s="370"/>
      <c r="O16" s="428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7"/>
      <c r="J17" s="427"/>
      <c r="K17" s="281"/>
      <c r="L17" s="276"/>
      <c r="M17" s="374"/>
      <c r="N17" s="370"/>
      <c r="O17" s="428"/>
      <c r="P17" s="419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3"/>
      <c r="C18" s="366"/>
      <c r="D18" s="279"/>
      <c r="E18" s="279"/>
      <c r="F18" s="278"/>
      <c r="G18" s="279"/>
      <c r="H18" s="396"/>
      <c r="I18" s="427"/>
      <c r="J18" s="427"/>
      <c r="K18" s="281"/>
      <c r="L18" s="276"/>
      <c r="M18" s="374"/>
      <c r="N18" s="370"/>
      <c r="O18" s="428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33"/>
      <c r="C19" s="366"/>
      <c r="D19" s="279"/>
      <c r="E19" s="279"/>
      <c r="F19" s="278"/>
      <c r="G19" s="279"/>
      <c r="H19" s="396"/>
      <c r="I19" s="427"/>
      <c r="J19" s="427"/>
      <c r="K19" s="281"/>
      <c r="L19" s="276"/>
      <c r="M19" s="374"/>
      <c r="N19" s="370"/>
      <c r="O19" s="428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6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6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4.4">
      <c r="B24" s="37" t="s">
        <v>16</v>
      </c>
      <c r="C24" s="366" t="str">
        <f>[22]Brewhouse!$A69</f>
        <v>SM058</v>
      </c>
      <c r="D24" s="279">
        <f>[22]Brewhouse!$AH69</f>
        <v>55</v>
      </c>
      <c r="E24" s="279">
        <f>[22]Brewhouse!$AM69</f>
        <v>51.9</v>
      </c>
      <c r="F24" s="278">
        <f>[22]Brewhouse!$Z69</f>
        <v>72</v>
      </c>
      <c r="G24" s="279">
        <f>[22]Brewhouse!$AK69</f>
        <v>17.2</v>
      </c>
      <c r="H24" s="396">
        <v>17.2</v>
      </c>
      <c r="I24" s="368">
        <f>[22]Brewhouse!$AY69</f>
        <v>98.569967614948013</v>
      </c>
      <c r="J24" s="368">
        <f>[22]Brewhouse!$AZ69</f>
        <v>98.813027978182276</v>
      </c>
      <c r="K24" s="281">
        <f>[22]Brewhouse!$U69</f>
        <v>11.41818181818182</v>
      </c>
      <c r="L24" s="276">
        <f>[22]Brewhouse!$T69</f>
        <v>60</v>
      </c>
      <c r="M24" s="374">
        <f>[22]Brewhouse!$Y69-[22]Brewhouse!$X69</f>
        <v>0.12916666666666665</v>
      </c>
      <c r="N24" s="370">
        <f>[22]Brewhouse!$AD69</f>
        <v>0.28333333333333333</v>
      </c>
      <c r="O24" s="371" t="str">
        <f>[22]Brewhouse!$BC69</f>
        <v>K. Benjamin</v>
      </c>
      <c r="P24" s="419"/>
      <c r="R24" s="277" t="str">
        <f t="shared" si="0"/>
        <v>STARMALT</v>
      </c>
      <c r="S24" s="296">
        <f t="shared" si="1"/>
        <v>17.100000000000001</v>
      </c>
      <c r="T24" s="296">
        <f t="shared" si="2"/>
        <v>17.5</v>
      </c>
      <c r="U24" s="297">
        <f t="shared" si="3"/>
        <v>0</v>
      </c>
      <c r="V24" s="297">
        <f t="shared" si="4"/>
        <v>0.13605324074074074</v>
      </c>
      <c r="W24" s="297">
        <f t="shared" si="5"/>
        <v>0.27430555555555552</v>
      </c>
      <c r="X24" s="297">
        <f t="shared" si="6"/>
        <v>0.30902777777777779</v>
      </c>
      <c r="Y24" s="297">
        <f t="shared" si="7"/>
        <v>0</v>
      </c>
      <c r="Z24" s="296">
        <f t="shared" si="8"/>
        <v>85</v>
      </c>
    </row>
    <row r="25" spans="2:26" ht="15.75" customHeight="1">
      <c r="B25" s="37" t="s">
        <v>16</v>
      </c>
      <c r="C25" s="366" t="str">
        <f>[22]Brewhouse!$A70</f>
        <v>SM059</v>
      </c>
      <c r="D25" s="279">
        <f>[22]Brewhouse!$AH70</f>
        <v>55.8</v>
      </c>
      <c r="E25" s="279">
        <f>[22]Brewhouse!$AM70</f>
        <v>49.8</v>
      </c>
      <c r="F25" s="278">
        <f>[22]Brewhouse!$Z70</f>
        <v>71</v>
      </c>
      <c r="G25" s="279">
        <f>[22]Brewhouse!$AK70</f>
        <v>17.8</v>
      </c>
      <c r="H25" s="396">
        <v>17.8</v>
      </c>
      <c r="I25" s="368">
        <f>[22]Brewhouse!$AY70</f>
        <v>98.132256373549936</v>
      </c>
      <c r="J25" s="368">
        <f>[22]Brewhouse!$AZ70</f>
        <v>98.374237399376483</v>
      </c>
      <c r="K25" s="281">
        <f>[22]Brewhouse!$U70</f>
        <v>14.838709677419356</v>
      </c>
      <c r="L25" s="276">
        <f>[22]Brewhouse!$T70</f>
        <v>60</v>
      </c>
      <c r="M25" s="374">
        <f>[22]Brewhouse!$Y70-[22]Brewhouse!$X70</f>
        <v>0.12777777777777777</v>
      </c>
      <c r="N25" s="370">
        <f>[22]Brewhouse!$AD70</f>
        <v>0.28333333333333333</v>
      </c>
      <c r="O25" s="371" t="str">
        <f>[22]Brewhouse!$BC70</f>
        <v>R. Regis</v>
      </c>
      <c r="P25" s="419"/>
      <c r="R25" s="277" t="str">
        <f t="shared" si="0"/>
        <v>STARMALT</v>
      </c>
      <c r="S25" s="296">
        <f t="shared" si="1"/>
        <v>17.100000000000001</v>
      </c>
      <c r="T25" s="296">
        <f t="shared" si="2"/>
        <v>17.5</v>
      </c>
      <c r="U25" s="297">
        <f t="shared" si="3"/>
        <v>0</v>
      </c>
      <c r="V25" s="297">
        <f t="shared" si="4"/>
        <v>0.13605324074074074</v>
      </c>
      <c r="W25" s="297">
        <f t="shared" si="5"/>
        <v>0.27430555555555552</v>
      </c>
      <c r="X25" s="297">
        <f t="shared" si="6"/>
        <v>0.30902777777777779</v>
      </c>
      <c r="Y25" s="297">
        <f t="shared" si="7"/>
        <v>0</v>
      </c>
      <c r="Z25" s="296">
        <f t="shared" si="8"/>
        <v>85</v>
      </c>
    </row>
    <row r="26" spans="2:26" ht="15.75" customHeight="1">
      <c r="B26" s="37" t="s">
        <v>16</v>
      </c>
      <c r="C26" s="366" t="str">
        <f>[22]Brewhouse!$A71</f>
        <v>SM060</v>
      </c>
      <c r="D26" s="279">
        <f>[22]Brewhouse!$AH71</f>
        <v>56</v>
      </c>
      <c r="E26" s="279">
        <f>[22]Brewhouse!$AM71</f>
        <v>50.5</v>
      </c>
      <c r="F26" s="278">
        <f>[22]Brewhouse!$Z71</f>
        <v>77</v>
      </c>
      <c r="G26" s="279">
        <f>[22]Brewhouse!$AK71</f>
        <v>17</v>
      </c>
      <c r="H26" s="367"/>
      <c r="I26" s="368">
        <f>[22]Brewhouse!$AY71</f>
        <v>100.03514094829396</v>
      </c>
      <c r="J26" s="368">
        <f>[22]Brewhouse!$AZ71</f>
        <v>100.29480868839788</v>
      </c>
      <c r="K26" s="281">
        <f>[22]Brewhouse!$U71</f>
        <v>20.142857142857146</v>
      </c>
      <c r="L26" s="276">
        <f>[22]Brewhouse!$T71</f>
        <v>61</v>
      </c>
      <c r="M26" s="374">
        <f>[22]Brewhouse!$Y71-[22]Brewhouse!$X71</f>
        <v>0.20486111111111105</v>
      </c>
      <c r="N26" s="370">
        <f>[22]Brewhouse!$AD71</f>
        <v>0.36944444444444441</v>
      </c>
      <c r="O26" s="371" t="str">
        <f>[22]Brewhouse!$BC71</f>
        <v>R. Regis</v>
      </c>
      <c r="P26" s="419"/>
      <c r="R26" s="277" t="str">
        <f t="shared" si="0"/>
        <v>STARMALT</v>
      </c>
      <c r="S26" s="296">
        <f t="shared" si="1"/>
        <v>17.100000000000001</v>
      </c>
      <c r="T26" s="296">
        <f t="shared" si="2"/>
        <v>17.5</v>
      </c>
      <c r="U26" s="297">
        <f t="shared" si="3"/>
        <v>0</v>
      </c>
      <c r="V26" s="297">
        <f t="shared" si="4"/>
        <v>0.13605324074074074</v>
      </c>
      <c r="W26" s="297">
        <f t="shared" si="5"/>
        <v>0.27430555555555552</v>
      </c>
      <c r="X26" s="297">
        <f t="shared" si="6"/>
        <v>0.30902777777777779</v>
      </c>
      <c r="Y26" s="297">
        <f t="shared" si="7"/>
        <v>0</v>
      </c>
      <c r="Z26" s="296">
        <f t="shared" si="8"/>
        <v>85</v>
      </c>
    </row>
    <row r="27" spans="2:26" ht="15.75" customHeight="1">
      <c r="B27" s="37" t="s">
        <v>16</v>
      </c>
      <c r="C27" s="366" t="str">
        <f>[22]Brewhouse!$A72</f>
        <v>SM061</v>
      </c>
      <c r="D27" s="279">
        <f>[22]Brewhouse!$AH72</f>
        <v>55.7</v>
      </c>
      <c r="E27" s="279">
        <f>[22]Brewhouse!$AM72</f>
        <v>54.3</v>
      </c>
      <c r="F27" s="278">
        <f>[22]Brewhouse!$Z72</f>
        <v>96</v>
      </c>
      <c r="G27" s="279">
        <f>[22]Brewhouse!$AK72</f>
        <v>16.600000000000001</v>
      </c>
      <c r="H27" s="367"/>
      <c r="I27" s="368">
        <f>[22]Brewhouse!$AY72</f>
        <v>99.39273336749045</v>
      </c>
      <c r="J27" s="368">
        <f>[22]Brewhouse!$AZ72</f>
        <v>99.637592890277034</v>
      </c>
      <c r="K27" s="281">
        <f>[22]Brewhouse!$U72</f>
        <v>15.583482944344714</v>
      </c>
      <c r="L27" s="276">
        <f>[22]Brewhouse!$T72</f>
        <v>60</v>
      </c>
      <c r="M27" s="374">
        <f>[22]Brewhouse!$Y72-[22]Brewhouse!$X72</f>
        <v>0.14861111111111114</v>
      </c>
      <c r="N27" s="370">
        <f>[22]Brewhouse!$AD72</f>
        <v>0.37361111111111112</v>
      </c>
      <c r="O27" s="371" t="str">
        <f>[22]Brewhouse!$BC72</f>
        <v>R. Regis</v>
      </c>
      <c r="P27" s="419"/>
      <c r="R27" s="277" t="str">
        <f t="shared" si="0"/>
        <v>STARMALT</v>
      </c>
      <c r="S27" s="296">
        <f t="shared" si="1"/>
        <v>17.100000000000001</v>
      </c>
      <c r="T27" s="296">
        <f t="shared" si="2"/>
        <v>17.5</v>
      </c>
      <c r="U27" s="297">
        <f t="shared" si="3"/>
        <v>0</v>
      </c>
      <c r="V27" s="297">
        <f t="shared" si="4"/>
        <v>0.13605324074074074</v>
      </c>
      <c r="W27" s="297">
        <f t="shared" si="5"/>
        <v>0.27430555555555552</v>
      </c>
      <c r="X27" s="297">
        <f t="shared" si="6"/>
        <v>0.30902777777777779</v>
      </c>
      <c r="Y27" s="297">
        <f t="shared" si="7"/>
        <v>0</v>
      </c>
      <c r="Z27" s="296">
        <f t="shared" si="8"/>
        <v>85</v>
      </c>
    </row>
    <row r="28" spans="2:26" ht="15.75" customHeight="1">
      <c r="B28" s="37" t="s">
        <v>16</v>
      </c>
      <c r="C28" s="366" t="str">
        <f>[22]Brewhouse!$A73</f>
        <v>SM062</v>
      </c>
      <c r="D28" s="279">
        <f>[22]Brewhouse!$AH73</f>
        <v>55</v>
      </c>
      <c r="E28" s="279">
        <f>[22]Brewhouse!$AM73</f>
        <v>50.4</v>
      </c>
      <c r="F28" s="278">
        <f>[22]Brewhouse!$Z73</f>
        <v>99</v>
      </c>
      <c r="G28" s="279">
        <f>[22]Brewhouse!$AK73</f>
        <v>16.5</v>
      </c>
      <c r="H28" s="367"/>
      <c r="I28" s="368">
        <f>[22]Brewhouse!$AY73</f>
        <v>102.27737633882425</v>
      </c>
      <c r="J28" s="368">
        <f>[22]Brewhouse!$AZ73</f>
        <v>102.55821415326321</v>
      </c>
      <c r="K28" s="281">
        <f>[22]Brewhouse!$U73</f>
        <v>18.509090909090908</v>
      </c>
      <c r="L28" s="276">
        <f>[22]Brewhouse!$T73</f>
        <v>61</v>
      </c>
      <c r="M28" s="374">
        <f>[22]Brewhouse!$Y73-[22]Brewhouse!$X73</f>
        <v>0.15069444444444446</v>
      </c>
      <c r="N28" s="370">
        <f>[22]Brewhouse!$AD73</f>
        <v>0.29652777777777783</v>
      </c>
      <c r="O28" s="371" t="str">
        <f>[22]Brewhouse!$BC73</f>
        <v>D. Gomaz</v>
      </c>
      <c r="P28" s="419"/>
      <c r="R28" s="277" t="str">
        <f t="shared" si="0"/>
        <v>STARMALT</v>
      </c>
      <c r="S28" s="296">
        <f t="shared" si="1"/>
        <v>17.100000000000001</v>
      </c>
      <c r="T28" s="296">
        <f t="shared" si="2"/>
        <v>17.5</v>
      </c>
      <c r="U28" s="297">
        <f t="shared" si="3"/>
        <v>0</v>
      </c>
      <c r="V28" s="297">
        <f t="shared" si="4"/>
        <v>0.13605324074074074</v>
      </c>
      <c r="W28" s="297">
        <f t="shared" si="5"/>
        <v>0.27430555555555552</v>
      </c>
      <c r="X28" s="297">
        <f t="shared" si="6"/>
        <v>0.30902777777777779</v>
      </c>
      <c r="Y28" s="297">
        <f t="shared" si="7"/>
        <v>0</v>
      </c>
      <c r="Z28" s="296">
        <f t="shared" si="8"/>
        <v>85</v>
      </c>
    </row>
    <row r="29" spans="2:26" ht="15.6" customHeight="1">
      <c r="B29" s="37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>
      <c r="B30" s="37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37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7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74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37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74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37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74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593" t="str">
        <f>I47</f>
        <v>STAG</v>
      </c>
      <c r="C46" s="362">
        <f>[24]Process!D291</f>
        <v>11.9</v>
      </c>
      <c r="D46" s="536">
        <v>11.83</v>
      </c>
      <c r="E46" s="525"/>
      <c r="F46" s="294"/>
      <c r="G46" s="294"/>
      <c r="H46" s="348"/>
      <c r="I46" s="29" t="s">
        <v>6</v>
      </c>
      <c r="J46" s="280"/>
      <c r="K46" s="284">
        <f>COUNTA([23]Brewhouse!$A$580:$A$643)</f>
        <v>64</v>
      </c>
      <c r="L46" s="305">
        <f>AVERAGE([23]Brewhouse!$AU$580:$AU$643)</f>
        <v>98.909314329671759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AVERAGE([23]Brewhouse!$AU$102:$AU$171,[23]Brewhouse!$AU$173:$AU$253,[23]Brewhouse!$AU$255:$AU$339,[23]Brewhouse!$AU$341:$AU$346,[23]Brewhouse!$AU$348,[23]Brewhouse!$AU$349:$AU$406,[23]Brewhouse!$AU$408:$AU$491,[23]Brewhouse!$AU$493:$AU$578,[23]Brewhouse!$AU$580:$AU$643)</f>
        <v>97.888561764422391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590"/>
      <c r="C47" s="349">
        <f>[24]Process!D292</f>
        <v>11.8</v>
      </c>
      <c r="D47" s="537"/>
      <c r="E47" s="520"/>
      <c r="F47" s="294"/>
      <c r="G47" s="294"/>
      <c r="H47" s="348"/>
      <c r="I47" s="33" t="s">
        <v>9</v>
      </c>
      <c r="J47" s="280"/>
      <c r="K47" s="284">
        <f>COUNTA([24]Brewhouse!$A$275:$A$322)</f>
        <v>48</v>
      </c>
      <c r="L47" s="302">
        <f>AVERAGE([24]Brewhouse!$AS$275:$AS$322)</f>
        <v>99.07097576046101</v>
      </c>
      <c r="M47" s="302">
        <f>AVERAGE([24]Brewhouse!$AS$15:$AS$64,[24]Brewhouse!$AS$66:$AS$103,[24]Brewhouse!$AS$105:$AS$140,[24]Brewhouse!$AS$142:$AS$193,[24]Brewhouse!$AS$195:$AS$240,[24]Brewhouse!$AS$242:$AS$273,[24]Brewhouse!$AS$275:$AS$322)</f>
        <v>98.066148200582248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90"/>
      <c r="C48" s="349">
        <f>[24]Process!D293</f>
        <v>11.9</v>
      </c>
      <c r="D48" s="536">
        <v>11.87</v>
      </c>
      <c r="E48" s="525"/>
      <c r="F48" s="294"/>
      <c r="G48" s="294"/>
      <c r="H48" s="348"/>
      <c r="I48" s="34" t="s">
        <v>12</v>
      </c>
      <c r="J48" s="280"/>
      <c r="K48" s="284">
        <f>COUNTA([25]Brewhouse!$A$64:$A$79)</f>
        <v>16</v>
      </c>
      <c r="L48" s="302">
        <f>AVERAGE([25]Brewhouse!$AU$64:$AU$79)</f>
        <v>96.467346973315216</v>
      </c>
      <c r="M48" s="302">
        <f>AVERAGE([25]Brewhouse!$AU$4:$AU$7,[25]Brewhouse!$AU$9:$AU$22,[25]Brewhouse!$AU$24:$AU$35,[25]Brewhouse!$AU$37:$AU$45,[25]Brewhouse!$AU$47:$AU$62,[25]Brewhouse!$AU$64:$AU$79)</f>
        <v>97.0189196363294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90"/>
      <c r="C49" s="349">
        <f>[24]Process!D294</f>
        <v>11.8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590"/>
      <c r="C50" s="349">
        <f>[24]Process!D295</f>
        <v>11.7</v>
      </c>
      <c r="D50" s="536">
        <v>11.68</v>
      </c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590"/>
      <c r="C51" s="349">
        <f>[24]Process!D296</f>
        <v>11.6</v>
      </c>
      <c r="D51" s="537"/>
      <c r="E51" s="520"/>
      <c r="F51" s="418"/>
      <c r="G51" s="294"/>
      <c r="H51" s="348"/>
      <c r="I51" s="36" t="s">
        <v>15</v>
      </c>
      <c r="J51" s="323"/>
      <c r="K51" s="284"/>
      <c r="L51" s="302"/>
      <c r="M51" s="302">
        <f>AVERAGE([27]Brewhouse!$AT$4:$AT$11,[27]Brewhouse!$AT$13:$AT$16,[27]Brewhouse!$AT$18:$AT$21)</f>
        <v>94.773169817643847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90"/>
      <c r="C52" s="349">
        <f>[24]Process!D297</f>
        <v>11.9</v>
      </c>
      <c r="D52" s="536">
        <v>11.83</v>
      </c>
      <c r="E52" s="525"/>
      <c r="F52" s="418"/>
      <c r="G52" s="294"/>
      <c r="H52" s="348"/>
      <c r="I52" s="37" t="s">
        <v>16</v>
      </c>
      <c r="J52" s="323">
        <f>AVERAGE(I24:I28)</f>
        <v>99.681494928621319</v>
      </c>
      <c r="K52" s="284">
        <f>COUNTA([22]Brewhouse!$A$56:$A$73)</f>
        <v>18</v>
      </c>
      <c r="L52" s="302">
        <f>AVERAGE([22]Brewhouse!$AY$56:$AY$73)</f>
        <v>99.032920980364963</v>
      </c>
      <c r="M52" s="302">
        <f>AVERAGE([22]Brewhouse!$AY$6:$AY$13,[22]Brewhouse!$AY$15:$AY$20,[22]Brewhouse!$AY$22:$AY$29,[22]Brewhouse!$AY$31:$AY$34,[22]Brewhouse!$AY$36:$AY$43,[22]Brewhouse!$AY$45:$AY$50, [22]Brewhouse!$AY$56:$AY$73)</f>
        <v>97.363751190177027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90"/>
      <c r="C53" s="349">
        <f>[24]Process!D298</f>
        <v>11.9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590"/>
      <c r="C54" s="349">
        <f>[24]Process!D299</f>
        <v>11.8</v>
      </c>
      <c r="D54" s="536">
        <v>11.9</v>
      </c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90"/>
      <c r="C55" s="349">
        <f>[24]Process!D300</f>
        <v>11.9</v>
      </c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590"/>
      <c r="C56" s="349">
        <f>[24]Process!D301</f>
        <v>11.8</v>
      </c>
      <c r="D56" s="536">
        <v>11.87</v>
      </c>
      <c r="E56" s="525"/>
      <c r="F56" s="294"/>
      <c r="G56" s="294"/>
      <c r="H56" s="348"/>
      <c r="I56" s="1"/>
      <c r="J56" s="39"/>
      <c r="K56" s="404">
        <f>SUM(K46:K55)</f>
        <v>154</v>
      </c>
      <c r="L56" s="405">
        <f>((L46*K46)+(L47*K47)+(L48*K48)+(L49*K49)+(L50*K50)+(K53*L53)+(L51*K51)+(L52*K52)+(L55*K55))/(K56)</f>
        <v>98.75716991716466</v>
      </c>
      <c r="M56" s="405">
        <f>AVERAGE('[31]Jan 31st'!$L$65,'[32]Feb 28th'!$L$35,'[33]Mar. 31st'!$L$35,'[34]Apr. 30th'!$L$45,'[35]May 30th'!$L$37,'[39]June 30th'!$L$57,L56)</f>
        <v>97.815582916318093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91"/>
      <c r="C57" s="350">
        <f>[24]Process!D302</f>
        <v>11.6</v>
      </c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14"/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15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15"/>
      <c r="C60" s="349"/>
      <c r="D60" s="573"/>
      <c r="E60" s="574"/>
      <c r="F60" s="294"/>
      <c r="G60" s="42"/>
      <c r="H60" s="41"/>
      <c r="I60" s="42"/>
      <c r="J60" s="287" t="s">
        <v>6</v>
      </c>
      <c r="K60" s="324"/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15"/>
      <c r="C61" s="349"/>
      <c r="D61" s="519"/>
      <c r="E61" s="520"/>
      <c r="F61" s="294"/>
      <c r="G61" s="42"/>
      <c r="H61" s="41"/>
      <c r="I61" s="42"/>
      <c r="J61" s="345" t="s">
        <v>9</v>
      </c>
      <c r="K61" s="324"/>
      <c r="L61" s="344">
        <f>AVERAGE(K70,'July 1st'!K67,'July 2nd'!K68,'July 3rd'!K68,'July 4th'!K68,'July 7th '!K68,'July 8th '!K68,'July 9th  '!K69,'July 10th '!K69,'July 11th  '!K69,'July 14th'!K69,'July 15th'!K69,'July 16th '!K69,'July 17th '!K70,'July 21st'!K70,'July 23rd'!K70,'July 24th'!K70)</f>
        <v>8.3529411764705888</v>
      </c>
      <c r="M61" s="325">
        <f>AVERAGE('[31]Jan 29th '!$M$70,'[32]Feb 28th'!$L$40,'[33]Mar. 31st'!$L$40,'[34]Apr. 30th'!$L$50,'[35]May 30th'!$L$42,L61)</f>
        <v>6.9265970602287732</v>
      </c>
      <c r="N61" s="417">
        <v>9.1999999999999993</v>
      </c>
      <c r="O61" s="294"/>
      <c r="P61" s="12"/>
    </row>
    <row r="62" spans="1:56" ht="15" customHeight="1">
      <c r="B62" s="515"/>
      <c r="C62" s="349"/>
      <c r="D62" s="573"/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15"/>
      <c r="C63" s="349"/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15"/>
      <c r="C64" s="349"/>
      <c r="D64" s="573"/>
      <c r="E64" s="574"/>
      <c r="F64" s="294"/>
      <c r="G64" s="42"/>
      <c r="H64" s="41"/>
      <c r="I64" s="42"/>
      <c r="J64" s="290" t="s">
        <v>16</v>
      </c>
      <c r="K64" s="324">
        <v>5</v>
      </c>
      <c r="L64" s="294"/>
      <c r="M64" s="294"/>
      <c r="N64" s="294"/>
      <c r="O64" s="294"/>
      <c r="P64" s="12"/>
      <c r="BC64" s="44"/>
      <c r="BD64" s="44"/>
    </row>
    <row r="65" spans="2:57" ht="14.4">
      <c r="B65" s="515"/>
      <c r="C65" s="349"/>
      <c r="D65" s="519"/>
      <c r="E65" s="520"/>
      <c r="F65" s="294"/>
      <c r="G65" s="42"/>
      <c r="H65" s="41"/>
      <c r="I65" s="42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15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16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>
        <f>AVERAGE(D46:E67)</f>
        <v>11.829999999999998</v>
      </c>
      <c r="E68" s="578"/>
      <c r="F68" s="294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5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9.4" customHeight="1" thickBot="1">
      <c r="B75" s="432" t="str">
        <f>B85</f>
        <v>STAG</v>
      </c>
      <c r="C75" s="464">
        <v>45863</v>
      </c>
      <c r="D75" s="465">
        <f>[36]July_2025!$AC$13</f>
        <v>603.40000000000009</v>
      </c>
      <c r="E75" s="466"/>
      <c r="F75" s="467">
        <f>SUM([38]STAG!$L$39+[38]STAG!$L$47+[38]STAG!$L$49)</f>
        <v>588</v>
      </c>
      <c r="G75" s="468">
        <f>[36]July_2025!$AC$17</f>
        <v>577.1</v>
      </c>
      <c r="H75" s="320">
        <f>(D75-F75)/D75*100</f>
        <v>2.5522041763341217</v>
      </c>
      <c r="I75" s="322">
        <f>((F75+E75)-G75)/(F75+E75)*100</f>
        <v>1.8537414965986356</v>
      </c>
      <c r="J75" s="471" t="s">
        <v>173</v>
      </c>
      <c r="K75" s="472">
        <f>[37]July_2025!$AC$25</f>
        <v>1.0124561403508772</v>
      </c>
      <c r="L75" s="486">
        <f>(((D75+E75)-G75)/(D75+E75))*100</f>
        <v>4.3586344050381278</v>
      </c>
      <c r="M75" s="485" t="s">
        <v>190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>
      <c r="B76" s="478"/>
      <c r="C76" s="453"/>
      <c r="D76" s="454"/>
      <c r="E76" s="455"/>
      <c r="F76" s="456"/>
      <c r="G76" s="457"/>
      <c r="H76" s="458"/>
      <c r="I76" s="475"/>
      <c r="J76" s="476"/>
      <c r="K76" s="459"/>
      <c r="L76" s="477"/>
      <c r="M76" s="434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39" hidden="1" customHeight="1" thickBot="1">
      <c r="B77" s="387"/>
      <c r="C77" s="464"/>
      <c r="D77" s="465"/>
      <c r="E77" s="466"/>
      <c r="F77" s="467"/>
      <c r="G77" s="468"/>
      <c r="H77" s="469"/>
      <c r="I77" s="470"/>
      <c r="J77" s="471"/>
      <c r="K77" s="472"/>
      <c r="L77" s="473"/>
      <c r="M77" s="484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14.4" hidden="1" thickBot="1">
      <c r="B78" s="481"/>
      <c r="C78" s="453"/>
      <c r="D78" s="454"/>
      <c r="E78" s="455"/>
      <c r="F78" s="456"/>
      <c r="G78" s="457"/>
      <c r="H78" s="458"/>
      <c r="I78" s="475"/>
      <c r="J78" s="476"/>
      <c r="K78" s="459"/>
      <c r="L78" s="477"/>
      <c r="M78" s="43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6.6" hidden="1" customHeight="1" thickBot="1">
      <c r="B79" s="387"/>
      <c r="C79" s="464"/>
      <c r="D79" s="465"/>
      <c r="E79" s="466"/>
      <c r="F79" s="467"/>
      <c r="G79" s="468"/>
      <c r="H79" s="469"/>
      <c r="I79" s="470"/>
      <c r="J79" s="471"/>
      <c r="K79" s="472"/>
      <c r="L79" s="473"/>
      <c r="M79" s="483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s="54" customFormat="1" ht="16.5" customHeight="1" thickBot="1">
      <c r="B80" s="460"/>
      <c r="C80" s="440"/>
      <c r="D80" s="441"/>
      <c r="E80" s="442"/>
      <c r="F80" s="443"/>
      <c r="G80" s="444"/>
      <c r="H80" s="445"/>
      <c r="I80" s="461"/>
      <c r="J80" s="462"/>
      <c r="K80" s="448"/>
      <c r="L80" s="463"/>
      <c r="M80" s="437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4.4" thickBot="1">
      <c r="B82" s="492" t="s">
        <v>55</v>
      </c>
      <c r="C82" s="493"/>
      <c r="D82" s="493"/>
      <c r="E82" s="493"/>
      <c r="F82" s="494"/>
      <c r="G82" s="492" t="s">
        <v>56</v>
      </c>
      <c r="H82" s="493"/>
      <c r="I82" s="493"/>
      <c r="J82" s="494"/>
      <c r="K82" s="492" t="s">
        <v>51</v>
      </c>
      <c r="L82" s="493"/>
      <c r="M82" s="493"/>
      <c r="N82" s="495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/>
      <c r="D84" s="76">
        <v>5.1046674390685336</v>
      </c>
      <c r="E84" s="76">
        <v>6.3510712927007873</v>
      </c>
      <c r="F84" s="66">
        <v>4.8</v>
      </c>
      <c r="G84" s="65"/>
      <c r="H84" s="76">
        <v>4.0731714390887097</v>
      </c>
      <c r="I84" s="76">
        <v>6.1781700333118934</v>
      </c>
      <c r="J84" s="66">
        <v>4.8</v>
      </c>
      <c r="K84" s="67"/>
      <c r="L84" s="194">
        <v>0.86202484976475791</v>
      </c>
      <c r="M84" s="194">
        <v>0.73901325166961152</v>
      </c>
      <c r="N84" s="68">
        <v>1</v>
      </c>
      <c r="O84" s="56"/>
      <c r="P84" s="69"/>
    </row>
    <row r="85" spans="2:16">
      <c r="B85" s="33" t="s">
        <v>9</v>
      </c>
      <c r="C85" s="65">
        <f>L75</f>
        <v>4.3586344050381278</v>
      </c>
      <c r="D85" s="76">
        <v>4.9718187233652564</v>
      </c>
      <c r="E85" s="76">
        <v>5.9419799243536175</v>
      </c>
      <c r="F85" s="66">
        <v>4.8</v>
      </c>
      <c r="G85" s="65">
        <f>[36]July_2025!$AC$21</f>
        <v>4.1261189295236385</v>
      </c>
      <c r="H85" s="76">
        <v>3.9510849485573889</v>
      </c>
      <c r="I85" s="76">
        <v>5.5277535995776326</v>
      </c>
      <c r="J85" s="66">
        <v>4.8</v>
      </c>
      <c r="K85" s="67">
        <f>K75</f>
        <v>1.0124561403508772</v>
      </c>
      <c r="L85" s="194">
        <v>0.73539212152056199</v>
      </c>
      <c r="M85" s="194">
        <v>0.75853637615238823</v>
      </c>
      <c r="N85" s="68">
        <v>1</v>
      </c>
      <c r="P85" s="69"/>
    </row>
    <row r="86" spans="2:16">
      <c r="B86" s="34" t="s">
        <v>40</v>
      </c>
      <c r="C86" s="65"/>
      <c r="D86" s="76">
        <v>11.466477138118925</v>
      </c>
      <c r="E86" s="76">
        <v>11.904314441431504</v>
      </c>
      <c r="F86" s="66">
        <v>5.5</v>
      </c>
      <c r="G86" s="65"/>
      <c r="H86" s="76">
        <v>15.89175434604109</v>
      </c>
      <c r="I86" s="76">
        <v>13.439540856999288</v>
      </c>
      <c r="J86" s="66">
        <v>5.5</v>
      </c>
      <c r="K86" s="67"/>
      <c r="L86" s="194">
        <v>1.3112280701754386</v>
      </c>
      <c r="M86" s="194">
        <v>0.54260860979462877</v>
      </c>
      <c r="N86" s="68">
        <v>1</v>
      </c>
      <c r="P86" s="69"/>
    </row>
    <row r="87" spans="2:16">
      <c r="B87" s="22" t="s">
        <v>33</v>
      </c>
      <c r="C87" s="65"/>
      <c r="D87" s="76">
        <v>3.4761321909424563</v>
      </c>
      <c r="E87" s="76">
        <v>5.119233255999676</v>
      </c>
      <c r="F87" s="66">
        <v>3.3</v>
      </c>
      <c r="G87" s="65"/>
      <c r="H87" s="76">
        <v>2.7479545757807706</v>
      </c>
      <c r="I87" s="76">
        <v>4.8747400258857825</v>
      </c>
      <c r="J87" s="66">
        <v>3.3</v>
      </c>
      <c r="K87" s="67"/>
      <c r="L87" s="194">
        <v>1.3835087719298247</v>
      </c>
      <c r="M87" s="194">
        <v>0.77839364035087721</v>
      </c>
      <c r="N87" s="68">
        <v>1</v>
      </c>
      <c r="P87" s="69"/>
    </row>
    <row r="88" spans="2:16">
      <c r="B88" s="35" t="s">
        <v>192</v>
      </c>
      <c r="C88" s="65"/>
      <c r="D88" s="76">
        <v>7.837301587301579</v>
      </c>
      <c r="E88" s="76">
        <v>7.837301587301579</v>
      </c>
      <c r="F88" s="66">
        <v>3.3</v>
      </c>
      <c r="G88" s="282"/>
      <c r="H88" s="76">
        <v>5.3377569154690221</v>
      </c>
      <c r="I88" s="76">
        <v>5.3377569154690221</v>
      </c>
      <c r="J88" s="66">
        <v>3</v>
      </c>
      <c r="K88" s="67"/>
      <c r="L88" s="194">
        <v>0.32596491228070179</v>
      </c>
      <c r="M88" s="194">
        <v>0.32596491228070179</v>
      </c>
      <c r="N88" s="68">
        <v>1</v>
      </c>
      <c r="P88" s="69"/>
    </row>
    <row r="89" spans="2:16">
      <c r="B89" s="36" t="s">
        <v>15</v>
      </c>
      <c r="C89" s="282"/>
      <c r="D89" s="76"/>
      <c r="E89" s="76">
        <v>7.3129862357869699</v>
      </c>
      <c r="F89" s="70">
        <f>[21]May_2022!$M$43</f>
        <v>3.4878406700073312</v>
      </c>
      <c r="G89" s="282"/>
      <c r="H89" s="76"/>
      <c r="I89" s="76">
        <v>8.9862703283331644</v>
      </c>
      <c r="J89" s="66">
        <v>5.5</v>
      </c>
      <c r="K89" s="67"/>
      <c r="L89" s="194"/>
      <c r="M89" s="194">
        <v>0.59276315789473688</v>
      </c>
      <c r="N89" s="68">
        <v>1</v>
      </c>
      <c r="P89" s="69"/>
    </row>
    <row r="90" spans="2:16">
      <c r="B90" s="37" t="s">
        <v>16</v>
      </c>
      <c r="C90" s="65"/>
      <c r="D90" s="76">
        <v>2.3359073359073403</v>
      </c>
      <c r="E90" s="76">
        <v>2.980561555075584</v>
      </c>
      <c r="F90" s="66">
        <v>3.3</v>
      </c>
      <c r="G90" s="282"/>
      <c r="H90" s="76">
        <v>3.7114579368100644</v>
      </c>
      <c r="I90" s="76">
        <v>4.4931174512296872</v>
      </c>
      <c r="J90" s="66">
        <v>3.3</v>
      </c>
      <c r="K90" s="67"/>
      <c r="L90" s="194">
        <v>1.7750877192982455</v>
      </c>
      <c r="M90" s="194">
        <v>0.83077455048409399</v>
      </c>
      <c r="N90" s="71">
        <v>1</v>
      </c>
      <c r="P90" s="69"/>
    </row>
    <row r="91" spans="2:16" ht="14.4" thickBot="1">
      <c r="B91" s="38" t="s">
        <v>191</v>
      </c>
      <c r="C91" s="65"/>
      <c r="D91" s="76">
        <v>11.483253588516746</v>
      </c>
      <c r="E91" s="76">
        <v>11.483253588516746</v>
      </c>
      <c r="F91" s="66">
        <v>7.5</v>
      </c>
      <c r="G91" s="282"/>
      <c r="H91" s="76">
        <v>9.7934336121043764</v>
      </c>
      <c r="I91" s="76">
        <v>9.7934336121043764</v>
      </c>
      <c r="J91" s="66">
        <v>7.5</v>
      </c>
      <c r="K91" s="67"/>
      <c r="L91" s="194">
        <v>0.32456140350877194</v>
      </c>
      <c r="M91" s="194">
        <v>0.32456140350877194</v>
      </c>
      <c r="N91" s="71">
        <v>1</v>
      </c>
      <c r="P91" s="69"/>
    </row>
    <row r="92" spans="2:16" ht="14.4" thickBot="1">
      <c r="B92" s="414" t="s">
        <v>161</v>
      </c>
      <c r="C92" s="65"/>
      <c r="D92" s="76">
        <v>9.4974642692485105</v>
      </c>
      <c r="E92" s="76">
        <v>7.2653644592663174</v>
      </c>
      <c r="F92" s="66">
        <v>4.8</v>
      </c>
      <c r="G92" s="282"/>
      <c r="H92" s="76">
        <v>10.183089539936029</v>
      </c>
      <c r="I92" s="76">
        <v>8.1715311054411259</v>
      </c>
      <c r="J92" s="66">
        <v>4.8</v>
      </c>
      <c r="K92" s="67"/>
      <c r="L92" s="194">
        <v>0.68877192982456148</v>
      </c>
      <c r="M92" s="194">
        <v>0.51368421052631585</v>
      </c>
      <c r="N92" s="71">
        <v>1</v>
      </c>
      <c r="O92" s="74"/>
      <c r="P92" s="75"/>
    </row>
    <row r="93" spans="2:16">
      <c r="D93" s="76">
        <v>5.3866869892534304</v>
      </c>
      <c r="E93" s="76">
        <v>6.4269386657446415</v>
      </c>
      <c r="F93" s="341">
        <v>5.5</v>
      </c>
      <c r="H93" s="76">
        <v>5.1337127337866839</v>
      </c>
      <c r="I93" s="76">
        <v>6.6101859416828379</v>
      </c>
      <c r="J93" s="341">
        <v>5.5</v>
      </c>
      <c r="L93" s="194">
        <v>0.85353003721424758</v>
      </c>
      <c r="M93" s="194">
        <v>0.72007450800214412</v>
      </c>
      <c r="N93" s="386">
        <v>1</v>
      </c>
    </row>
    <row r="97" spans="6:6">
      <c r="F97" s="315"/>
    </row>
    <row r="98" spans="6:6">
      <c r="F98" s="341"/>
    </row>
  </sheetData>
  <mergeCells count="51">
    <mergeCell ref="M4:N4"/>
    <mergeCell ref="S1:T1"/>
    <mergeCell ref="U1:V1"/>
    <mergeCell ref="W1:X1"/>
    <mergeCell ref="Y1:Z1"/>
    <mergeCell ref="B2:O2"/>
    <mergeCell ref="O8:O9"/>
    <mergeCell ref="P8:P9"/>
    <mergeCell ref="C5:D5"/>
    <mergeCell ref="B8:B9"/>
    <mergeCell ref="C8:C9"/>
    <mergeCell ref="D8:D9"/>
    <mergeCell ref="G8:G9"/>
    <mergeCell ref="H8:H9"/>
    <mergeCell ref="D52:E53"/>
    <mergeCell ref="D54:E55"/>
    <mergeCell ref="I8:I9"/>
    <mergeCell ref="J8:J9"/>
    <mergeCell ref="K8:K9"/>
    <mergeCell ref="I44:N44"/>
    <mergeCell ref="D45:E45"/>
    <mergeCell ref="D46:E47"/>
    <mergeCell ref="D48:E49"/>
    <mergeCell ref="D50:E51"/>
    <mergeCell ref="L8:L9"/>
    <mergeCell ref="L59:N59"/>
    <mergeCell ref="D60:E61"/>
    <mergeCell ref="D62:E63"/>
    <mergeCell ref="D64:E65"/>
    <mergeCell ref="D66:E67"/>
    <mergeCell ref="F73:F74"/>
    <mergeCell ref="D56:E57"/>
    <mergeCell ref="B58:B67"/>
    <mergeCell ref="D58:E59"/>
    <mergeCell ref="J58:K58"/>
    <mergeCell ref="M73:M74"/>
    <mergeCell ref="B82:F82"/>
    <mergeCell ref="G82:J82"/>
    <mergeCell ref="K82:N82"/>
    <mergeCell ref="B46:B57"/>
    <mergeCell ref="G73:G74"/>
    <mergeCell ref="H73:H74"/>
    <mergeCell ref="I73:I74"/>
    <mergeCell ref="J73:J74"/>
    <mergeCell ref="K73:K74"/>
    <mergeCell ref="L73:L74"/>
    <mergeCell ref="D68:E68"/>
    <mergeCell ref="B73:B74"/>
    <mergeCell ref="C73:C74"/>
    <mergeCell ref="D73:D74"/>
    <mergeCell ref="E73:E74"/>
  </mergeCells>
  <conditionalFormatting sqref="B68:B69">
    <cfRule type="cellIs" dxfId="452" priority="136" operator="notBetween">
      <formula>#REF!</formula>
      <formula>#REF!</formula>
    </cfRule>
  </conditionalFormatting>
  <conditionalFormatting sqref="C72">
    <cfRule type="cellIs" dxfId="451" priority="168" stopIfTrue="1" operator="greaterThan">
      <formula>100</formula>
    </cfRule>
    <cfRule type="cellIs" dxfId="450" priority="167" stopIfTrue="1" operator="lessThan">
      <formula>96</formula>
    </cfRule>
  </conditionalFormatting>
  <conditionalFormatting sqref="C84:C85">
    <cfRule type="cellIs" dxfId="449" priority="115" stopIfTrue="1" operator="lessThanOrEqual">
      <formula>0</formula>
    </cfRule>
  </conditionalFormatting>
  <conditionalFormatting sqref="C84:C88">
    <cfRule type="cellIs" dxfId="448" priority="114" stopIfTrue="1" operator="greaterThan">
      <formula>$F84</formula>
    </cfRule>
  </conditionalFormatting>
  <conditionalFormatting sqref="C85">
    <cfRule type="cellIs" dxfId="447" priority="171" stopIfTrue="1" operator="greaterThan">
      <formula>$F84</formula>
    </cfRule>
  </conditionalFormatting>
  <conditionalFormatting sqref="C86:C89">
    <cfRule type="cellIs" dxfId="446" priority="121" stopIfTrue="1" operator="lessThanOrEqual">
      <formula>0</formula>
    </cfRule>
  </conditionalFormatting>
  <conditionalFormatting sqref="C89">
    <cfRule type="cellIs" dxfId="445" priority="120" stopIfTrue="1" operator="greaterThan">
      <formula>$J89</formula>
    </cfRule>
  </conditionalFormatting>
  <conditionalFormatting sqref="C95:C99">
    <cfRule type="cellIs" dxfId="444" priority="159" stopIfTrue="1" operator="lessThanOrEqual">
      <formula>0</formula>
    </cfRule>
  </conditionalFormatting>
  <conditionalFormatting sqref="C96:C99">
    <cfRule type="cellIs" dxfId="443" priority="158" stopIfTrue="1" operator="greaterThan">
      <formula>$F$95</formula>
    </cfRule>
  </conditionalFormatting>
  <conditionalFormatting sqref="C101">
    <cfRule type="cellIs" dxfId="442" priority="160" stopIfTrue="1" operator="greaterThan">
      <formula>$F$95</formula>
    </cfRule>
    <cfRule type="cellIs" dxfId="441" priority="161" stopIfTrue="1" operator="lessThanOrEqual">
      <formula>0</formula>
    </cfRule>
  </conditionalFormatting>
  <conditionalFormatting sqref="C95:D95 D97:D103">
    <cfRule type="cellIs" dxfId="440" priority="153" stopIfTrue="1" operator="greaterThan">
      <formula>4.5</formula>
    </cfRule>
  </conditionalFormatting>
  <conditionalFormatting sqref="D68:D69">
    <cfRule type="cellIs" dxfId="439" priority="137" operator="notBetween">
      <formula>#REF!</formula>
      <formula>#REF!</formula>
    </cfRule>
  </conditionalFormatting>
  <conditionalFormatting sqref="D84:D91">
    <cfRule type="cellIs" dxfId="438" priority="131" stopIfTrue="1" operator="lessThanOrEqual">
      <formula>0</formula>
    </cfRule>
  </conditionalFormatting>
  <conditionalFormatting sqref="D92">
    <cfRule type="cellIs" dxfId="437" priority="130" stopIfTrue="1" operator="lessThanOrEqual">
      <formula>0</formula>
    </cfRule>
  </conditionalFormatting>
  <conditionalFormatting sqref="D95 D97:D103">
    <cfRule type="cellIs" dxfId="436" priority="154" stopIfTrue="1" operator="lessThanOrEqual">
      <formula>0</formula>
    </cfRule>
  </conditionalFormatting>
  <conditionalFormatting sqref="D96">
    <cfRule type="cellIs" dxfId="435" priority="145" stopIfTrue="1" operator="greaterThan">
      <formula>$F$95</formula>
    </cfRule>
    <cfRule type="cellIs" dxfId="434" priority="146" stopIfTrue="1" operator="lessThanOrEqual">
      <formula>0</formula>
    </cfRule>
  </conditionalFormatting>
  <conditionalFormatting sqref="D84:E93">
    <cfRule type="cellIs" dxfId="433" priority="111" stopIfTrue="1" operator="greaterThan">
      <formula>$F84</formula>
    </cfRule>
  </conditionalFormatting>
  <conditionalFormatting sqref="D93:E93">
    <cfRule type="cellIs" dxfId="432" priority="112" stopIfTrue="1" operator="lessThanOrEqual">
      <formula>0</formula>
    </cfRule>
  </conditionalFormatting>
  <conditionalFormatting sqref="E10:E43">
    <cfRule type="cellIs" dxfId="431" priority="16" operator="lessThan">
      <formula>48</formula>
    </cfRule>
  </conditionalFormatting>
  <conditionalFormatting sqref="E71 E72:F72">
    <cfRule type="cellIs" dxfId="430" priority="150" stopIfTrue="1" operator="greaterThan">
      <formula>100</formula>
    </cfRule>
  </conditionalFormatting>
  <conditionalFormatting sqref="E72">
    <cfRule type="cellIs" dxfId="429" priority="148" stopIfTrue="1" operator="greaterThan">
      <formula>100</formula>
    </cfRule>
    <cfRule type="cellIs" dxfId="428" priority="147" stopIfTrue="1" operator="lessThan">
      <formula>96.8</formula>
    </cfRule>
  </conditionalFormatting>
  <conditionalFormatting sqref="E84:E92">
    <cfRule type="cellIs" dxfId="427" priority="125" stopIfTrue="1" operator="lessThanOrEqual">
      <formula>0</formula>
    </cfRule>
  </conditionalFormatting>
  <conditionalFormatting sqref="E95:E103">
    <cfRule type="cellIs" dxfId="426" priority="139" stopIfTrue="1" operator="greaterThan">
      <formula>4.5</formula>
    </cfRule>
    <cfRule type="cellIs" dxfId="425" priority="140" stopIfTrue="1" operator="lessThanOrEqual">
      <formula>0</formula>
    </cfRule>
  </conditionalFormatting>
  <conditionalFormatting sqref="E72:F72 E71">
    <cfRule type="cellIs" dxfId="424" priority="149" stopIfTrue="1" operator="lessThan">
      <formula>96.5</formula>
    </cfRule>
  </conditionalFormatting>
  <conditionalFormatting sqref="F10:F19">
    <cfRule type="cellIs" dxfId="423" priority="22" operator="greaterThan">
      <formula>60</formula>
    </cfRule>
  </conditionalFormatting>
  <conditionalFormatting sqref="F35:F43">
    <cfRule type="cellIs" dxfId="422" priority="30" operator="greaterThan">
      <formula>60</formula>
    </cfRule>
  </conditionalFormatting>
  <conditionalFormatting sqref="F72">
    <cfRule type="cellIs" dxfId="421" priority="166" stopIfTrue="1" operator="greaterThan">
      <formula>100</formula>
    </cfRule>
    <cfRule type="cellIs" dxfId="420" priority="165" stopIfTrue="1" operator="lessThan">
      <formula>96.8</formula>
    </cfRule>
  </conditionalFormatting>
  <conditionalFormatting sqref="F93">
    <cfRule type="cellIs" dxfId="419" priority="126" stopIfTrue="1" operator="greaterThan">
      <formula>$F93</formula>
    </cfRule>
    <cfRule type="cellIs" dxfId="418" priority="127" stopIfTrue="1" operator="lessThanOrEqual">
      <formula>0</formula>
    </cfRule>
  </conditionalFormatting>
  <conditionalFormatting sqref="F98">
    <cfRule type="cellIs" dxfId="417" priority="81" stopIfTrue="1" operator="lessThanOrEqual">
      <formula>0</formula>
    </cfRule>
    <cfRule type="cellIs" dxfId="416" priority="80" stopIfTrue="1" operator="greaterThan">
      <formula>$F98</formula>
    </cfRule>
  </conditionalFormatting>
  <conditionalFormatting sqref="G20:G34">
    <cfRule type="expression" dxfId="415" priority="19">
      <formula>IF(+(IF(G20&lt;S20,0,IF(G20&gt;T20,0,1)))=0,1)</formula>
    </cfRule>
  </conditionalFormatting>
  <conditionalFormatting sqref="G84:G85 C90:C92">
    <cfRule type="cellIs" dxfId="414" priority="133" stopIfTrue="1" operator="lessThanOrEqual">
      <formula>0</formula>
    </cfRule>
    <cfRule type="cellIs" dxfId="413" priority="132" stopIfTrue="1" operator="greaterThan">
      <formula>$F84</formula>
    </cfRule>
  </conditionalFormatting>
  <conditionalFormatting sqref="G84:G85">
    <cfRule type="cellIs" dxfId="412" priority="117" stopIfTrue="1" operator="lessThanOrEqual">
      <formula>0</formula>
    </cfRule>
    <cfRule type="cellIs" dxfId="411" priority="116" stopIfTrue="1" operator="greaterThan">
      <formula>$F84</formula>
    </cfRule>
  </conditionalFormatting>
  <conditionalFormatting sqref="G86">
    <cfRule type="cellIs" dxfId="410" priority="170" stopIfTrue="1" operator="lessThanOrEqual">
      <formula>0</formula>
    </cfRule>
    <cfRule type="cellIs" dxfId="409" priority="169" stopIfTrue="1" operator="greaterThan">
      <formula>$F85</formula>
    </cfRule>
  </conditionalFormatting>
  <conditionalFormatting sqref="G87">
    <cfRule type="cellIs" dxfId="408" priority="128" stopIfTrue="1" operator="greaterThan">
      <formula>$F87</formula>
    </cfRule>
    <cfRule type="cellIs" dxfId="407" priority="129" stopIfTrue="1" operator="lessThanOrEqual">
      <formula>0</formula>
    </cfRule>
  </conditionalFormatting>
  <conditionalFormatting sqref="G88:G92">
    <cfRule type="cellIs" dxfId="406" priority="135" stopIfTrue="1" operator="lessThanOrEqual">
      <formula>0</formula>
    </cfRule>
    <cfRule type="cellIs" dxfId="405" priority="134" stopIfTrue="1" operator="greaterThan">
      <formula>$J88</formula>
    </cfRule>
  </conditionalFormatting>
  <conditionalFormatting sqref="G97:G102 C100 C102">
    <cfRule type="cellIs" dxfId="404" priority="162" stopIfTrue="1" operator="greaterThan">
      <formula>4.5</formula>
    </cfRule>
    <cfRule type="cellIs" dxfId="403" priority="163" stopIfTrue="1" operator="lessThanOrEqual">
      <formula>0</formula>
    </cfRule>
  </conditionalFormatting>
  <conditionalFormatting sqref="G10:H19">
    <cfRule type="expression" dxfId="402" priority="26">
      <formula>IF(+(IF(G10&lt;#REF!,0,IF(G10&gt;#REF!,0,1)))=0,1)</formula>
    </cfRule>
  </conditionalFormatting>
  <conditionalFormatting sqref="G96:H96">
    <cfRule type="cellIs" dxfId="401" priority="144" stopIfTrue="1" operator="lessThanOrEqual">
      <formula>0</formula>
    </cfRule>
    <cfRule type="cellIs" dxfId="400" priority="143" stopIfTrue="1" operator="greaterThan">
      <formula>$F$95</formula>
    </cfRule>
  </conditionalFormatting>
  <conditionalFormatting sqref="H20:H34 G35:H43">
    <cfRule type="expression" dxfId="399" priority="31">
      <formula>IF(+(IF(G20&lt;#REF!,0,IF(G20&gt;#REF!,0,1)))=0,1)</formula>
    </cfRule>
  </conditionalFormatting>
  <conditionalFormatting sqref="H57:H71">
    <cfRule type="cellIs" dxfId="398" priority="141" stopIfTrue="1" operator="greaterThan">
      <formula>0</formula>
    </cfRule>
  </conditionalFormatting>
  <conditionalFormatting sqref="H75">
    <cfRule type="cellIs" dxfId="397" priority="14" stopIfTrue="1" operator="lessThanOrEqual">
      <formula>0</formula>
    </cfRule>
    <cfRule type="cellIs" dxfId="396" priority="13" stopIfTrue="1" operator="greaterThan">
      <formula>$F$40</formula>
    </cfRule>
    <cfRule type="cellIs" dxfId="395" priority="12" stopIfTrue="1" operator="lessThanOrEqual">
      <formula>0</formula>
    </cfRule>
    <cfRule type="cellIs" dxfId="394" priority="11" stopIfTrue="1" operator="greaterThan">
      <formula>$F$42</formula>
    </cfRule>
    <cfRule type="cellIs" dxfId="393" priority="3" stopIfTrue="1" operator="greaterThan">
      <formula>$F$39</formula>
    </cfRule>
    <cfRule type="cellIs" dxfId="392" priority="2" stopIfTrue="1" operator="lessThanOrEqual">
      <formula>0</formula>
    </cfRule>
  </conditionalFormatting>
  <conditionalFormatting sqref="H76">
    <cfRule type="cellIs" dxfId="391" priority="76" stopIfTrue="1" operator="greaterThan">
      <formula>$F$44</formula>
    </cfRule>
    <cfRule type="cellIs" dxfId="390" priority="78" stopIfTrue="1" operator="greaterThan">
      <formula>$F$42</formula>
    </cfRule>
    <cfRule type="cellIs" dxfId="389" priority="79" stopIfTrue="1" operator="lessThanOrEqual">
      <formula>0</formula>
    </cfRule>
    <cfRule type="cellIs" dxfId="388" priority="77" stopIfTrue="1" operator="lessThanOrEqual">
      <formula>0</formula>
    </cfRule>
    <cfRule type="cellIs" dxfId="387" priority="67" stopIfTrue="1" operator="lessThanOrEqual">
      <formula>0</formula>
    </cfRule>
    <cfRule type="cellIs" dxfId="386" priority="68" stopIfTrue="1" operator="greaterThan">
      <formula>$F$41</formula>
    </cfRule>
  </conditionalFormatting>
  <conditionalFormatting sqref="H77:H79">
    <cfRule type="cellIs" dxfId="385" priority="62" stopIfTrue="1" operator="greaterThan">
      <formula>$F$43</formula>
    </cfRule>
    <cfRule type="cellIs" dxfId="384" priority="63" stopIfTrue="1" operator="lessThanOrEqual">
      <formula>0</formula>
    </cfRule>
    <cfRule type="cellIs" dxfId="383" priority="64" stopIfTrue="1" operator="greaterThan">
      <formula>$F$41</formula>
    </cfRule>
    <cfRule type="cellIs" dxfId="382" priority="65" stopIfTrue="1" operator="lessThanOrEqual">
      <formula>0</formula>
    </cfRule>
    <cfRule type="cellIs" dxfId="381" priority="53" stopIfTrue="1" operator="lessThanOrEqual">
      <formula>0</formula>
    </cfRule>
    <cfRule type="cellIs" dxfId="380" priority="54" stopIfTrue="1" operator="greaterThan">
      <formula>$F$40</formula>
    </cfRule>
  </conditionalFormatting>
  <conditionalFormatting sqref="H80">
    <cfRule type="cellIs" dxfId="379" priority="97" stopIfTrue="1" operator="lessThanOrEqual">
      <formula>0</formula>
    </cfRule>
    <cfRule type="cellIs" dxfId="378" priority="95" stopIfTrue="1" operator="lessThanOrEqual">
      <formula>0</formula>
    </cfRule>
    <cfRule type="cellIs" dxfId="377" priority="94" stopIfTrue="1" operator="greaterThan">
      <formula>$F$59</formula>
    </cfRule>
    <cfRule type="cellIs" dxfId="376" priority="86" stopIfTrue="1" operator="greaterThan">
      <formula>$F$56</formula>
    </cfRule>
    <cfRule type="cellIs" dxfId="375" priority="85" stopIfTrue="1" operator="lessThanOrEqual">
      <formula>0</formula>
    </cfRule>
    <cfRule type="cellIs" dxfId="374" priority="96" stopIfTrue="1" operator="greaterThan">
      <formula>$F$57</formula>
    </cfRule>
  </conditionalFormatting>
  <conditionalFormatting sqref="H84:H91">
    <cfRule type="cellIs" dxfId="373" priority="118" stopIfTrue="1" operator="greaterThan">
      <formula>$J84</formula>
    </cfRule>
    <cfRule type="cellIs" dxfId="372" priority="119" stopIfTrue="1" operator="lessThanOrEqual">
      <formula>0</formula>
    </cfRule>
  </conditionalFormatting>
  <conditionalFormatting sqref="H92">
    <cfRule type="cellIs" dxfId="371" priority="122" operator="greaterThan">
      <formula>5.3</formula>
    </cfRule>
  </conditionalFormatting>
  <conditionalFormatting sqref="H95 H97:H103">
    <cfRule type="cellIs" dxfId="370" priority="156" stopIfTrue="1" operator="lessThanOrEqual">
      <formula>0</formula>
    </cfRule>
    <cfRule type="cellIs" dxfId="369" priority="155" stopIfTrue="1" operator="greaterThan">
      <formula>4.5</formula>
    </cfRule>
  </conditionalFormatting>
  <conditionalFormatting sqref="H75:I75">
    <cfRule type="cellIs" dxfId="368" priority="4" stopIfTrue="1" operator="lessThanOrEqual">
      <formula>0</formula>
    </cfRule>
    <cfRule type="cellIs" dxfId="367" priority="1" stopIfTrue="1" operator="greaterThan">
      <formula>$F$41</formula>
    </cfRule>
  </conditionalFormatting>
  <conditionalFormatting sqref="H76:I76">
    <cfRule type="cellIs" dxfId="366" priority="66" stopIfTrue="1" operator="greaterThan">
      <formula>$F$43</formula>
    </cfRule>
    <cfRule type="cellIs" dxfId="365" priority="69" stopIfTrue="1" operator="lessThanOrEqual">
      <formula>0</formula>
    </cfRule>
  </conditionalFormatting>
  <conditionalFormatting sqref="H77:I79">
    <cfRule type="cellIs" dxfId="364" priority="55" stopIfTrue="1" operator="lessThanOrEqual">
      <formula>0</formula>
    </cfRule>
    <cfRule type="cellIs" dxfId="363" priority="52" stopIfTrue="1" operator="greaterThan">
      <formula>$F$42</formula>
    </cfRule>
  </conditionalFormatting>
  <conditionalFormatting sqref="H80:I80">
    <cfRule type="cellIs" dxfId="362" priority="84" stopIfTrue="1" operator="greaterThan">
      <formula>$F$58</formula>
    </cfRule>
    <cfRule type="cellIs" dxfId="361" priority="87" stopIfTrue="1" operator="lessThanOrEqual">
      <formula>0</formula>
    </cfRule>
  </conditionalFormatting>
  <conditionalFormatting sqref="H93:I93">
    <cfRule type="cellIs" dxfId="360" priority="109" stopIfTrue="1" operator="greaterThan">
      <formula>$J93</formula>
    </cfRule>
    <cfRule type="cellIs" dxfId="359" priority="110" stopIfTrue="1" operator="lessThanOrEqual">
      <formula>0</formula>
    </cfRule>
  </conditionalFormatting>
  <conditionalFormatting sqref="I75">
    <cfRule type="cellIs" dxfId="358" priority="6" stopIfTrue="1" operator="lessThanOrEqual">
      <formula>0</formula>
    </cfRule>
    <cfRule type="cellIs" dxfId="357" priority="7" stopIfTrue="1" operator="greaterThan">
      <formula>$F$41</formula>
    </cfRule>
    <cfRule type="cellIs" dxfId="356" priority="8" stopIfTrue="1" operator="lessThanOrEqual">
      <formula>0</formula>
    </cfRule>
    <cfRule type="cellIs" dxfId="355" priority="9" stopIfTrue="1" operator="greaterThan">
      <formula>$F$39</formula>
    </cfRule>
    <cfRule type="cellIs" dxfId="354" priority="10" stopIfTrue="1" operator="lessThanOrEqual">
      <formula>0</formula>
    </cfRule>
    <cfRule type="cellIs" dxfId="353" priority="5" stopIfTrue="1" operator="greaterThan">
      <formula>$F$39</formula>
    </cfRule>
  </conditionalFormatting>
  <conditionalFormatting sqref="I76">
    <cfRule type="cellIs" dxfId="352" priority="75" stopIfTrue="1" operator="lessThanOrEqual">
      <formula>0</formula>
    </cfRule>
    <cfRule type="cellIs" dxfId="351" priority="74" stopIfTrue="1" operator="greaterThan">
      <formula>$F$41</formula>
    </cfRule>
    <cfRule type="cellIs" dxfId="350" priority="73" stopIfTrue="1" operator="lessThanOrEqual">
      <formula>0</formula>
    </cfRule>
    <cfRule type="cellIs" dxfId="349" priority="72" stopIfTrue="1" operator="greaterThan">
      <formula>$F$43</formula>
    </cfRule>
    <cfRule type="cellIs" dxfId="348" priority="71" stopIfTrue="1" operator="lessThanOrEqual">
      <formula>0</formula>
    </cfRule>
    <cfRule type="cellIs" dxfId="347" priority="70" stopIfTrue="1" operator="greaterThan">
      <formula>$F$41</formula>
    </cfRule>
  </conditionalFormatting>
  <conditionalFormatting sqref="I77:I79">
    <cfRule type="cellIs" dxfId="346" priority="59" stopIfTrue="1" operator="lessThanOrEqual">
      <formula>0</formula>
    </cfRule>
    <cfRule type="cellIs" dxfId="345" priority="56" stopIfTrue="1" operator="greaterThan">
      <formula>$F$40</formula>
    </cfRule>
    <cfRule type="cellIs" dxfId="344" priority="58" stopIfTrue="1" operator="greaterThan">
      <formula>$F$42</formula>
    </cfRule>
    <cfRule type="cellIs" dxfId="343" priority="61" stopIfTrue="1" operator="lessThanOrEqual">
      <formula>0</formula>
    </cfRule>
    <cfRule type="cellIs" dxfId="342" priority="60" stopIfTrue="1" operator="greaterThan">
      <formula>$F$40</formula>
    </cfRule>
    <cfRule type="cellIs" dxfId="341" priority="57" stopIfTrue="1" operator="lessThanOrEqual">
      <formula>0</formula>
    </cfRule>
  </conditionalFormatting>
  <conditionalFormatting sqref="I80">
    <cfRule type="cellIs" dxfId="340" priority="93" stopIfTrue="1" operator="lessThanOrEqual">
      <formula>0</formula>
    </cfRule>
    <cfRule type="cellIs" dxfId="339" priority="88" stopIfTrue="1" operator="greaterThan">
      <formula>$F$56</formula>
    </cfRule>
    <cfRule type="cellIs" dxfId="338" priority="89" stopIfTrue="1" operator="lessThanOrEqual">
      <formula>0</formula>
    </cfRule>
    <cfRule type="cellIs" dxfId="337" priority="90" stopIfTrue="1" operator="greaterThan">
      <formula>$F$58</formula>
    </cfRule>
    <cfRule type="cellIs" dxfId="336" priority="91" stopIfTrue="1" operator="lessThanOrEqual">
      <formula>0</formula>
    </cfRule>
    <cfRule type="cellIs" dxfId="335" priority="92" stopIfTrue="1" operator="greaterThan">
      <formula>$F$56</formula>
    </cfRule>
  </conditionalFormatting>
  <conditionalFormatting sqref="I84:I92">
    <cfRule type="cellIs" dxfId="334" priority="123" stopIfTrue="1" operator="greaterThan">
      <formula>$J84</formula>
    </cfRule>
    <cfRule type="cellIs" dxfId="333" priority="124" stopIfTrue="1" operator="lessThanOrEqual">
      <formula>0</formula>
    </cfRule>
  </conditionalFormatting>
  <conditionalFormatting sqref="I95:I103">
    <cfRule type="cellIs" dxfId="332" priority="151" stopIfTrue="1" operator="greaterThan">
      <formula>4.5</formula>
    </cfRule>
    <cfRule type="cellIs" dxfId="331" priority="152" stopIfTrue="1" operator="lessThanOrEqual">
      <formula>0</formula>
    </cfRule>
  </conditionalFormatting>
  <conditionalFormatting sqref="I10:J43">
    <cfRule type="cellIs" dxfId="330" priority="17" operator="lessThan">
      <formula>97.9</formula>
    </cfRule>
  </conditionalFormatting>
  <conditionalFormatting sqref="J46:J48">
    <cfRule type="cellIs" dxfId="329" priority="99" stopIfTrue="1" operator="lessThan">
      <formula>96.8</formula>
    </cfRule>
    <cfRule type="cellIs" dxfId="328" priority="100" stopIfTrue="1" operator="greaterThan">
      <formula>100</formula>
    </cfRule>
    <cfRule type="cellIs" dxfId="327" priority="101" operator="lessThan">
      <formula>98</formula>
    </cfRule>
  </conditionalFormatting>
  <conditionalFormatting sqref="J46:J50">
    <cfRule type="cellIs" dxfId="326" priority="98" operator="lessThan">
      <formula>97.4</formula>
    </cfRule>
  </conditionalFormatting>
  <conditionalFormatting sqref="J51">
    <cfRule type="cellIs" dxfId="325" priority="102" operator="lessThan">
      <formula>98</formula>
    </cfRule>
  </conditionalFormatting>
  <conditionalFormatting sqref="J53:J54">
    <cfRule type="cellIs" dxfId="324" priority="104" stopIfTrue="1" operator="greaterThan">
      <formula>100</formula>
    </cfRule>
    <cfRule type="cellIs" dxfId="323" priority="103" stopIfTrue="1" operator="lessThan">
      <formula>96.8</formula>
    </cfRule>
  </conditionalFormatting>
  <conditionalFormatting sqref="J53:J55">
    <cfRule type="cellIs" dxfId="322" priority="105" operator="lessThan">
      <formula>98</formula>
    </cfRule>
  </conditionalFormatting>
  <conditionalFormatting sqref="J93">
    <cfRule type="cellIs" dxfId="321" priority="106" stopIfTrue="1" operator="greaterThan">
      <formula>$F93</formula>
    </cfRule>
    <cfRule type="cellIs" dxfId="320" priority="107" stopIfTrue="1" operator="lessThanOrEqual">
      <formula>0</formula>
    </cfRule>
  </conditionalFormatting>
  <conditionalFormatting sqref="K10:K43">
    <cfRule type="cellIs" dxfId="319" priority="25" operator="greaterThan">
      <formula>6.4</formula>
    </cfRule>
    <cfRule type="cellIs" dxfId="318" priority="24" operator="lessThan">
      <formula>4</formula>
    </cfRule>
    <cfRule type="cellIs" dxfId="317" priority="23" operator="greaterThan">
      <formula>6</formula>
    </cfRule>
  </conditionalFormatting>
  <conditionalFormatting sqref="K75:K80">
    <cfRule type="cellIs" dxfId="316" priority="82" stopIfTrue="1" operator="lessThan">
      <formula>100%</formula>
    </cfRule>
  </conditionalFormatting>
  <conditionalFormatting sqref="K95:K100">
    <cfRule type="cellIs" dxfId="315" priority="157" stopIfTrue="1" operator="lessThan">
      <formula>100%</formula>
    </cfRule>
  </conditionalFormatting>
  <conditionalFormatting sqref="K102:K103">
    <cfRule type="cellIs" dxfId="314" priority="164" stopIfTrue="1" operator="lessThan">
      <formula>100%</formula>
    </cfRule>
  </conditionalFormatting>
  <conditionalFormatting sqref="K84:N92">
    <cfRule type="cellIs" dxfId="313" priority="35" stopIfTrue="1" operator="lessThan">
      <formula>100%</formula>
    </cfRule>
  </conditionalFormatting>
  <conditionalFormatting sqref="L20:L43">
    <cfRule type="cellIs" dxfId="312" priority="20" operator="between">
      <formula>61</formula>
      <formula>65</formula>
    </cfRule>
    <cfRule type="cellIs" dxfId="311" priority="21" operator="greaterThan">
      <formula>65</formula>
    </cfRule>
  </conditionalFormatting>
  <conditionalFormatting sqref="L10:M19">
    <cfRule type="cellIs" dxfId="310" priority="27" operator="between">
      <formula>61</formula>
      <formula>65</formula>
    </cfRule>
    <cfRule type="cellIs" dxfId="309" priority="28" operator="greaterThan">
      <formula>65</formula>
    </cfRule>
  </conditionalFormatting>
  <conditionalFormatting sqref="L46:M57">
    <cfRule type="cellIs" dxfId="308" priority="113" operator="lessThan">
      <formula>98</formula>
    </cfRule>
  </conditionalFormatting>
  <conditionalFormatting sqref="L61:N61">
    <cfRule type="cellIs" dxfId="307" priority="83" operator="notEqual">
      <formula>#REF!</formula>
    </cfRule>
  </conditionalFormatting>
  <conditionalFormatting sqref="L93:N93">
    <cfRule type="cellIs" dxfId="306" priority="108" stopIfTrue="1" operator="lessThan">
      <formula>100%</formula>
    </cfRule>
  </conditionalFormatting>
  <conditionalFormatting sqref="L95:N103">
    <cfRule type="cellIs" dxfId="305" priority="142" stopIfTrue="1" operator="lessThan">
      <formula>100%</formula>
    </cfRule>
  </conditionalFormatting>
  <conditionalFormatting sqref="M10:M19">
    <cfRule type="expression" dxfId="304" priority="29">
      <formula>IF(+(IF(M10&lt;U10,0,IF(M10&gt;V10,0,1)))=0,1)</formula>
    </cfRule>
  </conditionalFormatting>
  <conditionalFormatting sqref="M20:M43">
    <cfRule type="expression" dxfId="303" priority="18">
      <formula>IF(+(IF(M20&lt;U20,0,IF(M20&gt;V20,0,1)))=0,1)</formula>
    </cfRule>
  </conditionalFormatting>
  <conditionalFormatting sqref="N10:N43">
    <cfRule type="expression" dxfId="302" priority="15">
      <formula>IF(+(IF(N10&lt;W10,0,IF(N10&gt;X10,0,1)))=0,1)</formula>
    </cfRule>
  </conditionalFormatting>
  <conditionalFormatting sqref="P6">
    <cfRule type="cellIs" dxfId="301" priority="138" operator="greaterThanOrEqual">
      <formula>19</formula>
    </cfRule>
  </conditionalFormatting>
  <dataValidations count="1">
    <dataValidation type="list" allowBlank="1" showInputMessage="1" showErrorMessage="1" sqref="R8" xr:uid="{B7ED095F-6F2C-45E0-A82E-D844C61747B1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375C-F2C2-4768-A627-1D759745103F}">
  <sheetPr>
    <pageSetUpPr fitToPage="1"/>
  </sheetPr>
  <dimension ref="A1:BE98"/>
  <sheetViews>
    <sheetView topLeftCell="A50" zoomScale="70" zoomScaleNormal="70" workbookViewId="0">
      <selection activeCell="J94" sqref="J94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45867</v>
      </c>
      <c r="J4" s="398" t="s">
        <v>199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200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>
      <c r="B10" s="29" t="s">
        <v>6</v>
      </c>
      <c r="C10" s="366" t="str">
        <f>[23]Brewhouse!$A644</f>
        <v>CA537</v>
      </c>
      <c r="D10" s="279">
        <f>[23]Brewhouse!$AF644</f>
        <v>51.5</v>
      </c>
      <c r="E10" s="279">
        <f>[23]Brewhouse!$AI644</f>
        <v>51.1</v>
      </c>
      <c r="F10" s="278">
        <f>[23]Brewhouse!$V644</f>
        <v>59</v>
      </c>
      <c r="G10" s="279">
        <f>[23]Brewhouse!$AG644</f>
        <v>11.4</v>
      </c>
      <c r="H10" s="396">
        <v>11.5</v>
      </c>
      <c r="I10" s="368">
        <f>[23]Brewhouse!$AU644</f>
        <v>95.518861174528027</v>
      </c>
      <c r="J10" s="368">
        <f>[23]Brewhouse!$AV644</f>
        <v>95.987649632226606</v>
      </c>
      <c r="K10" s="281">
        <f>[23]Brewhouse!$Q644</f>
        <v>6.3238095238095244</v>
      </c>
      <c r="L10" s="276">
        <f>[23]Brewhouse!$P644</f>
        <v>61</v>
      </c>
      <c r="M10" s="397">
        <f>[23]Brewhouse!$U644-[23]Brewhouse!$T644</f>
        <v>0.10763888888888892</v>
      </c>
      <c r="N10" s="370">
        <f>[23]Brewhouse!$Z644</f>
        <v>0.23402777777777781</v>
      </c>
      <c r="O10" s="371" t="str">
        <f>[23]Brewhouse!$AX644</f>
        <v>D. Gomez</v>
      </c>
      <c r="P10" s="339"/>
      <c r="R10" s="277" t="str">
        <f t="shared" ref="R10:R45" si="0">B10</f>
        <v>CARIB</v>
      </c>
      <c r="S10" s="296">
        <f t="shared" ref="S10:S45" si="1">VLOOKUP($B10,$R$3:$X$9,2,FALSE)</f>
        <v>11.6</v>
      </c>
      <c r="T10" s="296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296">
        <f t="shared" ref="Z10:Z45" si="8">VLOOKUP($B10,$R$3:$Z$9,9,FALSE)</f>
        <v>60</v>
      </c>
    </row>
    <row r="11" spans="2:29" ht="15.75" customHeight="1">
      <c r="B11" s="29" t="s">
        <v>6</v>
      </c>
      <c r="C11" s="366" t="str">
        <f>[23]Brewhouse!$A645</f>
        <v>CA538</v>
      </c>
      <c r="D11" s="279">
        <f>[23]Brewhouse!$AF645</f>
        <v>51</v>
      </c>
      <c r="E11" s="279">
        <f>[23]Brewhouse!$AI645</f>
        <v>48.8</v>
      </c>
      <c r="F11" s="278">
        <f>[23]Brewhouse!$V645</f>
        <v>55</v>
      </c>
      <c r="G11" s="279">
        <f>[23]Brewhouse!$AG645</f>
        <v>12</v>
      </c>
      <c r="H11" s="396">
        <v>11.5</v>
      </c>
      <c r="I11" s="368">
        <f>[23]Brewhouse!$AU645</f>
        <v>97.110774474396919</v>
      </c>
      <c r="J11" s="368">
        <f>[23]Brewhouse!$AV645</f>
        <v>97.587011603856837</v>
      </c>
      <c r="K11" s="281">
        <f>[23]Brewhouse!$Q645</f>
        <v>8.5818181818181785</v>
      </c>
      <c r="L11" s="276">
        <f>[23]Brewhouse!$P645</f>
        <v>59</v>
      </c>
      <c r="M11" s="397">
        <f>[23]Brewhouse!$U645-[23]Brewhouse!$T645</f>
        <v>0.11041666666666666</v>
      </c>
      <c r="N11" s="370">
        <f>[23]Brewhouse!$Z645</f>
        <v>0.23402777777777778</v>
      </c>
      <c r="O11" s="371" t="str">
        <f>[23]Brewhouse!$AX645</f>
        <v>K.Benjamin</v>
      </c>
      <c r="P11" s="419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[23]Brewhouse!$A646</f>
        <v>CA539</v>
      </c>
      <c r="D12" s="279">
        <f>[23]Brewhouse!$AF646</f>
        <v>52</v>
      </c>
      <c r="E12" s="279">
        <f>[23]Brewhouse!$AI646</f>
        <v>50.2</v>
      </c>
      <c r="F12" s="278">
        <f>[23]Brewhouse!$V646</f>
        <v>51</v>
      </c>
      <c r="G12" s="279">
        <f>[23]Brewhouse!$AG646</f>
        <v>11.9</v>
      </c>
      <c r="H12" s="396">
        <v>11.6</v>
      </c>
      <c r="I12" s="368">
        <f>[23]Brewhouse!$AU646</f>
        <v>99.389923122874848</v>
      </c>
      <c r="J12" s="368">
        <f>[23]Brewhouse!$AV646</f>
        <v>99.877175636155542</v>
      </c>
      <c r="K12" s="281">
        <f>[23]Brewhouse!$Q646</f>
        <v>7.769784172661871</v>
      </c>
      <c r="L12" s="276">
        <f>[23]Brewhouse!$P646</f>
        <v>62</v>
      </c>
      <c r="M12" s="397">
        <f>[23]Brewhouse!$U646-[23]Brewhouse!$T646</f>
        <v>0.10277777777777775</v>
      </c>
      <c r="N12" s="370">
        <f>[23]Brewhouse!$Z646</f>
        <v>0.23680555555555555</v>
      </c>
      <c r="O12" s="371" t="str">
        <f>[23]Brewhouse!$AX646</f>
        <v>K.Benjamin</v>
      </c>
      <c r="P12" s="419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[23]Brewhouse!$A647</f>
        <v>CA540</v>
      </c>
      <c r="D13" s="279">
        <f>[23]Brewhouse!$AF647</f>
        <v>52.1</v>
      </c>
      <c r="E13" s="279">
        <f>[23]Brewhouse!$AI647</f>
        <v>49.9</v>
      </c>
      <c r="F13" s="278">
        <f>[23]Brewhouse!$V647</f>
        <v>62</v>
      </c>
      <c r="G13" s="279">
        <f>[23]Brewhouse!$AG647</f>
        <v>11.7</v>
      </c>
      <c r="H13" s="396">
        <v>11.6</v>
      </c>
      <c r="I13" s="368">
        <f>[23]Brewhouse!$AU647</f>
        <v>97.540187032709667</v>
      </c>
      <c r="J13" s="368">
        <f>[23]Brewhouse!$AV647</f>
        <v>98.03905125954293</v>
      </c>
      <c r="K13" s="281">
        <f>[23]Brewhouse!$Q647</f>
        <v>6.4116575591985363</v>
      </c>
      <c r="L13" s="276">
        <f>[23]Brewhouse!$P647</f>
        <v>61</v>
      </c>
      <c r="M13" s="397">
        <f>[23]Brewhouse!$U647-[23]Brewhouse!$T647</f>
        <v>0.10902777777777778</v>
      </c>
      <c r="N13" s="370">
        <f>[23]Brewhouse!$Z647</f>
        <v>0.24236111111111114</v>
      </c>
      <c r="O13" s="371" t="str">
        <f>[23]Brewhouse!$AX647</f>
        <v>K.Benjamin</v>
      </c>
      <c r="P13" s="419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[23]Brewhouse!$A648</f>
        <v>CA541</v>
      </c>
      <c r="D14" s="279">
        <f>[23]Brewhouse!$AF648</f>
        <v>50.9</v>
      </c>
      <c r="E14" s="279">
        <f>[23]Brewhouse!$AI648</f>
        <v>50.2</v>
      </c>
      <c r="F14" s="278">
        <f>[23]Brewhouse!$V648</f>
        <v>61</v>
      </c>
      <c r="G14" s="279">
        <f>[23]Brewhouse!$AG648</f>
        <v>11.6</v>
      </c>
      <c r="H14" s="396">
        <v>11.7</v>
      </c>
      <c r="I14" s="368">
        <f>[23]Brewhouse!$AU648</f>
        <v>97.365271655099377</v>
      </c>
      <c r="J14" s="368">
        <f>[23]Brewhouse!$AV648</f>
        <v>97.863213675685699</v>
      </c>
      <c r="K14" s="281">
        <f>[23]Brewhouse!$Q648</f>
        <v>9.7482014388489233</v>
      </c>
      <c r="L14" s="276">
        <f>[23]Brewhouse!$P648</f>
        <v>60</v>
      </c>
      <c r="M14" s="397">
        <f>[23]Brewhouse!$U648-[23]Brewhouse!$T648</f>
        <v>0.11319444444444449</v>
      </c>
      <c r="N14" s="370">
        <f>[23]Brewhouse!$Z648</f>
        <v>0.24513888888888891</v>
      </c>
      <c r="O14" s="371" t="str">
        <f>[23]Brewhouse!$AX648</f>
        <v>K.Benjamin</v>
      </c>
      <c r="P14" s="419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[23]Brewhouse!$A649</f>
        <v>CA542</v>
      </c>
      <c r="D15" s="279">
        <f>[23]Brewhouse!$AF649</f>
        <v>50.6</v>
      </c>
      <c r="E15" s="279">
        <f>[23]Brewhouse!$AI649</f>
        <v>50.4</v>
      </c>
      <c r="F15" s="278">
        <f>[23]Brewhouse!$V649</f>
        <v>58</v>
      </c>
      <c r="G15" s="279">
        <f>[23]Brewhouse!$AG649</f>
        <v>11.6</v>
      </c>
      <c r="H15" s="396">
        <v>11.7</v>
      </c>
      <c r="I15" s="368">
        <f>[23]Brewhouse!$AU649</f>
        <v>97.631449601667157</v>
      </c>
      <c r="J15" s="368">
        <f>[23]Brewhouse!$AV649</f>
        <v>98.130780586175248</v>
      </c>
      <c r="K15" s="281">
        <f>[23]Brewhouse!$Q649</f>
        <v>10.769230769230763</v>
      </c>
      <c r="L15" s="276">
        <f>[23]Brewhouse!$P649</f>
        <v>60</v>
      </c>
      <c r="M15" s="397">
        <f>[23]Brewhouse!$U649-[23]Brewhouse!$T649</f>
        <v>0.10833333333333339</v>
      </c>
      <c r="N15" s="370">
        <f>[23]Brewhouse!$Z649</f>
        <v>0.24930555555555556</v>
      </c>
      <c r="O15" s="371" t="str">
        <f>[23]Brewhouse!$AX649</f>
        <v>R. Regis</v>
      </c>
      <c r="P15" s="419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[23]Brewhouse!$A650</f>
        <v>CA543</v>
      </c>
      <c r="D16" s="279">
        <f>[23]Brewhouse!$AF650</f>
        <v>50.3</v>
      </c>
      <c r="E16" s="279">
        <f>[23]Brewhouse!$AI650</f>
        <v>50.1</v>
      </c>
      <c r="F16" s="278">
        <f>[23]Brewhouse!$V650</f>
        <v>59</v>
      </c>
      <c r="G16" s="279">
        <f>[23]Brewhouse!$AG650</f>
        <v>11.6</v>
      </c>
      <c r="H16" s="396">
        <v>11.8</v>
      </c>
      <c r="I16" s="368">
        <f>[23]Brewhouse!$AU650</f>
        <v>96.689090831338149</v>
      </c>
      <c r="J16" s="368">
        <f>[23]Brewhouse!$AV650</f>
        <v>97.183684019296351</v>
      </c>
      <c r="K16" s="281">
        <f>[23]Brewhouse!$Q650</f>
        <v>11.305903398926656</v>
      </c>
      <c r="L16" s="276">
        <f>[23]Brewhouse!$P650</f>
        <v>60</v>
      </c>
      <c r="M16" s="397">
        <f>[23]Brewhouse!$U650-[23]Brewhouse!$T650</f>
        <v>0.1069444444444444</v>
      </c>
      <c r="N16" s="370">
        <f>[23]Brewhouse!$Z650</f>
        <v>0.25486111111111109</v>
      </c>
      <c r="O16" s="371" t="str">
        <f>[23]Brewhouse!$AX650</f>
        <v>R. Regis</v>
      </c>
      <c r="P16" s="419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[23]Brewhouse!$A651</f>
        <v>CA544</v>
      </c>
      <c r="D17" s="279">
        <f>[23]Brewhouse!$AF651</f>
        <v>50.6</v>
      </c>
      <c r="E17" s="279">
        <f>[23]Brewhouse!$AI651</f>
        <v>50.2</v>
      </c>
      <c r="F17" s="278">
        <f>[23]Brewhouse!$V651</f>
        <v>76</v>
      </c>
      <c r="G17" s="279">
        <f>[23]Brewhouse!$AG651</f>
        <v>11.7</v>
      </c>
      <c r="H17" s="396">
        <v>11.7</v>
      </c>
      <c r="I17" s="368">
        <f>[23]Brewhouse!$AU651</f>
        <v>97.882815113244646</v>
      </c>
      <c r="J17" s="368">
        <f>[23]Brewhouse!$AV651</f>
        <v>98.383487001558549</v>
      </c>
      <c r="K17" s="281">
        <f>[23]Brewhouse!$Q651</f>
        <v>11.403197158081696</v>
      </c>
      <c r="L17" s="276">
        <f>[23]Brewhouse!$P651</f>
        <v>60</v>
      </c>
      <c r="M17" s="397">
        <f>[23]Brewhouse!$U651-[23]Brewhouse!$T651</f>
        <v>0.1333333333333333</v>
      </c>
      <c r="N17" s="370">
        <f>[23]Brewhouse!$Z651</f>
        <v>0.26527777777777772</v>
      </c>
      <c r="O17" s="371" t="str">
        <f>[23]Brewhouse!$AX651</f>
        <v>R. Regis</v>
      </c>
      <c r="P17" s="419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36" t="s">
        <v>15</v>
      </c>
      <c r="C20" s="366" t="str">
        <f>[27]Brewhouse!$A23</f>
        <v>MK017</v>
      </c>
      <c r="D20" s="279">
        <f>[27]Brewhouse!$AF23</f>
        <v>51</v>
      </c>
      <c r="E20" s="279">
        <f>[27]Brewhouse!$AI23</f>
        <v>48.2</v>
      </c>
      <c r="F20" s="278">
        <f>[27]Brewhouse!$X23</f>
        <v>53</v>
      </c>
      <c r="G20" s="279">
        <f>[27]Brewhouse!$AG23</f>
        <v>13.3</v>
      </c>
      <c r="H20" s="487">
        <v>13.3</v>
      </c>
      <c r="I20" s="427">
        <f>[27]Brewhouse!$AT23</f>
        <v>91.577633120758847</v>
      </c>
      <c r="J20" s="427">
        <f>[27]Brewhouse!$AU23</f>
        <v>91.98776948641283</v>
      </c>
      <c r="K20" s="436">
        <f>[27]Brewhouse!$S23</f>
        <v>10.76901408450704</v>
      </c>
      <c r="L20" s="276">
        <f>[27]Brewhouse!$R23</f>
        <v>88</v>
      </c>
      <c r="M20" s="374">
        <f>[27]Brewhouse!$W23-[27]Brewhouse!$V23</f>
        <v>0.12430555555555545</v>
      </c>
      <c r="N20" s="370">
        <f>[27]Brewhouse!$AA23</f>
        <v>0.27638888888888891</v>
      </c>
      <c r="O20" s="428" t="str">
        <f>[27]Brewhouse!$AX23</f>
        <v>D. Gomez</v>
      </c>
      <c r="P20" s="419"/>
      <c r="R20" s="277" t="str">
        <f t="shared" si="0"/>
        <v>MACKESON</v>
      </c>
      <c r="S20" s="296">
        <f t="shared" si="1"/>
        <v>13.3</v>
      </c>
      <c r="T20" s="296">
        <f t="shared" si="2"/>
        <v>13.5</v>
      </c>
      <c r="U20" s="297">
        <f t="shared" si="3"/>
        <v>0</v>
      </c>
      <c r="V20" s="297">
        <f t="shared" si="4"/>
        <v>0.12905092592592593</v>
      </c>
      <c r="W20" s="297">
        <f t="shared" si="5"/>
        <v>0.27430555555555552</v>
      </c>
      <c r="X20" s="297">
        <f t="shared" si="6"/>
        <v>0.30208333333333331</v>
      </c>
      <c r="Y20" s="297">
        <f t="shared" si="7"/>
        <v>0</v>
      </c>
      <c r="Z20" s="296">
        <f t="shared" si="8"/>
        <v>0</v>
      </c>
    </row>
    <row r="21" spans="2:26" ht="15.6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9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6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4.4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7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7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7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6" hidden="1" customHeight="1">
      <c r="B29" s="37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4.4" hidden="1">
      <c r="B30" s="37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7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7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74"/>
      <c r="N32" s="370"/>
      <c r="O32" s="371"/>
      <c r="P32" s="419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6" hidden="1" customHeight="1">
      <c r="B33" s="37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74"/>
      <c r="N33" s="370"/>
      <c r="O33" s="371"/>
      <c r="P33" s="419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37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74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19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19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19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19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9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9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19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19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19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532"/>
      <c r="J44" s="532"/>
      <c r="K44" s="532"/>
      <c r="L44" s="532"/>
      <c r="M44" s="532"/>
      <c r="N44" s="532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163</v>
      </c>
      <c r="C45" s="388"/>
      <c r="D45" s="545" t="s">
        <v>35</v>
      </c>
      <c r="E45" s="546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 t="str">
        <f t="shared" si="0"/>
        <v xml:space="preserve">BRAND 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customHeight="1">
      <c r="A46" s="28"/>
      <c r="B46" s="603" t="str">
        <f>I52</f>
        <v>STARMALT</v>
      </c>
      <c r="C46" s="362">
        <f>[22]Process!D65</f>
        <v>17.5</v>
      </c>
      <c r="D46" s="536"/>
      <c r="E46" s="525"/>
      <c r="F46" s="294"/>
      <c r="G46" s="294"/>
      <c r="H46" s="348"/>
      <c r="I46" s="29" t="s">
        <v>6</v>
      </c>
      <c r="J46" s="280">
        <f>AVERAGE(I10:I17)</f>
        <v>97.391046625732344</v>
      </c>
      <c r="K46" s="284">
        <f>COUNTA([23]Brewhouse!$A$580:$A$651)</f>
        <v>72</v>
      </c>
      <c r="L46" s="305">
        <f>AVERAGE([23]Brewhouse!$AU$580:$AU$651)</f>
        <v>98.74061791812295</v>
      </c>
      <c r="M46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AVERAGE([23]Brewhouse!$AU$102:$AU$171,[23]Brewhouse!$AU$173:$AU$253,[23]Brewhouse!$AU$255:$AU$339,[23]Brewhouse!$AU$341:$AU$346,[23]Brewhouse!$AU$348,[23]Brewhouse!$AU$349:$AU$406,[23]Brewhouse!$AU$408:$AU$491,[23]Brewhouse!$AU$493:$AU$578,[23]Brewhouse!$AU$580:$AU$651)</f>
        <v>97.881231891292515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604"/>
      <c r="C47" s="349">
        <f>[22]Process!D66</f>
        <v>17.7</v>
      </c>
      <c r="D47" s="537"/>
      <c r="E47" s="520"/>
      <c r="F47" s="294"/>
      <c r="G47" s="294"/>
      <c r="H47" s="348"/>
      <c r="I47" s="33" t="s">
        <v>9</v>
      </c>
      <c r="J47" s="280"/>
      <c r="K47" s="284">
        <f>COUNTA([24]Brewhouse!$A$275:$A$322)</f>
        <v>48</v>
      </c>
      <c r="L47" s="302">
        <f>AVERAGE([24]Brewhouse!$AS$275:$AS$322)</f>
        <v>99.07097576046101</v>
      </c>
      <c r="M47" s="302">
        <f>AVERAGE([24]Brewhouse!$AS$15:$AS$64,[24]Brewhouse!$AS$66:$AS$103,[24]Brewhouse!$AS$105:$AS$140,[24]Brewhouse!$AS$142:$AS$193,[24]Brewhouse!$AS$195:$AS$240,[24]Brewhouse!$AS$242:$AS$273,[24]Brewhouse!$AS$275:$AS$322)</f>
        <v>98.066148200582248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604"/>
      <c r="C48" s="349">
        <f>[22]Process!D67</f>
        <v>17.5</v>
      </c>
      <c r="D48" s="536"/>
      <c r="E48" s="525"/>
      <c r="F48" s="294"/>
      <c r="G48" s="294"/>
      <c r="H48" s="348"/>
      <c r="I48" s="34" t="s">
        <v>12</v>
      </c>
      <c r="J48" s="280"/>
      <c r="K48" s="284">
        <f>COUNTA([25]Brewhouse!$A$64:$A$79)</f>
        <v>16</v>
      </c>
      <c r="L48" s="302">
        <f>AVERAGE([25]Brewhouse!$AU$64:$AU$79)</f>
        <v>96.467346973315216</v>
      </c>
      <c r="M48" s="302">
        <f>AVERAGE([25]Brewhouse!$AU$4:$AU$7,[25]Brewhouse!$AU$9:$AU$22,[25]Brewhouse!$AU$24:$AU$35,[25]Brewhouse!$AU$37:$AU$45,[25]Brewhouse!$AU$47:$AU$62,[25]Brewhouse!$AU$64:$AU$79)</f>
        <v>97.0189196363294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604"/>
      <c r="C49" s="349">
        <f>[22]Process!D68</f>
        <v>17.2</v>
      </c>
      <c r="D49" s="537"/>
      <c r="E49" s="520"/>
      <c r="F49" s="294"/>
      <c r="G49" s="294"/>
      <c r="H49" s="348"/>
      <c r="I49" s="22" t="s">
        <v>33</v>
      </c>
      <c r="J49" s="280"/>
      <c r="K49" s="284">
        <f>COUNTA([26]Brewhouse!$A$55:$A$62)</f>
        <v>8</v>
      </c>
      <c r="L49" s="302">
        <f>AVERAGE([26]Brewhouse!$AV$55:$AV$62)</f>
        <v>99.616385552827751</v>
      </c>
      <c r="M49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56" ht="14.7" customHeight="1">
      <c r="A50" s="28"/>
      <c r="B50" s="604"/>
      <c r="C50" s="349">
        <f>[22]Process!D69</f>
        <v>17.8</v>
      </c>
      <c r="D50" s="536"/>
      <c r="E50" s="525"/>
      <c r="F50" s="418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56" ht="14.7" customHeight="1">
      <c r="A51" s="28"/>
      <c r="B51" s="604"/>
      <c r="C51" s="349">
        <f>[22]Process!D70</f>
        <v>17</v>
      </c>
      <c r="D51" s="537"/>
      <c r="E51" s="520"/>
      <c r="F51" s="418"/>
      <c r="G51" s="294"/>
      <c r="H51" s="348"/>
      <c r="I51" s="36" t="s">
        <v>15</v>
      </c>
      <c r="J51" s="323">
        <f>I20</f>
        <v>91.577633120758847</v>
      </c>
      <c r="K51" s="284">
        <f>COUNTA([27]Brewhouse!$A$23:$A$26)</f>
        <v>4</v>
      </c>
      <c r="L51" s="302">
        <f>AVERAGE([27]Brewhouse!$AT$23)</f>
        <v>91.577633120758847</v>
      </c>
      <c r="M51" s="302">
        <f>AVERAGE([27]Brewhouse!$AT$4:$AT$11,[27]Brewhouse!$AT$13:$AT$16,[27]Brewhouse!$AT$18:$AT$21,[27]Brewhouse!$AT$23)</f>
        <v>94.58519707076826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604"/>
      <c r="C52" s="349">
        <f>[22]Process!D71</f>
        <v>16.600000000000001</v>
      </c>
      <c r="D52" s="536"/>
      <c r="E52" s="525"/>
      <c r="F52" s="418"/>
      <c r="G52" s="294"/>
      <c r="H52" s="348"/>
      <c r="I52" s="37" t="s">
        <v>16</v>
      </c>
      <c r="J52" s="323"/>
      <c r="K52" s="284">
        <f>COUNTA([22]Brewhouse!$A$56:$A$73)</f>
        <v>18</v>
      </c>
      <c r="L52" s="302">
        <f>AVERAGE([22]Brewhouse!$AY$56:$AY$73)</f>
        <v>99.032920980364963</v>
      </c>
      <c r="M52" s="302">
        <f>AVERAGE([22]Brewhouse!$AY$6:$AY$13,[22]Brewhouse!$AY$15:$AY$20,[22]Brewhouse!$AY$22:$AY$29,[22]Brewhouse!$AY$31:$AY$34,[22]Brewhouse!$AY$36:$AY$43,[22]Brewhouse!$AY$45:$AY$50, [22]Brewhouse!$AY$56:$AY$73)</f>
        <v>97.363751190177027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604"/>
      <c r="C53" s="349">
        <f>[22]Process!D72</f>
        <v>16.5</v>
      </c>
      <c r="D53" s="537"/>
      <c r="E53" s="520"/>
      <c r="F53" s="294"/>
      <c r="G53" s="294"/>
      <c r="H53" s="348"/>
      <c r="I53" s="411" t="s">
        <v>158</v>
      </c>
      <c r="J53" s="326"/>
      <c r="K53" s="284"/>
      <c r="L53" s="305"/>
      <c r="M53" s="305">
        <f>AVERAGE([28]Brewhouse!$AU$5:$AU$8,[28]Brewhouse!$AU$10:$AU$13)</f>
        <v>94.247666625193744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604"/>
      <c r="C54" s="349"/>
      <c r="D54" s="536"/>
      <c r="E54" s="525"/>
      <c r="F54" s="294"/>
      <c r="G54" s="294"/>
      <c r="H54" s="348"/>
      <c r="I54" s="410" t="s">
        <v>157</v>
      </c>
      <c r="J54" s="326"/>
      <c r="K54" s="284"/>
      <c r="L54" s="305"/>
      <c r="M54" s="305">
        <f>AVERAGE([29]Brewhouse!$AW$26:$AW$27)</f>
        <v>95.310680905194914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604"/>
      <c r="C55" s="349"/>
      <c r="D55" s="537"/>
      <c r="E55" s="520"/>
      <c r="F55" s="294"/>
      <c r="G55" s="294"/>
      <c r="H55" s="348"/>
      <c r="I55" s="406" t="s">
        <v>156</v>
      </c>
      <c r="J55" s="327"/>
      <c r="K55" s="407"/>
      <c r="L55" s="408"/>
      <c r="M55" s="408">
        <f>AVERAGE([30]Brewhouse!$AU$13:$AU$14)</f>
        <v>97.110575243268045</v>
      </c>
      <c r="N55" s="409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604"/>
      <c r="C56" s="349"/>
      <c r="D56" s="536"/>
      <c r="E56" s="525"/>
      <c r="F56" s="294"/>
      <c r="G56" s="294"/>
      <c r="H56" s="348"/>
      <c r="I56" s="1"/>
      <c r="J56" s="39"/>
      <c r="K56" s="404">
        <f>SUM(K46:K55)</f>
        <v>166</v>
      </c>
      <c r="L56" s="405">
        <f>((L46*K46)+(L47*K47)+(L48*K48)+(L49*K49)+(L50*K50)+(K53*L53)+(L51*K51)+(L52*K52)+(L55*K55))/(K56)</f>
        <v>98.518331763447307</v>
      </c>
      <c r="M56" s="405">
        <f>AVERAGE('[31]Jan 31st'!$L$65,'[32]Feb 28th'!$L$35,'[33]Mar. 31st'!$L$35,'[34]Apr. 30th'!$L$45,'[35]May 30th'!$L$37,'[39]June 30th'!$L$57,L56)</f>
        <v>97.781463180072748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605"/>
      <c r="C57" s="350"/>
      <c r="D57" s="537"/>
      <c r="E57" s="520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14"/>
      <c r="C58" s="362"/>
      <c r="D58" s="517"/>
      <c r="E58" s="518"/>
      <c r="F58" s="294"/>
      <c r="G58" s="42"/>
      <c r="H58" s="41"/>
      <c r="I58" s="42"/>
      <c r="J58" s="572" t="s">
        <v>129</v>
      </c>
      <c r="K58" s="572"/>
      <c r="L58" s="294"/>
      <c r="M58" s="294"/>
      <c r="N58" s="294"/>
      <c r="O58" s="294"/>
      <c r="P58" s="12"/>
    </row>
    <row r="59" spans="1:56" ht="15" thickBot="1">
      <c r="B59" s="515"/>
      <c r="C59" s="362"/>
      <c r="D59" s="519"/>
      <c r="E59" s="520"/>
      <c r="F59" s="294"/>
      <c r="G59" s="42"/>
      <c r="H59" s="41"/>
      <c r="I59" s="42"/>
      <c r="J59" s="292" t="s">
        <v>17</v>
      </c>
      <c r="K59" s="293" t="s">
        <v>147</v>
      </c>
      <c r="L59" s="522" t="s">
        <v>136</v>
      </c>
      <c r="M59" s="522"/>
      <c r="N59" s="523"/>
      <c r="O59" s="294"/>
      <c r="P59" s="12"/>
    </row>
    <row r="60" spans="1:56" ht="15" customHeight="1" thickBot="1">
      <c r="B60" s="515"/>
      <c r="C60" s="349"/>
      <c r="D60" s="573"/>
      <c r="E60" s="574"/>
      <c r="F60" s="294"/>
      <c r="G60" s="42"/>
      <c r="H60" s="41"/>
      <c r="I60" s="42"/>
      <c r="J60" s="287" t="s">
        <v>6</v>
      </c>
      <c r="K60" s="324">
        <v>8</v>
      </c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15"/>
      <c r="C61" s="349"/>
      <c r="D61" s="519"/>
      <c r="E61" s="520"/>
      <c r="F61" s="294"/>
      <c r="G61" s="42"/>
      <c r="H61" s="41"/>
      <c r="I61" s="42"/>
      <c r="J61" s="345" t="s">
        <v>9</v>
      </c>
      <c r="K61" s="324"/>
      <c r="L61" s="344">
        <f>AVERAGE(K70,'July 1st'!K67,'July 2nd'!K68,'July 3rd'!K68,'July 4th'!K68,'July 7th '!K68,'July 8th '!K68,'July 9th  '!K69,'July 10th '!K69,'July 11th  '!K69,'July 14th'!K69,'July 15th'!K69,'July 16th '!K69,'July 17th '!K70,'July 21st'!K70,'July 23rd'!K70,'July 24th'!K70,'July 25th'!K70)</f>
        <v>8.3888888888888893</v>
      </c>
      <c r="M61" s="325">
        <f>AVERAGE('[31]Jan 29th '!$M$70,'[32]Feb 28th'!$L$40,'[33]Mar. 31st'!$L$40,'[34]Apr. 30th'!$L$50,'[35]May 30th'!$L$42,L61)</f>
        <v>6.9325883456318236</v>
      </c>
      <c r="N61" s="417">
        <v>9.1999999999999993</v>
      </c>
      <c r="O61" s="294"/>
      <c r="P61" s="12"/>
    </row>
    <row r="62" spans="1:56" ht="15" customHeight="1">
      <c r="B62" s="515"/>
      <c r="C62" s="349"/>
      <c r="D62" s="573"/>
      <c r="E62" s="574"/>
      <c r="F62" s="294"/>
      <c r="G62" s="42"/>
      <c r="H62" s="41"/>
      <c r="I62" s="42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15"/>
      <c r="C63" s="349"/>
      <c r="D63" s="519"/>
      <c r="E63" s="520"/>
      <c r="F63" s="294"/>
      <c r="G63" s="42"/>
      <c r="H63" s="41"/>
      <c r="I63" s="42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15"/>
      <c r="C64" s="349"/>
      <c r="D64" s="573"/>
      <c r="E64" s="574"/>
      <c r="F64" s="294"/>
      <c r="G64" s="42"/>
      <c r="H64" s="41"/>
      <c r="I64" s="42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15"/>
      <c r="C65" s="349"/>
      <c r="D65" s="519"/>
      <c r="E65" s="520"/>
      <c r="F65" s="294"/>
      <c r="G65" s="42"/>
      <c r="H65" s="41"/>
      <c r="I65" s="42"/>
      <c r="J65" s="291" t="s">
        <v>15</v>
      </c>
      <c r="K65" s="324">
        <v>1</v>
      </c>
      <c r="L65" s="294"/>
      <c r="M65" s="294"/>
      <c r="N65" s="294"/>
      <c r="O65" s="294"/>
      <c r="P65" s="12"/>
      <c r="BC65" s="44"/>
      <c r="BD65" s="44"/>
    </row>
    <row r="66" spans="2:57" ht="14.4">
      <c r="B66" s="515"/>
      <c r="C66" s="349"/>
      <c r="D66" s="573"/>
      <c r="E66" s="574"/>
      <c r="F66" s="294"/>
      <c r="G66" s="42"/>
      <c r="H66" s="41"/>
      <c r="I66" s="42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16"/>
      <c r="C67" s="350"/>
      <c r="D67" s="575"/>
      <c r="E67" s="576"/>
      <c r="F67" s="294"/>
      <c r="G67" s="42"/>
      <c r="H67" s="41"/>
      <c r="I67" s="42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577" t="e">
        <f>AVERAGE(D46:E67)</f>
        <v>#DIV/0!</v>
      </c>
      <c r="E68" s="578"/>
      <c r="F68" s="294"/>
      <c r="H68" s="41"/>
      <c r="I68" s="42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42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6" customHeight="1">
      <c r="B70" s="45"/>
      <c r="C70" s="11"/>
      <c r="D70" s="11"/>
      <c r="E70" s="46"/>
      <c r="F70" s="294"/>
      <c r="G70" s="42"/>
      <c r="H70" s="41"/>
      <c r="I70" s="42"/>
      <c r="J70" s="346" t="s">
        <v>130</v>
      </c>
      <c r="K70" s="324">
        <f>SUM(K60:K69)</f>
        <v>9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N71" s="315"/>
      <c r="P71" s="334"/>
    </row>
    <row r="72" spans="2:57" ht="15" customHeight="1" thickBo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1"/>
      <c r="O72" s="48"/>
      <c r="P72" s="49"/>
    </row>
    <row r="73" spans="2:57" ht="15" customHeight="1" thickBot="1">
      <c r="B73" s="498" t="s">
        <v>17</v>
      </c>
      <c r="C73" s="498" t="s">
        <v>44</v>
      </c>
      <c r="D73" s="510" t="s">
        <v>45</v>
      </c>
      <c r="E73" s="512" t="s">
        <v>46</v>
      </c>
      <c r="F73" s="506" t="s">
        <v>47</v>
      </c>
      <c r="G73" s="496" t="s">
        <v>48</v>
      </c>
      <c r="H73" s="498" t="s">
        <v>49</v>
      </c>
      <c r="I73" s="498" t="s">
        <v>50</v>
      </c>
      <c r="J73" s="490" t="s">
        <v>28</v>
      </c>
      <c r="K73" s="502" t="s">
        <v>51</v>
      </c>
      <c r="L73" s="504" t="s">
        <v>52</v>
      </c>
      <c r="M73" s="490" t="s">
        <v>53</v>
      </c>
      <c r="N73" s="13"/>
      <c r="O73" s="13"/>
      <c r="P73" s="50"/>
    </row>
    <row r="74" spans="2:57" ht="28.5" customHeight="1" thickTop="1" thickBot="1">
      <c r="B74" s="499"/>
      <c r="C74" s="499"/>
      <c r="D74" s="511"/>
      <c r="E74" s="513"/>
      <c r="F74" s="507"/>
      <c r="G74" s="497"/>
      <c r="H74" s="499"/>
      <c r="I74" s="499"/>
      <c r="J74" s="491"/>
      <c r="K74" s="503"/>
      <c r="L74" s="505"/>
      <c r="M74" s="491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59.4" hidden="1" customHeight="1" thickBot="1">
      <c r="B75" s="430" t="str">
        <f>B90</f>
        <v>STARMALT</v>
      </c>
      <c r="C75" s="464">
        <v>45866</v>
      </c>
      <c r="D75" s="465"/>
      <c r="E75" s="466"/>
      <c r="F75" s="467"/>
      <c r="G75" s="468"/>
      <c r="H75" s="320"/>
      <c r="I75" s="322"/>
      <c r="J75" s="471" t="s">
        <v>164</v>
      </c>
      <c r="K75" s="472">
        <f>[37]July_2025!$AE$53</f>
        <v>1.0515789473684209</v>
      </c>
      <c r="L75" s="486" t="e">
        <f>(((D75+E75)-G75)/(D75+E75))*100</f>
        <v>#DIV/0!</v>
      </c>
      <c r="M75" s="485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>
        <f>[20]January_2019!L7</f>
        <v>285.8</v>
      </c>
      <c r="AC75" s="57">
        <f>[20]January_2019!M7</f>
        <v>508.1</v>
      </c>
      <c r="AD75" s="57">
        <f>[20]January_2019!N7</f>
        <v>0</v>
      </c>
      <c r="AE75" s="57">
        <f>[20]January_2019!O7</f>
        <v>0</v>
      </c>
      <c r="AF75" s="57">
        <f>[20]January_2019!P7</f>
        <v>109.56666666666666</v>
      </c>
      <c r="AG75" s="57">
        <f>[20]January_2019!Q7</f>
        <v>297.64999999999998</v>
      </c>
      <c r="AH75" s="57">
        <f>[20]January_2019!R7</f>
        <v>122.3</v>
      </c>
      <c r="AI75" s="57">
        <f>[20]January_2019!S7</f>
        <v>0</v>
      </c>
      <c r="AJ75" s="57">
        <f>[20]January_2019!T7</f>
        <v>294.7</v>
      </c>
      <c r="AK75" s="57">
        <f>[20]January_2019!U7</f>
        <v>280.5</v>
      </c>
      <c r="AL75" s="57">
        <f>[20]January_2019!V7</f>
        <v>0</v>
      </c>
      <c r="AM75" s="57">
        <f>[20]January_2019!W7</f>
        <v>0</v>
      </c>
      <c r="AN75" s="57">
        <f>[20]January_2019!X7</f>
        <v>188.25</v>
      </c>
      <c r="AO75" s="57">
        <f>[20]January_2019!Y7</f>
        <v>295.7</v>
      </c>
      <c r="AP75" s="57">
        <f>[20]January_2019!Z7</f>
        <v>257.8</v>
      </c>
      <c r="AQ75" s="57">
        <f>[20]January_2019!AA7</f>
        <v>291.2</v>
      </c>
      <c r="AR75" s="57">
        <f>[20]January_2019!AB7</f>
        <v>187</v>
      </c>
      <c r="AS75" s="57">
        <f>[20]January_2019!AC7</f>
        <v>0</v>
      </c>
      <c r="AT75" s="57">
        <f>[20]January_2019!AD7</f>
        <v>0</v>
      </c>
      <c r="AU75" s="57">
        <f>[20]January_2019!AE7</f>
        <v>485.1</v>
      </c>
      <c r="AV75" s="57">
        <f>[20]January_2019!AF7</f>
        <v>171.55</v>
      </c>
      <c r="AW75" s="57">
        <f>[20]January_2019!AG7</f>
        <v>423.8</v>
      </c>
      <c r="AX75" s="277">
        <f>[20]January_2019!AH7</f>
        <v>0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20.399999999999999" customHeight="1">
      <c r="B76" s="478"/>
      <c r="C76" s="453"/>
      <c r="D76" s="454"/>
      <c r="E76" s="455"/>
      <c r="F76" s="456"/>
      <c r="G76" s="457"/>
      <c r="H76" s="458"/>
      <c r="I76" s="475"/>
      <c r="J76" s="476"/>
      <c r="K76" s="459"/>
      <c r="L76" s="477"/>
      <c r="M76" s="434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39" hidden="1" customHeight="1" thickBot="1">
      <c r="B77" s="387"/>
      <c r="C77" s="464"/>
      <c r="D77" s="465"/>
      <c r="E77" s="466"/>
      <c r="F77" s="467"/>
      <c r="G77" s="468"/>
      <c r="H77" s="469"/>
      <c r="I77" s="470"/>
      <c r="J77" s="471"/>
      <c r="K77" s="472"/>
      <c r="L77" s="473"/>
      <c r="M77" s="484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idden="1">
      <c r="B78" s="481"/>
      <c r="C78" s="453"/>
      <c r="D78" s="454"/>
      <c r="E78" s="455"/>
      <c r="F78" s="456"/>
      <c r="G78" s="457"/>
      <c r="H78" s="458"/>
      <c r="I78" s="475"/>
      <c r="J78" s="476"/>
      <c r="K78" s="459"/>
      <c r="L78" s="477"/>
      <c r="M78" s="43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36.6" hidden="1" customHeight="1" thickBot="1">
      <c r="B79" s="387"/>
      <c r="C79" s="464"/>
      <c r="D79" s="465"/>
      <c r="E79" s="466"/>
      <c r="F79" s="467"/>
      <c r="G79" s="468"/>
      <c r="H79" s="469"/>
      <c r="I79" s="470"/>
      <c r="J79" s="471"/>
      <c r="K79" s="472"/>
      <c r="L79" s="473"/>
      <c r="M79" s="483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2:57" s="54" customFormat="1" ht="16.5" customHeight="1" thickBot="1">
      <c r="B80" s="460"/>
      <c r="C80" s="440"/>
      <c r="D80" s="441"/>
      <c r="E80" s="442"/>
      <c r="F80" s="443"/>
      <c r="G80" s="444"/>
      <c r="H80" s="445"/>
      <c r="I80" s="461"/>
      <c r="J80" s="462"/>
      <c r="K80" s="448"/>
      <c r="L80" s="463"/>
      <c r="M80" s="437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5"/>
      <c r="AC80" s="415"/>
      <c r="AD80" s="415"/>
      <c r="AE80" s="415"/>
      <c r="AF80" s="415"/>
      <c r="AG80" s="415"/>
      <c r="AH80" s="415"/>
      <c r="AI80" s="415"/>
      <c r="AJ80" s="415"/>
      <c r="AK80" s="415"/>
      <c r="AL80" s="415"/>
      <c r="AM80" s="415"/>
      <c r="AN80" s="415"/>
      <c r="AO80" s="415"/>
      <c r="AP80" s="415"/>
      <c r="AQ80" s="415"/>
      <c r="AR80" s="415"/>
      <c r="AS80" s="415"/>
      <c r="AT80" s="415"/>
      <c r="AU80" s="415"/>
      <c r="AV80" s="415"/>
      <c r="AW80" s="415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4.4" thickBot="1">
      <c r="B82" s="492" t="s">
        <v>55</v>
      </c>
      <c r="C82" s="493"/>
      <c r="D82" s="493"/>
      <c r="E82" s="493"/>
      <c r="F82" s="494"/>
      <c r="G82" s="492" t="s">
        <v>56</v>
      </c>
      <c r="H82" s="493"/>
      <c r="I82" s="493"/>
      <c r="J82" s="494"/>
      <c r="K82" s="492" t="s">
        <v>51</v>
      </c>
      <c r="L82" s="493"/>
      <c r="M82" s="493"/>
      <c r="N82" s="495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/>
      <c r="D84" s="76">
        <v>5.1046674390685336</v>
      </c>
      <c r="E84" s="76">
        <v>6.3510712927007873</v>
      </c>
      <c r="F84" s="66">
        <v>4.8</v>
      </c>
      <c r="G84" s="65"/>
      <c r="H84" s="76">
        <v>4.0731714390887097</v>
      </c>
      <c r="I84" s="76">
        <v>6.1781700333118934</v>
      </c>
      <c r="J84" s="66">
        <v>4.8</v>
      </c>
      <c r="K84" s="67"/>
      <c r="L84" s="194">
        <v>0.86202484976475791</v>
      </c>
      <c r="M84" s="194">
        <v>0.73901325166961152</v>
      </c>
      <c r="N84" s="68">
        <v>1</v>
      </c>
      <c r="O84" s="56"/>
      <c r="P84" s="69"/>
    </row>
    <row r="85" spans="2:16">
      <c r="B85" s="33" t="s">
        <v>9</v>
      </c>
      <c r="C85" s="65"/>
      <c r="D85" s="76">
        <v>4.9718187233652564</v>
      </c>
      <c r="E85" s="76">
        <v>5.9419799243536175</v>
      </c>
      <c r="F85" s="66">
        <v>4.8</v>
      </c>
      <c r="G85" s="65"/>
      <c r="H85" s="76">
        <v>3.9510849485573889</v>
      </c>
      <c r="I85" s="76">
        <v>5.5277535995776326</v>
      </c>
      <c r="J85" s="66">
        <v>4.8</v>
      </c>
      <c r="K85" s="67"/>
      <c r="L85" s="194">
        <v>0.73539212152056199</v>
      </c>
      <c r="M85" s="194">
        <v>0.75853637615238823</v>
      </c>
      <c r="N85" s="68">
        <v>1</v>
      </c>
      <c r="P85" s="69"/>
    </row>
    <row r="86" spans="2:16">
      <c r="B86" s="34" t="s">
        <v>40</v>
      </c>
      <c r="C86" s="65"/>
      <c r="D86" s="76">
        <v>11.466477138118925</v>
      </c>
      <c r="E86" s="76">
        <v>11.904314441431504</v>
      </c>
      <c r="F86" s="66">
        <v>5.5</v>
      </c>
      <c r="G86" s="65"/>
      <c r="H86" s="76">
        <v>15.89175434604109</v>
      </c>
      <c r="I86" s="76">
        <v>13.439540856999288</v>
      </c>
      <c r="J86" s="66">
        <v>5.5</v>
      </c>
      <c r="K86" s="67"/>
      <c r="L86" s="194">
        <v>1.3112280701754386</v>
      </c>
      <c r="M86" s="194">
        <v>0.54260860979462877</v>
      </c>
      <c r="N86" s="68">
        <v>1</v>
      </c>
      <c r="P86" s="69"/>
    </row>
    <row r="87" spans="2:16">
      <c r="B87" s="22" t="s">
        <v>33</v>
      </c>
      <c r="C87" s="65"/>
      <c r="D87" s="76">
        <v>3.4761321909424563</v>
      </c>
      <c r="E87" s="76">
        <v>5.119233255999676</v>
      </c>
      <c r="F87" s="66">
        <v>3.3</v>
      </c>
      <c r="G87" s="65"/>
      <c r="H87" s="76">
        <v>2.7479545757807706</v>
      </c>
      <c r="I87" s="76">
        <v>4.8747400258857825</v>
      </c>
      <c r="J87" s="66">
        <v>3.3</v>
      </c>
      <c r="K87" s="67"/>
      <c r="L87" s="194">
        <v>1.3835087719298247</v>
      </c>
      <c r="M87" s="194">
        <v>0.77839364035087721</v>
      </c>
      <c r="N87" s="68">
        <v>1</v>
      </c>
      <c r="P87" s="69"/>
    </row>
    <row r="88" spans="2:16">
      <c r="B88" s="35" t="s">
        <v>192</v>
      </c>
      <c r="C88" s="65"/>
      <c r="D88" s="76">
        <v>7.837301587301579</v>
      </c>
      <c r="E88" s="76">
        <v>7.837301587301579</v>
      </c>
      <c r="F88" s="66">
        <v>3.3</v>
      </c>
      <c r="G88" s="282"/>
      <c r="H88" s="76">
        <v>5.3377569154690221</v>
      </c>
      <c r="I88" s="76">
        <v>5.3377569154690221</v>
      </c>
      <c r="J88" s="66">
        <v>3</v>
      </c>
      <c r="K88" s="67"/>
      <c r="L88" s="194">
        <v>0.32596491228070179</v>
      </c>
      <c r="M88" s="194">
        <v>0.32596491228070179</v>
      </c>
      <c r="N88" s="68">
        <v>1</v>
      </c>
      <c r="P88" s="69"/>
    </row>
    <row r="89" spans="2:16">
      <c r="B89" s="36" t="s">
        <v>15</v>
      </c>
      <c r="C89" s="282"/>
      <c r="D89" s="76"/>
      <c r="E89" s="76">
        <v>7.3129862357869699</v>
      </c>
      <c r="F89" s="70">
        <f>[21]May_2022!$M$43</f>
        <v>3.4878406700073312</v>
      </c>
      <c r="G89" s="282"/>
      <c r="H89" s="76"/>
      <c r="I89" s="76">
        <v>8.9862703283331644</v>
      </c>
      <c r="J89" s="66">
        <v>5.5</v>
      </c>
      <c r="K89" s="67"/>
      <c r="L89" s="194"/>
      <c r="M89" s="194">
        <v>0.59276315789473688</v>
      </c>
      <c r="N89" s="68">
        <v>1</v>
      </c>
      <c r="P89" s="69"/>
    </row>
    <row r="90" spans="2:16">
      <c r="B90" s="37" t="s">
        <v>16</v>
      </c>
      <c r="C90" s="65"/>
      <c r="D90" s="76">
        <v>2.3359073359073403</v>
      </c>
      <c r="E90" s="76">
        <v>2.980561555075584</v>
      </c>
      <c r="F90" s="66">
        <v>3.3</v>
      </c>
      <c r="G90" s="282"/>
      <c r="H90" s="76">
        <v>3.7114579368100644</v>
      </c>
      <c r="I90" s="76">
        <v>4.4931174512296872</v>
      </c>
      <c r="J90" s="66">
        <v>3.3</v>
      </c>
      <c r="K90" s="67"/>
      <c r="L90" s="194">
        <v>1.7750877192982455</v>
      </c>
      <c r="M90" s="194">
        <v>0.83077455048409399</v>
      </c>
      <c r="N90" s="71">
        <v>1</v>
      </c>
      <c r="P90" s="69"/>
    </row>
    <row r="91" spans="2:16" ht="14.4" thickBot="1">
      <c r="B91" s="38" t="s">
        <v>191</v>
      </c>
      <c r="C91" s="65"/>
      <c r="D91" s="76">
        <v>11.483253588516746</v>
      </c>
      <c r="E91" s="76">
        <v>11.483253588516746</v>
      </c>
      <c r="F91" s="66">
        <v>7.5</v>
      </c>
      <c r="G91" s="282"/>
      <c r="H91" s="76">
        <v>9.7934336121043764</v>
      </c>
      <c r="I91" s="76">
        <v>9.7934336121043764</v>
      </c>
      <c r="J91" s="66">
        <v>7.5</v>
      </c>
      <c r="K91" s="67"/>
      <c r="L91" s="194">
        <v>0.32456140350877194</v>
      </c>
      <c r="M91" s="194">
        <v>0.32456140350877194</v>
      </c>
      <c r="N91" s="71">
        <v>1</v>
      </c>
      <c r="P91" s="69"/>
    </row>
    <row r="92" spans="2:16" ht="14.4" thickBot="1">
      <c r="B92" s="414" t="s">
        <v>161</v>
      </c>
      <c r="C92" s="65"/>
      <c r="D92" s="76">
        <v>9.4974642692485105</v>
      </c>
      <c r="E92" s="76">
        <v>7.2653644592663174</v>
      </c>
      <c r="F92" s="66">
        <v>4.8</v>
      </c>
      <c r="G92" s="282"/>
      <c r="H92" s="76">
        <v>10.183089539936029</v>
      </c>
      <c r="I92" s="76">
        <v>8.1715311054411259</v>
      </c>
      <c r="J92" s="66">
        <v>4.8</v>
      </c>
      <c r="K92" s="67"/>
      <c r="L92" s="194">
        <v>0.68877192982456148</v>
      </c>
      <c r="M92" s="194">
        <v>0.51368421052631585</v>
      </c>
      <c r="N92" s="71">
        <v>1</v>
      </c>
      <c r="O92" s="74"/>
      <c r="P92" s="75"/>
    </row>
    <row r="93" spans="2:16">
      <c r="D93" s="76">
        <v>5.3866869892534304</v>
      </c>
      <c r="E93" s="76">
        <v>6.4269386657446415</v>
      </c>
      <c r="F93" s="341">
        <v>5.5</v>
      </c>
      <c r="H93" s="76">
        <v>5.1337127337866839</v>
      </c>
      <c r="I93" s="76">
        <v>6.6101859416828379</v>
      </c>
      <c r="J93" s="341">
        <v>5.5</v>
      </c>
      <c r="L93" s="194">
        <v>0.85353003721424758</v>
      </c>
      <c r="M93" s="194">
        <v>0.72007450800214412</v>
      </c>
      <c r="N93" s="386">
        <v>1</v>
      </c>
    </row>
    <row r="97" spans="6:6">
      <c r="F97" s="315"/>
    </row>
    <row r="98" spans="6:6">
      <c r="F98" s="341"/>
    </row>
  </sheetData>
  <mergeCells count="51">
    <mergeCell ref="M73:M74"/>
    <mergeCell ref="B82:F82"/>
    <mergeCell ref="G82:J82"/>
    <mergeCell ref="K82:N82"/>
    <mergeCell ref="G73:G74"/>
    <mergeCell ref="H73:H74"/>
    <mergeCell ref="I73:I74"/>
    <mergeCell ref="J73:J74"/>
    <mergeCell ref="K73:K74"/>
    <mergeCell ref="L73:L74"/>
    <mergeCell ref="F73:F74"/>
    <mergeCell ref="D68:E68"/>
    <mergeCell ref="B73:B74"/>
    <mergeCell ref="C73:C74"/>
    <mergeCell ref="D73:D74"/>
    <mergeCell ref="E73:E74"/>
    <mergeCell ref="B58:B67"/>
    <mergeCell ref="D58:E59"/>
    <mergeCell ref="J58:K58"/>
    <mergeCell ref="L59:N59"/>
    <mergeCell ref="D60:E61"/>
    <mergeCell ref="D62:E63"/>
    <mergeCell ref="D64:E65"/>
    <mergeCell ref="D66:E67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8:B69">
    <cfRule type="cellIs" dxfId="300" priority="139" operator="notBetween">
      <formula>#REF!</formula>
      <formula>#REF!</formula>
    </cfRule>
  </conditionalFormatting>
  <conditionalFormatting sqref="C72">
    <cfRule type="cellIs" dxfId="299" priority="171" stopIfTrue="1" operator="greaterThan">
      <formula>100</formula>
    </cfRule>
    <cfRule type="cellIs" dxfId="298" priority="170" stopIfTrue="1" operator="lessThan">
      <formula>96</formula>
    </cfRule>
  </conditionalFormatting>
  <conditionalFormatting sqref="C84:C85">
    <cfRule type="cellIs" dxfId="297" priority="118" stopIfTrue="1" operator="lessThanOrEqual">
      <formula>0</formula>
    </cfRule>
  </conditionalFormatting>
  <conditionalFormatting sqref="C84:C88">
    <cfRule type="cellIs" dxfId="296" priority="117" stopIfTrue="1" operator="greaterThan">
      <formula>$F84</formula>
    </cfRule>
  </conditionalFormatting>
  <conditionalFormatting sqref="C85">
    <cfRule type="cellIs" dxfId="295" priority="174" stopIfTrue="1" operator="greaterThan">
      <formula>$F84</formula>
    </cfRule>
  </conditionalFormatting>
  <conditionalFormatting sqref="C86:C89">
    <cfRule type="cellIs" dxfId="294" priority="124" stopIfTrue="1" operator="lessThanOrEqual">
      <formula>0</formula>
    </cfRule>
  </conditionalFormatting>
  <conditionalFormatting sqref="C89">
    <cfRule type="cellIs" dxfId="293" priority="123" stopIfTrue="1" operator="greaterThan">
      <formula>$J89</formula>
    </cfRule>
  </conditionalFormatting>
  <conditionalFormatting sqref="C95:C99">
    <cfRule type="cellIs" dxfId="292" priority="162" stopIfTrue="1" operator="lessThanOrEqual">
      <formula>0</formula>
    </cfRule>
  </conditionalFormatting>
  <conditionalFormatting sqref="C96:C99">
    <cfRule type="cellIs" dxfId="291" priority="161" stopIfTrue="1" operator="greaterThan">
      <formula>$F$95</formula>
    </cfRule>
  </conditionalFormatting>
  <conditionalFormatting sqref="C101">
    <cfRule type="cellIs" dxfId="290" priority="164" stopIfTrue="1" operator="lessThanOrEqual">
      <formula>0</formula>
    </cfRule>
    <cfRule type="cellIs" dxfId="289" priority="163" stopIfTrue="1" operator="greaterThan">
      <formula>$F$95</formula>
    </cfRule>
  </conditionalFormatting>
  <conditionalFormatting sqref="C95:D95 D97:D103">
    <cfRule type="cellIs" dxfId="288" priority="156" stopIfTrue="1" operator="greaterThan">
      <formula>4.5</formula>
    </cfRule>
  </conditionalFormatting>
  <conditionalFormatting sqref="D68:D69">
    <cfRule type="cellIs" dxfId="287" priority="140" operator="notBetween">
      <formula>#REF!</formula>
      <formula>#REF!</formula>
    </cfRule>
  </conditionalFormatting>
  <conditionalFormatting sqref="D84:D91">
    <cfRule type="cellIs" dxfId="286" priority="134" stopIfTrue="1" operator="lessThanOrEqual">
      <formula>0</formula>
    </cfRule>
  </conditionalFormatting>
  <conditionalFormatting sqref="D92">
    <cfRule type="cellIs" dxfId="285" priority="133" stopIfTrue="1" operator="lessThanOrEqual">
      <formula>0</formula>
    </cfRule>
  </conditionalFormatting>
  <conditionalFormatting sqref="D95 D97:D103">
    <cfRule type="cellIs" dxfId="284" priority="157" stopIfTrue="1" operator="lessThanOrEqual">
      <formula>0</formula>
    </cfRule>
  </conditionalFormatting>
  <conditionalFormatting sqref="D96">
    <cfRule type="cellIs" dxfId="283" priority="148" stopIfTrue="1" operator="greaterThan">
      <formula>$F$95</formula>
    </cfRule>
    <cfRule type="cellIs" dxfId="282" priority="149" stopIfTrue="1" operator="lessThanOrEqual">
      <formula>0</formula>
    </cfRule>
  </conditionalFormatting>
  <conditionalFormatting sqref="D84:E93">
    <cfRule type="cellIs" dxfId="281" priority="114" stopIfTrue="1" operator="greaterThan">
      <formula>$F84</formula>
    </cfRule>
  </conditionalFormatting>
  <conditionalFormatting sqref="D93:E93">
    <cfRule type="cellIs" dxfId="280" priority="115" stopIfTrue="1" operator="lessThanOrEqual">
      <formula>0</formula>
    </cfRule>
  </conditionalFormatting>
  <conditionalFormatting sqref="E10:E43">
    <cfRule type="cellIs" dxfId="279" priority="6" operator="lessThan">
      <formula>48</formula>
    </cfRule>
  </conditionalFormatting>
  <conditionalFormatting sqref="E71 E72:F72">
    <cfRule type="cellIs" dxfId="278" priority="153" stopIfTrue="1" operator="greaterThan">
      <formula>100</formula>
    </cfRule>
  </conditionalFormatting>
  <conditionalFormatting sqref="E72">
    <cfRule type="cellIs" dxfId="277" priority="151" stopIfTrue="1" operator="greaterThan">
      <formula>100</formula>
    </cfRule>
    <cfRule type="cellIs" dxfId="276" priority="150" stopIfTrue="1" operator="lessThan">
      <formula>96.8</formula>
    </cfRule>
  </conditionalFormatting>
  <conditionalFormatting sqref="E84:E92">
    <cfRule type="cellIs" dxfId="275" priority="128" stopIfTrue="1" operator="lessThanOrEqual">
      <formula>0</formula>
    </cfRule>
  </conditionalFormatting>
  <conditionalFormatting sqref="E95:E103">
    <cfRule type="cellIs" dxfId="274" priority="143" stopIfTrue="1" operator="lessThanOrEqual">
      <formula>0</formula>
    </cfRule>
    <cfRule type="cellIs" dxfId="273" priority="142" stopIfTrue="1" operator="greaterThan">
      <formula>4.5</formula>
    </cfRule>
  </conditionalFormatting>
  <conditionalFormatting sqref="E72:F72 E71">
    <cfRule type="cellIs" dxfId="272" priority="152" stopIfTrue="1" operator="lessThan">
      <formula>96.5</formula>
    </cfRule>
  </conditionalFormatting>
  <conditionalFormatting sqref="F10:F24">
    <cfRule type="cellIs" dxfId="271" priority="7" operator="greaterThan">
      <formula>60</formula>
    </cfRule>
  </conditionalFormatting>
  <conditionalFormatting sqref="F35:F43">
    <cfRule type="cellIs" dxfId="270" priority="52" operator="greaterThan">
      <formula>60</formula>
    </cfRule>
  </conditionalFormatting>
  <conditionalFormatting sqref="F72">
    <cfRule type="cellIs" dxfId="269" priority="169" stopIfTrue="1" operator="greaterThan">
      <formula>100</formula>
    </cfRule>
    <cfRule type="cellIs" dxfId="268" priority="168" stopIfTrue="1" operator="lessThan">
      <formula>96.8</formula>
    </cfRule>
  </conditionalFormatting>
  <conditionalFormatting sqref="F93">
    <cfRule type="cellIs" dxfId="267" priority="130" stopIfTrue="1" operator="lessThanOrEqual">
      <formula>0</formula>
    </cfRule>
    <cfRule type="cellIs" dxfId="266" priority="129" stopIfTrue="1" operator="greaterThan">
      <formula>$F93</formula>
    </cfRule>
  </conditionalFormatting>
  <conditionalFormatting sqref="F98">
    <cfRule type="cellIs" dxfId="265" priority="83" stopIfTrue="1" operator="greaterThan">
      <formula>$F98</formula>
    </cfRule>
    <cfRule type="cellIs" dxfId="264" priority="84" stopIfTrue="1" operator="lessThanOrEqual">
      <formula>0</formula>
    </cfRule>
  </conditionalFormatting>
  <conditionalFormatting sqref="G20">
    <cfRule type="expression" dxfId="263" priority="8">
      <formula>IF(+(IF(G20&lt;S20,0,IF(G20&gt;T20,0,1)))=0,1)</formula>
    </cfRule>
  </conditionalFormatting>
  <conditionalFormatting sqref="G25:G34">
    <cfRule type="expression" dxfId="262" priority="41">
      <formula>IF(+(IF(G25&lt;S25,0,IF(G25&gt;T25,0,1)))=0,1)</formula>
    </cfRule>
  </conditionalFormatting>
  <conditionalFormatting sqref="G84:G85 C90:C92">
    <cfRule type="cellIs" dxfId="261" priority="136" stopIfTrue="1" operator="lessThanOrEqual">
      <formula>0</formula>
    </cfRule>
    <cfRule type="cellIs" dxfId="260" priority="135" stopIfTrue="1" operator="greaterThan">
      <formula>$F84</formula>
    </cfRule>
  </conditionalFormatting>
  <conditionalFormatting sqref="G84:G85">
    <cfRule type="cellIs" dxfId="259" priority="120" stopIfTrue="1" operator="lessThanOrEqual">
      <formula>0</formula>
    </cfRule>
    <cfRule type="cellIs" dxfId="258" priority="119" stopIfTrue="1" operator="greaterThan">
      <formula>$F84</formula>
    </cfRule>
  </conditionalFormatting>
  <conditionalFormatting sqref="G86">
    <cfRule type="cellIs" dxfId="257" priority="173" stopIfTrue="1" operator="lessThanOrEqual">
      <formula>0</formula>
    </cfRule>
    <cfRule type="cellIs" dxfId="256" priority="172" stopIfTrue="1" operator="greaterThan">
      <formula>$F85</formula>
    </cfRule>
  </conditionalFormatting>
  <conditionalFormatting sqref="G87">
    <cfRule type="cellIs" dxfId="255" priority="132" stopIfTrue="1" operator="lessThanOrEqual">
      <formula>0</formula>
    </cfRule>
    <cfRule type="cellIs" dxfId="254" priority="131" stopIfTrue="1" operator="greaterThan">
      <formula>$F87</formula>
    </cfRule>
  </conditionalFormatting>
  <conditionalFormatting sqref="G88:G92">
    <cfRule type="cellIs" dxfId="253" priority="137" stopIfTrue="1" operator="greaterThan">
      <formula>$J88</formula>
    </cfRule>
    <cfRule type="cellIs" dxfId="252" priority="138" stopIfTrue="1" operator="lessThanOrEqual">
      <formula>0</formula>
    </cfRule>
  </conditionalFormatting>
  <conditionalFormatting sqref="G97:G102 C100 C102">
    <cfRule type="cellIs" dxfId="251" priority="165" stopIfTrue="1" operator="greaterThan">
      <formula>4.5</formula>
    </cfRule>
    <cfRule type="cellIs" dxfId="250" priority="166" stopIfTrue="1" operator="lessThanOrEqual">
      <formula>0</formula>
    </cfRule>
  </conditionalFormatting>
  <conditionalFormatting sqref="G10:H19 G21:H24">
    <cfRule type="expression" dxfId="249" priority="19">
      <formula>IF(+(IF(G10&lt;#REF!,0,IF(G10&gt;#REF!,0,1)))=0,1)</formula>
    </cfRule>
  </conditionalFormatting>
  <conditionalFormatting sqref="G96:H96">
    <cfRule type="cellIs" dxfId="248" priority="147" stopIfTrue="1" operator="lessThanOrEqual">
      <formula>0</formula>
    </cfRule>
    <cfRule type="cellIs" dxfId="247" priority="146" stopIfTrue="1" operator="greaterThan">
      <formula>$F$95</formula>
    </cfRule>
  </conditionalFormatting>
  <conditionalFormatting sqref="H25:H34 G35:H43">
    <cfRule type="expression" dxfId="246" priority="53">
      <formula>IF(+(IF(G25&lt;#REF!,0,IF(G25&gt;#REF!,0,1)))=0,1)</formula>
    </cfRule>
  </conditionalFormatting>
  <conditionalFormatting sqref="H57:H71">
    <cfRule type="cellIs" dxfId="245" priority="144" stopIfTrue="1" operator="greaterThan">
      <formula>0</formula>
    </cfRule>
  </conditionalFormatting>
  <conditionalFormatting sqref="H75">
    <cfRule type="cellIs" dxfId="244" priority="33" stopIfTrue="1" operator="greaterThan">
      <formula>$F$42</formula>
    </cfRule>
    <cfRule type="cellIs" dxfId="243" priority="36" stopIfTrue="1" operator="lessThanOrEqual">
      <formula>0</formula>
    </cfRule>
    <cfRule type="cellIs" dxfId="242" priority="35" stopIfTrue="1" operator="greaterThan">
      <formula>$F$40</formula>
    </cfRule>
    <cfRule type="cellIs" dxfId="241" priority="25" stopIfTrue="1" operator="greaterThan">
      <formula>$F$39</formula>
    </cfRule>
    <cfRule type="cellIs" dxfId="240" priority="24" stopIfTrue="1" operator="lessThanOrEqual">
      <formula>0</formula>
    </cfRule>
    <cfRule type="cellIs" dxfId="239" priority="34" stopIfTrue="1" operator="lessThanOrEqual">
      <formula>0</formula>
    </cfRule>
  </conditionalFormatting>
  <conditionalFormatting sqref="H76">
    <cfRule type="cellIs" dxfId="238" priority="81" stopIfTrue="1" operator="greaterThan">
      <formula>$F$42</formula>
    </cfRule>
    <cfRule type="cellIs" dxfId="237" priority="82" stopIfTrue="1" operator="lessThanOrEqual">
      <formula>0</formula>
    </cfRule>
    <cfRule type="cellIs" dxfId="236" priority="70" stopIfTrue="1" operator="lessThanOrEqual">
      <formula>0</formula>
    </cfRule>
    <cfRule type="cellIs" dxfId="235" priority="71" stopIfTrue="1" operator="greaterThan">
      <formula>$F$41</formula>
    </cfRule>
    <cfRule type="cellIs" dxfId="234" priority="79" stopIfTrue="1" operator="greaterThan">
      <formula>$F$44</formula>
    </cfRule>
    <cfRule type="cellIs" dxfId="233" priority="80" stopIfTrue="1" operator="lessThanOrEqual">
      <formula>0</formula>
    </cfRule>
  </conditionalFormatting>
  <conditionalFormatting sqref="H77:H79">
    <cfRule type="cellIs" dxfId="232" priority="56" stopIfTrue="1" operator="lessThanOrEqual">
      <formula>0</formula>
    </cfRule>
    <cfRule type="cellIs" dxfId="231" priority="65" stopIfTrue="1" operator="greaterThan">
      <formula>$F$43</formula>
    </cfRule>
    <cfRule type="cellIs" dxfId="230" priority="66" stopIfTrue="1" operator="lessThanOrEqual">
      <formula>0</formula>
    </cfRule>
    <cfRule type="cellIs" dxfId="229" priority="67" stopIfTrue="1" operator="greaterThan">
      <formula>$F$41</formula>
    </cfRule>
    <cfRule type="cellIs" dxfId="228" priority="68" stopIfTrue="1" operator="lessThanOrEqual">
      <formula>0</formula>
    </cfRule>
    <cfRule type="cellIs" dxfId="227" priority="57" stopIfTrue="1" operator="greaterThan">
      <formula>$F$40</formula>
    </cfRule>
  </conditionalFormatting>
  <conditionalFormatting sqref="H80">
    <cfRule type="cellIs" dxfId="226" priority="89" stopIfTrue="1" operator="greaterThan">
      <formula>$F$56</formula>
    </cfRule>
    <cfRule type="cellIs" dxfId="225" priority="88" stopIfTrue="1" operator="lessThanOrEqual">
      <formula>0</formula>
    </cfRule>
    <cfRule type="cellIs" dxfId="224" priority="99" stopIfTrue="1" operator="greaterThan">
      <formula>$F$57</formula>
    </cfRule>
    <cfRule type="cellIs" dxfId="223" priority="98" stopIfTrue="1" operator="lessThanOrEqual">
      <formula>0</formula>
    </cfRule>
    <cfRule type="cellIs" dxfId="222" priority="97" stopIfTrue="1" operator="greaterThan">
      <formula>$F$59</formula>
    </cfRule>
    <cfRule type="cellIs" dxfId="221" priority="100" stopIfTrue="1" operator="lessThanOrEqual">
      <formula>0</formula>
    </cfRule>
  </conditionalFormatting>
  <conditionalFormatting sqref="H84:H91">
    <cfRule type="cellIs" dxfId="220" priority="121" stopIfTrue="1" operator="greaterThan">
      <formula>$J84</formula>
    </cfRule>
    <cfRule type="cellIs" dxfId="219" priority="122" stopIfTrue="1" operator="lessThanOrEqual">
      <formula>0</formula>
    </cfRule>
  </conditionalFormatting>
  <conditionalFormatting sqref="H92">
    <cfRule type="cellIs" dxfId="218" priority="125" operator="greaterThan">
      <formula>5.3</formula>
    </cfRule>
  </conditionalFormatting>
  <conditionalFormatting sqref="H95 H97:H103">
    <cfRule type="cellIs" dxfId="217" priority="159" stopIfTrue="1" operator="lessThanOrEqual">
      <formula>0</formula>
    </cfRule>
    <cfRule type="cellIs" dxfId="216" priority="158" stopIfTrue="1" operator="greaterThan">
      <formula>4.5</formula>
    </cfRule>
  </conditionalFormatting>
  <conditionalFormatting sqref="H75:I75">
    <cfRule type="cellIs" dxfId="215" priority="23" stopIfTrue="1" operator="greaterThan">
      <formula>$F$41</formula>
    </cfRule>
    <cfRule type="cellIs" dxfId="214" priority="26" stopIfTrue="1" operator="lessThanOrEqual">
      <formula>0</formula>
    </cfRule>
  </conditionalFormatting>
  <conditionalFormatting sqref="H76:I76">
    <cfRule type="cellIs" dxfId="213" priority="69" stopIfTrue="1" operator="greaterThan">
      <formula>$F$43</formula>
    </cfRule>
    <cfRule type="cellIs" dxfId="212" priority="72" stopIfTrue="1" operator="lessThanOrEqual">
      <formula>0</formula>
    </cfRule>
  </conditionalFormatting>
  <conditionalFormatting sqref="H77:I79">
    <cfRule type="cellIs" dxfId="211" priority="55" stopIfTrue="1" operator="greaterThan">
      <formula>$F$42</formula>
    </cfRule>
    <cfRule type="cellIs" dxfId="210" priority="58" stopIfTrue="1" operator="lessThanOrEqual">
      <formula>0</formula>
    </cfRule>
  </conditionalFormatting>
  <conditionalFormatting sqref="H80:I80">
    <cfRule type="cellIs" dxfId="209" priority="90" stopIfTrue="1" operator="lessThanOrEqual">
      <formula>0</formula>
    </cfRule>
    <cfRule type="cellIs" dxfId="208" priority="87" stopIfTrue="1" operator="greaterThan">
      <formula>$F$58</formula>
    </cfRule>
  </conditionalFormatting>
  <conditionalFormatting sqref="H93:I93">
    <cfRule type="cellIs" dxfId="207" priority="113" stopIfTrue="1" operator="lessThanOrEqual">
      <formula>0</formula>
    </cfRule>
    <cfRule type="cellIs" dxfId="206" priority="112" stopIfTrue="1" operator="greaterThan">
      <formula>$J93</formula>
    </cfRule>
  </conditionalFormatting>
  <conditionalFormatting sqref="I75">
    <cfRule type="cellIs" dxfId="205" priority="28" stopIfTrue="1" operator="lessThanOrEqual">
      <formula>0</formula>
    </cfRule>
    <cfRule type="cellIs" dxfId="204" priority="27" stopIfTrue="1" operator="greaterThan">
      <formula>$F$39</formula>
    </cfRule>
    <cfRule type="cellIs" dxfId="203" priority="29" stopIfTrue="1" operator="greaterThan">
      <formula>$F$41</formula>
    </cfRule>
    <cfRule type="cellIs" dxfId="202" priority="32" stopIfTrue="1" operator="lessThanOrEqual">
      <formula>0</formula>
    </cfRule>
    <cfRule type="cellIs" dxfId="201" priority="31" stopIfTrue="1" operator="greaterThan">
      <formula>$F$39</formula>
    </cfRule>
    <cfRule type="cellIs" dxfId="200" priority="30" stopIfTrue="1" operator="lessThanOrEqual">
      <formula>0</formula>
    </cfRule>
  </conditionalFormatting>
  <conditionalFormatting sqref="I76">
    <cfRule type="cellIs" dxfId="199" priority="76" stopIfTrue="1" operator="lessThanOrEqual">
      <formula>0</formula>
    </cfRule>
    <cfRule type="cellIs" dxfId="198" priority="77" stopIfTrue="1" operator="greaterThan">
      <formula>$F$41</formula>
    </cfRule>
    <cfRule type="cellIs" dxfId="197" priority="78" stopIfTrue="1" operator="lessThanOrEqual">
      <formula>0</formula>
    </cfRule>
    <cfRule type="cellIs" dxfId="196" priority="74" stopIfTrue="1" operator="lessThanOrEqual">
      <formula>0</formula>
    </cfRule>
    <cfRule type="cellIs" dxfId="195" priority="73" stopIfTrue="1" operator="greaterThan">
      <formula>$F$41</formula>
    </cfRule>
    <cfRule type="cellIs" dxfId="194" priority="75" stopIfTrue="1" operator="greaterThan">
      <formula>$F$43</formula>
    </cfRule>
  </conditionalFormatting>
  <conditionalFormatting sqref="I77:I79">
    <cfRule type="cellIs" dxfId="193" priority="61" stopIfTrue="1" operator="greaterThan">
      <formula>$F$42</formula>
    </cfRule>
    <cfRule type="cellIs" dxfId="192" priority="59" stopIfTrue="1" operator="greaterThan">
      <formula>$F$40</formula>
    </cfRule>
    <cfRule type="cellIs" dxfId="191" priority="60" stopIfTrue="1" operator="lessThanOrEqual">
      <formula>0</formula>
    </cfRule>
    <cfRule type="cellIs" dxfId="190" priority="62" stopIfTrue="1" operator="lessThanOrEqual">
      <formula>0</formula>
    </cfRule>
    <cfRule type="cellIs" dxfId="189" priority="64" stopIfTrue="1" operator="lessThanOrEqual">
      <formula>0</formula>
    </cfRule>
    <cfRule type="cellIs" dxfId="188" priority="63" stopIfTrue="1" operator="greaterThan">
      <formula>$F$40</formula>
    </cfRule>
  </conditionalFormatting>
  <conditionalFormatting sqref="I80">
    <cfRule type="cellIs" dxfId="187" priority="93" stopIfTrue="1" operator="greaterThan">
      <formula>$F$58</formula>
    </cfRule>
    <cfRule type="cellIs" dxfId="186" priority="94" stopIfTrue="1" operator="lessThanOrEqual">
      <formula>0</formula>
    </cfRule>
    <cfRule type="cellIs" dxfId="185" priority="96" stopIfTrue="1" operator="lessThanOrEqual">
      <formula>0</formula>
    </cfRule>
    <cfRule type="cellIs" dxfId="184" priority="95" stopIfTrue="1" operator="greaterThan">
      <formula>$F$56</formula>
    </cfRule>
    <cfRule type="cellIs" dxfId="183" priority="91" stopIfTrue="1" operator="greaterThan">
      <formula>$F$56</formula>
    </cfRule>
    <cfRule type="cellIs" dxfId="182" priority="92" stopIfTrue="1" operator="lessThanOrEqual">
      <formula>0</formula>
    </cfRule>
  </conditionalFormatting>
  <conditionalFormatting sqref="I84:I92">
    <cfRule type="cellIs" dxfId="181" priority="126" stopIfTrue="1" operator="greaterThan">
      <formula>$J84</formula>
    </cfRule>
    <cfRule type="cellIs" dxfId="180" priority="127" stopIfTrue="1" operator="lessThanOrEqual">
      <formula>0</formula>
    </cfRule>
  </conditionalFormatting>
  <conditionalFormatting sqref="I95:I103">
    <cfRule type="cellIs" dxfId="179" priority="154" stopIfTrue="1" operator="greaterThan">
      <formula>4.5</formula>
    </cfRule>
    <cfRule type="cellIs" dxfId="178" priority="155" stopIfTrue="1" operator="lessThanOrEqual">
      <formula>0</formula>
    </cfRule>
  </conditionalFormatting>
  <conditionalFormatting sqref="I10:J43">
    <cfRule type="cellIs" dxfId="177" priority="11" operator="lessThan">
      <formula>97.9</formula>
    </cfRule>
  </conditionalFormatting>
  <conditionalFormatting sqref="J46:J48">
    <cfRule type="cellIs" dxfId="176" priority="104" operator="lessThan">
      <formula>98</formula>
    </cfRule>
    <cfRule type="cellIs" dxfId="175" priority="103" stopIfTrue="1" operator="greaterThan">
      <formula>100</formula>
    </cfRule>
    <cfRule type="cellIs" dxfId="174" priority="102" stopIfTrue="1" operator="lessThan">
      <formula>96.8</formula>
    </cfRule>
  </conditionalFormatting>
  <conditionalFormatting sqref="J46:J50">
    <cfRule type="cellIs" dxfId="173" priority="101" operator="lessThan">
      <formula>97.4</formula>
    </cfRule>
  </conditionalFormatting>
  <conditionalFormatting sqref="J51">
    <cfRule type="cellIs" dxfId="172" priority="105" operator="lessThan">
      <formula>98</formula>
    </cfRule>
  </conditionalFormatting>
  <conditionalFormatting sqref="J53:J54">
    <cfRule type="cellIs" dxfId="171" priority="106" stopIfTrue="1" operator="lessThan">
      <formula>96.8</formula>
    </cfRule>
    <cfRule type="cellIs" dxfId="170" priority="107" stopIfTrue="1" operator="greaterThan">
      <formula>100</formula>
    </cfRule>
  </conditionalFormatting>
  <conditionalFormatting sqref="J53:J55">
    <cfRule type="cellIs" dxfId="169" priority="108" operator="lessThan">
      <formula>98</formula>
    </cfRule>
  </conditionalFormatting>
  <conditionalFormatting sqref="J93">
    <cfRule type="cellIs" dxfId="168" priority="110" stopIfTrue="1" operator="lessThanOrEqual">
      <formula>0</formula>
    </cfRule>
    <cfRule type="cellIs" dxfId="167" priority="109" stopIfTrue="1" operator="greaterThan">
      <formula>$F93</formula>
    </cfRule>
  </conditionalFormatting>
  <conditionalFormatting sqref="K10:K43">
    <cfRule type="cellIs" dxfId="166" priority="1" operator="greaterThan">
      <formula>6</formula>
    </cfRule>
    <cfRule type="cellIs" dxfId="165" priority="2" operator="lessThan">
      <formula>4</formula>
    </cfRule>
    <cfRule type="cellIs" dxfId="164" priority="5" operator="greaterThan">
      <formula>6.4</formula>
    </cfRule>
  </conditionalFormatting>
  <conditionalFormatting sqref="K75:K80">
    <cfRule type="cellIs" dxfId="163" priority="85" stopIfTrue="1" operator="lessThan">
      <formula>100%</formula>
    </cfRule>
  </conditionalFormatting>
  <conditionalFormatting sqref="K95:K100">
    <cfRule type="cellIs" dxfId="162" priority="160" stopIfTrue="1" operator="lessThan">
      <formula>100%</formula>
    </cfRule>
  </conditionalFormatting>
  <conditionalFormatting sqref="K102:K103">
    <cfRule type="cellIs" dxfId="161" priority="167" stopIfTrue="1" operator="lessThan">
      <formula>100%</formula>
    </cfRule>
  </conditionalFormatting>
  <conditionalFormatting sqref="K84:N92">
    <cfRule type="cellIs" dxfId="160" priority="54" stopIfTrue="1" operator="lessThan">
      <formula>100%</formula>
    </cfRule>
  </conditionalFormatting>
  <conditionalFormatting sqref="L10:L43">
    <cfRule type="cellIs" dxfId="159" priority="4" operator="greaterThan">
      <formula>65</formula>
    </cfRule>
    <cfRule type="cellIs" dxfId="158" priority="3" operator="between">
      <formula>61</formula>
      <formula>65</formula>
    </cfRule>
  </conditionalFormatting>
  <conditionalFormatting sqref="L46:M57">
    <cfRule type="cellIs" dxfId="157" priority="116" operator="lessThan">
      <formula>98</formula>
    </cfRule>
  </conditionalFormatting>
  <conditionalFormatting sqref="L61:N61">
    <cfRule type="cellIs" dxfId="156" priority="86" operator="notEqual">
      <formula>#REF!</formula>
    </cfRule>
  </conditionalFormatting>
  <conditionalFormatting sqref="L93:N93">
    <cfRule type="cellIs" dxfId="155" priority="111" stopIfTrue="1" operator="lessThan">
      <formula>100%</formula>
    </cfRule>
  </conditionalFormatting>
  <conditionalFormatting sqref="L95:N103">
    <cfRule type="cellIs" dxfId="154" priority="145" stopIfTrue="1" operator="lessThan">
      <formula>100%</formula>
    </cfRule>
  </conditionalFormatting>
  <conditionalFormatting sqref="M10:M43">
    <cfRule type="expression" dxfId="153" priority="10">
      <formula>IF(+(IF(M10&lt;U10,0,IF(M10&gt;V10,0,1)))=0,1)</formula>
    </cfRule>
  </conditionalFormatting>
  <conditionalFormatting sqref="N10:N43">
    <cfRule type="expression" dxfId="152" priority="9">
      <formula>IF(+(IF(N10&lt;W10,0,IF(N10&gt;X10,0,1)))=0,1)</formula>
    </cfRule>
  </conditionalFormatting>
  <conditionalFormatting sqref="P6">
    <cfRule type="cellIs" dxfId="151" priority="141" operator="greaterThanOrEqual">
      <formula>19</formula>
    </cfRule>
  </conditionalFormatting>
  <dataValidations count="1">
    <dataValidation type="list" allowBlank="1" showInputMessage="1" showErrorMessage="1" sqref="R8" xr:uid="{0935CD1E-1832-4A10-9878-44C2433F40C6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9161-A7BF-4136-8B58-901915725B44}">
  <sheetPr>
    <pageSetUpPr fitToPage="1"/>
  </sheetPr>
  <dimension ref="A1:BE86"/>
  <sheetViews>
    <sheetView tabSelected="1" topLeftCell="A4" zoomScale="70" zoomScaleNormal="70" workbookViewId="0">
      <selection activeCell="G32" sqref="G32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42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3" t="s">
        <v>0</v>
      </c>
      <c r="T1" s="543"/>
      <c r="U1" s="543" t="s">
        <v>1</v>
      </c>
      <c r="V1" s="543"/>
      <c r="W1" s="543" t="s">
        <v>2</v>
      </c>
      <c r="X1" s="543"/>
      <c r="Y1" s="543" t="s">
        <v>124</v>
      </c>
      <c r="Z1" s="543"/>
    </row>
    <row r="2" spans="2:29" ht="14.4">
      <c r="B2" s="544" t="s">
        <v>3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0">
        <v>45867</v>
      </c>
      <c r="J4" s="398" t="s">
        <v>199</v>
      </c>
      <c r="K4" s="398"/>
      <c r="L4" s="11"/>
      <c r="M4" s="565" t="s">
        <v>8</v>
      </c>
      <c r="N4" s="56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62"/>
      <c r="D5" s="56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502" t="s">
        <v>17</v>
      </c>
      <c r="C8" s="512" t="s">
        <v>18</v>
      </c>
      <c r="D8" s="512" t="s">
        <v>19</v>
      </c>
      <c r="E8" s="356" t="s">
        <v>20</v>
      </c>
      <c r="F8" s="356" t="s">
        <v>21</v>
      </c>
      <c r="G8" s="512" t="s">
        <v>22</v>
      </c>
      <c r="H8" s="553" t="s">
        <v>144</v>
      </c>
      <c r="I8" s="512" t="s">
        <v>200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06" t="s">
        <v>155</v>
      </c>
      <c r="P8" s="567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51"/>
      <c r="C9" s="552"/>
      <c r="D9" s="552"/>
      <c r="E9" s="357" t="s">
        <v>30</v>
      </c>
      <c r="F9" s="357" t="s">
        <v>31</v>
      </c>
      <c r="G9" s="552"/>
      <c r="H9" s="554"/>
      <c r="I9" s="552"/>
      <c r="J9" s="556"/>
      <c r="K9" s="558"/>
      <c r="L9" s="560"/>
      <c r="M9" s="20" t="s">
        <v>32</v>
      </c>
      <c r="N9" s="21" t="s">
        <v>41</v>
      </c>
      <c r="O9" s="568"/>
      <c r="P9" s="567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19"/>
      <c r="R10" s="277">
        <f t="shared" ref="R10:R33" si="0">B10</f>
        <v>0</v>
      </c>
      <c r="S10" s="296" t="e">
        <f t="shared" ref="S10:S33" si="1">VLOOKUP($B10,$R$3:$X$9,2,FALSE)</f>
        <v>#N/A</v>
      </c>
      <c r="T10" s="296" t="e">
        <f t="shared" ref="T10:T33" si="2">VLOOKUP($B10,$R$3:$X$9,3,FALSE)</f>
        <v>#N/A</v>
      </c>
      <c r="U10" s="297" t="e">
        <f t="shared" ref="U10:U33" si="3">VLOOKUP($B10,$R$3:$X$9,4,FALSE)</f>
        <v>#N/A</v>
      </c>
      <c r="V10" s="297" t="e">
        <f t="shared" ref="V10:V33" si="4">VLOOKUP($B10,$R$3:$X$9,5,FALSE)</f>
        <v>#N/A</v>
      </c>
      <c r="W10" s="297" t="e">
        <f t="shared" ref="W10:W33" si="5">VLOOKUP($B10,$R$3:$X$9,6,FALSE)</f>
        <v>#N/A</v>
      </c>
      <c r="X10" s="297" t="e">
        <f t="shared" ref="X10:X33" si="6">VLOOKUP($B10,$R$3:$X$9,7,FALSE)</f>
        <v>#N/A</v>
      </c>
      <c r="Y10" s="297" t="e">
        <f t="shared" ref="Y10:Y33" si="7">VLOOKUP($B10,$R$3:$Z$9,8,FALSE)</f>
        <v>#N/A</v>
      </c>
      <c r="Z10" s="296" t="e">
        <f t="shared" ref="Z10:Z33" si="8">VLOOKUP($B10,$R$3:$Z$9,9,FALSE)</f>
        <v>#N/A</v>
      </c>
    </row>
    <row r="11" spans="2:29" ht="15.75" hidden="1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41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6" customHeight="1">
      <c r="B12" s="36" t="s">
        <v>15</v>
      </c>
      <c r="C12" s="366" t="str">
        <f>[27]Brewhouse!$A24</f>
        <v>MK018</v>
      </c>
      <c r="D12" s="279">
        <f>[27]Brewhouse!$AF24</f>
        <v>52.4</v>
      </c>
      <c r="E12" s="279">
        <f>[27]Brewhouse!$AI24</f>
        <v>50</v>
      </c>
      <c r="F12" s="278">
        <f>[27]Brewhouse!$X24</f>
        <v>48</v>
      </c>
      <c r="G12" s="279">
        <f>[27]Brewhouse!$AG24</f>
        <v>13.3</v>
      </c>
      <c r="H12" s="396">
        <v>13.3</v>
      </c>
      <c r="I12" s="427">
        <f>[27]Brewhouse!$AT24</f>
        <v>94.696938929233326</v>
      </c>
      <c r="J12" s="427">
        <f>[27]Brewhouse!$AU24</f>
        <v>95.12130379963034</v>
      </c>
      <c r="K12" s="436">
        <f>[27]Brewhouse!$S24</f>
        <v>11.723389830508477</v>
      </c>
      <c r="L12" s="276">
        <f>[27]Brewhouse!$R24</f>
        <v>74</v>
      </c>
      <c r="M12" s="374">
        <f>[27]Brewhouse!$W24-[27]Brewhouse!$V24</f>
        <v>0.11736111111111125</v>
      </c>
      <c r="N12" s="370">
        <f>[27]Brewhouse!$AA24</f>
        <v>0.3173611111111112</v>
      </c>
      <c r="O12" s="428" t="str">
        <f>[27]Brewhouse!$AX24</f>
        <v>D. Gomez</v>
      </c>
      <c r="P12" s="419" t="s">
        <v>203</v>
      </c>
      <c r="R12" s="277" t="str">
        <f t="shared" si="0"/>
        <v>MACKESON</v>
      </c>
      <c r="S12" s="296">
        <f t="shared" si="1"/>
        <v>13.3</v>
      </c>
      <c r="T12" s="296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296">
        <f t="shared" si="8"/>
        <v>0</v>
      </c>
    </row>
    <row r="13" spans="2:29" ht="15.75" customHeight="1">
      <c r="B13" s="36" t="s">
        <v>15</v>
      </c>
      <c r="C13" s="366" t="str">
        <f>[27]Brewhouse!$A25</f>
        <v>MK019</v>
      </c>
      <c r="D13" s="279">
        <f>[27]Brewhouse!$AF25</f>
        <v>52.6</v>
      </c>
      <c r="E13" s="279">
        <f>[27]Brewhouse!$AI25</f>
        <v>49.9</v>
      </c>
      <c r="F13" s="278">
        <f>[27]Brewhouse!$X25</f>
        <v>49</v>
      </c>
      <c r="G13" s="279">
        <f>[27]Brewhouse!$AG25</f>
        <v>13.5</v>
      </c>
      <c r="H13" s="396">
        <v>13.8</v>
      </c>
      <c r="I13" s="427">
        <f>[27]Brewhouse!$AT25</f>
        <v>95.993725173698138</v>
      </c>
      <c r="J13" s="427">
        <f>[27]Brewhouse!$AU25</f>
        <v>96.423901325143802</v>
      </c>
      <c r="K13" s="436">
        <f>[27]Brewhouse!$S25</f>
        <v>10.166323024054986</v>
      </c>
      <c r="L13" s="276">
        <f>[27]Brewhouse!$R25</f>
        <v>74</v>
      </c>
      <c r="M13" s="374">
        <f>[27]Brewhouse!$W25-[27]Brewhouse!$V25</f>
        <v>0.12083333333333335</v>
      </c>
      <c r="N13" s="370">
        <f>[27]Brewhouse!$AA25</f>
        <v>0.31944444444444442</v>
      </c>
      <c r="O13" s="428" t="str">
        <f>[27]Brewhouse!$AX25</f>
        <v>K.Benjamin</v>
      </c>
      <c r="P13" s="419"/>
      <c r="R13" s="277" t="str">
        <f t="shared" si="0"/>
        <v>MACKESON</v>
      </c>
      <c r="S13" s="296">
        <f t="shared" si="1"/>
        <v>13.3</v>
      </c>
      <c r="T13" s="296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296">
        <f t="shared" si="8"/>
        <v>0</v>
      </c>
    </row>
    <row r="14" spans="2:29" ht="15.6" customHeight="1">
      <c r="B14" s="36" t="s">
        <v>15</v>
      </c>
      <c r="C14" s="366" t="str">
        <f>[27]Brewhouse!$A26</f>
        <v>MK020</v>
      </c>
      <c r="D14" s="279">
        <f>[27]Brewhouse!$AF26</f>
        <v>49.9</v>
      </c>
      <c r="E14" s="279">
        <f>[27]Brewhouse!$AI26</f>
        <v>47.9</v>
      </c>
      <c r="F14" s="278">
        <f>[27]Brewhouse!$X26</f>
        <v>46</v>
      </c>
      <c r="G14" s="279">
        <f>[27]Brewhouse!$AG26</f>
        <v>13.4</v>
      </c>
      <c r="H14" s="396">
        <v>13.3</v>
      </c>
      <c r="I14" s="427">
        <f>[27]Brewhouse!$AT26</f>
        <v>91.626266310300238</v>
      </c>
      <c r="J14" s="427">
        <f>[27]Brewhouse!$AU26</f>
        <v>92.03670402879807</v>
      </c>
      <c r="K14" s="436">
        <f>[27]Brewhouse!$S26</f>
        <v>12.086524822695036</v>
      </c>
      <c r="L14" s="276">
        <f>[27]Brewhouse!$R26</f>
        <v>75</v>
      </c>
      <c r="M14" s="374">
        <f>[27]Brewhouse!$W26-[27]Brewhouse!$V26</f>
        <v>0.11875000000000002</v>
      </c>
      <c r="N14" s="370">
        <f>[27]Brewhouse!$AA26</f>
        <v>0.30277777777777781</v>
      </c>
      <c r="O14" s="428" t="str">
        <f>[27]Brewhouse!$AX26</f>
        <v>K.Benjamin</v>
      </c>
      <c r="P14" s="419" t="s">
        <v>204</v>
      </c>
      <c r="R14" s="277" t="str">
        <f t="shared" si="0"/>
        <v>MACKESON</v>
      </c>
      <c r="S14" s="296">
        <f t="shared" si="1"/>
        <v>13.3</v>
      </c>
      <c r="T14" s="296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296">
        <f t="shared" si="8"/>
        <v>0</v>
      </c>
    </row>
    <row r="15" spans="2:29" ht="15.7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9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9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29" t="s">
        <v>6</v>
      </c>
      <c r="C17" s="366" t="str">
        <f>[23]Brewhouse!$A652</f>
        <v>CA545</v>
      </c>
      <c r="D17" s="279">
        <f>[23]Brewhouse!$AF652</f>
        <v>50.1</v>
      </c>
      <c r="E17" s="279">
        <f>[23]Brewhouse!$AI652</f>
        <v>48.3</v>
      </c>
      <c r="F17" s="278">
        <f>[23]Brewhouse!$V652</f>
        <v>58</v>
      </c>
      <c r="G17" s="279">
        <f>[23]Brewhouse!$AG652</f>
        <v>11.6</v>
      </c>
      <c r="H17" s="396">
        <v>11.7</v>
      </c>
      <c r="I17" s="368">
        <f>[23]Brewhouse!$AU652</f>
        <v>96.445959569089808</v>
      </c>
      <c r="J17" s="368">
        <f>[23]Brewhouse!$AV652</f>
        <v>96.938551653028526</v>
      </c>
      <c r="K17" s="281">
        <f>[23]Brewhouse!$Q652</f>
        <v>10.866425992779776</v>
      </c>
      <c r="L17" s="276">
        <f>[23]Brewhouse!$P652</f>
        <v>59</v>
      </c>
      <c r="M17" s="397">
        <f>[23]Brewhouse!$U652-[23]Brewhouse!$T652</f>
        <v>0.15972222222222221</v>
      </c>
      <c r="N17" s="370">
        <f>[23]Brewhouse!$Z652</f>
        <v>0.31597222222222221</v>
      </c>
      <c r="O17" s="371" t="str">
        <f>[23]Brewhouse!$AX652</f>
        <v>K.Benjamin</v>
      </c>
      <c r="P17" s="419" t="s">
        <v>205</v>
      </c>
      <c r="R17" s="277" t="str">
        <f t="shared" ref="R17" si="9">B17</f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4.4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9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9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9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6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9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9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9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9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9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9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9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9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9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9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32"/>
      <c r="J32" s="532"/>
      <c r="K32" s="532"/>
      <c r="L32" s="532"/>
      <c r="M32" s="532"/>
      <c r="N32" s="532"/>
      <c r="O32" s="1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" thickBot="1">
      <c r="B33" s="388" t="s">
        <v>163</v>
      </c>
      <c r="C33" s="388"/>
      <c r="D33" s="545" t="s">
        <v>35</v>
      </c>
      <c r="E33" s="546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customHeight="1">
      <c r="A34" s="28"/>
      <c r="B34" s="603" t="str">
        <f>I40</f>
        <v>STARMALT</v>
      </c>
      <c r="C34" s="362">
        <f>[22]Process!D67</f>
        <v>17.5</v>
      </c>
      <c r="D34" s="536">
        <v>17.07</v>
      </c>
      <c r="E34" s="525"/>
      <c r="F34" s="294"/>
      <c r="G34" s="294"/>
      <c r="H34" s="348"/>
      <c r="I34" s="29" t="s">
        <v>6</v>
      </c>
      <c r="J34" s="280">
        <f>AVERAGE(I17)</f>
        <v>96.445959569089808</v>
      </c>
      <c r="K34" s="284">
        <f>COUNTA([23]Brewhouse!$A$580:$A$653)</f>
        <v>74</v>
      </c>
      <c r="L34" s="305">
        <f>AVERAGE([23]Brewhouse!$AU$580:$AU$653)</f>
        <v>97.375276346945157</v>
      </c>
      <c r="M34" s="302">
        <f>AVERAGE([23]Brewhouse!$AU$102:$AU$171,[23]Brewhouse!$AU$173:$AU$253,[23]Brewhouse!$AU$255:$AU$339,[23]Brewhouse!$AU$341:$AU$346,[23]Brewhouse!$AU$348,[23]Brewhouse!$AU$349:$AU$406,[23]Brewhouse!$AU$408:$AU$491,[23]Brewhouse!$AU$493:$AU$578,[23]Brewhouse!$AU$580:$AU$652)</f>
        <v>97.878593523053169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604"/>
      <c r="C35" s="362">
        <f>[22]Process!D68</f>
        <v>17.2</v>
      </c>
      <c r="D35" s="537"/>
      <c r="E35" s="520"/>
      <c r="F35" s="294"/>
      <c r="G35" s="294"/>
      <c r="H35" s="348"/>
      <c r="I35" s="33" t="s">
        <v>9</v>
      </c>
      <c r="J35" s="280"/>
      <c r="K35" s="284">
        <f>COUNTA([24]Brewhouse!$A$275:$A$322)</f>
        <v>48</v>
      </c>
      <c r="L35" s="302">
        <f>AVERAGE([24]Brewhouse!$AS$275:$AS$322)</f>
        <v>99.07097576046101</v>
      </c>
      <c r="M35" s="302">
        <f>AVERAGE([24]Brewhouse!$AS$15:$AS$64,[24]Brewhouse!$AS$66:$AS$103,[24]Brewhouse!$AS$105:$AS$140,[24]Brewhouse!$AS$142:$AS$193,[24]Brewhouse!$AS$195:$AS$240,[24]Brewhouse!$AS$242:$AS$273,[24]Brewhouse!$AS$275:$AS$322)</f>
        <v>98.066148200582248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7" customHeight="1">
      <c r="A36" s="28"/>
      <c r="B36" s="604"/>
      <c r="C36" s="362">
        <f>[22]Process!D69</f>
        <v>17.8</v>
      </c>
      <c r="D36" s="536">
        <v>17.190000000000001</v>
      </c>
      <c r="E36" s="525"/>
      <c r="F36" s="294"/>
      <c r="G36" s="294"/>
      <c r="H36" s="348"/>
      <c r="I36" s="34" t="s">
        <v>12</v>
      </c>
      <c r="J36" s="280"/>
      <c r="K36" s="284">
        <f>COUNTA([25]Brewhouse!$A$64:$A$79)</f>
        <v>16</v>
      </c>
      <c r="L36" s="302">
        <f>AVERAGE([25]Brewhouse!$AU$64:$AU$79)</f>
        <v>96.467346973315216</v>
      </c>
      <c r="M36" s="302">
        <f>AVERAGE([25]Brewhouse!$AU$4:$AU$7,[25]Brewhouse!$AU$9:$AU$22,[25]Brewhouse!$AU$24:$AU$35,[25]Brewhouse!$AU$37:$AU$45,[25]Brewhouse!$AU$47:$AU$62,[25]Brewhouse!$AU$64:$AU$79)</f>
        <v>97.0189196363294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7" customHeight="1">
      <c r="A37" s="28"/>
      <c r="B37" s="604"/>
      <c r="C37" s="362">
        <f>[22]Process!D70</f>
        <v>17</v>
      </c>
      <c r="D37" s="537"/>
      <c r="E37" s="520"/>
      <c r="F37" s="294"/>
      <c r="G37" s="294"/>
      <c r="H37" s="348"/>
      <c r="I37" s="22" t="s">
        <v>33</v>
      </c>
      <c r="J37" s="280"/>
      <c r="K37" s="284">
        <f>COUNTA([26]Brewhouse!$A$55:$A$62)</f>
        <v>8</v>
      </c>
      <c r="L37" s="302">
        <f>AVERAGE([26]Brewhouse!$AV$55:$AV$62)</f>
        <v>99.616385552827751</v>
      </c>
      <c r="M37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604"/>
      <c r="C38" s="362">
        <f>[22]Process!D71</f>
        <v>16.600000000000001</v>
      </c>
      <c r="D38" s="536"/>
      <c r="E38" s="525"/>
      <c r="F38" s="418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604"/>
      <c r="C39" s="362">
        <f>[22]Process!D72</f>
        <v>16.5</v>
      </c>
      <c r="D39" s="537"/>
      <c r="E39" s="520"/>
      <c r="F39" s="418"/>
      <c r="G39" s="294"/>
      <c r="H39" s="348"/>
      <c r="I39" s="36" t="s">
        <v>15</v>
      </c>
      <c r="J39" s="323">
        <f>AVERAGE(I12:I14)</f>
        <v>94.105643471077244</v>
      </c>
      <c r="K39" s="284">
        <f>COUNTA([27]Brewhouse!$A$23:$A$26)</f>
        <v>4</v>
      </c>
      <c r="L39" s="302">
        <f>AVERAGE([27]Brewhouse!$AT$23:$AT$26)</f>
        <v>93.473640883497637</v>
      </c>
      <c r="M39" s="302">
        <f>AVERAGE([27]Brewhouse!$AT$4:$AT$11,[27]Brewhouse!$AT$13:$AT$16,[27]Brewhouse!$AT$18:$AT$21,[27]Brewhouse!$AT$26)</f>
        <v>94.588057846623641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604"/>
      <c r="C40" s="349"/>
      <c r="D40" s="536"/>
      <c r="E40" s="525"/>
      <c r="F40" s="418"/>
      <c r="G40" s="294"/>
      <c r="H40" s="348"/>
      <c r="I40" s="37" t="s">
        <v>16</v>
      </c>
      <c r="J40" s="323"/>
      <c r="K40" s="284">
        <f>COUNTA([22]Brewhouse!$A$56:$A$73)</f>
        <v>18</v>
      </c>
      <c r="L40" s="302">
        <f>AVERAGE([22]Brewhouse!$AY$56:$AY$73)</f>
        <v>99.032920980364963</v>
      </c>
      <c r="M40" s="302">
        <f>AVERAGE([22]Brewhouse!$AY$6:$AY$13,[22]Brewhouse!$AY$15:$AY$20,[22]Brewhouse!$AY$22:$AY$29,[22]Brewhouse!$AY$31:$AY$34,[22]Brewhouse!$AY$36:$AY$43,[22]Brewhouse!$AY$45:$AY$50, [22]Brewhouse!$AY$56:$AY$73)</f>
        <v>97.363751190177027</v>
      </c>
      <c r="N40" s="30">
        <v>98</v>
      </c>
      <c r="O40" s="11"/>
      <c r="P40" s="31" t="s">
        <v>41</v>
      </c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604"/>
      <c r="C41" s="349"/>
      <c r="D41" s="537"/>
      <c r="E41" s="520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AVERAGE([28]Brewhouse!$AU$5:$AU$8,[28]Brewhouse!$AU$10:$AU$13)</f>
        <v>94.247666625193744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604"/>
      <c r="C42" s="349"/>
      <c r="D42" s="536"/>
      <c r="E42" s="525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604"/>
      <c r="C43" s="349"/>
      <c r="D43" s="537"/>
      <c r="E43" s="520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604"/>
      <c r="C44" s="349"/>
      <c r="D44" s="536"/>
      <c r="E44" s="525"/>
      <c r="F44" s="294"/>
      <c r="G44" s="294"/>
      <c r="H44" s="348"/>
      <c r="I44" s="1"/>
      <c r="J44" s="39"/>
      <c r="K44" s="404">
        <f>SUM(K34:K43)</f>
        <v>168</v>
      </c>
      <c r="L44" s="405">
        <f>((L34*K34)+(L35*K35)+(L36*K36)+(L37*K37)+(L38*K38)+(K41*L41)+(L39*K39)+(L40*K40)+(L43*K43))/(K44)</f>
        <v>97.964720615192235</v>
      </c>
      <c r="M44" s="405">
        <f>AVERAGE('[31]Jan 31st'!$L$65,'[32]Feb 28th'!$L$35,'[33]Mar. 31st'!$L$35,'[34]Apr. 30th'!$L$45,'[35]May 30th'!$L$37,'[39]June 30th'!$L$57,L44)</f>
        <v>97.702375873179179</v>
      </c>
      <c r="N44" s="4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thickBot="1">
      <c r="B45" s="605"/>
      <c r="C45" s="350"/>
      <c r="D45" s="537"/>
      <c r="E45" s="520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thickBot="1">
      <c r="B46" s="514"/>
      <c r="C46" s="362"/>
      <c r="D46" s="517"/>
      <c r="E46" s="518"/>
      <c r="F46" s="294"/>
      <c r="G46" s="42"/>
      <c r="H46" s="41"/>
      <c r="I46" s="42"/>
      <c r="J46" s="572" t="s">
        <v>129</v>
      </c>
      <c r="K46" s="572"/>
      <c r="L46" s="294"/>
      <c r="M46" s="294"/>
      <c r="N46" s="294"/>
      <c r="O46" s="294"/>
      <c r="P46" s="12"/>
    </row>
    <row r="47" spans="1:27" ht="15" thickBot="1">
      <c r="B47" s="515"/>
      <c r="C47" s="362"/>
      <c r="D47" s="519"/>
      <c r="E47" s="520"/>
      <c r="F47" s="294"/>
      <c r="G47" s="42"/>
      <c r="H47" s="41"/>
      <c r="I47" s="42"/>
      <c r="J47" s="292" t="s">
        <v>17</v>
      </c>
      <c r="K47" s="293" t="s">
        <v>147</v>
      </c>
      <c r="L47" s="522" t="s">
        <v>136</v>
      </c>
      <c r="M47" s="522"/>
      <c r="N47" s="523"/>
      <c r="O47" s="294"/>
      <c r="P47" s="12"/>
    </row>
    <row r="48" spans="1:27" ht="15" customHeight="1" thickBot="1">
      <c r="B48" s="515"/>
      <c r="C48" s="349"/>
      <c r="D48" s="573"/>
      <c r="E48" s="574"/>
      <c r="F48" s="294"/>
      <c r="G48" s="42"/>
      <c r="H48" s="41"/>
      <c r="I48" s="42"/>
      <c r="J48" s="287" t="s">
        <v>6</v>
      </c>
      <c r="K48" s="324">
        <v>1</v>
      </c>
      <c r="L48" s="343" t="s">
        <v>37</v>
      </c>
      <c r="M48" s="307" t="s">
        <v>38</v>
      </c>
      <c r="N48" s="307" t="s">
        <v>84</v>
      </c>
      <c r="O48" s="294"/>
      <c r="P48" s="12"/>
    </row>
    <row r="49" spans="2:57" ht="15.75" customHeight="1" thickBot="1">
      <c r="B49" s="515"/>
      <c r="C49" s="349"/>
      <c r="D49" s="519"/>
      <c r="E49" s="520"/>
      <c r="F49" s="294"/>
      <c r="G49" s="42"/>
      <c r="H49" s="41"/>
      <c r="I49" s="42"/>
      <c r="J49" s="345" t="s">
        <v>9</v>
      </c>
      <c r="K49" s="324"/>
      <c r="L49" s="489">
        <f>AVERAGE(K58,'July 1st'!K67,'July 2nd'!K68,'July 3rd'!K68,'July 4th'!K68,'July 7th '!K68,'July 8th '!K68,'July 9th  '!K69,'July 10th '!K69,'July 11th  '!K69,'July 14th'!K69,'July 15th'!K69,'July 16th '!K69,'July 17th '!K70,'July 21st'!K70,'July 23rd'!K70,'July 24th'!K70,'July 25th'!K70,'July 28th'!K70)</f>
        <v>8.1578947368421044</v>
      </c>
      <c r="M49" s="488">
        <f>AVERAGE('[31]Jan 29th '!$M$70,'[32]Feb 28th'!$L$40,'[33]Mar. 31st'!$L$40,'[34]Apr. 30th'!$L$50,'[35]May 30th'!$L$42,'[39]June 30th'!$L$62,L49)</f>
        <v>6.9024166963035869</v>
      </c>
      <c r="N49" s="417">
        <v>9.1999999999999993</v>
      </c>
      <c r="O49" s="294"/>
      <c r="P49" s="12"/>
    </row>
    <row r="50" spans="2:57" ht="15" customHeight="1">
      <c r="B50" s="515"/>
      <c r="C50" s="349"/>
      <c r="D50" s="573"/>
      <c r="E50" s="574"/>
      <c r="F50" s="294"/>
      <c r="G50" s="42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15"/>
      <c r="C51" s="349"/>
      <c r="D51" s="519"/>
      <c r="E51" s="520"/>
      <c r="F51" s="294"/>
      <c r="G51" s="42"/>
      <c r="H51" s="41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4.4">
      <c r="B52" s="515"/>
      <c r="C52" s="349"/>
      <c r="D52" s="573"/>
      <c r="E52" s="574"/>
      <c r="F52" s="294"/>
      <c r="G52" s="42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4.4">
      <c r="B53" s="515"/>
      <c r="C53" s="349"/>
      <c r="D53" s="519"/>
      <c r="E53" s="520"/>
      <c r="F53" s="294"/>
      <c r="G53" s="42"/>
      <c r="H53" s="41"/>
      <c r="I53" s="42"/>
      <c r="J53" s="291" t="s">
        <v>15</v>
      </c>
      <c r="K53" s="324">
        <v>3</v>
      </c>
      <c r="L53" s="294"/>
      <c r="M53" s="294"/>
      <c r="N53" s="294"/>
      <c r="O53" s="294"/>
      <c r="P53" s="12"/>
      <c r="BC53" s="44"/>
      <c r="BD53" s="44"/>
    </row>
    <row r="54" spans="2:57" ht="14.4">
      <c r="B54" s="515"/>
      <c r="C54" s="349"/>
      <c r="D54" s="573"/>
      <c r="E54" s="574"/>
      <c r="F54" s="294"/>
      <c r="G54" s="42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" thickBot="1">
      <c r="B55" s="516"/>
      <c r="C55" s="350"/>
      <c r="D55" s="575"/>
      <c r="E55" s="576"/>
      <c r="F55" s="294"/>
      <c r="G55" s="42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BC55" s="44"/>
      <c r="BD55" s="44"/>
    </row>
    <row r="56" spans="2:57" ht="17.7" customHeight="1" thickBot="1">
      <c r="B56" s="312" t="s">
        <v>139</v>
      </c>
      <c r="C56" s="313"/>
      <c r="D56" s="577">
        <f>AVERAGE(D34:E55)</f>
        <v>17.130000000000003</v>
      </c>
      <c r="E56" s="578"/>
      <c r="F56" s="294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7" customHeight="1">
      <c r="B57" s="363"/>
      <c r="C57" s="364"/>
      <c r="D57" s="365"/>
      <c r="E57" s="365"/>
      <c r="F57" s="294"/>
      <c r="G57" s="42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1"/>
      <c r="I58" s="42"/>
      <c r="J58" s="346" t="s">
        <v>130</v>
      </c>
      <c r="K58" s="324">
        <f>SUM(K48:K57)</f>
        <v>4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498" t="s">
        <v>17</v>
      </c>
      <c r="C61" s="498" t="s">
        <v>44</v>
      </c>
      <c r="D61" s="510" t="s">
        <v>45</v>
      </c>
      <c r="E61" s="512" t="s">
        <v>46</v>
      </c>
      <c r="F61" s="506" t="s">
        <v>47</v>
      </c>
      <c r="G61" s="496" t="s">
        <v>48</v>
      </c>
      <c r="H61" s="498" t="s">
        <v>49</v>
      </c>
      <c r="I61" s="498" t="s">
        <v>50</v>
      </c>
      <c r="J61" s="490" t="s">
        <v>28</v>
      </c>
      <c r="K61" s="502" t="s">
        <v>51</v>
      </c>
      <c r="L61" s="504" t="s">
        <v>52</v>
      </c>
      <c r="M61" s="490" t="s">
        <v>53</v>
      </c>
      <c r="N61" s="13"/>
      <c r="O61" s="13"/>
      <c r="P61" s="50"/>
    </row>
    <row r="62" spans="2:57" ht="28.5" customHeight="1" thickTop="1" thickBot="1">
      <c r="B62" s="499"/>
      <c r="C62" s="499"/>
      <c r="D62" s="511"/>
      <c r="E62" s="513"/>
      <c r="F62" s="507"/>
      <c r="G62" s="497"/>
      <c r="H62" s="499"/>
      <c r="I62" s="499"/>
      <c r="J62" s="491"/>
      <c r="K62" s="503"/>
      <c r="L62" s="505"/>
      <c r="M62" s="491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7" s="54" customFormat="1" ht="59.4" hidden="1" customHeight="1" thickBot="1">
      <c r="B63" s="430" t="str">
        <f>B78</f>
        <v>STARMALT</v>
      </c>
      <c r="C63" s="464">
        <v>45866</v>
      </c>
      <c r="D63" s="465"/>
      <c r="E63" s="466"/>
      <c r="F63" s="467"/>
      <c r="G63" s="468"/>
      <c r="H63" s="320"/>
      <c r="I63" s="322"/>
      <c r="J63" s="471" t="s">
        <v>164</v>
      </c>
      <c r="K63" s="472">
        <f>[37]July_2025!$AE$53</f>
        <v>1.0515789473684209</v>
      </c>
      <c r="L63" s="486" t="e">
        <f>(((D63+E63)-G63)/(D63+E63))*100</f>
        <v>#DIV/0!</v>
      </c>
      <c r="M63" s="48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399999999999999" hidden="1" customHeight="1" thickBot="1">
      <c r="B64" s="478"/>
      <c r="C64" s="453"/>
      <c r="D64" s="454"/>
      <c r="E64" s="455"/>
      <c r="F64" s="456"/>
      <c r="G64" s="457"/>
      <c r="H64" s="458"/>
      <c r="I64" s="475"/>
      <c r="J64" s="476"/>
      <c r="K64" s="459"/>
      <c r="L64" s="477"/>
      <c r="M64" s="43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9" customHeight="1" thickBot="1">
      <c r="B65" s="421" t="str">
        <f>I40</f>
        <v>STARMALT</v>
      </c>
      <c r="C65" s="464">
        <v>45867</v>
      </c>
      <c r="D65" s="465">
        <f>[36]July_2025!$AE$55</f>
        <v>307.7</v>
      </c>
      <c r="E65" s="466"/>
      <c r="F65" s="467"/>
      <c r="G65" s="468">
        <f>[36]July_2025!$AE$59</f>
        <v>298.10000000000002</v>
      </c>
      <c r="H65" s="469"/>
      <c r="I65" s="470"/>
      <c r="J65" s="471" t="s">
        <v>202</v>
      </c>
      <c r="K65" s="472">
        <f>[37]July_2025!$AE$53</f>
        <v>1.0515789473684209</v>
      </c>
      <c r="L65" s="482">
        <f>(((D65+E65)-G65)/(D65+E65))*100</f>
        <v>3.1199220019499401</v>
      </c>
      <c r="M65" s="484" t="s">
        <v>201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idden="1">
      <c r="B66" s="481"/>
      <c r="C66" s="453"/>
      <c r="D66" s="454"/>
      <c r="E66" s="455"/>
      <c r="F66" s="456"/>
      <c r="G66" s="457"/>
      <c r="H66" s="458"/>
      <c r="I66" s="475"/>
      <c r="J66" s="476"/>
      <c r="K66" s="459"/>
      <c r="L66" s="477"/>
      <c r="M66" s="43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6.6" hidden="1" customHeight="1" thickBot="1">
      <c r="B67" s="387"/>
      <c r="C67" s="464"/>
      <c r="D67" s="465"/>
      <c r="E67" s="466"/>
      <c r="F67" s="467"/>
      <c r="G67" s="468"/>
      <c r="H67" s="469"/>
      <c r="I67" s="470"/>
      <c r="J67" s="471"/>
      <c r="K67" s="472"/>
      <c r="L67" s="473"/>
      <c r="M67" s="483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hidden="1" customHeight="1" thickBot="1">
      <c r="B68" s="460"/>
      <c r="C68" s="440"/>
      <c r="D68" s="441"/>
      <c r="E68" s="442"/>
      <c r="F68" s="443"/>
      <c r="G68" s="444"/>
      <c r="H68" s="445"/>
      <c r="I68" s="461"/>
      <c r="J68" s="462"/>
      <c r="K68" s="448"/>
      <c r="L68" s="463"/>
      <c r="M68" s="43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492" t="s">
        <v>55</v>
      </c>
      <c r="C70" s="493"/>
      <c r="D70" s="493"/>
      <c r="E70" s="493"/>
      <c r="F70" s="494"/>
      <c r="G70" s="492" t="s">
        <v>56</v>
      </c>
      <c r="H70" s="493"/>
      <c r="I70" s="493"/>
      <c r="J70" s="494"/>
      <c r="K70" s="492" t="s">
        <v>51</v>
      </c>
      <c r="L70" s="493"/>
      <c r="M70" s="493"/>
      <c r="N70" s="495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/>
      <c r="D72" s="76">
        <v>5.1046674390685336</v>
      </c>
      <c r="E72" s="76">
        <v>6.3510712927007873</v>
      </c>
      <c r="F72" s="66">
        <v>4.8</v>
      </c>
      <c r="G72" s="65"/>
      <c r="H72" s="76">
        <v>4.0731714390887097</v>
      </c>
      <c r="I72" s="76">
        <v>6.1781700333118934</v>
      </c>
      <c r="J72" s="66">
        <v>4.8</v>
      </c>
      <c r="K72" s="67"/>
      <c r="L72" s="194">
        <v>0.86202484976475791</v>
      </c>
      <c r="M72" s="194">
        <v>0.73901325166961152</v>
      </c>
      <c r="N72" s="68">
        <v>1</v>
      </c>
      <c r="O72" s="56"/>
      <c r="P72" s="69"/>
    </row>
    <row r="73" spans="2:57">
      <c r="B73" s="33" t="s">
        <v>9</v>
      </c>
      <c r="C73" s="65"/>
      <c r="D73" s="76">
        <v>4.9718187233652564</v>
      </c>
      <c r="E73" s="76">
        <v>5.9419799243536175</v>
      </c>
      <c r="F73" s="66">
        <v>4.8</v>
      </c>
      <c r="G73" s="65"/>
      <c r="H73" s="76">
        <v>3.9510849485573889</v>
      </c>
      <c r="I73" s="76">
        <v>5.5277535995776326</v>
      </c>
      <c r="J73" s="66">
        <v>4.8</v>
      </c>
      <c r="K73" s="67"/>
      <c r="L73" s="194">
        <v>0.73539212152056199</v>
      </c>
      <c r="M73" s="194">
        <v>0.75853637615238823</v>
      </c>
      <c r="N73" s="68">
        <v>1</v>
      </c>
      <c r="P73" s="69"/>
    </row>
    <row r="74" spans="2:57">
      <c r="B74" s="34" t="s">
        <v>40</v>
      </c>
      <c r="C74" s="65"/>
      <c r="D74" s="76">
        <v>11.466477138118925</v>
      </c>
      <c r="E74" s="76">
        <v>11.904314441431504</v>
      </c>
      <c r="F74" s="66">
        <v>5.5</v>
      </c>
      <c r="G74" s="65"/>
      <c r="H74" s="76">
        <v>15.89175434604109</v>
      </c>
      <c r="I74" s="76">
        <v>13.439540856999288</v>
      </c>
      <c r="J74" s="66">
        <v>5.5</v>
      </c>
      <c r="K74" s="67"/>
      <c r="L74" s="194">
        <v>1.3112280701754386</v>
      </c>
      <c r="M74" s="194">
        <v>0.54260860979462877</v>
      </c>
      <c r="N74" s="68">
        <v>1</v>
      </c>
      <c r="P74" s="69"/>
    </row>
    <row r="75" spans="2:57">
      <c r="B75" s="22" t="s">
        <v>33</v>
      </c>
      <c r="C75" s="65"/>
      <c r="D75" s="76">
        <v>3.4761321909424563</v>
      </c>
      <c r="E75" s="76">
        <v>5.119233255999676</v>
      </c>
      <c r="F75" s="66">
        <v>3.3</v>
      </c>
      <c r="G75" s="65"/>
      <c r="H75" s="76">
        <v>2.7479545757807706</v>
      </c>
      <c r="I75" s="76">
        <v>4.8747400258857825</v>
      </c>
      <c r="J75" s="66">
        <v>3.3</v>
      </c>
      <c r="K75" s="67"/>
      <c r="L75" s="194">
        <v>1.3835087719298247</v>
      </c>
      <c r="M75" s="194">
        <v>0.77839364035087721</v>
      </c>
      <c r="N75" s="68">
        <v>1</v>
      </c>
      <c r="P75" s="69"/>
    </row>
    <row r="76" spans="2:57">
      <c r="B76" s="35" t="s">
        <v>192</v>
      </c>
      <c r="C76" s="65"/>
      <c r="D76" s="76">
        <v>7.837301587301579</v>
      </c>
      <c r="E76" s="76">
        <v>7.837301587301579</v>
      </c>
      <c r="F76" s="66">
        <v>3.3</v>
      </c>
      <c r="G76" s="282"/>
      <c r="H76" s="76">
        <v>5.3377569154690221</v>
      </c>
      <c r="I76" s="76">
        <v>5.3377569154690221</v>
      </c>
      <c r="J76" s="66">
        <v>3</v>
      </c>
      <c r="K76" s="67"/>
      <c r="L76" s="194">
        <v>0.32596491228070179</v>
      </c>
      <c r="M76" s="194">
        <v>0.32596491228070179</v>
      </c>
      <c r="N76" s="68">
        <v>1</v>
      </c>
      <c r="P76" s="69"/>
    </row>
    <row r="77" spans="2:57">
      <c r="B77" s="36" t="s">
        <v>15</v>
      </c>
      <c r="C77" s="282"/>
      <c r="D77" s="76"/>
      <c r="E77" s="76">
        <v>7.3129862357869699</v>
      </c>
      <c r="F77" s="70">
        <f>[21]May_2022!$M$43</f>
        <v>3.4878406700073312</v>
      </c>
      <c r="G77" s="282"/>
      <c r="H77" s="76"/>
      <c r="I77" s="76">
        <v>8.9862703283331644</v>
      </c>
      <c r="J77" s="66">
        <v>5.5</v>
      </c>
      <c r="K77" s="67"/>
      <c r="L77" s="194"/>
      <c r="M77" s="194">
        <v>0.59276315789473688</v>
      </c>
      <c r="N77" s="68">
        <v>1</v>
      </c>
      <c r="P77" s="69"/>
    </row>
    <row r="78" spans="2:57">
      <c r="B78" s="37" t="s">
        <v>16</v>
      </c>
      <c r="C78" s="65">
        <f>L65</f>
        <v>3.1199220019499401</v>
      </c>
      <c r="D78" s="76">
        <v>2.6700495348556137</v>
      </c>
      <c r="E78" s="76">
        <v>3.0054733296628471</v>
      </c>
      <c r="F78" s="66">
        <v>3.3</v>
      </c>
      <c r="G78" s="282"/>
      <c r="H78" s="76">
        <v>3.747198365393495</v>
      </c>
      <c r="I78" s="76">
        <v>4.4246546340145665</v>
      </c>
      <c r="J78" s="66">
        <v>3.3</v>
      </c>
      <c r="K78" s="67"/>
      <c r="L78" s="194">
        <v>1.4133333333333331</v>
      </c>
      <c r="M78" s="194">
        <v>0.8541249226963511</v>
      </c>
      <c r="N78" s="71">
        <v>1</v>
      </c>
      <c r="P78" s="69"/>
    </row>
    <row r="79" spans="2:57" ht="14.4" thickBot="1">
      <c r="B79" s="38" t="s">
        <v>191</v>
      </c>
      <c r="C79" s="65"/>
      <c r="D79" s="76">
        <v>11.483253588516746</v>
      </c>
      <c r="E79" s="76">
        <v>11.483253588516746</v>
      </c>
      <c r="F79" s="66">
        <v>7.5</v>
      </c>
      <c r="G79" s="282"/>
      <c r="H79" s="76">
        <v>9.7934336121043764</v>
      </c>
      <c r="I79" s="76">
        <v>9.7934336121043764</v>
      </c>
      <c r="J79" s="66">
        <v>7.5</v>
      </c>
      <c r="K79" s="67"/>
      <c r="L79" s="194">
        <v>0.32456140350877194</v>
      </c>
      <c r="M79" s="194">
        <v>0.32456140350877194</v>
      </c>
      <c r="N79" s="71">
        <v>1</v>
      </c>
      <c r="P79" s="69"/>
    </row>
    <row r="80" spans="2:57" ht="14.4" thickBot="1">
      <c r="B80" s="414" t="s">
        <v>161</v>
      </c>
      <c r="C80" s="65"/>
      <c r="D80" s="76">
        <v>9.4974642692485105</v>
      </c>
      <c r="E80" s="76">
        <v>7.2653644592663174</v>
      </c>
      <c r="F80" s="66">
        <v>4.8</v>
      </c>
      <c r="G80" s="282"/>
      <c r="H80" s="76">
        <v>10.183089539936029</v>
      </c>
      <c r="I80" s="76">
        <v>8.1715311054411259</v>
      </c>
      <c r="J80" s="66">
        <v>4.8</v>
      </c>
      <c r="K80" s="67"/>
      <c r="L80" s="194">
        <v>0.68877192982456148</v>
      </c>
      <c r="M80" s="194">
        <v>0.51368421052631585</v>
      </c>
      <c r="N80" s="71">
        <v>1</v>
      </c>
      <c r="O80" s="74"/>
      <c r="P80" s="75"/>
    </row>
    <row r="81" spans="4:14">
      <c r="D81" s="76">
        <v>5.3039587805500226</v>
      </c>
      <c r="E81" s="76">
        <v>6.4080261683028148</v>
      </c>
      <c r="F81" s="341">
        <v>5.5</v>
      </c>
      <c r="H81" s="76">
        <v>5.0654309628874366</v>
      </c>
      <c r="I81" s="76">
        <v>6.5876224128124026</v>
      </c>
      <c r="J81" s="341">
        <v>5.5</v>
      </c>
      <c r="L81" s="194">
        <v>0.86214085939486396</v>
      </c>
      <c r="M81" s="194">
        <v>0.72223081897371522</v>
      </c>
      <c r="N81" s="386">
        <v>1</v>
      </c>
    </row>
    <row r="85" spans="4:14">
      <c r="F85" s="315"/>
    </row>
    <row r="86" spans="4:14">
      <c r="F86" s="341"/>
    </row>
  </sheetData>
  <mergeCells count="51">
    <mergeCell ref="M61:M62"/>
    <mergeCell ref="B70:F70"/>
    <mergeCell ref="G70:J70"/>
    <mergeCell ref="K70:N70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150" priority="116" operator="notBetween">
      <formula>#REF!</formula>
      <formula>#REF!</formula>
    </cfRule>
  </conditionalFormatting>
  <conditionalFormatting sqref="C60">
    <cfRule type="cellIs" dxfId="149" priority="148" stopIfTrue="1" operator="greaterThan">
      <formula>100</formula>
    </cfRule>
    <cfRule type="cellIs" dxfId="148" priority="147" stopIfTrue="1" operator="lessThan">
      <formula>96</formula>
    </cfRule>
  </conditionalFormatting>
  <conditionalFormatting sqref="C72:C73">
    <cfRule type="cellIs" dxfId="147" priority="95" stopIfTrue="1" operator="lessThanOrEqual">
      <formula>0</formula>
    </cfRule>
  </conditionalFormatting>
  <conditionalFormatting sqref="C72:C76">
    <cfRule type="cellIs" dxfId="146" priority="94" stopIfTrue="1" operator="greaterThan">
      <formula>$F72</formula>
    </cfRule>
  </conditionalFormatting>
  <conditionalFormatting sqref="C73">
    <cfRule type="cellIs" dxfId="145" priority="151" stopIfTrue="1" operator="greaterThan">
      <formula>$F72</formula>
    </cfRule>
  </conditionalFormatting>
  <conditionalFormatting sqref="C74:C77">
    <cfRule type="cellIs" dxfId="144" priority="101" stopIfTrue="1" operator="lessThanOrEqual">
      <formula>0</formula>
    </cfRule>
  </conditionalFormatting>
  <conditionalFormatting sqref="C77">
    <cfRule type="cellIs" dxfId="143" priority="100" stopIfTrue="1" operator="greaterThan">
      <formula>$J77</formula>
    </cfRule>
  </conditionalFormatting>
  <conditionalFormatting sqref="C83:C87">
    <cfRule type="cellIs" dxfId="142" priority="139" stopIfTrue="1" operator="lessThanOrEqual">
      <formula>0</formula>
    </cfRule>
  </conditionalFormatting>
  <conditionalFormatting sqref="C84:C87">
    <cfRule type="cellIs" dxfId="141" priority="138" stopIfTrue="1" operator="greaterThan">
      <formula>$F$83</formula>
    </cfRule>
  </conditionalFormatting>
  <conditionalFormatting sqref="C89">
    <cfRule type="cellIs" dxfId="140" priority="141" stopIfTrue="1" operator="lessThanOrEqual">
      <formula>0</formula>
    </cfRule>
    <cfRule type="cellIs" dxfId="139" priority="140" stopIfTrue="1" operator="greaterThan">
      <formula>$F$83</formula>
    </cfRule>
  </conditionalFormatting>
  <conditionalFormatting sqref="C83:D83 D85:D91">
    <cfRule type="cellIs" dxfId="138" priority="133" stopIfTrue="1" operator="greaterThan">
      <formula>4.5</formula>
    </cfRule>
  </conditionalFormatting>
  <conditionalFormatting sqref="D56:D57">
    <cfRule type="cellIs" dxfId="137" priority="117" operator="notBetween">
      <formula>#REF!</formula>
      <formula>#REF!</formula>
    </cfRule>
  </conditionalFormatting>
  <conditionalFormatting sqref="D72:D79">
    <cfRule type="cellIs" dxfId="136" priority="111" stopIfTrue="1" operator="lessThanOrEqual">
      <formula>0</formula>
    </cfRule>
  </conditionalFormatting>
  <conditionalFormatting sqref="D80">
    <cfRule type="cellIs" dxfId="135" priority="110" stopIfTrue="1" operator="lessThanOrEqual">
      <formula>0</formula>
    </cfRule>
  </conditionalFormatting>
  <conditionalFormatting sqref="D83 D85:D91">
    <cfRule type="cellIs" dxfId="134" priority="134" stopIfTrue="1" operator="lessThanOrEqual">
      <formula>0</formula>
    </cfRule>
  </conditionalFormatting>
  <conditionalFormatting sqref="D84">
    <cfRule type="cellIs" dxfId="133" priority="125" stopIfTrue="1" operator="greaterThan">
      <formula>$F$83</formula>
    </cfRule>
    <cfRule type="cellIs" dxfId="132" priority="126" stopIfTrue="1" operator="lessThanOrEqual">
      <formula>0</formula>
    </cfRule>
  </conditionalFormatting>
  <conditionalFormatting sqref="D72:E81">
    <cfRule type="cellIs" dxfId="131" priority="91" stopIfTrue="1" operator="greaterThan">
      <formula>$F72</formula>
    </cfRule>
  </conditionalFormatting>
  <conditionalFormatting sqref="D81:E81">
    <cfRule type="cellIs" dxfId="130" priority="92" stopIfTrue="1" operator="lessThanOrEqual">
      <formula>0</formula>
    </cfRule>
  </conditionalFormatting>
  <conditionalFormatting sqref="E10:E31">
    <cfRule type="cellIs" dxfId="129" priority="7" operator="lessThan">
      <formula>48</formula>
    </cfRule>
  </conditionalFormatting>
  <conditionalFormatting sqref="E59 E60:F60">
    <cfRule type="cellIs" dxfId="128" priority="130" stopIfTrue="1" operator="greaterThan">
      <formula>100</formula>
    </cfRule>
  </conditionalFormatting>
  <conditionalFormatting sqref="E60">
    <cfRule type="cellIs" dxfId="127" priority="128" stopIfTrue="1" operator="greaterThan">
      <formula>100</formula>
    </cfRule>
    <cfRule type="cellIs" dxfId="126" priority="127" stopIfTrue="1" operator="lessThan">
      <formula>96.8</formula>
    </cfRule>
  </conditionalFormatting>
  <conditionalFormatting sqref="E72:E80">
    <cfRule type="cellIs" dxfId="125" priority="105" stopIfTrue="1" operator="lessThanOrEqual">
      <formula>0</formula>
    </cfRule>
  </conditionalFormatting>
  <conditionalFormatting sqref="E83:E91">
    <cfRule type="cellIs" dxfId="124" priority="119" stopIfTrue="1" operator="greaterThan">
      <formula>4.5</formula>
    </cfRule>
    <cfRule type="cellIs" dxfId="123" priority="120" stopIfTrue="1" operator="lessThanOrEqual">
      <formula>0</formula>
    </cfRule>
  </conditionalFormatting>
  <conditionalFormatting sqref="E60:F60 E59">
    <cfRule type="cellIs" dxfId="122" priority="129" stopIfTrue="1" operator="lessThan">
      <formula>96.5</formula>
    </cfRule>
  </conditionalFormatting>
  <conditionalFormatting sqref="F10:F14">
    <cfRule type="cellIs" dxfId="121" priority="8" operator="greaterThan">
      <formula>60</formula>
    </cfRule>
  </conditionalFormatting>
  <conditionalFormatting sqref="F17">
    <cfRule type="cellIs" dxfId="120" priority="1" operator="greaterThan">
      <formula>60</formula>
    </cfRule>
  </conditionalFormatting>
  <conditionalFormatting sqref="F23:F31">
    <cfRule type="cellIs" dxfId="119" priority="29" operator="greaterThan">
      <formula>60</formula>
    </cfRule>
  </conditionalFormatting>
  <conditionalFormatting sqref="F60">
    <cfRule type="cellIs" dxfId="118" priority="146" stopIfTrue="1" operator="greaterThan">
      <formula>100</formula>
    </cfRule>
    <cfRule type="cellIs" dxfId="117" priority="145" stopIfTrue="1" operator="lessThan">
      <formula>96.8</formula>
    </cfRule>
  </conditionalFormatting>
  <conditionalFormatting sqref="F81">
    <cfRule type="cellIs" dxfId="116" priority="107" stopIfTrue="1" operator="lessThanOrEqual">
      <formula>0</formula>
    </cfRule>
    <cfRule type="cellIs" dxfId="115" priority="106" stopIfTrue="1" operator="greaterThan">
      <formula>$F81</formula>
    </cfRule>
  </conditionalFormatting>
  <conditionalFormatting sqref="F86">
    <cfRule type="cellIs" dxfId="114" priority="60" stopIfTrue="1" operator="greaterThan">
      <formula>$F86</formula>
    </cfRule>
    <cfRule type="cellIs" dxfId="113" priority="61" stopIfTrue="1" operator="lessThanOrEqual">
      <formula>0</formula>
    </cfRule>
  </conditionalFormatting>
  <conditionalFormatting sqref="G12:G16">
    <cfRule type="expression" dxfId="112" priority="9">
      <formula>IF(+(IF(G12&lt;S12,0,IF(G12&gt;T12,0,1)))=0,1)</formula>
    </cfRule>
  </conditionalFormatting>
  <conditionalFormatting sqref="G18:G22">
    <cfRule type="expression" dxfId="111" priority="28">
      <formula>IF(+(IF(G18&lt;S18,0,IF(G18&gt;T18,0,1)))=0,1)</formula>
    </cfRule>
  </conditionalFormatting>
  <conditionalFormatting sqref="G72:G73 C78:C80">
    <cfRule type="cellIs" dxfId="110" priority="112" stopIfTrue="1" operator="greaterThan">
      <formula>$F72</formula>
    </cfRule>
    <cfRule type="cellIs" dxfId="109" priority="113" stopIfTrue="1" operator="lessThanOrEqual">
      <formula>0</formula>
    </cfRule>
  </conditionalFormatting>
  <conditionalFormatting sqref="G72:G73">
    <cfRule type="cellIs" dxfId="108" priority="97" stopIfTrue="1" operator="lessThanOrEqual">
      <formula>0</formula>
    </cfRule>
    <cfRule type="cellIs" dxfId="107" priority="96" stopIfTrue="1" operator="greaterThan">
      <formula>$F72</formula>
    </cfRule>
  </conditionalFormatting>
  <conditionalFormatting sqref="G74">
    <cfRule type="cellIs" dxfId="106" priority="150" stopIfTrue="1" operator="lessThanOrEqual">
      <formula>0</formula>
    </cfRule>
    <cfRule type="cellIs" dxfId="105" priority="149" stopIfTrue="1" operator="greaterThan">
      <formula>$F73</formula>
    </cfRule>
  </conditionalFormatting>
  <conditionalFormatting sqref="G75">
    <cfRule type="cellIs" dxfId="104" priority="109" stopIfTrue="1" operator="lessThanOrEqual">
      <formula>0</formula>
    </cfRule>
    <cfRule type="cellIs" dxfId="103" priority="108" stopIfTrue="1" operator="greaterThan">
      <formula>$F75</formula>
    </cfRule>
  </conditionalFormatting>
  <conditionalFormatting sqref="G76:G80">
    <cfRule type="cellIs" dxfId="102" priority="114" stopIfTrue="1" operator="greaterThan">
      <formula>$J76</formula>
    </cfRule>
    <cfRule type="cellIs" dxfId="101" priority="115" stopIfTrue="1" operator="lessThanOrEqual">
      <formula>0</formula>
    </cfRule>
  </conditionalFormatting>
  <conditionalFormatting sqref="G85:G90 C88 C90">
    <cfRule type="cellIs" dxfId="100" priority="143" stopIfTrue="1" operator="lessThanOrEqual">
      <formula>0</formula>
    </cfRule>
    <cfRule type="cellIs" dxfId="99" priority="142" stopIfTrue="1" operator="greaterThan">
      <formula>4.5</formula>
    </cfRule>
  </conditionalFormatting>
  <conditionalFormatting sqref="G10:H11 H12:H16 G17:H17 H18:H22">
    <cfRule type="expression" dxfId="98" priority="13">
      <formula>IF(+(IF(G10&lt;#REF!,0,IF(G10&gt;#REF!,0,1)))=0,1)</formula>
    </cfRule>
  </conditionalFormatting>
  <conditionalFormatting sqref="G23:H31">
    <cfRule type="expression" dxfId="97" priority="30">
      <formula>IF(+(IF(G23&lt;#REF!,0,IF(G23&gt;#REF!,0,1)))=0,1)</formula>
    </cfRule>
  </conditionalFormatting>
  <conditionalFormatting sqref="G84:H84">
    <cfRule type="cellIs" dxfId="96" priority="124" stopIfTrue="1" operator="lessThanOrEqual">
      <formula>0</formula>
    </cfRule>
    <cfRule type="cellIs" dxfId="95" priority="123" stopIfTrue="1" operator="greaterThan">
      <formula>$F$83</formula>
    </cfRule>
  </conditionalFormatting>
  <conditionalFormatting sqref="H45:H59">
    <cfRule type="cellIs" dxfId="94" priority="121" stopIfTrue="1" operator="greaterThan">
      <formula>0</formula>
    </cfRule>
  </conditionalFormatting>
  <conditionalFormatting sqref="H63">
    <cfRule type="cellIs" dxfId="93" priority="24" stopIfTrue="1" operator="greaterThan">
      <formula>$F$30</formula>
    </cfRule>
    <cfRule type="cellIs" dxfId="92" priority="26" stopIfTrue="1" operator="greaterThan">
      <formula>$F$28</formula>
    </cfRule>
    <cfRule type="cellIs" dxfId="91" priority="25" stopIfTrue="1" operator="lessThanOrEqual">
      <formula>0</formula>
    </cfRule>
    <cfRule type="cellIs" dxfId="90" priority="27" stopIfTrue="1" operator="lessThanOrEqual">
      <formula>0</formula>
    </cfRule>
    <cfRule type="cellIs" dxfId="89" priority="16" stopIfTrue="1" operator="greaterThan">
      <formula>$F$27</formula>
    </cfRule>
    <cfRule type="cellIs" dxfId="88" priority="15" stopIfTrue="1" operator="lessThanOrEqual">
      <formula>0</formula>
    </cfRule>
  </conditionalFormatting>
  <conditionalFormatting sqref="H64">
    <cfRule type="cellIs" dxfId="87" priority="58" stopIfTrue="1" operator="greaterThan">
      <formula>$F$30</formula>
    </cfRule>
    <cfRule type="cellIs" dxfId="86" priority="47" stopIfTrue="1" operator="lessThanOrEqual">
      <formula>0</formula>
    </cfRule>
    <cfRule type="cellIs" dxfId="85" priority="48" stopIfTrue="1" operator="greaterThan">
      <formula>$F$29</formula>
    </cfRule>
    <cfRule type="cellIs" dxfId="84" priority="56" stopIfTrue="1" operator="greaterThan">
      <formula>$F$32</formula>
    </cfRule>
    <cfRule type="cellIs" dxfId="83" priority="57" stopIfTrue="1" operator="lessThanOrEqual">
      <formula>0</formula>
    </cfRule>
    <cfRule type="cellIs" dxfId="82" priority="59" stopIfTrue="1" operator="lessThanOrEqual">
      <formula>0</formula>
    </cfRule>
  </conditionalFormatting>
  <conditionalFormatting sqref="H65:H67">
    <cfRule type="cellIs" dxfId="81" priority="43" stopIfTrue="1" operator="lessThanOrEqual">
      <formula>0</formula>
    </cfRule>
    <cfRule type="cellIs" dxfId="80" priority="34" stopIfTrue="1" operator="greaterThan">
      <formula>$F$28</formula>
    </cfRule>
    <cfRule type="cellIs" dxfId="79" priority="42" stopIfTrue="1" operator="greaterThan">
      <formula>$F$31</formula>
    </cfRule>
    <cfRule type="cellIs" dxfId="78" priority="44" stopIfTrue="1" operator="greaterThan">
      <formula>$F$29</formula>
    </cfRule>
    <cfRule type="cellIs" dxfId="77" priority="45" stopIfTrue="1" operator="lessThanOrEqual">
      <formula>0</formula>
    </cfRule>
    <cfRule type="cellIs" dxfId="76" priority="33" stopIfTrue="1" operator="lessThanOrEqual">
      <formula>0</formula>
    </cfRule>
  </conditionalFormatting>
  <conditionalFormatting sqref="H68">
    <cfRule type="cellIs" dxfId="75" priority="77" stopIfTrue="1" operator="lessThanOrEqual">
      <formula>0</formula>
    </cfRule>
    <cfRule type="cellIs" dxfId="74" priority="65" stopIfTrue="1" operator="lessThanOrEqual">
      <formula>0</formula>
    </cfRule>
    <cfRule type="cellIs" dxfId="73" priority="66" stopIfTrue="1" operator="greaterThan">
      <formula>$F$44</formula>
    </cfRule>
    <cfRule type="cellIs" dxfId="72" priority="75" stopIfTrue="1" operator="lessThanOrEqual">
      <formula>0</formula>
    </cfRule>
    <cfRule type="cellIs" dxfId="71" priority="74" stopIfTrue="1" operator="greaterThan">
      <formula>$F$47</formula>
    </cfRule>
    <cfRule type="cellIs" dxfId="70" priority="76" stopIfTrue="1" operator="greaterThan">
      <formula>$F$45</formula>
    </cfRule>
  </conditionalFormatting>
  <conditionalFormatting sqref="H72:H79">
    <cfRule type="cellIs" dxfId="69" priority="98" stopIfTrue="1" operator="greaterThan">
      <formula>$J72</formula>
    </cfRule>
    <cfRule type="cellIs" dxfId="68" priority="99" stopIfTrue="1" operator="lessThanOrEqual">
      <formula>0</formula>
    </cfRule>
  </conditionalFormatting>
  <conditionalFormatting sqref="H80">
    <cfRule type="cellIs" dxfId="67" priority="102" operator="greaterThan">
      <formula>5.3</formula>
    </cfRule>
  </conditionalFormatting>
  <conditionalFormatting sqref="H83 H85:H91">
    <cfRule type="cellIs" dxfId="66" priority="136" stopIfTrue="1" operator="lessThanOrEqual">
      <formula>0</formula>
    </cfRule>
    <cfRule type="cellIs" dxfId="65" priority="135" stopIfTrue="1" operator="greaterThan">
      <formula>4.5</formula>
    </cfRule>
  </conditionalFormatting>
  <conditionalFormatting sqref="H63:I63">
    <cfRule type="cellIs" dxfId="64" priority="14" stopIfTrue="1" operator="greaterThan">
      <formula>$F$29</formula>
    </cfRule>
    <cfRule type="cellIs" dxfId="63" priority="17" stopIfTrue="1" operator="lessThanOrEqual">
      <formula>0</formula>
    </cfRule>
  </conditionalFormatting>
  <conditionalFormatting sqref="H64:I64">
    <cfRule type="cellIs" dxfId="62" priority="46" stopIfTrue="1" operator="greaterThan">
      <formula>$F$31</formula>
    </cfRule>
    <cfRule type="cellIs" dxfId="61" priority="49" stopIfTrue="1" operator="lessThanOrEqual">
      <formula>0</formula>
    </cfRule>
  </conditionalFormatting>
  <conditionalFormatting sqref="H65:I67">
    <cfRule type="cellIs" dxfId="60" priority="32" stopIfTrue="1" operator="greaterThan">
      <formula>$F$30</formula>
    </cfRule>
    <cfRule type="cellIs" dxfId="59" priority="35" stopIfTrue="1" operator="lessThanOrEqual">
      <formula>0</formula>
    </cfRule>
  </conditionalFormatting>
  <conditionalFormatting sqref="H68:I68">
    <cfRule type="cellIs" dxfId="58" priority="64" stopIfTrue="1" operator="greaterThan">
      <formula>$F$46</formula>
    </cfRule>
    <cfRule type="cellIs" dxfId="57" priority="67" stopIfTrue="1" operator="lessThanOrEqual">
      <formula>0</formula>
    </cfRule>
  </conditionalFormatting>
  <conditionalFormatting sqref="H81:I81">
    <cfRule type="cellIs" dxfId="56" priority="90" stopIfTrue="1" operator="lessThanOrEqual">
      <formula>0</formula>
    </cfRule>
    <cfRule type="cellIs" dxfId="55" priority="89" stopIfTrue="1" operator="greaterThan">
      <formula>$J81</formula>
    </cfRule>
  </conditionalFormatting>
  <conditionalFormatting sqref="I63">
    <cfRule type="cellIs" dxfId="54" priority="19" stopIfTrue="1" operator="lessThanOrEqual">
      <formula>0</formula>
    </cfRule>
    <cfRule type="cellIs" dxfId="53" priority="22" stopIfTrue="1" operator="greaterThan">
      <formula>$F$27</formula>
    </cfRule>
    <cfRule type="cellIs" dxfId="52" priority="21" stopIfTrue="1" operator="lessThanOrEqual">
      <formula>0</formula>
    </cfRule>
    <cfRule type="cellIs" dxfId="51" priority="20" stopIfTrue="1" operator="greaterThan">
      <formula>$F$29</formula>
    </cfRule>
    <cfRule type="cellIs" dxfId="50" priority="18" stopIfTrue="1" operator="greaterThan">
      <formula>$F$27</formula>
    </cfRule>
    <cfRule type="cellIs" dxfId="49" priority="23" stopIfTrue="1" operator="lessThanOrEqual">
      <formula>0</formula>
    </cfRule>
  </conditionalFormatting>
  <conditionalFormatting sqref="I64">
    <cfRule type="cellIs" dxfId="48" priority="51" stopIfTrue="1" operator="lessThanOrEqual">
      <formula>0</formula>
    </cfRule>
    <cfRule type="cellIs" dxfId="47" priority="50" stopIfTrue="1" operator="greaterThan">
      <formula>$F$29</formula>
    </cfRule>
    <cfRule type="cellIs" dxfId="46" priority="53" stopIfTrue="1" operator="lessThanOrEqual">
      <formula>0</formula>
    </cfRule>
    <cfRule type="cellIs" dxfId="45" priority="54" stopIfTrue="1" operator="greaterThan">
      <formula>$F$29</formula>
    </cfRule>
    <cfRule type="cellIs" dxfId="44" priority="52" stopIfTrue="1" operator="greaterThan">
      <formula>$F$31</formula>
    </cfRule>
    <cfRule type="cellIs" dxfId="43" priority="55" stopIfTrue="1" operator="lessThanOrEqual">
      <formula>0</formula>
    </cfRule>
  </conditionalFormatting>
  <conditionalFormatting sqref="I65:I67">
    <cfRule type="cellIs" dxfId="42" priority="39" stopIfTrue="1" operator="lessThanOrEqual">
      <formula>0</formula>
    </cfRule>
    <cfRule type="cellIs" dxfId="41" priority="41" stopIfTrue="1" operator="lessThanOrEqual">
      <formula>0</formula>
    </cfRule>
    <cfRule type="cellIs" dxfId="40" priority="40" stopIfTrue="1" operator="greaterThan">
      <formula>$F$28</formula>
    </cfRule>
    <cfRule type="cellIs" dxfId="39" priority="38" stopIfTrue="1" operator="greaterThan">
      <formula>$F$30</formula>
    </cfRule>
    <cfRule type="cellIs" dxfId="38" priority="37" stopIfTrue="1" operator="lessThanOrEqual">
      <formula>0</formula>
    </cfRule>
    <cfRule type="cellIs" dxfId="37" priority="36" stopIfTrue="1" operator="greaterThan">
      <formula>$F$28</formula>
    </cfRule>
  </conditionalFormatting>
  <conditionalFormatting sqref="I68">
    <cfRule type="cellIs" dxfId="36" priority="68" stopIfTrue="1" operator="greaterThan">
      <formula>$F$44</formula>
    </cfRule>
    <cfRule type="cellIs" dxfId="35" priority="69" stopIfTrue="1" operator="lessThanOrEqual">
      <formula>0</formula>
    </cfRule>
    <cfRule type="cellIs" dxfId="34" priority="71" stopIfTrue="1" operator="lessThanOrEqual">
      <formula>0</formula>
    </cfRule>
    <cfRule type="cellIs" dxfId="33" priority="73" stopIfTrue="1" operator="lessThanOrEqual">
      <formula>0</formula>
    </cfRule>
    <cfRule type="cellIs" dxfId="32" priority="70" stopIfTrue="1" operator="greaterThan">
      <formula>$F$46</formula>
    </cfRule>
    <cfRule type="cellIs" dxfId="31" priority="72" stopIfTrue="1" operator="greaterThan">
      <formula>$F$44</formula>
    </cfRule>
  </conditionalFormatting>
  <conditionalFormatting sqref="I72:I80">
    <cfRule type="cellIs" dxfId="30" priority="103" stopIfTrue="1" operator="greaterThan">
      <formula>$J72</formula>
    </cfRule>
    <cfRule type="cellIs" dxfId="29" priority="104" stopIfTrue="1" operator="lessThanOrEqual">
      <formula>0</formula>
    </cfRule>
  </conditionalFormatting>
  <conditionalFormatting sqref="I83:I91">
    <cfRule type="cellIs" dxfId="28" priority="131" stopIfTrue="1" operator="greaterThan">
      <formula>4.5</formula>
    </cfRule>
    <cfRule type="cellIs" dxfId="27" priority="132" stopIfTrue="1" operator="lessThanOrEqual">
      <formula>0</formula>
    </cfRule>
  </conditionalFormatting>
  <conditionalFormatting sqref="I10:J31">
    <cfRule type="cellIs" dxfId="26" priority="12" operator="lessThan">
      <formula>97.9</formula>
    </cfRule>
  </conditionalFormatting>
  <conditionalFormatting sqref="J34:J36">
    <cfRule type="cellIs" dxfId="25" priority="81" operator="lessThan">
      <formula>98</formula>
    </cfRule>
    <cfRule type="cellIs" dxfId="24" priority="79" stopIfTrue="1" operator="lessThan">
      <formula>96.8</formula>
    </cfRule>
    <cfRule type="cellIs" dxfId="23" priority="80" stopIfTrue="1" operator="greaterThan">
      <formula>100</formula>
    </cfRule>
  </conditionalFormatting>
  <conditionalFormatting sqref="J34:J38">
    <cfRule type="cellIs" dxfId="22" priority="78" operator="lessThan">
      <formula>97.4</formula>
    </cfRule>
  </conditionalFormatting>
  <conditionalFormatting sqref="J39">
    <cfRule type="cellIs" dxfId="21" priority="82" operator="lessThan">
      <formula>98</formula>
    </cfRule>
  </conditionalFormatting>
  <conditionalFormatting sqref="J41:J42">
    <cfRule type="cellIs" dxfId="20" priority="84" stopIfTrue="1" operator="greaterThan">
      <formula>100</formula>
    </cfRule>
    <cfRule type="cellIs" dxfId="19" priority="83" stopIfTrue="1" operator="lessThan">
      <formula>96.8</formula>
    </cfRule>
  </conditionalFormatting>
  <conditionalFormatting sqref="J41:J43">
    <cfRule type="cellIs" dxfId="18" priority="85" operator="lessThan">
      <formula>98</formula>
    </cfRule>
  </conditionalFormatting>
  <conditionalFormatting sqref="J81">
    <cfRule type="cellIs" dxfId="17" priority="87" stopIfTrue="1" operator="lessThanOrEqual">
      <formula>0</formula>
    </cfRule>
    <cfRule type="cellIs" dxfId="16" priority="86" stopIfTrue="1" operator="greaterThan">
      <formula>$F81</formula>
    </cfRule>
  </conditionalFormatting>
  <conditionalFormatting sqref="K10:K31">
    <cfRule type="cellIs" dxfId="15" priority="6" operator="greaterThan">
      <formula>6.4</formula>
    </cfRule>
    <cfRule type="cellIs" dxfId="14" priority="3" operator="lessThan">
      <formula>4</formula>
    </cfRule>
    <cfRule type="cellIs" dxfId="13" priority="2" operator="greaterThan">
      <formula>6</formula>
    </cfRule>
  </conditionalFormatting>
  <conditionalFormatting sqref="K63:K68">
    <cfRule type="cellIs" dxfId="12" priority="62" stopIfTrue="1" operator="lessThan">
      <formula>100%</formula>
    </cfRule>
  </conditionalFormatting>
  <conditionalFormatting sqref="K83:K88">
    <cfRule type="cellIs" dxfId="11" priority="137" stopIfTrue="1" operator="lessThan">
      <formula>100%</formula>
    </cfRule>
  </conditionalFormatting>
  <conditionalFormatting sqref="K90:K91">
    <cfRule type="cellIs" dxfId="10" priority="144" stopIfTrue="1" operator="lessThan">
      <formula>100%</formula>
    </cfRule>
  </conditionalFormatting>
  <conditionalFormatting sqref="K72:N80">
    <cfRule type="cellIs" dxfId="9" priority="31" stopIfTrue="1" operator="lessThan">
      <formula>100%</formula>
    </cfRule>
  </conditionalFormatting>
  <conditionalFormatting sqref="L10:L31">
    <cfRule type="cellIs" dxfId="8" priority="5" operator="greaterThan">
      <formula>65</formula>
    </cfRule>
    <cfRule type="cellIs" dxfId="7" priority="4" operator="between">
      <formula>61</formula>
      <formula>65</formula>
    </cfRule>
  </conditionalFormatting>
  <conditionalFormatting sqref="L34:M45">
    <cfRule type="cellIs" dxfId="6" priority="93" operator="lessThan">
      <formula>98</formula>
    </cfRule>
  </conditionalFormatting>
  <conditionalFormatting sqref="L49:N49">
    <cfRule type="cellIs" dxfId="5" priority="63" operator="notEqual">
      <formula>#REF!</formula>
    </cfRule>
  </conditionalFormatting>
  <conditionalFormatting sqref="L81:N81">
    <cfRule type="cellIs" dxfId="4" priority="88" stopIfTrue="1" operator="lessThan">
      <formula>100%</formula>
    </cfRule>
  </conditionalFormatting>
  <conditionalFormatting sqref="L83:N91">
    <cfRule type="cellIs" dxfId="3" priority="122" stopIfTrue="1" operator="lessThan">
      <formula>100%</formula>
    </cfRule>
  </conditionalFormatting>
  <conditionalFormatting sqref="M10:M31">
    <cfRule type="expression" dxfId="2" priority="11">
      <formula>IF(+(IF(M10&lt;U10,0,IF(M10&gt;V10,0,1)))=0,1)</formula>
    </cfRule>
  </conditionalFormatting>
  <conditionalFormatting sqref="N10:N31">
    <cfRule type="expression" dxfId="1" priority="10">
      <formula>IF(+(IF(N10&lt;W10,0,IF(N10&gt;X10,0,1)))=0,1)</formula>
    </cfRule>
  </conditionalFormatting>
  <conditionalFormatting sqref="P6">
    <cfRule type="cellIs" dxfId="0" priority="118" operator="greaterThanOrEqual">
      <formula>19</formula>
    </cfRule>
  </conditionalFormatting>
  <dataValidations disablePrompts="1" count="1">
    <dataValidation type="list" allowBlank="1" showInputMessage="1" showErrorMessage="1" sqref="R8" xr:uid="{47FC24B1-9B47-4D6E-BF9A-B476ABE9907A}">
      <formula1>ProductList</formula1>
    </dataValidation>
  </dataValidations>
  <pageMargins left="0.7" right="0.7" top="0.75" bottom="0.75" header="0.3" footer="0.3"/>
  <pageSetup scale="45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633" t="s">
        <v>58</v>
      </c>
      <c r="C2" s="633"/>
      <c r="D2" s="633"/>
      <c r="E2" s="633"/>
      <c r="F2" s="633"/>
      <c r="G2" s="633"/>
      <c r="H2" s="633"/>
      <c r="I2" s="633"/>
      <c r="J2" s="633"/>
      <c r="K2" s="633"/>
    </row>
    <row r="3" spans="2:14" ht="15.6" hidden="1" thickBot="1">
      <c r="B3" s="79"/>
    </row>
    <row r="4" spans="2:14" ht="13.8" hidden="1" thickBot="1">
      <c r="B4" s="78" t="s">
        <v>7</v>
      </c>
      <c r="C4" s="634">
        <v>41431</v>
      </c>
      <c r="D4" s="63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631" t="s">
        <v>17</v>
      </c>
      <c r="C8" s="617" t="s">
        <v>18</v>
      </c>
      <c r="D8" s="617" t="s">
        <v>59</v>
      </c>
      <c r="E8" s="80" t="s">
        <v>20</v>
      </c>
      <c r="F8" s="81" t="s">
        <v>21</v>
      </c>
      <c r="G8" s="617" t="s">
        <v>60</v>
      </c>
      <c r="H8" s="617" t="s">
        <v>61</v>
      </c>
      <c r="I8" s="637" t="s">
        <v>62</v>
      </c>
      <c r="J8" s="82" t="s">
        <v>25</v>
      </c>
      <c r="K8" s="627" t="s">
        <v>28</v>
      </c>
    </row>
    <row r="9" spans="2:14" ht="27" hidden="1" thickBot="1">
      <c r="B9" s="635"/>
      <c r="C9" s="636"/>
      <c r="D9" s="636"/>
      <c r="E9" s="83" t="s">
        <v>30</v>
      </c>
      <c r="F9" s="84" t="s">
        <v>63</v>
      </c>
      <c r="G9" s="636"/>
      <c r="H9" s="636"/>
      <c r="I9" s="638"/>
      <c r="J9" s="85" t="s">
        <v>32</v>
      </c>
      <c r="K9" s="639"/>
      <c r="L9" s="86"/>
      <c r="M9" s="86"/>
      <c r="N9" s="86"/>
    </row>
    <row r="10" spans="2:14" ht="13.8" hidden="1" thickBot="1">
      <c r="B10" s="87" t="s">
        <v>64</v>
      </c>
      <c r="C10" s="88" t="str">
        <f>[40]Brewhouse!A5359</f>
        <v>CA236</v>
      </c>
      <c r="D10" s="88">
        <f>[40]Brewhouse!B5359</f>
        <v>41437</v>
      </c>
      <c r="E10" s="89">
        <f>[40]Brewhouse!AG5359</f>
        <v>49.011000000000003</v>
      </c>
      <c r="F10" s="90">
        <f>[40]Brewhouse!T5359</f>
        <v>60</v>
      </c>
      <c r="G10" s="91">
        <f>[40]Brewhouse!I5359</f>
        <v>19.79</v>
      </c>
      <c r="H10" s="92">
        <f>[40]Brewhouse!AS5359</f>
        <v>94.981545664755075</v>
      </c>
      <c r="I10" s="92">
        <f>[40]Brewhouse!AT5359</f>
        <v>97.074072469002047</v>
      </c>
      <c r="J10" s="93">
        <f>[40]Brewhouse!S5359-[40]Brewhouse!R5359</f>
        <v>0.10694444444444451</v>
      </c>
      <c r="K10" s="94"/>
      <c r="N10" s="95"/>
    </row>
    <row r="11" spans="2:14" ht="13.8" hidden="1" thickBot="1">
      <c r="B11" s="96"/>
      <c r="C11" s="88" t="str">
        <f>[40]Brewhouse!A5360</f>
        <v>CA237</v>
      </c>
      <c r="D11" s="88">
        <f>[40]Brewhouse!B5360</f>
        <v>41437</v>
      </c>
      <c r="E11" s="89">
        <f>[40]Brewhouse!AG5360</f>
        <v>48.531999999999996</v>
      </c>
      <c r="F11" s="90">
        <f>[40]Brewhouse!T5360</f>
        <v>68</v>
      </c>
      <c r="G11" s="91">
        <f>[40]Brewhouse!I5360</f>
        <v>17.7</v>
      </c>
      <c r="H11" s="92">
        <f>[40]Brewhouse!AS5360</f>
        <v>94.053260986347809</v>
      </c>
      <c r="I11" s="92">
        <f>[40]Brewhouse!AT5360</f>
        <v>96.1253368644918</v>
      </c>
      <c r="J11" s="93">
        <f>[40]Brewhouse!S5360-[40]Brewhouse!R5360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[40]Brewhouse!A5361</f>
        <v>CA238</v>
      </c>
      <c r="D12" s="88">
        <f>[40]Brewhouse!B5361</f>
        <v>41437</v>
      </c>
      <c r="E12" s="89">
        <f>[40]Brewhouse!AG5361</f>
        <v>50.466999999999999</v>
      </c>
      <c r="F12" s="90">
        <f>[40]Brewhouse!T5361</f>
        <v>61</v>
      </c>
      <c r="G12" s="91">
        <f>[40]Brewhouse!I5361</f>
        <v>19.7</v>
      </c>
      <c r="H12" s="92">
        <f>[40]Brewhouse!AS5361</f>
        <v>96.931393272913695</v>
      </c>
      <c r="I12" s="92">
        <f>[40]Brewhouse!AT5361</f>
        <v>99.066876931102286</v>
      </c>
      <c r="J12" s="93">
        <f>[40]Brewhouse!S5361-[40]Brewhouse!R5361</f>
        <v>0.10208333333333341</v>
      </c>
      <c r="K12" s="98"/>
    </row>
    <row r="13" spans="2:14" ht="13.8" hidden="1" thickBot="1">
      <c r="B13" s="99"/>
      <c r="C13" s="88" t="str">
        <f>[40]Brewhouse!A5362</f>
        <v>CA239</v>
      </c>
      <c r="D13" s="88">
        <f>[40]Brewhouse!B5362</f>
        <v>41437</v>
      </c>
      <c r="E13" s="89">
        <f>[40]Brewhouse!AG5362</f>
        <v>49.374000000000002</v>
      </c>
      <c r="F13" s="90">
        <f>[40]Brewhouse!T5362</f>
        <v>62</v>
      </c>
      <c r="G13" s="91">
        <f>[40]Brewhouse!I5362</f>
        <v>19</v>
      </c>
      <c r="H13" s="92">
        <f>[40]Brewhouse!AS5362</f>
        <v>95.68502653795305</v>
      </c>
      <c r="I13" s="92">
        <f>[40]Brewhouse!AT5362</f>
        <v>97.793051643192499</v>
      </c>
      <c r="J13" s="93">
        <f>[40]Brewhouse!S5362-[40]Brewhouse!R5362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25" t="s">
        <v>69</v>
      </c>
      <c r="G21" s="626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[40]Brewhouse!N5359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[40]Brewhouse!N5360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[40]Brewhouse!N5361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[40]Brewhouse!N5362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AVERAGE([40]Brewhouse!$AS$5347:$AS$5362)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AVERAGE([41]Brewhouse!$AQ$641:$AQ$644)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AVERAGE([42]Brewhouse!$AU$708:$AU$711)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AVERAGE([43]Brewhouse!$AY$943:$AY$946)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631" t="s">
        <v>17</v>
      </c>
      <c r="C43" s="617" t="s">
        <v>18</v>
      </c>
      <c r="D43" s="617" t="s">
        <v>44</v>
      </c>
      <c r="E43" s="617" t="s">
        <v>79</v>
      </c>
      <c r="F43" s="617" t="s">
        <v>51</v>
      </c>
      <c r="G43" s="617" t="s">
        <v>48</v>
      </c>
      <c r="H43" s="619" t="s">
        <v>28</v>
      </c>
      <c r="I43" s="620"/>
      <c r="J43" s="620"/>
      <c r="K43" s="627" t="s">
        <v>27</v>
      </c>
    </row>
    <row r="44" spans="2:15" ht="15.75" hidden="1" customHeight="1" thickBot="1">
      <c r="B44" s="632"/>
      <c r="C44" s="618"/>
      <c r="D44" s="618"/>
      <c r="E44" s="618"/>
      <c r="F44" s="618"/>
      <c r="G44" s="618"/>
      <c r="H44" s="621"/>
      <c r="I44" s="622"/>
      <c r="J44" s="622"/>
      <c r="K44" s="628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9"/>
      <c r="I45" s="630"/>
      <c r="J45" s="630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23"/>
      <c r="I46" s="624"/>
      <c r="J46" s="624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23"/>
      <c r="I47" s="624"/>
      <c r="J47" s="624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23"/>
      <c r="I48" s="624"/>
      <c r="J48" s="624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615"/>
      <c r="I49" s="616"/>
      <c r="J49" s="616"/>
      <c r="K49" s="172"/>
    </row>
    <row r="50" spans="2:11" ht="13.8" hidden="1" thickBot="1">
      <c r="B50" s="173"/>
      <c r="C50" s="160"/>
      <c r="E50" s="168"/>
      <c r="F50" s="168"/>
      <c r="G50" s="145"/>
      <c r="H50" s="615"/>
      <c r="I50" s="616"/>
      <c r="J50" s="616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615"/>
      <c r="I51" s="616"/>
      <c r="J51" s="616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06"/>
      <c r="I52" s="607"/>
      <c r="J52" s="607"/>
      <c r="K52" s="183"/>
    </row>
    <row r="53" spans="2:11" ht="13.8" thickBot="1">
      <c r="B53" s="184"/>
      <c r="C53" s="117"/>
      <c r="D53" s="608" t="s">
        <v>80</v>
      </c>
      <c r="E53" s="608"/>
      <c r="F53" s="608"/>
      <c r="G53" s="608"/>
      <c r="H53" s="608"/>
      <c r="I53" s="608"/>
      <c r="J53" s="608"/>
      <c r="K53" s="185"/>
    </row>
    <row r="54" spans="2:11" ht="13.8" thickBot="1">
      <c r="B54" s="609" t="s">
        <v>55</v>
      </c>
      <c r="C54" s="610"/>
      <c r="D54" s="610"/>
      <c r="E54" s="611"/>
      <c r="F54" s="609" t="s">
        <v>56</v>
      </c>
      <c r="G54" s="610"/>
      <c r="H54" s="611"/>
      <c r="I54" s="612" t="s">
        <v>81</v>
      </c>
      <c r="J54" s="613"/>
      <c r="K54" s="614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[38]MTD!E5</f>
        <v>5.1046674390685336</v>
      </c>
      <c r="E56" s="192">
        <v>5</v>
      </c>
      <c r="F56" s="191"/>
      <c r="G56" s="76">
        <f>[36]July_2025!AN3</f>
        <v>4.0731714390887097</v>
      </c>
      <c r="H56" s="192">
        <v>5</v>
      </c>
      <c r="I56" s="193"/>
      <c r="J56" s="194">
        <f>[37]July_2025!AN13</f>
        <v>0.86202484976475791</v>
      </c>
      <c r="K56" s="195">
        <v>1</v>
      </c>
    </row>
    <row r="57" spans="2:11" ht="13.8">
      <c r="B57" s="33" t="s">
        <v>72</v>
      </c>
      <c r="C57" s="191"/>
      <c r="D57" s="76">
        <f>[38]MTD!E6</f>
        <v>4.9718187233652564</v>
      </c>
      <c r="E57" s="192">
        <v>5</v>
      </c>
      <c r="F57" s="191"/>
      <c r="G57" s="76">
        <f>[36]July_2025!AN4</f>
        <v>3.9510849485573889</v>
      </c>
      <c r="H57" s="192">
        <v>5</v>
      </c>
      <c r="I57" s="196"/>
      <c r="J57" s="194">
        <f>[37]July_2025!AN14</f>
        <v>0.73539212152056199</v>
      </c>
      <c r="K57" s="195">
        <v>1</v>
      </c>
    </row>
    <row r="58" spans="2:11" ht="13.8">
      <c r="B58" s="34" t="s">
        <v>73</v>
      </c>
      <c r="C58" s="191"/>
      <c r="D58" s="76">
        <f>[38]MTD!E7</f>
        <v>10.637289741767349</v>
      </c>
      <c r="E58" s="192">
        <v>5</v>
      </c>
      <c r="F58" s="191"/>
      <c r="G58" s="76">
        <f>[36]July_2025!AN5</f>
        <v>15.104013217358037</v>
      </c>
      <c r="H58" s="192">
        <v>5</v>
      </c>
      <c r="I58" s="196"/>
      <c r="J58" s="194">
        <f>[37]July_2025!AN15</f>
        <v>1.3112280701754386</v>
      </c>
      <c r="K58" s="195">
        <v>1</v>
      </c>
    </row>
    <row r="59" spans="2:11" ht="13.8">
      <c r="B59" s="197" t="s">
        <v>74</v>
      </c>
      <c r="C59" s="191"/>
      <c r="D59" s="76">
        <f>[38]MTD!E8</f>
        <v>3.4761321909424563</v>
      </c>
      <c r="E59" s="192">
        <v>3.5</v>
      </c>
      <c r="F59" s="191"/>
      <c r="G59" s="76">
        <f>[36]July_2025!AN6</f>
        <v>2.7479545757807706</v>
      </c>
      <c r="H59" s="192">
        <v>3.5</v>
      </c>
      <c r="I59" s="196"/>
      <c r="J59" s="194">
        <f>[37]July_2025!AN16</f>
        <v>1.3835087719298247</v>
      </c>
      <c r="K59" s="195">
        <v>1</v>
      </c>
    </row>
    <row r="60" spans="2:11" ht="14.4" thickBot="1">
      <c r="B60" s="38" t="s">
        <v>160</v>
      </c>
      <c r="C60" s="191"/>
      <c r="D60" s="76">
        <f>[38]MTD!E9</f>
        <v>7.837301587301579</v>
      </c>
      <c r="E60" s="192">
        <v>3.5</v>
      </c>
      <c r="F60" s="198"/>
      <c r="G60" s="76">
        <f>[36]July_2025!AN7</f>
        <v>5.3377569154690221</v>
      </c>
      <c r="H60" s="192">
        <v>3.5</v>
      </c>
      <c r="I60" s="196"/>
      <c r="J60" s="194">
        <f>[37]July_2025!AN17</f>
        <v>0.32596491228070179</v>
      </c>
      <c r="K60" s="195">
        <v>1</v>
      </c>
    </row>
    <row r="61" spans="2:11" ht="13.8">
      <c r="B61" s="199" t="s">
        <v>76</v>
      </c>
      <c r="C61" s="191"/>
      <c r="D61" s="76" t="e">
        <f>[38]MTD!E10</f>
        <v>#DIV/0!</v>
      </c>
      <c r="E61" s="200">
        <v>5</v>
      </c>
      <c r="F61" s="191"/>
      <c r="G61" s="76" t="e">
        <f>[36]July_2025!AN8</f>
        <v>#DIV/0!</v>
      </c>
      <c r="H61" s="200">
        <v>5</v>
      </c>
      <c r="I61" s="196"/>
      <c r="J61" s="194" t="e">
        <f>[37]July_2025!AN18</f>
        <v>#DIV/0!</v>
      </c>
      <c r="K61" s="195">
        <v>1</v>
      </c>
    </row>
    <row r="62" spans="2:11" ht="13.8">
      <c r="B62" s="201" t="s">
        <v>82</v>
      </c>
      <c r="C62" s="202"/>
      <c r="D62" s="76">
        <f>[38]MTD!E11</f>
        <v>2.6280731500544778</v>
      </c>
      <c r="E62" s="200">
        <v>3.3</v>
      </c>
      <c r="F62" s="202"/>
      <c r="G62" s="76">
        <f>[36]July_2025!AN9</f>
        <v>3.7067421587009979</v>
      </c>
      <c r="H62" s="200">
        <v>3.3</v>
      </c>
      <c r="I62" s="203"/>
      <c r="J62" s="194">
        <f>[37]July_2025!AN19</f>
        <v>1.4133333333333331</v>
      </c>
      <c r="K62" s="204">
        <v>1</v>
      </c>
    </row>
    <row r="63" spans="2:11" ht="14.4" thickBot="1">
      <c r="B63" s="38" t="s">
        <v>128</v>
      </c>
      <c r="C63" s="205"/>
      <c r="D63" s="76">
        <f>[38]MTD!E12</f>
        <v>11.483253588516746</v>
      </c>
      <c r="E63" s="206">
        <v>3.5</v>
      </c>
      <c r="F63" s="205"/>
      <c r="G63" s="76">
        <f>[36]July_2025!AN10</f>
        <v>9.7934336121043764</v>
      </c>
      <c r="H63" s="206">
        <v>3.5</v>
      </c>
      <c r="I63" s="207"/>
      <c r="J63" s="194">
        <f>[37]July_2025!AN20</f>
        <v>0.32456140350877194</v>
      </c>
      <c r="K63" s="208">
        <v>1</v>
      </c>
    </row>
    <row r="64" spans="2:11" ht="14.4" thickBot="1">
      <c r="B64" s="413" t="s">
        <v>159</v>
      </c>
      <c r="C64" s="198"/>
      <c r="D64" s="76">
        <f>[38]MTD!E13</f>
        <v>9.4974642692485105</v>
      </c>
      <c r="E64" s="192">
        <v>5</v>
      </c>
      <c r="F64" s="198"/>
      <c r="G64" s="76">
        <f>[36]July_2025!AN11</f>
        <v>10.183089539936029</v>
      </c>
      <c r="H64" s="192">
        <v>5</v>
      </c>
      <c r="I64" s="412"/>
      <c r="J64" s="194">
        <f>[37]July_2025!AN21</f>
        <v>0.68877192982456148</v>
      </c>
      <c r="K64" s="208">
        <v>1</v>
      </c>
    </row>
    <row r="65" spans="2:11">
      <c r="B65" s="209"/>
      <c r="C65" s="210"/>
      <c r="D65" s="76">
        <f>[38]MTD!E14</f>
        <v>5.2569795461468756</v>
      </c>
      <c r="E65" s="210"/>
      <c r="F65" s="210"/>
      <c r="G65" s="76">
        <f>[36]July_2025!AN12</f>
        <v>5.0004729846305853</v>
      </c>
      <c r="H65" s="211"/>
      <c r="I65" s="212"/>
      <c r="J65" s="194">
        <f>[37]July_2025!AN22</f>
        <v>0.86214085939486396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D56" sqref="D56:D66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633" t="s">
        <v>58</v>
      </c>
      <c r="C2" s="633"/>
      <c r="D2" s="633"/>
      <c r="E2" s="633"/>
      <c r="F2" s="633"/>
      <c r="G2" s="633"/>
      <c r="H2" s="633"/>
      <c r="I2" s="633"/>
      <c r="J2" s="633"/>
      <c r="K2" s="633"/>
    </row>
    <row r="3" spans="2:14" ht="15.6" hidden="1" thickBot="1">
      <c r="B3" s="79"/>
    </row>
    <row r="4" spans="2:14" ht="13.8" hidden="1" thickBot="1">
      <c r="B4" s="78" t="s">
        <v>7</v>
      </c>
      <c r="C4" s="634">
        <v>41431</v>
      </c>
      <c r="D4" s="63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631" t="s">
        <v>17</v>
      </c>
      <c r="C8" s="617" t="s">
        <v>18</v>
      </c>
      <c r="D8" s="617" t="s">
        <v>59</v>
      </c>
      <c r="E8" s="80" t="s">
        <v>20</v>
      </c>
      <c r="F8" s="81" t="s">
        <v>21</v>
      </c>
      <c r="G8" s="617" t="s">
        <v>60</v>
      </c>
      <c r="H8" s="617" t="s">
        <v>61</v>
      </c>
      <c r="I8" s="637" t="s">
        <v>62</v>
      </c>
      <c r="J8" s="82" t="s">
        <v>25</v>
      </c>
      <c r="K8" s="627" t="s">
        <v>28</v>
      </c>
    </row>
    <row r="9" spans="2:14" ht="27" hidden="1" thickBot="1">
      <c r="B9" s="635"/>
      <c r="C9" s="636"/>
      <c r="D9" s="636"/>
      <c r="E9" s="83" t="s">
        <v>30</v>
      </c>
      <c r="F9" s="84" t="s">
        <v>63</v>
      </c>
      <c r="G9" s="636"/>
      <c r="H9" s="636"/>
      <c r="I9" s="638"/>
      <c r="J9" s="85" t="s">
        <v>32</v>
      </c>
      <c r="K9" s="639"/>
      <c r="L9" s="86"/>
      <c r="M9" s="86"/>
      <c r="N9" s="86"/>
    </row>
    <row r="10" spans="2:14" ht="13.8" hidden="1" thickBot="1">
      <c r="B10" s="87" t="s">
        <v>64</v>
      </c>
      <c r="C10" s="88" t="str">
        <f>[40]Brewhouse!A5359</f>
        <v>CA236</v>
      </c>
      <c r="D10" s="88">
        <f>[40]Brewhouse!B5359</f>
        <v>41437</v>
      </c>
      <c r="E10" s="89">
        <f>[40]Brewhouse!AG5359</f>
        <v>49.011000000000003</v>
      </c>
      <c r="F10" s="90">
        <f>[40]Brewhouse!T5359</f>
        <v>60</v>
      </c>
      <c r="G10" s="91">
        <f>[40]Brewhouse!I5359</f>
        <v>19.79</v>
      </c>
      <c r="H10" s="92">
        <f>[40]Brewhouse!AS5359</f>
        <v>94.981545664755075</v>
      </c>
      <c r="I10" s="92">
        <f>[40]Brewhouse!AT5359</f>
        <v>97.074072469002047</v>
      </c>
      <c r="J10" s="93">
        <f>[40]Brewhouse!S5359-[40]Brewhouse!R5359</f>
        <v>0.10694444444444451</v>
      </c>
      <c r="K10" s="94"/>
      <c r="N10" s="95"/>
    </row>
    <row r="11" spans="2:14" ht="13.8" hidden="1" thickBot="1">
      <c r="B11" s="96"/>
      <c r="C11" s="88" t="str">
        <f>[40]Brewhouse!A5360</f>
        <v>CA237</v>
      </c>
      <c r="D11" s="88">
        <f>[40]Brewhouse!B5360</f>
        <v>41437</v>
      </c>
      <c r="E11" s="89">
        <f>[40]Brewhouse!AG5360</f>
        <v>48.531999999999996</v>
      </c>
      <c r="F11" s="90">
        <f>[40]Brewhouse!T5360</f>
        <v>68</v>
      </c>
      <c r="G11" s="91">
        <f>[40]Brewhouse!I5360</f>
        <v>17.7</v>
      </c>
      <c r="H11" s="92">
        <f>[40]Brewhouse!AS5360</f>
        <v>94.053260986347809</v>
      </c>
      <c r="I11" s="92">
        <f>[40]Brewhouse!AT5360</f>
        <v>96.1253368644918</v>
      </c>
      <c r="J11" s="93">
        <f>[40]Brewhouse!S5360-[40]Brewhouse!R5360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[40]Brewhouse!A5361</f>
        <v>CA238</v>
      </c>
      <c r="D12" s="88">
        <f>[40]Brewhouse!B5361</f>
        <v>41437</v>
      </c>
      <c r="E12" s="89">
        <f>[40]Brewhouse!AG5361</f>
        <v>50.466999999999999</v>
      </c>
      <c r="F12" s="90">
        <f>[40]Brewhouse!T5361</f>
        <v>61</v>
      </c>
      <c r="G12" s="91">
        <f>[40]Brewhouse!I5361</f>
        <v>19.7</v>
      </c>
      <c r="H12" s="92">
        <f>[40]Brewhouse!AS5361</f>
        <v>96.931393272913695</v>
      </c>
      <c r="I12" s="92">
        <f>[40]Brewhouse!AT5361</f>
        <v>99.066876931102286</v>
      </c>
      <c r="J12" s="93">
        <f>[40]Brewhouse!S5361-[40]Brewhouse!R5361</f>
        <v>0.10208333333333341</v>
      </c>
      <c r="K12" s="98"/>
    </row>
    <row r="13" spans="2:14" ht="13.8" hidden="1" thickBot="1">
      <c r="B13" s="99"/>
      <c r="C13" s="88" t="str">
        <f>[40]Brewhouse!A5362</f>
        <v>CA239</v>
      </c>
      <c r="D13" s="88">
        <f>[40]Brewhouse!B5362</f>
        <v>41437</v>
      </c>
      <c r="E13" s="89">
        <f>[40]Brewhouse!AG5362</f>
        <v>49.374000000000002</v>
      </c>
      <c r="F13" s="90">
        <f>[40]Brewhouse!T5362</f>
        <v>62</v>
      </c>
      <c r="G13" s="91">
        <f>[40]Brewhouse!I5362</f>
        <v>19</v>
      </c>
      <c r="H13" s="92">
        <f>[40]Brewhouse!AS5362</f>
        <v>95.68502653795305</v>
      </c>
      <c r="I13" s="92">
        <f>[40]Brewhouse!AT5362</f>
        <v>97.793051643192499</v>
      </c>
      <c r="J13" s="93">
        <f>[40]Brewhouse!S5362-[40]Brewhouse!R5362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625" t="s">
        <v>69</v>
      </c>
      <c r="G21" s="626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[40]Brewhouse!N5359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[40]Brewhouse!N5360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[40]Brewhouse!N5361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[40]Brewhouse!N5362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AVERAGE([40]Brewhouse!$AS$5347:$AS$5362)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AVERAGE([41]Brewhouse!$AQ$641:$AQ$644)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AVERAGE([42]Brewhouse!$AU$708:$AU$711)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AVERAGE([43]Brewhouse!$AY$943:$AY$946)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631" t="s">
        <v>17</v>
      </c>
      <c r="C43" s="617" t="s">
        <v>18</v>
      </c>
      <c r="D43" s="617" t="s">
        <v>44</v>
      </c>
      <c r="E43" s="617" t="s">
        <v>79</v>
      </c>
      <c r="F43" s="617" t="s">
        <v>51</v>
      </c>
      <c r="G43" s="617" t="s">
        <v>48</v>
      </c>
      <c r="H43" s="619" t="s">
        <v>28</v>
      </c>
      <c r="I43" s="620"/>
      <c r="J43" s="620"/>
      <c r="K43" s="627" t="s">
        <v>27</v>
      </c>
    </row>
    <row r="44" spans="2:15" ht="15.75" hidden="1" customHeight="1" thickBot="1">
      <c r="B44" s="632"/>
      <c r="C44" s="618"/>
      <c r="D44" s="618"/>
      <c r="E44" s="618"/>
      <c r="F44" s="618"/>
      <c r="G44" s="618"/>
      <c r="H44" s="621"/>
      <c r="I44" s="622"/>
      <c r="J44" s="622"/>
      <c r="K44" s="628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9"/>
      <c r="I45" s="630"/>
      <c r="J45" s="630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23"/>
      <c r="I46" s="624"/>
      <c r="J46" s="624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23"/>
      <c r="I47" s="624"/>
      <c r="J47" s="624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23"/>
      <c r="I48" s="624"/>
      <c r="J48" s="624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615"/>
      <c r="I49" s="616"/>
      <c r="J49" s="616"/>
      <c r="K49" s="172"/>
    </row>
    <row r="50" spans="2:11" ht="13.8" hidden="1" thickBot="1">
      <c r="B50" s="173"/>
      <c r="C50" s="160"/>
      <c r="E50" s="168"/>
      <c r="F50" s="168"/>
      <c r="G50" s="145"/>
      <c r="H50" s="615"/>
      <c r="I50" s="616"/>
      <c r="J50" s="616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615"/>
      <c r="I51" s="616"/>
      <c r="J51" s="616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06"/>
      <c r="I52" s="607"/>
      <c r="J52" s="607"/>
      <c r="K52" s="183"/>
    </row>
    <row r="53" spans="2:11" ht="13.8" thickBot="1">
      <c r="B53" s="184"/>
      <c r="C53" s="117"/>
      <c r="D53" s="608" t="s">
        <v>80</v>
      </c>
      <c r="E53" s="608"/>
      <c r="F53" s="608"/>
      <c r="G53" s="608"/>
      <c r="H53" s="608"/>
      <c r="I53" s="608"/>
      <c r="J53" s="608"/>
      <c r="K53" s="185"/>
    </row>
    <row r="54" spans="2:11" ht="13.8" thickBot="1">
      <c r="B54" s="609" t="s">
        <v>55</v>
      </c>
      <c r="C54" s="610"/>
      <c r="D54" s="610"/>
      <c r="E54" s="611"/>
      <c r="F54" s="609" t="s">
        <v>56</v>
      </c>
      <c r="G54" s="610"/>
      <c r="H54" s="611"/>
      <c r="I54" s="612" t="s">
        <v>81</v>
      </c>
      <c r="J54" s="613"/>
      <c r="K54" s="614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'[38]YTD 2025'!E5</f>
        <v>6.3510712927007873</v>
      </c>
      <c r="E56" s="192">
        <v>5</v>
      </c>
      <c r="F56" s="191"/>
      <c r="G56" s="76">
        <f>[36]July_2025!AQ3</f>
        <v>6.1781700333118934</v>
      </c>
      <c r="H56" s="192">
        <v>5</v>
      </c>
      <c r="I56" s="193"/>
      <c r="J56" s="194">
        <f>[37]July_2025!AQ13</f>
        <v>0.73901325166961152</v>
      </c>
      <c r="K56" s="195">
        <v>1</v>
      </c>
    </row>
    <row r="57" spans="2:11" ht="13.8">
      <c r="B57" s="33" t="s">
        <v>72</v>
      </c>
      <c r="C57" s="191"/>
      <c r="D57" s="76">
        <f>'[38]YTD 2025'!E6</f>
        <v>5.9419799243536175</v>
      </c>
      <c r="E57" s="192">
        <v>5</v>
      </c>
      <c r="F57" s="191"/>
      <c r="G57" s="76">
        <f>[36]July_2025!AQ4</f>
        <v>5.5277535995776326</v>
      </c>
      <c r="H57" s="192">
        <v>5</v>
      </c>
      <c r="I57" s="196"/>
      <c r="J57" s="194">
        <f>[37]July_2025!AQ14</f>
        <v>0.75853637615238823</v>
      </c>
      <c r="K57" s="195">
        <v>1</v>
      </c>
    </row>
    <row r="58" spans="2:11" ht="13.8">
      <c r="B58" s="34" t="s">
        <v>73</v>
      </c>
      <c r="C58" s="191"/>
      <c r="D58" s="76">
        <f>'[38]YTD 2025'!E7</f>
        <v>11.810347142051688</v>
      </c>
      <c r="E58" s="192">
        <v>5</v>
      </c>
      <c r="F58" s="191"/>
      <c r="G58" s="76">
        <f>[36]July_2025!AQ5</f>
        <v>13.346478504717604</v>
      </c>
      <c r="H58" s="192">
        <v>5</v>
      </c>
      <c r="I58" s="196"/>
      <c r="J58" s="194">
        <f>[37]July_2025!AQ15</f>
        <v>0.54260860979462877</v>
      </c>
      <c r="K58" s="195">
        <v>1</v>
      </c>
    </row>
    <row r="59" spans="2:11" ht="13.8">
      <c r="B59" s="197" t="s">
        <v>74</v>
      </c>
      <c r="C59" s="191"/>
      <c r="D59" s="76">
        <f>'[38]YTD 2025'!E8</f>
        <v>5.119233255999676</v>
      </c>
      <c r="E59" s="192">
        <v>3.5</v>
      </c>
      <c r="F59" s="191"/>
      <c r="G59" s="76">
        <f>[36]July_2025!AQ6</f>
        <v>4.8747400258857825</v>
      </c>
      <c r="H59" s="192">
        <v>3.5</v>
      </c>
      <c r="I59" s="196"/>
      <c r="J59" s="194">
        <f>[37]July_2025!AQ16</f>
        <v>0.77839364035087721</v>
      </c>
      <c r="K59" s="195">
        <v>1</v>
      </c>
    </row>
    <row r="60" spans="2:11" ht="14.4" thickBot="1">
      <c r="B60" s="38" t="s">
        <v>160</v>
      </c>
      <c r="C60" s="191"/>
      <c r="D60" s="76">
        <f>'[38]YTD 2025'!E9</f>
        <v>7.837301587301579</v>
      </c>
      <c r="E60" s="192">
        <v>3.5</v>
      </c>
      <c r="F60" s="198"/>
      <c r="G60" s="76">
        <f>[36]July_2025!AQ7</f>
        <v>5.3377569154690221</v>
      </c>
      <c r="H60" s="192">
        <v>3.5</v>
      </c>
      <c r="I60" s="196"/>
      <c r="J60" s="194">
        <f>[37]July_2025!AQ17</f>
        <v>0.32596491228070179</v>
      </c>
      <c r="K60" s="195">
        <v>1</v>
      </c>
    </row>
    <row r="61" spans="2:11" ht="13.8">
      <c r="B61" s="199" t="s">
        <v>76</v>
      </c>
      <c r="C61" s="191"/>
      <c r="D61" s="76">
        <f>'[38]YTD 2025'!E10</f>
        <v>7.3129862357869699</v>
      </c>
      <c r="E61" s="200">
        <v>5</v>
      </c>
      <c r="F61" s="191"/>
      <c r="G61" s="76">
        <f>[36]July_2025!AQ8</f>
        <v>8.9862703283331644</v>
      </c>
      <c r="H61" s="200">
        <v>5</v>
      </c>
      <c r="I61" s="196"/>
      <c r="J61" s="194">
        <f>[37]July_2025!AQ18</f>
        <v>0.59276315789473688</v>
      </c>
      <c r="K61" s="195">
        <v>1</v>
      </c>
    </row>
    <row r="62" spans="2:11" ht="13.8">
      <c r="B62" s="201" t="s">
        <v>82</v>
      </c>
      <c r="C62" s="202"/>
      <c r="D62" s="76">
        <f>'[38]YTD 2025'!E11</f>
        <v>2.9944583076773386</v>
      </c>
      <c r="E62" s="200">
        <v>3.3</v>
      </c>
      <c r="F62" s="202"/>
      <c r="G62" s="76">
        <f>[36]July_2025!AQ9</f>
        <v>4.4143013271100786</v>
      </c>
      <c r="H62" s="200">
        <v>3.3</v>
      </c>
      <c r="I62" s="203"/>
      <c r="J62" s="194">
        <f>[37]July_2025!AQ19</f>
        <v>0.8541249226963511</v>
      </c>
      <c r="K62" s="204">
        <v>1</v>
      </c>
    </row>
    <row r="63" spans="2:11" ht="14.4" thickBot="1">
      <c r="B63" s="38" t="s">
        <v>128</v>
      </c>
      <c r="C63" s="205"/>
      <c r="D63" s="76">
        <f>'[38]YTD 2025'!E12</f>
        <v>11.483253588516746</v>
      </c>
      <c r="E63" s="206">
        <v>3.5</v>
      </c>
      <c r="F63" s="205"/>
      <c r="G63" s="76">
        <f>[36]July_2025!AQ10</f>
        <v>9.7934336121043764</v>
      </c>
      <c r="H63" s="206">
        <v>3.5</v>
      </c>
      <c r="I63" s="207"/>
      <c r="J63" s="194">
        <f>[37]July_2025!AQ20</f>
        <v>0.32456140350877194</v>
      </c>
      <c r="K63" s="208">
        <v>1</v>
      </c>
    </row>
    <row r="64" spans="2:11" ht="14.4" thickBot="1">
      <c r="B64" s="413" t="s">
        <v>159</v>
      </c>
      <c r="C64" s="205"/>
      <c r="D64" s="76">
        <f>'[38]YTD 2025'!E13</f>
        <v>7.2653644592663174</v>
      </c>
      <c r="E64" s="206">
        <v>5</v>
      </c>
      <c r="F64" s="205"/>
      <c r="G64" s="76">
        <f>[36]July_2025!AQ11</f>
        <v>8.1715311054411259</v>
      </c>
      <c r="H64" s="206">
        <v>5</v>
      </c>
      <c r="I64" s="207"/>
      <c r="J64" s="194">
        <f>[37]July_2025!AQ21</f>
        <v>0.51368421052631585</v>
      </c>
      <c r="K64" s="208">
        <v>1</v>
      </c>
    </row>
    <row r="65" spans="2:11">
      <c r="B65" s="209"/>
      <c r="C65" s="210"/>
      <c r="D65" s="76">
        <f>'[38]YTD 2025'!E14</f>
        <v>6.4008234240462007</v>
      </c>
      <c r="E65" s="210"/>
      <c r="F65" s="210"/>
      <c r="G65" s="76">
        <f>[36]July_2025!AQ12</f>
        <v>6.5775457526317638</v>
      </c>
      <c r="H65" s="211"/>
      <c r="I65" s="212"/>
      <c r="J65" s="194">
        <f>[37]July_2025!AQ22</f>
        <v>0.72223081897371522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640" t="s">
        <v>34</v>
      </c>
      <c r="C2" s="640"/>
      <c r="D2" s="640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640" t="s">
        <v>100</v>
      </c>
      <c r="C14" s="640"/>
      <c r="D14" s="640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640" t="s">
        <v>101</v>
      </c>
      <c r="C27" s="640"/>
      <c r="D27" s="640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42" t="s">
        <v>102</v>
      </c>
      <c r="D3" s="643"/>
      <c r="E3" s="644">
        <f ca="1">TODAY()</f>
        <v>45875</v>
      </c>
      <c r="F3" s="644"/>
      <c r="G3" s="644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45" t="s">
        <v>143</v>
      </c>
      <c r="D14" s="645"/>
      <c r="E14" s="645"/>
      <c r="F14" s="645"/>
      <c r="G14" s="645"/>
      <c r="H14" s="645"/>
    </row>
    <row r="15" spans="3:23" ht="15" customHeight="1">
      <c r="C15" s="645"/>
      <c r="D15" s="645"/>
      <c r="E15" s="645"/>
      <c r="F15" s="645"/>
      <c r="G15" s="645"/>
      <c r="H15" s="645"/>
    </row>
    <row r="16" spans="3:23" ht="15" customHeight="1">
      <c r="C16" s="645"/>
      <c r="D16" s="645"/>
      <c r="E16" s="645"/>
      <c r="F16" s="645"/>
      <c r="G16" s="645"/>
      <c r="H16" s="645"/>
    </row>
    <row r="17" spans="3:8" ht="15" customHeight="1">
      <c r="C17" s="645"/>
      <c r="D17" s="645"/>
      <c r="E17" s="645"/>
      <c r="F17" s="645"/>
      <c r="G17" s="645"/>
      <c r="H17" s="645"/>
    </row>
    <row r="18" spans="3:8" ht="15" customHeight="1">
      <c r="C18" s="645"/>
      <c r="D18" s="645"/>
      <c r="E18" s="645"/>
      <c r="F18" s="645"/>
      <c r="G18" s="645"/>
      <c r="H18" s="645"/>
    </row>
    <row r="19" spans="3:8" ht="15" customHeight="1">
      <c r="C19" s="645"/>
      <c r="D19" s="645"/>
      <c r="E19" s="645"/>
      <c r="F19" s="645"/>
      <c r="G19" s="645"/>
      <c r="H19" s="645"/>
    </row>
    <row r="20" spans="3:8" ht="15" customHeight="1">
      <c r="C20" s="645"/>
      <c r="D20" s="645"/>
      <c r="E20" s="645"/>
      <c r="F20" s="645"/>
      <c r="G20" s="645"/>
      <c r="H20" s="645"/>
    </row>
    <row r="21" spans="3:8" ht="15" customHeight="1">
      <c r="C21" s="645"/>
      <c r="D21" s="645"/>
      <c r="E21" s="645"/>
      <c r="F21" s="645"/>
      <c r="G21" s="645"/>
      <c r="H21" s="645"/>
    </row>
    <row r="22" spans="3:8" ht="15" customHeight="1">
      <c r="C22" s="645"/>
      <c r="D22" s="645"/>
      <c r="E22" s="645"/>
      <c r="F22" s="645"/>
      <c r="G22" s="645"/>
      <c r="H22" s="645"/>
    </row>
    <row r="23" spans="3:8" ht="15" customHeight="1">
      <c r="C23" s="645"/>
      <c r="D23" s="645"/>
      <c r="E23" s="645"/>
      <c r="F23" s="645"/>
      <c r="G23" s="645"/>
      <c r="H23" s="645"/>
    </row>
    <row r="24" spans="3:8" ht="15" customHeight="1">
      <c r="C24" s="645"/>
      <c r="D24" s="645"/>
      <c r="E24" s="645"/>
      <c r="F24" s="645"/>
      <c r="G24" s="645"/>
      <c r="H24" s="645"/>
    </row>
    <row r="25" spans="3:8" ht="15" customHeight="1">
      <c r="C25" s="645"/>
      <c r="D25" s="645"/>
      <c r="E25" s="645"/>
      <c r="F25" s="645"/>
      <c r="G25" s="645"/>
      <c r="H25" s="645"/>
    </row>
    <row r="26" spans="3:8" ht="15" customHeight="1">
      <c r="C26" s="645"/>
      <c r="D26" s="645"/>
      <c r="E26" s="645"/>
      <c r="F26" s="645"/>
      <c r="G26" s="645"/>
      <c r="H26" s="645"/>
    </row>
    <row r="27" spans="3:8" ht="15" customHeight="1">
      <c r="C27" s="645"/>
      <c r="D27" s="645"/>
      <c r="E27" s="645"/>
      <c r="F27" s="645"/>
      <c r="G27" s="645"/>
      <c r="H27" s="645"/>
    </row>
    <row r="28" spans="3:8" ht="15" customHeight="1">
      <c r="C28" s="645"/>
      <c r="D28" s="645"/>
      <c r="E28" s="645"/>
      <c r="F28" s="645"/>
      <c r="G28" s="645"/>
      <c r="H28" s="645"/>
    </row>
    <row r="29" spans="3:8" ht="15" customHeight="1">
      <c r="C29" s="645"/>
      <c r="D29" s="645"/>
      <c r="E29" s="645"/>
      <c r="F29" s="645"/>
      <c r="G29" s="645"/>
      <c r="H29" s="645"/>
    </row>
    <row r="30" spans="3:8" ht="15" customHeight="1">
      <c r="C30" s="645"/>
      <c r="D30" s="645"/>
      <c r="E30" s="645"/>
      <c r="F30" s="645"/>
      <c r="G30" s="645"/>
      <c r="H30" s="645"/>
    </row>
    <row r="31" spans="3:8" ht="15" customHeight="1">
      <c r="C31" s="645"/>
      <c r="D31" s="645"/>
      <c r="E31" s="645"/>
      <c r="F31" s="645"/>
      <c r="G31" s="645"/>
      <c r="H31" s="645"/>
    </row>
    <row r="36" spans="2:17" ht="15" customHeight="1"/>
    <row r="37" spans="2:17" ht="15" customHeight="1"/>
    <row r="38" spans="2:17" ht="30.75" customHeight="1" thickBot="1">
      <c r="C38" s="646" t="s">
        <v>109</v>
      </c>
      <c r="D38" s="646"/>
      <c r="E38" s="646"/>
      <c r="F38" s="647">
        <f ca="1">TODAY()</f>
        <v>45875</v>
      </c>
      <c r="G38" s="647"/>
      <c r="H38" s="647"/>
      <c r="I38" s="647"/>
      <c r="J38" s="648" t="s">
        <v>110</v>
      </c>
      <c r="K38" s="648"/>
      <c r="L38" s="648"/>
      <c r="M38" s="648"/>
      <c r="N38" s="648"/>
      <c r="O38" s="648"/>
      <c r="P38" s="648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'[44]Brewer Performance'!D40</f>
        <v>96.507822129582451</v>
      </c>
      <c r="E40" s="259">
        <f>AVERAGE('[45]Feb. 1'!I12:I13,'[45]Feb. 2'!I11:I14,[45]Feb.4!I13,[45]Feb.8!I14:I16,[45]Feb.9!I14,[45]Feb.9!I17:I18,[45]Feb10!I13:I16,[45]Feb14!I17,[45]Feb14!I15:I17,[45]Feb17!I10,[45]Feb17!I19:I21,'[45]Feb 21'!I10:I12,'[45]Feb 22'!I11:I13,'[45]Feb 23'!I14:I16,'[45]Feb 24'!I10:I12,'[45]Feb 25'!I13:I15,'[45]Feb 28'!I15:I18)</f>
        <v>98.284801217583563</v>
      </c>
      <c r="F40" s="259">
        <v>98.226686244092193</v>
      </c>
      <c r="G40" s="259">
        <v>98.210530202427222</v>
      </c>
      <c r="H40" s="259">
        <f>'[46]Brewer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'[44]Brewer Performance'!D41</f>
        <v>97.99738587335284</v>
      </c>
      <c r="E41" s="259">
        <f>AVERAGE('[45]Feb. 1'!I10:I11,'[45]Feb. 2'!I10,[45]Feb.3!I11:I13,[45]Feb.4!I10:I12,[45]Feb.8!I10,[45]Feb.8!I13,[45]Feb.9!I10:I13,[45]Feb10!I10:I12,[45]Feb11!I11:I13,[45]Feb14!I13:I14,[45]Feb17!I16:I18,[45]Feb18!I13:I15,'[45]Feb 21'!I17:I19,'[45]Feb 22'!I10,'[45]Feb 22'!I20:I22,'[45]Feb 23'!I10:I11,'[45]Feb 23'!I21,'[45]Feb 25'!I10:I12,'[45]Feb 28'!I11:I14)</f>
        <v>97.918121549662388</v>
      </c>
      <c r="F41" s="259">
        <v>98.070081368185257</v>
      </c>
      <c r="G41" s="259">
        <v>97.79453968977019</v>
      </c>
      <c r="H41" s="259">
        <f>'[46]Brewer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'[44]Brewer Performance'!D43</f>
        <v>98.304611060419475</v>
      </c>
      <c r="E44" s="259">
        <f>AVERAGE('[45]Feb. 2'!I15,[45]Feb.3!I10,[45]Feb.4!I16:I17,[45]Feb.8!I19:I21,[45]Feb.9!I19:I20,[45]Feb10!I17:I18,[45]Feb11!I10,[45]Feb14!I10:I12,[45]Feb17!I11:I13,[45]Feb18!I10:I12,'[45]Feb 21'!I13,'[45]Feb 21'!I16,'[45]Feb 22'!I16:I19,'[45]Feb 23'!I17:I20,'[45]Feb 24'!I15:I18,'[45]Feb 25'!I16:I17,'[45]Feb 28'!I10,'[45]Feb 28'!I19:I20)</f>
        <v>97.289162940824014</v>
      </c>
      <c r="F44" s="259">
        <v>98.163642226187022</v>
      </c>
      <c r="G44" s="259">
        <v>97.964054285784258</v>
      </c>
      <c r="H44" s="259">
        <f>'[46]Brewer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'[44]Brewer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'[44]Brewer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41" t="s">
        <v>123</v>
      </c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</row>
    <row r="49" spans="2:17" ht="15" customHeight="1"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</row>
    <row r="50" spans="2:17" ht="15" customHeight="1">
      <c r="B50" s="641"/>
      <c r="C50" s="641"/>
      <c r="D50" s="641"/>
      <c r="E50" s="641"/>
      <c r="F50" s="641"/>
      <c r="G50" s="641"/>
      <c r="H50" s="641"/>
      <c r="I50" s="641"/>
      <c r="J50" s="641"/>
      <c r="K50" s="641"/>
      <c r="L50" s="641"/>
      <c r="M50" s="641"/>
      <c r="N50" s="641"/>
      <c r="O50" s="641"/>
      <c r="P50" s="641"/>
      <c r="Q50" s="641"/>
    </row>
    <row r="51" spans="2:17" ht="15" customHeight="1">
      <c r="B51" s="641"/>
      <c r="C51" s="641"/>
      <c r="D51" s="641"/>
      <c r="E51" s="641"/>
      <c r="F51" s="641"/>
      <c r="G51" s="641"/>
      <c r="H51" s="641"/>
      <c r="I51" s="641"/>
      <c r="J51" s="641"/>
      <c r="K51" s="641"/>
      <c r="L51" s="641"/>
      <c r="M51" s="641"/>
      <c r="N51" s="641"/>
      <c r="O51" s="641"/>
      <c r="P51" s="641"/>
      <c r="Q51" s="641"/>
    </row>
    <row r="52" spans="2:17" ht="15" customHeight="1">
      <c r="B52" s="641"/>
      <c r="C52" s="641"/>
      <c r="D52" s="641"/>
      <c r="E52" s="641"/>
      <c r="F52" s="641"/>
      <c r="G52" s="641"/>
      <c r="H52" s="641"/>
      <c r="I52" s="641"/>
      <c r="J52" s="641"/>
      <c r="K52" s="641"/>
      <c r="L52" s="641"/>
      <c r="M52" s="641"/>
      <c r="N52" s="641"/>
      <c r="O52" s="641"/>
      <c r="P52" s="641"/>
      <c r="Q52" s="641"/>
    </row>
    <row r="53" spans="2:17" ht="15" customHeight="1">
      <c r="B53" s="641"/>
      <c r="C53" s="641"/>
      <c r="D53" s="641"/>
      <c r="E53" s="641"/>
      <c r="F53" s="641"/>
      <c r="G53" s="641"/>
      <c r="H53" s="641"/>
      <c r="I53" s="641"/>
      <c r="J53" s="641"/>
      <c r="K53" s="641"/>
      <c r="L53" s="641"/>
      <c r="M53" s="641"/>
      <c r="N53" s="641"/>
      <c r="O53" s="641"/>
      <c r="P53" s="641"/>
      <c r="Q53" s="641"/>
    </row>
    <row r="54" spans="2:17" ht="15" customHeight="1">
      <c r="B54" s="641"/>
      <c r="C54" s="641"/>
      <c r="D54" s="641"/>
      <c r="E54" s="641"/>
      <c r="F54" s="641"/>
      <c r="G54" s="641"/>
      <c r="H54" s="641"/>
      <c r="I54" s="641"/>
      <c r="J54" s="641"/>
      <c r="K54" s="641"/>
      <c r="L54" s="641"/>
      <c r="M54" s="641"/>
      <c r="N54" s="641"/>
      <c r="O54" s="641"/>
      <c r="P54" s="641"/>
      <c r="Q54" s="641"/>
    </row>
    <row r="55" spans="2:17" ht="15" customHeight="1"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</row>
    <row r="56" spans="2:17" ht="15" customHeight="1">
      <c r="B56" s="641"/>
      <c r="C56" s="641"/>
      <c r="D56" s="641"/>
      <c r="E56" s="641"/>
      <c r="F56" s="641"/>
      <c r="G56" s="641"/>
      <c r="H56" s="641"/>
      <c r="I56" s="641"/>
      <c r="J56" s="641"/>
      <c r="K56" s="641"/>
      <c r="L56" s="641"/>
      <c r="M56" s="641"/>
      <c r="N56" s="641"/>
      <c r="O56" s="641"/>
      <c r="P56" s="641"/>
      <c r="Q56" s="641"/>
    </row>
    <row r="57" spans="2:17" ht="15" customHeight="1">
      <c r="B57" s="641"/>
      <c r="C57" s="641"/>
      <c r="D57" s="641"/>
      <c r="E57" s="641"/>
      <c r="F57" s="641"/>
      <c r="G57" s="641"/>
      <c r="H57" s="641"/>
      <c r="I57" s="641"/>
      <c r="J57" s="641"/>
      <c r="K57" s="641"/>
      <c r="L57" s="641"/>
      <c r="M57" s="641"/>
      <c r="N57" s="641"/>
      <c r="O57" s="641"/>
      <c r="P57" s="641"/>
      <c r="Q57" s="641"/>
    </row>
    <row r="58" spans="2:17" ht="15" customHeight="1"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1"/>
      <c r="P58" s="641"/>
      <c r="Q58" s="641"/>
    </row>
    <row r="59" spans="2:17" ht="15" customHeight="1"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  <c r="N59" s="641"/>
      <c r="O59" s="641"/>
      <c r="P59" s="641"/>
      <c r="Q59" s="641"/>
    </row>
    <row r="60" spans="2:17" ht="15" customHeight="1">
      <c r="B60" s="641"/>
      <c r="C60" s="641"/>
      <c r="D60" s="641"/>
      <c r="E60" s="641"/>
      <c r="F60" s="641"/>
      <c r="G60" s="641"/>
      <c r="H60" s="641"/>
      <c r="I60" s="641"/>
      <c r="J60" s="641"/>
      <c r="K60" s="641"/>
      <c r="L60" s="641"/>
      <c r="M60" s="641"/>
      <c r="N60" s="641"/>
      <c r="O60" s="641"/>
      <c r="P60" s="641"/>
      <c r="Q60" s="641"/>
    </row>
    <row r="61" spans="2:17" ht="15" customHeight="1">
      <c r="B61" s="641"/>
      <c r="C61" s="641"/>
      <c r="D61" s="641"/>
      <c r="E61" s="641"/>
      <c r="F61" s="641"/>
      <c r="G61" s="641"/>
      <c r="H61" s="641"/>
      <c r="I61" s="641"/>
      <c r="J61" s="641"/>
      <c r="K61" s="641"/>
      <c r="L61" s="641"/>
      <c r="M61" s="641"/>
      <c r="N61" s="641"/>
      <c r="O61" s="641"/>
      <c r="P61" s="641"/>
      <c r="Q61" s="641"/>
    </row>
    <row r="62" spans="2:17" ht="15" customHeight="1">
      <c r="B62" s="641"/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1"/>
      <c r="N62" s="641"/>
      <c r="O62" s="641"/>
      <c r="P62" s="641"/>
      <c r="Q62" s="641"/>
    </row>
    <row r="63" spans="2:17" ht="15" customHeight="1">
      <c r="B63" s="641"/>
      <c r="C63" s="641"/>
      <c r="D63" s="641"/>
      <c r="E63" s="641"/>
      <c r="F63" s="641"/>
      <c r="G63" s="641"/>
      <c r="H63" s="641"/>
      <c r="I63" s="641"/>
      <c r="J63" s="641"/>
      <c r="K63" s="641"/>
      <c r="L63" s="641"/>
      <c r="M63" s="641"/>
      <c r="N63" s="641"/>
      <c r="O63" s="641"/>
      <c r="P63" s="641"/>
      <c r="Q63" s="641"/>
    </row>
    <row r="64" spans="2:17" ht="15" customHeight="1">
      <c r="B64" s="641"/>
      <c r="C64" s="641"/>
      <c r="D64" s="641"/>
      <c r="E64" s="641"/>
      <c r="F64" s="641"/>
      <c r="G64" s="641"/>
      <c r="H64" s="641"/>
      <c r="I64" s="641"/>
      <c r="J64" s="641"/>
      <c r="K64" s="641"/>
      <c r="L64" s="641"/>
      <c r="M64" s="641"/>
      <c r="N64" s="641"/>
      <c r="O64" s="641"/>
      <c r="P64" s="641"/>
      <c r="Q64" s="641"/>
    </row>
    <row r="65" spans="2:17" ht="15" customHeight="1">
      <c r="B65" s="641"/>
      <c r="C65" s="641"/>
      <c r="D65" s="641"/>
      <c r="E65" s="641"/>
      <c r="F65" s="641"/>
      <c r="G65" s="641"/>
      <c r="H65" s="641"/>
      <c r="I65" s="641"/>
      <c r="J65" s="641"/>
      <c r="K65" s="641"/>
      <c r="L65" s="641"/>
      <c r="M65" s="641"/>
      <c r="N65" s="641"/>
      <c r="O65" s="641"/>
      <c r="P65" s="641"/>
      <c r="Q65" s="641"/>
    </row>
    <row r="66" spans="2:17" ht="15" customHeight="1">
      <c r="B66" s="641"/>
      <c r="C66" s="641"/>
      <c r="D66" s="641"/>
      <c r="E66" s="641"/>
      <c r="F66" s="641"/>
      <c r="G66" s="641"/>
      <c r="H66" s="641"/>
      <c r="I66" s="641"/>
      <c r="J66" s="641"/>
      <c r="K66" s="641"/>
      <c r="L66" s="641"/>
      <c r="M66" s="641"/>
      <c r="N66" s="641"/>
      <c r="O66" s="641"/>
      <c r="P66" s="641"/>
      <c r="Q66" s="641"/>
    </row>
    <row r="67" spans="2:17" ht="15" customHeight="1">
      <c r="B67" s="641"/>
      <c r="C67" s="641"/>
      <c r="D67" s="641"/>
      <c r="E67" s="641"/>
      <c r="F67" s="641"/>
      <c r="G67" s="641"/>
      <c r="H67" s="641"/>
      <c r="I67" s="641"/>
      <c r="J67" s="641"/>
      <c r="K67" s="641"/>
      <c r="L67" s="641"/>
      <c r="M67" s="641"/>
      <c r="N67" s="641"/>
      <c r="O67" s="641"/>
      <c r="P67" s="641"/>
      <c r="Q67" s="641"/>
    </row>
    <row r="68" spans="2:17" ht="15" customHeight="1">
      <c r="B68" s="641"/>
      <c r="C68" s="641"/>
      <c r="D68" s="641"/>
      <c r="E68" s="641"/>
      <c r="F68" s="641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</row>
    <row r="69" spans="2:17" ht="15" customHeight="1"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1"/>
      <c r="P69" s="641"/>
      <c r="Q69" s="641"/>
    </row>
    <row r="70" spans="2:17" ht="15" customHeight="1"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1"/>
      <c r="P70" s="641"/>
      <c r="Q70" s="641"/>
    </row>
    <row r="71" spans="2:17" ht="15" customHeight="1">
      <c r="B71" s="641"/>
      <c r="C71" s="641"/>
      <c r="D71" s="641"/>
      <c r="E71" s="641"/>
      <c r="F71" s="641"/>
      <c r="G71" s="641"/>
      <c r="H71" s="641"/>
      <c r="I71" s="641"/>
      <c r="J71" s="641"/>
      <c r="K71" s="641"/>
      <c r="L71" s="641"/>
      <c r="M71" s="641"/>
      <c r="N71" s="641"/>
      <c r="O71" s="641"/>
      <c r="P71" s="641"/>
      <c r="Q71" s="641"/>
    </row>
    <row r="72" spans="2:17" ht="15" customHeight="1">
      <c r="B72" s="641"/>
      <c r="C72" s="641"/>
      <c r="D72" s="641"/>
      <c r="E72" s="641"/>
      <c r="F72" s="641"/>
      <c r="G72" s="641"/>
      <c r="H72" s="641"/>
      <c r="I72" s="641"/>
      <c r="J72" s="641"/>
      <c r="K72" s="641"/>
      <c r="L72" s="641"/>
      <c r="M72" s="641"/>
      <c r="N72" s="641"/>
      <c r="O72" s="641"/>
      <c r="P72" s="641"/>
      <c r="Q72" s="641"/>
    </row>
    <row r="73" spans="2:17" ht="15" customHeight="1">
      <c r="B73" s="641"/>
      <c r="C73" s="641"/>
      <c r="D73" s="641"/>
      <c r="E73" s="641"/>
      <c r="F73" s="641"/>
      <c r="G73" s="641"/>
      <c r="H73" s="641"/>
      <c r="I73" s="641"/>
      <c r="J73" s="641"/>
      <c r="K73" s="641"/>
      <c r="L73" s="641"/>
      <c r="M73" s="641"/>
      <c r="N73" s="641"/>
      <c r="O73" s="641"/>
      <c r="P73" s="641"/>
      <c r="Q73" s="641"/>
    </row>
    <row r="74" spans="2:17" ht="15" customHeight="1">
      <c r="B74" s="641"/>
      <c r="C74" s="641"/>
      <c r="D74" s="641"/>
      <c r="E74" s="641"/>
      <c r="F74" s="641"/>
      <c r="G74" s="641"/>
      <c r="H74" s="641"/>
      <c r="I74" s="641"/>
      <c r="J74" s="641"/>
      <c r="K74" s="641"/>
      <c r="L74" s="641"/>
      <c r="M74" s="641"/>
      <c r="N74" s="641"/>
      <c r="O74" s="641"/>
      <c r="P74" s="641"/>
      <c r="Q74" s="641"/>
    </row>
    <row r="75" spans="2:17" ht="15" customHeight="1">
      <c r="B75" s="641"/>
      <c r="C75" s="641"/>
      <c r="D75" s="641"/>
      <c r="E75" s="641"/>
      <c r="F75" s="641"/>
      <c r="G75" s="641"/>
      <c r="H75" s="641"/>
      <c r="I75" s="641"/>
      <c r="J75" s="641"/>
      <c r="K75" s="641"/>
      <c r="L75" s="641"/>
      <c r="M75" s="641"/>
      <c r="N75" s="641"/>
      <c r="O75" s="641"/>
      <c r="P75" s="641"/>
      <c r="Q75" s="641"/>
    </row>
    <row r="76" spans="2:17"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1"/>
      <c r="P76" s="641"/>
      <c r="Q76" s="641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Dec 18th</vt:lpstr>
      <vt:lpstr>July 1st</vt:lpstr>
      <vt:lpstr>July 2nd</vt:lpstr>
      <vt:lpstr>July 3rd</vt:lpstr>
      <vt:lpstr>July 4th</vt:lpstr>
      <vt:lpstr>July 7th </vt:lpstr>
      <vt:lpstr>July 8th </vt:lpstr>
      <vt:lpstr>July 9th  </vt:lpstr>
      <vt:lpstr>July 10th </vt:lpstr>
      <vt:lpstr>July 11th  </vt:lpstr>
      <vt:lpstr>July 14th</vt:lpstr>
      <vt:lpstr>July 15th</vt:lpstr>
      <vt:lpstr>July 16th </vt:lpstr>
      <vt:lpstr>July 17th </vt:lpstr>
      <vt:lpstr>July 18th</vt:lpstr>
      <vt:lpstr>July 21st</vt:lpstr>
      <vt:lpstr>July 22nd</vt:lpstr>
      <vt:lpstr>July 23rd</vt:lpstr>
      <vt:lpstr>July 24th</vt:lpstr>
      <vt:lpstr>July 25th</vt:lpstr>
      <vt:lpstr>July 28th</vt:lpstr>
      <vt:lpstr>July 29th 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2025-08-06T14:41:08Z</dcterms:modified>
</cp:coreProperties>
</file>