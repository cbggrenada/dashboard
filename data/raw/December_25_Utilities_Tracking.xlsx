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369C6CF0-70FB-460B-8AAB-EC8E4BD5BB0A}" xr6:coauthVersionLast="47" xr6:coauthVersionMax="47" xr10:uidLastSave="{00000000-0000-0000-0000-000000000000}"/>
  <bookViews>
    <workbookView xWindow="-108" yWindow="-108" windowWidth="23256" windowHeight="12456" tabRatio="592" activeTab="1" xr2:uid="{00000000-000D-0000-FFFF-FFFF00000000}"/>
  </bookViews>
  <sheets>
    <sheet name="Entries December'25" sheetId="27" r:id="rId1"/>
    <sheet name="Utility Analysis December'25 " sheetId="23" r:id="rId2"/>
    <sheet name="Steam Mass Flow " sheetId="113" r:id="rId3"/>
    <sheet name="Fuel " sheetId="29" r:id="rId4"/>
    <sheet name="Water " sheetId="31" r:id="rId5"/>
    <sheet name="Elec.December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'Elec.December''25'!$B$7:$B$37</definedName>
    <definedName name="_2__123Graph_CCHART_8" localSheetId="5" hidden="1">'Elec.December''25'!$C$7:$C$37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December''25'!$A$1:$AI$38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2" i="23" l="1"/>
  <c r="F43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10" i="23"/>
  <c r="AH92" i="110"/>
  <c r="AH74" i="110"/>
  <c r="AC9" i="110"/>
  <c r="AC8" i="110"/>
  <c r="K8" i="110"/>
  <c r="K9" i="110" s="1"/>
  <c r="O8" i="110"/>
  <c r="T8" i="110"/>
  <c r="AF8" i="110"/>
  <c r="S8" i="110"/>
  <c r="S9" i="110" s="1"/>
  <c r="P8" i="110"/>
  <c r="M8" i="110"/>
  <c r="L8" i="110"/>
  <c r="L9" i="110" s="1"/>
  <c r="I8" i="110"/>
  <c r="AF9" i="110"/>
  <c r="AE8" i="110"/>
  <c r="AE9" i="110"/>
  <c r="AD8" i="110"/>
  <c r="AD9" i="110" s="1"/>
  <c r="X9" i="110"/>
  <c r="Y9" i="110"/>
  <c r="W74" i="110"/>
  <c r="R9" i="110"/>
  <c r="Q9" i="110"/>
  <c r="P9" i="110"/>
  <c r="O9" i="110"/>
  <c r="N9" i="110"/>
  <c r="J9" i="110"/>
  <c r="I9" i="110"/>
  <c r="H9" i="110"/>
  <c r="G9" i="110"/>
  <c r="F9" i="110"/>
  <c r="C9" i="110"/>
  <c r="T9" i="110"/>
  <c r="Q8" i="110"/>
  <c r="M9" i="110"/>
  <c r="F8" i="110"/>
  <c r="E8" i="110"/>
  <c r="E9" i="110" s="1"/>
  <c r="D8" i="110"/>
  <c r="D9" i="110" s="1"/>
  <c r="B8" i="110"/>
  <c r="B9" i="110" s="1"/>
  <c r="W9" i="110"/>
  <c r="R14" i="110"/>
  <c r="AH14" i="110" l="1"/>
  <c r="G14" i="110"/>
  <c r="J12" i="110"/>
  <c r="J14" i="110"/>
  <c r="K14" i="110"/>
  <c r="Q14" i="110"/>
  <c r="E14" i="110" l="1"/>
  <c r="K74" i="110"/>
  <c r="L74" i="110"/>
  <c r="M92" i="110" l="1"/>
  <c r="L92" i="110"/>
  <c r="K92" i="110"/>
  <c r="J92" i="110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37" i="29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83" i="110" l="1" a="1"/>
  <c r="B83" i="110" s="1"/>
  <c r="E43" i="23"/>
  <c r="D38" i="30" l="1"/>
  <c r="AH83" i="110" l="1"/>
  <c r="O8" i="28" l="1"/>
  <c r="O9" i="28"/>
  <c r="F92" i="110" l="1"/>
  <c r="K37" i="29" l="1"/>
  <c r="C37" i="29"/>
  <c r="E37" i="29"/>
  <c r="I37" i="29" s="1"/>
  <c r="J37" i="29"/>
  <c r="H37" i="29" l="1"/>
  <c r="D92" i="110"/>
  <c r="D8" i="28" l="1"/>
  <c r="D9" i="28"/>
  <c r="D10" i="28"/>
  <c r="B35" i="113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H11" i="23" l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10" i="23"/>
  <c r="C10" i="23"/>
  <c r="B10" i="23"/>
  <c r="R38" i="28" l="1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8" i="28" l="1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Q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Q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AH77" i="110" s="1"/>
  <c r="D24" i="31" l="1"/>
  <c r="D7" i="28" l="1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0" i="28" l="1"/>
  <c r="X14" i="28"/>
  <c r="X8" i="28"/>
  <c r="X9" i="28"/>
  <c r="X11" i="28"/>
  <c r="X12" i="28"/>
  <c r="D30" i="28" l="1"/>
  <c r="D31" i="28"/>
  <c r="D32" i="28"/>
  <c r="D33" i="28"/>
  <c r="D34" i="28"/>
  <c r="D35" i="28"/>
  <c r="D36" i="28"/>
  <c r="D37" i="28"/>
  <c r="B75" i="110" l="1" a="1"/>
  <c r="X27" i="28"/>
  <c r="X38" i="28"/>
  <c r="X35" i="28"/>
  <c r="B92" i="110"/>
  <c r="D38" i="28"/>
  <c r="B75" i="110" l="1"/>
  <c r="AH75" i="110" s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A92" i="110"/>
  <c r="E7" i="28" l="1" a="1"/>
  <c r="X40" i="28"/>
  <c r="AH9" i="110"/>
  <c r="E7" i="28" l="1"/>
  <c r="L14" i="23"/>
  <c r="L11" i="23"/>
  <c r="L18" i="23"/>
  <c r="L30" i="23"/>
  <c r="L26" i="23"/>
  <c r="L29" i="23"/>
  <c r="L25" i="23"/>
  <c r="L28" i="23"/>
  <c r="L27" i="23"/>
  <c r="L23" i="23"/>
  <c r="L22" i="23"/>
  <c r="L17" i="23"/>
  <c r="L35" i="23"/>
  <c r="L15" i="23"/>
  <c r="L21" i="23"/>
  <c r="L33" i="23"/>
  <c r="L20" i="23"/>
  <c r="L24" i="23"/>
  <c r="L37" i="23"/>
  <c r="L36" i="23"/>
  <c r="L16" i="23"/>
  <c r="L34" i="23"/>
  <c r="L40" i="23"/>
  <c r="L13" i="23"/>
  <c r="L32" i="23"/>
  <c r="L39" i="23"/>
  <c r="L12" i="23"/>
  <c r="L31" i="23"/>
  <c r="L19" i="23"/>
  <c r="L38" i="23"/>
  <c r="AI68" i="110"/>
  <c r="H7" i="31"/>
  <c r="L10" i="23" l="1"/>
  <c r="E38" i="28"/>
  <c r="C7" i="29"/>
  <c r="D40" i="23" l="1"/>
  <c r="K40" i="23"/>
  <c r="I40" i="23" l="1"/>
  <c r="G40" i="23"/>
  <c r="AH8" i="110"/>
  <c r="K11" i="23" l="1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Q10" i="23" a="1"/>
  <c r="R40" i="23" s="1"/>
  <c r="Q10" i="23" l="1"/>
  <c r="D28" i="23"/>
  <c r="G28" i="23" s="1"/>
  <c r="I28" i="23" l="1"/>
  <c r="R28" i="23" s="1"/>
  <c r="D26" i="23"/>
  <c r="G26" i="23" s="1"/>
  <c r="D27" i="23"/>
  <c r="G27" i="23" s="1"/>
  <c r="I27" i="23" l="1"/>
  <c r="R27" i="23" s="1"/>
  <c r="I26" i="23"/>
  <c r="R26" i="23" s="1"/>
  <c r="D25" i="23"/>
  <c r="G25" i="23" s="1"/>
  <c r="I25" i="23" l="1"/>
  <c r="R25" i="23" s="1"/>
  <c r="D22" i="23"/>
  <c r="I22" i="23" l="1"/>
  <c r="B37" i="28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J40" i="23" s="1"/>
  <c r="S40" i="23" s="1"/>
  <c r="T40" i="23" s="1"/>
  <c r="U40" i="23" s="1"/>
  <c r="G37" i="31"/>
  <c r="S37" i="31" s="1"/>
  <c r="D35" i="23"/>
  <c r="G35" i="23" s="1"/>
  <c r="D32" i="23"/>
  <c r="G32" i="23" s="1"/>
  <c r="D34" i="23"/>
  <c r="G34" i="23" s="1"/>
  <c r="D31" i="23"/>
  <c r="G31" i="23" s="1"/>
  <c r="D39" i="23"/>
  <c r="G39" i="23" s="1"/>
  <c r="D37" i="23"/>
  <c r="G37" i="23" s="1"/>
  <c r="D33" i="23"/>
  <c r="G33" i="23" s="1"/>
  <c r="D30" i="23"/>
  <c r="G30" i="23" s="1"/>
  <c r="D38" i="23"/>
  <c r="G38" i="23" s="1"/>
  <c r="D36" i="23"/>
  <c r="G36" i="23" s="1"/>
  <c r="D29" i="23"/>
  <c r="G29" i="23" s="1"/>
  <c r="I35" i="23" l="1"/>
  <c r="R35" i="23" s="1"/>
  <c r="I32" i="23"/>
  <c r="R32" i="23" s="1"/>
  <c r="B29" i="30"/>
  <c r="B32" i="30"/>
  <c r="I29" i="23"/>
  <c r="R29" i="23" s="1"/>
  <c r="B26" i="30"/>
  <c r="I36" i="23"/>
  <c r="R36" i="23" s="1"/>
  <c r="B33" i="30"/>
  <c r="I38" i="23"/>
  <c r="R38" i="23" s="1"/>
  <c r="B35" i="30"/>
  <c r="I30" i="23"/>
  <c r="R30" i="23" s="1"/>
  <c r="B27" i="30"/>
  <c r="I33" i="23"/>
  <c r="R33" i="23" s="1"/>
  <c r="B30" i="30"/>
  <c r="I37" i="23"/>
  <c r="R37" i="23" s="1"/>
  <c r="B34" i="30"/>
  <c r="B37" i="30"/>
  <c r="E37" i="30" s="1"/>
  <c r="I39" i="23"/>
  <c r="R39" i="23" s="1"/>
  <c r="B36" i="30"/>
  <c r="I31" i="23"/>
  <c r="R31" i="23" s="1"/>
  <c r="B28" i="30"/>
  <c r="I34" i="23"/>
  <c r="R34" i="23" s="1"/>
  <c r="B31" i="30"/>
  <c r="AF15" i="110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15" i="30" l="1"/>
  <c r="D16" i="23"/>
  <c r="B8" i="28"/>
  <c r="B9" i="28"/>
  <c r="B10" i="28"/>
  <c r="B11" i="28"/>
  <c r="B12" i="28"/>
  <c r="B13" i="28"/>
  <c r="C8" i="30"/>
  <c r="C9" i="30"/>
  <c r="C10" i="30"/>
  <c r="C12" i="30"/>
  <c r="D13" i="23"/>
  <c r="G13" i="23" s="1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C7" i="30"/>
  <c r="D17" i="23"/>
  <c r="G17" i="23" s="1"/>
  <c r="D18" i="23"/>
  <c r="G18" i="23" s="1"/>
  <c r="D19" i="23"/>
  <c r="G19" i="23" s="1"/>
  <c r="D20" i="23"/>
  <c r="G20" i="23" s="1"/>
  <c r="D21" i="23"/>
  <c r="G21" i="23" s="1"/>
  <c r="B19" i="30"/>
  <c r="D23" i="23"/>
  <c r="G23" i="23" s="1"/>
  <c r="D24" i="23"/>
  <c r="G24" i="23" s="1"/>
  <c r="B22" i="30"/>
  <c r="B24" i="30"/>
  <c r="B25" i="30"/>
  <c r="I16" i="23" l="1"/>
  <c r="R16" i="23" s="1"/>
  <c r="G16" i="23"/>
  <c r="I20" i="23"/>
  <c r="R20" i="23" s="1"/>
  <c r="I13" i="23"/>
  <c r="R13" i="23" s="1"/>
  <c r="I19" i="23"/>
  <c r="R19" i="23" s="1"/>
  <c r="B15" i="30"/>
  <c r="I18" i="23"/>
  <c r="R18" i="23" s="1"/>
  <c r="B21" i="30"/>
  <c r="I24" i="23"/>
  <c r="R24" i="23" s="1"/>
  <c r="B18" i="30"/>
  <c r="I21" i="23"/>
  <c r="R21" i="23" s="1"/>
  <c r="B14" i="30"/>
  <c r="I17" i="23"/>
  <c r="R17" i="23" s="1"/>
  <c r="B20" i="30"/>
  <c r="I23" i="23"/>
  <c r="B23" i="30"/>
  <c r="B16" i="30"/>
  <c r="B17" i="30"/>
  <c r="B13" i="30"/>
  <c r="B10" i="30"/>
  <c r="D11" i="23"/>
  <c r="G11" i="23" s="1"/>
  <c r="D12" i="23"/>
  <c r="G12" i="23" s="1"/>
  <c r="D15" i="23"/>
  <c r="G15" i="23" s="1"/>
  <c r="C32" i="30"/>
  <c r="D10" i="23"/>
  <c r="G10" i="23" s="1"/>
  <c r="C30" i="30"/>
  <c r="R22" i="23"/>
  <c r="C13" i="30"/>
  <c r="C31" i="30"/>
  <c r="C29" i="30"/>
  <c r="C28" i="30"/>
  <c r="D14" i="23"/>
  <c r="G14" i="23" s="1"/>
  <c r="AH25" i="110"/>
  <c r="D43" i="23" l="1"/>
  <c r="G43" i="23" s="1"/>
  <c r="I10" i="23"/>
  <c r="R10" i="23" s="1"/>
  <c r="C38" i="30"/>
  <c r="B12" i="30"/>
  <c r="I15" i="23"/>
  <c r="R15" i="23" s="1"/>
  <c r="B9" i="30"/>
  <c r="I12" i="23"/>
  <c r="R12" i="23" s="1"/>
  <c r="R23" i="23"/>
  <c r="B11" i="30"/>
  <c r="I14" i="23"/>
  <c r="R14" i="23" s="1"/>
  <c r="B8" i="30"/>
  <c r="I11" i="23"/>
  <c r="R11" i="23" s="1"/>
  <c r="B7" i="30"/>
  <c r="H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7" i="30" l="1"/>
  <c r="B38" i="30"/>
  <c r="I43" i="23"/>
  <c r="B5" i="113"/>
  <c r="Q43" i="2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R44" i="23" l="1"/>
  <c r="P11" i="23" l="1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H5" i="32" l="1" a="1"/>
  <c r="H5" i="32" s="1"/>
  <c r="H36" i="32" s="1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L43" i="23" l="1"/>
  <c r="AA7" i="31" a="1"/>
  <c r="AA7" i="31" s="1"/>
  <c r="E8" i="29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F7" i="28" a="1"/>
  <c r="G12" i="28" s="1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O44" i="110" s="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80" i="110" l="1" a="1"/>
  <c r="H8" i="29"/>
  <c r="Z35" i="31"/>
  <c r="J38" i="23" s="1"/>
  <c r="S38" i="23" s="1"/>
  <c r="T38" i="23" s="1"/>
  <c r="U38" i="23" s="1"/>
  <c r="H29" i="29"/>
  <c r="H28" i="29"/>
  <c r="H15" i="29"/>
  <c r="H12" i="29"/>
  <c r="AF31" i="110"/>
  <c r="AF63" i="110"/>
  <c r="AF30" i="110"/>
  <c r="AF54" i="110"/>
  <c r="H35" i="29"/>
  <c r="G8" i="28"/>
  <c r="G9" i="28"/>
  <c r="G10" i="28"/>
  <c r="G11" i="28"/>
  <c r="G13" i="28"/>
  <c r="G14" i="28"/>
  <c r="G15" i="28"/>
  <c r="G35" i="28"/>
  <c r="G36" i="28"/>
  <c r="G37" i="28"/>
  <c r="G29" i="28"/>
  <c r="G30" i="28"/>
  <c r="G31" i="28"/>
  <c r="G32" i="28"/>
  <c r="G33" i="28"/>
  <c r="G34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H27" i="29"/>
  <c r="C39" i="29"/>
  <c r="H13" i="29"/>
  <c r="Z24" i="31"/>
  <c r="J27" i="23" s="1"/>
  <c r="S27" i="23" s="1"/>
  <c r="T27" i="23" s="1"/>
  <c r="U27" i="23" s="1"/>
  <c r="H11" i="29"/>
  <c r="Z26" i="31"/>
  <c r="J29" i="23" s="1"/>
  <c r="S29" i="23" s="1"/>
  <c r="T29" i="23" s="1"/>
  <c r="U29" i="23" s="1"/>
  <c r="H17" i="29"/>
  <c r="H16" i="29"/>
  <c r="Z22" i="31"/>
  <c r="J25" i="23" s="1"/>
  <c r="S25" i="23" s="1"/>
  <c r="T25" i="23" s="1"/>
  <c r="U25" i="23" s="1"/>
  <c r="Z18" i="31"/>
  <c r="J21" i="23" s="1"/>
  <c r="S21" i="23" s="1"/>
  <c r="T21" i="23" s="1"/>
  <c r="U21" i="23" s="1"/>
  <c r="H21" i="29"/>
  <c r="G8" i="31"/>
  <c r="S8" i="31" s="1"/>
  <c r="H14" i="29"/>
  <c r="G9" i="31"/>
  <c r="S9" i="31" s="1"/>
  <c r="Z19" i="31"/>
  <c r="J22" i="23" s="1"/>
  <c r="S22" i="23" s="1"/>
  <c r="T22" i="23" s="1"/>
  <c r="U22" i="23" s="1"/>
  <c r="H30" i="29"/>
  <c r="H10" i="29"/>
  <c r="H9" i="29"/>
  <c r="Z12" i="31"/>
  <c r="J15" i="23" s="1"/>
  <c r="S15" i="23" s="1"/>
  <c r="T15" i="23" s="1"/>
  <c r="U15" i="23" s="1"/>
  <c r="H22" i="29"/>
  <c r="H20" i="29"/>
  <c r="H19" i="29"/>
  <c r="H18" i="29"/>
  <c r="H36" i="29"/>
  <c r="G36" i="31"/>
  <c r="S36" i="31" s="1"/>
  <c r="Z36" i="31"/>
  <c r="J39" i="23" s="1"/>
  <c r="S39" i="23" s="1"/>
  <c r="T39" i="23" s="1"/>
  <c r="U39" i="23" s="1"/>
  <c r="G35" i="31"/>
  <c r="S35" i="31" s="1"/>
  <c r="Z34" i="31"/>
  <c r="J37" i="23" s="1"/>
  <c r="S37" i="23" s="1"/>
  <c r="T37" i="23" s="1"/>
  <c r="U37" i="23" s="1"/>
  <c r="H34" i="29"/>
  <c r="H33" i="29"/>
  <c r="G34" i="31"/>
  <c r="S34" i="31" s="1"/>
  <c r="AF16" i="111"/>
  <c r="AF18" i="111" s="1"/>
  <c r="G33" i="31"/>
  <c r="S33" i="31" s="1"/>
  <c r="Z33" i="31"/>
  <c r="J36" i="23" s="1"/>
  <c r="S36" i="23" s="1"/>
  <c r="T36" i="23" s="1"/>
  <c r="U36" i="23" s="1"/>
  <c r="H32" i="29"/>
  <c r="AE16" i="111"/>
  <c r="AE18" i="111" s="1"/>
  <c r="Z32" i="31"/>
  <c r="J35" i="23" s="1"/>
  <c r="G32" i="31"/>
  <c r="S32" i="31" s="1"/>
  <c r="AD16" i="111"/>
  <c r="AD18" i="111" s="1"/>
  <c r="G31" i="31"/>
  <c r="S31" i="31" s="1"/>
  <c r="Z31" i="31"/>
  <c r="J34" i="23" s="1"/>
  <c r="S34" i="23" s="1"/>
  <c r="T34" i="23" s="1"/>
  <c r="U34" i="23" s="1"/>
  <c r="G30" i="31"/>
  <c r="S30" i="31" s="1"/>
  <c r="Z30" i="31"/>
  <c r="J33" i="23" s="1"/>
  <c r="S33" i="23" s="1"/>
  <c r="T33" i="23" s="1"/>
  <c r="U33" i="23" s="1"/>
  <c r="H31" i="29"/>
  <c r="G29" i="31"/>
  <c r="S29" i="31" s="1"/>
  <c r="Z29" i="31"/>
  <c r="AB29" i="31" s="1"/>
  <c r="Z28" i="31"/>
  <c r="J31" i="23" s="1"/>
  <c r="S31" i="23" s="1"/>
  <c r="T31" i="23" s="1"/>
  <c r="U31" i="23" s="1"/>
  <c r="G28" i="31"/>
  <c r="S28" i="31" s="1"/>
  <c r="G27" i="31"/>
  <c r="S27" i="31" s="1"/>
  <c r="Z27" i="31"/>
  <c r="J30" i="23" s="1"/>
  <c r="S30" i="23" s="1"/>
  <c r="T30" i="23" s="1"/>
  <c r="U30" i="23" s="1"/>
  <c r="AA38" i="31"/>
  <c r="H26" i="29"/>
  <c r="G26" i="31"/>
  <c r="S26" i="31" s="1"/>
  <c r="Z25" i="31"/>
  <c r="J28" i="23" s="1"/>
  <c r="S28" i="23" s="1"/>
  <c r="T28" i="23" s="1"/>
  <c r="U28" i="23" s="1"/>
  <c r="G25" i="31"/>
  <c r="S25" i="31" s="1"/>
  <c r="G24" i="31"/>
  <c r="S24" i="31" s="1"/>
  <c r="H25" i="29"/>
  <c r="H24" i="29"/>
  <c r="Z23" i="31"/>
  <c r="J26" i="23" s="1"/>
  <c r="S26" i="23" s="1"/>
  <c r="T26" i="23" s="1"/>
  <c r="U26" i="23" s="1"/>
  <c r="G23" i="31"/>
  <c r="S23" i="31" s="1"/>
  <c r="H23" i="29"/>
  <c r="G22" i="31"/>
  <c r="S22" i="31" s="1"/>
  <c r="Z21" i="31"/>
  <c r="J24" i="23" s="1"/>
  <c r="S24" i="23" s="1"/>
  <c r="T24" i="23" s="1"/>
  <c r="U24" i="23" s="1"/>
  <c r="G21" i="31"/>
  <c r="S21" i="31" s="1"/>
  <c r="G19" i="31"/>
  <c r="S19" i="31" s="1"/>
  <c r="G20" i="31"/>
  <c r="S20" i="31" s="1"/>
  <c r="Z20" i="31"/>
  <c r="J23" i="23" s="1"/>
  <c r="S23" i="23" s="1"/>
  <c r="T23" i="23" s="1"/>
  <c r="U23" i="23" s="1"/>
  <c r="G17" i="31"/>
  <c r="S17" i="31" s="1"/>
  <c r="G16" i="31"/>
  <c r="S16" i="31" s="1"/>
  <c r="Z16" i="31"/>
  <c r="J19" i="23" s="1"/>
  <c r="S19" i="23" s="1"/>
  <c r="T19" i="23" s="1"/>
  <c r="U19" i="23" s="1"/>
  <c r="Z17" i="31"/>
  <c r="J20" i="23" s="1"/>
  <c r="S20" i="23" s="1"/>
  <c r="T20" i="23" s="1"/>
  <c r="U20" i="23" s="1"/>
  <c r="G18" i="31"/>
  <c r="S18" i="31" s="1"/>
  <c r="G15" i="31"/>
  <c r="S15" i="31" s="1"/>
  <c r="Z15" i="31"/>
  <c r="J18" i="23" s="1"/>
  <c r="S18" i="23" s="1"/>
  <c r="T18" i="23" s="1"/>
  <c r="U18" i="23" s="1"/>
  <c r="G14" i="31"/>
  <c r="S14" i="31" s="1"/>
  <c r="Z14" i="31"/>
  <c r="J17" i="23" s="1"/>
  <c r="S17" i="23" s="1"/>
  <c r="T17" i="23" s="1"/>
  <c r="U17" i="23" s="1"/>
  <c r="Z13" i="31"/>
  <c r="J16" i="23" s="1"/>
  <c r="S16" i="23" s="1"/>
  <c r="T16" i="23" s="1"/>
  <c r="U16" i="23" s="1"/>
  <c r="G13" i="31"/>
  <c r="S13" i="31" s="1"/>
  <c r="Z11" i="31"/>
  <c r="J14" i="23" s="1"/>
  <c r="S14" i="23" s="1"/>
  <c r="T14" i="23" s="1"/>
  <c r="U14" i="23" s="1"/>
  <c r="G12" i="31"/>
  <c r="S12" i="31" s="1"/>
  <c r="G11" i="31"/>
  <c r="S11" i="31" s="1"/>
  <c r="G10" i="31"/>
  <c r="S10" i="31" s="1"/>
  <c r="Z10" i="31"/>
  <c r="J13" i="23" s="1"/>
  <c r="S13" i="23" s="1"/>
  <c r="T13" i="23" s="1"/>
  <c r="U13" i="23" s="1"/>
  <c r="Z9" i="31"/>
  <c r="J12" i="23" s="1"/>
  <c r="S12" i="23" s="1"/>
  <c r="T12" i="23" s="1"/>
  <c r="U12" i="23" s="1"/>
  <c r="Z8" i="31"/>
  <c r="J11" i="23" s="1"/>
  <c r="S11" i="23" s="1"/>
  <c r="T11" i="23" s="1"/>
  <c r="U11" i="23" s="1"/>
  <c r="AF22" i="110"/>
  <c r="AF90" i="110" s="1"/>
  <c r="T28" i="31"/>
  <c r="T23" i="31"/>
  <c r="T30" i="31"/>
  <c r="E38" i="30"/>
  <c r="B81" i="110" s="1" a="1"/>
  <c r="B81" i="110" s="1"/>
  <c r="AH81" i="110" s="1"/>
  <c r="T29" i="31"/>
  <c r="T35" i="31"/>
  <c r="T26" i="31"/>
  <c r="T24" i="31"/>
  <c r="T21" i="31"/>
  <c r="T20" i="31"/>
  <c r="T19" i="31"/>
  <c r="AB18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F7" i="28"/>
  <c r="G7" i="28" s="1"/>
  <c r="T9" i="31"/>
  <c r="T10" i="31"/>
  <c r="F11" i="30"/>
  <c r="G11" i="30" s="1"/>
  <c r="F17" i="30"/>
  <c r="G17" i="30" s="1"/>
  <c r="F23" i="30"/>
  <c r="G23" i="30" s="1"/>
  <c r="F29" i="30"/>
  <c r="G29" i="30" s="1"/>
  <c r="F35" i="30"/>
  <c r="G35" i="30" s="1"/>
  <c r="F19" i="30"/>
  <c r="G19" i="30" s="1"/>
  <c r="F25" i="30"/>
  <c r="G25" i="30" s="1"/>
  <c r="F31" i="30"/>
  <c r="G31" i="30" s="1"/>
  <c r="F8" i="30"/>
  <c r="G8" i="30" s="1"/>
  <c r="F14" i="30"/>
  <c r="G14" i="30" s="1"/>
  <c r="F20" i="30"/>
  <c r="G20" i="30" s="1"/>
  <c r="F26" i="30"/>
  <c r="G26" i="30" s="1"/>
  <c r="F32" i="30"/>
  <c r="G32" i="30" s="1"/>
  <c r="F9" i="30"/>
  <c r="G9" i="30" s="1"/>
  <c r="F15" i="30"/>
  <c r="G15" i="30" s="1"/>
  <c r="F21" i="30"/>
  <c r="G21" i="30" s="1"/>
  <c r="F27" i="30"/>
  <c r="G27" i="30" s="1"/>
  <c r="F33" i="30"/>
  <c r="G33" i="30" s="1"/>
  <c r="F10" i="30"/>
  <c r="G10" i="30" s="1"/>
  <c r="F16" i="30"/>
  <c r="G16" i="30" s="1"/>
  <c r="F22" i="30"/>
  <c r="G22" i="30" s="1"/>
  <c r="F28" i="30"/>
  <c r="G28" i="30" s="1"/>
  <c r="F34" i="30"/>
  <c r="G34" i="30" s="1"/>
  <c r="F12" i="30"/>
  <c r="G12" i="30" s="1"/>
  <c r="F18" i="30"/>
  <c r="G18" i="30" s="1"/>
  <c r="F24" i="30"/>
  <c r="G24" i="30" s="1"/>
  <c r="F30" i="30"/>
  <c r="G30" i="30" s="1"/>
  <c r="F36" i="30"/>
  <c r="G36" i="30" s="1"/>
  <c r="F13" i="30"/>
  <c r="G13" i="30" s="1"/>
  <c r="M36" i="29"/>
  <c r="M35" i="29"/>
  <c r="L94" i="110" l="1"/>
  <c r="M94" i="110"/>
  <c r="J94" i="110"/>
  <c r="K94" i="110"/>
  <c r="B80" i="110"/>
  <c r="B82" i="110" a="1"/>
  <c r="B82" i="110" s="1"/>
  <c r="AH82" i="110" s="1"/>
  <c r="AB36" i="31"/>
  <c r="AB23" i="31"/>
  <c r="AF32" i="110"/>
  <c r="AB26" i="31"/>
  <c r="AF94" i="110"/>
  <c r="T94" i="110"/>
  <c r="AB25" i="31"/>
  <c r="AB30" i="31"/>
  <c r="AB21" i="31"/>
  <c r="AB34" i="31"/>
  <c r="AB31" i="31"/>
  <c r="AD29" i="111" s="1"/>
  <c r="AD42" i="111" s="1"/>
  <c r="AB15" i="31"/>
  <c r="AB14" i="31"/>
  <c r="AB27" i="31"/>
  <c r="AB17" i="31"/>
  <c r="AB22" i="31"/>
  <c r="AB24" i="31"/>
  <c r="AF116" i="110"/>
  <c r="W94" i="110"/>
  <c r="AB8" i="31"/>
  <c r="F38" i="28"/>
  <c r="G38" i="28" s="1"/>
  <c r="AB9" i="31"/>
  <c r="AB19" i="31"/>
  <c r="AB10" i="31"/>
  <c r="AB16" i="31"/>
  <c r="J32" i="23"/>
  <c r="S32" i="23" s="1"/>
  <c r="T32" i="23" s="1"/>
  <c r="U32" i="23" s="1"/>
  <c r="AB28" i="31"/>
  <c r="AB12" i="31"/>
  <c r="AB33" i="31"/>
  <c r="AF29" i="111" s="1"/>
  <c r="AF42" i="111" s="1"/>
  <c r="AB11" i="31"/>
  <c r="AB13" i="31"/>
  <c r="AB20" i="31"/>
  <c r="S35" i="23"/>
  <c r="T35" i="23" s="1"/>
  <c r="U35" i="23" s="1"/>
  <c r="AB32" i="31"/>
  <c r="AE29" i="111" s="1"/>
  <c r="AE42" i="111" s="1"/>
  <c r="AB35" i="31"/>
  <c r="V94" i="110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M10" i="23"/>
  <c r="M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8" i="29" l="1"/>
  <c r="B39" i="29"/>
  <c r="AH80" i="110"/>
  <c r="AH94" i="110" s="1"/>
  <c r="B94" i="110"/>
  <c r="AF61" i="110"/>
  <c r="AF69" i="110" s="1"/>
  <c r="B76" i="110" a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L93" i="110" l="1"/>
  <c r="M93" i="110"/>
  <c r="P93" i="110"/>
  <c r="K93" i="110"/>
  <c r="J93" i="110"/>
  <c r="AK94" i="110"/>
  <c r="AF68" i="110"/>
  <c r="V93" i="110"/>
  <c r="AF93" i="110"/>
  <c r="S93" i="110"/>
  <c r="B76" i="110"/>
  <c r="AH76" i="110" s="1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AH93" i="110" l="1"/>
  <c r="AJ93" i="110" s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AK93" i="110" l="1"/>
  <c r="AH91" i="110" l="1"/>
  <c r="AK91" i="110" s="1"/>
  <c r="L20" i="110"/>
  <c r="F7" i="30" l="1"/>
  <c r="F38" i="30" s="1"/>
  <c r="G38" i="30" s="1"/>
  <c r="AC92" i="110"/>
  <c r="G7" i="30" l="1"/>
  <c r="G92" i="110"/>
  <c r="AK92" i="110" l="1"/>
  <c r="AJ92" i="110"/>
  <c r="T92" i="110"/>
  <c r="V92" i="110" l="1"/>
  <c r="U92" i="110" l="1"/>
  <c r="L56" i="110" l="1"/>
  <c r="G93" i="111"/>
  <c r="I56" i="110"/>
  <c r="C56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H78" i="110"/>
  <c r="AH95" i="110" s="1"/>
  <c r="AK95" i="110" s="1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AG8" i="111" s="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K10" i="23"/>
  <c r="K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K7" i="29" s="1"/>
  <c r="M7" i="29" s="1"/>
  <c r="E7" i="29"/>
  <c r="I7" i="29" s="1"/>
  <c r="D8" i="29"/>
  <c r="D9" i="29"/>
  <c r="K9" i="29" s="1"/>
  <c r="M9" i="29" s="1"/>
  <c r="D10" i="29"/>
  <c r="K10" i="29" s="1"/>
  <c r="M10" i="29" s="1"/>
  <c r="D11" i="29"/>
  <c r="D14" i="29"/>
  <c r="D15" i="29"/>
  <c r="K15" i="29" s="1"/>
  <c r="D16" i="29"/>
  <c r="K16" i="29" s="1"/>
  <c r="M16" i="29" s="1"/>
  <c r="D17" i="29"/>
  <c r="K17" i="29" s="1"/>
  <c r="N10" i="23"/>
  <c r="O10" i="23"/>
  <c r="O43" i="23" s="1"/>
  <c r="P10" i="23"/>
  <c r="P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O56" i="110"/>
  <c r="Z92" i="110"/>
  <c r="Z56" i="110"/>
  <c r="Z93" i="110"/>
  <c r="U56" i="110"/>
  <c r="U93" i="110"/>
  <c r="M56" i="110"/>
  <c r="AJ8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G93" i="110"/>
  <c r="G56" i="110"/>
  <c r="F56" i="110"/>
  <c r="F93" i="110"/>
  <c r="Y92" i="110"/>
  <c r="I74" i="111"/>
  <c r="Q92" i="110"/>
  <c r="I93" i="110"/>
  <c r="I92" i="110"/>
  <c r="AA56" i="110"/>
  <c r="Y56" i="110"/>
  <c r="Y93" i="110"/>
  <c r="Q61" i="110"/>
  <c r="Q93" i="110"/>
  <c r="I61" i="110"/>
  <c r="Q56" i="110"/>
  <c r="X94" i="110"/>
  <c r="G47" i="110"/>
  <c r="G19" i="109"/>
  <c r="D19" i="109" s="1"/>
  <c r="G20" i="109"/>
  <c r="D20" i="109" s="1"/>
  <c r="I37" i="110"/>
  <c r="AE93" i="110"/>
  <c r="AE56" i="110"/>
  <c r="AE92" i="110"/>
  <c r="K13" i="29" l="1"/>
  <c r="M13" i="29" s="1"/>
  <c r="I13" i="29"/>
  <c r="K11" i="29"/>
  <c r="M11" i="29" s="1"/>
  <c r="I11" i="29"/>
  <c r="K12" i="29"/>
  <c r="M12" i="29" s="1"/>
  <c r="I12" i="29"/>
  <c r="K14" i="29"/>
  <c r="I84" i="110" s="1"/>
  <c r="I96" i="110" s="1"/>
  <c r="I14" i="29"/>
  <c r="Z7" i="31"/>
  <c r="AB7" i="31" s="1"/>
  <c r="AG35" i="111"/>
  <c r="D38" i="31"/>
  <c r="G7" i="31"/>
  <c r="S7" i="31" s="1"/>
  <c r="H7" i="29"/>
  <c r="C38" i="29"/>
  <c r="Q30" i="110"/>
  <c r="Q15" i="110"/>
  <c r="F54" i="110"/>
  <c r="F15" i="110"/>
  <c r="W84" i="110"/>
  <c r="W96" i="110" s="1"/>
  <c r="M28" i="29"/>
  <c r="X84" i="110"/>
  <c r="X96" i="110" s="1"/>
  <c r="M29" i="29"/>
  <c r="P84" i="110"/>
  <c r="P96" i="110" s="1"/>
  <c r="M21" i="29"/>
  <c r="Q54" i="111"/>
  <c r="Q84" i="111" s="1"/>
  <c r="M22" i="29"/>
  <c r="J54" i="111"/>
  <c r="M15" i="29"/>
  <c r="K8" i="29"/>
  <c r="I8" i="29"/>
  <c r="U84" i="110"/>
  <c r="U96" i="110" s="1"/>
  <c r="M26" i="29"/>
  <c r="T84" i="110"/>
  <c r="T96" i="110" s="1"/>
  <c r="M25" i="29"/>
  <c r="AB63" i="111"/>
  <c r="AB62" i="111"/>
  <c r="B79" i="110"/>
  <c r="AG47" i="111"/>
  <c r="AE79" i="110" s="1"/>
  <c r="S54" i="111"/>
  <c r="S84" i="111" s="1"/>
  <c r="M24" i="29"/>
  <c r="G89" i="111"/>
  <c r="AG87" i="111"/>
  <c r="AG89" i="111" s="1"/>
  <c r="N43" i="23"/>
  <c r="M84" i="110"/>
  <c r="M96" i="110" s="1"/>
  <c r="M18" i="29"/>
  <c r="N84" i="110"/>
  <c r="N96" i="110" s="1"/>
  <c r="M19" i="29"/>
  <c r="L84" i="110"/>
  <c r="L96" i="110" s="1"/>
  <c r="M17" i="29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E84" i="110"/>
  <c r="E96" i="110" s="1"/>
  <c r="H84" i="110"/>
  <c r="H96" i="110" s="1"/>
  <c r="F54" i="111"/>
  <c r="F84" i="111" s="1"/>
  <c r="AI8" i="11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4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62" i="110"/>
  <c r="I39" i="110"/>
  <c r="I57" i="110" s="1"/>
  <c r="E33" i="111"/>
  <c r="J40" i="111"/>
  <c r="N94" i="110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E94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4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Q69" i="111" s="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3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4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96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90" i="110" s="1"/>
  <c r="AD41" i="110"/>
  <c r="AD59" i="110" s="1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84" i="110"/>
  <c r="G96" i="110" s="1"/>
  <c r="C28" i="110"/>
  <c r="C37" i="111"/>
  <c r="C96" i="111"/>
  <c r="C112" i="110"/>
  <c r="AH112" i="110" s="1"/>
  <c r="B71" i="110"/>
  <c r="G7" i="109"/>
  <c r="D7" i="109" s="1"/>
  <c r="C20" i="110"/>
  <c r="C92" i="110"/>
  <c r="C64" i="11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3" i="110"/>
  <c r="C94" i="110"/>
  <c r="X67" i="111"/>
  <c r="N28" i="111"/>
  <c r="N62" i="111" s="1"/>
  <c r="N36" i="110"/>
  <c r="N15" i="110" s="1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F84" i="110"/>
  <c r="F96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94" i="110"/>
  <c r="I116" i="110"/>
  <c r="Z94" i="110"/>
  <c r="Z116" i="110"/>
  <c r="J52" i="111"/>
  <c r="J101" i="111" s="1"/>
  <c r="Q84" i="110"/>
  <c r="Q96" i="110" s="1"/>
  <c r="AD84" i="110"/>
  <c r="AD96" i="110" s="1"/>
  <c r="B54" i="111"/>
  <c r="G80" i="111"/>
  <c r="AE84" i="110"/>
  <c r="AE96" i="110" s="1"/>
  <c r="S80" i="111"/>
  <c r="R54" i="111"/>
  <c r="R84" i="111" s="1"/>
  <c r="AA94" i="110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K38" i="29" l="1"/>
  <c r="M38" i="29" s="1"/>
  <c r="O38" i="29" s="1"/>
  <c r="M14" i="29"/>
  <c r="G54" i="111"/>
  <c r="G84" i="111" s="1"/>
  <c r="AH85" i="110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J10" i="23"/>
  <c r="Z38" i="31"/>
  <c r="AB38" i="31" s="1"/>
  <c r="AD38" i="31" s="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H38" i="29"/>
  <c r="AH19" i="110"/>
  <c r="C54" i="111"/>
  <c r="AG54" i="111" s="1"/>
  <c r="Q62" i="111"/>
  <c r="AC62" i="111"/>
  <c r="Y62" i="111"/>
  <c r="Y78" i="111" s="1"/>
  <c r="C54" i="110"/>
  <c r="C68" i="110" s="1"/>
  <c r="C84" i="110"/>
  <c r="C96" i="110" s="1"/>
  <c r="M8" i="29"/>
  <c r="Q82" i="111"/>
  <c r="B22" i="110"/>
  <c r="B90" i="110" s="1"/>
  <c r="AA62" i="111"/>
  <c r="AA78" i="111" s="1"/>
  <c r="Z63" i="111"/>
  <c r="AH71" i="110"/>
  <c r="AH41" i="110"/>
  <c r="AH59" i="110" s="1"/>
  <c r="AJ59" i="110" s="1"/>
  <c r="AH40" i="110"/>
  <c r="AH58" i="110" s="1"/>
  <c r="AJ58" i="110" s="1"/>
  <c r="E26" i="110"/>
  <c r="B63" i="110"/>
  <c r="AH45" i="110"/>
  <c r="B54" i="110"/>
  <c r="AH36" i="110"/>
  <c r="B57" i="110"/>
  <c r="AH39" i="110"/>
  <c r="AH57" i="110" s="1"/>
  <c r="AJ57" i="110" s="1"/>
  <c r="AH28" i="110"/>
  <c r="AH37" i="110"/>
  <c r="AH55" i="110" s="1"/>
  <c r="AJ55" i="110" s="1"/>
  <c r="AB26" i="110"/>
  <c r="H22" i="110"/>
  <c r="H90" i="110" s="1"/>
  <c r="W26" i="110"/>
  <c r="AF79" i="111"/>
  <c r="Q22" i="110"/>
  <c r="Q90" i="110" s="1"/>
  <c r="H26" i="110"/>
  <c r="AF78" i="111"/>
  <c r="L18" i="109"/>
  <c r="E22" i="110"/>
  <c r="E90" i="110" s="1"/>
  <c r="S38" i="31"/>
  <c r="I22" i="110"/>
  <c r="I90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90" i="110" s="1"/>
  <c r="I38" i="30"/>
  <c r="P25" i="111"/>
  <c r="P26" i="111" s="1"/>
  <c r="O94" i="110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E94" i="110"/>
  <c r="L101" i="111"/>
  <c r="L82" i="111"/>
  <c r="F116" i="110"/>
  <c r="F94" i="110"/>
  <c r="AD30" i="110"/>
  <c r="AD32" i="110" s="1"/>
  <c r="AD54" i="110"/>
  <c r="AC31" i="110"/>
  <c r="AC63" i="110"/>
  <c r="AC116" i="110"/>
  <c r="AC94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94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Y94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H94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D94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U94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90" i="110" s="1"/>
  <c r="Q42" i="111"/>
  <c r="Q64" i="111"/>
  <c r="AG32" i="111"/>
  <c r="E42" i="111"/>
  <c r="T82" i="111"/>
  <c r="T101" i="111"/>
  <c r="G116" i="110"/>
  <c r="G94" i="110"/>
  <c r="D94" i="110"/>
  <c r="D116" i="110"/>
  <c r="G79" i="111"/>
  <c r="AH61" i="110"/>
  <c r="AJ61" i="110" s="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6" i="110"/>
  <c r="P94" i="110"/>
  <c r="P101" i="111"/>
  <c r="P82" i="111"/>
  <c r="P78" i="111"/>
  <c r="O69" i="110"/>
  <c r="O79" i="111"/>
  <c r="O84" i="111"/>
  <c r="AH50" i="110" l="1"/>
  <c r="C84" i="111"/>
  <c r="S90" i="110"/>
  <c r="AH22" i="110"/>
  <c r="O32" i="110"/>
  <c r="J43" i="23"/>
  <c r="S44" i="23" s="1"/>
  <c r="T44" i="23" s="1"/>
  <c r="U44" i="23" s="1"/>
  <c r="S10" i="23"/>
  <c r="T10" i="23" s="1"/>
  <c r="U10" i="23" s="1"/>
  <c r="Q78" i="111"/>
  <c r="AH31" i="110"/>
  <c r="AH63" i="110"/>
  <c r="AJ63" i="110" s="1"/>
  <c r="V90" i="110"/>
  <c r="AH84" i="110"/>
  <c r="B68" i="110"/>
  <c r="AH30" i="110"/>
  <c r="AH54" i="110"/>
  <c r="AJ54" i="110" s="1"/>
  <c r="AH26" i="110"/>
  <c r="AG62" i="111"/>
  <c r="AG81" i="111"/>
  <c r="AI81" i="111" s="1"/>
  <c r="AG80" i="111"/>
  <c r="AI80" i="111" s="1"/>
  <c r="D38" i="109"/>
  <c r="AE68" i="110"/>
  <c r="AC32" i="110"/>
  <c r="B32" i="110"/>
  <c r="AH116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H60" i="110"/>
  <c r="AJ60" i="110" s="1"/>
  <c r="AJ69" i="110" s="1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H90" i="110" l="1"/>
  <c r="AJ90" i="110" s="1"/>
  <c r="AH96" i="110"/>
  <c r="AK96" i="110" s="1"/>
  <c r="AJ94" i="110"/>
  <c r="AH32" i="110"/>
  <c r="R34" i="109"/>
  <c r="AH69" i="110"/>
  <c r="AH68" i="110"/>
  <c r="AI69" i="111"/>
  <c r="AI79" i="111" s="1"/>
  <c r="AG79" i="111"/>
  <c r="AI62" i="111"/>
  <c r="AJ68" i="110"/>
  <c r="AJ96" i="110" l="1"/>
  <c r="AK90" i="110"/>
  <c r="D93" i="111"/>
  <c r="D63" i="111" s="1"/>
  <c r="D78" i="111" s="1"/>
  <c r="C93" i="111" l="1"/>
  <c r="AH15" i="110" l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  <author>Delano Pasea</author>
  </authors>
  <commentList>
    <comment ref="A69" authorId="0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1" shapeId="0" xr:uid="{42D8BF72-C400-4120-BFAB-E6F7B8BA4A54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3000kgs
Tank B 0 kgs
Tank C 25700Kgs
Mobile approx. 0 kgs</t>
        </r>
      </text>
    </comment>
    <comment ref="C74" authorId="1" shapeId="0" xr:uid="{AFE8A5AF-5400-405F-B13C-928677C3AC2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25700Kgs
Mobile approx. 0 kgs
Tank C gage did not move</t>
        </r>
      </text>
    </comment>
    <comment ref="D74" authorId="1" shapeId="0" xr:uid="{F483256C-B781-461A-BFB1-73CA74C84AC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25700Kgs
Mobile approx. 0 kgs
Tank C gage did not move on Tuesday pressure was high</t>
        </r>
      </text>
    </comment>
    <comment ref="E74" authorId="1" shapeId="0" xr:uid="{40B1DEAF-F8FB-4801-9CA4-79E99FDD97C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24000Kgs
Mobile approx. 0 kgs
</t>
        </r>
      </text>
    </comment>
    <comment ref="F74" authorId="1" shapeId="0" xr:uid="{7F404910-B65B-4E6A-80DB-6364E3C15C2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22400Kgs
Mobile approx. 0 kgs
</t>
        </r>
      </text>
    </comment>
    <comment ref="G74" authorId="1" shapeId="0" xr:uid="{C02DB3E5-2D51-4001-91D4-551C2EBC30A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20800Kgs
Mobile approx. 0 kgs
</t>
        </r>
      </text>
    </comment>
    <comment ref="H74" authorId="1" shapeId="0" xr:uid="{FF20A9B6-8175-442B-92FE-6FFD82B56A8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20000Kgs
Mobile approx. 0 kgs
</t>
        </r>
      </text>
    </comment>
    <comment ref="I74" authorId="1" shapeId="0" xr:uid="{5719DBD8-9DA8-4103-920F-4C0ECED8AAA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17100Kgs
Mobile approx. 21600 kgs
</t>
        </r>
      </text>
    </comment>
    <comment ref="J74" authorId="1" shapeId="0" xr:uid="{06A8D0FA-9F7A-4B1A-A1C4-70FD19E53FF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15100Kgs
Mobile approx. 21600 kgs
</t>
        </r>
      </text>
    </comment>
    <comment ref="K74" authorId="1" shapeId="0" xr:uid="{8E582F50-293E-4EDA-96C7-17B0129DB15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14200Kgs
Mobile approx. 21600 kgs
Daily reading includes unaccounted CO2 from Mobile 
1500Kgs</t>
        </r>
      </text>
    </comment>
    <comment ref="L74" authorId="1" shapeId="0" xr:uid="{8BB8E2A1-7F4B-4886-B323-0CC07054B8A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5300 kgs (Tank B was filled)
Tank C 25700Kgs (adjusted)
Mobile approx. 0 kgs
</t>
        </r>
      </text>
    </comment>
    <comment ref="M74" authorId="1" shapeId="0" xr:uid="{B60DCBA9-57AD-4337-A78D-59DD5CBEB2A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4100 kgs
Tank C 24900Kgs
Mobile approx. 0 kgs
</t>
        </r>
      </text>
    </comment>
    <comment ref="N74" authorId="1" shapeId="0" xr:uid="{EEEF4A7F-F7CC-47E3-A86A-A824FF9E01B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2500 kgs
Tank C 24900Kgs
Mobile approx. 0 kgs
</t>
        </r>
      </text>
    </comment>
    <comment ref="O74" authorId="1" shapeId="0" xr:uid="{A06DA1EA-B449-4720-BACA-FA48B9518A5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2300 kgs
Tank C 24900Kgs
Mobile approx. 0 kgs
</t>
        </r>
      </text>
    </comment>
    <comment ref="P74" authorId="1" shapeId="0" xr:uid="{C6D37D6F-D990-4EBF-9993-4512FB7239F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24900Kgs
Mobile approx. 0 kgs
</t>
        </r>
      </text>
    </comment>
    <comment ref="Q74" authorId="1" shapeId="0" xr:uid="{DF0CBB4B-64A0-42A9-8A20-27D620082C5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22400Kgs
Mobile approx. 0 kgs
</t>
        </r>
      </text>
    </comment>
    <comment ref="R74" authorId="1" shapeId="0" xr:uid="{A9AF6714-D49F-40D7-9F6E-E28D93DAA58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20000Kgs
Mobile approx. 0 kgs
</t>
        </r>
      </text>
    </comment>
    <comment ref="S74" authorId="1" shapeId="0" xr:uid="{21564FC3-5C27-402C-8B3A-8BF6AF4F7F1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17500Kgs
Mobile approx. 0 kgs
</t>
        </r>
      </text>
    </comment>
    <comment ref="T74" authorId="1" shapeId="0" xr:uid="{5D9A7799-B12A-46D8-8FED-9FB10489A38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15000Kgs
Mobile approx. 0 kgs
</t>
        </r>
      </text>
    </comment>
    <comment ref="U74" authorId="1" shapeId="0" xr:uid="{DD733B61-5D04-495B-97CA-9FFC9169204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12600Kgs
Mobile approx. 0 kgs
</t>
        </r>
      </text>
    </comment>
    <comment ref="V74" authorId="1" shapeId="0" xr:uid="{6D4C8A79-07E3-4866-B6FF-286D42AFA02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12600Kgs
Mobile approx. 0 kgs
</t>
        </r>
      </text>
    </comment>
    <comment ref="W74" authorId="1" shapeId="0" xr:uid="{927F594B-9C70-430D-96A4-DF5F26AAB7E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12600Kgs
Mobile approx. 20700 kgs
</t>
        </r>
      </text>
    </comment>
    <comment ref="X74" authorId="1" shapeId="0" xr:uid="{A28DF0B7-09B4-48CE-9B77-04A8A4B69A9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 ( filled to 2700)
Tank B 0 kgs
Tank C 25300Kgs
Mobile approx. 5400 kgs (MT at 930 into Tank A)
</t>
        </r>
      </text>
    </comment>
    <comment ref="Y74" authorId="1" shapeId="0" xr:uid="{43AC31D4-F1C7-41B2-97CE-AB250107AA3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25300Kgs
</t>
        </r>
      </text>
    </comment>
    <comment ref="Z74" authorId="1" shapeId="0" xr:uid="{8F9FADBB-8035-4ADF-ACBD-91B1554E4D1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23200Kgs
</t>
        </r>
      </text>
    </comment>
    <comment ref="AA74" authorId="1" shapeId="0" xr:uid="{DEC10AFB-EFBB-470E-953E-7D3EE3375A5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23200Kgs
</t>
        </r>
      </text>
    </comment>
    <comment ref="AB74" authorId="1" shapeId="0" xr:uid="{F2F4C6B1-2D5B-4A3B-A29E-FA0408B883C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23200Kgs
</t>
        </r>
      </text>
    </comment>
    <comment ref="AC74" authorId="1" shapeId="0" xr:uid="{F51D2278-25F8-4A5A-AEC5-9FD80D936A1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23200Kgs
</t>
        </r>
      </text>
    </comment>
    <comment ref="AD74" authorId="1" shapeId="0" xr:uid="{B626F497-2C6B-4ABC-8916-BE3318B1346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23200Kgs
</t>
        </r>
      </text>
    </comment>
    <comment ref="AE74" authorId="1" shapeId="0" xr:uid="{EFF70BDD-FD6C-47B7-A838-F0EC86174F3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20800Kgs
</t>
        </r>
      </text>
    </comment>
    <comment ref="AF74" authorId="1" shapeId="0" xr:uid="{81993810-D409-4882-88AC-FF11C09E7BB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19100Kgs
</t>
        </r>
      </text>
    </comment>
    <comment ref="AG74" authorId="1" shapeId="0" xr:uid="{57371259-ED3C-417E-ADA9-B50564DE694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
Tank C 17500Kgs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<sst xmlns="http://schemas.openxmlformats.org/spreadsheetml/2006/main" count="626" uniqueCount="327">
  <si>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</si>
  <si>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</si>
  <si>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</si>
  <si>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</si>
  <si>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</si>
  <si>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</si>
  <si>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</si>
  <si>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</si>
  <si>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</si>
  <si>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</si>
  <si>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</si>
  <si>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</si>
  <si>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</si>
  <si>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</si>
  <si>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</si>
  <si>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</si>
  <si>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</si>
  <si>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</si>
  <si>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</si>
  <si>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</si>
  <si>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</si>
  <si>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</si>
  <si>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</si>
  <si>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</si>
  <si>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</si>
  <si>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</si>
  <si>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</si>
  <si>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</si>
  <si>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</si>
  <si>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</si>
  <si>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</si>
  <si>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</si>
  <si>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</si>
  <si>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</si>
  <si>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</si>
  <si>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</si>
  <si>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</si>
  <si>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</si>
  <si>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</si>
  <si>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</si>
  <si>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</si>
  <si>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</si>
  <si>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</si>
  <si>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</si>
  <si>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</si>
  <si>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</si>
  <si>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</si>
  <si>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</si>
  <si>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</si>
  <si>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</si>
  <si>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</si>
  <si>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</si>
  <si>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</si>
  <si>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</si>
  <si>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</si>
  <si>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</si>
  <si>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</si>
  <si>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</si>
  <si>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</si>
  <si>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</si>
  <si>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</si>
  <si>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</si>
  <si>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</si>
  <si>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</si>
  <si>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</si>
  <si>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</si>
  <si>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</si>
  <si>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</si>
  <si>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</si>
  <si>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</si>
  <si>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</si>
  <si>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</si>
  <si>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</si>
  <si>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</si>
  <si>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</si>
  <si>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</si>
  <si>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</si>
  <si>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</si>
  <si>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</si>
  <si>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</si>
  <si>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</si>
  <si>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</si>
  <si>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</si>
  <si>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</si>
  <si>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</si>
  <si>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</si>
  <si>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</si>
  <si>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</si>
  <si>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</si>
  <si>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</si>
  <si>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</si>
  <si>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</si>
  <si>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</si>
  <si>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</si>
  <si>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</si>
  <si>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</si>
  <si>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</si>
  <si>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</si>
  <si>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</si>
  <si>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</si>
  <si>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</si>
  <si>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</si>
  <si>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</si>
  <si>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</si>
  <si>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</si>
  <si>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</si>
  <si>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</si>
  <si>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</si>
  <si>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</si>
  <si>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</si>
  <si>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</si>
  <si>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</si>
  <si>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</si>
  <si>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</si>
  <si>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</si>
  <si>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</si>
  <si>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</si>
  <si>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</si>
  <si>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</si>
  <si>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</si>
  <si>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</si>
  <si>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</si>
  <si>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</si>
  <si>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</si>
  <si>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</si>
  <si>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</si>
  <si>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</si>
  <si>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</si>
  <si>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</si>
  <si>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</si>
  <si>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</si>
  <si>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</si>
  <si>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</si>
  <si>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</si>
  <si>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</si>
  <si>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</si>
  <si>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</si>
  <si>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</si>
  <si>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</si>
  <si>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</si>
  <si>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</si>
  <si>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</si>
  <si>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</si>
  <si>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</si>
  <si>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</si>
  <si>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</si>
  <si>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</si>
  <si>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</si>
  <si>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</si>
  <si>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</si>
  <si>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</si>
  <si>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</si>
  <si>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</si>
  <si>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</si>
  <si>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</si>
  <si>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</si>
  <si>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</si>
  <si>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</si>
  <si>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</si>
  <si>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</si>
  <si>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</si>
  <si>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</si>
  <si>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</si>
  <si>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</si>
  <si>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</si>
  <si>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</si>
  <si>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</si>
  <si>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</si>
  <si>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</si>
  <si>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</si>
  <si>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</si>
  <si>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</si>
  <si>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</si>
  <si>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</si>
  <si>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</si>
  <si>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</si>
  <si>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</si>
  <si>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</si>
  <si>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</si>
  <si>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</si>
  <si>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</si>
  <si>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</si>
  <si>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</si>
  <si>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</si>
  <si>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</si>
  <si>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</si>
  <si>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</si>
  <si>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</si>
  <si>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</si>
  <si>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</si>
  <si>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</si>
  <si>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</si>
  <si>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</si>
  <si>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</si>
  <si>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</si>
  <si>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</si>
  <si>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</si>
  <si>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</si>
  <si>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</si>
  <si>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</si>
  <si>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</si>
  <si>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</si>
  <si>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</si>
  <si>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</si>
  <si>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</si>
  <si>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</si>
  <si>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</si>
  <si>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</si>
  <si>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</si>
  <si>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</si>
  <si>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</si>
  <si>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</si>
  <si>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</si>
  <si>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</si>
  <si>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</si>
  <si>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</si>
  <si>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</si>
  <si>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</si>
  <si>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</si>
  <si>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</si>
  <si>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</si>
  <si>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</si>
  <si>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</si>
  <si>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</si>
  <si>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</si>
  <si>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</si>
  <si>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</si>
  <si>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</si>
  <si>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</si>
  <si>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</si>
  <si>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</si>
  <si>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</si>
  <si>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</si>
  <si>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</si>
  <si>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</si>
  <si>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</si>
  <si>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</si>
  <si>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</si>
  <si>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</si>
  <si>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</si>
  <si>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</si>
  <si>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</si>
  <si>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</si>
  <si>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</si>
  <si>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</si>
  <si>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</si>
  <si>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</si>
  <si>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</si>
  <si>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</si>
  <si>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</si>
  <si>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</si>
  <si>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</si>
  <si>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</si>
  <si>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</si>
  <si>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</si>
  <si>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</si>
  <si>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</si>
  <si>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</si>
  <si>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</si>
  <si>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</si>
  <si>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</si>
  <si>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</si>
  <si>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</si>
  <si>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</si>
  <si>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</si>
  <si>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</si>
  <si>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</si>
  <si>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</si>
  <si>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</si>
  <si>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</si>
  <si>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</si>
  <si>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</si>
  <si>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</si>
  <si>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</si>
  <si>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</si>
  <si>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</si>
  <si>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</si>
  <si>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</si>
  <si>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</si>
  <si>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</si>
  <si>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</si>
  <si>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</si>
  <si>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</si>
  <si>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</si>
  <si>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</si>
  <si>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</si>
  <si>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</si>
  <si>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</si>
  <si>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</si>
  <si>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(FILTRATION)</t>
    </r>
  </si>
  <si>
    <t>Consumption (FILTRATION) (kg)</t>
  </si>
  <si>
    <t>CO2 Totalizer</t>
  </si>
  <si>
    <t>DAILY WATER CONSUMPTION FOR NOVEMBER 2025</t>
  </si>
  <si>
    <t>Generation Solar System (Kw-H)</t>
  </si>
  <si>
    <t>Solar System</t>
  </si>
  <si>
    <t xml:space="preserve">Solar System CARIB </t>
  </si>
  <si>
    <t>% (Solar/Total Usage)</t>
  </si>
  <si>
    <t>DAILY FUEL CONSUMPTION FOR  DECEMBER 2025</t>
  </si>
  <si>
    <t>DAILY  ELECTRICITY  CONSUMPTION FOR  DECEMBER 2025</t>
  </si>
  <si>
    <t>PRODUCTION FOR DECEMBER 2025</t>
  </si>
  <si>
    <t>CO2 Daily Consumption for DECEMBER 2025</t>
  </si>
  <si>
    <t>VM</t>
  </si>
  <si>
    <r>
      <rPr>
        <b/>
        <sz val="20"/>
        <color rgb="FF00B050"/>
        <rFont val="Arial"/>
        <family val="2"/>
      </rPr>
      <t>ST</t>
    </r>
    <r>
      <rPr>
        <b/>
        <sz val="20"/>
        <color theme="1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</si>
  <si>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t>CB</t>
  </si>
  <si>
    <t>ST</t>
  </si>
  <si>
    <r>
      <t>CB/</t>
    </r>
    <r>
      <rPr>
        <b/>
        <sz val="20"/>
        <color rgb="FFFF00FF"/>
        <rFont val="Arial"/>
        <family val="2"/>
      </rPr>
      <t>Rose</t>
    </r>
  </si>
  <si>
    <t>ST/ CB</t>
  </si>
  <si>
    <r>
      <rPr>
        <b/>
        <sz val="20"/>
        <color rgb="FFFF0000"/>
        <rFont val="Arial"/>
        <family val="2"/>
      </rPr>
      <t>VM</t>
    </r>
    <r>
      <rPr>
        <b/>
        <sz val="20"/>
        <color theme="9" tint="-0.249977111117893"/>
        <rFont val="Arial"/>
        <family val="2"/>
      </rPr>
      <t>/GN</t>
    </r>
  </si>
  <si>
    <r>
      <t>CB/</t>
    </r>
    <r>
      <rPr>
        <b/>
        <sz val="18"/>
        <color rgb="FFFF00FF"/>
        <rFont val="Arial"/>
        <family val="2"/>
      </rPr>
      <t>Rose</t>
    </r>
  </si>
  <si>
    <t>Rose</t>
  </si>
  <si>
    <r>
      <t>Rose/</t>
    </r>
    <r>
      <rPr>
        <b/>
        <sz val="20"/>
        <color rgb="FF00B050"/>
        <rFont val="Arial"/>
        <family val="2"/>
      </rPr>
      <t>Psecco</t>
    </r>
    <r>
      <rPr>
        <b/>
        <sz val="20"/>
        <color rgb="FFFF00FF"/>
        <rFont val="Arial"/>
        <family val="2"/>
      </rPr>
      <t>/</t>
    </r>
    <r>
      <rPr>
        <b/>
        <sz val="18"/>
        <color rgb="FFFF0000"/>
        <rFont val="Arial"/>
        <family val="2"/>
      </rPr>
      <t>SM</t>
    </r>
  </si>
  <si>
    <t>SM</t>
  </si>
  <si>
    <r>
      <t>SM</t>
    </r>
    <r>
      <rPr>
        <b/>
        <sz val="18"/>
        <color rgb="FF00B0F0"/>
        <rFont val="Arial"/>
        <family val="2"/>
      </rPr>
      <t>/</t>
    </r>
    <r>
      <rPr>
        <b/>
        <sz val="20"/>
        <color rgb="FF00B0F0"/>
        <rFont val="Arial"/>
        <family val="2"/>
      </rPr>
      <t>VM</t>
    </r>
  </si>
  <si>
    <r>
      <t>VM/</t>
    </r>
    <r>
      <rPr>
        <b/>
        <sz val="20"/>
        <color rgb="FF00B050"/>
        <rFont val="Arial"/>
        <family val="2"/>
      </rPr>
      <t>ST</t>
    </r>
  </si>
  <si>
    <t>CB/ST</t>
  </si>
  <si>
    <t>GU/CB</t>
  </si>
  <si>
    <t>GU</t>
  </si>
  <si>
    <t>ST/CB/SM</t>
  </si>
  <si>
    <t xml:space="preserve">CB </t>
  </si>
  <si>
    <t>ST/SM</t>
  </si>
  <si>
    <r>
      <rPr>
        <b/>
        <sz val="20"/>
        <color rgb="FF0000FF"/>
        <rFont val="Arial"/>
        <family val="2"/>
      </rPr>
      <t>CB</t>
    </r>
    <r>
      <rPr>
        <b/>
        <sz val="20"/>
        <color rgb="FF00B0F0"/>
        <rFont val="Arial"/>
        <family val="2"/>
      </rPr>
      <t xml:space="preserve"> /</t>
    </r>
    <r>
      <rPr>
        <b/>
        <sz val="20"/>
        <color rgb="FFFF0000"/>
        <rFont val="Arial"/>
        <family val="2"/>
      </rPr>
      <t>SS</t>
    </r>
    <r>
      <rPr>
        <b/>
        <sz val="20"/>
        <color rgb="FF0000FF"/>
        <rFont val="Arial"/>
        <family val="2"/>
      </rPr>
      <t>/</t>
    </r>
    <r>
      <rPr>
        <b/>
        <sz val="20"/>
        <color rgb="FF00B050"/>
        <rFont val="Arial"/>
        <family val="2"/>
      </rPr>
      <t>ST</t>
    </r>
    <r>
      <rPr>
        <b/>
        <sz val="20"/>
        <color rgb="FF00B0F0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</si>
  <si>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00B0F0"/>
        <rFont val="Arial"/>
        <family val="2"/>
      </rPr>
      <t xml:space="preserve"> /</t>
    </r>
    <r>
      <rPr>
        <b/>
        <sz val="20"/>
        <color rgb="FFFF0000"/>
        <rFont val="Arial"/>
        <family val="2"/>
      </rPr>
      <t>SM</t>
    </r>
  </si>
  <si>
    <t>GN</t>
  </si>
  <si>
    <r>
      <t>GN/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</si>
  <si>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00B0F0"/>
        <rFont val="Arial"/>
        <family val="2"/>
      </rPr>
      <t xml:space="preserve"> /</t>
    </r>
    <r>
      <rPr>
        <b/>
        <sz val="20"/>
        <color rgb="FF00B050"/>
        <rFont val="Arial"/>
        <family val="2"/>
      </rPr>
      <t>ST</t>
    </r>
  </si>
  <si>
    <t>Kegs</t>
  </si>
  <si>
    <t>TOTAL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</si>
</sst>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sz val="12"/>
      <color indexed="81"/>
      <name val="Tahoma"/>
      <family val="2"/>
    </font>
    <font>
      <b/>
      <sz val="20"/>
      <color rgb="FF170EC2"/>
      <name val="Arial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F830CD"/>
      <name val="Arial"/>
      <family val="2"/>
    </font>
    <font>
      <b/>
      <sz val="20"/>
      <color rgb="FFFF00FF"/>
      <name val="Arial"/>
      <family val="2"/>
    </font>
    <font>
      <b/>
      <sz val="18"/>
      <color rgb="FFFF00FF"/>
      <name val="Arial"/>
      <family val="2"/>
    </font>
    <font>
      <b/>
      <sz val="18"/>
      <color rgb="FFFF0000"/>
      <name val="Arial"/>
      <family val="2"/>
    </font>
    <font>
      <b/>
      <sz val="18"/>
      <color rgb="FF00B0F0"/>
      <name val="Arial"/>
      <family val="2"/>
    </font>
    <font>
      <b/>
      <sz val="20"/>
      <color rgb="FF00B0F0"/>
      <name val="Arial"/>
      <family val="2"/>
    </font>
    <font>
      <b/>
      <sz val="20"/>
      <color rgb="FFC00000"/>
      <name val="Arial"/>
      <family val="2"/>
    </font>
    <font>
      <b/>
      <sz val="20"/>
      <color theme="9"/>
      <name val="Arial"/>
      <family val="2"/>
    </font>
    <font>
      <b/>
      <sz val="20"/>
      <color theme="5" tint="-0.499984740745262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050"/>
        <bgColor indexed="64"/>
      </patternFill>
    </fill>
  </fills>
  <borders count="12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96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15" fillId="30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0" fontId="107" fillId="16" borderId="24" xfId="3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37" fontId="28" fillId="0" borderId="6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5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5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1" fontId="15" fillId="18" borderId="5" xfId="3" applyNumberFormat="1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0" fontId="70" fillId="12" borderId="57" xfId="3" applyFont="1" applyFill="1" applyBorder="1" applyAlignment="1">
      <alignment horizontal="center"/>
    </xf>
    <xf numFmtId="4" fontId="15" fillId="18" borderId="60" xfId="3" applyNumberFormat="1" applyFont="1" applyFill="1" applyBorder="1" applyAlignment="1">
      <alignment horizontal="center"/>
    </xf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1" fontId="107" fillId="16" borderId="62" xfId="3" applyNumberFormat="1" applyFont="1" applyFill="1" applyBorder="1" applyAlignment="1">
      <alignment horizontal="center"/>
    </xf>
    <xf numFmtId="4" fontId="107" fillId="18" borderId="63" xfId="3" applyNumberFormat="1" applyFont="1" applyFill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70" fillId="12" borderId="62" xfId="3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1" xfId="3" applyNumberFormat="1" applyFont="1" applyFill="1" applyBorder="1" applyAlignment="1">
      <alignment horizontal="center"/>
    </xf>
    <xf numFmtId="37" fontId="109" fillId="16" borderId="62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9" fillId="16" borderId="22" xfId="0" applyFont="1" applyFill="1" applyBorder="1" applyAlignment="1">
      <alignment horizontal="center" vertical="center"/>
    </xf>
    <xf numFmtId="0" fontId="119" fillId="16" borderId="19" xfId="0" applyFont="1" applyFill="1" applyBorder="1" applyAlignment="1">
      <alignment horizontal="center" vertical="center"/>
    </xf>
    <xf numFmtId="3" fontId="119" fillId="16" borderId="47" xfId="0" applyNumberFormat="1" applyFont="1" applyFill="1" applyBorder="1" applyAlignment="1">
      <alignment horizontal="center" vertical="center"/>
    </xf>
    <xf numFmtId="3" fontId="118" fillId="31" borderId="0" xfId="0" applyNumberFormat="1" applyFont="1" applyFill="1" applyAlignment="1">
      <alignment horizontal="center" vertical="center"/>
    </xf>
    <xf numFmtId="0" fontId="124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1" fillId="16" borderId="86" xfId="0" applyNumberFormat="1" applyFont="1" applyFill="1" applyBorder="1" applyAlignment="1">
      <alignment horizontal="center" vertical="center"/>
    </xf>
    <xf numFmtId="3" fontId="126" fillId="16" borderId="86" xfId="0" applyNumberFormat="1" applyFont="1" applyFill="1" applyBorder="1" applyAlignment="1">
      <alignment horizontal="center" vertical="center"/>
    </xf>
    <xf numFmtId="0" fontId="123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9" fillId="31" borderId="57" xfId="0" applyNumberFormat="1" applyFont="1" applyFill="1" applyBorder="1" applyAlignment="1">
      <alignment horizontal="center" vertical="center" wrapText="1"/>
    </xf>
    <xf numFmtId="37" fontId="129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3" fillId="22" borderId="87" xfId="0" applyFont="1" applyFill="1" applyBorder="1" applyAlignment="1">
      <alignment horizontal="center" vertical="center" wrapText="1"/>
    </xf>
    <xf numFmtId="1" fontId="123" fillId="22" borderId="89" xfId="0" applyNumberFormat="1" applyFont="1" applyFill="1" applyBorder="1" applyAlignment="1">
      <alignment horizontal="center" vertical="center" wrapText="1"/>
    </xf>
    <xf numFmtId="1" fontId="127" fillId="22" borderId="58" xfId="0" applyNumberFormat="1" applyFont="1" applyFill="1" applyBorder="1" applyAlignment="1">
      <alignment horizontal="center" vertical="center"/>
    </xf>
    <xf numFmtId="1" fontId="127" fillId="22" borderId="66" xfId="0" applyNumberFormat="1" applyFont="1" applyFill="1" applyBorder="1" applyAlignment="1">
      <alignment horizontal="center" vertical="center"/>
    </xf>
    <xf numFmtId="37" fontId="129" fillId="13" borderId="57" xfId="0" applyNumberFormat="1" applyFont="1" applyFill="1" applyBorder="1" applyAlignment="1">
      <alignment horizontal="center" vertical="center" wrapText="1"/>
    </xf>
    <xf numFmtId="0" fontId="124" fillId="36" borderId="97" xfId="0" applyFont="1" applyFill="1" applyBorder="1" applyAlignment="1">
      <alignment horizontal="center" vertical="center"/>
    </xf>
    <xf numFmtId="0" fontId="123" fillId="36" borderId="76" xfId="0" applyFont="1" applyFill="1" applyBorder="1" applyAlignment="1">
      <alignment horizontal="center" vertical="center" wrapText="1"/>
    </xf>
    <xf numFmtId="37" fontId="129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2" xfId="3" applyFont="1" applyFill="1" applyBorder="1" applyAlignment="1">
      <alignment horizontal="center"/>
    </xf>
    <xf numFmtId="37" fontId="28" fillId="18" borderId="59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0" fillId="31" borderId="5" xfId="3" applyFont="1" applyFill="1" applyBorder="1" applyAlignment="1">
      <alignment horizontal="center" vertical="center"/>
    </xf>
    <xf numFmtId="3" fontId="130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4" fontId="78" fillId="16" borderId="0" xfId="0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67" fontId="93" fillId="38" borderId="105" xfId="1" applyNumberFormat="1" applyFont="1" applyFill="1" applyBorder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1" fontId="28" fillId="0" borderId="5" xfId="3" applyNumberFormat="1" applyFont="1" applyBorder="1" applyAlignment="1">
      <alignment horizontal="center"/>
    </xf>
    <xf numFmtId="4" fontId="15" fillId="0" borderId="60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/>
    </xf>
    <xf numFmtId="1" fontId="104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167" fontId="96" fillId="16" borderId="0" xfId="1" applyNumberFormat="1" applyFont="1" applyFill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33" fillId="31" borderId="5" xfId="0" applyNumberFormat="1" applyFont="1" applyFill="1" applyBorder="1" applyAlignment="1">
      <alignment horizontal="center"/>
    </xf>
    <xf numFmtId="167" fontId="104" fillId="16" borderId="0" xfId="1" applyNumberFormat="1" applyFont="1" applyFill="1" applyAlignment="1">
      <alignment horizontal="center" vertical="center"/>
    </xf>
    <xf numFmtId="167" fontId="101" fillId="34" borderId="106" xfId="1" applyNumberFormat="1" applyFont="1" applyFill="1" applyBorder="1" applyAlignment="1">
      <alignment horizontal="center" vertical="center"/>
    </xf>
    <xf numFmtId="167" fontId="93" fillId="34" borderId="106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1" fontId="133" fillId="31" borderId="0" xfId="1" applyNumberFormat="1" applyFont="1" applyFill="1" applyAlignment="1">
      <alignment horizontal="center" vertical="center"/>
    </xf>
    <xf numFmtId="1" fontId="116" fillId="16" borderId="0" xfId="1" applyNumberFormat="1" applyFont="1" applyFill="1" applyAlignment="1">
      <alignment horizontal="center" vertical="center"/>
    </xf>
    <xf numFmtId="167" fontId="93" fillId="16" borderId="105" xfId="1" applyNumberFormat="1" applyFont="1" applyFill="1" applyBorder="1" applyAlignment="1">
      <alignment horizontal="center" vertical="center"/>
    </xf>
    <xf numFmtId="1" fontId="134" fillId="16" borderId="0" xfId="1" applyNumberFormat="1" applyFont="1" applyFill="1" applyAlignment="1">
      <alignment horizontal="center" vertical="center"/>
    </xf>
    <xf numFmtId="0" fontId="7" fillId="31" borderId="71" xfId="3" applyFill="1" applyBorder="1" applyAlignment="1">
      <alignment horizontal="center"/>
    </xf>
    <xf numFmtId="37" fontId="28" fillId="31" borderId="46" xfId="3" applyNumberFormat="1" applyFont="1" applyFill="1" applyBorder="1" applyAlignment="1">
      <alignment horizontal="center"/>
    </xf>
    <xf numFmtId="37" fontId="7" fillId="31" borderId="3" xfId="3" applyNumberFormat="1" applyFill="1" applyBorder="1" applyAlignment="1">
      <alignment horizontal="center"/>
    </xf>
    <xf numFmtId="1" fontId="76" fillId="31" borderId="0" xfId="1" applyNumberFormat="1" applyFont="1" applyFill="1" applyAlignment="1">
      <alignment horizontal="center" vertical="center"/>
    </xf>
    <xf numFmtId="3" fontId="75" fillId="25" borderId="0" xfId="0" applyNumberFormat="1" applyFont="1" applyFill="1"/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9" xfId="0" applyNumberFormat="1" applyFont="1" applyFill="1" applyBorder="1" applyAlignment="1">
      <alignment horizontal="center"/>
    </xf>
    <xf numFmtId="1" fontId="7" fillId="18" borderId="60" xfId="0" applyNumberFormat="1" applyFont="1" applyFill="1" applyBorder="1" applyAlignment="1">
      <alignment horizontal="center"/>
    </xf>
    <xf numFmtId="9" fontId="7" fillId="18" borderId="118" xfId="0" applyNumberFormat="1" applyFont="1" applyFill="1" applyBorder="1" applyAlignment="1">
      <alignment horizontal="center"/>
    </xf>
    <xf numFmtId="9" fontId="0" fillId="0" borderId="0" xfId="0" applyNumberFormat="1"/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1" fontId="76" fillId="16" borderId="0" xfId="1" applyNumberFormat="1" applyFont="1" applyFill="1" applyAlignment="1">
      <alignment horizontal="center" vertical="center"/>
    </xf>
    <xf numFmtId="0" fontId="7" fillId="39" borderId="5" xfId="0" applyFont="1" applyFill="1" applyBorder="1" applyAlignment="1">
      <alignment horizontal="center"/>
    </xf>
    <xf numFmtId="3" fontId="7" fillId="39" borderId="5" xfId="0" applyNumberFormat="1" applyFont="1" applyFill="1" applyBorder="1" applyAlignment="1">
      <alignment horizontal="center"/>
    </xf>
    <xf numFmtId="9" fontId="7" fillId="39" borderId="118" xfId="0" applyNumberFormat="1" applyFont="1" applyFill="1" applyBorder="1" applyAlignment="1">
      <alignment horizontal="center"/>
    </xf>
    <xf numFmtId="37" fontId="7" fillId="39" borderId="5" xfId="3" applyNumberFormat="1" applyFill="1" applyBorder="1" applyAlignment="1">
      <alignment horizontal="center"/>
    </xf>
    <xf numFmtId="3" fontId="7" fillId="39" borderId="44" xfId="0" quotePrefix="1" applyNumberFormat="1" applyFont="1" applyFill="1" applyBorder="1" applyAlignment="1">
      <alignment horizontal="center"/>
    </xf>
    <xf numFmtId="3" fontId="7" fillId="39" borderId="59" xfId="0" applyNumberFormat="1" applyFont="1" applyFill="1" applyBorder="1" applyAlignment="1">
      <alignment horizontal="center"/>
    </xf>
    <xf numFmtId="1" fontId="7" fillId="39" borderId="60" xfId="0" applyNumberFormat="1" applyFont="1" applyFill="1" applyBorder="1" applyAlignment="1">
      <alignment horizontal="center"/>
    </xf>
    <xf numFmtId="3" fontId="7" fillId="39" borderId="61" xfId="0" applyNumberFormat="1" applyFont="1" applyFill="1" applyBorder="1" applyAlignment="1">
      <alignment horizontal="center"/>
    </xf>
    <xf numFmtId="3" fontId="7" fillId="39" borderId="62" xfId="0" applyNumberFormat="1" applyFont="1" applyFill="1" applyBorder="1" applyAlignment="1">
      <alignment horizontal="center"/>
    </xf>
    <xf numFmtId="1" fontId="7" fillId="39" borderId="63" xfId="0" applyNumberFormat="1" applyFont="1" applyFill="1" applyBorder="1" applyAlignment="1">
      <alignment horizontal="center"/>
    </xf>
    <xf numFmtId="3" fontId="136" fillId="40" borderId="37" xfId="3" applyNumberFormat="1" applyFont="1" applyFill="1" applyBorder="1" applyAlignment="1">
      <alignment horizontal="center" vertical="center"/>
    </xf>
    <xf numFmtId="3" fontId="15" fillId="40" borderId="37" xfId="3" applyNumberFormat="1" applyFont="1" applyFill="1" applyBorder="1" applyAlignment="1">
      <alignment horizontal="center" vertical="center"/>
    </xf>
    <xf numFmtId="0" fontId="15" fillId="12" borderId="5" xfId="3" applyFont="1" applyFill="1" applyBorder="1" applyAlignment="1">
      <alignment horizontal="center"/>
    </xf>
    <xf numFmtId="37" fontId="15" fillId="12" borderId="5" xfId="3" applyNumberFormat="1" applyFont="1" applyFill="1" applyBorder="1" applyAlignment="1">
      <alignment horizontal="center"/>
    </xf>
    <xf numFmtId="3" fontId="15" fillId="12" borderId="5" xfId="3" applyNumberFormat="1" applyFont="1" applyFill="1" applyBorder="1" applyAlignment="1">
      <alignment horizontal="center"/>
    </xf>
    <xf numFmtId="3" fontId="15" fillId="12" borderId="116" xfId="3" applyNumberFormat="1" applyFont="1" applyFill="1" applyBorder="1" applyAlignment="1">
      <alignment horizontal="center"/>
    </xf>
    <xf numFmtId="37" fontId="15" fillId="12" borderId="46" xfId="3" applyNumberFormat="1" applyFont="1" applyFill="1" applyBorder="1" applyAlignment="1">
      <alignment horizontal="center"/>
    </xf>
    <xf numFmtId="1" fontId="15" fillId="12" borderId="3" xfId="3" applyNumberFormat="1" applyFont="1" applyFill="1" applyBorder="1" applyAlignment="1">
      <alignment horizontal="center"/>
    </xf>
    <xf numFmtId="0" fontId="28" fillId="12" borderId="72" xfId="3" applyFont="1" applyFill="1" applyBorder="1" applyAlignment="1">
      <alignment horizontal="center"/>
    </xf>
    <xf numFmtId="37" fontId="28" fillId="12" borderId="59" xfId="3" applyNumberFormat="1" applyFont="1" applyFill="1" applyBorder="1" applyAlignment="1">
      <alignment horizontal="center"/>
    </xf>
    <xf numFmtId="37" fontId="28" fillId="12" borderId="5" xfId="3" applyNumberFormat="1" applyFont="1" applyFill="1" applyBorder="1" applyAlignment="1">
      <alignment horizontal="center"/>
    </xf>
    <xf numFmtId="39" fontId="28" fillId="12" borderId="5" xfId="3" applyNumberFormat="1" applyFont="1" applyFill="1" applyBorder="1" applyAlignment="1">
      <alignment horizontal="center"/>
    </xf>
    <xf numFmtId="0" fontId="117" fillId="12" borderId="72" xfId="3" applyFont="1" applyFill="1" applyBorder="1" applyAlignment="1">
      <alignment horizontal="center"/>
    </xf>
    <xf numFmtId="37" fontId="117" fillId="12" borderId="59" xfId="3" applyNumberFormat="1" applyFont="1" applyFill="1" applyBorder="1" applyAlignment="1">
      <alignment horizontal="center"/>
    </xf>
    <xf numFmtId="0" fontId="7" fillId="18" borderId="59" xfId="3" applyFill="1" applyBorder="1"/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3" fontId="15" fillId="18" borderId="60" xfId="3" applyNumberFormat="1" applyFont="1" applyFill="1" applyBorder="1" applyAlignment="1">
      <alignment horizont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20" xfId="3" applyFont="1" applyFill="1" applyBorder="1" applyAlignment="1">
      <alignment horizontal="center"/>
    </xf>
    <xf numFmtId="37" fontId="28" fillId="31" borderId="120" xfId="3" applyNumberFormat="1" applyFont="1" applyFill="1" applyBorder="1" applyAlignment="1">
      <alignment horizontal="center"/>
    </xf>
    <xf numFmtId="3" fontId="7" fillId="31" borderId="120" xfId="3" applyNumberFormat="1" applyFill="1" applyBorder="1" applyAlignment="1">
      <alignment horizontal="center"/>
    </xf>
    <xf numFmtId="3" fontId="28" fillId="31" borderId="120" xfId="3" applyNumberFormat="1" applyFont="1" applyFill="1" applyBorder="1" applyAlignment="1">
      <alignment horizontal="center"/>
    </xf>
    <xf numFmtId="0" fontId="15" fillId="18" borderId="120" xfId="3" applyFont="1" applyFill="1" applyBorder="1" applyAlignment="1">
      <alignment horizontal="center"/>
    </xf>
    <xf numFmtId="37" fontId="28" fillId="18" borderId="120" xfId="3" applyNumberFormat="1" applyFont="1" applyFill="1" applyBorder="1" applyAlignment="1">
      <alignment horizontal="center"/>
    </xf>
    <xf numFmtId="3" fontId="28" fillId="18" borderId="120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1" fontId="104" fillId="16" borderId="0" xfId="1" applyNumberFormat="1" applyFont="1" applyFill="1" applyAlignment="1">
      <alignment horizontal="center" vertical="center"/>
    </xf>
    <xf numFmtId="167" fontId="93" fillId="16" borderId="106" xfId="1" applyNumberFormat="1" applyFont="1" applyFill="1" applyBorder="1" applyAlignment="1">
      <alignment horizontal="center" vertical="center"/>
    </xf>
    <xf numFmtId="1" fontId="137" fillId="16" borderId="0" xfId="1" applyNumberFormat="1" applyFont="1" applyFill="1" applyAlignment="1">
      <alignment horizontal="center" vertical="center"/>
    </xf>
    <xf numFmtId="167" fontId="95" fillId="16" borderId="0" xfId="1" applyNumberFormat="1" applyFont="1" applyFill="1" applyAlignment="1">
      <alignment horizontal="center" vertical="center"/>
    </xf>
    <xf numFmtId="3" fontId="75" fillId="26" borderId="0" xfId="0" applyNumberFormat="1" applyFont="1" applyFill="1" applyAlignment="1">
      <alignment horizontal="center"/>
    </xf>
    <xf numFmtId="1" fontId="78" fillId="0" borderId="0" xfId="1" applyNumberFormat="1" applyFont="1" applyFill="1" applyAlignment="1">
      <alignment horizontal="center" vertical="center"/>
    </xf>
    <xf numFmtId="1" fontId="76" fillId="0" borderId="0" xfId="1" applyNumberFormat="1" applyFont="1" applyFill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3" fontId="75" fillId="22" borderId="0" xfId="0" applyNumberFormat="1" applyFont="1" applyFill="1" applyAlignment="1">
      <alignment horizontal="center"/>
    </xf>
    <xf numFmtId="3" fontId="75" fillId="19" borderId="0" xfId="0" applyNumberFormat="1" applyFont="1" applyFill="1" applyAlignment="1">
      <alignment horizontal="center"/>
    </xf>
    <xf numFmtId="1" fontId="138" fillId="31" borderId="0" xfId="1" applyNumberFormat="1" applyFont="1" applyFill="1" applyAlignment="1">
      <alignment horizontal="center" vertical="center"/>
    </xf>
    <xf numFmtId="3" fontId="95" fillId="22" borderId="0" xfId="0" applyNumberFormat="1" applyFont="1" applyFill="1" applyAlignment="1">
      <alignment horizontal="center"/>
    </xf>
    <xf numFmtId="1" fontId="95" fillId="16" borderId="0" xfId="1" applyNumberFormat="1" applyFont="1" applyFill="1" applyBorder="1" applyAlignment="1">
      <alignment horizontal="center" vertical="center"/>
    </xf>
    <xf numFmtId="1" fontId="78" fillId="16" borderId="0" xfId="1" applyNumberFormat="1" applyFont="1" applyFill="1" applyBorder="1" applyAlignment="1">
      <alignment horizontal="center" vertical="center"/>
    </xf>
    <xf numFmtId="1" fontId="103" fillId="0" borderId="0" xfId="1" applyNumberFormat="1" applyFont="1" applyFill="1" applyAlignment="1">
      <alignment horizontal="center" vertical="center"/>
    </xf>
    <xf numFmtId="0" fontId="76" fillId="16" borderId="0" xfId="0" applyFont="1" applyFill="1" applyAlignment="1">
      <alignment horizontal="center" vertical="center"/>
    </xf>
    <xf numFmtId="167" fontId="77" fillId="16" borderId="0" xfId="1" applyNumberFormat="1" applyFont="1" applyFill="1" applyBorder="1" applyAlignment="1">
      <alignment horizontal="center" vertical="center"/>
    </xf>
    <xf numFmtId="1" fontId="95" fillId="16" borderId="0" xfId="1" applyNumberFormat="1" applyFont="1" applyFill="1" applyAlignment="1">
      <alignment horizontal="center" vertical="center"/>
    </xf>
    <xf numFmtId="1" fontId="142" fillId="31" borderId="0" xfId="1" applyNumberFormat="1" applyFont="1" applyFill="1" applyAlignment="1">
      <alignment horizontal="center" vertical="center"/>
    </xf>
    <xf numFmtId="1" fontId="78" fillId="0" borderId="0" xfId="1" applyNumberFormat="1" applyFont="1" applyFill="1" applyBorder="1" applyAlignment="1">
      <alignment horizontal="center" vertical="center"/>
    </xf>
    <xf numFmtId="3" fontId="7" fillId="39" borderId="123" xfId="0" applyNumberFormat="1" applyFont="1" applyFill="1" applyBorder="1" applyAlignment="1">
      <alignment horizontal="center"/>
    </xf>
    <xf numFmtId="3" fontId="7" fillId="18" borderId="123" xfId="0" applyNumberFormat="1" applyFont="1" applyFill="1" applyBorder="1" applyAlignment="1">
      <alignment horizontal="center"/>
    </xf>
    <xf numFmtId="167" fontId="144" fillId="31" borderId="0" xfId="1" applyNumberFormat="1" applyFont="1" applyFill="1" applyAlignment="1">
      <alignment horizontal="center" vertical="center"/>
    </xf>
    <xf numFmtId="167" fontId="143" fillId="16" borderId="0" xfId="1" applyNumberFormat="1" applyFont="1" applyFill="1" applyAlignment="1">
      <alignment horizontal="center" vertical="center"/>
    </xf>
    <xf numFmtId="167" fontId="145" fillId="31" borderId="0" xfId="1" applyNumberFormat="1" applyFont="1" applyFill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1" fontId="95" fillId="31" borderId="0" xfId="1" applyNumberFormat="1" applyFont="1" applyFill="1" applyAlignment="1">
      <alignment horizontal="center" vertical="center"/>
    </xf>
    <xf numFmtId="0" fontId="81" fillId="41" borderId="0" xfId="0" applyFont="1" applyFill="1" applyAlignment="1">
      <alignment horizontal="center" vertical="center"/>
    </xf>
    <xf numFmtId="3" fontId="95" fillId="14" borderId="0" xfId="0" applyNumberFormat="1" applyFont="1" applyFill="1" applyAlignment="1">
      <alignment horizontal="center"/>
    </xf>
    <xf numFmtId="3" fontId="15" fillId="0" borderId="125" xfId="3" applyNumberFormat="1" applyFont="1" applyBorder="1" applyAlignment="1">
      <alignment horizontal="center" vertical="center"/>
    </xf>
    <xf numFmtId="3" fontId="15" fillId="0" borderId="124" xfId="3" applyNumberFormat="1" applyFont="1" applyBorder="1" applyAlignment="1">
      <alignment horizontal="center" vertical="center"/>
    </xf>
    <xf numFmtId="3" fontId="15" fillId="17" borderId="124" xfId="3" applyNumberFormat="1" applyFont="1" applyFill="1" applyBorder="1" applyAlignment="1">
      <alignment horizontal="center" vertical="center"/>
    </xf>
    <xf numFmtId="3" fontId="15" fillId="16" borderId="124" xfId="3" applyNumberFormat="1" applyFont="1" applyFill="1" applyBorder="1" applyAlignment="1">
      <alignment horizontal="center" vertical="center"/>
    </xf>
    <xf numFmtId="3" fontId="136" fillId="40" borderId="124" xfId="3" applyNumberFormat="1" applyFont="1" applyFill="1" applyBorder="1" applyAlignment="1">
      <alignment horizontal="center" vertical="center"/>
    </xf>
    <xf numFmtId="3" fontId="15" fillId="30" borderId="124" xfId="3" applyNumberFormat="1" applyFont="1" applyFill="1" applyBorder="1" applyAlignment="1">
      <alignment horizontal="center" vertical="center"/>
    </xf>
    <xf numFmtId="3" fontId="7" fillId="0" borderId="124" xfId="3" applyNumberFormat="1" applyBorder="1" applyAlignment="1">
      <alignment horizontal="center" vertical="center"/>
    </xf>
    <xf numFmtId="3" fontId="15" fillId="28" borderId="124" xfId="3" applyNumberFormat="1" applyFont="1" applyFill="1" applyBorder="1" applyAlignment="1">
      <alignment horizontal="center" vertical="center"/>
    </xf>
    <xf numFmtId="3" fontId="15" fillId="20" borderId="124" xfId="3" applyNumberFormat="1" applyFont="1" applyFill="1" applyBorder="1" applyAlignment="1">
      <alignment horizontal="center" vertical="center"/>
    </xf>
    <xf numFmtId="3" fontId="15" fillId="23" borderId="124" xfId="3" applyNumberFormat="1" applyFont="1" applyFill="1" applyBorder="1" applyAlignment="1">
      <alignment horizontal="center" vertical="center"/>
    </xf>
    <xf numFmtId="3" fontId="15" fillId="0" borderId="126" xfId="3" applyNumberFormat="1" applyFont="1" applyBorder="1" applyAlignment="1">
      <alignment horizontal="center" vertical="center"/>
    </xf>
    <xf numFmtId="3" fontId="15" fillId="40" borderId="124" xfId="3" applyNumberFormat="1" applyFont="1" applyFill="1" applyBorder="1" applyAlignment="1">
      <alignment horizontal="center" vertical="center"/>
    </xf>
    <xf numFmtId="3" fontId="7" fillId="20" borderId="124" xfId="3" applyNumberFormat="1" applyFill="1" applyBorder="1" applyAlignment="1">
      <alignment horizontal="center" vertical="center"/>
    </xf>
    <xf numFmtId="3" fontId="114" fillId="16" borderId="124" xfId="3" applyNumberFormat="1" applyFont="1" applyFill="1" applyBorder="1" applyAlignment="1">
      <alignment horizontal="center" vertical="center"/>
    </xf>
    <xf numFmtId="3" fontId="114" fillId="0" borderId="124" xfId="3" applyNumberFormat="1" applyFont="1" applyBorder="1" applyAlignment="1">
      <alignment horizontal="center" vertical="center"/>
    </xf>
    <xf numFmtId="3" fontId="22" fillId="4" borderId="119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3" fontId="7" fillId="0" borderId="122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9" fillId="4" borderId="4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0" fontId="22" fillId="4" borderId="117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9" fontId="22" fillId="4" borderId="119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19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19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7" xfId="3" applyNumberFormat="1" applyFont="1" applyFill="1" applyBorder="1" applyAlignment="1">
      <alignment horizontal="center" wrapText="1"/>
    </xf>
    <xf numFmtId="1" fontId="72" fillId="18" borderId="62" xfId="3" applyNumberFormat="1" applyFont="1" applyFill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63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26" fillId="4" borderId="67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121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23" fillId="16" borderId="57" xfId="0" applyFont="1" applyFill="1" applyBorder="1" applyAlignment="1">
      <alignment horizontal="center" vertical="center" wrapText="1"/>
    </xf>
    <xf numFmtId="0" fontId="123" fillId="16" borderId="88" xfId="0" applyFont="1" applyFill="1" applyBorder="1" applyAlignment="1">
      <alignment horizontal="center" vertical="center" wrapText="1"/>
    </xf>
    <xf numFmtId="0" fontId="125" fillId="16" borderId="58" xfId="0" applyFont="1" applyFill="1" applyBorder="1" applyAlignment="1">
      <alignment horizontal="center" vertical="center" wrapText="1"/>
    </xf>
    <xf numFmtId="0" fontId="125" fillId="16" borderId="89" xfId="0" applyFont="1" applyFill="1" applyBorder="1" applyAlignment="1">
      <alignment horizontal="center" vertical="center" wrapText="1"/>
    </xf>
    <xf numFmtId="0" fontId="128" fillId="16" borderId="80" xfId="0" applyFont="1" applyFill="1" applyBorder="1" applyAlignment="1">
      <alignment horizontal="center"/>
    </xf>
    <xf numFmtId="0" fontId="128" fillId="16" borderId="81" xfId="0" applyFont="1" applyFill="1" applyBorder="1" applyAlignment="1">
      <alignment horizontal="center"/>
    </xf>
    <xf numFmtId="0" fontId="128" fillId="16" borderId="82" xfId="0" applyFont="1" applyFill="1" applyBorder="1" applyAlignment="1">
      <alignment horizontal="center"/>
    </xf>
    <xf numFmtId="0" fontId="120" fillId="16" borderId="80" xfId="0" applyFont="1" applyFill="1" applyBorder="1" applyAlignment="1">
      <alignment horizontal="center" vertical="center" wrapText="1"/>
    </xf>
    <xf numFmtId="0" fontId="120" fillId="16" borderId="81" xfId="0" applyFont="1" applyFill="1" applyBorder="1" applyAlignment="1">
      <alignment horizontal="center" vertical="center" wrapText="1"/>
    </xf>
    <xf numFmtId="0" fontId="120" fillId="16" borderId="82" xfId="0" applyFont="1" applyFill="1" applyBorder="1" applyAlignment="1">
      <alignment horizontal="center" vertical="center" wrapText="1"/>
    </xf>
    <xf numFmtId="3" fontId="121" fillId="16" borderId="83" xfId="0" applyNumberFormat="1" applyFont="1" applyFill="1" applyBorder="1" applyAlignment="1">
      <alignment horizontal="center" vertical="center"/>
    </xf>
    <xf numFmtId="3" fontId="121" fillId="16" borderId="84" xfId="0" applyNumberFormat="1" applyFont="1" applyFill="1" applyBorder="1" applyAlignment="1">
      <alignment horizontal="center" vertical="center"/>
    </xf>
    <xf numFmtId="3" fontId="121" fillId="16" borderId="85" xfId="0" applyNumberFormat="1" applyFont="1" applyFill="1" applyBorder="1" applyAlignment="1">
      <alignment horizontal="center" vertical="center"/>
    </xf>
    <xf numFmtId="0" fontId="123" fillId="16" borderId="73" xfId="0" applyFont="1" applyFill="1" applyBorder="1" applyAlignment="1">
      <alignment horizontal="center" vertical="center"/>
    </xf>
    <xf numFmtId="0" fontId="123" fillId="16" borderId="96" xfId="0" applyFont="1" applyFill="1" applyBorder="1" applyAlignment="1">
      <alignment horizontal="center" vertical="center"/>
    </xf>
    <xf numFmtId="0" fontId="124" fillId="22" borderId="56" xfId="0" applyFont="1" applyFill="1" applyBorder="1" applyAlignment="1">
      <alignment horizontal="center" vertical="center"/>
    </xf>
    <xf numFmtId="0" fontId="124" fillId="22" borderId="58" xfId="0" applyFont="1" applyFill="1" applyBorder="1" applyAlignment="1">
      <alignment horizontal="center" vertical="center"/>
    </xf>
    <xf numFmtId="3" fontId="123" fillId="16" borderId="57" xfId="0" applyNumberFormat="1" applyFont="1" applyFill="1" applyBorder="1" applyAlignment="1">
      <alignment horizontal="center" vertical="center" wrapText="1"/>
    </xf>
    <xf numFmtId="3" fontId="123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167" fontId="69" fillId="0" borderId="0" xfId="1" applyNumberFormat="1" applyFont="1" applyAlignment="1">
      <alignment horizontal="center"/>
    </xf>
    <xf numFmtId="0" fontId="77" fillId="0" borderId="0" xfId="0" applyFont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98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2" formatCode="0.00"/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9C0006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FF5050"/>
      <color rgb="FF0000FF"/>
      <color rgb="FF00A44A"/>
      <color rgb="FFFF00FF"/>
      <color rgb="FFFFFF99"/>
      <color rgb="FFC09200"/>
      <color rgb="FFFF3300"/>
      <color rgb="FF170EC2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none" spc="100" baseline="0">
                <a:solidFill>
                  <a:sysClr val="window" lastClr="FFFFFF">
                    <a:lumMod val="8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CBG ELECTRICITY DAYLI CONSUMPTION (KW-H). DECEMBER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'Utility Analysis December''25 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December''25 '!$D$10:$D$40</c:f>
              <c:numCache>
                <c:formatCode>#,##0</c:formatCode>
                <c:ptCount val="31"/>
                <c:pt idx="0">
                  <c:v>6358</c:v>
                </c:pt>
                <c:pt idx="1">
                  <c:v>6436</c:v>
                </c:pt>
                <c:pt idx="2">
                  <c:v>7560</c:v>
                </c:pt>
                <c:pt idx="3">
                  <c:v>8026</c:v>
                </c:pt>
                <c:pt idx="4">
                  <c:v>5885</c:v>
                </c:pt>
                <c:pt idx="5">
                  <c:v>6825</c:v>
                </c:pt>
                <c:pt idx="6">
                  <c:v>7554</c:v>
                </c:pt>
                <c:pt idx="7">
                  <c:v>7330</c:v>
                </c:pt>
                <c:pt idx="8">
                  <c:v>6425</c:v>
                </c:pt>
                <c:pt idx="9">
                  <c:v>8488</c:v>
                </c:pt>
                <c:pt idx="10">
                  <c:v>6732</c:v>
                </c:pt>
                <c:pt idx="11">
                  <c:v>6620</c:v>
                </c:pt>
                <c:pt idx="12">
                  <c:v>4519</c:v>
                </c:pt>
                <c:pt idx="13">
                  <c:v>5387</c:v>
                </c:pt>
                <c:pt idx="14">
                  <c:v>6109</c:v>
                </c:pt>
                <c:pt idx="15">
                  <c:v>8916</c:v>
                </c:pt>
                <c:pt idx="16">
                  <c:v>6815</c:v>
                </c:pt>
                <c:pt idx="17">
                  <c:v>7445</c:v>
                </c:pt>
                <c:pt idx="18">
                  <c:v>6897</c:v>
                </c:pt>
                <c:pt idx="19">
                  <c:v>3934</c:v>
                </c:pt>
                <c:pt idx="20">
                  <c:v>2566</c:v>
                </c:pt>
                <c:pt idx="21">
                  <c:v>6346</c:v>
                </c:pt>
                <c:pt idx="22">
                  <c:v>6520</c:v>
                </c:pt>
                <c:pt idx="23">
                  <c:v>5182</c:v>
                </c:pt>
                <c:pt idx="24">
                  <c:v>3878</c:v>
                </c:pt>
                <c:pt idx="25">
                  <c:v>3529</c:v>
                </c:pt>
                <c:pt idx="26">
                  <c:v>3866</c:v>
                </c:pt>
                <c:pt idx="27">
                  <c:v>3501</c:v>
                </c:pt>
                <c:pt idx="28">
                  <c:v>7041</c:v>
                </c:pt>
                <c:pt idx="29">
                  <c:v>7806</c:v>
                </c:pt>
                <c:pt idx="30">
                  <c:v>7082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C-4A72-8FF5-F459D847B6F3}"/>
            </c:ext>
          </c:extLst>
        </c:ser>
        <c:ser>
          <c:idx val="1"/>
          <c:order val="1"/>
          <c:tx>
            <c:strRef>
              <c:f>'Utility Analysis December''25 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December''25 '!$E$10:$E$40</c:f>
              <c:numCache>
                <c:formatCode>#,##0</c:formatCode>
                <c:ptCount val="31"/>
                <c:pt idx="0">
                  <c:v>1096.9000000000001</c:v>
                </c:pt>
                <c:pt idx="1">
                  <c:v>891.6</c:v>
                </c:pt>
                <c:pt idx="2">
                  <c:v>373.6</c:v>
                </c:pt>
                <c:pt idx="3">
                  <c:v>501.5</c:v>
                </c:pt>
                <c:pt idx="4">
                  <c:v>1161.0999999999999</c:v>
                </c:pt>
                <c:pt idx="5">
                  <c:v>1390.7</c:v>
                </c:pt>
                <c:pt idx="6">
                  <c:v>808.8</c:v>
                </c:pt>
                <c:pt idx="7">
                  <c:v>1313.3</c:v>
                </c:pt>
                <c:pt idx="8">
                  <c:v>1380</c:v>
                </c:pt>
                <c:pt idx="9">
                  <c:v>1372.1</c:v>
                </c:pt>
                <c:pt idx="10">
                  <c:v>1466.4</c:v>
                </c:pt>
                <c:pt idx="11">
                  <c:v>1166.2</c:v>
                </c:pt>
                <c:pt idx="12">
                  <c:v>1223.0999999999999</c:v>
                </c:pt>
                <c:pt idx="13">
                  <c:v>1296.5</c:v>
                </c:pt>
                <c:pt idx="14">
                  <c:v>1397.4</c:v>
                </c:pt>
                <c:pt idx="15">
                  <c:v>1388.8</c:v>
                </c:pt>
                <c:pt idx="16">
                  <c:v>1363</c:v>
                </c:pt>
                <c:pt idx="17">
                  <c:v>1360.6</c:v>
                </c:pt>
                <c:pt idx="18">
                  <c:v>1198.5</c:v>
                </c:pt>
                <c:pt idx="19">
                  <c:v>1296.2</c:v>
                </c:pt>
                <c:pt idx="20">
                  <c:v>1208.3</c:v>
                </c:pt>
                <c:pt idx="21">
                  <c:v>1270.4000000000001</c:v>
                </c:pt>
                <c:pt idx="22">
                  <c:v>1092.8</c:v>
                </c:pt>
                <c:pt idx="23">
                  <c:v>1035.9000000000001</c:v>
                </c:pt>
                <c:pt idx="24">
                  <c:v>1114.7</c:v>
                </c:pt>
                <c:pt idx="25">
                  <c:v>469.1</c:v>
                </c:pt>
                <c:pt idx="26">
                  <c:v>1324.5</c:v>
                </c:pt>
                <c:pt idx="27">
                  <c:v>561.6</c:v>
                </c:pt>
                <c:pt idx="28">
                  <c:v>975.5</c:v>
                </c:pt>
                <c:pt idx="29">
                  <c:v>1196.3</c:v>
                </c:pt>
                <c:pt idx="30">
                  <c:v>1307.3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C-4A72-8FF5-F459D847B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207584"/>
        <c:axId val="74034784"/>
      </c:areaChart>
      <c:lineChart>
        <c:grouping val="standard"/>
        <c:varyColors val="0"/>
        <c:ser>
          <c:idx val="2"/>
          <c:order val="2"/>
          <c:tx>
            <c:strRef>
              <c:f>'Utility Analysis December''25 '!$G$7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December''25 '!$G$10:$G$40</c:f>
              <c:numCache>
                <c:formatCode>0%</c:formatCode>
                <c:ptCount val="31"/>
                <c:pt idx="0">
                  <c:v>0.14713812391849657</c:v>
                </c:pt>
                <c:pt idx="1">
                  <c:v>0.12167694743162837</c:v>
                </c:pt>
                <c:pt idx="2">
                  <c:v>4.7090854088938185E-2</c:v>
                </c:pt>
                <c:pt idx="3">
                  <c:v>5.8809733216065668E-2</c:v>
                </c:pt>
                <c:pt idx="4">
                  <c:v>0.16478619378095682</c:v>
                </c:pt>
                <c:pt idx="5">
                  <c:v>0.16927346422094283</c:v>
                </c:pt>
                <c:pt idx="6">
                  <c:v>9.6714019228009762E-2</c:v>
                </c:pt>
                <c:pt idx="7">
                  <c:v>0.15194428054099707</c:v>
                </c:pt>
                <c:pt idx="8">
                  <c:v>0.17680973734785393</c:v>
                </c:pt>
                <c:pt idx="9">
                  <c:v>0.13915680368353261</c:v>
                </c:pt>
                <c:pt idx="10">
                  <c:v>0.17886416861826701</c:v>
                </c:pt>
                <c:pt idx="11">
                  <c:v>0.14977781202640569</c:v>
                </c:pt>
                <c:pt idx="12">
                  <c:v>0.21300569478065512</c:v>
                </c:pt>
                <c:pt idx="13">
                  <c:v>0.19398518740181042</c:v>
                </c:pt>
                <c:pt idx="14">
                  <c:v>0.1861611424917404</c:v>
                </c:pt>
                <c:pt idx="15">
                  <c:v>0.13477214501979659</c:v>
                </c:pt>
                <c:pt idx="16">
                  <c:v>0.16666666666666666</c:v>
                </c:pt>
                <c:pt idx="17">
                  <c:v>0.15451530844008357</c:v>
                </c:pt>
                <c:pt idx="18">
                  <c:v>0.14804521030201964</c:v>
                </c:pt>
                <c:pt idx="19">
                  <c:v>0.24782991090206877</c:v>
                </c:pt>
                <c:pt idx="20">
                  <c:v>0.32013883369101553</c:v>
                </c:pt>
                <c:pt idx="21">
                  <c:v>0.16679796229189645</c:v>
                </c:pt>
                <c:pt idx="22">
                  <c:v>0.1435477091214796</c:v>
                </c:pt>
                <c:pt idx="23">
                  <c:v>0.166599655832355</c:v>
                </c:pt>
                <c:pt idx="24">
                  <c:v>0.22326596831373807</c:v>
                </c:pt>
                <c:pt idx="25">
                  <c:v>0.11733073209774644</c:v>
                </c:pt>
                <c:pt idx="26">
                  <c:v>0.25517772854252962</c:v>
                </c:pt>
                <c:pt idx="27">
                  <c:v>0.1382365972529907</c:v>
                </c:pt>
                <c:pt idx="28">
                  <c:v>0.12168652154930457</c:v>
                </c:pt>
                <c:pt idx="29">
                  <c:v>0.13288826188862846</c:v>
                </c:pt>
                <c:pt idx="30">
                  <c:v>0.15582944941771065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C-4A72-8FF5-F459D847B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1920"/>
        <c:axId val="39990480"/>
      </c:lineChart>
      <c:catAx>
        <c:axId val="54120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4784"/>
        <c:crosses val="autoZero"/>
        <c:auto val="1"/>
        <c:lblAlgn val="ctr"/>
        <c:lblOffset val="100"/>
        <c:noMultiLvlLbl val="0"/>
      </c:catAx>
      <c:valAx>
        <c:axId val="7403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07584"/>
        <c:crosses val="autoZero"/>
        <c:crossBetween val="between"/>
      </c:valAx>
      <c:valAx>
        <c:axId val="3999048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1920"/>
        <c:crosses val="max"/>
        <c:crossBetween val="between"/>
      </c:valAx>
      <c:catAx>
        <c:axId val="39991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39990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469444</xdr:colOff>
      <xdr:row>45</xdr:row>
      <xdr:rowOff>27222</xdr:rowOff>
    </xdr:from>
    <xdr:to>
      <xdr:col>21</xdr:col>
      <xdr:colOff>231321</xdr:colOff>
      <xdr:row>84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01D2E-A061-22F7-3F55-C7134F97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colorId="22" zoomScale="110" zoomScaleNormal="110" zoomScaleSheetLayoutView="80" workbookViewId="0">
      <pane xSplit="1" topLeftCell="Z1" activePane="topRight" state="frozen"/>
      <selection pane="topRight" activeCell="B6" sqref="B6:AJ37"/>
    </sheetView>
  </sheetViews>
  <sheetFormatPr defaultColWidth="16.33203125" defaultRowHeight="15" x14ac:dyDescent="0.25"/>
  <cols>
    <col min="1" max="1" width="8.33203125" style="189" customWidth="1"/>
    <col min="2" max="3" width="25" style="189" customWidth="1"/>
    <col min="4" max="4" width="18.6640625" style="189" customWidth="1"/>
    <col min="5" max="5" width="19.5546875" style="189" customWidth="1"/>
    <col min="6" max="6" width="17.44140625" style="189" customWidth="1"/>
    <col min="7" max="7" width="16.6640625" style="189" customWidth="1"/>
    <col min="8" max="8" width="13.109375" style="189" customWidth="1"/>
    <col min="9" max="9" width="17.109375" style="189" customWidth="1"/>
    <col min="10" max="10" width="15.44140625" style="189" customWidth="1"/>
    <col min="11" max="11" width="17.6640625" style="189" customWidth="1"/>
    <col min="12" max="12" width="22.6640625" style="189" customWidth="1"/>
    <col min="13" max="13" width="20.6640625" style="189" customWidth="1"/>
    <col min="14" max="14" width="28.33203125" style="189" customWidth="1"/>
    <col min="15" max="15" width="19.6640625" style="189" customWidth="1"/>
    <col min="16" max="16" width="18.44140625" style="189" customWidth="1"/>
    <col min="17" max="17" width="20.33203125" style="189" customWidth="1"/>
    <col min="18" max="18" width="18.6640625" style="189" customWidth="1"/>
    <col min="19" max="19" width="21" style="189" customWidth="1"/>
    <col min="20" max="20" width="19.33203125" style="189" customWidth="1"/>
    <col min="21" max="21" width="18" style="189" customWidth="1"/>
    <col min="22" max="22" width="19.44140625" style="403" customWidth="1"/>
    <col min="23" max="23" width="15.6640625" style="189" customWidth="1"/>
    <col min="24" max="24" width="17.33203125" style="189" customWidth="1"/>
    <col min="25" max="25" width="19.5546875" style="189" customWidth="1"/>
    <col min="26" max="26" width="17.5546875" style="189" customWidth="1"/>
    <col min="27" max="27" width="19.44140625" style="189" customWidth="1"/>
    <col min="28" max="28" width="15.44140625" style="189" bestFit="1" customWidth="1"/>
    <col min="29" max="29" width="16.6640625" style="189" customWidth="1"/>
    <col min="30" max="30" width="18" style="189" customWidth="1"/>
    <col min="31" max="31" width="16.5546875" style="189" customWidth="1"/>
    <col min="32" max="33" width="19.33203125" style="189" customWidth="1"/>
    <col min="34" max="34" width="14.33203125" style="189" customWidth="1"/>
    <col min="35" max="35" width="16.33203125" style="189"/>
    <col min="36" max="36" width="17.5546875" style="189" bestFit="1" customWidth="1"/>
    <col min="37" max="37" width="17.5546875" style="189" customWidth="1"/>
    <col min="38" max="40" width="16.33203125" style="189"/>
    <col min="41" max="41" width="16.33203125" style="189" customWidth="1"/>
    <col min="42" max="16384" width="16.33203125" style="189"/>
  </cols>
  <sheetData>
    <row r="1" spans="1:44" ht="17.399999999999999" x14ac:dyDescent="0.25">
      <c r="B1" s="892" t="s">
        <v>213</v>
      </c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383"/>
      <c r="O1" s="893" t="str">
        <f>B1</f>
        <v>ENTRIES FOR DAILY CONS. MONITOR</v>
      </c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</row>
    <row r="2" spans="1:44" ht="16.2" thickBot="1" x14ac:dyDescent="0.3">
      <c r="C2" s="384" t="s">
        <v>59</v>
      </c>
      <c r="F2" s="385" t="s">
        <v>59</v>
      </c>
      <c r="G2" s="386"/>
      <c r="O2" s="900" t="s">
        <v>235</v>
      </c>
      <c r="P2" s="900"/>
      <c r="Q2" s="900"/>
      <c r="R2" s="900"/>
      <c r="S2" s="900"/>
      <c r="T2" s="900"/>
      <c r="U2" s="900"/>
      <c r="V2" s="900"/>
    </row>
    <row r="3" spans="1:44" ht="20.100000000000001" customHeight="1" x14ac:dyDescent="0.25">
      <c r="A3" s="387"/>
      <c r="B3" s="388"/>
      <c r="C3" s="389"/>
      <c r="D3" s="389" t="s">
        <v>4</v>
      </c>
      <c r="E3" s="389"/>
      <c r="F3" s="390"/>
      <c r="G3" s="390"/>
      <c r="H3" s="391"/>
      <c r="I3" s="388"/>
      <c r="J3" s="389" t="s">
        <v>22</v>
      </c>
      <c r="K3" s="390"/>
      <c r="L3" s="883" t="s">
        <v>56</v>
      </c>
      <c r="M3" s="884"/>
      <c r="N3" s="885"/>
      <c r="O3" s="894" t="s">
        <v>3</v>
      </c>
      <c r="P3" s="894"/>
      <c r="Q3" s="894"/>
      <c r="R3" s="894"/>
      <c r="S3" s="894"/>
      <c r="T3" s="894"/>
      <c r="U3" s="894"/>
      <c r="V3" s="894"/>
      <c r="W3" s="894"/>
      <c r="X3" s="894"/>
      <c r="Y3" s="894"/>
      <c r="Z3" s="894"/>
      <c r="AA3" s="894"/>
      <c r="AB3" s="894"/>
      <c r="AC3" s="894"/>
      <c r="AD3" s="393"/>
      <c r="AE3" s="394"/>
      <c r="AF3" s="393"/>
      <c r="AG3" s="878" t="s">
        <v>210</v>
      </c>
      <c r="AH3" s="876" t="s">
        <v>208</v>
      </c>
      <c r="AI3" s="876" t="s">
        <v>209</v>
      </c>
      <c r="AJ3" s="879" t="s">
        <v>237</v>
      </c>
      <c r="AK3" s="440"/>
      <c r="AL3" s="880" t="s">
        <v>182</v>
      </c>
      <c r="AM3" s="880"/>
      <c r="AN3" s="880"/>
      <c r="AO3" s="880"/>
    </row>
    <row r="4" spans="1:44" ht="20.100000000000001" customHeight="1" x14ac:dyDescent="0.25">
      <c r="A4" s="395"/>
      <c r="B4" s="392" t="s">
        <v>23</v>
      </c>
      <c r="C4" s="393" t="s">
        <v>27</v>
      </c>
      <c r="D4" s="393" t="s">
        <v>25</v>
      </c>
      <c r="E4" s="393" t="s">
        <v>26</v>
      </c>
      <c r="F4" s="393" t="s">
        <v>27</v>
      </c>
      <c r="G4" s="393" t="s">
        <v>24</v>
      </c>
      <c r="H4" s="396" t="s">
        <v>28</v>
      </c>
      <c r="I4" s="392" t="s">
        <v>29</v>
      </c>
      <c r="J4" s="393" t="s">
        <v>30</v>
      </c>
      <c r="K4" s="393" t="s">
        <v>31</v>
      </c>
      <c r="L4" s="901" t="s">
        <v>290</v>
      </c>
      <c r="M4" s="397" t="s">
        <v>264</v>
      </c>
      <c r="N4" s="886" t="s">
        <v>171</v>
      </c>
      <c r="O4" s="888" t="s">
        <v>104</v>
      </c>
      <c r="P4" s="888" t="s">
        <v>105</v>
      </c>
      <c r="Q4" s="888" t="s">
        <v>164</v>
      </c>
      <c r="R4" s="888" t="s">
        <v>175</v>
      </c>
      <c r="S4" s="888" t="s">
        <v>106</v>
      </c>
      <c r="T4" s="888" t="s">
        <v>176</v>
      </c>
      <c r="U4" s="888" t="s">
        <v>107</v>
      </c>
      <c r="V4" s="898" t="s">
        <v>240</v>
      </c>
      <c r="W4" s="888" t="s">
        <v>181</v>
      </c>
      <c r="X4" s="393" t="s">
        <v>100</v>
      </c>
      <c r="Y4" s="393" t="s">
        <v>101</v>
      </c>
      <c r="Z4" s="393" t="s">
        <v>102</v>
      </c>
      <c r="AA4" s="894" t="s">
        <v>72</v>
      </c>
      <c r="AB4" s="896" t="s">
        <v>73</v>
      </c>
      <c r="AC4" s="899" t="s">
        <v>155</v>
      </c>
      <c r="AD4" s="888" t="s">
        <v>158</v>
      </c>
      <c r="AE4" s="888" t="s">
        <v>159</v>
      </c>
      <c r="AF4" s="888" t="s">
        <v>163</v>
      </c>
      <c r="AG4" s="878"/>
      <c r="AH4" s="877"/>
      <c r="AI4" s="877"/>
      <c r="AJ4" s="879"/>
      <c r="AK4" s="440"/>
      <c r="AL4" s="399" t="s">
        <v>280</v>
      </c>
      <c r="AM4" s="399" t="s">
        <v>183</v>
      </c>
      <c r="AN4" s="399" t="s">
        <v>184</v>
      </c>
      <c r="AO4" s="399" t="s">
        <v>185</v>
      </c>
    </row>
    <row r="5" spans="1:44" ht="20.100000000000001" customHeight="1" thickBot="1" x14ac:dyDescent="0.3">
      <c r="A5" s="398" t="s">
        <v>7</v>
      </c>
      <c r="B5" s="392" t="s">
        <v>256</v>
      </c>
      <c r="C5" s="393" t="s">
        <v>256</v>
      </c>
      <c r="D5" s="393" t="s">
        <v>32</v>
      </c>
      <c r="E5" s="393" t="s">
        <v>33</v>
      </c>
      <c r="F5" s="393" t="s">
        <v>34</v>
      </c>
      <c r="G5" s="393" t="s">
        <v>34</v>
      </c>
      <c r="H5" s="396" t="s">
        <v>35</v>
      </c>
      <c r="I5" s="498" t="s">
        <v>36</v>
      </c>
      <c r="J5" s="499" t="s">
        <v>36</v>
      </c>
      <c r="K5" s="499" t="s">
        <v>36</v>
      </c>
      <c r="L5" s="902"/>
      <c r="M5" s="500" t="s">
        <v>265</v>
      </c>
      <c r="N5" s="887"/>
      <c r="O5" s="889"/>
      <c r="P5" s="888"/>
      <c r="Q5" s="888"/>
      <c r="R5" s="888"/>
      <c r="S5" s="889"/>
      <c r="T5" s="889"/>
      <c r="U5" s="889"/>
      <c r="V5" s="898"/>
      <c r="W5" s="890"/>
      <c r="X5" s="393" t="s">
        <v>108</v>
      </c>
      <c r="Y5" s="393" t="s">
        <v>108</v>
      </c>
      <c r="Z5" s="393" t="s">
        <v>108</v>
      </c>
      <c r="AA5" s="895"/>
      <c r="AB5" s="897"/>
      <c r="AC5" s="899"/>
      <c r="AD5" s="888"/>
      <c r="AE5" s="888"/>
      <c r="AF5" s="891"/>
      <c r="AG5" s="878"/>
      <c r="AH5" s="877"/>
      <c r="AI5" s="877"/>
      <c r="AJ5" s="879"/>
      <c r="AK5" s="440"/>
      <c r="AL5" s="399" t="s">
        <v>267</v>
      </c>
      <c r="AM5" s="399" t="s">
        <v>186</v>
      </c>
      <c r="AN5" s="399" t="s">
        <v>186</v>
      </c>
      <c r="AO5" s="399" t="s">
        <v>282</v>
      </c>
    </row>
    <row r="6" spans="1:44" ht="26.1" customHeight="1" x14ac:dyDescent="0.25">
      <c r="A6" s="399">
        <v>1</v>
      </c>
      <c r="B6" s="858">
        <v>7825550</v>
      </c>
      <c r="C6" s="859"/>
      <c r="D6" s="859"/>
      <c r="E6" s="859">
        <v>64</v>
      </c>
      <c r="F6" s="859">
        <v>6790.6</v>
      </c>
      <c r="G6" s="859">
        <v>68225</v>
      </c>
      <c r="H6" s="860"/>
      <c r="I6" s="861">
        <v>129866</v>
      </c>
      <c r="J6" s="862"/>
      <c r="K6" s="860">
        <v>468000</v>
      </c>
      <c r="L6" s="859">
        <v>6015.1</v>
      </c>
      <c r="M6" s="863">
        <v>199070.83</v>
      </c>
      <c r="N6" s="861">
        <v>31301.52</v>
      </c>
      <c r="O6" s="864">
        <v>207339</v>
      </c>
      <c r="P6" s="865">
        <v>45518</v>
      </c>
      <c r="Q6" s="859">
        <v>935429</v>
      </c>
      <c r="R6" s="859"/>
      <c r="S6" s="859">
        <v>66072</v>
      </c>
      <c r="T6" s="859"/>
      <c r="U6" s="859">
        <v>21879</v>
      </c>
      <c r="V6" s="866">
        <v>1324115</v>
      </c>
      <c r="W6" s="859"/>
      <c r="X6" s="867">
        <v>40013</v>
      </c>
      <c r="Y6" s="859">
        <v>47792</v>
      </c>
      <c r="Z6" s="859">
        <v>10423</v>
      </c>
      <c r="AA6" s="859">
        <v>97122</v>
      </c>
      <c r="AB6" s="859"/>
      <c r="AC6" s="859">
        <v>2184</v>
      </c>
      <c r="AD6" s="859">
        <v>261383</v>
      </c>
      <c r="AE6" s="859"/>
      <c r="AF6" s="861"/>
      <c r="AG6" s="859"/>
      <c r="AH6" s="859"/>
      <c r="AI6" s="868"/>
      <c r="AJ6" s="859">
        <v>7316083.7400000002</v>
      </c>
      <c r="AK6" s="466"/>
      <c r="AL6" s="495"/>
      <c r="AM6" s="496"/>
      <c r="AN6" s="495"/>
      <c r="AO6" s="495"/>
    </row>
    <row r="7" spans="1:44" ht="26.1" customHeight="1" x14ac:dyDescent="0.25">
      <c r="A7" s="399">
        <v>2</v>
      </c>
      <c r="B7" s="858">
        <v>7828340</v>
      </c>
      <c r="C7" s="859"/>
      <c r="D7" s="859"/>
      <c r="E7" s="859">
        <v>64</v>
      </c>
      <c r="F7" s="859">
        <v>6809.4</v>
      </c>
      <c r="G7" s="859">
        <v>68225</v>
      </c>
      <c r="H7" s="860"/>
      <c r="I7" s="861">
        <v>136224</v>
      </c>
      <c r="J7" s="869"/>
      <c r="K7" s="860">
        <v>468000</v>
      </c>
      <c r="L7" s="859">
        <v>6240.02</v>
      </c>
      <c r="M7" s="863">
        <v>201685.73</v>
      </c>
      <c r="N7" s="861">
        <v>31865.52</v>
      </c>
      <c r="O7" s="859">
        <v>207437</v>
      </c>
      <c r="P7" s="865">
        <v>45661</v>
      </c>
      <c r="Q7" s="859">
        <v>935697</v>
      </c>
      <c r="R7" s="859"/>
      <c r="S7" s="859">
        <v>66100</v>
      </c>
      <c r="T7" s="859"/>
      <c r="U7" s="859">
        <v>21897</v>
      </c>
      <c r="V7" s="866">
        <v>1324266</v>
      </c>
      <c r="W7" s="859"/>
      <c r="X7" s="867">
        <v>40041</v>
      </c>
      <c r="Y7" s="859">
        <v>47959</v>
      </c>
      <c r="Z7" s="859">
        <v>10483</v>
      </c>
      <c r="AA7" s="859">
        <v>97122</v>
      </c>
      <c r="AB7" s="859"/>
      <c r="AC7" s="861">
        <v>2211</v>
      </c>
      <c r="AD7" s="859">
        <v>261383</v>
      </c>
      <c r="AE7" s="859"/>
      <c r="AF7" s="861"/>
      <c r="AG7" s="859"/>
      <c r="AH7" s="859"/>
      <c r="AI7" s="868"/>
      <c r="AJ7" s="859">
        <v>7316155.0559999999</v>
      </c>
      <c r="AK7" s="467"/>
      <c r="AL7" s="492"/>
      <c r="AM7" s="491"/>
      <c r="AN7" s="491"/>
      <c r="AO7" s="491"/>
    </row>
    <row r="8" spans="1:44" ht="26.1" customHeight="1" x14ac:dyDescent="0.25">
      <c r="A8" s="399">
        <v>3</v>
      </c>
      <c r="B8" s="858">
        <v>7831470</v>
      </c>
      <c r="C8" s="859"/>
      <c r="D8" s="859"/>
      <c r="E8" s="859">
        <v>64</v>
      </c>
      <c r="F8" s="859">
        <v>6830.2</v>
      </c>
      <c r="G8" s="859">
        <v>68225</v>
      </c>
      <c r="H8" s="860"/>
      <c r="I8" s="861">
        <v>142660</v>
      </c>
      <c r="J8" s="869"/>
      <c r="K8" s="860">
        <v>468000</v>
      </c>
      <c r="L8" s="859">
        <v>6298.44</v>
      </c>
      <c r="M8" s="863">
        <v>202905.14</v>
      </c>
      <c r="N8" s="861">
        <v>32128.58</v>
      </c>
      <c r="O8" s="864">
        <v>207675</v>
      </c>
      <c r="P8" s="865">
        <v>45792</v>
      </c>
      <c r="Q8" s="859">
        <v>935862</v>
      </c>
      <c r="R8" s="859"/>
      <c r="S8" s="859">
        <v>66252</v>
      </c>
      <c r="T8" s="859"/>
      <c r="U8" s="859">
        <v>21904</v>
      </c>
      <c r="V8" s="866">
        <v>1324403</v>
      </c>
      <c r="W8" s="859"/>
      <c r="X8" s="867">
        <v>40044</v>
      </c>
      <c r="Y8" s="859">
        <v>48043</v>
      </c>
      <c r="Z8" s="859">
        <v>10531</v>
      </c>
      <c r="AA8" s="859">
        <v>97122</v>
      </c>
      <c r="AB8" s="859"/>
      <c r="AC8" s="861">
        <v>2225</v>
      </c>
      <c r="AD8" s="859">
        <v>261383</v>
      </c>
      <c r="AE8" s="859"/>
      <c r="AF8" s="861"/>
      <c r="AG8" s="859"/>
      <c r="AH8" s="859"/>
      <c r="AI8" s="868"/>
      <c r="AJ8" s="859">
        <v>7316155.0559999999</v>
      </c>
      <c r="AK8" s="467"/>
      <c r="AL8" s="492"/>
      <c r="AM8" s="491"/>
      <c r="AN8" s="491"/>
      <c r="AO8" s="491"/>
    </row>
    <row r="9" spans="1:44" ht="26.1" customHeight="1" x14ac:dyDescent="0.25">
      <c r="A9" s="399">
        <v>4</v>
      </c>
      <c r="B9" s="858">
        <v>7834620</v>
      </c>
      <c r="C9" s="859"/>
      <c r="D9" s="859"/>
      <c r="E9" s="859">
        <v>64</v>
      </c>
      <c r="F9" s="859">
        <v>6849.8</v>
      </c>
      <c r="G9" s="859">
        <v>68225</v>
      </c>
      <c r="H9" s="860"/>
      <c r="I9" s="861">
        <v>150220</v>
      </c>
      <c r="J9" s="869"/>
      <c r="K9" s="860">
        <v>468000</v>
      </c>
      <c r="L9" s="859">
        <v>6357.95</v>
      </c>
      <c r="M9" s="863">
        <v>205059</v>
      </c>
      <c r="N9" s="861">
        <v>32501.08</v>
      </c>
      <c r="O9" s="870">
        <v>207814</v>
      </c>
      <c r="P9" s="865">
        <v>46001</v>
      </c>
      <c r="Q9" s="859">
        <v>936091</v>
      </c>
      <c r="R9" s="859"/>
      <c r="S9" s="859">
        <v>66369</v>
      </c>
      <c r="T9" s="859"/>
      <c r="U9" s="859">
        <v>21914</v>
      </c>
      <c r="V9" s="866">
        <v>1324621</v>
      </c>
      <c r="W9" s="859"/>
      <c r="X9" s="867">
        <v>40069</v>
      </c>
      <c r="Y9" s="859">
        <v>48161</v>
      </c>
      <c r="Z9" s="859">
        <v>10608</v>
      </c>
      <c r="AA9" s="859">
        <v>97122</v>
      </c>
      <c r="AB9" s="859"/>
      <c r="AC9" s="859">
        <v>2255</v>
      </c>
      <c r="AD9" s="859">
        <v>261424</v>
      </c>
      <c r="AE9" s="859"/>
      <c r="AF9" s="861"/>
      <c r="AG9" s="859"/>
      <c r="AH9" s="859"/>
      <c r="AI9" s="859"/>
      <c r="AJ9" s="859">
        <v>7316155.0559999999</v>
      </c>
      <c r="AK9" s="466"/>
      <c r="AL9" s="493"/>
      <c r="AM9" s="491"/>
      <c r="AN9" s="491"/>
      <c r="AO9" s="408"/>
    </row>
    <row r="10" spans="1:44" ht="26.1" customHeight="1" x14ac:dyDescent="0.25">
      <c r="A10" s="399">
        <v>5</v>
      </c>
      <c r="B10" s="858">
        <v>7837540</v>
      </c>
      <c r="C10" s="859"/>
      <c r="D10" s="859"/>
      <c r="E10" s="859">
        <v>64</v>
      </c>
      <c r="F10" s="859">
        <v>6868</v>
      </c>
      <c r="G10" s="859">
        <v>68225</v>
      </c>
      <c r="H10" s="860"/>
      <c r="I10" s="861">
        <v>158246</v>
      </c>
      <c r="J10" s="869"/>
      <c r="K10" s="860">
        <v>468000</v>
      </c>
      <c r="L10" s="859">
        <v>6449.7</v>
      </c>
      <c r="M10" s="863">
        <v>206755.69</v>
      </c>
      <c r="N10" s="861">
        <v>32797.96</v>
      </c>
      <c r="O10" s="864">
        <v>208018</v>
      </c>
      <c r="P10" s="865">
        <v>46222</v>
      </c>
      <c r="Q10" s="859">
        <v>936317</v>
      </c>
      <c r="R10" s="859"/>
      <c r="S10" s="859">
        <v>66509</v>
      </c>
      <c r="T10" s="859"/>
      <c r="U10" s="859">
        <v>21921</v>
      </c>
      <c r="V10" s="866">
        <v>1324862</v>
      </c>
      <c r="W10" s="859"/>
      <c r="X10" s="867">
        <v>40123</v>
      </c>
      <c r="Y10" s="859">
        <v>48246</v>
      </c>
      <c r="Z10" s="859">
        <v>10662</v>
      </c>
      <c r="AA10" s="859">
        <v>97122</v>
      </c>
      <c r="AB10" s="859"/>
      <c r="AC10" s="859">
        <v>2282</v>
      </c>
      <c r="AD10" s="859">
        <v>261445</v>
      </c>
      <c r="AE10" s="859"/>
      <c r="AF10" s="861"/>
      <c r="AG10" s="859"/>
      <c r="AH10" s="859"/>
      <c r="AI10" s="859"/>
      <c r="AJ10" s="859">
        <v>7316155.0559999999</v>
      </c>
      <c r="AK10" s="466"/>
      <c r="AL10" s="493"/>
      <c r="AM10" s="491"/>
      <c r="AN10" s="491"/>
      <c r="AO10" s="408"/>
    </row>
    <row r="11" spans="1:44" ht="25.2" customHeight="1" x14ac:dyDescent="0.25">
      <c r="A11" s="399">
        <v>6</v>
      </c>
      <c r="B11" s="858">
        <v>7840360</v>
      </c>
      <c r="C11" s="859"/>
      <c r="D11" s="859"/>
      <c r="E11" s="859">
        <v>64</v>
      </c>
      <c r="F11" s="859">
        <v>6886.8</v>
      </c>
      <c r="G11" s="859">
        <v>68225</v>
      </c>
      <c r="H11" s="860"/>
      <c r="I11" s="861">
        <v>164131</v>
      </c>
      <c r="J11" s="869"/>
      <c r="K11" s="860">
        <v>468000</v>
      </c>
      <c r="L11" s="859">
        <v>6696.03</v>
      </c>
      <c r="M11" s="863">
        <v>208492.86</v>
      </c>
      <c r="N11" s="861">
        <v>33098.959999999999</v>
      </c>
      <c r="O11" s="864">
        <v>208175</v>
      </c>
      <c r="P11" s="865">
        <v>46467</v>
      </c>
      <c r="Q11" s="859">
        <v>936514</v>
      </c>
      <c r="R11" s="859"/>
      <c r="S11" s="859">
        <v>66592</v>
      </c>
      <c r="T11" s="859"/>
      <c r="U11" s="859">
        <v>21927</v>
      </c>
      <c r="V11" s="866">
        <v>1325109</v>
      </c>
      <c r="W11" s="859"/>
      <c r="X11" s="867">
        <v>40152</v>
      </c>
      <c r="Y11" s="859">
        <v>48338</v>
      </c>
      <c r="Z11" s="859">
        <v>10710</v>
      </c>
      <c r="AA11" s="859">
        <v>97122</v>
      </c>
      <c r="AB11" s="859"/>
      <c r="AC11" s="859">
        <v>2299</v>
      </c>
      <c r="AD11" s="859">
        <v>261493</v>
      </c>
      <c r="AE11" s="859"/>
      <c r="AF11" s="861"/>
      <c r="AG11" s="859"/>
      <c r="AH11" s="859"/>
      <c r="AI11" s="859"/>
      <c r="AJ11" s="859">
        <v>7316155.0559999999</v>
      </c>
      <c r="AK11" s="466"/>
      <c r="AL11" s="493"/>
      <c r="AM11" s="491"/>
      <c r="AN11" s="491"/>
      <c r="AO11" s="408"/>
    </row>
    <row r="12" spans="1:44" ht="26.25" customHeight="1" x14ac:dyDescent="0.25">
      <c r="A12" s="399">
        <v>7</v>
      </c>
      <c r="B12" s="858">
        <v>7843730</v>
      </c>
      <c r="C12" s="859"/>
      <c r="D12" s="859"/>
      <c r="E12" s="859">
        <v>64</v>
      </c>
      <c r="F12" s="859">
        <v>6908.4</v>
      </c>
      <c r="G12" s="859">
        <v>68225</v>
      </c>
      <c r="H12" s="860"/>
      <c r="I12" s="861">
        <v>170956</v>
      </c>
      <c r="J12" s="869"/>
      <c r="K12" s="860">
        <v>468000</v>
      </c>
      <c r="L12" s="859">
        <v>6935.71</v>
      </c>
      <c r="M12" s="863">
        <v>210263.42</v>
      </c>
      <c r="N12" s="861">
        <v>33424</v>
      </c>
      <c r="O12" s="864">
        <v>208375</v>
      </c>
      <c r="P12" s="865">
        <v>46632</v>
      </c>
      <c r="Q12" s="859">
        <v>936721</v>
      </c>
      <c r="R12" s="859"/>
      <c r="S12" s="859">
        <v>66714</v>
      </c>
      <c r="T12" s="859"/>
      <c r="U12" s="859">
        <v>21941</v>
      </c>
      <c r="V12" s="866">
        <v>1325283</v>
      </c>
      <c r="W12" s="859"/>
      <c r="X12" s="867">
        <v>40185</v>
      </c>
      <c r="Y12" s="859">
        <v>48439</v>
      </c>
      <c r="Z12" s="859">
        <v>10757</v>
      </c>
      <c r="AA12" s="859">
        <v>97122</v>
      </c>
      <c r="AB12" s="859"/>
      <c r="AC12" s="859">
        <v>2316</v>
      </c>
      <c r="AD12" s="859">
        <v>261443</v>
      </c>
      <c r="AE12" s="859"/>
      <c r="AF12" s="861"/>
      <c r="AG12" s="859"/>
      <c r="AH12" s="859"/>
      <c r="AI12" s="859"/>
      <c r="AJ12" s="859">
        <v>7316155.0559999999</v>
      </c>
      <c r="AK12" s="466"/>
      <c r="AL12" s="493"/>
      <c r="AM12" s="491"/>
      <c r="AN12" s="491"/>
      <c r="AO12" s="408"/>
    </row>
    <row r="13" spans="1:44" ht="27" customHeight="1" x14ac:dyDescent="0.25">
      <c r="A13" s="399">
        <v>8</v>
      </c>
      <c r="B13" s="858">
        <v>7847150</v>
      </c>
      <c r="C13" s="859"/>
      <c r="D13" s="859"/>
      <c r="E13" s="859">
        <v>64</v>
      </c>
      <c r="F13" s="859">
        <v>6930.2</v>
      </c>
      <c r="G13" s="859">
        <v>68225</v>
      </c>
      <c r="H13" s="860"/>
      <c r="I13" s="861">
        <v>178510</v>
      </c>
      <c r="J13" s="869"/>
      <c r="K13" s="860">
        <v>468000</v>
      </c>
      <c r="L13" s="859">
        <v>7120.07</v>
      </c>
      <c r="M13" s="863">
        <v>212592.33</v>
      </c>
      <c r="N13" s="861">
        <v>33787.57</v>
      </c>
      <c r="O13" s="864">
        <v>208458</v>
      </c>
      <c r="P13" s="865">
        <v>46788</v>
      </c>
      <c r="Q13" s="859">
        <v>936907</v>
      </c>
      <c r="R13" s="859"/>
      <c r="S13" s="859">
        <v>66833</v>
      </c>
      <c r="T13" s="859"/>
      <c r="U13" s="859">
        <v>21947</v>
      </c>
      <c r="V13" s="866">
        <v>1325446</v>
      </c>
      <c r="W13" s="859"/>
      <c r="X13" s="867">
        <v>40197</v>
      </c>
      <c r="Y13" s="859">
        <v>48544</v>
      </c>
      <c r="Z13" s="859">
        <v>10790</v>
      </c>
      <c r="AA13" s="859">
        <v>97122</v>
      </c>
      <c r="AB13" s="859"/>
      <c r="AC13" s="859">
        <v>2339</v>
      </c>
      <c r="AD13" s="859">
        <v>261443</v>
      </c>
      <c r="AE13" s="859"/>
      <c r="AF13" s="861"/>
      <c r="AG13" s="859"/>
      <c r="AH13" s="859"/>
      <c r="AI13" s="859"/>
      <c r="AJ13" s="859">
        <v>7316155.0559999999</v>
      </c>
      <c r="AK13" s="192"/>
      <c r="AL13" s="493"/>
      <c r="AM13" s="491"/>
      <c r="AN13" s="491"/>
      <c r="AO13" s="408"/>
    </row>
    <row r="14" spans="1:44" s="400" customFormat="1" ht="26.1" customHeight="1" x14ac:dyDescent="0.25">
      <c r="A14" s="399">
        <v>9</v>
      </c>
      <c r="B14" s="858">
        <v>7850780</v>
      </c>
      <c r="C14" s="859"/>
      <c r="D14" s="859"/>
      <c r="E14" s="859">
        <v>64</v>
      </c>
      <c r="F14" s="859">
        <v>6951.8</v>
      </c>
      <c r="G14" s="859">
        <v>68225</v>
      </c>
      <c r="H14" s="860"/>
      <c r="I14" s="861">
        <v>185840</v>
      </c>
      <c r="J14" s="869"/>
      <c r="K14" s="860">
        <v>468000</v>
      </c>
      <c r="L14" s="859">
        <v>7303.6</v>
      </c>
      <c r="M14" s="863">
        <v>215098.28</v>
      </c>
      <c r="N14" s="861">
        <v>34264.879999999997</v>
      </c>
      <c r="O14" s="864">
        <v>208501</v>
      </c>
      <c r="P14" s="865">
        <v>47067</v>
      </c>
      <c r="Q14" s="859">
        <v>937158</v>
      </c>
      <c r="R14" s="859"/>
      <c r="S14" s="859">
        <v>66929</v>
      </c>
      <c r="T14" s="859"/>
      <c r="U14" s="859">
        <v>21951</v>
      </c>
      <c r="V14" s="866">
        <v>1325738</v>
      </c>
      <c r="W14" s="859"/>
      <c r="X14" s="867">
        <v>40249</v>
      </c>
      <c r="Y14" s="859">
        <v>48654</v>
      </c>
      <c r="Z14" s="859">
        <v>10818</v>
      </c>
      <c r="AA14" s="859">
        <v>97122</v>
      </c>
      <c r="AB14" s="859"/>
      <c r="AC14" s="859">
        <v>2367</v>
      </c>
      <c r="AD14" s="859">
        <v>261443</v>
      </c>
      <c r="AE14" s="859"/>
      <c r="AF14" s="861"/>
      <c r="AG14" s="859"/>
      <c r="AH14" s="859"/>
      <c r="AI14" s="859"/>
      <c r="AJ14" s="859">
        <v>7316155.0559999999</v>
      </c>
      <c r="AK14" s="192"/>
      <c r="AL14" s="493"/>
      <c r="AM14" s="491"/>
      <c r="AN14" s="491"/>
      <c r="AO14" s="408"/>
      <c r="AP14" s="189"/>
      <c r="AQ14" s="189"/>
      <c r="AR14" s="189"/>
    </row>
    <row r="15" spans="1:44" ht="26.1" customHeight="1" x14ac:dyDescent="0.25">
      <c r="A15" s="399">
        <v>10</v>
      </c>
      <c r="B15" s="858">
        <v>7853640</v>
      </c>
      <c r="C15" s="859"/>
      <c r="D15" s="859"/>
      <c r="E15" s="859">
        <v>64</v>
      </c>
      <c r="F15" s="859">
        <v>6969.9</v>
      </c>
      <c r="G15" s="859">
        <v>68225</v>
      </c>
      <c r="H15" s="860"/>
      <c r="I15" s="871">
        <v>192265</v>
      </c>
      <c r="J15" s="862"/>
      <c r="K15" s="860">
        <v>468000</v>
      </c>
      <c r="L15" s="859">
        <v>7436.3</v>
      </c>
      <c r="M15" s="863">
        <v>216655.69</v>
      </c>
      <c r="N15" s="861">
        <v>34532.83</v>
      </c>
      <c r="O15" s="864">
        <v>208597</v>
      </c>
      <c r="P15" s="865">
        <v>47257</v>
      </c>
      <c r="Q15" s="859">
        <v>937345</v>
      </c>
      <c r="R15" s="859"/>
      <c r="S15" s="859">
        <v>67093</v>
      </c>
      <c r="T15" s="859"/>
      <c r="U15" s="859">
        <v>21954</v>
      </c>
      <c r="V15" s="866">
        <v>1325937</v>
      </c>
      <c r="W15" s="859"/>
      <c r="X15" s="867">
        <v>40262</v>
      </c>
      <c r="Y15" s="859">
        <v>48744</v>
      </c>
      <c r="Z15" s="859">
        <v>10842</v>
      </c>
      <c r="AA15" s="859">
        <v>97122</v>
      </c>
      <c r="AB15" s="859"/>
      <c r="AC15" s="859">
        <v>2385</v>
      </c>
      <c r="AD15" s="859">
        <v>261443</v>
      </c>
      <c r="AE15" s="859"/>
      <c r="AF15" s="861"/>
      <c r="AG15" s="859"/>
      <c r="AH15" s="859"/>
      <c r="AI15" s="859"/>
      <c r="AJ15" s="859">
        <v>7316155.0559999999</v>
      </c>
      <c r="AK15" s="192"/>
      <c r="AL15" s="493"/>
      <c r="AM15" s="408"/>
      <c r="AN15" s="408"/>
      <c r="AO15" s="408"/>
    </row>
    <row r="16" spans="1:44" ht="26.1" customHeight="1" x14ac:dyDescent="0.25">
      <c r="A16" s="399">
        <v>11</v>
      </c>
      <c r="B16" s="858">
        <v>7857440</v>
      </c>
      <c r="C16" s="859"/>
      <c r="D16" s="859"/>
      <c r="E16" s="859">
        <v>64</v>
      </c>
      <c r="F16" s="859">
        <v>6992.8</v>
      </c>
      <c r="G16" s="859">
        <v>68225</v>
      </c>
      <c r="H16" s="860"/>
      <c r="I16" s="861">
        <v>200753</v>
      </c>
      <c r="J16" s="862"/>
      <c r="K16" s="860">
        <v>468000</v>
      </c>
      <c r="L16" s="859">
        <v>7507.07</v>
      </c>
      <c r="M16" s="863">
        <v>219974.23</v>
      </c>
      <c r="N16" s="861">
        <v>35007.93</v>
      </c>
      <c r="O16" s="864">
        <v>208864</v>
      </c>
      <c r="P16" s="865">
        <v>47533</v>
      </c>
      <c r="Q16" s="859">
        <v>937678</v>
      </c>
      <c r="R16" s="859"/>
      <c r="S16" s="859">
        <v>67258</v>
      </c>
      <c r="T16" s="859"/>
      <c r="U16" s="859">
        <v>21964</v>
      </c>
      <c r="V16" s="866">
        <v>1326228</v>
      </c>
      <c r="W16" s="859"/>
      <c r="X16" s="867">
        <v>40321</v>
      </c>
      <c r="Y16" s="859">
        <v>48887</v>
      </c>
      <c r="Z16" s="859">
        <v>10874</v>
      </c>
      <c r="AA16" s="859">
        <v>97122</v>
      </c>
      <c r="AB16" s="859"/>
      <c r="AC16" s="859">
        <v>2412</v>
      </c>
      <c r="AD16" s="859">
        <v>261505</v>
      </c>
      <c r="AE16" s="859"/>
      <c r="AF16" s="861"/>
      <c r="AG16" s="859"/>
      <c r="AH16" s="859"/>
      <c r="AI16" s="859"/>
      <c r="AJ16" s="859">
        <v>7316155.0559999999</v>
      </c>
      <c r="AK16" s="192"/>
      <c r="AL16" s="493"/>
      <c r="AM16" s="408"/>
      <c r="AN16" s="408"/>
      <c r="AO16" s="408"/>
    </row>
    <row r="17" spans="1:41" ht="26.1" customHeight="1" x14ac:dyDescent="0.25">
      <c r="A17" s="399">
        <v>12</v>
      </c>
      <c r="B17" s="858">
        <v>7860120</v>
      </c>
      <c r="C17" s="859"/>
      <c r="D17" s="859"/>
      <c r="E17" s="859">
        <v>64</v>
      </c>
      <c r="F17" s="859">
        <v>7010.3</v>
      </c>
      <c r="G17" s="859">
        <v>68225</v>
      </c>
      <c r="H17" s="860"/>
      <c r="I17" s="861">
        <v>207485</v>
      </c>
      <c r="J17" s="862"/>
      <c r="K17" s="860">
        <v>468000</v>
      </c>
      <c r="L17" s="859">
        <v>7717.82</v>
      </c>
      <c r="M17" s="863">
        <v>222404.34</v>
      </c>
      <c r="N17" s="861">
        <v>35332.720000000001</v>
      </c>
      <c r="O17" s="864">
        <v>209065</v>
      </c>
      <c r="P17" s="865">
        <v>47788</v>
      </c>
      <c r="Q17" s="859">
        <v>937913</v>
      </c>
      <c r="R17" s="859"/>
      <c r="S17" s="859">
        <v>67339</v>
      </c>
      <c r="T17" s="859"/>
      <c r="U17" s="859">
        <v>21982</v>
      </c>
      <c r="V17" s="866">
        <v>1326495</v>
      </c>
      <c r="W17" s="859"/>
      <c r="X17" s="867">
        <v>40342</v>
      </c>
      <c r="Y17" s="859">
        <v>49018</v>
      </c>
      <c r="Z17" s="859">
        <v>10899</v>
      </c>
      <c r="AA17" s="859">
        <v>97122</v>
      </c>
      <c r="AB17" s="859"/>
      <c r="AC17" s="859">
        <v>2433</v>
      </c>
      <c r="AD17" s="859">
        <v>261596</v>
      </c>
      <c r="AE17" s="859"/>
      <c r="AF17" s="861"/>
      <c r="AG17" s="859"/>
      <c r="AH17" s="859"/>
      <c r="AI17" s="859"/>
      <c r="AJ17" s="859">
        <v>7316155.0559999999</v>
      </c>
      <c r="AK17" s="192"/>
      <c r="AL17" s="493"/>
      <c r="AM17" s="408"/>
      <c r="AN17" s="408"/>
      <c r="AO17" s="408"/>
    </row>
    <row r="18" spans="1:41" ht="26.1" customHeight="1" x14ac:dyDescent="0.25">
      <c r="A18" s="399">
        <v>13</v>
      </c>
      <c r="B18" s="858">
        <v>7863210</v>
      </c>
      <c r="C18" s="859"/>
      <c r="D18" s="859"/>
      <c r="E18" s="859">
        <v>64</v>
      </c>
      <c r="F18" s="859">
        <v>7028.7</v>
      </c>
      <c r="G18" s="859">
        <v>68225</v>
      </c>
      <c r="H18" s="860"/>
      <c r="I18" s="861">
        <v>214105</v>
      </c>
      <c r="J18" s="862"/>
      <c r="K18" s="860">
        <v>468000</v>
      </c>
      <c r="L18" s="859">
        <v>7940.39</v>
      </c>
      <c r="M18" s="863">
        <v>224669.91</v>
      </c>
      <c r="N18" s="861">
        <v>35661.230000000003</v>
      </c>
      <c r="O18" s="864">
        <v>209127</v>
      </c>
      <c r="P18" s="865">
        <v>47963</v>
      </c>
      <c r="Q18" s="859">
        <v>938114</v>
      </c>
      <c r="R18" s="859"/>
      <c r="S18" s="859">
        <v>67471</v>
      </c>
      <c r="T18" s="859"/>
      <c r="U18" s="859">
        <v>21993</v>
      </c>
      <c r="V18" s="866">
        <v>1326678</v>
      </c>
      <c r="W18" s="859"/>
      <c r="X18" s="867">
        <v>40370</v>
      </c>
      <c r="Y18" s="859">
        <v>49100</v>
      </c>
      <c r="Z18" s="859">
        <v>10925</v>
      </c>
      <c r="AA18" s="859">
        <v>97122</v>
      </c>
      <c r="AB18" s="859"/>
      <c r="AC18" s="859">
        <v>2467</v>
      </c>
      <c r="AD18" s="859">
        <v>261596</v>
      </c>
      <c r="AE18" s="859"/>
      <c r="AF18" s="861"/>
      <c r="AG18" s="859"/>
      <c r="AH18" s="859"/>
      <c r="AI18" s="859"/>
      <c r="AJ18" s="859">
        <v>7316155.0559999999</v>
      </c>
      <c r="AK18" s="192"/>
      <c r="AL18" s="493"/>
      <c r="AM18" s="408"/>
      <c r="AN18" s="408"/>
      <c r="AO18" s="408"/>
    </row>
    <row r="19" spans="1:41" ht="26.1" customHeight="1" x14ac:dyDescent="0.25">
      <c r="A19" s="399">
        <v>14</v>
      </c>
      <c r="B19" s="858">
        <v>7864680</v>
      </c>
      <c r="C19" s="859"/>
      <c r="D19" s="859"/>
      <c r="E19" s="859">
        <v>64</v>
      </c>
      <c r="F19" s="859">
        <v>7039</v>
      </c>
      <c r="G19" s="859">
        <v>68225</v>
      </c>
      <c r="H19" s="860"/>
      <c r="I19" s="861">
        <v>218624</v>
      </c>
      <c r="J19" s="862"/>
      <c r="K19" s="860">
        <v>468000</v>
      </c>
      <c r="L19" s="859">
        <v>7940.46</v>
      </c>
      <c r="M19" s="863">
        <v>225624.94</v>
      </c>
      <c r="N19" s="861">
        <v>35899.769999999997</v>
      </c>
      <c r="O19" s="864">
        <v>209127</v>
      </c>
      <c r="P19" s="865">
        <v>48109</v>
      </c>
      <c r="Q19" s="859">
        <v>938285</v>
      </c>
      <c r="R19" s="859"/>
      <c r="S19" s="859">
        <v>67471</v>
      </c>
      <c r="T19" s="859"/>
      <c r="U19" s="859">
        <v>21997</v>
      </c>
      <c r="V19" s="866">
        <v>1326831</v>
      </c>
      <c r="W19" s="859"/>
      <c r="X19" s="867">
        <v>40380</v>
      </c>
      <c r="Y19" s="859">
        <v>49195</v>
      </c>
      <c r="Z19" s="859">
        <v>10941</v>
      </c>
      <c r="AA19" s="859">
        <v>97122</v>
      </c>
      <c r="AB19" s="859"/>
      <c r="AC19" s="859">
        <v>2476</v>
      </c>
      <c r="AD19" s="859">
        <v>261596</v>
      </c>
      <c r="AE19" s="859"/>
      <c r="AF19" s="861"/>
      <c r="AG19" s="859"/>
      <c r="AH19" s="859"/>
      <c r="AI19" s="859"/>
      <c r="AJ19" s="859">
        <v>7316225.6160000004</v>
      </c>
      <c r="AK19" s="192"/>
      <c r="AL19" s="408"/>
      <c r="AM19" s="408"/>
      <c r="AN19" s="408"/>
      <c r="AO19" s="408"/>
    </row>
    <row r="20" spans="1:41" ht="26.1" customHeight="1" x14ac:dyDescent="0.25">
      <c r="A20" s="399">
        <v>15</v>
      </c>
      <c r="B20" s="858">
        <v>7866820</v>
      </c>
      <c r="C20" s="859"/>
      <c r="D20" s="859"/>
      <c r="E20" s="859">
        <v>64</v>
      </c>
      <c r="F20" s="859">
        <v>7053.8</v>
      </c>
      <c r="G20" s="859">
        <v>68225</v>
      </c>
      <c r="H20" s="860"/>
      <c r="I20" s="861">
        <v>224011</v>
      </c>
      <c r="J20" s="862"/>
      <c r="K20" s="860">
        <v>468000</v>
      </c>
      <c r="L20" s="859">
        <v>8246.26</v>
      </c>
      <c r="M20" s="863">
        <v>228117.9</v>
      </c>
      <c r="N20" s="861">
        <v>36276.870000000003</v>
      </c>
      <c r="O20" s="864">
        <v>209215</v>
      </c>
      <c r="P20" s="865">
        <v>48355</v>
      </c>
      <c r="Q20" s="859">
        <v>938519</v>
      </c>
      <c r="R20" s="859"/>
      <c r="S20" s="859">
        <v>67476</v>
      </c>
      <c r="T20" s="859"/>
      <c r="U20" s="859">
        <v>22005</v>
      </c>
      <c r="V20" s="866">
        <v>1327089</v>
      </c>
      <c r="W20" s="859"/>
      <c r="X20" s="867">
        <v>40416</v>
      </c>
      <c r="Y20" s="859">
        <v>49305</v>
      </c>
      <c r="Z20" s="859">
        <v>10965</v>
      </c>
      <c r="AA20" s="859">
        <v>97122</v>
      </c>
      <c r="AB20" s="859"/>
      <c r="AC20" s="859">
        <v>2496</v>
      </c>
      <c r="AD20" s="859">
        <v>261596</v>
      </c>
      <c r="AE20" s="859"/>
      <c r="AF20" s="861"/>
      <c r="AG20" s="859"/>
      <c r="AH20" s="859"/>
      <c r="AI20" s="859"/>
      <c r="AJ20" s="859">
        <v>7316225.6160000004</v>
      </c>
      <c r="AK20" s="192"/>
      <c r="AL20" s="408"/>
      <c r="AM20" s="408"/>
      <c r="AN20" s="408"/>
      <c r="AO20" s="408"/>
    </row>
    <row r="21" spans="1:41" ht="26.1" customHeight="1" x14ac:dyDescent="0.25">
      <c r="A21" s="399">
        <v>16</v>
      </c>
      <c r="B21" s="858">
        <v>7869890</v>
      </c>
      <c r="C21" s="859"/>
      <c r="D21" s="859"/>
      <c r="E21" s="859">
        <v>64</v>
      </c>
      <c r="F21" s="859">
        <v>7072.2</v>
      </c>
      <c r="G21" s="859">
        <v>68225</v>
      </c>
      <c r="H21" s="860"/>
      <c r="I21" s="861">
        <v>230120</v>
      </c>
      <c r="J21" s="862"/>
      <c r="K21" s="860">
        <v>468000</v>
      </c>
      <c r="L21" s="859">
        <v>8429.34</v>
      </c>
      <c r="M21" s="863">
        <v>230869.38</v>
      </c>
      <c r="N21" s="861">
        <v>36793.86</v>
      </c>
      <c r="O21" s="864">
        <v>209406</v>
      </c>
      <c r="P21" s="865">
        <v>48486</v>
      </c>
      <c r="Q21" s="859">
        <v>938775</v>
      </c>
      <c r="R21" s="859"/>
      <c r="S21" s="859">
        <v>67603</v>
      </c>
      <c r="T21" s="859"/>
      <c r="U21" s="859">
        <v>22010</v>
      </c>
      <c r="V21" s="866">
        <v>1327226</v>
      </c>
      <c r="W21" s="859"/>
      <c r="X21" s="867">
        <v>40474</v>
      </c>
      <c r="Y21" s="859">
        <v>49401</v>
      </c>
      <c r="Z21" s="859">
        <v>10993</v>
      </c>
      <c r="AA21" s="859">
        <v>97122</v>
      </c>
      <c r="AB21" s="859"/>
      <c r="AC21" s="859">
        <v>2518</v>
      </c>
      <c r="AD21" s="859">
        <v>261609</v>
      </c>
      <c r="AE21" s="859"/>
      <c r="AF21" s="861"/>
      <c r="AG21" s="859"/>
      <c r="AH21" s="859"/>
      <c r="AI21" s="859"/>
      <c r="AJ21" s="859">
        <v>7316250.7390000001</v>
      </c>
      <c r="AK21" s="192"/>
      <c r="AL21" s="408"/>
      <c r="AM21" s="408"/>
      <c r="AN21" s="408"/>
      <c r="AO21" s="408"/>
    </row>
    <row r="22" spans="1:41" ht="26.1" customHeight="1" x14ac:dyDescent="0.25">
      <c r="A22" s="399">
        <v>17</v>
      </c>
      <c r="B22" s="858">
        <v>7873450</v>
      </c>
      <c r="C22" s="859"/>
      <c r="D22" s="859"/>
      <c r="E22" s="859">
        <v>64</v>
      </c>
      <c r="F22" s="859">
        <v>7094.6</v>
      </c>
      <c r="G22" s="859">
        <v>68225</v>
      </c>
      <c r="H22" s="860"/>
      <c r="I22" s="861">
        <v>239036</v>
      </c>
      <c r="J22" s="862"/>
      <c r="K22" s="860">
        <v>468000</v>
      </c>
      <c r="L22" s="859">
        <v>8567.2900000000009</v>
      </c>
      <c r="M22" s="863">
        <v>233296.23</v>
      </c>
      <c r="N22" s="861">
        <v>37204.910000000003</v>
      </c>
      <c r="O22" s="864">
        <v>209648</v>
      </c>
      <c r="P22" s="865">
        <v>48603</v>
      </c>
      <c r="Q22" s="859">
        <v>939061</v>
      </c>
      <c r="R22" s="859"/>
      <c r="S22" s="859">
        <v>67799</v>
      </c>
      <c r="T22" s="859"/>
      <c r="U22" s="859">
        <v>22026</v>
      </c>
      <c r="V22" s="866">
        <v>1327348</v>
      </c>
      <c r="W22" s="859"/>
      <c r="X22" s="867">
        <v>40507</v>
      </c>
      <c r="Y22" s="859">
        <v>49534</v>
      </c>
      <c r="Z22" s="859">
        <v>11020</v>
      </c>
      <c r="AA22" s="859">
        <v>97122</v>
      </c>
      <c r="AB22" s="859"/>
      <c r="AC22" s="859">
        <v>2548</v>
      </c>
      <c r="AD22" s="859">
        <v>261609</v>
      </c>
      <c r="AE22" s="859"/>
      <c r="AF22" s="861"/>
      <c r="AG22" s="859"/>
      <c r="AH22" s="859"/>
      <c r="AI22" s="859"/>
      <c r="AJ22" s="859">
        <v>7316250.7390000001</v>
      </c>
      <c r="AK22" s="192"/>
      <c r="AL22" s="408"/>
      <c r="AM22" s="408"/>
      <c r="AN22" s="408"/>
      <c r="AO22" s="408"/>
    </row>
    <row r="23" spans="1:41" ht="26.1" customHeight="1" x14ac:dyDescent="0.25">
      <c r="A23" s="399">
        <v>18</v>
      </c>
      <c r="B23" s="858">
        <v>7876710</v>
      </c>
      <c r="C23" s="859"/>
      <c r="D23" s="859"/>
      <c r="E23" s="859">
        <v>64</v>
      </c>
      <c r="F23" s="859">
        <v>7114.3</v>
      </c>
      <c r="G23" s="859">
        <v>68225</v>
      </c>
      <c r="H23" s="860"/>
      <c r="I23" s="861">
        <v>245851</v>
      </c>
      <c r="J23" s="862"/>
      <c r="K23" s="860">
        <v>468000</v>
      </c>
      <c r="L23" s="859">
        <v>8681.35</v>
      </c>
      <c r="M23" s="863">
        <v>235897.97</v>
      </c>
      <c r="N23" s="861">
        <v>37625.910000000003</v>
      </c>
      <c r="O23" s="864">
        <v>209963</v>
      </c>
      <c r="P23" s="865">
        <v>48766</v>
      </c>
      <c r="Q23" s="859">
        <v>939295</v>
      </c>
      <c r="R23" s="859"/>
      <c r="S23" s="859">
        <v>67951</v>
      </c>
      <c r="T23" s="859"/>
      <c r="U23" s="859">
        <v>22034</v>
      </c>
      <c r="V23" s="866">
        <v>1327520</v>
      </c>
      <c r="W23" s="859"/>
      <c r="X23" s="867">
        <v>40537</v>
      </c>
      <c r="Y23" s="859">
        <v>49637</v>
      </c>
      <c r="Z23" s="859">
        <v>11047</v>
      </c>
      <c r="AA23" s="859">
        <v>97122</v>
      </c>
      <c r="AB23" s="859"/>
      <c r="AC23" s="859">
        <v>2577</v>
      </c>
      <c r="AD23" s="859">
        <v>261621</v>
      </c>
      <c r="AE23" s="859"/>
      <c r="AF23" s="861"/>
      <c r="AG23" s="859"/>
      <c r="AH23" s="859"/>
      <c r="AI23" s="859"/>
      <c r="AJ23" s="859">
        <v>7316250.7390000001</v>
      </c>
      <c r="AK23" s="192"/>
      <c r="AL23" s="408"/>
      <c r="AM23" s="408"/>
      <c r="AN23" s="408"/>
      <c r="AO23" s="408"/>
    </row>
    <row r="24" spans="1:41" ht="26.1" customHeight="1" x14ac:dyDescent="0.25">
      <c r="A24" s="399">
        <v>19</v>
      </c>
      <c r="B24" s="858">
        <v>7880240</v>
      </c>
      <c r="C24" s="859"/>
      <c r="D24" s="859"/>
      <c r="E24" s="859">
        <v>64</v>
      </c>
      <c r="F24" s="859">
        <v>7136.3</v>
      </c>
      <c r="G24" s="859">
        <v>68225</v>
      </c>
      <c r="H24" s="860"/>
      <c r="I24" s="861">
        <v>253296</v>
      </c>
      <c r="J24" s="862"/>
      <c r="K24" s="860">
        <v>468000</v>
      </c>
      <c r="L24" s="859">
        <v>8902.61</v>
      </c>
      <c r="M24" s="863">
        <v>238491.81</v>
      </c>
      <c r="N24" s="861">
        <v>38036.550000000003</v>
      </c>
      <c r="O24" s="864">
        <v>210138</v>
      </c>
      <c r="P24" s="865">
        <v>48969</v>
      </c>
      <c r="Q24" s="859">
        <v>939642</v>
      </c>
      <c r="R24" s="859"/>
      <c r="S24" s="859">
        <v>68118</v>
      </c>
      <c r="T24" s="859"/>
      <c r="U24" s="859">
        <v>22039</v>
      </c>
      <c r="V24" s="866">
        <v>1327731</v>
      </c>
      <c r="W24" s="859"/>
      <c r="X24" s="867">
        <v>40577</v>
      </c>
      <c r="Y24" s="859">
        <v>49827</v>
      </c>
      <c r="Z24" s="859">
        <v>11074</v>
      </c>
      <c r="AA24" s="859">
        <v>97122</v>
      </c>
      <c r="AB24" s="859"/>
      <c r="AC24" s="859">
        <v>2604</v>
      </c>
      <c r="AD24" s="859">
        <v>261621</v>
      </c>
      <c r="AE24" s="859"/>
      <c r="AF24" s="861"/>
      <c r="AG24" s="859"/>
      <c r="AH24" s="859"/>
      <c r="AI24" s="859"/>
      <c r="AJ24" s="859">
        <v>7316250.7390000001</v>
      </c>
      <c r="AK24" s="192"/>
      <c r="AL24" s="408"/>
      <c r="AM24" s="408"/>
      <c r="AN24" s="408"/>
      <c r="AO24" s="408"/>
    </row>
    <row r="25" spans="1:41" ht="26.1" customHeight="1" x14ac:dyDescent="0.25">
      <c r="A25" s="399">
        <v>20</v>
      </c>
      <c r="B25" s="858">
        <v>7882660</v>
      </c>
      <c r="C25" s="859"/>
      <c r="D25" s="859"/>
      <c r="E25" s="859">
        <v>64</v>
      </c>
      <c r="F25" s="859">
        <v>7152.7</v>
      </c>
      <c r="G25" s="859">
        <v>68225</v>
      </c>
      <c r="H25" s="860"/>
      <c r="I25" s="861">
        <v>260193</v>
      </c>
      <c r="J25" s="862"/>
      <c r="K25" s="860">
        <v>468000</v>
      </c>
      <c r="L25" s="859">
        <v>9204.2000000000007</v>
      </c>
      <c r="M25" s="863">
        <v>241023.14</v>
      </c>
      <c r="N25" s="861">
        <v>38439.040000000001</v>
      </c>
      <c r="O25" s="864">
        <v>210267</v>
      </c>
      <c r="P25" s="865">
        <v>49267</v>
      </c>
      <c r="Q25" s="872">
        <v>939926</v>
      </c>
      <c r="R25" s="859"/>
      <c r="S25" s="859">
        <v>68129</v>
      </c>
      <c r="T25" s="859"/>
      <c r="U25" s="859">
        <v>22039</v>
      </c>
      <c r="V25" s="866">
        <v>1327731</v>
      </c>
      <c r="W25" s="859"/>
      <c r="X25" s="867">
        <v>40629</v>
      </c>
      <c r="Y25" s="859">
        <v>50004</v>
      </c>
      <c r="Z25" s="859">
        <v>11100</v>
      </c>
      <c r="AA25" s="859">
        <v>97122</v>
      </c>
      <c r="AB25" s="859"/>
      <c r="AC25" s="859">
        <v>2630</v>
      </c>
      <c r="AD25" s="859">
        <v>261621</v>
      </c>
      <c r="AE25" s="859"/>
      <c r="AF25" s="861"/>
      <c r="AG25" s="859"/>
      <c r="AH25" s="859"/>
      <c r="AI25" s="859"/>
      <c r="AJ25" s="859">
        <v>7316250.7390000001</v>
      </c>
      <c r="AK25" s="192"/>
      <c r="AL25" s="408"/>
      <c r="AM25" s="408"/>
      <c r="AN25" s="408"/>
      <c r="AO25" s="408"/>
    </row>
    <row r="26" spans="1:41" ht="26.1" customHeight="1" x14ac:dyDescent="0.25">
      <c r="A26" s="399">
        <v>21</v>
      </c>
      <c r="B26" s="858">
        <v>7882790</v>
      </c>
      <c r="C26" s="859"/>
      <c r="D26" s="859"/>
      <c r="E26" s="859">
        <v>64</v>
      </c>
      <c r="F26" s="859">
        <v>7153.5</v>
      </c>
      <c r="G26" s="859">
        <v>68225</v>
      </c>
      <c r="H26" s="860"/>
      <c r="I26" s="861">
        <v>264127</v>
      </c>
      <c r="J26" s="862"/>
      <c r="K26" s="860">
        <v>468000</v>
      </c>
      <c r="L26" s="859">
        <v>9204.2000000000007</v>
      </c>
      <c r="M26" s="863">
        <v>241023.14</v>
      </c>
      <c r="N26" s="861">
        <v>38439.040000000001</v>
      </c>
      <c r="O26" s="864">
        <v>210271</v>
      </c>
      <c r="P26" s="865">
        <v>49394</v>
      </c>
      <c r="Q26" s="872">
        <v>939995</v>
      </c>
      <c r="R26" s="859"/>
      <c r="S26" s="859">
        <v>68129</v>
      </c>
      <c r="T26" s="859"/>
      <c r="U26" s="859">
        <v>22039</v>
      </c>
      <c r="V26" s="866">
        <v>1328177</v>
      </c>
      <c r="W26" s="859"/>
      <c r="X26" s="867">
        <v>40629</v>
      </c>
      <c r="Y26" s="859">
        <v>50039</v>
      </c>
      <c r="Z26" s="859">
        <v>11100</v>
      </c>
      <c r="AA26" s="859">
        <v>97122</v>
      </c>
      <c r="AB26" s="859"/>
      <c r="AC26" s="859">
        <v>2632</v>
      </c>
      <c r="AD26" s="859">
        <v>261621</v>
      </c>
      <c r="AE26" s="859"/>
      <c r="AF26" s="861"/>
      <c r="AG26" s="859"/>
      <c r="AH26" s="859"/>
      <c r="AI26" s="859"/>
      <c r="AJ26" s="859">
        <v>7316250.7390000001</v>
      </c>
      <c r="AK26" s="192"/>
      <c r="AL26" s="408"/>
      <c r="AM26" s="408"/>
      <c r="AN26" s="408"/>
      <c r="AO26" s="408"/>
    </row>
    <row r="27" spans="1:41" ht="26.1" customHeight="1" x14ac:dyDescent="0.25">
      <c r="A27" s="399">
        <v>22</v>
      </c>
      <c r="B27" s="858">
        <v>7883490</v>
      </c>
      <c r="C27" s="859"/>
      <c r="D27" s="859"/>
      <c r="E27" s="859">
        <v>64</v>
      </c>
      <c r="F27" s="859">
        <v>7158.8</v>
      </c>
      <c r="G27" s="859">
        <v>68225</v>
      </c>
      <c r="H27" s="860"/>
      <c r="I27" s="861">
        <v>266693</v>
      </c>
      <c r="J27" s="862"/>
      <c r="K27" s="860">
        <v>468000</v>
      </c>
      <c r="L27" s="859">
        <v>9204.2000000000007</v>
      </c>
      <c r="M27" s="863">
        <v>241023.14</v>
      </c>
      <c r="N27" s="861">
        <v>38439.040000000001</v>
      </c>
      <c r="O27" s="864">
        <v>210286</v>
      </c>
      <c r="P27" s="865">
        <v>49396</v>
      </c>
      <c r="Q27" s="859">
        <v>940014</v>
      </c>
      <c r="R27" s="859"/>
      <c r="S27" s="859">
        <v>68129</v>
      </c>
      <c r="T27" s="859"/>
      <c r="U27" s="859">
        <v>22039</v>
      </c>
      <c r="V27" s="866">
        <v>1328177</v>
      </c>
      <c r="W27" s="859"/>
      <c r="X27" s="867">
        <v>40629</v>
      </c>
      <c r="Y27" s="859">
        <v>50043</v>
      </c>
      <c r="Z27" s="859">
        <v>11110</v>
      </c>
      <c r="AA27" s="859">
        <v>97122</v>
      </c>
      <c r="AB27" s="859"/>
      <c r="AC27" s="859">
        <v>2632</v>
      </c>
      <c r="AD27" s="859">
        <v>261621</v>
      </c>
      <c r="AE27" s="859"/>
      <c r="AF27" s="861"/>
      <c r="AG27" s="859"/>
      <c r="AH27" s="859"/>
      <c r="AI27" s="859"/>
      <c r="AJ27" s="859">
        <v>7316250.7390000001</v>
      </c>
      <c r="AK27" s="192"/>
      <c r="AL27" s="408"/>
      <c r="AM27" s="408"/>
      <c r="AN27" s="408"/>
      <c r="AO27" s="408"/>
    </row>
    <row r="28" spans="1:41" ht="26.1" customHeight="1" x14ac:dyDescent="0.25">
      <c r="A28" s="399">
        <v>23</v>
      </c>
      <c r="B28" s="858">
        <v>7886090</v>
      </c>
      <c r="C28" s="859"/>
      <c r="D28" s="859"/>
      <c r="E28" s="859">
        <v>64</v>
      </c>
      <c r="F28" s="859">
        <v>7176.6</v>
      </c>
      <c r="G28" s="859">
        <v>68225</v>
      </c>
      <c r="H28" s="860"/>
      <c r="I28" s="861">
        <v>273039</v>
      </c>
      <c r="J28" s="862"/>
      <c r="K28" s="860">
        <v>468000</v>
      </c>
      <c r="L28" s="859">
        <v>9339.0499999999993</v>
      </c>
      <c r="M28" s="863">
        <v>243657.88</v>
      </c>
      <c r="N28" s="861">
        <v>38896.629999999997</v>
      </c>
      <c r="O28" s="864">
        <v>210415</v>
      </c>
      <c r="P28" s="865">
        <v>49617</v>
      </c>
      <c r="Q28" s="859">
        <v>940341</v>
      </c>
      <c r="R28" s="859"/>
      <c r="S28" s="859">
        <v>68129</v>
      </c>
      <c r="T28" s="859"/>
      <c r="U28" s="859">
        <v>22045</v>
      </c>
      <c r="V28" s="866">
        <v>1328411</v>
      </c>
      <c r="W28" s="859"/>
      <c r="X28" s="867">
        <v>40629</v>
      </c>
      <c r="Y28" s="859">
        <v>50260</v>
      </c>
      <c r="Z28" s="859">
        <v>11139</v>
      </c>
      <c r="AA28" s="859">
        <v>97122</v>
      </c>
      <c r="AB28" s="859"/>
      <c r="AC28" s="859">
        <v>2661</v>
      </c>
      <c r="AD28" s="859">
        <v>261621</v>
      </c>
      <c r="AE28" s="859"/>
      <c r="AF28" s="861"/>
      <c r="AG28" s="859"/>
      <c r="AH28" s="859"/>
      <c r="AI28" s="859"/>
      <c r="AJ28" s="859">
        <v>7316250.7390000001</v>
      </c>
      <c r="AK28" s="192"/>
      <c r="AL28" s="408"/>
      <c r="AM28" s="408"/>
      <c r="AN28" s="408"/>
      <c r="AO28" s="408"/>
    </row>
    <row r="29" spans="1:41" ht="26.1" customHeight="1" x14ac:dyDescent="0.25">
      <c r="A29" s="399">
        <v>24</v>
      </c>
      <c r="B29" s="858">
        <v>7888790</v>
      </c>
      <c r="C29" s="859"/>
      <c r="D29" s="859"/>
      <c r="E29" s="859">
        <v>64</v>
      </c>
      <c r="F29" s="859">
        <v>7194.6</v>
      </c>
      <c r="G29" s="859">
        <v>68225</v>
      </c>
      <c r="H29" s="860"/>
      <c r="I29" s="861">
        <v>279559</v>
      </c>
      <c r="J29" s="862"/>
      <c r="K29" s="860">
        <v>468000</v>
      </c>
      <c r="L29" s="859">
        <v>9569.9699999999993</v>
      </c>
      <c r="M29" s="863">
        <v>246365.63</v>
      </c>
      <c r="N29" s="861">
        <v>39414.339999999997</v>
      </c>
      <c r="O29" s="864">
        <v>210670</v>
      </c>
      <c r="P29" s="865">
        <v>49734</v>
      </c>
      <c r="Q29" s="859">
        <v>940688</v>
      </c>
      <c r="R29" s="859"/>
      <c r="S29" s="859">
        <v>68160</v>
      </c>
      <c r="T29" s="859"/>
      <c r="U29" s="859">
        <v>22055</v>
      </c>
      <c r="V29" s="866">
        <v>1328534</v>
      </c>
      <c r="W29" s="859"/>
      <c r="X29" s="867">
        <v>40690</v>
      </c>
      <c r="Y29" s="859">
        <v>50452</v>
      </c>
      <c r="Z29" s="859">
        <v>11168</v>
      </c>
      <c r="AA29" s="859">
        <v>97122</v>
      </c>
      <c r="AB29" s="859"/>
      <c r="AC29" s="859">
        <v>2692</v>
      </c>
      <c r="AD29" s="859">
        <v>261621</v>
      </c>
      <c r="AE29" s="859"/>
      <c r="AF29" s="861"/>
      <c r="AG29" s="859"/>
      <c r="AH29" s="859"/>
      <c r="AI29" s="859"/>
      <c r="AJ29" s="859">
        <v>7316250.7390000001</v>
      </c>
      <c r="AK29" s="192"/>
      <c r="AL29" s="408"/>
      <c r="AM29" s="408"/>
      <c r="AN29" s="408"/>
      <c r="AO29" s="408"/>
    </row>
    <row r="30" spans="1:41" ht="26.1" customHeight="1" x14ac:dyDescent="0.25">
      <c r="A30" s="399">
        <v>25</v>
      </c>
      <c r="B30" s="858">
        <v>7891060</v>
      </c>
      <c r="C30" s="859"/>
      <c r="D30" s="859"/>
      <c r="E30" s="859">
        <v>64</v>
      </c>
      <c r="F30" s="859">
        <v>7209.3</v>
      </c>
      <c r="G30" s="859">
        <v>68225</v>
      </c>
      <c r="H30" s="860"/>
      <c r="I30" s="861">
        <v>284741</v>
      </c>
      <c r="J30" s="862"/>
      <c r="K30" s="860">
        <v>468000</v>
      </c>
      <c r="L30" s="859">
        <v>9668.86</v>
      </c>
      <c r="M30" s="863">
        <v>248190.95</v>
      </c>
      <c r="N30" s="861">
        <v>39580.39</v>
      </c>
      <c r="O30" s="864">
        <v>210903</v>
      </c>
      <c r="P30" s="865">
        <v>49819</v>
      </c>
      <c r="Q30" s="859">
        <v>940904</v>
      </c>
      <c r="R30" s="859"/>
      <c r="S30" s="859">
        <v>68160</v>
      </c>
      <c r="T30" s="859"/>
      <c r="U30" s="859">
        <v>22059</v>
      </c>
      <c r="V30" s="866">
        <v>1328623</v>
      </c>
      <c r="W30" s="859"/>
      <c r="X30" s="867">
        <v>40733</v>
      </c>
      <c r="Y30" s="859">
        <v>50548</v>
      </c>
      <c r="Z30" s="859">
        <v>11189</v>
      </c>
      <c r="AA30" s="859">
        <v>97122</v>
      </c>
      <c r="AB30" s="859"/>
      <c r="AC30" s="859">
        <v>2711</v>
      </c>
      <c r="AD30" s="859">
        <v>261621</v>
      </c>
      <c r="AE30" s="859"/>
      <c r="AF30" s="861"/>
      <c r="AG30" s="859"/>
      <c r="AH30" s="859"/>
      <c r="AI30" s="859"/>
      <c r="AJ30" s="859">
        <v>7316252.9800000004</v>
      </c>
      <c r="AK30" s="192"/>
      <c r="AL30" s="408"/>
      <c r="AM30" s="408"/>
      <c r="AN30" s="408"/>
      <c r="AO30" s="408"/>
    </row>
    <row r="31" spans="1:41" ht="26.1" customHeight="1" x14ac:dyDescent="0.25">
      <c r="A31" s="399">
        <v>26</v>
      </c>
      <c r="B31" s="858">
        <v>7891060</v>
      </c>
      <c r="C31" s="859"/>
      <c r="D31" s="859"/>
      <c r="E31" s="859">
        <v>64</v>
      </c>
      <c r="F31" s="859">
        <v>7209.3</v>
      </c>
      <c r="G31" s="859">
        <v>68225</v>
      </c>
      <c r="H31" s="860"/>
      <c r="I31" s="861">
        <v>288619</v>
      </c>
      <c r="J31" s="862"/>
      <c r="K31" s="860">
        <v>468000</v>
      </c>
      <c r="L31" s="859">
        <v>9668.86</v>
      </c>
      <c r="M31" s="863">
        <v>248190.95</v>
      </c>
      <c r="N31" s="861">
        <v>39580.39</v>
      </c>
      <c r="O31" s="864">
        <v>210903</v>
      </c>
      <c r="P31" s="865">
        <v>49819</v>
      </c>
      <c r="Q31" s="859">
        <v>940919</v>
      </c>
      <c r="R31" s="859"/>
      <c r="S31" s="859">
        <v>68241</v>
      </c>
      <c r="T31" s="859"/>
      <c r="U31" s="859">
        <v>22059</v>
      </c>
      <c r="V31" s="866">
        <v>1328623</v>
      </c>
      <c r="W31" s="859"/>
      <c r="X31" s="867">
        <v>40733</v>
      </c>
      <c r="Y31" s="859">
        <v>50548</v>
      </c>
      <c r="Z31" s="859">
        <v>11190</v>
      </c>
      <c r="AA31" s="859">
        <v>97122</v>
      </c>
      <c r="AB31" s="859"/>
      <c r="AC31" s="859">
        <v>2711</v>
      </c>
      <c r="AD31" s="859">
        <v>261621</v>
      </c>
      <c r="AE31" s="859"/>
      <c r="AF31" s="861"/>
      <c r="AG31" s="859"/>
      <c r="AH31" s="859"/>
      <c r="AI31" s="859"/>
      <c r="AJ31" s="859">
        <v>7316252.9800000004</v>
      </c>
      <c r="AK31" s="192"/>
      <c r="AL31" s="408"/>
      <c r="AM31" s="408"/>
      <c r="AN31" s="408"/>
      <c r="AO31" s="408"/>
    </row>
    <row r="32" spans="1:41" ht="26.1" customHeight="1" x14ac:dyDescent="0.25">
      <c r="A32" s="399">
        <v>27</v>
      </c>
      <c r="B32" s="858">
        <v>7891060</v>
      </c>
      <c r="C32" s="859"/>
      <c r="D32" s="859"/>
      <c r="E32" s="859">
        <v>64</v>
      </c>
      <c r="F32" s="859">
        <v>7209.3</v>
      </c>
      <c r="G32" s="859">
        <v>68225</v>
      </c>
      <c r="H32" s="860"/>
      <c r="I32" s="861">
        <v>292148</v>
      </c>
      <c r="J32" s="862"/>
      <c r="K32" s="860">
        <v>468000</v>
      </c>
      <c r="L32" s="859">
        <v>9668.86</v>
      </c>
      <c r="M32" s="863">
        <v>248190.95</v>
      </c>
      <c r="N32" s="861">
        <v>39580.39</v>
      </c>
      <c r="O32" s="864">
        <v>210931</v>
      </c>
      <c r="P32" s="865">
        <v>49895</v>
      </c>
      <c r="Q32" s="859">
        <v>940927</v>
      </c>
      <c r="R32" s="859"/>
      <c r="S32" s="859">
        <v>68241</v>
      </c>
      <c r="T32" s="859"/>
      <c r="U32" s="859">
        <v>22059</v>
      </c>
      <c r="V32" s="866">
        <v>1328702</v>
      </c>
      <c r="W32" s="859"/>
      <c r="X32" s="867">
        <v>40733</v>
      </c>
      <c r="Y32" s="859">
        <v>50548</v>
      </c>
      <c r="Z32" s="859">
        <v>11190</v>
      </c>
      <c r="AA32" s="859">
        <v>97122</v>
      </c>
      <c r="AB32" s="859"/>
      <c r="AC32" s="859">
        <v>2711</v>
      </c>
      <c r="AD32" s="859">
        <v>261621</v>
      </c>
      <c r="AE32" s="859"/>
      <c r="AF32" s="861"/>
      <c r="AG32" s="859"/>
      <c r="AH32" s="859"/>
      <c r="AI32" s="859"/>
      <c r="AJ32" s="859">
        <v>7316252.9800000004</v>
      </c>
      <c r="AK32" s="192"/>
      <c r="AL32" s="408"/>
      <c r="AM32" s="408"/>
      <c r="AN32" s="408"/>
      <c r="AO32" s="408"/>
    </row>
    <row r="33" spans="1:41" ht="26.1" customHeight="1" x14ac:dyDescent="0.25">
      <c r="A33" s="399">
        <v>28</v>
      </c>
      <c r="B33" s="858">
        <v>7891060</v>
      </c>
      <c r="C33" s="859"/>
      <c r="D33" s="859"/>
      <c r="E33" s="859">
        <v>64</v>
      </c>
      <c r="F33" s="859">
        <v>7209.3</v>
      </c>
      <c r="G33" s="859">
        <v>68225</v>
      </c>
      <c r="H33" s="860"/>
      <c r="I33" s="861">
        <v>296014</v>
      </c>
      <c r="J33" s="862"/>
      <c r="K33" s="860">
        <v>468000</v>
      </c>
      <c r="L33" s="859">
        <v>9668.86</v>
      </c>
      <c r="M33" s="863">
        <v>248190.95</v>
      </c>
      <c r="N33" s="861">
        <v>39580.39</v>
      </c>
      <c r="O33" s="864">
        <v>210931</v>
      </c>
      <c r="P33" s="865">
        <v>49895</v>
      </c>
      <c r="Q33" s="859">
        <v>940940</v>
      </c>
      <c r="R33" s="859"/>
      <c r="S33" s="859">
        <v>68241</v>
      </c>
      <c r="T33" s="859"/>
      <c r="U33" s="859">
        <v>22059</v>
      </c>
      <c r="V33" s="866">
        <v>1328702</v>
      </c>
      <c r="W33" s="859"/>
      <c r="X33" s="867">
        <v>40733</v>
      </c>
      <c r="Y33" s="859">
        <v>50548</v>
      </c>
      <c r="Z33" s="859">
        <v>11190</v>
      </c>
      <c r="AA33" s="859">
        <v>97122</v>
      </c>
      <c r="AB33" s="859"/>
      <c r="AC33" s="859">
        <v>2711</v>
      </c>
      <c r="AD33" s="859">
        <v>261621</v>
      </c>
      <c r="AE33" s="859"/>
      <c r="AF33" s="861"/>
      <c r="AG33" s="859"/>
      <c r="AH33" s="859"/>
      <c r="AI33" s="859"/>
      <c r="AJ33" s="859">
        <v>7316252.9800000004</v>
      </c>
      <c r="AK33" s="192"/>
      <c r="AL33" s="408"/>
      <c r="AM33" s="408"/>
      <c r="AN33" s="408"/>
      <c r="AO33" s="408"/>
    </row>
    <row r="34" spans="1:41" ht="26.1" customHeight="1" x14ac:dyDescent="0.25">
      <c r="A34" s="399">
        <v>29</v>
      </c>
      <c r="B34" s="858">
        <v>7892080</v>
      </c>
      <c r="C34" s="859"/>
      <c r="D34" s="859"/>
      <c r="E34" s="859">
        <v>64</v>
      </c>
      <c r="F34" s="859">
        <v>7215.1</v>
      </c>
      <c r="G34" s="859">
        <v>68225</v>
      </c>
      <c r="H34" s="860"/>
      <c r="I34" s="861">
        <v>299515</v>
      </c>
      <c r="J34" s="862"/>
      <c r="K34" s="860">
        <v>468000</v>
      </c>
      <c r="L34" s="859">
        <v>9668.86</v>
      </c>
      <c r="M34" s="863">
        <v>248190.95</v>
      </c>
      <c r="N34" s="861">
        <v>39580.39</v>
      </c>
      <c r="O34" s="864">
        <v>210931</v>
      </c>
      <c r="P34" s="865">
        <v>49895</v>
      </c>
      <c r="Q34" s="859">
        <v>940968</v>
      </c>
      <c r="R34" s="859"/>
      <c r="S34" s="859">
        <v>68241</v>
      </c>
      <c r="T34" s="859"/>
      <c r="U34" s="859">
        <v>22059</v>
      </c>
      <c r="V34" s="866">
        <v>1328702</v>
      </c>
      <c r="W34" s="859"/>
      <c r="X34" s="867">
        <v>40733</v>
      </c>
      <c r="Y34" s="859">
        <v>50548</v>
      </c>
      <c r="Z34" s="859">
        <v>11200</v>
      </c>
      <c r="AA34" s="859">
        <v>97122</v>
      </c>
      <c r="AB34" s="859"/>
      <c r="AC34" s="859">
        <v>2711</v>
      </c>
      <c r="AD34" s="859">
        <v>261621</v>
      </c>
      <c r="AE34" s="859"/>
      <c r="AF34" s="861"/>
      <c r="AG34" s="859"/>
      <c r="AH34" s="859"/>
      <c r="AI34" s="859"/>
      <c r="AJ34" s="859">
        <v>7316252.9800000004</v>
      </c>
      <c r="AK34" s="192"/>
      <c r="AL34" s="408"/>
      <c r="AM34" s="408"/>
      <c r="AN34" s="408"/>
      <c r="AO34" s="408"/>
    </row>
    <row r="35" spans="1:41" ht="26.1" customHeight="1" x14ac:dyDescent="0.25">
      <c r="A35" s="399">
        <v>30</v>
      </c>
      <c r="B35" s="858">
        <v>7895310</v>
      </c>
      <c r="C35" s="859"/>
      <c r="D35" s="859"/>
      <c r="E35" s="859">
        <v>64</v>
      </c>
      <c r="F35" s="859">
        <v>7234.6</v>
      </c>
      <c r="G35" s="859">
        <v>68225</v>
      </c>
      <c r="H35" s="860"/>
      <c r="I35" s="861">
        <v>306556</v>
      </c>
      <c r="J35" s="862"/>
      <c r="K35" s="860">
        <v>468000</v>
      </c>
      <c r="L35" s="859">
        <v>9942.44</v>
      </c>
      <c r="M35" s="863">
        <v>250307.66</v>
      </c>
      <c r="N35" s="861">
        <v>39832.17</v>
      </c>
      <c r="O35" s="864">
        <v>211167</v>
      </c>
      <c r="P35" s="865">
        <v>50086</v>
      </c>
      <c r="Q35" s="859">
        <v>941301</v>
      </c>
      <c r="R35" s="859"/>
      <c r="S35" s="859">
        <v>68362</v>
      </c>
      <c r="T35" s="859"/>
      <c r="U35" s="859">
        <v>22071</v>
      </c>
      <c r="V35" s="866">
        <v>1328850</v>
      </c>
      <c r="W35" s="859"/>
      <c r="X35" s="867">
        <v>40794</v>
      </c>
      <c r="Y35" s="859">
        <v>50710</v>
      </c>
      <c r="Z35" s="859">
        <v>11228</v>
      </c>
      <c r="AA35" s="859">
        <v>97122</v>
      </c>
      <c r="AB35" s="859"/>
      <c r="AC35" s="859">
        <v>2737</v>
      </c>
      <c r="AD35" s="859">
        <v>261621</v>
      </c>
      <c r="AE35" s="859"/>
      <c r="AF35" s="861"/>
      <c r="AG35" s="859"/>
      <c r="AH35" s="859"/>
      <c r="AI35" s="868"/>
      <c r="AJ35" s="859">
        <v>7316252.9800000004</v>
      </c>
      <c r="AK35" s="326"/>
      <c r="AL35" s="491"/>
      <c r="AM35" s="494"/>
      <c r="AN35" s="491"/>
      <c r="AO35" s="491"/>
    </row>
    <row r="36" spans="1:41" ht="26.1" customHeight="1" x14ac:dyDescent="0.25">
      <c r="A36" s="399">
        <v>31</v>
      </c>
      <c r="B36" s="356">
        <v>7898970</v>
      </c>
      <c r="C36" s="192"/>
      <c r="D36" s="192"/>
      <c r="E36" s="192">
        <v>64</v>
      </c>
      <c r="F36" s="192">
        <v>7255.9</v>
      </c>
      <c r="G36" s="859">
        <v>68225</v>
      </c>
      <c r="H36" s="193"/>
      <c r="I36" s="194">
        <v>314362</v>
      </c>
      <c r="J36" s="799"/>
      <c r="K36" s="860">
        <v>468000</v>
      </c>
      <c r="L36" s="192">
        <v>10133.15</v>
      </c>
      <c r="M36" s="195">
        <v>252625.65</v>
      </c>
      <c r="N36" s="194">
        <v>40224.629999999997</v>
      </c>
      <c r="O36" s="196">
        <v>211349</v>
      </c>
      <c r="P36" s="197">
        <v>50255</v>
      </c>
      <c r="Q36" s="192">
        <v>941597</v>
      </c>
      <c r="R36" s="192"/>
      <c r="S36" s="192">
        <v>68547</v>
      </c>
      <c r="T36" s="192"/>
      <c r="U36" s="859">
        <v>22071</v>
      </c>
      <c r="V36" s="198">
        <v>1329081</v>
      </c>
      <c r="W36" s="192"/>
      <c r="X36" s="199">
        <v>40851</v>
      </c>
      <c r="Y36" s="192">
        <v>50868</v>
      </c>
      <c r="Z36" s="192">
        <v>11251</v>
      </c>
      <c r="AA36" s="859">
        <v>97122</v>
      </c>
      <c r="AB36" s="192"/>
      <c r="AC36" s="192">
        <v>2766</v>
      </c>
      <c r="AD36" s="859">
        <v>261621</v>
      </c>
      <c r="AE36" s="192"/>
      <c r="AF36" s="194"/>
      <c r="AG36" s="192"/>
      <c r="AH36" s="192"/>
      <c r="AI36" s="200"/>
      <c r="AJ36" s="859">
        <v>7316252.9800000004</v>
      </c>
      <c r="AK36" s="466"/>
      <c r="AL36" s="495"/>
      <c r="AM36" s="496"/>
      <c r="AN36" s="495"/>
      <c r="AO36" s="495"/>
    </row>
    <row r="37" spans="1:41" ht="26.1" customHeight="1" x14ac:dyDescent="0.25">
      <c r="A37" s="399">
        <v>1</v>
      </c>
      <c r="B37" s="356">
        <v>7901540</v>
      </c>
      <c r="C37" s="192"/>
      <c r="D37" s="192"/>
      <c r="E37" s="192">
        <v>64</v>
      </c>
      <c r="F37" s="192">
        <v>7271.9</v>
      </c>
      <c r="G37" s="859">
        <v>68225</v>
      </c>
      <c r="H37" s="193"/>
      <c r="I37" s="194">
        <v>321444</v>
      </c>
      <c r="J37" s="800"/>
      <c r="K37" s="860">
        <v>468000</v>
      </c>
      <c r="L37" s="192">
        <v>10303.43</v>
      </c>
      <c r="M37" s="195">
        <v>254572.72</v>
      </c>
      <c r="N37" s="194">
        <v>40557.949999999997</v>
      </c>
      <c r="O37" s="196">
        <v>211566</v>
      </c>
      <c r="P37" s="197">
        <v>50353</v>
      </c>
      <c r="Q37" s="192">
        <v>941791</v>
      </c>
      <c r="R37" s="192"/>
      <c r="S37" s="192">
        <v>68637</v>
      </c>
      <c r="T37" s="192"/>
      <c r="U37" s="859">
        <v>22072</v>
      </c>
      <c r="V37" s="198">
        <v>1329822</v>
      </c>
      <c r="W37" s="192"/>
      <c r="X37" s="199">
        <v>40874</v>
      </c>
      <c r="Y37" s="192">
        <v>50971</v>
      </c>
      <c r="Z37" s="192">
        <v>11281</v>
      </c>
      <c r="AA37" s="859">
        <v>97122</v>
      </c>
      <c r="AB37" s="192"/>
      <c r="AC37" s="192">
        <v>2788</v>
      </c>
      <c r="AD37" s="859">
        <v>261621</v>
      </c>
      <c r="AE37" s="192"/>
      <c r="AF37" s="194"/>
      <c r="AG37" s="192"/>
      <c r="AH37" s="192"/>
      <c r="AI37" s="200"/>
      <c r="AJ37" s="192">
        <v>7335297</v>
      </c>
      <c r="AK37" s="466"/>
      <c r="AL37" s="495"/>
      <c r="AM37" s="496"/>
      <c r="AN37" s="495"/>
      <c r="AO37" s="495"/>
    </row>
    <row r="38" spans="1:41" x14ac:dyDescent="0.25">
      <c r="B38" s="190"/>
      <c r="C38" s="190"/>
      <c r="G38" s="190"/>
      <c r="I38" s="881"/>
      <c r="J38" s="881"/>
      <c r="R38" s="190"/>
      <c r="S38" s="190"/>
      <c r="T38" s="190"/>
      <c r="U38" s="190"/>
      <c r="V38" s="190"/>
      <c r="W38" s="190"/>
      <c r="Z38" s="190"/>
      <c r="AA38" s="882"/>
      <c r="AB38" s="882"/>
      <c r="AC38" s="190"/>
      <c r="AD38" s="190"/>
      <c r="AI38" s="401"/>
      <c r="AJ38" s="326"/>
      <c r="AK38" s="326"/>
      <c r="AL38" s="497"/>
      <c r="AM38" s="497"/>
      <c r="AN38" s="497"/>
      <c r="AO38" s="497"/>
    </row>
    <row r="39" spans="1:41" x14ac:dyDescent="0.25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97"/>
      <c r="AM39" s="497"/>
      <c r="AN39" s="497"/>
      <c r="AO39" s="497"/>
    </row>
    <row r="40" spans="1:41" x14ac:dyDescent="0.25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97"/>
      <c r="AM40" s="497"/>
      <c r="AN40" s="497"/>
      <c r="AO40" s="497"/>
    </row>
    <row r="41" spans="1:41" x14ac:dyDescent="0.25">
      <c r="B41" s="190"/>
      <c r="V41" s="189"/>
      <c r="AL41" s="497"/>
      <c r="AM41" s="497"/>
      <c r="AN41" s="497"/>
      <c r="AO41" s="497"/>
    </row>
    <row r="42" spans="1:41" x14ac:dyDescent="0.25">
      <c r="B42" s="190"/>
      <c r="J42" s="402"/>
      <c r="V42" s="189"/>
      <c r="AL42" s="497"/>
      <c r="AM42" s="497"/>
      <c r="AN42" s="497"/>
      <c r="AO42" s="497"/>
    </row>
    <row r="43" spans="1:41" x14ac:dyDescent="0.25">
      <c r="H43" s="402"/>
      <c r="J43" s="402"/>
      <c r="V43" s="189"/>
      <c r="AL43" s="497"/>
      <c r="AM43" s="497"/>
      <c r="AN43" s="497"/>
      <c r="AO43" s="497"/>
    </row>
    <row r="44" spans="1:41" x14ac:dyDescent="0.25">
      <c r="C44" s="189" t="s">
        <v>58</v>
      </c>
      <c r="V44" s="189"/>
      <c r="AL44" s="497"/>
      <c r="AM44" s="497"/>
      <c r="AN44" s="497"/>
      <c r="AO44" s="497"/>
    </row>
    <row r="45" spans="1:41" x14ac:dyDescent="0.25">
      <c r="I45" s="190"/>
      <c r="J45" s="190"/>
      <c r="V45" s="189"/>
      <c r="AL45" s="497"/>
      <c r="AM45" s="497"/>
      <c r="AN45" s="497"/>
      <c r="AO45" s="497"/>
    </row>
    <row r="46" spans="1:41" x14ac:dyDescent="0.25">
      <c r="V46" s="189"/>
      <c r="AL46" s="497"/>
      <c r="AM46" s="497"/>
      <c r="AN46" s="497"/>
      <c r="AO46" s="497"/>
    </row>
    <row r="47" spans="1:41" x14ac:dyDescent="0.25">
      <c r="V47" s="189"/>
      <c r="AL47" s="497"/>
      <c r="AM47" s="497"/>
      <c r="AN47" s="497"/>
      <c r="AO47" s="497"/>
    </row>
    <row r="48" spans="1:41" x14ac:dyDescent="0.25">
      <c r="V48" s="189"/>
      <c r="AL48" s="497"/>
      <c r="AM48" s="497"/>
      <c r="AN48" s="497"/>
      <c r="AO48" s="497"/>
    </row>
    <row r="49" spans="22:41" x14ac:dyDescent="0.25">
      <c r="V49" s="189"/>
      <c r="AL49" s="497"/>
      <c r="AM49" s="497"/>
      <c r="AN49" s="497"/>
      <c r="AO49" s="497"/>
    </row>
    <row r="50" spans="22:41" x14ac:dyDescent="0.25">
      <c r="V50" s="189"/>
      <c r="AL50" s="497"/>
      <c r="AM50" s="497"/>
      <c r="AN50" s="497"/>
      <c r="AO50" s="497"/>
    </row>
    <row r="51" spans="22:41" x14ac:dyDescent="0.25">
      <c r="V51" s="189"/>
      <c r="AL51" s="497"/>
      <c r="AM51" s="497"/>
      <c r="AN51" s="497"/>
      <c r="AO51" s="497"/>
    </row>
    <row r="52" spans="22:41" x14ac:dyDescent="0.25">
      <c r="V52" s="189"/>
      <c r="AL52" s="497"/>
      <c r="AM52" s="497"/>
      <c r="AN52" s="497"/>
      <c r="AO52" s="497"/>
    </row>
    <row r="53" spans="22:41" x14ac:dyDescent="0.25">
      <c r="V53" s="189"/>
      <c r="AL53" s="497"/>
      <c r="AM53" s="497"/>
      <c r="AN53" s="497"/>
      <c r="AO53" s="497"/>
    </row>
    <row r="54" spans="22:41" x14ac:dyDescent="0.25">
      <c r="V54" s="189"/>
      <c r="AL54" s="497"/>
      <c r="AM54" s="497"/>
      <c r="AN54" s="497"/>
      <c r="AO54" s="497"/>
    </row>
    <row r="55" spans="22:41" x14ac:dyDescent="0.25">
      <c r="V55" s="189"/>
      <c r="AL55" s="497"/>
      <c r="AM55" s="497"/>
      <c r="AN55" s="497"/>
      <c r="AO55" s="497"/>
    </row>
    <row r="56" spans="22:41" x14ac:dyDescent="0.25">
      <c r="V56" s="189"/>
      <c r="AL56" s="497"/>
      <c r="AM56" s="497"/>
      <c r="AN56" s="497"/>
      <c r="AO56" s="497"/>
    </row>
    <row r="57" spans="22:41" x14ac:dyDescent="0.25">
      <c r="V57" s="189"/>
      <c r="AL57" s="497"/>
      <c r="AM57" s="497"/>
      <c r="AN57" s="497"/>
      <c r="AO57" s="497"/>
    </row>
    <row r="58" spans="22:41" x14ac:dyDescent="0.25">
      <c r="V58" s="189"/>
      <c r="AL58" s="497"/>
      <c r="AM58" s="497"/>
      <c r="AN58" s="497"/>
      <c r="AO58" s="497"/>
    </row>
    <row r="59" spans="22:41" x14ac:dyDescent="0.25">
      <c r="V59" s="189"/>
      <c r="AL59" s="497"/>
      <c r="AM59" s="497"/>
      <c r="AN59" s="497"/>
      <c r="AO59" s="497"/>
    </row>
    <row r="60" spans="22:41" x14ac:dyDescent="0.25">
      <c r="V60" s="189"/>
      <c r="AL60" s="497"/>
      <c r="AM60" s="497"/>
      <c r="AN60" s="497"/>
      <c r="AO60" s="497"/>
    </row>
    <row r="61" spans="22:41" x14ac:dyDescent="0.25">
      <c r="V61" s="189"/>
      <c r="AL61" s="497"/>
      <c r="AM61" s="497"/>
      <c r="AN61" s="497"/>
      <c r="AO61" s="497"/>
    </row>
    <row r="62" spans="22:41" x14ac:dyDescent="0.25">
      <c r="V62" s="189"/>
      <c r="AL62" s="497"/>
      <c r="AM62" s="497"/>
      <c r="AN62" s="497"/>
      <c r="AO62" s="497"/>
    </row>
    <row r="63" spans="22:41" x14ac:dyDescent="0.25">
      <c r="V63" s="189"/>
      <c r="AL63" s="497"/>
      <c r="AM63" s="497"/>
      <c r="AN63" s="497"/>
      <c r="AO63" s="497"/>
    </row>
    <row r="64" spans="22:41" x14ac:dyDescent="0.25">
      <c r="V64" s="189"/>
      <c r="AL64" s="497"/>
      <c r="AM64" s="497"/>
      <c r="AN64" s="497"/>
      <c r="AO64" s="497"/>
    </row>
    <row r="65" spans="22:41" x14ac:dyDescent="0.25">
      <c r="V65" s="189"/>
      <c r="AL65" s="497"/>
      <c r="AM65" s="497"/>
      <c r="AN65" s="497"/>
      <c r="AO65" s="497"/>
    </row>
    <row r="66" spans="22:41" x14ac:dyDescent="0.25">
      <c r="V66" s="189"/>
      <c r="AL66" s="497"/>
      <c r="AM66" s="497"/>
      <c r="AN66" s="497"/>
      <c r="AO66" s="497"/>
    </row>
    <row r="67" spans="22:41" x14ac:dyDescent="0.25">
      <c r="V67" s="189"/>
      <c r="AL67" s="497"/>
      <c r="AM67" s="497"/>
      <c r="AN67" s="497"/>
      <c r="AO67" s="497"/>
    </row>
    <row r="68" spans="22:41" x14ac:dyDescent="0.25">
      <c r="V68" s="189"/>
      <c r="AL68" s="497"/>
      <c r="AM68" s="497"/>
      <c r="AN68" s="497"/>
      <c r="AO68" s="497"/>
    </row>
    <row r="69" spans="22:41" x14ac:dyDescent="0.25">
      <c r="V69" s="189"/>
      <c r="AL69" s="497"/>
      <c r="AM69" s="497"/>
      <c r="AN69" s="497"/>
      <c r="AO69" s="497"/>
    </row>
    <row r="70" spans="22:41" x14ac:dyDescent="0.25">
      <c r="V70" s="189"/>
      <c r="AL70" s="497"/>
      <c r="AM70" s="497"/>
      <c r="AN70" s="497"/>
      <c r="AO70" s="497"/>
    </row>
    <row r="71" spans="22:41" x14ac:dyDescent="0.25">
      <c r="V71" s="189"/>
      <c r="AL71" s="497"/>
      <c r="AM71" s="497"/>
      <c r="AN71" s="497"/>
      <c r="AO71" s="497"/>
    </row>
    <row r="72" spans="22:41" x14ac:dyDescent="0.25">
      <c r="V72" s="189"/>
      <c r="AL72" s="497"/>
      <c r="AM72" s="497"/>
      <c r="AN72" s="497"/>
      <c r="AO72" s="497"/>
    </row>
    <row r="73" spans="22:41" x14ac:dyDescent="0.25">
      <c r="V73" s="189"/>
      <c r="AL73" s="497"/>
      <c r="AM73" s="497"/>
      <c r="AN73" s="497"/>
      <c r="AO73" s="497"/>
    </row>
    <row r="74" spans="22:41" x14ac:dyDescent="0.25">
      <c r="V74" s="189"/>
      <c r="AL74" s="497"/>
      <c r="AM74" s="497"/>
      <c r="AN74" s="497"/>
      <c r="AO74" s="497"/>
    </row>
    <row r="75" spans="22:41" x14ac:dyDescent="0.25">
      <c r="V75" s="189"/>
      <c r="AL75" s="497"/>
      <c r="AM75" s="497"/>
      <c r="AN75" s="497"/>
      <c r="AO75" s="497"/>
    </row>
    <row r="76" spans="22:41" x14ac:dyDescent="0.25">
      <c r="V76" s="189"/>
      <c r="AL76" s="497"/>
      <c r="AM76" s="497"/>
      <c r="AN76" s="497"/>
      <c r="AO76" s="497"/>
    </row>
    <row r="77" spans="22:41" x14ac:dyDescent="0.25">
      <c r="V77" s="189"/>
      <c r="AL77" s="497"/>
      <c r="AM77" s="497"/>
      <c r="AN77" s="497"/>
      <c r="AO77" s="497"/>
    </row>
    <row r="78" spans="22:41" x14ac:dyDescent="0.25">
      <c r="V78" s="189"/>
      <c r="AL78" s="497"/>
      <c r="AM78" s="497"/>
      <c r="AN78" s="497"/>
      <c r="AO78" s="497"/>
    </row>
    <row r="79" spans="22:41" x14ac:dyDescent="0.25">
      <c r="V79" s="189"/>
      <c r="AL79" s="497"/>
      <c r="AM79" s="497"/>
      <c r="AN79" s="497"/>
      <c r="AO79" s="497"/>
    </row>
    <row r="80" spans="22:41" x14ac:dyDescent="0.25">
      <c r="V80" s="189"/>
      <c r="AL80" s="497"/>
      <c r="AM80" s="497"/>
      <c r="AN80" s="497"/>
      <c r="AO80" s="497"/>
    </row>
    <row r="81" spans="22:41" x14ac:dyDescent="0.25">
      <c r="V81" s="189"/>
      <c r="AL81" s="497"/>
      <c r="AM81" s="497"/>
      <c r="AN81" s="497"/>
      <c r="AO81" s="497"/>
    </row>
    <row r="82" spans="22:41" x14ac:dyDescent="0.25">
      <c r="V82" s="189"/>
      <c r="AL82" s="497"/>
      <c r="AM82" s="497"/>
      <c r="AN82" s="497"/>
      <c r="AO82" s="497"/>
    </row>
    <row r="83" spans="22:41" x14ac:dyDescent="0.25">
      <c r="V83" s="189"/>
      <c r="AL83" s="497"/>
      <c r="AM83" s="497"/>
      <c r="AN83" s="497"/>
      <c r="AO83" s="497"/>
    </row>
    <row r="84" spans="22:41" x14ac:dyDescent="0.25">
      <c r="V84" s="189"/>
      <c r="AL84" s="497"/>
      <c r="AM84" s="497"/>
      <c r="AN84" s="497"/>
      <c r="AO84" s="497"/>
    </row>
    <row r="85" spans="22:41" x14ac:dyDescent="0.25">
      <c r="V85" s="189"/>
      <c r="AL85" s="497"/>
      <c r="AM85" s="497"/>
      <c r="AN85" s="497"/>
      <c r="AO85" s="497"/>
    </row>
    <row r="86" spans="22:41" x14ac:dyDescent="0.25">
      <c r="V86" s="189"/>
      <c r="AL86" s="497"/>
      <c r="AM86" s="497"/>
      <c r="AN86" s="497"/>
      <c r="AO86" s="497"/>
    </row>
    <row r="87" spans="22:41" x14ac:dyDescent="0.25">
      <c r="V87" s="189"/>
      <c r="AL87" s="497"/>
      <c r="AM87" s="497"/>
      <c r="AN87" s="497"/>
      <c r="AO87" s="497"/>
    </row>
    <row r="88" spans="22:41" x14ac:dyDescent="0.25">
      <c r="V88" s="189"/>
      <c r="AL88" s="497"/>
      <c r="AM88" s="497"/>
      <c r="AN88" s="497"/>
      <c r="AO88" s="497"/>
    </row>
    <row r="89" spans="22:41" x14ac:dyDescent="0.25">
      <c r="V89" s="189"/>
      <c r="AL89" s="497"/>
      <c r="AM89" s="497"/>
      <c r="AN89" s="497"/>
      <c r="AO89" s="497"/>
    </row>
    <row r="90" spans="22:41" x14ac:dyDescent="0.25">
      <c r="V90" s="189"/>
      <c r="AL90" s="497"/>
      <c r="AM90" s="497"/>
      <c r="AN90" s="497"/>
      <c r="AO90" s="497"/>
    </row>
    <row r="91" spans="22:41" x14ac:dyDescent="0.25">
      <c r="V91" s="189"/>
      <c r="AL91" s="497"/>
      <c r="AM91" s="497"/>
      <c r="AN91" s="497"/>
      <c r="AO91" s="497"/>
    </row>
    <row r="92" spans="22:41" x14ac:dyDescent="0.25">
      <c r="V92" s="189"/>
      <c r="AL92" s="497"/>
      <c r="AM92" s="497"/>
      <c r="AN92" s="497"/>
      <c r="AO92" s="497"/>
    </row>
    <row r="93" spans="22:41" x14ac:dyDescent="0.25">
      <c r="V93" s="189"/>
      <c r="AL93" s="497"/>
      <c r="AM93" s="497"/>
      <c r="AN93" s="497"/>
      <c r="AO93" s="497"/>
    </row>
    <row r="94" spans="22:41" x14ac:dyDescent="0.25">
      <c r="V94" s="189"/>
      <c r="AL94" s="497"/>
      <c r="AM94" s="497"/>
      <c r="AN94" s="497"/>
      <c r="AO94" s="497"/>
    </row>
    <row r="95" spans="22:41" x14ac:dyDescent="0.25">
      <c r="V95" s="189"/>
      <c r="AL95" s="497"/>
      <c r="AM95" s="497"/>
      <c r="AN95" s="497"/>
      <c r="AO95" s="497"/>
    </row>
    <row r="96" spans="22:41" x14ac:dyDescent="0.25">
      <c r="V96" s="189"/>
      <c r="AL96" s="497"/>
      <c r="AM96" s="497"/>
      <c r="AN96" s="497"/>
      <c r="AO96" s="497"/>
    </row>
    <row r="97" spans="22:41" x14ac:dyDescent="0.25">
      <c r="V97" s="189"/>
      <c r="AL97" s="497"/>
      <c r="AM97" s="497"/>
      <c r="AN97" s="497"/>
      <c r="AO97" s="497"/>
    </row>
    <row r="98" spans="22:41" x14ac:dyDescent="0.25">
      <c r="V98" s="189"/>
      <c r="AL98" s="497"/>
      <c r="AM98" s="497"/>
      <c r="AN98" s="497"/>
      <c r="AO98" s="497"/>
    </row>
    <row r="99" spans="22:41" x14ac:dyDescent="0.25">
      <c r="V99" s="189"/>
      <c r="AL99" s="497"/>
      <c r="AM99" s="497"/>
      <c r="AN99" s="497"/>
      <c r="AO99" s="497"/>
    </row>
    <row r="100" spans="22:41" x14ac:dyDescent="0.25">
      <c r="V100" s="189"/>
      <c r="AL100" s="497"/>
      <c r="AM100" s="497"/>
      <c r="AN100" s="497"/>
      <c r="AO100" s="497"/>
    </row>
    <row r="101" spans="22:41" x14ac:dyDescent="0.25">
      <c r="V101" s="189"/>
      <c r="AL101" s="497"/>
      <c r="AM101" s="497"/>
      <c r="AN101" s="497"/>
      <c r="AO101" s="497"/>
    </row>
    <row r="102" spans="22:41" x14ac:dyDescent="0.25">
      <c r="V102" s="189"/>
      <c r="AL102" s="497"/>
      <c r="AM102" s="497"/>
      <c r="AN102" s="497"/>
      <c r="AO102" s="497"/>
    </row>
    <row r="103" spans="22:41" x14ac:dyDescent="0.25">
      <c r="V103" s="189"/>
      <c r="AL103" s="497"/>
      <c r="AM103" s="497"/>
      <c r="AN103" s="497"/>
      <c r="AO103" s="497"/>
    </row>
    <row r="104" spans="22:41" x14ac:dyDescent="0.25">
      <c r="V104" s="189"/>
      <c r="AL104" s="497"/>
      <c r="AM104" s="497"/>
      <c r="AN104" s="497"/>
      <c r="AO104" s="497"/>
    </row>
    <row r="105" spans="22:41" x14ac:dyDescent="0.25">
      <c r="V105" s="189"/>
      <c r="AL105" s="497"/>
      <c r="AM105" s="497"/>
      <c r="AN105" s="497"/>
      <c r="AO105" s="497"/>
    </row>
    <row r="106" spans="22:41" x14ac:dyDescent="0.25">
      <c r="V106" s="189"/>
      <c r="AL106" s="497"/>
      <c r="AM106" s="497"/>
      <c r="AN106" s="497"/>
      <c r="AO106" s="497"/>
    </row>
    <row r="107" spans="22:41" x14ac:dyDescent="0.25">
      <c r="V107" s="189"/>
      <c r="AL107" s="497"/>
      <c r="AM107" s="497"/>
      <c r="AN107" s="497"/>
      <c r="AO107" s="497"/>
    </row>
    <row r="108" spans="22:41" x14ac:dyDescent="0.25">
      <c r="V108" s="189"/>
      <c r="AL108" s="497"/>
      <c r="AM108" s="497"/>
      <c r="AN108" s="497"/>
      <c r="AO108" s="497"/>
    </row>
    <row r="109" spans="22:41" x14ac:dyDescent="0.25">
      <c r="V109" s="189"/>
      <c r="AL109" s="497"/>
      <c r="AM109" s="497"/>
      <c r="AN109" s="497"/>
      <c r="AO109" s="497"/>
    </row>
    <row r="110" spans="22:41" x14ac:dyDescent="0.25">
      <c r="V110" s="189"/>
      <c r="AL110" s="497"/>
      <c r="AM110" s="497"/>
      <c r="AN110" s="497"/>
      <c r="AO110" s="497"/>
    </row>
    <row r="111" spans="22:41" x14ac:dyDescent="0.25">
      <c r="V111" s="189"/>
      <c r="AL111" s="497"/>
      <c r="AM111" s="497"/>
      <c r="AN111" s="497"/>
      <c r="AO111" s="497"/>
    </row>
    <row r="112" spans="22:41" x14ac:dyDescent="0.25">
      <c r="V112" s="189"/>
      <c r="AL112" s="497"/>
      <c r="AM112" s="497"/>
      <c r="AN112" s="497"/>
      <c r="AO112" s="497"/>
    </row>
    <row r="113" spans="22:41" x14ac:dyDescent="0.25">
      <c r="V113" s="189"/>
      <c r="AL113" s="497"/>
      <c r="AM113" s="497"/>
      <c r="AN113" s="497"/>
      <c r="AO113" s="497"/>
    </row>
    <row r="114" spans="22:41" x14ac:dyDescent="0.25">
      <c r="V114" s="189"/>
      <c r="AL114" s="497"/>
      <c r="AM114" s="497"/>
      <c r="AN114" s="497"/>
      <c r="AO114" s="497"/>
    </row>
    <row r="115" spans="22:41" x14ac:dyDescent="0.25">
      <c r="V115" s="189"/>
      <c r="AL115" s="497"/>
      <c r="AM115" s="497"/>
      <c r="AN115" s="497"/>
      <c r="AO115" s="497"/>
    </row>
    <row r="116" spans="22:41" x14ac:dyDescent="0.25">
      <c r="V116" s="189"/>
      <c r="AL116" s="497"/>
      <c r="AM116" s="497"/>
      <c r="AN116" s="497"/>
      <c r="AO116" s="497"/>
    </row>
    <row r="117" spans="22:41" x14ac:dyDescent="0.25">
      <c r="V117" s="189"/>
      <c r="AL117" s="497"/>
      <c r="AM117" s="497"/>
      <c r="AN117" s="497"/>
      <c r="AO117" s="497"/>
    </row>
    <row r="118" spans="22:41" x14ac:dyDescent="0.25">
      <c r="V118" s="189"/>
      <c r="AL118" s="497"/>
      <c r="AM118" s="497"/>
      <c r="AN118" s="497"/>
      <c r="AO118" s="497"/>
    </row>
    <row r="119" spans="22:41" x14ac:dyDescent="0.25">
      <c r="V119" s="189"/>
      <c r="AL119" s="497"/>
      <c r="AM119" s="497"/>
      <c r="AN119" s="497"/>
      <c r="AO119" s="497"/>
    </row>
    <row r="120" spans="22:41" x14ac:dyDescent="0.25">
      <c r="V120" s="189"/>
      <c r="AL120" s="497"/>
      <c r="AM120" s="497"/>
      <c r="AN120" s="497"/>
      <c r="AO120" s="497"/>
    </row>
    <row r="121" spans="22:41" x14ac:dyDescent="0.25">
      <c r="V121" s="189"/>
      <c r="AL121" s="497"/>
      <c r="AM121" s="497"/>
      <c r="AN121" s="497"/>
      <c r="AO121" s="497"/>
    </row>
    <row r="122" spans="22:41" x14ac:dyDescent="0.25">
      <c r="V122" s="189"/>
      <c r="AL122" s="497"/>
      <c r="AM122" s="497"/>
      <c r="AN122" s="497"/>
      <c r="AO122" s="497"/>
    </row>
    <row r="123" spans="22:41" x14ac:dyDescent="0.25">
      <c r="V123" s="189"/>
      <c r="AL123" s="497"/>
      <c r="AM123" s="497"/>
      <c r="AN123" s="497"/>
      <c r="AO123" s="497"/>
    </row>
    <row r="124" spans="22:41" x14ac:dyDescent="0.25">
      <c r="V124" s="189"/>
      <c r="AL124" s="497"/>
      <c r="AM124" s="497"/>
      <c r="AN124" s="497"/>
      <c r="AO124" s="497"/>
    </row>
    <row r="125" spans="22:41" x14ac:dyDescent="0.25">
      <c r="V125" s="189"/>
      <c r="AL125" s="497"/>
      <c r="AM125" s="497"/>
      <c r="AN125" s="497"/>
      <c r="AO125" s="497"/>
    </row>
    <row r="126" spans="22:41" x14ac:dyDescent="0.25">
      <c r="V126" s="189"/>
      <c r="AL126" s="497"/>
      <c r="AM126" s="497"/>
      <c r="AN126" s="497"/>
      <c r="AO126" s="497"/>
    </row>
    <row r="127" spans="22:41" x14ac:dyDescent="0.25">
      <c r="V127" s="189"/>
      <c r="AL127" s="497"/>
      <c r="AM127" s="497"/>
      <c r="AN127" s="497"/>
      <c r="AO127" s="497"/>
    </row>
    <row r="128" spans="22:41" x14ac:dyDescent="0.25">
      <c r="V128" s="189"/>
      <c r="AL128" s="497"/>
      <c r="AM128" s="497"/>
      <c r="AN128" s="497"/>
      <c r="AO128" s="497"/>
    </row>
    <row r="129" spans="22:41" x14ac:dyDescent="0.25">
      <c r="V129" s="189"/>
      <c r="AL129" s="497"/>
      <c r="AM129" s="497"/>
      <c r="AN129" s="497"/>
      <c r="AO129" s="497"/>
    </row>
    <row r="130" spans="22:41" x14ac:dyDescent="0.25">
      <c r="V130" s="189"/>
      <c r="AL130" s="497"/>
      <c r="AM130" s="497"/>
      <c r="AN130" s="497"/>
      <c r="AO130" s="497"/>
    </row>
    <row r="131" spans="22:41" x14ac:dyDescent="0.25">
      <c r="V131" s="189"/>
      <c r="AL131" s="497"/>
      <c r="AM131" s="497"/>
      <c r="AN131" s="497"/>
      <c r="AO131" s="497"/>
    </row>
    <row r="132" spans="22:41" x14ac:dyDescent="0.25">
      <c r="V132" s="189"/>
      <c r="AL132" s="497"/>
      <c r="AM132" s="497"/>
      <c r="AN132" s="497"/>
      <c r="AO132" s="497"/>
    </row>
    <row r="133" spans="22:41" x14ac:dyDescent="0.25">
      <c r="V133" s="189"/>
      <c r="AL133" s="497"/>
      <c r="AM133" s="497"/>
      <c r="AN133" s="497"/>
      <c r="AO133" s="497"/>
    </row>
    <row r="134" spans="22:41" x14ac:dyDescent="0.25">
      <c r="V134" s="189"/>
      <c r="AL134" s="497"/>
      <c r="AM134" s="497"/>
      <c r="AN134" s="497"/>
      <c r="AO134" s="497"/>
    </row>
    <row r="135" spans="22:41" x14ac:dyDescent="0.25">
      <c r="V135" s="189"/>
      <c r="AL135" s="497"/>
      <c r="AM135" s="497"/>
      <c r="AN135" s="497"/>
      <c r="AO135" s="497"/>
    </row>
    <row r="136" spans="22:41" x14ac:dyDescent="0.25">
      <c r="V136" s="189"/>
      <c r="AL136" s="497"/>
      <c r="AM136" s="497"/>
      <c r="AN136" s="497"/>
      <c r="AO136" s="497"/>
    </row>
    <row r="137" spans="22:41" x14ac:dyDescent="0.25">
      <c r="V137" s="189"/>
      <c r="AL137" s="497"/>
      <c r="AM137" s="497"/>
      <c r="AN137" s="497"/>
      <c r="AO137" s="497"/>
    </row>
    <row r="138" spans="22:41" x14ac:dyDescent="0.25">
      <c r="V138" s="189"/>
      <c r="AL138" s="497"/>
      <c r="AM138" s="497"/>
      <c r="AN138" s="497"/>
      <c r="AO138" s="497"/>
    </row>
    <row r="139" spans="22:41" x14ac:dyDescent="0.25">
      <c r="V139" s="189"/>
      <c r="AL139" s="497"/>
      <c r="AM139" s="497"/>
      <c r="AN139" s="497"/>
      <c r="AO139" s="497"/>
    </row>
    <row r="140" spans="22:41" x14ac:dyDescent="0.25">
      <c r="V140" s="189"/>
      <c r="AL140" s="497"/>
      <c r="AM140" s="497"/>
      <c r="AN140" s="497"/>
      <c r="AO140" s="497"/>
    </row>
    <row r="141" spans="22:41" x14ac:dyDescent="0.25">
      <c r="V141" s="189"/>
      <c r="AL141" s="497"/>
      <c r="AM141" s="497"/>
      <c r="AN141" s="497"/>
      <c r="AO141" s="497"/>
    </row>
    <row r="142" spans="22:41" x14ac:dyDescent="0.25">
      <c r="V142" s="189"/>
      <c r="AL142" s="497"/>
      <c r="AM142" s="497"/>
      <c r="AN142" s="497"/>
      <c r="AO142" s="497"/>
    </row>
    <row r="143" spans="22:41" x14ac:dyDescent="0.25">
      <c r="V143" s="189"/>
      <c r="AL143" s="497"/>
      <c r="AM143" s="497"/>
      <c r="AN143" s="497"/>
      <c r="AO143" s="497"/>
    </row>
    <row r="144" spans="22:41" x14ac:dyDescent="0.25">
      <c r="V144" s="189"/>
      <c r="AL144" s="497"/>
      <c r="AM144" s="497"/>
      <c r="AN144" s="497"/>
      <c r="AO144" s="497"/>
    </row>
    <row r="145" spans="22:41" x14ac:dyDescent="0.25">
      <c r="V145" s="189"/>
      <c r="AL145" s="497"/>
      <c r="AM145" s="497"/>
      <c r="AN145" s="497"/>
      <c r="AO145" s="497"/>
    </row>
    <row r="146" spans="22:41" x14ac:dyDescent="0.25">
      <c r="V146" s="189"/>
      <c r="AL146" s="497"/>
      <c r="AM146" s="497"/>
      <c r="AN146" s="497"/>
      <c r="AO146" s="497"/>
    </row>
    <row r="147" spans="22:41" x14ac:dyDescent="0.25">
      <c r="V147" s="189"/>
      <c r="AL147" s="497"/>
      <c r="AM147" s="497"/>
      <c r="AN147" s="497"/>
      <c r="AO147" s="497"/>
    </row>
    <row r="148" spans="22:41" x14ac:dyDescent="0.25">
      <c r="V148" s="189"/>
      <c r="AL148" s="497"/>
      <c r="AM148" s="497"/>
      <c r="AN148" s="497"/>
      <c r="AO148" s="497"/>
    </row>
    <row r="149" spans="22:41" x14ac:dyDescent="0.25">
      <c r="V149" s="189"/>
      <c r="AL149" s="497"/>
      <c r="AM149" s="497"/>
      <c r="AN149" s="497"/>
      <c r="AO149" s="497"/>
    </row>
    <row r="150" spans="22:41" x14ac:dyDescent="0.25">
      <c r="V150" s="189"/>
      <c r="AL150" s="497"/>
      <c r="AM150" s="497"/>
      <c r="AN150" s="497"/>
      <c r="AO150" s="497"/>
    </row>
    <row r="151" spans="22:41" x14ac:dyDescent="0.25">
      <c r="V151" s="189"/>
      <c r="AL151" s="497"/>
      <c r="AM151" s="497"/>
      <c r="AN151" s="497"/>
      <c r="AO151" s="497"/>
    </row>
    <row r="152" spans="22:41" x14ac:dyDescent="0.25">
      <c r="V152" s="189"/>
      <c r="AL152" s="497"/>
      <c r="AM152" s="497"/>
      <c r="AN152" s="497"/>
      <c r="AO152" s="497"/>
    </row>
    <row r="153" spans="22:41" x14ac:dyDescent="0.25">
      <c r="V153" s="189"/>
      <c r="AL153" s="497"/>
      <c r="AM153" s="497"/>
      <c r="AN153" s="497"/>
      <c r="AO153" s="497"/>
    </row>
    <row r="154" spans="22:41" x14ac:dyDescent="0.25">
      <c r="V154" s="189"/>
      <c r="AL154" s="497"/>
      <c r="AM154" s="497"/>
      <c r="AN154" s="497"/>
      <c r="AO154" s="497"/>
    </row>
    <row r="155" spans="22:41" x14ac:dyDescent="0.25">
      <c r="V155" s="189"/>
      <c r="AL155" s="497"/>
      <c r="AM155" s="497"/>
      <c r="AN155" s="497"/>
      <c r="AO155" s="497"/>
    </row>
    <row r="156" spans="22:41" x14ac:dyDescent="0.25">
      <c r="V156" s="189"/>
      <c r="AL156" s="497"/>
      <c r="AM156" s="497"/>
      <c r="AN156" s="497"/>
      <c r="AO156" s="497"/>
    </row>
    <row r="157" spans="22:41" x14ac:dyDescent="0.25">
      <c r="V157" s="189"/>
      <c r="AL157" s="497"/>
      <c r="AM157" s="497"/>
      <c r="AN157" s="497"/>
      <c r="AO157" s="497"/>
    </row>
    <row r="158" spans="22:41" x14ac:dyDescent="0.25">
      <c r="V158" s="189"/>
      <c r="AL158" s="497"/>
      <c r="AM158" s="497"/>
      <c r="AN158" s="497"/>
      <c r="AO158" s="497"/>
    </row>
    <row r="159" spans="22:41" x14ac:dyDescent="0.25">
      <c r="V159" s="189"/>
      <c r="AL159" s="497"/>
      <c r="AM159" s="497"/>
      <c r="AN159" s="497"/>
      <c r="AO159" s="497"/>
    </row>
    <row r="160" spans="22:41" x14ac:dyDescent="0.25">
      <c r="V160" s="189"/>
      <c r="AL160" s="497"/>
      <c r="AM160" s="497"/>
      <c r="AN160" s="497"/>
      <c r="AO160" s="497"/>
    </row>
    <row r="161" spans="22:41" x14ac:dyDescent="0.25">
      <c r="V161" s="189"/>
      <c r="AL161" s="497"/>
      <c r="AM161" s="497"/>
      <c r="AN161" s="497"/>
      <c r="AO161" s="497"/>
    </row>
    <row r="162" spans="22:41" x14ac:dyDescent="0.25">
      <c r="V162" s="189"/>
    </row>
    <row r="163" spans="22:41" x14ac:dyDescent="0.25">
      <c r="V163" s="189"/>
    </row>
    <row r="164" spans="22:41" x14ac:dyDescent="0.25">
      <c r="V164" s="189"/>
    </row>
    <row r="165" spans="22:41" x14ac:dyDescent="0.25">
      <c r="V165" s="189"/>
    </row>
    <row r="166" spans="22:41" x14ac:dyDescent="0.25">
      <c r="V166" s="189"/>
    </row>
    <row r="167" spans="22:41" x14ac:dyDescent="0.25">
      <c r="V167" s="189"/>
    </row>
    <row r="168" spans="22:41" x14ac:dyDescent="0.25">
      <c r="V168" s="189"/>
    </row>
    <row r="169" spans="22:41" x14ac:dyDescent="0.25">
      <c r="V169" s="189"/>
    </row>
    <row r="170" spans="22:41" x14ac:dyDescent="0.25">
      <c r="V170" s="189"/>
    </row>
    <row r="171" spans="22:41" x14ac:dyDescent="0.25">
      <c r="V171" s="189"/>
    </row>
    <row r="172" spans="22:41" x14ac:dyDescent="0.25">
      <c r="V172" s="189"/>
    </row>
    <row r="173" spans="22:41" x14ac:dyDescent="0.25">
      <c r="V173" s="189"/>
    </row>
    <row r="174" spans="22:41" x14ac:dyDescent="0.25">
      <c r="V174" s="189"/>
    </row>
    <row r="175" spans="22:41" x14ac:dyDescent="0.25">
      <c r="V175" s="189"/>
    </row>
    <row r="176" spans="22:41" x14ac:dyDescent="0.25">
      <c r="V176" s="189"/>
    </row>
    <row r="177" spans="22:22" x14ac:dyDescent="0.25">
      <c r="V177" s="189"/>
    </row>
    <row r="178" spans="22:22" x14ac:dyDescent="0.25">
      <c r="V178" s="189"/>
    </row>
    <row r="179" spans="22:22" x14ac:dyDescent="0.25">
      <c r="V179" s="189"/>
    </row>
    <row r="180" spans="22:22" x14ac:dyDescent="0.25">
      <c r="V180" s="189"/>
    </row>
    <row r="181" spans="22:22" x14ac:dyDescent="0.25">
      <c r="V181" s="189"/>
    </row>
    <row r="182" spans="22:22" x14ac:dyDescent="0.25">
      <c r="V182" s="189"/>
    </row>
    <row r="183" spans="22:22" x14ac:dyDescent="0.25">
      <c r="V183" s="189"/>
    </row>
    <row r="184" spans="22:22" x14ac:dyDescent="0.25">
      <c r="V184" s="189"/>
    </row>
    <row r="185" spans="22:22" x14ac:dyDescent="0.25">
      <c r="V185" s="189"/>
    </row>
    <row r="186" spans="22:22" x14ac:dyDescent="0.25">
      <c r="V186" s="189"/>
    </row>
    <row r="187" spans="22:22" x14ac:dyDescent="0.25">
      <c r="V187" s="189"/>
    </row>
    <row r="188" spans="22:22" x14ac:dyDescent="0.25">
      <c r="V188" s="189"/>
    </row>
    <row r="189" spans="22:22" x14ac:dyDescent="0.25">
      <c r="V189" s="189"/>
    </row>
    <row r="190" spans="22:22" x14ac:dyDescent="0.25">
      <c r="V190" s="189"/>
    </row>
    <row r="191" spans="22:22" x14ac:dyDescent="0.25">
      <c r="V191" s="189"/>
    </row>
    <row r="192" spans="22:22" x14ac:dyDescent="0.25">
      <c r="V192" s="189"/>
    </row>
    <row r="193" spans="22:22" x14ac:dyDescent="0.25">
      <c r="V193" s="189"/>
    </row>
    <row r="194" spans="22:22" x14ac:dyDescent="0.25">
      <c r="V194" s="189"/>
    </row>
    <row r="195" spans="22:22" x14ac:dyDescent="0.25">
      <c r="V195" s="189"/>
    </row>
    <row r="196" spans="22:22" x14ac:dyDescent="0.25">
      <c r="V196" s="189"/>
    </row>
    <row r="197" spans="22:22" x14ac:dyDescent="0.25">
      <c r="V197" s="189"/>
    </row>
    <row r="198" spans="22:22" x14ac:dyDescent="0.25">
      <c r="V198" s="189"/>
    </row>
    <row r="199" spans="22:22" x14ac:dyDescent="0.25">
      <c r="V199" s="189"/>
    </row>
    <row r="200" spans="22:22" x14ac:dyDescent="0.25">
      <c r="V200" s="189"/>
    </row>
    <row r="201" spans="22:22" x14ac:dyDescent="0.25">
      <c r="V201" s="189"/>
    </row>
    <row r="202" spans="22:22" x14ac:dyDescent="0.25">
      <c r="V202" s="189"/>
    </row>
    <row r="203" spans="22:22" x14ac:dyDescent="0.25">
      <c r="V203" s="189"/>
    </row>
    <row r="204" spans="22:22" x14ac:dyDescent="0.25">
      <c r="V204" s="189"/>
    </row>
    <row r="205" spans="22:22" x14ac:dyDescent="0.25">
      <c r="V205" s="189"/>
    </row>
    <row r="206" spans="22:22" x14ac:dyDescent="0.25">
      <c r="V206" s="189"/>
    </row>
    <row r="207" spans="22:22" x14ac:dyDescent="0.25">
      <c r="V207" s="189"/>
    </row>
    <row r="208" spans="22:22" x14ac:dyDescent="0.25">
      <c r="V208" s="189"/>
    </row>
    <row r="209" spans="22:22" x14ac:dyDescent="0.25">
      <c r="V209" s="189"/>
    </row>
    <row r="210" spans="22:22" x14ac:dyDescent="0.25">
      <c r="V210" s="189"/>
    </row>
    <row r="211" spans="22:22" x14ac:dyDescent="0.25">
      <c r="V211" s="189"/>
    </row>
    <row r="212" spans="22:22" x14ac:dyDescent="0.25">
      <c r="V212" s="189"/>
    </row>
    <row r="213" spans="22:22" x14ac:dyDescent="0.25">
      <c r="V213" s="189"/>
    </row>
    <row r="214" spans="22:22" x14ac:dyDescent="0.25">
      <c r="V214" s="189"/>
    </row>
    <row r="215" spans="22:22" x14ac:dyDescent="0.25">
      <c r="V215" s="189"/>
    </row>
    <row r="216" spans="22:22" x14ac:dyDescent="0.25">
      <c r="V216" s="189"/>
    </row>
    <row r="217" spans="22:22" x14ac:dyDescent="0.25">
      <c r="V217" s="189"/>
    </row>
    <row r="218" spans="22:22" x14ac:dyDescent="0.25">
      <c r="V218" s="189"/>
    </row>
    <row r="219" spans="22:22" x14ac:dyDescent="0.25">
      <c r="V219" s="189"/>
    </row>
    <row r="220" spans="22:22" x14ac:dyDescent="0.25">
      <c r="V220" s="189"/>
    </row>
    <row r="221" spans="22:22" x14ac:dyDescent="0.25">
      <c r="V221" s="189"/>
    </row>
    <row r="222" spans="22:22" x14ac:dyDescent="0.25">
      <c r="V222" s="189"/>
    </row>
    <row r="223" spans="22:22" x14ac:dyDescent="0.25">
      <c r="V223" s="189"/>
    </row>
    <row r="224" spans="22:22" x14ac:dyDescent="0.25">
      <c r="V224" s="189"/>
    </row>
    <row r="225" spans="22:22" x14ac:dyDescent="0.25">
      <c r="V225" s="189"/>
    </row>
    <row r="226" spans="22:22" x14ac:dyDescent="0.25">
      <c r="V226" s="189"/>
    </row>
    <row r="227" spans="22:22" x14ac:dyDescent="0.25">
      <c r="V227" s="189"/>
    </row>
    <row r="228" spans="22:22" x14ac:dyDescent="0.25">
      <c r="V228" s="189"/>
    </row>
    <row r="229" spans="22:22" x14ac:dyDescent="0.25">
      <c r="V229" s="189"/>
    </row>
    <row r="230" spans="22:22" x14ac:dyDescent="0.25">
      <c r="V230" s="189"/>
    </row>
    <row r="231" spans="22:22" x14ac:dyDescent="0.25">
      <c r="V231" s="189"/>
    </row>
    <row r="232" spans="22:22" x14ac:dyDescent="0.25">
      <c r="V232" s="189"/>
    </row>
    <row r="233" spans="22:22" x14ac:dyDescent="0.25">
      <c r="V233" s="189"/>
    </row>
    <row r="234" spans="22:22" x14ac:dyDescent="0.25">
      <c r="V234" s="189"/>
    </row>
    <row r="235" spans="22:22" x14ac:dyDescent="0.25">
      <c r="V235" s="189"/>
    </row>
    <row r="236" spans="22:22" x14ac:dyDescent="0.25">
      <c r="V236" s="189"/>
    </row>
    <row r="237" spans="22:22" x14ac:dyDescent="0.25">
      <c r="V237" s="189"/>
    </row>
    <row r="238" spans="22:22" x14ac:dyDescent="0.25">
      <c r="V238" s="189"/>
    </row>
    <row r="239" spans="22:22" x14ac:dyDescent="0.25">
      <c r="V239" s="189"/>
    </row>
    <row r="240" spans="22:22" x14ac:dyDescent="0.25">
      <c r="V240" s="189"/>
    </row>
    <row r="241" spans="22:22" x14ac:dyDescent="0.25">
      <c r="V241" s="189"/>
    </row>
    <row r="242" spans="22:22" x14ac:dyDescent="0.25">
      <c r="V242" s="189"/>
    </row>
    <row r="243" spans="22:22" x14ac:dyDescent="0.25">
      <c r="V243" s="189"/>
    </row>
    <row r="244" spans="22:22" x14ac:dyDescent="0.25">
      <c r="V244" s="189"/>
    </row>
    <row r="245" spans="22:22" x14ac:dyDescent="0.25">
      <c r="V245" s="189"/>
    </row>
    <row r="246" spans="22:22" x14ac:dyDescent="0.25">
      <c r="V246" s="189"/>
    </row>
    <row r="247" spans="22:22" x14ac:dyDescent="0.25">
      <c r="V247" s="189"/>
    </row>
    <row r="248" spans="22:22" x14ac:dyDescent="0.25">
      <c r="V248" s="189"/>
    </row>
    <row r="249" spans="22:22" x14ac:dyDescent="0.25">
      <c r="V249" s="189"/>
    </row>
    <row r="250" spans="22:22" x14ac:dyDescent="0.25">
      <c r="V250" s="189"/>
    </row>
    <row r="251" spans="22:22" x14ac:dyDescent="0.25">
      <c r="V251" s="189"/>
    </row>
    <row r="252" spans="22:22" x14ac:dyDescent="0.25">
      <c r="V252" s="189"/>
    </row>
    <row r="253" spans="22:22" x14ac:dyDescent="0.25">
      <c r="V253" s="189"/>
    </row>
    <row r="254" spans="22:22" x14ac:dyDescent="0.25">
      <c r="V254" s="189"/>
    </row>
    <row r="255" spans="22:22" x14ac:dyDescent="0.25">
      <c r="V255" s="189"/>
    </row>
    <row r="256" spans="22:22" x14ac:dyDescent="0.25">
      <c r="V256" s="189"/>
    </row>
    <row r="257" spans="22:22" x14ac:dyDescent="0.25">
      <c r="V257" s="189"/>
    </row>
    <row r="258" spans="22:22" x14ac:dyDescent="0.25">
      <c r="V258" s="189"/>
    </row>
    <row r="259" spans="22:22" x14ac:dyDescent="0.25">
      <c r="V259" s="189"/>
    </row>
    <row r="260" spans="22:22" x14ac:dyDescent="0.25">
      <c r="V260" s="189"/>
    </row>
    <row r="261" spans="22:22" x14ac:dyDescent="0.25">
      <c r="V261" s="189"/>
    </row>
    <row r="262" spans="22:22" x14ac:dyDescent="0.25">
      <c r="V262" s="189"/>
    </row>
    <row r="263" spans="22:22" x14ac:dyDescent="0.25">
      <c r="V263" s="189"/>
    </row>
    <row r="264" spans="22:22" x14ac:dyDescent="0.25">
      <c r="V264" s="189"/>
    </row>
    <row r="265" spans="22:22" x14ac:dyDescent="0.25">
      <c r="V265" s="189"/>
    </row>
    <row r="266" spans="22:22" x14ac:dyDescent="0.25">
      <c r="V266" s="189"/>
    </row>
    <row r="267" spans="22:22" x14ac:dyDescent="0.25">
      <c r="V267" s="189"/>
    </row>
    <row r="268" spans="22:22" x14ac:dyDescent="0.25">
      <c r="V268" s="189"/>
    </row>
    <row r="269" spans="22:22" x14ac:dyDescent="0.25">
      <c r="V269" s="189"/>
    </row>
    <row r="270" spans="22:22" x14ac:dyDescent="0.25">
      <c r="V270" s="189"/>
    </row>
    <row r="271" spans="22:22" x14ac:dyDescent="0.25">
      <c r="V271" s="189"/>
    </row>
    <row r="272" spans="22:22" x14ac:dyDescent="0.25">
      <c r="V272" s="189"/>
    </row>
    <row r="273" spans="22:22" x14ac:dyDescent="0.25">
      <c r="V273" s="189"/>
    </row>
    <row r="274" spans="22:22" x14ac:dyDescent="0.25">
      <c r="V274" s="189"/>
    </row>
    <row r="275" spans="22:22" x14ac:dyDescent="0.25">
      <c r="V275" s="189"/>
    </row>
    <row r="276" spans="22:22" x14ac:dyDescent="0.25">
      <c r="V276" s="189"/>
    </row>
    <row r="277" spans="22:22" x14ac:dyDescent="0.25">
      <c r="V277" s="189"/>
    </row>
    <row r="278" spans="22:22" x14ac:dyDescent="0.25">
      <c r="V278" s="189"/>
    </row>
    <row r="279" spans="22:22" x14ac:dyDescent="0.25">
      <c r="V279" s="189"/>
    </row>
    <row r="280" spans="22:22" x14ac:dyDescent="0.25">
      <c r="V280" s="189"/>
    </row>
    <row r="281" spans="22:22" x14ac:dyDescent="0.25">
      <c r="V281" s="189"/>
    </row>
    <row r="282" spans="22:22" x14ac:dyDescent="0.25">
      <c r="V282" s="189"/>
    </row>
    <row r="283" spans="22:22" x14ac:dyDescent="0.25">
      <c r="V283" s="189"/>
    </row>
    <row r="284" spans="22:22" x14ac:dyDescent="0.25">
      <c r="V284" s="189"/>
    </row>
    <row r="285" spans="22:22" x14ac:dyDescent="0.25">
      <c r="V285" s="189"/>
    </row>
    <row r="286" spans="22:22" x14ac:dyDescent="0.25">
      <c r="V286" s="189"/>
    </row>
    <row r="287" spans="22:22" x14ac:dyDescent="0.25">
      <c r="V287" s="189"/>
    </row>
    <row r="288" spans="22:22" x14ac:dyDescent="0.25">
      <c r="V288" s="189"/>
    </row>
    <row r="289" spans="22:22" x14ac:dyDescent="0.25">
      <c r="V289" s="189"/>
    </row>
    <row r="290" spans="22:22" x14ac:dyDescent="0.25">
      <c r="V290" s="189"/>
    </row>
    <row r="291" spans="22:22" x14ac:dyDescent="0.25">
      <c r="V291" s="189"/>
    </row>
    <row r="292" spans="22:22" x14ac:dyDescent="0.25">
      <c r="V292" s="189"/>
    </row>
    <row r="293" spans="22:22" x14ac:dyDescent="0.25">
      <c r="V293" s="189"/>
    </row>
    <row r="294" spans="22:22" x14ac:dyDescent="0.25">
      <c r="V294" s="189"/>
    </row>
    <row r="295" spans="22:22" x14ac:dyDescent="0.25">
      <c r="V295" s="189"/>
    </row>
    <row r="296" spans="22:22" x14ac:dyDescent="0.25">
      <c r="V296" s="189"/>
    </row>
    <row r="297" spans="22:22" x14ac:dyDescent="0.25">
      <c r="V297" s="189"/>
    </row>
    <row r="298" spans="22:22" x14ac:dyDescent="0.25">
      <c r="V298" s="189"/>
    </row>
    <row r="299" spans="22:22" x14ac:dyDescent="0.25">
      <c r="V299" s="189"/>
    </row>
    <row r="300" spans="22:22" x14ac:dyDescent="0.25">
      <c r="V300" s="189"/>
    </row>
    <row r="301" spans="22:22" x14ac:dyDescent="0.25">
      <c r="V301" s="189"/>
    </row>
    <row r="302" spans="22:22" x14ac:dyDescent="0.25">
      <c r="V302" s="189"/>
    </row>
    <row r="303" spans="22:22" x14ac:dyDescent="0.25">
      <c r="V303" s="189"/>
    </row>
    <row r="304" spans="22:22" x14ac:dyDescent="0.25">
      <c r="V304" s="189"/>
    </row>
    <row r="305" spans="22:22" x14ac:dyDescent="0.25">
      <c r="V305" s="189"/>
    </row>
    <row r="306" spans="22:22" x14ac:dyDescent="0.25">
      <c r="V306" s="189"/>
    </row>
    <row r="307" spans="22:22" x14ac:dyDescent="0.25">
      <c r="V307" s="189"/>
    </row>
    <row r="308" spans="22:22" x14ac:dyDescent="0.25">
      <c r="V308" s="189"/>
    </row>
    <row r="309" spans="22:22" x14ac:dyDescent="0.25">
      <c r="V309" s="189"/>
    </row>
    <row r="310" spans="22:22" x14ac:dyDescent="0.25">
      <c r="V310" s="189"/>
    </row>
    <row r="311" spans="22:22" x14ac:dyDescent="0.25">
      <c r="V311" s="189"/>
    </row>
    <row r="312" spans="22:22" x14ac:dyDescent="0.25">
      <c r="V312" s="189"/>
    </row>
    <row r="313" spans="22:22" x14ac:dyDescent="0.25">
      <c r="V313" s="189"/>
    </row>
    <row r="314" spans="22:22" x14ac:dyDescent="0.25">
      <c r="V314" s="189"/>
    </row>
    <row r="315" spans="22:22" x14ac:dyDescent="0.25">
      <c r="V315" s="189"/>
    </row>
    <row r="316" spans="22:22" x14ac:dyDescent="0.25">
      <c r="V316" s="189"/>
    </row>
    <row r="317" spans="22:22" x14ac:dyDescent="0.25">
      <c r="V317" s="189"/>
    </row>
    <row r="318" spans="22:22" x14ac:dyDescent="0.25">
      <c r="V318" s="189"/>
    </row>
    <row r="319" spans="22:22" x14ac:dyDescent="0.25">
      <c r="V319" s="189"/>
    </row>
    <row r="320" spans="22:22" x14ac:dyDescent="0.25">
      <c r="V320" s="189"/>
    </row>
    <row r="321" spans="22:22" x14ac:dyDescent="0.25">
      <c r="V321" s="189"/>
    </row>
    <row r="322" spans="22:22" x14ac:dyDescent="0.25">
      <c r="V322" s="189"/>
    </row>
    <row r="323" spans="22:22" x14ac:dyDescent="0.25">
      <c r="V323" s="189"/>
    </row>
    <row r="324" spans="22:22" x14ac:dyDescent="0.25">
      <c r="V324" s="189"/>
    </row>
    <row r="325" spans="22:22" x14ac:dyDescent="0.25">
      <c r="V325" s="189"/>
    </row>
    <row r="326" spans="22:22" x14ac:dyDescent="0.25">
      <c r="V326" s="189"/>
    </row>
    <row r="327" spans="22:22" x14ac:dyDescent="0.25">
      <c r="V327" s="189"/>
    </row>
    <row r="328" spans="22:22" x14ac:dyDescent="0.25">
      <c r="V328" s="189"/>
    </row>
    <row r="329" spans="22:22" x14ac:dyDescent="0.25">
      <c r="V329" s="189"/>
    </row>
    <row r="330" spans="22:22" x14ac:dyDescent="0.25">
      <c r="V330" s="189"/>
    </row>
    <row r="331" spans="22:22" x14ac:dyDescent="0.25">
      <c r="V331" s="189"/>
    </row>
    <row r="332" spans="22:22" x14ac:dyDescent="0.25">
      <c r="V332" s="189"/>
    </row>
    <row r="333" spans="22:22" x14ac:dyDescent="0.25">
      <c r="V333" s="189"/>
    </row>
    <row r="334" spans="22:22" x14ac:dyDescent="0.25">
      <c r="V334" s="189"/>
    </row>
    <row r="335" spans="22:22" x14ac:dyDescent="0.25">
      <c r="V335" s="189"/>
    </row>
    <row r="336" spans="22:22" x14ac:dyDescent="0.25">
      <c r="V336" s="189"/>
    </row>
    <row r="337" spans="22:22" x14ac:dyDescent="0.25">
      <c r="V337" s="189"/>
    </row>
    <row r="338" spans="22:22" x14ac:dyDescent="0.25">
      <c r="V338" s="189"/>
    </row>
    <row r="339" spans="22:22" x14ac:dyDescent="0.25">
      <c r="V339" s="189"/>
    </row>
    <row r="340" spans="22:22" x14ac:dyDescent="0.25">
      <c r="V340" s="189"/>
    </row>
    <row r="341" spans="22:22" x14ac:dyDescent="0.25">
      <c r="V341" s="189"/>
    </row>
    <row r="342" spans="22:22" x14ac:dyDescent="0.25">
      <c r="V342" s="189"/>
    </row>
    <row r="343" spans="22:22" x14ac:dyDescent="0.25">
      <c r="V343" s="189"/>
    </row>
    <row r="344" spans="22:22" x14ac:dyDescent="0.25">
      <c r="V344" s="189"/>
    </row>
    <row r="345" spans="22:22" x14ac:dyDescent="0.25">
      <c r="V345" s="189"/>
    </row>
    <row r="346" spans="22:22" x14ac:dyDescent="0.25">
      <c r="V346" s="189"/>
    </row>
    <row r="347" spans="22:22" x14ac:dyDescent="0.25">
      <c r="V347" s="189"/>
    </row>
    <row r="348" spans="22:22" x14ac:dyDescent="0.25">
      <c r="V348" s="189"/>
    </row>
    <row r="349" spans="22:22" x14ac:dyDescent="0.25">
      <c r="V349" s="189"/>
    </row>
    <row r="350" spans="22:22" x14ac:dyDescent="0.25">
      <c r="V350" s="189"/>
    </row>
    <row r="351" spans="22:22" x14ac:dyDescent="0.25">
      <c r="V351" s="189"/>
    </row>
    <row r="352" spans="22:22" x14ac:dyDescent="0.25">
      <c r="V352" s="189"/>
    </row>
    <row r="353" spans="22:22" x14ac:dyDescent="0.25">
      <c r="V353" s="189"/>
    </row>
    <row r="354" spans="22:22" x14ac:dyDescent="0.25">
      <c r="V354" s="189"/>
    </row>
    <row r="355" spans="22:22" x14ac:dyDescent="0.25">
      <c r="V355" s="189"/>
    </row>
    <row r="356" spans="22:22" x14ac:dyDescent="0.25">
      <c r="V356" s="189"/>
    </row>
    <row r="357" spans="22:22" x14ac:dyDescent="0.25">
      <c r="V357" s="189"/>
    </row>
    <row r="358" spans="22:22" x14ac:dyDescent="0.25">
      <c r="V358" s="189"/>
    </row>
    <row r="359" spans="22:22" x14ac:dyDescent="0.25">
      <c r="V359" s="189"/>
    </row>
    <row r="360" spans="22:22" x14ac:dyDescent="0.25">
      <c r="V360" s="189"/>
    </row>
    <row r="361" spans="22:22" x14ac:dyDescent="0.25">
      <c r="V361" s="189"/>
    </row>
    <row r="362" spans="22:22" x14ac:dyDescent="0.25">
      <c r="V362" s="189"/>
    </row>
    <row r="363" spans="22:22" x14ac:dyDescent="0.25">
      <c r="V363" s="189"/>
    </row>
    <row r="364" spans="22:22" x14ac:dyDescent="0.25">
      <c r="V364" s="189"/>
    </row>
    <row r="365" spans="22:22" x14ac:dyDescent="0.25">
      <c r="V365" s="189"/>
    </row>
    <row r="366" spans="22:22" x14ac:dyDescent="0.25">
      <c r="V366" s="189"/>
    </row>
    <row r="367" spans="22:22" x14ac:dyDescent="0.25">
      <c r="V367" s="189"/>
    </row>
    <row r="368" spans="22:22" x14ac:dyDescent="0.25">
      <c r="V368" s="189"/>
    </row>
    <row r="369" spans="22:22" x14ac:dyDescent="0.25">
      <c r="V369" s="189"/>
    </row>
    <row r="370" spans="22:22" x14ac:dyDescent="0.25">
      <c r="V370" s="189"/>
    </row>
    <row r="371" spans="22:22" x14ac:dyDescent="0.25">
      <c r="V371" s="189"/>
    </row>
    <row r="372" spans="22:22" x14ac:dyDescent="0.25">
      <c r="V372" s="189"/>
    </row>
    <row r="373" spans="22:22" x14ac:dyDescent="0.25">
      <c r="V373" s="189"/>
    </row>
    <row r="374" spans="22:22" x14ac:dyDescent="0.25">
      <c r="V374" s="189"/>
    </row>
    <row r="375" spans="22:22" x14ac:dyDescent="0.25">
      <c r="V375" s="189"/>
    </row>
    <row r="376" spans="22:22" x14ac:dyDescent="0.25">
      <c r="V376" s="189"/>
    </row>
    <row r="377" spans="22:22" x14ac:dyDescent="0.25">
      <c r="V377" s="189"/>
    </row>
    <row r="378" spans="22:22" x14ac:dyDescent="0.25">
      <c r="V378" s="189"/>
    </row>
    <row r="379" spans="22:22" x14ac:dyDescent="0.25">
      <c r="V379" s="189"/>
    </row>
    <row r="380" spans="22:22" x14ac:dyDescent="0.25">
      <c r="V380" s="189"/>
    </row>
    <row r="381" spans="22:22" x14ac:dyDescent="0.25">
      <c r="V381" s="189"/>
    </row>
    <row r="382" spans="22:22" x14ac:dyDescent="0.25">
      <c r="V382" s="189"/>
    </row>
    <row r="383" spans="22:22" x14ac:dyDescent="0.25">
      <c r="V383" s="189"/>
    </row>
    <row r="384" spans="22:22" x14ac:dyDescent="0.25">
      <c r="V384" s="189"/>
    </row>
    <row r="385" spans="22:22" x14ac:dyDescent="0.25">
      <c r="V385" s="189"/>
    </row>
    <row r="386" spans="22:22" x14ac:dyDescent="0.25">
      <c r="V386" s="189"/>
    </row>
    <row r="387" spans="22:22" x14ac:dyDescent="0.25">
      <c r="V387" s="189"/>
    </row>
    <row r="388" spans="22:22" x14ac:dyDescent="0.25">
      <c r="V388" s="189"/>
    </row>
    <row r="389" spans="22:22" x14ac:dyDescent="0.25">
      <c r="V389" s="189"/>
    </row>
    <row r="390" spans="22:22" x14ac:dyDescent="0.25">
      <c r="V390" s="189"/>
    </row>
    <row r="391" spans="22:22" x14ac:dyDescent="0.25">
      <c r="V391" s="189"/>
    </row>
    <row r="392" spans="22:22" x14ac:dyDescent="0.25">
      <c r="V392" s="189"/>
    </row>
    <row r="393" spans="22:22" x14ac:dyDescent="0.25">
      <c r="V393" s="189"/>
    </row>
    <row r="394" spans="22:22" x14ac:dyDescent="0.25">
      <c r="V394" s="189"/>
    </row>
    <row r="395" spans="22:22" x14ac:dyDescent="0.25">
      <c r="V395" s="189"/>
    </row>
    <row r="396" spans="22:22" x14ac:dyDescent="0.25">
      <c r="V396" s="189"/>
    </row>
    <row r="397" spans="22:22" x14ac:dyDescent="0.25">
      <c r="V397" s="189"/>
    </row>
    <row r="398" spans="22:22" x14ac:dyDescent="0.25">
      <c r="V398" s="189"/>
    </row>
    <row r="399" spans="22:22" x14ac:dyDescent="0.25">
      <c r="V399" s="189"/>
    </row>
    <row r="400" spans="22:22" x14ac:dyDescent="0.25">
      <c r="V400" s="189"/>
    </row>
    <row r="401" spans="22:22" x14ac:dyDescent="0.25">
      <c r="V401" s="189"/>
    </row>
    <row r="402" spans="22:22" x14ac:dyDescent="0.25">
      <c r="V402" s="189"/>
    </row>
    <row r="403" spans="22:22" x14ac:dyDescent="0.25">
      <c r="V403" s="189"/>
    </row>
    <row r="404" spans="22:22" x14ac:dyDescent="0.25">
      <c r="V404" s="189"/>
    </row>
    <row r="405" spans="22:22" x14ac:dyDescent="0.25">
      <c r="V405" s="189"/>
    </row>
    <row r="406" spans="22:22" x14ac:dyDescent="0.25">
      <c r="V406" s="189"/>
    </row>
    <row r="407" spans="22:22" x14ac:dyDescent="0.25">
      <c r="V407" s="189"/>
    </row>
    <row r="408" spans="22:22" x14ac:dyDescent="0.25">
      <c r="V408" s="189"/>
    </row>
    <row r="409" spans="22:22" x14ac:dyDescent="0.25">
      <c r="V409" s="189"/>
    </row>
    <row r="410" spans="22:22" x14ac:dyDescent="0.25">
      <c r="V410" s="189"/>
    </row>
    <row r="411" spans="22:22" x14ac:dyDescent="0.25">
      <c r="V411" s="189"/>
    </row>
    <row r="412" spans="22:22" x14ac:dyDescent="0.25">
      <c r="V412" s="189"/>
    </row>
    <row r="413" spans="22:22" x14ac:dyDescent="0.25">
      <c r="V413" s="189"/>
    </row>
    <row r="414" spans="22:22" x14ac:dyDescent="0.25">
      <c r="V414" s="189"/>
    </row>
  </sheetData>
  <mergeCells count="29"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  <mergeCell ref="I38:J38"/>
    <mergeCell ref="AA38:AB38"/>
    <mergeCell ref="L3:N3"/>
    <mergeCell ref="N4:N5"/>
    <mergeCell ref="S4:S5"/>
    <mergeCell ref="U4:U5"/>
    <mergeCell ref="P4:P5"/>
    <mergeCell ref="W4:W5"/>
    <mergeCell ref="AH3:AH5"/>
    <mergeCell ref="AG3:AG5"/>
    <mergeCell ref="AI3:AI5"/>
    <mergeCell ref="AJ3:AJ5"/>
    <mergeCell ref="AL3:AO3"/>
  </mergeCells>
  <phoneticPr fontId="0" type="noConversion"/>
  <conditionalFormatting sqref="B7:B11 E7:E11 H8:J18 K14:AI29 H19:I22 J19:J35 G23:I29 L30:AC30 H30:I34 AE30:AI34 G30:G37 K30:K37 AD30:AD37 AB31:AB32 Z31:Z33 L31:Y34 AA31:AA37 AC31:AC37">
    <cfRule type="expression" dxfId="97" priority="12">
      <formula>B7&lt;B6</formula>
    </cfRule>
  </conditionalFormatting>
  <conditionalFormatting sqref="B35:D35">
    <cfRule type="expression" dxfId="96" priority="33">
      <formula>B35&lt;#REF!</formula>
    </cfRule>
  </conditionalFormatting>
  <conditionalFormatting sqref="B6:E6">
    <cfRule type="expression" dxfId="95" priority="8">
      <formula>B6&lt;B5</formula>
    </cfRule>
  </conditionalFormatting>
  <conditionalFormatting sqref="B36:E37">
    <cfRule type="expression" dxfId="94" priority="534">
      <formula>B36&lt;B35</formula>
    </cfRule>
  </conditionalFormatting>
  <conditionalFormatting sqref="C7:D7 H7:J7 P7:R7 T7 W7 AB7 AE7:AI7 P8:P9 V8:V9 AD10:AD13">
    <cfRule type="expression" dxfId="93" priority="20">
      <formula>C7&lt;#REF!</formula>
    </cfRule>
  </conditionalFormatting>
  <conditionalFormatting sqref="C8:D11 B12:E34">
    <cfRule type="expression" dxfId="92" priority="18">
      <formula>B8&lt;B7</formula>
    </cfRule>
  </conditionalFormatting>
  <conditionalFormatting sqref="E35">
    <cfRule type="expression" dxfId="91" priority="30">
      <formula>E35&lt;E34</formula>
    </cfRule>
  </conditionalFormatting>
  <conditionalFormatting sqref="F6:F37">
    <cfRule type="expression" dxfId="90" priority="15">
      <formula>F6&lt;#REF!</formula>
    </cfRule>
  </conditionalFormatting>
  <conditionalFormatting sqref="H35:I35 P35:T35 W35:Y35 AB35 AE35:AI35 M35:M37">
    <cfRule type="expression" dxfId="89" priority="32">
      <formula>H35&lt;#REF!</formula>
    </cfRule>
  </conditionalFormatting>
  <conditionalFormatting sqref="H6:J6">
    <cfRule type="expression" dxfId="88" priority="2">
      <formula>H6&lt;H5</formula>
    </cfRule>
  </conditionalFormatting>
  <conditionalFormatting sqref="H36:J37">
    <cfRule type="expression" dxfId="87" priority="408">
      <formula>H36&lt;H35</formula>
    </cfRule>
  </conditionalFormatting>
  <conditionalFormatting sqref="L9:O9 K9:K11 L10:Z11 AB10:AC13 K12:Z13">
    <cfRule type="expression" dxfId="86" priority="13">
      <formula>K9&lt;K8</formula>
    </cfRule>
  </conditionalFormatting>
  <conditionalFormatting sqref="M6:M8 S6:S8 X6:X8 AD6:AD8">
    <cfRule type="expression" dxfId="85" priority="6">
      <formula>M6&lt;#REF!</formula>
    </cfRule>
  </conditionalFormatting>
  <conditionalFormatting sqref="N7:O8">
    <cfRule type="expression" dxfId="84" priority="11">
      <formula>N7&lt;N6</formula>
    </cfRule>
  </conditionalFormatting>
  <conditionalFormatting sqref="N6:P6 K6:L8 U6:U8 AC6:AC8">
    <cfRule type="expression" dxfId="83" priority="5">
      <formula>K6&lt;K5</formula>
    </cfRule>
  </conditionalFormatting>
  <conditionalFormatting sqref="P36">
    <cfRule type="expression" dxfId="82" priority="434">
      <formula>P36&lt;P35</formula>
    </cfRule>
  </conditionalFormatting>
  <conditionalFormatting sqref="Q6">
    <cfRule type="expression" dxfId="81" priority="9">
      <formula>Q6&lt;#REF!</formula>
    </cfRule>
  </conditionalFormatting>
  <conditionalFormatting sqref="Q36">
    <cfRule type="expression" dxfId="80" priority="537">
      <formula>Q36&lt;#REF!</formula>
    </cfRule>
  </conditionalFormatting>
  <conditionalFormatting sqref="Q8:R8 T8 W8 AB8 AE8:AI13">
    <cfRule type="expression" dxfId="79" priority="19">
      <formula>Q8&lt;Q7</formula>
    </cfRule>
  </conditionalFormatting>
  <conditionalFormatting sqref="Q9:U9">
    <cfRule type="expression" dxfId="78" priority="17">
      <formula>Q9&lt;Q8</formula>
    </cfRule>
  </conditionalFormatting>
  <conditionalFormatting sqref="R6">
    <cfRule type="expression" dxfId="77" priority="7">
      <formula>R6&lt;R5</formula>
    </cfRule>
  </conditionalFormatting>
  <conditionalFormatting sqref="R36">
    <cfRule type="expression" dxfId="76" priority="533">
      <formula>R36&lt;R35</formula>
    </cfRule>
  </conditionalFormatting>
  <conditionalFormatting sqref="S36:S37 X36:X37">
    <cfRule type="expression" dxfId="75" priority="520">
      <formula>S36&lt;#REF!</formula>
    </cfRule>
  </conditionalFormatting>
  <conditionalFormatting sqref="T6 V6:W6 AB6 AE6:AJ6 Y6:Z8">
    <cfRule type="expression" dxfId="74" priority="4">
      <formula>T6&lt;T5</formula>
    </cfRule>
  </conditionalFormatting>
  <conditionalFormatting sqref="U35:V35 Z35 L35:L37 N35:O37 T36:W37">
    <cfRule type="expression" dxfId="73" priority="31">
      <formula>L35&lt;L34</formula>
    </cfRule>
  </conditionalFormatting>
  <conditionalFormatting sqref="V7 AJ7:AJ36">
    <cfRule type="expression" dxfId="72" priority="10">
      <formula>V7&lt;V6</formula>
    </cfRule>
  </conditionalFormatting>
  <conditionalFormatting sqref="W9:Z9 AB9:AD9">
    <cfRule type="expression" dxfId="71" priority="14">
      <formula>W9&lt;W8</formula>
    </cfRule>
  </conditionalFormatting>
  <conditionalFormatting sqref="Z34:AB34">
    <cfRule type="expression" dxfId="70" priority="24">
      <formula>Z34&lt;Z33</formula>
    </cfRule>
  </conditionalFormatting>
  <conditionalFormatting sqref="AA6:AA8">
    <cfRule type="expression" dxfId="69" priority="1">
      <formula>AA6&lt;#REF!</formula>
    </cfRule>
  </conditionalFormatting>
  <conditionalFormatting sqref="AA6:AA13 G6:G22">
    <cfRule type="expression" dxfId="68" priority="3">
      <formula>G6&lt;G5</formula>
    </cfRule>
  </conditionalFormatting>
  <conditionalFormatting sqref="AA14:AA37">
    <cfRule type="expression" dxfId="67" priority="16">
      <formula>AA14&lt;#REF!</formula>
    </cfRule>
  </conditionalFormatting>
  <conditionalFormatting sqref="AA33:AB33">
    <cfRule type="expression" dxfId="66" priority="22">
      <formula>AA33&lt;AA32</formula>
    </cfRule>
  </conditionalFormatting>
  <conditionalFormatting sqref="AK6:AK12">
    <cfRule type="expression" dxfId="65" priority="410">
      <formula>AK6&lt;AK5</formula>
    </cfRule>
  </conditionalFormatting>
  <conditionalFormatting sqref="AK13:AL15">
    <cfRule type="expression" dxfId="64" priority="490">
      <formula>AK13&lt;#REF!</formula>
    </cfRule>
  </conditionalFormatting>
  <conditionalFormatting sqref="AL9:AL14 AL15:AN34 AK16:AK36 AE36:AI36 Y36:Z37 AB36:AB37 P37:R37 AE37:AK37">
    <cfRule type="expression" dxfId="63" priority="427">
      <formula>P9&lt;P8</formula>
    </cfRule>
  </conditionalFormatting>
  <conditionalFormatting sqref="AO9:AO34">
    <cfRule type="expression" dxfId="62" priority="435">
      <formula>AO9&lt;#REF!</formula>
    </cfRule>
  </conditionalFormatting>
  <pageMargins left="0.1" right="0.5" top="0.32" bottom="0.25" header="0.25" footer="0.25"/>
  <pageSetup paperSize="5" scale="25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U54"/>
  <sheetViews>
    <sheetView showGridLines="0" tabSelected="1" topLeftCell="A7" zoomScaleNormal="10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H21" sqref="H21"/>
    </sheetView>
  </sheetViews>
  <sheetFormatPr defaultRowHeight="13.2" x14ac:dyDescent="0.25"/>
  <cols>
    <col min="1" max="1" width="8.33203125" bestFit="1" customWidth="1"/>
    <col min="2" max="3" width="8.33203125" customWidth="1"/>
    <col min="4" max="4" width="15.5546875" customWidth="1"/>
    <col min="5" max="6" width="15.5546875" style="768" customWidth="1"/>
    <col min="7" max="7" width="15.5546875" style="782" customWidth="1"/>
    <col min="8" max="9" width="15.5546875" customWidth="1"/>
    <col min="10" max="10" width="13.5546875" customWidth="1"/>
    <col min="11" max="11" width="13.44140625" customWidth="1"/>
    <col min="12" max="12" width="13.5546875" customWidth="1"/>
    <col min="14" max="14" width="13.5546875" customWidth="1"/>
    <col min="17" max="17" width="9.109375" style="346"/>
    <col min="18" max="18" width="9.109375" style="362"/>
  </cols>
  <sheetData>
    <row r="2" spans="1:21" x14ac:dyDescent="0.25">
      <c r="K2" s="14" t="s">
        <v>1</v>
      </c>
    </row>
    <row r="3" spans="1:21" x14ac:dyDescent="0.25">
      <c r="K3" s="1" t="s">
        <v>0</v>
      </c>
    </row>
    <row r="5" spans="1:21" x14ac:dyDescent="0.25">
      <c r="A5" s="1" t="s">
        <v>2</v>
      </c>
      <c r="B5" s="1"/>
      <c r="C5" s="1"/>
      <c r="J5" s="3">
        <v>39295</v>
      </c>
      <c r="L5" s="3"/>
    </row>
    <row r="6" spans="1:21" ht="13.8" thickBot="1" x14ac:dyDescent="0.3"/>
    <row r="7" spans="1:21" ht="12.75" customHeight="1" x14ac:dyDescent="0.25">
      <c r="A7" s="903" t="s">
        <v>7</v>
      </c>
      <c r="B7" s="404"/>
      <c r="C7" s="404"/>
      <c r="D7" s="916" t="s">
        <v>258</v>
      </c>
      <c r="E7" s="919" t="s">
        <v>295</v>
      </c>
      <c r="F7" s="873"/>
      <c r="G7" s="913" t="s">
        <v>296</v>
      </c>
      <c r="H7" s="909" t="s">
        <v>259</v>
      </c>
      <c r="I7" s="909" t="s">
        <v>260</v>
      </c>
      <c r="J7" s="404" t="s">
        <v>3</v>
      </c>
      <c r="K7" s="404" t="s">
        <v>4</v>
      </c>
      <c r="L7" s="414" t="s">
        <v>56</v>
      </c>
      <c r="M7" s="910" t="s">
        <v>17</v>
      </c>
      <c r="N7" s="911"/>
      <c r="O7" s="911"/>
      <c r="P7" s="911"/>
      <c r="Q7" s="912"/>
      <c r="R7" s="907" t="s">
        <v>11</v>
      </c>
      <c r="S7" s="908"/>
      <c r="T7" s="908"/>
      <c r="U7" s="908"/>
    </row>
    <row r="8" spans="1:21" x14ac:dyDescent="0.25">
      <c r="A8" s="904"/>
      <c r="B8" s="405" t="s">
        <v>261</v>
      </c>
      <c r="C8" s="405" t="s">
        <v>262</v>
      </c>
      <c r="D8" s="917"/>
      <c r="E8" s="920"/>
      <c r="F8" s="874" t="s">
        <v>326</v>
      </c>
      <c r="G8" s="914"/>
      <c r="H8" s="909"/>
      <c r="I8" s="909"/>
      <c r="J8" s="404"/>
      <c r="K8" s="404"/>
      <c r="L8" s="414"/>
      <c r="M8" s="415"/>
      <c r="N8" s="404"/>
      <c r="O8" s="404"/>
      <c r="P8" s="404"/>
      <c r="Q8" s="424"/>
      <c r="R8" s="416" t="s">
        <v>14</v>
      </c>
      <c r="S8" s="404" t="s">
        <v>15</v>
      </c>
      <c r="T8" s="404" t="s">
        <v>9</v>
      </c>
      <c r="U8" s="404" t="s">
        <v>67</v>
      </c>
    </row>
    <row r="9" spans="1:21" x14ac:dyDescent="0.25">
      <c r="A9" s="905"/>
      <c r="B9" s="406"/>
      <c r="C9" s="406"/>
      <c r="D9" s="918"/>
      <c r="E9" s="921"/>
      <c r="F9" s="875"/>
      <c r="G9" s="915"/>
      <c r="H9" s="404" t="s">
        <v>60</v>
      </c>
      <c r="I9" s="404" t="s">
        <v>60</v>
      </c>
      <c r="J9" s="404" t="s">
        <v>61</v>
      </c>
      <c r="K9" s="404" t="s">
        <v>62</v>
      </c>
      <c r="L9" s="414" t="s">
        <v>66</v>
      </c>
      <c r="M9" s="415" t="s">
        <v>5</v>
      </c>
      <c r="N9" s="404" t="s">
        <v>6</v>
      </c>
      <c r="O9" s="404" t="s">
        <v>8</v>
      </c>
      <c r="P9" s="404" t="s">
        <v>10</v>
      </c>
      <c r="Q9" s="424" t="s">
        <v>12</v>
      </c>
      <c r="R9" s="416" t="s">
        <v>13</v>
      </c>
      <c r="S9" s="404" t="s">
        <v>65</v>
      </c>
      <c r="T9" s="404" t="s">
        <v>16</v>
      </c>
      <c r="U9" s="404" t="s">
        <v>68</v>
      </c>
    </row>
    <row r="10" spans="1:21" s="35" customFormat="1" ht="15" x14ac:dyDescent="0.25">
      <c r="A10" s="789">
        <v>1</v>
      </c>
      <c r="B10" s="789">
        <f>IF('Entries December''25'!I7&lt;'Entries December''25'!I6,"0",(IF('Entries December''25'!I7&gt;='Entries December''25'!I6,'Entries December''25'!I7-'Entries December''25'!I6,(999999-'Entries December''25'!I6)+'Entries December''25'!I7+1)))</f>
        <v>6358</v>
      </c>
      <c r="C10" s="789" t="str">
        <f>IF('Entries December''25'!J7&lt;='Entries December''25'!J6,"0",IF('Entries December''25'!J7&gt;='Entries December''25'!J6,'Entries December''25'!J7-'Entries December''25'!J6,(999999-'Entries December''25'!J6)+'Entries December''25'!J7+1))</f>
        <v>0</v>
      </c>
      <c r="D10" s="790">
        <f>B10+C10</f>
        <v>6358</v>
      </c>
      <c r="E10" s="849">
        <v>1096.9000000000001</v>
      </c>
      <c r="F10" s="849">
        <f>D10+E10</f>
        <v>7454.9</v>
      </c>
      <c r="G10" s="791">
        <f t="shared" ref="G10:G40" si="0">E10/(D10+E10)</f>
        <v>0.14713812391849657</v>
      </c>
      <c r="H10" s="792">
        <f>IF('Entries December''25'!K7&lt;'Entries December''25'!K6,"0",IF('Entries December''25'!K7&gt;='Entries December''25'!K6,'Entries December''25'!K7-'Entries December''25'!K6,(999999-'Entries December''25'!K6)+'Entries December''25'!K7+1))</f>
        <v>0</v>
      </c>
      <c r="I10" s="790">
        <f>D10+H10</f>
        <v>6358</v>
      </c>
      <c r="J10" s="792">
        <f>'Water '!Z7*10</f>
        <v>2410</v>
      </c>
      <c r="K10" s="790">
        <f>IF('Entries December''25'!B7-'Entries December''25'!B6&lt;1,"0",'Entries December''25'!B7-'Entries December''25'!B6)</f>
        <v>2790</v>
      </c>
      <c r="L10" s="793">
        <f>'CO2'!E7</f>
        <v>3000</v>
      </c>
      <c r="M10" s="794">
        <f>+'PROD.FIG. '!F5</f>
        <v>0</v>
      </c>
      <c r="N10" s="790">
        <f>+'PROD.FIG. '!C5</f>
        <v>0</v>
      </c>
      <c r="O10" s="790">
        <f>+'PROD.FIG. '!D5</f>
        <v>0</v>
      </c>
      <c r="P10" s="790">
        <f>+'PROD.FIG. '!E5</f>
        <v>0</v>
      </c>
      <c r="Q10" s="795" cm="1">
        <f t="array" ref="Q10:Q40">TRANSPOSE('Daily KPIs'!B9:AF9)</f>
        <v>455.13600000000002</v>
      </c>
      <c r="R10" s="417">
        <f>IF(Q10=0,0,I10/Q10)</f>
        <v>13.969450889404484</v>
      </c>
      <c r="S10" s="417">
        <f>IF(R10=0,0,J10/Q10)</f>
        <v>5.2951205793433171</v>
      </c>
      <c r="T10" s="417">
        <f>IF(S10=0,0,K10/Q10)</f>
        <v>6.1300358574140477</v>
      </c>
      <c r="U10" s="417">
        <f>IF(T10=0,0,L10/Q10)</f>
        <v>6.5914364058215567</v>
      </c>
    </row>
    <row r="11" spans="1:21" ht="15" x14ac:dyDescent="0.25">
      <c r="A11" s="789">
        <v>2</v>
      </c>
      <c r="B11" s="789">
        <f>IF('Entries December''25'!I8&lt;'Entries December''25'!I7,"0",(IF('Entries December''25'!I8&gt;='Entries December''25'!I7,'Entries December''25'!I8-'Entries December''25'!I7,(999999-'Entries December''25'!I7)+'Entries December''25'!I8+1)))</f>
        <v>6436</v>
      </c>
      <c r="C11" s="789" t="str">
        <f>IF('Entries December''25'!J8&lt;='Entries December''25'!J7,"0",IF('Entries December''25'!J8&gt;='Entries December''25'!J7,'Entries December''25'!J8-'Entries December''25'!J7,(999999-'Entries December''25'!J7)+'Entries December''25'!J8+1))</f>
        <v>0</v>
      </c>
      <c r="D11" s="790">
        <f t="shared" ref="D11:D13" si="1">B11+C11</f>
        <v>6436</v>
      </c>
      <c r="E11" s="849">
        <v>891.6</v>
      </c>
      <c r="F11" s="849">
        <f t="shared" ref="F11:F40" si="2">D11+E11</f>
        <v>7327.6</v>
      </c>
      <c r="G11" s="791">
        <f t="shared" si="0"/>
        <v>0.12167694743162837</v>
      </c>
      <c r="H11" s="792">
        <f>IF('Entries December''25'!K8&lt;'Entries December''25'!K7,"0",IF('Entries December''25'!K8&gt;='Entries December''25'!K7,'Entries December''25'!K8-'Entries December''25'!K7,(999999-'Entries December''25'!K7)+'Entries December''25'!K8+1))</f>
        <v>0</v>
      </c>
      <c r="I11" s="790">
        <f t="shared" ref="I11:I40" si="3">D11+H11</f>
        <v>6436</v>
      </c>
      <c r="J11" s="792">
        <f>'Water '!Z8*10</f>
        <v>3690</v>
      </c>
      <c r="K11" s="790">
        <f>IF('Entries December''25'!B8-'Entries December''25'!B7&lt;1,"0",'Entries December''25'!B8-'Entries December''25'!B7)</f>
        <v>3130</v>
      </c>
      <c r="L11" s="793">
        <f>'CO2'!E8</f>
        <v>1200</v>
      </c>
      <c r="M11" s="794">
        <f>+'PROD.FIG. '!F6</f>
        <v>0</v>
      </c>
      <c r="N11" s="790">
        <f>+'PROD.FIG. '!C6</f>
        <v>0</v>
      </c>
      <c r="O11" s="790">
        <f>+'PROD.FIG. '!D6</f>
        <v>0</v>
      </c>
      <c r="P11" s="790">
        <f>+'PROD.FIG. '!E6</f>
        <v>0</v>
      </c>
      <c r="Q11" s="795">
        <v>211.92600000000002</v>
      </c>
      <c r="R11" s="417">
        <f t="shared" ref="R11:R40" si="4">IF(Q11=0,0,I11/Q11)</f>
        <v>30.369091097836034</v>
      </c>
      <c r="S11" s="417">
        <f t="shared" ref="S11:S40" si="5">IF(R11=0,0,J11/Q11)</f>
        <v>17.411738059511336</v>
      </c>
      <c r="T11" s="417">
        <f t="shared" ref="T11:T40" si="6">IF(S11=0,0,K11/Q11)</f>
        <v>14.769306267281975</v>
      </c>
      <c r="U11" s="417">
        <f t="shared" ref="U11:U40" si="7">IF(T11=0,0,L11/Q11)</f>
        <v>5.6623538404914919</v>
      </c>
    </row>
    <row r="12" spans="1:21" s="35" customFormat="1" ht="15" x14ac:dyDescent="0.25">
      <c r="A12" s="789">
        <v>3</v>
      </c>
      <c r="B12" s="789">
        <f>IF('Entries December''25'!I9&lt;'Entries December''25'!I8,"0",(IF('Entries December''25'!I9&gt;='Entries December''25'!I8,'Entries December''25'!I9-'Entries December''25'!I8,(999999-'Entries December''25'!I8)+'Entries December''25'!I9+1)))</f>
        <v>7560</v>
      </c>
      <c r="C12" s="789" t="str">
        <f>IF('Entries December''25'!J9&lt;='Entries December''25'!J8,"0",IF('Entries December''25'!J9&gt;='Entries December''25'!J8,'Entries December''25'!J9-'Entries December''25'!J8,(999999-'Entries December''25'!J8)+'Entries December''25'!J9+1))</f>
        <v>0</v>
      </c>
      <c r="D12" s="790">
        <f t="shared" si="1"/>
        <v>7560</v>
      </c>
      <c r="E12" s="849">
        <v>373.6</v>
      </c>
      <c r="F12" s="849">
        <f t="shared" si="2"/>
        <v>7933.6</v>
      </c>
      <c r="G12" s="791">
        <f t="shared" si="0"/>
        <v>4.7090854088938185E-2</v>
      </c>
      <c r="H12" s="792">
        <f>IF('Entries December''25'!K9&lt;'Entries December''25'!K8,"0",IF('Entries December''25'!K9&gt;='Entries December''25'!K8,'Entries December''25'!K9-'Entries December''25'!K8,(999999-'Entries December''25'!K8)+'Entries December''25'!K9+1))</f>
        <v>0</v>
      </c>
      <c r="I12" s="790">
        <f t="shared" si="3"/>
        <v>7560</v>
      </c>
      <c r="J12" s="792">
        <f>'Water '!Z9*10</f>
        <v>3480</v>
      </c>
      <c r="K12" s="790">
        <f>IF('Entries December''25'!B9-'Entries December''25'!B8&lt;1,"0",'Entries December''25'!B9-'Entries December''25'!B8)</f>
        <v>3150</v>
      </c>
      <c r="L12" s="793">
        <f>'CO2'!E9</f>
        <v>1700</v>
      </c>
      <c r="M12" s="794">
        <f>+'PROD.FIG. '!F7</f>
        <v>0</v>
      </c>
      <c r="N12" s="790">
        <f>+'PROD.FIG. '!C7</f>
        <v>0</v>
      </c>
      <c r="O12" s="790">
        <f>+'PROD.FIG. '!D7</f>
        <v>0</v>
      </c>
      <c r="P12" s="790">
        <f>+'PROD.FIG. '!E7</f>
        <v>0</v>
      </c>
      <c r="Q12" s="795">
        <v>346.5</v>
      </c>
      <c r="R12" s="417">
        <f t="shared" si="4"/>
        <v>21.818181818181817</v>
      </c>
      <c r="S12" s="417">
        <f t="shared" si="5"/>
        <v>10.043290043290042</v>
      </c>
      <c r="T12" s="417">
        <f t="shared" si="6"/>
        <v>9.0909090909090917</v>
      </c>
      <c r="U12" s="417">
        <f t="shared" si="7"/>
        <v>4.9062049062049065</v>
      </c>
    </row>
    <row r="13" spans="1:21" ht="15" x14ac:dyDescent="0.25">
      <c r="A13" s="789">
        <v>4</v>
      </c>
      <c r="B13" s="789">
        <f>IF('Entries December''25'!I10&lt;'Entries December''25'!I9,"0",(IF('Entries December''25'!I10&gt;='Entries December''25'!I9,'Entries December''25'!I10-'Entries December''25'!I9,(999999-'Entries December''25'!I9)+'Entries December''25'!I10+1)))</f>
        <v>8026</v>
      </c>
      <c r="C13" s="789" t="str">
        <f>IF('Entries December''25'!J10&lt;='Entries December''25'!J9,"0",IF('Entries December''25'!J10&gt;='Entries December''25'!J9,'Entries December''25'!J10-'Entries December''25'!J9,(999999-'Entries December''25'!J9)+'Entries December''25'!J10+1))</f>
        <v>0</v>
      </c>
      <c r="D13" s="790">
        <f t="shared" si="1"/>
        <v>8026</v>
      </c>
      <c r="E13" s="849">
        <v>501.5</v>
      </c>
      <c r="F13" s="849">
        <f t="shared" si="2"/>
        <v>8527.5</v>
      </c>
      <c r="G13" s="791">
        <f t="shared" si="0"/>
        <v>5.8809733216065668E-2</v>
      </c>
      <c r="H13" s="792">
        <f>IF('Entries December''25'!K10&lt;'Entries December''25'!K9,"0",IF('Entries December''25'!K10&gt;='Entries December''25'!K9,'Entries December''25'!K10-'Entries December''25'!K9,(999999-'Entries December''25'!K9)+'Entries December''25'!K10+1))</f>
        <v>0</v>
      </c>
      <c r="I13" s="790">
        <f t="shared" si="3"/>
        <v>8026</v>
      </c>
      <c r="J13" s="792">
        <f>'Water '!Z10*10</f>
        <v>4250</v>
      </c>
      <c r="K13" s="790">
        <f>IF('Entries December''25'!B10-'Entries December''25'!B9&lt;1,"0",'Entries December''25'!B10-'Entries December''25'!B9)</f>
        <v>2920</v>
      </c>
      <c r="L13" s="793">
        <f>'CO2'!E10</f>
        <v>1600</v>
      </c>
      <c r="M13" s="794">
        <f>+'PROD.FIG. '!F8</f>
        <v>0</v>
      </c>
      <c r="N13" s="790">
        <f>+'PROD.FIG. '!C8</f>
        <v>0</v>
      </c>
      <c r="O13" s="790">
        <f>+'PROD.FIG. '!D8</f>
        <v>0</v>
      </c>
      <c r="P13" s="790">
        <f>+'PROD.FIG. '!E8</f>
        <v>0</v>
      </c>
      <c r="Q13" s="795">
        <v>253.83600000000001</v>
      </c>
      <c r="R13" s="417">
        <f t="shared" si="4"/>
        <v>31.618840511196204</v>
      </c>
      <c r="S13" s="417">
        <f t="shared" si="5"/>
        <v>16.74309396618289</v>
      </c>
      <c r="T13" s="417">
        <f t="shared" si="6"/>
        <v>11.503490442648008</v>
      </c>
      <c r="U13" s="417">
        <f t="shared" si="7"/>
        <v>6.3032824343276754</v>
      </c>
    </row>
    <row r="14" spans="1:21" s="35" customFormat="1" ht="15" x14ac:dyDescent="0.25">
      <c r="A14" s="789">
        <v>5</v>
      </c>
      <c r="B14" s="789">
        <f>IF('Entries December''25'!I11&lt;'Entries December''25'!I10,"0",(IF('Entries December''25'!I11&gt;='Entries December''25'!I10,'Entries December''25'!I11-'Entries December''25'!I10,(999999-'Entries December''25'!I10)+'Entries December''25'!I11+1)))</f>
        <v>5885</v>
      </c>
      <c r="C14" s="789" t="str">
        <f>IF('Entries December''25'!J11&lt;='Entries December''25'!J10,"0",IF('Entries December''25'!J11&gt;='Entries December''25'!J10,'Entries December''25'!J11-'Entries December''25'!J10,(999999-'Entries December''25'!J10)+'Entries December''25'!J11+1))</f>
        <v>0</v>
      </c>
      <c r="D14" s="790">
        <f t="shared" ref="D14:D40" si="8">B14+C14</f>
        <v>5885</v>
      </c>
      <c r="E14" s="849">
        <v>1161.0999999999999</v>
      </c>
      <c r="F14" s="849">
        <f t="shared" si="2"/>
        <v>7046.1</v>
      </c>
      <c r="G14" s="791">
        <f t="shared" si="0"/>
        <v>0.16478619378095682</v>
      </c>
      <c r="H14" s="792">
        <f>IF('Entries December''25'!K11&lt;'Entries December''25'!K10,"0",IF('Entries December''25'!K11&gt;='Entries December''25'!K10,'Entries December''25'!K11-'Entries December''25'!K10,(999999-'Entries December''25'!K10)+'Entries December''25'!K11+1))</f>
        <v>0</v>
      </c>
      <c r="I14" s="790">
        <f t="shared" si="3"/>
        <v>5885</v>
      </c>
      <c r="J14" s="792">
        <f>'Water '!Z11*10</f>
        <v>4020</v>
      </c>
      <c r="K14" s="790">
        <f>IF('Entries December''25'!B11-'Entries December''25'!B10&lt;1,"0",'Entries December''25'!B11-'Entries December''25'!B10)</f>
        <v>2820</v>
      </c>
      <c r="L14" s="793">
        <f>'CO2'!E11</f>
        <v>1600</v>
      </c>
      <c r="M14" s="794">
        <f>+'PROD.FIG. '!F9</f>
        <v>0</v>
      </c>
      <c r="N14" s="790">
        <f>+'PROD.FIG. '!C9</f>
        <v>0</v>
      </c>
      <c r="O14" s="790">
        <f>+'PROD.FIG. '!D9</f>
        <v>0</v>
      </c>
      <c r="P14" s="790">
        <f>+'PROD.FIG. '!E9</f>
        <v>0</v>
      </c>
      <c r="Q14" s="795">
        <v>262.74600000000004</v>
      </c>
      <c r="R14" s="417">
        <f t="shared" si="4"/>
        <v>22.39805743950431</v>
      </c>
      <c r="S14" s="417">
        <f t="shared" si="5"/>
        <v>15.299947477792239</v>
      </c>
      <c r="T14" s="417">
        <f t="shared" si="6"/>
        <v>10.732798976958735</v>
      </c>
      <c r="U14" s="417">
        <f t="shared" si="7"/>
        <v>6.089531334444672</v>
      </c>
    </row>
    <row r="15" spans="1:21" ht="15" x14ac:dyDescent="0.25">
      <c r="A15" s="775">
        <v>6</v>
      </c>
      <c r="B15" s="775">
        <f>IF('Entries December''25'!I12&lt;'Entries December''25'!I11,"0",(IF('Entries December''25'!I12&gt;='Entries December''25'!I11,'Entries December''25'!I12-'Entries December''25'!I11,(999999-'Entries December''25'!I11)+'Entries December''25'!I12+1)))</f>
        <v>6825</v>
      </c>
      <c r="C15" s="775" t="str">
        <f>IF('Entries December''25'!J12&lt;='Entries December''25'!J11,"0",IF('Entries December''25'!J12&gt;='Entries December''25'!J11,'Entries December''25'!J12-'Entries December''25'!J11,(999999-'Entries December''25'!J11)+'Entries December''25'!J12+1))</f>
        <v>0</v>
      </c>
      <c r="D15" s="776">
        <f t="shared" si="8"/>
        <v>6825</v>
      </c>
      <c r="E15" s="850">
        <v>1390.7</v>
      </c>
      <c r="F15" s="849">
        <f t="shared" si="2"/>
        <v>8215.7000000000007</v>
      </c>
      <c r="G15" s="791">
        <f t="shared" si="0"/>
        <v>0.16927346422094283</v>
      </c>
      <c r="H15" s="777">
        <f>IF('Entries December''25'!K12&lt;'Entries December''25'!K11,"0",IF('Entries December''25'!K12&gt;='Entries December''25'!K11,'Entries December''25'!K12-'Entries December''25'!K11,(999999-'Entries December''25'!K11)+'Entries December''25'!K12+1))</f>
        <v>0</v>
      </c>
      <c r="I15" s="776">
        <f t="shared" si="3"/>
        <v>6825</v>
      </c>
      <c r="J15" s="777">
        <f>'Water '!Z12*10</f>
        <v>3650</v>
      </c>
      <c r="K15" s="776">
        <f>IF('Entries December''25'!B12-'Entries December''25'!B11&lt;1,"0",'Entries December''25'!B12-'Entries December''25'!B11)</f>
        <v>3370</v>
      </c>
      <c r="L15" s="778">
        <f>'CO2'!E12</f>
        <v>800</v>
      </c>
      <c r="M15" s="779">
        <f>+'PROD.FIG. '!F10</f>
        <v>0</v>
      </c>
      <c r="N15" s="776">
        <f>+'PROD.FIG. '!C10</f>
        <v>0</v>
      </c>
      <c r="O15" s="776">
        <f>+'PROD.FIG. '!D10</f>
        <v>0</v>
      </c>
      <c r="P15" s="776">
        <f>+'PROD.FIG. '!E10</f>
        <v>0</v>
      </c>
      <c r="Q15" s="780">
        <v>302.67599999999999</v>
      </c>
      <c r="R15" s="417">
        <f t="shared" si="4"/>
        <v>22.54886413194307</v>
      </c>
      <c r="S15" s="417">
        <f t="shared" si="5"/>
        <v>12.059099499134389</v>
      </c>
      <c r="T15" s="417">
        <f t="shared" si="6"/>
        <v>11.134017893721339</v>
      </c>
      <c r="U15" s="417">
        <f t="shared" si="7"/>
        <v>2.6430903011801399</v>
      </c>
    </row>
    <row r="16" spans="1:21" s="35" customFormat="1" ht="15" x14ac:dyDescent="0.25">
      <c r="A16" s="775">
        <v>7</v>
      </c>
      <c r="B16" s="775">
        <f>IF('Entries December''25'!I13&lt;'Entries December''25'!I12,"0",(IF('Entries December''25'!I13&gt;='Entries December''25'!I12,'Entries December''25'!I13-'Entries December''25'!I12,(999999-'Entries December''25'!I12)+'Entries December''25'!I13+1)))</f>
        <v>7554</v>
      </c>
      <c r="C16" s="775" t="str">
        <f>IF('Entries December''25'!J13&lt;='Entries December''25'!J12,"0",IF('Entries December''25'!J13&gt;='Entries December''25'!J12,'Entries December''25'!J13-'Entries December''25'!J12,(999999-'Entries December''25'!J12)+'Entries December''25'!J13+1))</f>
        <v>0</v>
      </c>
      <c r="D16" s="776">
        <f t="shared" si="8"/>
        <v>7554</v>
      </c>
      <c r="E16" s="850">
        <v>808.8</v>
      </c>
      <c r="F16" s="849">
        <f t="shared" si="2"/>
        <v>8362.7999999999993</v>
      </c>
      <c r="G16" s="791">
        <f t="shared" si="0"/>
        <v>9.6714019228009762E-2</v>
      </c>
      <c r="H16" s="777">
        <f>IF('Entries December''25'!K13&lt;'Entries December''25'!K12,"0",IF('Entries December''25'!K13&gt;='Entries December''25'!K12,'Entries December''25'!K13-'Entries December''25'!K12,(999999-'Entries December''25'!K12)+'Entries December''25'!K13+1))</f>
        <v>0</v>
      </c>
      <c r="I16" s="776">
        <f t="shared" si="3"/>
        <v>7554</v>
      </c>
      <c r="J16" s="777">
        <f>'Water '!Z13*10</f>
        <v>2390</v>
      </c>
      <c r="K16" s="776">
        <f>IF('Entries December''25'!B13-'Entries December''25'!B12&lt;1,"0",'Entries December''25'!B13-'Entries December''25'!B12)</f>
        <v>3420</v>
      </c>
      <c r="L16" s="778">
        <f>'CO2'!E13</f>
        <v>2900</v>
      </c>
      <c r="M16" s="779">
        <f>+'PROD.FIG. '!F11</f>
        <v>0</v>
      </c>
      <c r="N16" s="776">
        <f>+'PROD.FIG. '!C11</f>
        <v>0</v>
      </c>
      <c r="O16" s="776">
        <f>+'PROD.FIG. '!D11</f>
        <v>0</v>
      </c>
      <c r="P16" s="776">
        <f>+'PROD.FIG. '!E11</f>
        <v>0</v>
      </c>
      <c r="Q16" s="780">
        <v>388.55040000000002</v>
      </c>
      <c r="R16" s="417">
        <f t="shared" si="4"/>
        <v>19.441493304343528</v>
      </c>
      <c r="S16" s="417">
        <f t="shared" si="5"/>
        <v>6.1510681754542009</v>
      </c>
      <c r="T16" s="417">
        <f t="shared" si="6"/>
        <v>8.8019469288926224</v>
      </c>
      <c r="U16" s="417">
        <f t="shared" si="7"/>
        <v>7.4636392087101182</v>
      </c>
    </row>
    <row r="17" spans="1:21" ht="15" x14ac:dyDescent="0.25">
      <c r="A17" s="789">
        <v>8</v>
      </c>
      <c r="B17" s="789">
        <f>IF('Entries December''25'!I14&lt;'Entries December''25'!I13,"0",(IF('Entries December''25'!I14&gt;='Entries December''25'!I13,'Entries December''25'!I14-'Entries December''25'!I13,(999999-'Entries December''25'!I13)+'Entries December''25'!I14+1)))</f>
        <v>7330</v>
      </c>
      <c r="C17" s="789" t="str">
        <f>IF('Entries December''25'!J14&lt;='Entries December''25'!J13,"0",IF('Entries December''25'!J14&gt;='Entries December''25'!J13,'Entries December''25'!J14-'Entries December''25'!J13,(999999-'Entries December''25'!J13)+'Entries December''25'!J14+1))</f>
        <v>0</v>
      </c>
      <c r="D17" s="790">
        <f t="shared" si="8"/>
        <v>7330</v>
      </c>
      <c r="E17" s="849">
        <v>1313.3</v>
      </c>
      <c r="F17" s="849">
        <f t="shared" si="2"/>
        <v>8643.2999999999993</v>
      </c>
      <c r="G17" s="791">
        <f t="shared" si="0"/>
        <v>0.15194428054099707</v>
      </c>
      <c r="H17" s="792">
        <f>IF('Entries December''25'!K14&lt;'Entries December''25'!K13,"0",IF('Entries December''25'!K14&gt;='Entries December''25'!K13,'Entries December''25'!K14-'Entries December''25'!K13,(999999-'Entries December''25'!K13)+'Entries December''25'!K14+1))</f>
        <v>0</v>
      </c>
      <c r="I17" s="790">
        <f t="shared" si="3"/>
        <v>7330</v>
      </c>
      <c r="J17" s="792">
        <f>'Water '!Z14*10</f>
        <v>3220</v>
      </c>
      <c r="K17" s="790">
        <f>IF('Entries December''25'!B14-'Entries December''25'!B13&lt;1,"0",'Entries December''25'!B14-'Entries December''25'!B13)</f>
        <v>3630</v>
      </c>
      <c r="L17" s="793">
        <f>'CO2'!E14</f>
        <v>2000</v>
      </c>
      <c r="M17" s="794">
        <f>+'PROD.FIG. '!F12</f>
        <v>0</v>
      </c>
      <c r="N17" s="790">
        <f>+'PROD.FIG. '!C12</f>
        <v>0</v>
      </c>
      <c r="O17" s="790">
        <f>+'PROD.FIG. '!D12</f>
        <v>0</v>
      </c>
      <c r="P17" s="790">
        <f>+'PROD.FIG. '!E12</f>
        <v>0</v>
      </c>
      <c r="Q17" s="795">
        <v>447.88440000000003</v>
      </c>
      <c r="R17" s="417">
        <f t="shared" si="4"/>
        <v>16.365830111519845</v>
      </c>
      <c r="S17" s="417">
        <f>IF(R17=0,0,J17/Q17)</f>
        <v>7.1893551103811602</v>
      </c>
      <c r="T17" s="417">
        <f t="shared" si="6"/>
        <v>8.1047698915166499</v>
      </c>
      <c r="U17" s="417">
        <f t="shared" si="7"/>
        <v>4.4654379567584845</v>
      </c>
    </row>
    <row r="18" spans="1:21" s="35" customFormat="1" ht="15" x14ac:dyDescent="0.25">
      <c r="A18" s="789">
        <v>9</v>
      </c>
      <c r="B18" s="789">
        <f>IF('Entries December''25'!I15&lt;'Entries December''25'!I14,"0",(IF('Entries December''25'!I15&gt;='Entries December''25'!I14,'Entries December''25'!I15-'Entries December''25'!I14,(999999-'Entries December''25'!I14)+'Entries December''25'!I15+1)))</f>
        <v>6425</v>
      </c>
      <c r="C18" s="789" t="str">
        <f>IF('Entries December''25'!J15&lt;='Entries December''25'!J14,"0",IF('Entries December''25'!J15&gt;='Entries December''25'!J14,'Entries December''25'!J15-'Entries December''25'!J14,(999999-'Entries December''25'!J14)+'Entries December''25'!J15+1))</f>
        <v>0</v>
      </c>
      <c r="D18" s="790">
        <f t="shared" si="8"/>
        <v>6425</v>
      </c>
      <c r="E18" s="849">
        <v>1380</v>
      </c>
      <c r="F18" s="849">
        <f t="shared" si="2"/>
        <v>7805</v>
      </c>
      <c r="G18" s="791">
        <f t="shared" si="0"/>
        <v>0.17680973734785393</v>
      </c>
      <c r="H18" s="792">
        <f>IF('Entries December''25'!K15&lt;'Entries December''25'!K14,"0",IF('Entries December''25'!K15&gt;='Entries December''25'!K14,'Entries December''25'!K15-'Entries December''25'!K14,(999999-'Entries December''25'!K14)+'Entries December''25'!K15+1))</f>
        <v>0</v>
      </c>
      <c r="I18" s="790">
        <f t="shared" si="3"/>
        <v>6425</v>
      </c>
      <c r="J18" s="792">
        <f>'Water '!Z15*10</f>
        <v>2860</v>
      </c>
      <c r="K18" s="790">
        <f>IF('Entries December''25'!B15-'Entries December''25'!B14&lt;1,"0",'Entries December''25'!B15-'Entries December''25'!B14)</f>
        <v>2860</v>
      </c>
      <c r="L18" s="793">
        <f>'CO2'!E15</f>
        <v>900</v>
      </c>
      <c r="M18" s="794">
        <f>+'PROD.FIG. '!F13</f>
        <v>0</v>
      </c>
      <c r="N18" s="790">
        <f>+'PROD.FIG. '!C13</f>
        <v>0</v>
      </c>
      <c r="O18" s="790">
        <f>+'PROD.FIG. '!D13</f>
        <v>0</v>
      </c>
      <c r="P18" s="790">
        <f>+'PROD.FIG. '!E13</f>
        <v>0</v>
      </c>
      <c r="Q18" s="795">
        <v>214.76400000000001</v>
      </c>
      <c r="R18" s="417">
        <f t="shared" si="4"/>
        <v>29.916559572367806</v>
      </c>
      <c r="S18" s="417">
        <f t="shared" si="5"/>
        <v>13.316943249334152</v>
      </c>
      <c r="T18" s="417">
        <f t="shared" si="6"/>
        <v>13.316943249334152</v>
      </c>
      <c r="U18" s="417">
        <f t="shared" si="7"/>
        <v>4.1906464770631944</v>
      </c>
    </row>
    <row r="19" spans="1:21" ht="15" x14ac:dyDescent="0.25">
      <c r="A19" s="789">
        <v>10</v>
      </c>
      <c r="B19" s="789">
        <f>IF('Entries December''25'!I16&lt;'Entries December''25'!I15,"0",(IF('Entries December''25'!I16&gt;='Entries December''25'!I15,'Entries December''25'!I16-'Entries December''25'!I15,(999999-'Entries December''25'!I15)+'Entries December''25'!I16+1)))</f>
        <v>8488</v>
      </c>
      <c r="C19" s="789" t="str">
        <f>IF('Entries December''25'!J16&lt;='Entries December''25'!J15,"0",IF('Entries December''25'!J16&gt;='Entries December''25'!J15,'Entries December''25'!J16-'Entries December''25'!J15,(999999-'Entries December''25'!J15)+'Entries December''25'!J16+1))</f>
        <v>0</v>
      </c>
      <c r="D19" s="790">
        <f t="shared" si="8"/>
        <v>8488</v>
      </c>
      <c r="E19" s="849">
        <v>1372.1</v>
      </c>
      <c r="F19" s="849">
        <f t="shared" si="2"/>
        <v>9860.1</v>
      </c>
      <c r="G19" s="791">
        <f t="shared" si="0"/>
        <v>0.13915680368353261</v>
      </c>
      <c r="H19" s="792">
        <f>IF('Entries December''25'!K16&lt;'Entries December''25'!K15,"0",IF('Entries December''25'!K16&gt;='Entries December''25'!K15,'Entries December''25'!K16-'Entries December''25'!K15,(999999-'Entries December''25'!K15)+'Entries December''25'!K16+1))</f>
        <v>0</v>
      </c>
      <c r="I19" s="790">
        <f t="shared" si="3"/>
        <v>8488</v>
      </c>
      <c r="J19" s="792">
        <f>'Water '!Z16*10</f>
        <v>5430</v>
      </c>
      <c r="K19" s="790">
        <f>IF('Entries December''25'!B16-'Entries December''25'!B15&lt;1,"0",'Entries December''25'!B16-'Entries December''25'!B15)</f>
        <v>3800</v>
      </c>
      <c r="L19" s="793">
        <f>'CO2'!E16</f>
        <v>4800</v>
      </c>
      <c r="M19" s="794">
        <f>+'PROD.FIG. '!F14</f>
        <v>0</v>
      </c>
      <c r="N19" s="790">
        <f>+'PROD.FIG. '!C14</f>
        <v>0</v>
      </c>
      <c r="O19" s="790">
        <f>+'PROD.FIG. '!D14</f>
        <v>0</v>
      </c>
      <c r="P19" s="790">
        <f>+'PROD.FIG. '!E14</f>
        <v>0</v>
      </c>
      <c r="Q19" s="795">
        <v>437.05200000000002</v>
      </c>
      <c r="R19" s="417">
        <f t="shared" si="4"/>
        <v>19.421029991854514</v>
      </c>
      <c r="S19" s="417">
        <f t="shared" si="5"/>
        <v>12.424150901952169</v>
      </c>
      <c r="T19" s="417">
        <f t="shared" si="6"/>
        <v>8.6946175741101737</v>
      </c>
      <c r="U19" s="417">
        <f t="shared" si="7"/>
        <v>10.982674830454958</v>
      </c>
    </row>
    <row r="20" spans="1:21" s="35" customFormat="1" ht="15" x14ac:dyDescent="0.25">
      <c r="A20" s="789">
        <v>11</v>
      </c>
      <c r="B20" s="789">
        <f>IF('Entries December''25'!I17&lt;'Entries December''25'!I16,"0",(IF('Entries December''25'!I17&gt;='Entries December''25'!I16,'Entries December''25'!I17-'Entries December''25'!I16,(999999-'Entries December''25'!I16)+'Entries December''25'!I17+1)))</f>
        <v>6732</v>
      </c>
      <c r="C20" s="789" t="str">
        <f>IF('Entries December''25'!J17&lt;='Entries December''25'!J16,"0",IF('Entries December''25'!J17&gt;='Entries December''25'!J16,'Entries December''25'!J17-'Entries December''25'!J16,(999999-'Entries December''25'!J16)+'Entries December''25'!J17+1))</f>
        <v>0</v>
      </c>
      <c r="D20" s="790">
        <f t="shared" si="8"/>
        <v>6732</v>
      </c>
      <c r="E20" s="849">
        <v>1466.4</v>
      </c>
      <c r="F20" s="849">
        <f t="shared" si="2"/>
        <v>8198.4</v>
      </c>
      <c r="G20" s="791">
        <f t="shared" si="0"/>
        <v>0.17886416861826701</v>
      </c>
      <c r="H20" s="792">
        <f>IF('Entries December''25'!K17&lt;'Entries December''25'!K16,"0",IF('Entries December''25'!K17&gt;='Entries December''25'!K16,'Entries December''25'!K17-'Entries December''25'!K16,(999999-'Entries December''25'!K16)+'Entries December''25'!K17+1))</f>
        <v>0</v>
      </c>
      <c r="I20" s="790">
        <f t="shared" si="3"/>
        <v>6732</v>
      </c>
      <c r="J20" s="792">
        <f>'Water '!Z17*10</f>
        <v>4560</v>
      </c>
      <c r="K20" s="790">
        <f>IF('Entries December''25'!B17-'Entries December''25'!B16&lt;1,"0",'Entries December''25'!B17-'Entries December''25'!B16)</f>
        <v>2680</v>
      </c>
      <c r="L20" s="793">
        <f>'CO2'!E17</f>
        <v>2000</v>
      </c>
      <c r="M20" s="794">
        <f>+'PROD.FIG. '!F15</f>
        <v>0</v>
      </c>
      <c r="N20" s="790">
        <f>+'PROD.FIG. '!C15</f>
        <v>0</v>
      </c>
      <c r="O20" s="790">
        <f>+'PROD.FIG. '!D15</f>
        <v>0</v>
      </c>
      <c r="P20" s="790">
        <f>+'PROD.FIG. '!E15</f>
        <v>0</v>
      </c>
      <c r="Q20" s="795">
        <v>332.83800000000002</v>
      </c>
      <c r="R20" s="417">
        <f t="shared" si="4"/>
        <v>20.226055919095774</v>
      </c>
      <c r="S20" s="417">
        <f t="shared" si="5"/>
        <v>13.700358733077351</v>
      </c>
      <c r="T20" s="417">
        <f t="shared" si="6"/>
        <v>8.0519652203173919</v>
      </c>
      <c r="U20" s="417">
        <f t="shared" si="7"/>
        <v>6.0089292688935751</v>
      </c>
    </row>
    <row r="21" spans="1:21" ht="15" x14ac:dyDescent="0.25">
      <c r="A21" s="789">
        <v>12</v>
      </c>
      <c r="B21" s="789">
        <f>IF('Entries December''25'!I18&lt;'Entries December''25'!I17,"0",(IF('Entries December''25'!I18&gt;='Entries December''25'!I17,'Entries December''25'!I18-'Entries December''25'!I17,(999999-'Entries December''25'!I17)+'Entries December''25'!I18+1)))</f>
        <v>6620</v>
      </c>
      <c r="C21" s="789" t="str">
        <f>IF('Entries December''25'!J18&lt;='Entries December''25'!J17,"0",IF('Entries December''25'!J18&gt;='Entries December''25'!J17,'Entries December''25'!J18-'Entries December''25'!J17,(999999-'Entries December''25'!J17)+'Entries December''25'!J18+1))</f>
        <v>0</v>
      </c>
      <c r="D21" s="790">
        <f t="shared" si="8"/>
        <v>6620</v>
      </c>
      <c r="E21" s="849">
        <v>1166.2</v>
      </c>
      <c r="F21" s="849">
        <f t="shared" si="2"/>
        <v>7786.2</v>
      </c>
      <c r="G21" s="791">
        <f t="shared" si="0"/>
        <v>0.14977781202640569</v>
      </c>
      <c r="H21" s="792">
        <f>IF('Entries December''25'!K18&lt;'Entries December''25'!K17,"0",IF('Entries December''25'!K18&gt;='Entries December''25'!K17,'Entries December''25'!K18-'Entries December''25'!K17,(999999-'Entries December''25'!K17)+'Entries December''25'!K18+1))</f>
        <v>0</v>
      </c>
      <c r="I21" s="790">
        <f t="shared" si="3"/>
        <v>6620</v>
      </c>
      <c r="J21" s="792">
        <f>'Water '!Z18*10</f>
        <v>2370</v>
      </c>
      <c r="K21" s="790">
        <f>IF('Entries December''25'!B18-'Entries December''25'!B17&lt;1,"0",'Entries December''25'!B18-'Entries December''25'!B17)</f>
        <v>3090</v>
      </c>
      <c r="L21" s="793">
        <f>'CO2'!E18</f>
        <v>1600</v>
      </c>
      <c r="M21" s="794">
        <f>+'PROD.FIG. '!F16</f>
        <v>0</v>
      </c>
      <c r="N21" s="790">
        <f>+'PROD.FIG. '!C16</f>
        <v>0</v>
      </c>
      <c r="O21" s="790">
        <f>+'PROD.FIG. '!D16</f>
        <v>0</v>
      </c>
      <c r="P21" s="790">
        <f>+'PROD.FIG. '!E16</f>
        <v>0</v>
      </c>
      <c r="Q21" s="795">
        <v>259.05</v>
      </c>
      <c r="R21" s="417">
        <f t="shared" si="4"/>
        <v>25.554912179115998</v>
      </c>
      <c r="S21" s="417">
        <f t="shared" si="5"/>
        <v>9.1488129704690202</v>
      </c>
      <c r="T21" s="417">
        <f t="shared" si="6"/>
        <v>11.928199189345685</v>
      </c>
      <c r="U21" s="417">
        <f t="shared" si="7"/>
        <v>6.1764138197259211</v>
      </c>
    </row>
    <row r="22" spans="1:21" s="35" customFormat="1" ht="15" x14ac:dyDescent="0.25">
      <c r="A22" s="775">
        <v>13</v>
      </c>
      <c r="B22" s="775">
        <f>IF('Entries December''25'!I19&lt;'Entries December''25'!I18,"0",(IF('Entries December''25'!I19&gt;='Entries December''25'!I18,'Entries December''25'!I19-'Entries December''25'!I18,(999999-'Entries December''25'!I18)+'Entries December''25'!I19+1)))</f>
        <v>4519</v>
      </c>
      <c r="C22" s="775" t="str">
        <f>IF('Entries December''25'!J19&lt;='Entries December''25'!J18,"0",IF('Entries December''25'!J19&gt;='Entries December''25'!J18,'Entries December''25'!J19-'Entries December''25'!J18,(999999-'Entries December''25'!J18)+'Entries December''25'!J19+1))</f>
        <v>0</v>
      </c>
      <c r="D22" s="776">
        <f t="shared" si="8"/>
        <v>4519</v>
      </c>
      <c r="E22" s="850">
        <v>1223.0999999999999</v>
      </c>
      <c r="F22" s="849">
        <f t="shared" si="2"/>
        <v>5742.1</v>
      </c>
      <c r="G22" s="791">
        <f>E22/(D22+E22)</f>
        <v>0.21300569478065512</v>
      </c>
      <c r="H22" s="777">
        <f>IF('Entries December''25'!K19&lt;'Entries December''25'!K18,"0",IF('Entries December''25'!K19&gt;='Entries December''25'!K18,'Entries December''25'!K19-'Entries December''25'!K18,(999999-'Entries December''25'!K18)+'Entries December''25'!K19+1))</f>
        <v>0</v>
      </c>
      <c r="I22" s="776">
        <f t="shared" si="3"/>
        <v>4519</v>
      </c>
      <c r="J22" s="777">
        <f>'Water '!Z19*10</f>
        <v>1460</v>
      </c>
      <c r="K22" s="776">
        <f>IF('Entries December''25'!B19-'Entries December''25'!B18&lt;1,"0",'Entries December''25'!B19-'Entries December''25'!B18)</f>
        <v>1470</v>
      </c>
      <c r="L22" s="778">
        <f>'CO2'!E19</f>
        <v>200</v>
      </c>
      <c r="M22" s="779">
        <f>+'PROD.FIG. '!F17</f>
        <v>0</v>
      </c>
      <c r="N22" s="776">
        <f>+'PROD.FIG. '!C17</f>
        <v>0</v>
      </c>
      <c r="O22" s="776">
        <f>+'PROD.FIG. '!D17</f>
        <v>0</v>
      </c>
      <c r="P22" s="776">
        <f>+'PROD.FIG. '!E17</f>
        <v>0</v>
      </c>
      <c r="Q22" s="780">
        <v>190.608</v>
      </c>
      <c r="R22" s="417">
        <f>IF(Q22=0,0,I22/Q22)</f>
        <v>23.708343826072358</v>
      </c>
      <c r="S22" s="417">
        <f>IF(R22=0,0,J22/Q22)</f>
        <v>7.6596994879543354</v>
      </c>
      <c r="T22" s="417">
        <f>IF(S22=0,0,K22/Q22)</f>
        <v>7.7121631830773101</v>
      </c>
      <c r="U22" s="417">
        <f>IF(T22=0,0,L22/Q22)</f>
        <v>1.0492739024594979</v>
      </c>
    </row>
    <row r="23" spans="1:21" ht="15" x14ac:dyDescent="0.25">
      <c r="A23" s="775">
        <v>14</v>
      </c>
      <c r="B23" s="775">
        <f>IF('Entries December''25'!I20&lt;'Entries December''25'!I19,"0",(IF('Entries December''25'!I20&gt;='Entries December''25'!I19,'Entries December''25'!I20-'Entries December''25'!I19,(999999-'Entries December''25'!I19)+'Entries December''25'!I20+1)))</f>
        <v>5387</v>
      </c>
      <c r="C23" s="775" t="str">
        <f>IF('Entries December''25'!J20&lt;='Entries December''25'!J19,"0",IF('Entries December''25'!J20&gt;='Entries December''25'!J19,'Entries December''25'!J20-'Entries December''25'!J19,(999999-'Entries December''25'!J19)+'Entries December''25'!J20+1))</f>
        <v>0</v>
      </c>
      <c r="D23" s="776">
        <f t="shared" si="8"/>
        <v>5387</v>
      </c>
      <c r="E23" s="850">
        <v>1296.5</v>
      </c>
      <c r="F23" s="849">
        <f t="shared" si="2"/>
        <v>6683.5</v>
      </c>
      <c r="G23" s="791">
        <f t="shared" si="0"/>
        <v>0.19398518740181042</v>
      </c>
      <c r="H23" s="777">
        <f>IF('Entries December''25'!K20&lt;'Entries December''25'!K19,"0",IF('Entries December''25'!K20&gt;='Entries December''25'!K19,'Entries December''25'!K20-'Entries December''25'!K19,(999999-'Entries December''25'!K19)+'Entries December''25'!K20+1))</f>
        <v>0</v>
      </c>
      <c r="I23" s="776">
        <f t="shared" si="3"/>
        <v>5387</v>
      </c>
      <c r="J23" s="777">
        <f>'Water '!Z20*10</f>
        <v>3340</v>
      </c>
      <c r="K23" s="776">
        <f>IF('Entries December''25'!B20-'Entries December''25'!B19&lt;1,"0",'Entries December''25'!B20-'Entries December''25'!B19)</f>
        <v>2140</v>
      </c>
      <c r="L23" s="778">
        <f>'CO2'!E20</f>
        <v>2300</v>
      </c>
      <c r="M23" s="779">
        <f>+'PROD.FIG. '!F18</f>
        <v>0</v>
      </c>
      <c r="N23" s="776">
        <f>+'PROD.FIG. '!C18</f>
        <v>0</v>
      </c>
      <c r="O23" s="776">
        <f>+'PROD.FIG. '!D18</f>
        <v>0</v>
      </c>
      <c r="P23" s="776">
        <f>+'PROD.FIG. '!E18</f>
        <v>0</v>
      </c>
      <c r="Q23" s="780">
        <v>389.154</v>
      </c>
      <c r="R23" s="417">
        <f t="shared" si="4"/>
        <v>13.842848846472091</v>
      </c>
      <c r="S23" s="417">
        <f t="shared" si="5"/>
        <v>8.5827204654198592</v>
      </c>
      <c r="T23" s="417">
        <f t="shared" si="6"/>
        <v>5.499108322155239</v>
      </c>
      <c r="U23" s="417">
        <f t="shared" si="7"/>
        <v>5.9102566079238557</v>
      </c>
    </row>
    <row r="24" spans="1:21" s="35" customFormat="1" ht="15" x14ac:dyDescent="0.25">
      <c r="A24" s="789">
        <v>15</v>
      </c>
      <c r="B24" s="789">
        <f>IF('Entries December''25'!I21&lt;'Entries December''25'!I20,"0",(IF('Entries December''25'!I21&gt;='Entries December''25'!I20,'Entries December''25'!I21-'Entries December''25'!I20,(999999-'Entries December''25'!I20)+'Entries December''25'!I21+1)))</f>
        <v>6109</v>
      </c>
      <c r="C24" s="789" t="str">
        <f>IF('Entries December''25'!J21&lt;='Entries December''25'!J20,"0",IF('Entries December''25'!J21&gt;='Entries December''25'!J20,'Entries December''25'!J21-'Entries December''25'!J20,(999999-'Entries December''25'!J20)+'Entries December''25'!J21+1))</f>
        <v>0</v>
      </c>
      <c r="D24" s="790">
        <f t="shared" si="8"/>
        <v>6109</v>
      </c>
      <c r="E24" s="849">
        <v>1397.4</v>
      </c>
      <c r="F24" s="849">
        <f t="shared" si="2"/>
        <v>7506.4</v>
      </c>
      <c r="G24" s="791">
        <f t="shared" si="0"/>
        <v>0.1861611424917404</v>
      </c>
      <c r="H24" s="792">
        <f>IF('Entries December''25'!K21&lt;'Entries December''25'!K20,"0",IF('Entries December''25'!K21&gt;='Entries December''25'!K20,'Entries December''25'!K21-'Entries December''25'!K20,(999999-'Entries December''25'!K20)+'Entries December''25'!K21+1))</f>
        <v>0</v>
      </c>
      <c r="I24" s="790">
        <f t="shared" si="3"/>
        <v>6109</v>
      </c>
      <c r="J24" s="792">
        <f>'Water '!Z21*10</f>
        <v>3220</v>
      </c>
      <c r="K24" s="790">
        <f>IF('Entries December''25'!B21-'Entries December''25'!B20&lt;1,"0",'Entries December''25'!B21-'Entries December''25'!B20)</f>
        <v>3070</v>
      </c>
      <c r="L24" s="793">
        <f>'CO2'!E21</f>
        <v>2500</v>
      </c>
      <c r="M24" s="794">
        <f>+'PROD.FIG. '!F19</f>
        <v>0</v>
      </c>
      <c r="N24" s="790">
        <f>+'PROD.FIG. '!C19</f>
        <v>0</v>
      </c>
      <c r="O24" s="790">
        <f>+'PROD.FIG. '!D19</f>
        <v>0</v>
      </c>
      <c r="P24" s="790">
        <f>+'PROD.FIG. '!E19</f>
        <v>0</v>
      </c>
      <c r="Q24" s="795">
        <v>369.45600000000002</v>
      </c>
      <c r="R24" s="417">
        <f t="shared" si="4"/>
        <v>16.535121908968861</v>
      </c>
      <c r="S24" s="417">
        <f t="shared" si="5"/>
        <v>8.7155168680438262</v>
      </c>
      <c r="T24" s="417">
        <f t="shared" si="6"/>
        <v>8.3095145294703556</v>
      </c>
      <c r="U24" s="417">
        <f t="shared" si="7"/>
        <v>6.7667056428911696</v>
      </c>
    </row>
    <row r="25" spans="1:21" ht="15" x14ac:dyDescent="0.25">
      <c r="A25" s="789">
        <v>16</v>
      </c>
      <c r="B25" s="789">
        <f>IF('Entries December''25'!I22&lt;'Entries December''25'!I21,"0",(IF('Entries December''25'!I22&gt;='Entries December''25'!I21,'Entries December''25'!I22-'Entries December''25'!I21,(999999-'Entries December''25'!I21)+'Entries December''25'!I22+1)))</f>
        <v>8916</v>
      </c>
      <c r="C25" s="789" t="str">
        <f>IF('Entries December''25'!J22&lt;='Entries December''25'!J21,"0",IF('Entries December''25'!J22&gt;='Entries December''25'!J21,'Entries December''25'!J22-'Entries December''25'!J21,(999999-'Entries December''25'!J21)+'Entries December''25'!J22+1))</f>
        <v>0</v>
      </c>
      <c r="D25" s="790">
        <f t="shared" si="8"/>
        <v>8916</v>
      </c>
      <c r="E25" s="849">
        <v>1388.8</v>
      </c>
      <c r="F25" s="849">
        <f t="shared" si="2"/>
        <v>10304.799999999999</v>
      </c>
      <c r="G25" s="791">
        <f t="shared" si="0"/>
        <v>0.13477214501979659</v>
      </c>
      <c r="H25" s="792">
        <f>IF('Entries December''25'!K22&lt;'Entries December''25'!K21,"0",IF('Entries December''25'!K22&gt;='Entries December''25'!K21,'Entries December''25'!K22-'Entries December''25'!K21,(999999-'Entries December''25'!K21)+'Entries December''25'!K22+1))</f>
        <v>0</v>
      </c>
      <c r="I25" s="790">
        <f t="shared" si="3"/>
        <v>8916</v>
      </c>
      <c r="J25" s="792">
        <f>'Water '!Z22*10</f>
        <v>3590</v>
      </c>
      <c r="K25" s="790">
        <f>IF('Entries December''25'!B22-'Entries December''25'!B21&lt;1,"0",'Entries December''25'!B22-'Entries December''25'!B21)</f>
        <v>3560</v>
      </c>
      <c r="L25" s="793">
        <f>'CO2'!E22</f>
        <v>2400</v>
      </c>
      <c r="M25" s="794">
        <f>+'PROD.FIG. '!F20</f>
        <v>0</v>
      </c>
      <c r="N25" s="790">
        <f>+'PROD.FIG. '!C20</f>
        <v>0</v>
      </c>
      <c r="O25" s="790">
        <f>+'PROD.FIG. '!D20</f>
        <v>0</v>
      </c>
      <c r="P25" s="790">
        <f>+'PROD.FIG. '!E20</f>
        <v>0</v>
      </c>
      <c r="Q25" s="795">
        <v>362.80200000000002</v>
      </c>
      <c r="R25" s="417">
        <f t="shared" si="4"/>
        <v>24.57538822828981</v>
      </c>
      <c r="S25" s="417">
        <f t="shared" si="5"/>
        <v>9.8952045468327068</v>
      </c>
      <c r="T25" s="417">
        <f t="shared" si="6"/>
        <v>9.8125148152435759</v>
      </c>
      <c r="U25" s="417">
        <f t="shared" si="7"/>
        <v>6.6151785271305004</v>
      </c>
    </row>
    <row r="26" spans="1:21" s="35" customFormat="1" ht="15" x14ac:dyDescent="0.25">
      <c r="A26" s="789">
        <v>17</v>
      </c>
      <c r="B26" s="789">
        <f>IF('Entries December''25'!I23&lt;'Entries December''25'!I22,"0",(IF('Entries December''25'!I23&gt;='Entries December''25'!I22,'Entries December''25'!I23-'Entries December''25'!I22,(999999-'Entries December''25'!I22)+'Entries December''25'!I23+1)))</f>
        <v>6815</v>
      </c>
      <c r="C26" s="789" t="str">
        <f>IF('Entries December''25'!J23&lt;='Entries December''25'!J22,"0",IF('Entries December''25'!J23&gt;='Entries December''25'!J22,'Entries December''25'!J23-'Entries December''25'!J22,(999999-'Entries December''25'!J22)+'Entries December''25'!J23+1))</f>
        <v>0</v>
      </c>
      <c r="D26" s="790">
        <f t="shared" si="8"/>
        <v>6815</v>
      </c>
      <c r="E26" s="849">
        <v>1363</v>
      </c>
      <c r="F26" s="849">
        <f t="shared" si="2"/>
        <v>8178</v>
      </c>
      <c r="G26" s="791">
        <f t="shared" si="0"/>
        <v>0.16666666666666666</v>
      </c>
      <c r="H26" s="792">
        <f>IF('Entries December''25'!K23&lt;'Entries December''25'!K22,"0",IF('Entries December''25'!K23&gt;='Entries December''25'!K22,'Entries December''25'!K23-'Entries December''25'!K22,(999999-'Entries December''25'!K22)+'Entries December''25'!K23+1))</f>
        <v>0</v>
      </c>
      <c r="I26" s="790">
        <f t="shared" si="3"/>
        <v>6815</v>
      </c>
      <c r="J26" s="792">
        <f>'Water '!Z23*10</f>
        <v>4780</v>
      </c>
      <c r="K26" s="790">
        <f>IF('Entries December''25'!B23-'Entries December''25'!B22&lt;1,"0",'Entries December''25'!B23-'Entries December''25'!B22)</f>
        <v>3260</v>
      </c>
      <c r="L26" s="793">
        <f>'CO2'!E23</f>
        <v>2500</v>
      </c>
      <c r="M26" s="794">
        <f>+'PROD.FIG. '!F21</f>
        <v>0</v>
      </c>
      <c r="N26" s="790">
        <f>+'PROD.FIG. '!C21</f>
        <v>0</v>
      </c>
      <c r="O26" s="790">
        <f>+'PROD.FIG. '!D21</f>
        <v>0</v>
      </c>
      <c r="P26" s="790">
        <f>+'PROD.FIG. '!E21</f>
        <v>0</v>
      </c>
      <c r="Q26" s="795">
        <v>489.06</v>
      </c>
      <c r="R26" s="417">
        <f t="shared" si="4"/>
        <v>13.934895513842882</v>
      </c>
      <c r="S26" s="417">
        <f t="shared" si="5"/>
        <v>9.7738518791150373</v>
      </c>
      <c r="T26" s="417">
        <f t="shared" si="6"/>
        <v>6.6658487711119294</v>
      </c>
      <c r="U26" s="417">
        <f t="shared" si="7"/>
        <v>5.111847217110375</v>
      </c>
    </row>
    <row r="27" spans="1:21" ht="15" x14ac:dyDescent="0.25">
      <c r="A27" s="789">
        <v>18</v>
      </c>
      <c r="B27" s="789">
        <f>IF('Entries December''25'!I24&lt;'Entries December''25'!I23,"0",(IF('Entries December''25'!I24&gt;='Entries December''25'!I23,'Entries December''25'!I24-'Entries December''25'!I23,(999999-'Entries December''25'!I23)+'Entries December''25'!I24+1)))</f>
        <v>7445</v>
      </c>
      <c r="C27" s="789" t="str">
        <f>IF('Entries December''25'!J24&lt;='Entries December''25'!J23,"0",IF('Entries December''25'!J24&gt;='Entries December''25'!J23,'Entries December''25'!J24-'Entries December''25'!J23,(999999-'Entries December''25'!J23)+'Entries December''25'!J24+1))</f>
        <v>0</v>
      </c>
      <c r="D27" s="790">
        <f t="shared" si="8"/>
        <v>7445</v>
      </c>
      <c r="E27" s="849">
        <v>1360.6</v>
      </c>
      <c r="F27" s="849">
        <f t="shared" si="2"/>
        <v>8805.6</v>
      </c>
      <c r="G27" s="791">
        <f t="shared" si="0"/>
        <v>0.15451530844008357</v>
      </c>
      <c r="H27" s="792">
        <f>IF('Entries December''25'!K24&lt;'Entries December''25'!K23,"0",IF('Entries December''25'!K24&gt;='Entries December''25'!K23,'Entries December''25'!K24-'Entries December''25'!K23,(999999-'Entries December''25'!K23)+'Entries December''25'!K24+1))</f>
        <v>0</v>
      </c>
      <c r="I27" s="790">
        <f t="shared" si="3"/>
        <v>7445</v>
      </c>
      <c r="J27" s="792">
        <f>'Water '!Z24*10</f>
        <v>3780</v>
      </c>
      <c r="K27" s="790">
        <f>IF('Entries December''25'!B24-'Entries December''25'!B23&lt;1,"0",'Entries December''25'!B24-'Entries December''25'!B23)</f>
        <v>3530</v>
      </c>
      <c r="L27" s="793">
        <f>'CO2'!E24</f>
        <v>2500</v>
      </c>
      <c r="M27" s="794">
        <f>+'PROD.FIG. '!F22</f>
        <v>0</v>
      </c>
      <c r="N27" s="790">
        <f>+'PROD.FIG. '!C22</f>
        <v>0</v>
      </c>
      <c r="O27" s="790">
        <f>+'PROD.FIG. '!D22</f>
        <v>0</v>
      </c>
      <c r="P27" s="790">
        <f>+'PROD.FIG. '!E22</f>
        <v>0</v>
      </c>
      <c r="Q27" s="795">
        <v>459.62400000000002</v>
      </c>
      <c r="R27" s="417">
        <f t="shared" si="4"/>
        <v>16.198022731624111</v>
      </c>
      <c r="S27" s="417">
        <f t="shared" si="5"/>
        <v>8.2241136233094867</v>
      </c>
      <c r="T27" s="417">
        <f t="shared" si="6"/>
        <v>7.6801907646249976</v>
      </c>
      <c r="U27" s="417">
        <f t="shared" si="7"/>
        <v>5.4392285868448988</v>
      </c>
    </row>
    <row r="28" spans="1:21" s="35" customFormat="1" ht="15" x14ac:dyDescent="0.25">
      <c r="A28" s="789">
        <v>19</v>
      </c>
      <c r="B28" s="789">
        <f>IF('Entries December''25'!I25&lt;'Entries December''25'!I24,"0",(IF('Entries December''25'!I25&gt;='Entries December''25'!I24,'Entries December''25'!I25-'Entries December''25'!I24,(999999-'Entries December''25'!I24)+'Entries December''25'!I25+1)))</f>
        <v>6897</v>
      </c>
      <c r="C28" s="789" t="str">
        <f>IF('Entries December''25'!J25&lt;='Entries December''25'!J24,"0",IF('Entries December''25'!J25&gt;='Entries December''25'!J24,'Entries December''25'!J25-'Entries December''25'!J24,(999999-'Entries December''25'!J24)+'Entries December''25'!J25+1))</f>
        <v>0</v>
      </c>
      <c r="D28" s="790">
        <f t="shared" si="8"/>
        <v>6897</v>
      </c>
      <c r="E28" s="849">
        <v>1198.5</v>
      </c>
      <c r="F28" s="849">
        <f t="shared" si="2"/>
        <v>8095.5</v>
      </c>
      <c r="G28" s="791">
        <f t="shared" si="0"/>
        <v>0.14804521030201964</v>
      </c>
      <c r="H28" s="792">
        <f>IF('Entries December''25'!K25&lt;'Entries December''25'!K24,"0",IF('Entries December''25'!K25&gt;='Entries December''25'!K24,'Entries December''25'!K25-'Entries December''25'!K24,(999999-'Entries December''25'!K24)+'Entries December''25'!K25+1))</f>
        <v>0</v>
      </c>
      <c r="I28" s="790">
        <f t="shared" si="3"/>
        <v>6897</v>
      </c>
      <c r="J28" s="792">
        <f>'Water '!Z25*10</f>
        <v>4270</v>
      </c>
      <c r="K28" s="790">
        <f>IF('Entries December''25'!B25-'Entries December''25'!B24&lt;1,"0",'Entries December''25'!B25-'Entries December''25'!B24)</f>
        <v>2420</v>
      </c>
      <c r="L28" s="793">
        <f>'CO2'!E25</f>
        <v>2400</v>
      </c>
      <c r="M28" s="794">
        <f>+'PROD.FIG. '!F23</f>
        <v>0</v>
      </c>
      <c r="N28" s="790">
        <f>+'PROD.FIG. '!C23</f>
        <v>0</v>
      </c>
      <c r="O28" s="790">
        <f>+'PROD.FIG. '!D23</f>
        <v>0</v>
      </c>
      <c r="P28" s="790">
        <f>+'PROD.FIG. '!E23</f>
        <v>0</v>
      </c>
      <c r="Q28" s="795">
        <v>479.226</v>
      </c>
      <c r="R28" s="417">
        <f t="shared" si="4"/>
        <v>14.391957030712023</v>
      </c>
      <c r="S28" s="417">
        <f t="shared" si="5"/>
        <v>8.9102010324982359</v>
      </c>
      <c r="T28" s="417">
        <f t="shared" si="6"/>
        <v>5.0498094844603587</v>
      </c>
      <c r="U28" s="417">
        <f t="shared" si="7"/>
        <v>5.0080755217788688</v>
      </c>
    </row>
    <row r="29" spans="1:21" ht="15" x14ac:dyDescent="0.25">
      <c r="A29" s="775">
        <v>20</v>
      </c>
      <c r="B29" s="775">
        <f>IF('Entries December''25'!I26&lt;'Entries December''25'!I25,"0",(IF('Entries December''25'!I26&gt;='Entries December''25'!I25,'Entries December''25'!I26-'Entries December''25'!I25,(999999-'Entries December''25'!I25)+'Entries December''25'!I26+1)))</f>
        <v>3934</v>
      </c>
      <c r="C29" s="775" t="str">
        <f>IF('Entries December''25'!J26&lt;='Entries December''25'!J25,"0",IF('Entries December''25'!J26&gt;='Entries December''25'!J25,'Entries December''25'!J26-'Entries December''25'!J25,(999999-'Entries December''25'!J25)+'Entries December''25'!J26+1))</f>
        <v>0</v>
      </c>
      <c r="D29" s="776">
        <f t="shared" si="8"/>
        <v>3934</v>
      </c>
      <c r="E29" s="850">
        <v>1296.2</v>
      </c>
      <c r="F29" s="849">
        <f t="shared" si="2"/>
        <v>5230.2</v>
      </c>
      <c r="G29" s="791">
        <f t="shared" si="0"/>
        <v>0.24782991090206877</v>
      </c>
      <c r="H29" s="777">
        <f>IF('Entries December''25'!K26&lt;'Entries December''25'!K25,"0",IF('Entries December''25'!K26&gt;='Entries December''25'!K25,'Entries December''25'!K26-'Entries December''25'!K25,(999999-'Entries December''25'!K25)+'Entries December''25'!K26+1))</f>
        <v>0</v>
      </c>
      <c r="I29" s="776">
        <f t="shared" si="3"/>
        <v>3934</v>
      </c>
      <c r="J29" s="777">
        <f>'Water '!Z26*10</f>
        <v>1310</v>
      </c>
      <c r="K29" s="776">
        <f>IF('Entries December''25'!B26-'Entries December''25'!B25&lt;1,"0",'Entries December''25'!B26-'Entries December''25'!B25)</f>
        <v>130</v>
      </c>
      <c r="L29" s="778">
        <f>'CO2'!E26</f>
        <v>0</v>
      </c>
      <c r="M29" s="779">
        <f>+'PROD.FIG. '!F24</f>
        <v>0</v>
      </c>
      <c r="N29" s="776">
        <f>+'PROD.FIG. '!C24</f>
        <v>0</v>
      </c>
      <c r="O29" s="776">
        <f>+'PROD.FIG. '!D24</f>
        <v>0</v>
      </c>
      <c r="P29" s="776">
        <f>+'PROD.FIG. '!E24</f>
        <v>0</v>
      </c>
      <c r="Q29" s="780">
        <v>0</v>
      </c>
      <c r="R29" s="417">
        <f t="shared" si="4"/>
        <v>0</v>
      </c>
      <c r="S29" s="417">
        <f t="shared" si="5"/>
        <v>0</v>
      </c>
      <c r="T29" s="417">
        <f t="shared" si="6"/>
        <v>0</v>
      </c>
      <c r="U29" s="417">
        <f t="shared" si="7"/>
        <v>0</v>
      </c>
    </row>
    <row r="30" spans="1:21" s="35" customFormat="1" ht="15" x14ac:dyDescent="0.25">
      <c r="A30" s="775">
        <v>21</v>
      </c>
      <c r="B30" s="775">
        <f>IF('Entries December''25'!I27&lt;'Entries December''25'!I26,"0",(IF('Entries December''25'!I27&gt;='Entries December''25'!I26,'Entries December''25'!I27-'Entries December''25'!I26,(999999-'Entries December''25'!I26)+'Entries December''25'!I27+1)))</f>
        <v>2566</v>
      </c>
      <c r="C30" s="775" t="str">
        <f>IF('Entries December''25'!J27&lt;='Entries December''25'!J26,"0",IF('Entries December''25'!J27&gt;='Entries December''25'!J26,'Entries December''25'!J27-'Entries December''25'!J26,(999999-'Entries December''25'!J26)+'Entries December''25'!J27+1))</f>
        <v>0</v>
      </c>
      <c r="D30" s="776">
        <f t="shared" si="8"/>
        <v>2566</v>
      </c>
      <c r="E30" s="850">
        <v>1208.3</v>
      </c>
      <c r="F30" s="849">
        <f t="shared" si="2"/>
        <v>3774.3</v>
      </c>
      <c r="G30" s="791">
        <f t="shared" si="0"/>
        <v>0.32013883369101553</v>
      </c>
      <c r="H30" s="777">
        <f>IF('Entries December''25'!K27&lt;'Entries December''25'!K26,"0",IF('Entries December''25'!K27&gt;='Entries December''25'!K26,'Entries December''25'!K27-'Entries December''25'!K26,(999999-'Entries December''25'!K26)+'Entries December''25'!K27+1))</f>
        <v>0</v>
      </c>
      <c r="I30" s="776">
        <f t="shared" si="3"/>
        <v>2566</v>
      </c>
      <c r="J30" s="777">
        <f>'Water '!Z27*10</f>
        <v>170</v>
      </c>
      <c r="K30" s="776">
        <f>IF('Entries December''25'!B27-'Entries December''25'!B26&lt;1,"0",'Entries December''25'!B27-'Entries December''25'!B26)</f>
        <v>700</v>
      </c>
      <c r="L30" s="778">
        <f>'CO2'!E27</f>
        <v>2700</v>
      </c>
      <c r="M30" s="779">
        <f>+'PROD.FIG. '!F25</f>
        <v>0</v>
      </c>
      <c r="N30" s="776">
        <f>+'PROD.FIG. '!C25</f>
        <v>0</v>
      </c>
      <c r="O30" s="776">
        <f>+'PROD.FIG. '!D25</f>
        <v>0</v>
      </c>
      <c r="P30" s="776">
        <f>+'PROD.FIG. '!E25</f>
        <v>0</v>
      </c>
      <c r="Q30" s="780">
        <v>0</v>
      </c>
      <c r="R30" s="417">
        <f t="shared" si="4"/>
        <v>0</v>
      </c>
      <c r="S30" s="417">
        <f t="shared" si="5"/>
        <v>0</v>
      </c>
      <c r="T30" s="417">
        <f t="shared" si="6"/>
        <v>0</v>
      </c>
      <c r="U30" s="417">
        <f t="shared" si="7"/>
        <v>0</v>
      </c>
    </row>
    <row r="31" spans="1:21" ht="15" x14ac:dyDescent="0.25">
      <c r="A31" s="789">
        <v>22</v>
      </c>
      <c r="B31" s="789">
        <f>IF('Entries December''25'!I28&lt;'Entries December''25'!I27,"0",(IF('Entries December''25'!I28&gt;='Entries December''25'!I27,'Entries December''25'!I28-'Entries December''25'!I27,(999999-'Entries December''25'!I27)+'Entries December''25'!I28+1)))</f>
        <v>6346</v>
      </c>
      <c r="C31" s="789" t="str">
        <f>IF('Entries December''25'!J28&lt;='Entries December''25'!J27,"0",IF('Entries December''25'!J28&gt;='Entries December''25'!J27,'Entries December''25'!J28-'Entries December''25'!J27,(999999-'Entries December''25'!J27)+'Entries December''25'!J28+1))</f>
        <v>0</v>
      </c>
      <c r="D31" s="790">
        <f t="shared" si="8"/>
        <v>6346</v>
      </c>
      <c r="E31" s="849">
        <v>1270.4000000000001</v>
      </c>
      <c r="F31" s="849">
        <f t="shared" si="2"/>
        <v>7616.4</v>
      </c>
      <c r="G31" s="791">
        <f t="shared" si="0"/>
        <v>0.16679796229189645</v>
      </c>
      <c r="H31" s="792">
        <f>IF('Entries December''25'!K28&lt;'Entries December''25'!K27,"0",IF('Entries December''25'!K28&gt;='Entries December''25'!K27,'Entries December''25'!K28-'Entries December''25'!K27,(999999-'Entries December''25'!K27)+'Entries December''25'!K28+1))</f>
        <v>0</v>
      </c>
      <c r="I31" s="790">
        <f t="shared" si="3"/>
        <v>6346</v>
      </c>
      <c r="J31" s="792">
        <f>'Water '!Z28*10</f>
        <v>3500</v>
      </c>
      <c r="K31" s="790">
        <f>IF('Entries December''25'!B28-'Entries December''25'!B27&lt;1,"0",'Entries December''25'!B28-'Entries December''25'!B27)</f>
        <v>2600</v>
      </c>
      <c r="L31" s="793">
        <f>'CO2'!E28</f>
        <v>2600</v>
      </c>
      <c r="M31" s="794">
        <f>+'PROD.FIG. '!F26</f>
        <v>0</v>
      </c>
      <c r="N31" s="790">
        <f>+'PROD.FIG. '!C26</f>
        <v>0</v>
      </c>
      <c r="O31" s="790">
        <f>+'PROD.FIG. '!D26</f>
        <v>0</v>
      </c>
      <c r="P31" s="790">
        <f>+'PROD.FIG. '!E26</f>
        <v>0</v>
      </c>
      <c r="Q31" s="795">
        <v>542.98199999999997</v>
      </c>
      <c r="R31" s="417">
        <f>IF(Q31=0,0,I31/Q31)</f>
        <v>11.687311918258802</v>
      </c>
      <c r="S31" s="417">
        <f>IF(R31=0,0,J31/Q31)</f>
        <v>6.4458858673031525</v>
      </c>
      <c r="T31" s="417">
        <f>IF(S31=0,0,K31/Q31)</f>
        <v>4.788372358568056</v>
      </c>
      <c r="U31" s="417">
        <f>IF(T31=0,0,L31/Q31)</f>
        <v>4.788372358568056</v>
      </c>
    </row>
    <row r="32" spans="1:21" s="35" customFormat="1" ht="15" x14ac:dyDescent="0.25">
      <c r="A32" s="789">
        <v>23</v>
      </c>
      <c r="B32" s="789">
        <f>IF('Entries December''25'!I29&lt;'Entries December''25'!I28,"0",(IF('Entries December''25'!I29&gt;='Entries December''25'!I28,'Entries December''25'!I29-'Entries December''25'!I28,(999999-'Entries December''25'!I28)+'Entries December''25'!I29+1)))</f>
        <v>6520</v>
      </c>
      <c r="C32" s="789" t="str">
        <f>IF('Entries December''25'!J29&lt;='Entries December''25'!J28,"0",IF('Entries December''25'!J29&gt;='Entries December''25'!J28,'Entries December''25'!J29-'Entries December''25'!J28,(999999-'Entries December''25'!J28)+'Entries December''25'!J29+1))</f>
        <v>0</v>
      </c>
      <c r="D32" s="790">
        <f t="shared" si="8"/>
        <v>6520</v>
      </c>
      <c r="E32" s="849">
        <v>1092.8</v>
      </c>
      <c r="F32" s="849">
        <f t="shared" si="2"/>
        <v>7612.8</v>
      </c>
      <c r="G32" s="791">
        <f t="shared" si="0"/>
        <v>0.1435477091214796</v>
      </c>
      <c r="H32" s="792">
        <f>IF('Entries December''25'!K29&lt;'Entries December''25'!K28,"0",IF('Entries December''25'!K29&gt;='Entries December''25'!K28,'Entries December''25'!K29-'Entries December''25'!K28,(999999-'Entries December''25'!K28)+'Entries December''25'!K29+1))</f>
        <v>0</v>
      </c>
      <c r="I32" s="790">
        <f t="shared" si="3"/>
        <v>6520</v>
      </c>
      <c r="J32" s="792">
        <f>'Water '!Z29*10</f>
        <v>3720</v>
      </c>
      <c r="K32" s="790">
        <f>IF('Entries December''25'!B29-'Entries December''25'!B28&lt;1,"0",'Entries December''25'!B29-'Entries December''25'!B28)</f>
        <v>2700</v>
      </c>
      <c r="L32" s="793">
        <f>'CO2'!E29</f>
        <v>2700</v>
      </c>
      <c r="M32" s="794">
        <f>+'PROD.FIG. '!F27</f>
        <v>0</v>
      </c>
      <c r="N32" s="790">
        <f>+'PROD.FIG. '!C27</f>
        <v>0</v>
      </c>
      <c r="O32" s="790">
        <f>+'PROD.FIG. '!D27</f>
        <v>0</v>
      </c>
      <c r="P32" s="790">
        <f>+'PROD.FIG. '!E27</f>
        <v>0</v>
      </c>
      <c r="Q32" s="795">
        <v>451.63800000000003</v>
      </c>
      <c r="R32" s="417">
        <f t="shared" si="4"/>
        <v>14.436340609071866</v>
      </c>
      <c r="S32" s="417">
        <f t="shared" si="5"/>
        <v>8.2366851327833341</v>
      </c>
      <c r="T32" s="417">
        <f t="shared" si="6"/>
        <v>5.9782392092782271</v>
      </c>
      <c r="U32" s="417">
        <f t="shared" si="7"/>
        <v>5.9782392092782271</v>
      </c>
    </row>
    <row r="33" spans="1:21" ht="15" x14ac:dyDescent="0.25">
      <c r="A33" s="789">
        <v>24</v>
      </c>
      <c r="B33" s="789">
        <f>IF('Entries December''25'!I30&lt;'Entries December''25'!I29,"0",(IF('Entries December''25'!I30&gt;='Entries December''25'!I29,'Entries December''25'!I30-'Entries December''25'!I29,(999999-'Entries December''25'!I29)+'Entries December''25'!I30+1)))</f>
        <v>5182</v>
      </c>
      <c r="C33" s="789" t="str">
        <f>IF('Entries December''25'!J30&lt;='Entries December''25'!J29,"0",IF('Entries December''25'!J30&gt;='Entries December''25'!J29,'Entries December''25'!J30-'Entries December''25'!J29,(999999-'Entries December''25'!J29)+'Entries December''25'!J30+1))</f>
        <v>0</v>
      </c>
      <c r="D33" s="790">
        <f t="shared" si="8"/>
        <v>5182</v>
      </c>
      <c r="E33" s="849">
        <v>1035.9000000000001</v>
      </c>
      <c r="F33" s="849">
        <f t="shared" si="2"/>
        <v>6217.9</v>
      </c>
      <c r="G33" s="791">
        <f t="shared" si="0"/>
        <v>0.166599655832355</v>
      </c>
      <c r="H33" s="792">
        <f>IF('Entries December''25'!K30&lt;'Entries December''25'!K29,"0",IF('Entries December''25'!K30&gt;='Entries December''25'!K29,'Entries December''25'!K30-'Entries December''25'!K29,(999999-'Entries December''25'!K29)+'Entries December''25'!K30+1))</f>
        <v>0</v>
      </c>
      <c r="I33" s="790">
        <f t="shared" si="3"/>
        <v>5182</v>
      </c>
      <c r="J33" s="792">
        <f>'Water '!Z30*10</f>
        <v>3180</v>
      </c>
      <c r="K33" s="790">
        <f>IF('Entries December''25'!B30-'Entries December''25'!B29&lt;1,"0",'Entries December''25'!B30-'Entries December''25'!B29)</f>
        <v>2270</v>
      </c>
      <c r="L33" s="793">
        <f>'CO2'!E30</f>
        <v>2100</v>
      </c>
      <c r="M33" s="794">
        <f>+'PROD.FIG. '!F28</f>
        <v>0</v>
      </c>
      <c r="N33" s="790">
        <f>+'PROD.FIG. '!C28</f>
        <v>0</v>
      </c>
      <c r="O33" s="790">
        <f>+'PROD.FIG. '!D28</f>
        <v>0</v>
      </c>
      <c r="P33" s="790">
        <f>+'PROD.FIG. '!E28</f>
        <v>0</v>
      </c>
      <c r="Q33" s="795">
        <v>292.38</v>
      </c>
      <c r="R33" s="417">
        <f>IF(Q33=0,0,I33/Q33)</f>
        <v>17.723510500034202</v>
      </c>
      <c r="S33" s="417">
        <f>IF(R33=0,0,J33/Q33)</f>
        <v>10.876256925918325</v>
      </c>
      <c r="T33" s="417">
        <f>IF(S33=0,0,K33/Q33)</f>
        <v>7.7638689376838359</v>
      </c>
      <c r="U33" s="417">
        <f>IF(T33=0,0,L33/Q33)</f>
        <v>7.182433819002668</v>
      </c>
    </row>
    <row r="34" spans="1:21" s="35" customFormat="1" ht="15" x14ac:dyDescent="0.25">
      <c r="A34" s="789">
        <v>25</v>
      </c>
      <c r="B34" s="789">
        <f>IF('Entries December''25'!I31&lt;'Entries December''25'!I30,"0",(IF('Entries December''25'!I31&gt;='Entries December''25'!I30,'Entries December''25'!I31-'Entries December''25'!I30,(999999-'Entries December''25'!I30)+'Entries December''25'!I31+1)))</f>
        <v>3878</v>
      </c>
      <c r="C34" s="789" t="str">
        <f>IF('Entries December''25'!J31&lt;='Entries December''25'!J30,"0",IF('Entries December''25'!J31&gt;='Entries December''25'!J30,'Entries December''25'!J31-'Entries December''25'!J30,(999999-'Entries December''25'!J30)+'Entries December''25'!J31+1))</f>
        <v>0</v>
      </c>
      <c r="D34" s="790">
        <f t="shared" si="8"/>
        <v>3878</v>
      </c>
      <c r="E34" s="849">
        <v>1114.7</v>
      </c>
      <c r="F34" s="849">
        <f t="shared" si="2"/>
        <v>4992.7</v>
      </c>
      <c r="G34" s="791">
        <f t="shared" si="0"/>
        <v>0.22326596831373807</v>
      </c>
      <c r="H34" s="792">
        <f>IF('Entries December''25'!K31&lt;'Entries December''25'!K30,"0",IF('Entries December''25'!K31&gt;='Entries December''25'!K30,'Entries December''25'!K31-'Entries December''25'!K30,(999999-'Entries December''25'!K30)+'Entries December''25'!K31+1))</f>
        <v>0</v>
      </c>
      <c r="I34" s="790">
        <f t="shared" si="3"/>
        <v>3878</v>
      </c>
      <c r="J34" s="792">
        <f>'Water '!Z31*10</f>
        <v>0</v>
      </c>
      <c r="K34" s="790" t="str">
        <f>IF('Entries December''25'!B31-'Entries December''25'!B30&lt;1,"0",'Entries December''25'!B31-'Entries December''25'!B30)</f>
        <v>0</v>
      </c>
      <c r="L34" s="793">
        <f>'CO2'!E31</f>
        <v>0</v>
      </c>
      <c r="M34" s="794">
        <f>+'PROD.FIG. '!F29</f>
        <v>0</v>
      </c>
      <c r="N34" s="790">
        <f>+'PROD.FIG. '!C29</f>
        <v>0</v>
      </c>
      <c r="O34" s="790">
        <f>+'PROD.FIG. '!D29</f>
        <v>0</v>
      </c>
      <c r="P34" s="790">
        <f>+'PROD.FIG. '!E29</f>
        <v>0</v>
      </c>
      <c r="Q34" s="795">
        <v>0</v>
      </c>
      <c r="R34" s="417">
        <f t="shared" si="4"/>
        <v>0</v>
      </c>
      <c r="S34" s="417">
        <f t="shared" si="5"/>
        <v>0</v>
      </c>
      <c r="T34" s="417">
        <f t="shared" si="6"/>
        <v>0</v>
      </c>
      <c r="U34" s="417">
        <f t="shared" si="7"/>
        <v>0</v>
      </c>
    </row>
    <row r="35" spans="1:21" ht="15" x14ac:dyDescent="0.25">
      <c r="A35" s="789">
        <v>26</v>
      </c>
      <c r="B35" s="789">
        <f>IF('Entries December''25'!I32&lt;'Entries December''25'!I31,"0",(IF('Entries December''25'!I32&gt;='Entries December''25'!I31,'Entries December''25'!I32-'Entries December''25'!I31,(999999-'Entries December''25'!I31)+'Entries December''25'!I32+1)))</f>
        <v>3529</v>
      </c>
      <c r="C35" s="789" t="str">
        <f>IF('Entries December''25'!J32&lt;='Entries December''25'!J31,"0",IF('Entries December''25'!J32&gt;='Entries December''25'!J31,'Entries December''25'!J32-'Entries December''25'!J31,(999999-'Entries December''25'!J31)+'Entries December''25'!J32+1))</f>
        <v>0</v>
      </c>
      <c r="D35" s="790">
        <f t="shared" si="8"/>
        <v>3529</v>
      </c>
      <c r="E35" s="849">
        <v>469.1</v>
      </c>
      <c r="F35" s="849">
        <f t="shared" si="2"/>
        <v>3998.1</v>
      </c>
      <c r="G35" s="791">
        <f t="shared" si="0"/>
        <v>0.11733073209774644</v>
      </c>
      <c r="H35" s="792">
        <f>IF('Entries December''25'!K32&lt;'Entries December''25'!K31,"0",IF('Entries December''25'!K32&gt;='Entries December''25'!K31,'Entries December''25'!K32-'Entries December''25'!K31,(999999-'Entries December''25'!K31)+'Entries December''25'!K32+1))</f>
        <v>0</v>
      </c>
      <c r="I35" s="790">
        <f t="shared" si="3"/>
        <v>3529</v>
      </c>
      <c r="J35" s="792">
        <f>'Water '!Z32*10</f>
        <v>1040</v>
      </c>
      <c r="K35" s="790" t="str">
        <f>IF('Entries December''25'!B32-'Entries December''25'!B31&lt;1,"0",'Entries December''25'!B32-'Entries December''25'!B31)</f>
        <v>0</v>
      </c>
      <c r="L35" s="793">
        <f>'CO2'!E32</f>
        <v>0</v>
      </c>
      <c r="M35" s="794">
        <f>+'PROD.FIG. '!F30</f>
        <v>0</v>
      </c>
      <c r="N35" s="790">
        <f>+'PROD.FIG. '!C30</f>
        <v>0</v>
      </c>
      <c r="O35" s="790">
        <f>+'PROD.FIG. '!D30</f>
        <v>0</v>
      </c>
      <c r="P35" s="790">
        <f>+'PROD.FIG. '!E30</f>
        <v>0</v>
      </c>
      <c r="Q35" s="795">
        <v>0</v>
      </c>
      <c r="R35" s="417">
        <f t="shared" si="4"/>
        <v>0</v>
      </c>
      <c r="S35" s="417">
        <f t="shared" si="5"/>
        <v>0</v>
      </c>
      <c r="T35" s="417">
        <f t="shared" si="6"/>
        <v>0</v>
      </c>
      <c r="U35" s="417">
        <f t="shared" si="7"/>
        <v>0</v>
      </c>
    </row>
    <row r="36" spans="1:21" s="35" customFormat="1" ht="15" x14ac:dyDescent="0.25">
      <c r="A36" s="775">
        <v>27</v>
      </c>
      <c r="B36" s="775">
        <f>IF('Entries December''25'!I33&lt;'Entries December''25'!I32,"0",(IF('Entries December''25'!I33&gt;='Entries December''25'!I32,'Entries December''25'!I33-'Entries December''25'!I32,(999999-'Entries December''25'!I32)+'Entries December''25'!I33+1)))</f>
        <v>3866</v>
      </c>
      <c r="C36" s="775" t="str">
        <f>IF('Entries December''25'!J33&lt;='Entries December''25'!J32,"0",IF('Entries December''25'!J33&gt;='Entries December''25'!J32,'Entries December''25'!J33-'Entries December''25'!J32,(999999-'Entries December''25'!J32)+'Entries December''25'!J33+1))</f>
        <v>0</v>
      </c>
      <c r="D36" s="776">
        <f t="shared" si="8"/>
        <v>3866</v>
      </c>
      <c r="E36" s="850">
        <v>1324.5</v>
      </c>
      <c r="F36" s="849">
        <f t="shared" si="2"/>
        <v>5190.5</v>
      </c>
      <c r="G36" s="781">
        <f t="shared" si="0"/>
        <v>0.25517772854252962</v>
      </c>
      <c r="H36" s="777">
        <f>IF('Entries December''25'!K33&lt;'Entries December''25'!K32,"0",IF('Entries December''25'!K33&gt;='Entries December''25'!K32,'Entries December''25'!K33-'Entries December''25'!K32,(999999-'Entries December''25'!K32)+'Entries December''25'!K33+1))</f>
        <v>0</v>
      </c>
      <c r="I36" s="776">
        <f t="shared" si="3"/>
        <v>3866</v>
      </c>
      <c r="J36" s="777">
        <f>'Water '!Z33*10</f>
        <v>0</v>
      </c>
      <c r="K36" s="776" t="str">
        <f>IF('Entries December''25'!B33-'Entries December''25'!B32&lt;1,"0",'Entries December''25'!B33-'Entries December''25'!B32)</f>
        <v>0</v>
      </c>
      <c r="L36" s="778">
        <f>'CO2'!E33</f>
        <v>0</v>
      </c>
      <c r="M36" s="779">
        <f>+'PROD.FIG. '!F31</f>
        <v>0</v>
      </c>
      <c r="N36" s="776">
        <f>+'PROD.FIG. '!C31</f>
        <v>0</v>
      </c>
      <c r="O36" s="776">
        <f>+'PROD.FIG. '!D31</f>
        <v>0</v>
      </c>
      <c r="P36" s="776">
        <f>+'PROD.FIG. '!E31</f>
        <v>0</v>
      </c>
      <c r="Q36" s="780">
        <v>0</v>
      </c>
      <c r="R36" s="417">
        <f t="shared" si="4"/>
        <v>0</v>
      </c>
      <c r="S36" s="417">
        <f t="shared" si="5"/>
        <v>0</v>
      </c>
      <c r="T36" s="417">
        <f t="shared" si="6"/>
        <v>0</v>
      </c>
      <c r="U36" s="417">
        <f t="shared" si="7"/>
        <v>0</v>
      </c>
    </row>
    <row r="37" spans="1:21" ht="15" x14ac:dyDescent="0.25">
      <c r="A37" s="775">
        <v>28</v>
      </c>
      <c r="B37" s="775">
        <f>IF('Entries December''25'!I34&lt;'Entries December''25'!I33,"0",(IF('Entries December''25'!I34&gt;='Entries December''25'!I33,'Entries December''25'!I34-'Entries December''25'!I33,(999999-'Entries December''25'!I33)+'Entries December''25'!I34+1)))</f>
        <v>3501</v>
      </c>
      <c r="C37" s="775" t="str">
        <f>IF('Entries December''25'!J34&lt;='Entries December''25'!J33,"0",IF('Entries December''25'!J34&gt;='Entries December''25'!J33,'Entries December''25'!J34-'Entries December''25'!J33,(999999-'Entries December''25'!J33)+'Entries December''25'!J34+1))</f>
        <v>0</v>
      </c>
      <c r="D37" s="776">
        <f t="shared" si="8"/>
        <v>3501</v>
      </c>
      <c r="E37" s="850">
        <v>561.6</v>
      </c>
      <c r="F37" s="849">
        <f t="shared" si="2"/>
        <v>4062.6</v>
      </c>
      <c r="G37" s="781">
        <f t="shared" si="0"/>
        <v>0.1382365972529907</v>
      </c>
      <c r="H37" s="777">
        <f>IF('Entries December''25'!K34&lt;'Entries December''25'!K33,"0",IF('Entries December''25'!K34&gt;='Entries December''25'!K33,'Entries December''25'!K34-'Entries December''25'!K33,(999999-'Entries December''25'!K33)+'Entries December''25'!K34+1))</f>
        <v>0</v>
      </c>
      <c r="I37" s="776">
        <f t="shared" si="3"/>
        <v>3501</v>
      </c>
      <c r="J37" s="777">
        <f>'Water '!Z34*10</f>
        <v>0</v>
      </c>
      <c r="K37" s="776">
        <f>IF('Entries December''25'!B34-'Entries December''25'!B33&lt;1,"0",'Entries December''25'!B34-'Entries December''25'!B33)</f>
        <v>1020</v>
      </c>
      <c r="L37" s="778">
        <f>'CO2'!E34</f>
        <v>0</v>
      </c>
      <c r="M37" s="779">
        <f>+'PROD.FIG. '!F32</f>
        <v>0</v>
      </c>
      <c r="N37" s="776">
        <f>+'PROD.FIG. '!C32</f>
        <v>0</v>
      </c>
      <c r="O37" s="776">
        <f>+'PROD.FIG. '!D32</f>
        <v>0</v>
      </c>
      <c r="P37" s="776">
        <f>+'PROD.FIG. '!E32</f>
        <v>0</v>
      </c>
      <c r="Q37" s="780">
        <v>15.4275</v>
      </c>
      <c r="R37" s="417">
        <f t="shared" si="4"/>
        <v>226.93242586290714</v>
      </c>
      <c r="S37" s="417">
        <f t="shared" si="5"/>
        <v>0</v>
      </c>
      <c r="T37" s="417">
        <f t="shared" si="6"/>
        <v>0</v>
      </c>
      <c r="U37" s="417">
        <f t="shared" si="7"/>
        <v>0</v>
      </c>
    </row>
    <row r="38" spans="1:21" s="35" customFormat="1" ht="15" x14ac:dyDescent="0.25">
      <c r="A38" s="789">
        <v>29</v>
      </c>
      <c r="B38" s="789">
        <f>IF('Entries December''25'!I35&lt;'Entries December''25'!I34,"0",(IF('Entries December''25'!I35&gt;='Entries December''25'!I34,'Entries December''25'!I35-'Entries December''25'!I34,(999999-'Entries December''25'!I34)+'Entries December''25'!I35+1)))</f>
        <v>7041</v>
      </c>
      <c r="C38" s="789" t="str">
        <f>IF('Entries December''25'!J35&lt;='Entries December''25'!J34,"0",IF('Entries December''25'!J35&gt;='Entries December''25'!J34,'Entries December''25'!J35-'Entries December''25'!J34,(999999-'Entries December''25'!J34)+'Entries December''25'!J35+1))</f>
        <v>0</v>
      </c>
      <c r="D38" s="790">
        <f t="shared" si="8"/>
        <v>7041</v>
      </c>
      <c r="E38" s="849">
        <v>975.5</v>
      </c>
      <c r="F38" s="849">
        <f t="shared" si="2"/>
        <v>8016.5</v>
      </c>
      <c r="G38" s="791">
        <f t="shared" si="0"/>
        <v>0.12168652154930457</v>
      </c>
      <c r="H38" s="792">
        <f>IF('Entries December''25'!K35&lt;'Entries December''25'!K34,"0",IF('Entries December''25'!K35&gt;='Entries December''25'!K34,'Entries December''25'!K35-'Entries December''25'!K34,(999999-'Entries December''25'!K34)+'Entries December''25'!K35+1))</f>
        <v>0</v>
      </c>
      <c r="I38" s="790">
        <f t="shared" si="3"/>
        <v>7041</v>
      </c>
      <c r="J38" s="792">
        <f>'Water '!Z35*10</f>
        <v>4270</v>
      </c>
      <c r="K38" s="790">
        <f>IF('Entries December''25'!B35-'Entries December''25'!B34&lt;1,"0",'Entries December''25'!B35-'Entries December''25'!B34)</f>
        <v>3230</v>
      </c>
      <c r="L38" s="793">
        <f>'CO2'!E35</f>
        <v>2400</v>
      </c>
      <c r="M38" s="794">
        <f>+'PROD.FIG. '!F33</f>
        <v>0</v>
      </c>
      <c r="N38" s="790">
        <f>+'PROD.FIG. '!C33</f>
        <v>0</v>
      </c>
      <c r="O38" s="790">
        <f>+'PROD.FIG. '!D33</f>
        <v>0</v>
      </c>
      <c r="P38" s="790">
        <f>+'PROD.FIG. '!E33</f>
        <v>0</v>
      </c>
      <c r="Q38" s="795">
        <v>373.23</v>
      </c>
      <c r="R38" s="417">
        <f t="shared" si="4"/>
        <v>18.865043002974037</v>
      </c>
      <c r="S38" s="417">
        <f t="shared" si="5"/>
        <v>11.440666613080406</v>
      </c>
      <c r="T38" s="417">
        <f t="shared" si="6"/>
        <v>8.6541810679741715</v>
      </c>
      <c r="U38" s="417">
        <f t="shared" si="7"/>
        <v>6.4303512579374642</v>
      </c>
    </row>
    <row r="39" spans="1:21" ht="15" x14ac:dyDescent="0.25">
      <c r="A39" s="789">
        <v>30</v>
      </c>
      <c r="B39" s="789">
        <f>IF('Entries December''25'!I36&lt;'Entries December''25'!I35,"0",(IF('Entries December''25'!I36&gt;='Entries December''25'!I35,'Entries December''25'!I36-'Entries December''25'!I35,(999999-'Entries December''25'!I35)+'Entries December''25'!I36+1)))</f>
        <v>7806</v>
      </c>
      <c r="C39" s="789" t="str">
        <f>IF('Entries December''25'!J36&lt;='Entries December''25'!J35,"0",IF('Entries December''25'!J36&gt;='Entries December''25'!J35,'Entries December''25'!J36-'Entries December''25'!J35,(999999-'Entries December''25'!J35)+'Entries December''25'!J36+1))</f>
        <v>0</v>
      </c>
      <c r="D39" s="790">
        <f t="shared" si="8"/>
        <v>7806</v>
      </c>
      <c r="E39" s="849">
        <v>1196.3</v>
      </c>
      <c r="F39" s="849">
        <f t="shared" si="2"/>
        <v>9002.2999999999993</v>
      </c>
      <c r="G39" s="791">
        <f t="shared" si="0"/>
        <v>0.13288826188862846</v>
      </c>
      <c r="H39" s="792">
        <f>IF('Entries December''25'!K36&lt;'Entries December''25'!K35,"0",IF('Entries December''25'!K36&gt;='Entries December''25'!K35,'Entries December''25'!K36-'Entries December''25'!K35,(999999-'Entries December''25'!K35)+'Entries December''25'!K36+1))</f>
        <v>0</v>
      </c>
      <c r="I39" s="790">
        <f t="shared" si="3"/>
        <v>7806</v>
      </c>
      <c r="J39" s="792">
        <f>'Water '!Z36*10</f>
        <v>3510</v>
      </c>
      <c r="K39" s="790">
        <f>IF('Entries December''25'!B36-'Entries December''25'!B35&lt;1,"0",'Entries December''25'!B36-'Entries December''25'!B35)</f>
        <v>3660</v>
      </c>
      <c r="L39" s="793">
        <f>'CO2'!E36</f>
        <v>1700</v>
      </c>
      <c r="M39" s="794">
        <f>+'PROD.FIG. '!F34</f>
        <v>0</v>
      </c>
      <c r="N39" s="790">
        <f>+'PROD.FIG. '!C34</f>
        <v>0</v>
      </c>
      <c r="O39" s="790">
        <f>+'PROD.FIG. '!D34</f>
        <v>0</v>
      </c>
      <c r="P39" s="790">
        <f>+'PROD.FIG. '!E34</f>
        <v>0</v>
      </c>
      <c r="Q39" s="795">
        <v>513.01800000000003</v>
      </c>
      <c r="R39" s="417">
        <f t="shared" si="4"/>
        <v>15.215840379869711</v>
      </c>
      <c r="S39" s="417">
        <f t="shared" si="5"/>
        <v>6.8418651977123606</v>
      </c>
      <c r="T39" s="417">
        <f t="shared" si="6"/>
        <v>7.1342525993240002</v>
      </c>
      <c r="U39" s="417">
        <f t="shared" si="7"/>
        <v>3.3137238849319126</v>
      </c>
    </row>
    <row r="40" spans="1:21" s="35" customFormat="1" ht="15.6" thickBot="1" x14ac:dyDescent="0.3">
      <c r="A40" s="789">
        <v>31</v>
      </c>
      <c r="B40" s="789">
        <f>IF('Entries December''25'!I37&lt;'Entries December''25'!I36,"0",(IF('Entries December''25'!I37&gt;='Entries December''25'!I36,'Entries December''25'!I37-'Entries December''25'!I36,(999999-'Entries December''25'!I36)+'Entries December''25'!I37+1)))</f>
        <v>7082</v>
      </c>
      <c r="C40" s="789" t="str">
        <f>IF('Entries December''25'!J37&lt;='Entries December''25'!J36,"0",IF('Entries December''25'!J37&gt;='Entries December''25'!J36,'Entries December''25'!J37-'Entries December''25'!J36,(999999-'Entries December''25'!J36)+'Entries December''25'!J37+1))</f>
        <v>0</v>
      </c>
      <c r="D40" s="790">
        <f t="shared" si="8"/>
        <v>7082</v>
      </c>
      <c r="E40" s="849">
        <v>1307.3</v>
      </c>
      <c r="F40" s="849">
        <f t="shared" si="2"/>
        <v>8389.2999999999993</v>
      </c>
      <c r="G40" s="791">
        <f t="shared" si="0"/>
        <v>0.15582944941771065</v>
      </c>
      <c r="H40" s="792">
        <f>IF('Entries December''25'!K37&lt;'Entries December''25'!K36,"0",IF('Entries December''25'!K37&gt;='Entries December''25'!K36,'Entries December''25'!K37-'Entries December''25'!K36,(999999-'Entries December''25'!K36)+'Entries December''25'!K37+1))</f>
        <v>0</v>
      </c>
      <c r="I40" s="790">
        <f t="shared" si="3"/>
        <v>7082</v>
      </c>
      <c r="J40" s="792">
        <f>'Water '!Z37*10</f>
        <v>3150</v>
      </c>
      <c r="K40" s="790">
        <f>IF('Entries December''25'!B37-'Entries December''25'!B36&lt;1,"0",'Entries December''25'!B37-'Entries December''25'!B36)</f>
        <v>2570</v>
      </c>
      <c r="L40" s="793">
        <f>'CO2'!E37</f>
        <v>1600</v>
      </c>
      <c r="M40" s="796"/>
      <c r="N40" s="797"/>
      <c r="O40" s="797"/>
      <c r="P40" s="797"/>
      <c r="Q40" s="798">
        <v>430.51800000000003</v>
      </c>
      <c r="R40" s="418">
        <f t="shared" si="4"/>
        <v>16.449950989273386</v>
      </c>
      <c r="S40" s="417">
        <f t="shared" si="5"/>
        <v>7.3167672431814692</v>
      </c>
      <c r="T40" s="417">
        <f t="shared" si="6"/>
        <v>5.9695529571353578</v>
      </c>
      <c r="U40" s="417">
        <f t="shared" si="7"/>
        <v>3.7164532028858255</v>
      </c>
    </row>
    <row r="41" spans="1:21" ht="15.6" thickBot="1" x14ac:dyDescent="0.3">
      <c r="A41" s="25"/>
      <c r="B41" s="407"/>
      <c r="C41" s="407"/>
      <c r="D41" s="5"/>
      <c r="E41" s="769"/>
      <c r="F41" s="769"/>
      <c r="G41" s="783"/>
      <c r="H41" s="5"/>
      <c r="I41" s="5"/>
      <c r="J41" s="6"/>
      <c r="K41" s="6"/>
      <c r="L41" s="6"/>
      <c r="M41" s="6"/>
      <c r="N41" s="6"/>
      <c r="O41" s="6"/>
      <c r="P41" s="6"/>
      <c r="Q41" s="425"/>
      <c r="R41" s="437" t="s">
        <v>86</v>
      </c>
      <c r="S41" s="438"/>
      <c r="T41" s="438"/>
      <c r="U41" s="439"/>
    </row>
    <row r="42" spans="1:21" ht="15" x14ac:dyDescent="0.25">
      <c r="A42" s="6"/>
      <c r="B42" s="6"/>
      <c r="C42" s="6"/>
      <c r="D42" s="27" t="s">
        <v>21</v>
      </c>
      <c r="E42" s="770"/>
      <c r="F42" s="770"/>
      <c r="G42" s="784"/>
      <c r="H42" s="27" t="s">
        <v>21</v>
      </c>
      <c r="I42" s="27" t="s">
        <v>21</v>
      </c>
      <c r="J42" s="27" t="s">
        <v>84</v>
      </c>
      <c r="K42" s="27" t="s">
        <v>85</v>
      </c>
      <c r="L42" s="27" t="s">
        <v>92</v>
      </c>
      <c r="M42" s="27" t="s">
        <v>20</v>
      </c>
      <c r="N42" s="27" t="s">
        <v>20</v>
      </c>
      <c r="O42" s="27" t="s">
        <v>20</v>
      </c>
      <c r="P42" s="27" t="s">
        <v>20</v>
      </c>
      <c r="Q42" s="426" t="s">
        <v>20</v>
      </c>
      <c r="R42" s="429" t="s">
        <v>14</v>
      </c>
      <c r="S42" s="430" t="s">
        <v>15</v>
      </c>
      <c r="T42" s="430" t="s">
        <v>9</v>
      </c>
      <c r="U42" s="431" t="s">
        <v>67</v>
      </c>
    </row>
    <row r="43" spans="1:21" ht="15.6" x14ac:dyDescent="0.3">
      <c r="A43" s="19" t="s">
        <v>19</v>
      </c>
      <c r="B43" s="19"/>
      <c r="C43" s="19"/>
      <c r="D43" s="20">
        <f>SUM(D10:D40)</f>
        <v>191578</v>
      </c>
      <c r="E43" s="20">
        <f>SUM(E10:E40)</f>
        <v>35002.700000000004</v>
      </c>
      <c r="F43" s="20">
        <f>SUM(F10:F40)</f>
        <v>226580.69999999998</v>
      </c>
      <c r="G43" s="781">
        <f>E43/(D43+E43)</f>
        <v>0.15448226614182056</v>
      </c>
      <c r="H43" s="20">
        <f t="shared" ref="H43:Q43" si="9">SUM(H10:H40)</f>
        <v>0</v>
      </c>
      <c r="I43" s="20">
        <f t="shared" si="9"/>
        <v>191578</v>
      </c>
      <c r="J43" s="20">
        <f t="shared" si="9"/>
        <v>90620</v>
      </c>
      <c r="K43" s="20">
        <f t="shared" si="9"/>
        <v>75990</v>
      </c>
      <c r="L43" s="20">
        <f t="shared" si="9"/>
        <v>54700</v>
      </c>
      <c r="M43" s="20">
        <f t="shared" si="9"/>
        <v>0</v>
      </c>
      <c r="N43" s="20">
        <f t="shared" si="9"/>
        <v>0</v>
      </c>
      <c r="O43" s="20">
        <f t="shared" si="9"/>
        <v>0</v>
      </c>
      <c r="P43" s="20">
        <f t="shared" si="9"/>
        <v>0</v>
      </c>
      <c r="Q43" s="427">
        <f t="shared" si="9"/>
        <v>9272.0823</v>
      </c>
      <c r="R43" s="432" t="s">
        <v>13</v>
      </c>
      <c r="S43" s="433" t="s">
        <v>65</v>
      </c>
      <c r="T43" s="433" t="s">
        <v>16</v>
      </c>
      <c r="U43" s="434" t="s">
        <v>68</v>
      </c>
    </row>
    <row r="44" spans="1:21" ht="15.6" thickBot="1" x14ac:dyDescent="0.3">
      <c r="A44" s="4"/>
      <c r="B44" s="4"/>
      <c r="C44" s="4"/>
      <c r="D44" s="7"/>
      <c r="E44" s="771"/>
      <c r="F44" s="771"/>
      <c r="G44" s="785"/>
      <c r="H44" s="7"/>
      <c r="I44" s="419"/>
      <c r="J44" s="6"/>
      <c r="K44" s="6"/>
      <c r="L44" s="6"/>
      <c r="M44" s="6"/>
      <c r="N44" s="6"/>
      <c r="O44" s="6"/>
      <c r="P44" s="6"/>
      <c r="Q44" s="425"/>
      <c r="R44" s="421">
        <f>IF(Q43=0,0,I43/Q43)</f>
        <v>20.661809699424261</v>
      </c>
      <c r="S44" s="422">
        <f>IF(R44=0,0,J43/Q43)</f>
        <v>9.7734248972315534</v>
      </c>
      <c r="T44" s="422">
        <f>IF(S44=0,0,K43/Q43)</f>
        <v>8.1955700501062196</v>
      </c>
      <c r="U44" s="423">
        <f>IF(T44=0,0,L43/Q43)</f>
        <v>5.8994299478985424</v>
      </c>
    </row>
    <row r="45" spans="1:21" ht="15" x14ac:dyDescent="0.25">
      <c r="A45" s="2"/>
      <c r="B45" s="2"/>
      <c r="C45" s="2"/>
      <c r="D45" s="2"/>
      <c r="E45" s="772"/>
      <c r="F45" s="772"/>
      <c r="G45" s="786"/>
      <c r="H45" s="2"/>
      <c r="I45" s="420"/>
      <c r="J45" s="2"/>
      <c r="K45" s="2"/>
      <c r="L45" s="2"/>
      <c r="M45" s="2"/>
      <c r="N45" s="2"/>
      <c r="O45" s="2"/>
      <c r="P45" s="2"/>
      <c r="Q45" s="428"/>
      <c r="R45" s="435"/>
      <c r="S45" s="6"/>
      <c r="T45" s="6"/>
      <c r="U45" s="2"/>
    </row>
    <row r="46" spans="1:21" ht="15" x14ac:dyDescent="0.25">
      <c r="I46" s="420"/>
      <c r="R46" s="436"/>
      <c r="S46" s="2"/>
      <c r="T46" s="2"/>
      <c r="U46" s="2"/>
    </row>
    <row r="47" spans="1:21" x14ac:dyDescent="0.25">
      <c r="D47" s="906"/>
      <c r="E47" s="906"/>
      <c r="F47" s="906"/>
      <c r="G47" s="906"/>
      <c r="H47" s="906"/>
      <c r="I47" s="906"/>
      <c r="J47" s="906"/>
    </row>
    <row r="49" spans="4:10" x14ac:dyDescent="0.25">
      <c r="H49" t="s">
        <v>58</v>
      </c>
    </row>
    <row r="50" spans="4:10" x14ac:dyDescent="0.25">
      <c r="D50" s="81" t="s">
        <v>58</v>
      </c>
      <c r="E50" s="773"/>
      <c r="F50" s="773"/>
      <c r="G50" s="787"/>
    </row>
    <row r="54" spans="4:10" x14ac:dyDescent="0.25">
      <c r="J54" s="81" t="s">
        <v>58</v>
      </c>
    </row>
  </sheetData>
  <mergeCells count="9">
    <mergeCell ref="A7:A9"/>
    <mergeCell ref="D47:J47"/>
    <mergeCell ref="R7:U7"/>
    <mergeCell ref="H7:H8"/>
    <mergeCell ref="I7:I8"/>
    <mergeCell ref="M7:Q7"/>
    <mergeCell ref="G7:G9"/>
    <mergeCell ref="D7:D9"/>
    <mergeCell ref="E7:E9"/>
  </mergeCells>
  <phoneticPr fontId="0" type="noConversion"/>
  <conditionalFormatting sqref="R10:R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S10:S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T10:T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U10:U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2" workbookViewId="0">
      <selection activeCell="A36" sqref="A36"/>
    </sheetView>
  </sheetViews>
  <sheetFormatPr defaultRowHeight="13.2" x14ac:dyDescent="0.25"/>
  <cols>
    <col min="2" max="2" width="13.33203125" customWidth="1"/>
    <col min="3" max="3" width="9.109375" style="347"/>
  </cols>
  <sheetData>
    <row r="1" spans="1:4" ht="15" x14ac:dyDescent="0.25">
      <c r="A1" s="8"/>
      <c r="B1" s="8"/>
    </row>
    <row r="2" spans="1:4" ht="15.6" thickBot="1" x14ac:dyDescent="0.3">
      <c r="A2" s="8"/>
      <c r="B2" s="8"/>
    </row>
    <row r="3" spans="1:4" x14ac:dyDescent="0.25">
      <c r="A3" s="922" t="s">
        <v>7</v>
      </c>
      <c r="B3" s="924" t="s">
        <v>239</v>
      </c>
    </row>
    <row r="4" spans="1:4" ht="15" customHeight="1" x14ac:dyDescent="0.25">
      <c r="A4" s="923"/>
      <c r="B4" s="925"/>
    </row>
    <row r="5" spans="1:4" ht="15" x14ac:dyDescent="0.25">
      <c r="A5" s="36">
        <v>1</v>
      </c>
      <c r="B5" s="44">
        <f>IF('Entries December''25'!AJ7-'Entries December''25'!AJ6&lt;1,"0",'Entries December''25'!AJ7-'Entries December''25'!AJ6)</f>
        <v>71.315999999642372</v>
      </c>
      <c r="D5" s="348"/>
    </row>
    <row r="6" spans="1:4" ht="15" x14ac:dyDescent="0.25">
      <c r="A6" s="36">
        <v>2</v>
      </c>
      <c r="B6" s="44" t="str">
        <f>IF('Entries December''25'!AJ8-'Entries December''25'!AJ7&lt;1,"0",'Entries December''25'!AJ8-'Entries December''25'!AJ7)</f>
        <v>0</v>
      </c>
      <c r="D6" s="348"/>
    </row>
    <row r="7" spans="1:4" ht="15" x14ac:dyDescent="0.25">
      <c r="A7" s="36">
        <v>3</v>
      </c>
      <c r="B7" s="44" t="str">
        <f>IF('Entries December''25'!AJ9-'Entries December''25'!AJ8&lt;1,"0",'Entries December''25'!AJ9-'Entries December''25'!AJ8)</f>
        <v>0</v>
      </c>
      <c r="D7" s="348"/>
    </row>
    <row r="8" spans="1:4" ht="15" x14ac:dyDescent="0.25">
      <c r="A8" s="36">
        <v>4</v>
      </c>
      <c r="B8" s="44" t="str">
        <f>IF('Entries December''25'!AJ10-'Entries December''25'!AJ9&lt;1,"0",'Entries December''25'!AJ10-'Entries December''25'!AJ9)</f>
        <v>0</v>
      </c>
      <c r="D8" s="348"/>
    </row>
    <row r="9" spans="1:4" ht="15" customHeight="1" x14ac:dyDescent="0.25">
      <c r="A9" s="36">
        <v>5</v>
      </c>
      <c r="B9" s="44" t="str">
        <f>IF('Entries December''25'!AJ11-'Entries December''25'!AJ10&lt;1,"0",'Entries December''25'!AJ11-'Entries December''25'!AJ10)</f>
        <v>0</v>
      </c>
      <c r="D9" s="348"/>
    </row>
    <row r="10" spans="1:4" ht="15" x14ac:dyDescent="0.25">
      <c r="A10" s="36">
        <v>6</v>
      </c>
      <c r="B10" s="44" t="str">
        <f>IF('Entries December''25'!AJ12-'Entries December''25'!AJ11&lt;1,"0",'Entries December''25'!AJ12-'Entries December''25'!AJ11)</f>
        <v>0</v>
      </c>
      <c r="D10" s="348"/>
    </row>
    <row r="11" spans="1:4" ht="15" x14ac:dyDescent="0.25">
      <c r="A11" s="36">
        <v>7</v>
      </c>
      <c r="B11" s="44" t="str">
        <f>IF('Entries December''25'!AJ13-'Entries December''25'!AJ12&lt;1,"0",'Entries December''25'!AJ13-'Entries December''25'!AJ12)</f>
        <v>0</v>
      </c>
      <c r="D11" s="348"/>
    </row>
    <row r="12" spans="1:4" ht="15" x14ac:dyDescent="0.25">
      <c r="A12" s="36">
        <v>8</v>
      </c>
      <c r="B12" s="44" t="str">
        <f>IF('Entries December''25'!AJ14-'Entries December''25'!AJ13&lt;1,"0",'Entries December''25'!AJ14-'Entries December''25'!AJ13)</f>
        <v>0</v>
      </c>
      <c r="D12" s="348"/>
    </row>
    <row r="13" spans="1:4" ht="15" x14ac:dyDescent="0.25">
      <c r="A13" s="36">
        <v>9</v>
      </c>
      <c r="B13" s="44" t="str">
        <f>IF('Entries December''25'!AJ15-'Entries December''25'!AJ14&lt;1,"0",'Entries December''25'!AJ15-'Entries December''25'!AJ14)</f>
        <v>0</v>
      </c>
      <c r="D13" s="348"/>
    </row>
    <row r="14" spans="1:4" ht="15" x14ac:dyDescent="0.25">
      <c r="A14" s="36">
        <v>10</v>
      </c>
      <c r="B14" s="44" t="str">
        <f>IF('Entries December''25'!AJ16-'Entries December''25'!AJ15&lt;1,"0",'Entries December''25'!AJ16-'Entries December''25'!AJ15)</f>
        <v>0</v>
      </c>
      <c r="D14" s="348"/>
    </row>
    <row r="15" spans="1:4" ht="15" x14ac:dyDescent="0.25">
      <c r="A15" s="36">
        <v>11</v>
      </c>
      <c r="B15" s="44" t="str">
        <f>IF('Entries December''25'!AJ17-'Entries December''25'!AJ16&lt;1,"0",'Entries December''25'!AJ17-'Entries December''25'!AJ16)</f>
        <v>0</v>
      </c>
      <c r="D15" s="348"/>
    </row>
    <row r="16" spans="1:4" ht="15" x14ac:dyDescent="0.25">
      <c r="A16" s="36">
        <v>12</v>
      </c>
      <c r="B16" s="44" t="str">
        <f>IF('Entries December''25'!AJ18-'Entries December''25'!AJ17&lt;1,"0",'Entries December''25'!AJ18-'Entries December''25'!AJ17)</f>
        <v>0</v>
      </c>
      <c r="D16" s="348"/>
    </row>
    <row r="17" spans="1:4" ht="15" x14ac:dyDescent="0.25">
      <c r="A17" s="36">
        <v>13</v>
      </c>
      <c r="B17" s="44">
        <f>IF('Entries December''25'!AJ19-'Entries December''25'!AJ18&lt;1,"0",'Entries December''25'!AJ19-'Entries December''25'!AJ18)</f>
        <v>70.560000000521541</v>
      </c>
      <c r="D17" s="348"/>
    </row>
    <row r="18" spans="1:4" ht="15" x14ac:dyDescent="0.25">
      <c r="A18" s="36">
        <v>14</v>
      </c>
      <c r="B18" s="44" t="str">
        <f>IF('Entries December''25'!AJ20-'Entries December''25'!AJ19&lt;1,"0",'Entries December''25'!AJ20-'Entries December''25'!AJ19)</f>
        <v>0</v>
      </c>
      <c r="D18" s="348"/>
    </row>
    <row r="19" spans="1:4" ht="15" x14ac:dyDescent="0.25">
      <c r="A19" s="36">
        <v>15</v>
      </c>
      <c r="B19" s="44">
        <f>IF('Entries December''25'!AJ21-'Entries December''25'!AJ20&lt;1,"0",'Entries December''25'!AJ21-'Entries December''25'!AJ20)</f>
        <v>25.122999999672174</v>
      </c>
      <c r="D19" s="348"/>
    </row>
    <row r="20" spans="1:4" ht="15" x14ac:dyDescent="0.25">
      <c r="A20" s="36">
        <v>16</v>
      </c>
      <c r="B20" s="44" t="str">
        <f>IF('Entries December''25'!AJ22-'Entries December''25'!AJ21&lt;1,"0",'Entries December''25'!AJ22-'Entries December''25'!AJ21)</f>
        <v>0</v>
      </c>
      <c r="D20" s="348"/>
    </row>
    <row r="21" spans="1:4" ht="15" x14ac:dyDescent="0.25">
      <c r="A21" s="36">
        <v>17</v>
      </c>
      <c r="B21" s="44" t="str">
        <f>IF('Entries December''25'!AJ23-'Entries December''25'!AJ22&lt;1,"0",'Entries December''25'!AJ23-'Entries December''25'!AJ22)</f>
        <v>0</v>
      </c>
      <c r="D21" s="348"/>
    </row>
    <row r="22" spans="1:4" ht="15" x14ac:dyDescent="0.25">
      <c r="A22" s="36">
        <v>18</v>
      </c>
      <c r="B22" s="44" t="str">
        <f>IF('Entries December''25'!AJ24-'Entries December''25'!AJ23&lt;1,"0",'Entries December''25'!AJ24-'Entries December''25'!AJ23)</f>
        <v>0</v>
      </c>
      <c r="D22" s="348"/>
    </row>
    <row r="23" spans="1:4" ht="15" x14ac:dyDescent="0.25">
      <c r="A23" s="36">
        <v>19</v>
      </c>
      <c r="B23" s="44" t="str">
        <f>IF('Entries December''25'!AJ25-'Entries December''25'!AJ24&lt;1,"0",'Entries December''25'!AJ25-'Entries December''25'!AJ24)</f>
        <v>0</v>
      </c>
      <c r="D23" s="348"/>
    </row>
    <row r="24" spans="1:4" ht="15" x14ac:dyDescent="0.25">
      <c r="A24" s="36">
        <v>20</v>
      </c>
      <c r="B24" s="44" t="str">
        <f>IF('Entries December''25'!AJ26-'Entries December''25'!AJ25&lt;1,"0",'Entries December''25'!AJ26-'Entries December''25'!AJ25)</f>
        <v>0</v>
      </c>
      <c r="D24" s="348"/>
    </row>
    <row r="25" spans="1:4" ht="15" x14ac:dyDescent="0.25">
      <c r="A25" s="36">
        <v>21</v>
      </c>
      <c r="B25" s="44" t="str">
        <f>IF('Entries December''25'!AJ27-'Entries December''25'!AJ26&lt;1,"0",'Entries December''25'!AJ27-'Entries December''25'!AJ26)</f>
        <v>0</v>
      </c>
      <c r="D25" s="348"/>
    </row>
    <row r="26" spans="1:4" ht="15" x14ac:dyDescent="0.25">
      <c r="A26" s="36">
        <v>22</v>
      </c>
      <c r="B26" s="44" t="str">
        <f>IF('Entries December''25'!AJ28-'Entries December''25'!AJ27&lt;1,"0",'Entries December''25'!AJ28-'Entries December''25'!AJ27)</f>
        <v>0</v>
      </c>
      <c r="D26" s="348"/>
    </row>
    <row r="27" spans="1:4" ht="15" x14ac:dyDescent="0.25">
      <c r="A27" s="36">
        <v>23</v>
      </c>
      <c r="B27" s="44" t="str">
        <f>IF('Entries December''25'!AJ29-'Entries December''25'!AJ28&lt;1,"0",'Entries December''25'!AJ29-'Entries December''25'!AJ28)</f>
        <v>0</v>
      </c>
      <c r="D27" s="348"/>
    </row>
    <row r="28" spans="1:4" ht="15" x14ac:dyDescent="0.25">
      <c r="A28" s="36">
        <v>24</v>
      </c>
      <c r="B28" s="44">
        <f>IF('Entries December''25'!AJ30-'Entries December''25'!AJ29&lt;1,"0",'Entries December''25'!AJ30-'Entries December''25'!AJ29)</f>
        <v>2.2410000003874302</v>
      </c>
      <c r="D28" s="348"/>
    </row>
    <row r="29" spans="1:4" ht="15" x14ac:dyDescent="0.25">
      <c r="A29" s="36">
        <v>25</v>
      </c>
      <c r="B29" s="44" t="str">
        <f>IF('Entries December''25'!AJ31-'Entries December''25'!AJ30&lt;1,"0",'Entries December''25'!AJ31-'Entries December''25'!AJ30)</f>
        <v>0</v>
      </c>
      <c r="D29" s="348"/>
    </row>
    <row r="30" spans="1:4" ht="15" x14ac:dyDescent="0.25">
      <c r="A30" s="36">
        <v>26</v>
      </c>
      <c r="B30" s="44" t="str">
        <f>IF('Entries December''25'!AJ32-'Entries December''25'!AJ31&lt;1,"0",'Entries December''25'!AJ32-'Entries December''25'!AJ31)</f>
        <v>0</v>
      </c>
      <c r="D30" s="348"/>
    </row>
    <row r="31" spans="1:4" ht="15" x14ac:dyDescent="0.25">
      <c r="A31" s="36">
        <v>27</v>
      </c>
      <c r="B31" s="44" t="str">
        <f>IF('Entries December''25'!AJ33-'Entries December''25'!AJ32&lt;1,"0",'Entries December''25'!AJ33-'Entries December''25'!AJ32)</f>
        <v>0</v>
      </c>
      <c r="D31" s="348"/>
    </row>
    <row r="32" spans="1:4" ht="15" x14ac:dyDescent="0.25">
      <c r="A32" s="36">
        <v>28</v>
      </c>
      <c r="B32" s="44" t="str">
        <f>IF('Entries December''25'!AJ34-'Entries December''25'!AJ33&lt;1,"0",'Entries December''25'!AJ34-'Entries December''25'!AJ33)</f>
        <v>0</v>
      </c>
      <c r="D32" s="348"/>
    </row>
    <row r="33" spans="1:2" ht="15" x14ac:dyDescent="0.25">
      <c r="A33" s="36">
        <v>29</v>
      </c>
      <c r="B33" s="44" t="str">
        <f>IF('Entries December''25'!AJ35-'Entries December''25'!AJ34&lt;1,"0",'Entries December''25'!AJ35-'Entries December''25'!AJ34)</f>
        <v>0</v>
      </c>
    </row>
    <row r="34" spans="1:2" ht="15" x14ac:dyDescent="0.25">
      <c r="A34" s="36">
        <v>30</v>
      </c>
      <c r="B34" s="44" t="str">
        <f>IF('Entries December''25'!AJ36-'Entries December''25'!AJ35&lt;1,"0",'Entries December''25'!AJ36-'Entries December''25'!AJ35)</f>
        <v>0</v>
      </c>
    </row>
    <row r="35" spans="1:2" ht="15" x14ac:dyDescent="0.25">
      <c r="A35" s="36">
        <v>31</v>
      </c>
      <c r="B35" s="44">
        <f>IF('Entries December''25'!AJ37-'Entries December''25'!AJ36&lt;1,"0",'Entries December''25'!AJ37-'Entries December''25'!AJ36)</f>
        <v>19044.019999999553</v>
      </c>
    </row>
    <row r="36" spans="1:2" ht="15.6" x14ac:dyDescent="0.3">
      <c r="A36" s="41"/>
      <c r="B36" s="361">
        <f>SUM(B5:B35)</f>
        <v>19213.259999999776</v>
      </c>
    </row>
    <row r="37" spans="1:2" ht="15" x14ac:dyDescent="0.25">
      <c r="A37" s="8"/>
      <c r="B37" s="8"/>
    </row>
    <row r="38" spans="1:2" ht="15" x14ac:dyDescent="0.25">
      <c r="A38" s="8"/>
      <c r="B38" s="8"/>
    </row>
    <row r="39" spans="1:2" ht="15" x14ac:dyDescent="0.25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colorId="22" zoomScaleNormal="100" workbookViewId="0">
      <selection activeCell="A33" activeCellId="2" sqref="A19:K20 A26:K27 A33:K34"/>
    </sheetView>
  </sheetViews>
  <sheetFormatPr defaultColWidth="12.5546875" defaultRowHeight="15" x14ac:dyDescent="0.25"/>
  <cols>
    <col min="1" max="1" width="7.6640625" style="8" customWidth="1"/>
    <col min="2" max="2" width="13.44140625" style="29" bestFit="1" customWidth="1"/>
    <col min="3" max="3" width="14" style="8" customWidth="1"/>
    <col min="4" max="4" width="14.6640625" style="29" customWidth="1"/>
    <col min="5" max="5" width="11.33203125" style="8" bestFit="1" customWidth="1"/>
    <col min="6" max="6" width="11.6640625" style="8" customWidth="1"/>
    <col min="7" max="7" width="9.6640625" style="8" customWidth="1"/>
    <col min="8" max="11" width="13.6640625" style="8" customWidth="1"/>
    <col min="12" max="12" width="12" style="363" customWidth="1"/>
    <col min="13" max="13" width="15.5546875" style="8" bestFit="1" customWidth="1"/>
    <col min="14" max="14" width="12.5546875" style="189"/>
    <col min="15" max="15" width="12.5546875" style="8"/>
    <col min="16" max="16" width="12.5546875" style="354"/>
    <col min="17" max="16384" width="12.5546875" style="8"/>
  </cols>
  <sheetData>
    <row r="1" spans="1:16" ht="15.6" x14ac:dyDescent="0.3">
      <c r="A1" s="926" t="s">
        <v>297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</row>
    <row r="2" spans="1:16" x14ac:dyDescent="0.25">
      <c r="B2" s="8"/>
      <c r="D2" s="8"/>
      <c r="F2" s="9"/>
    </row>
    <row r="3" spans="1:16" ht="15.6" thickBot="1" x14ac:dyDescent="0.3">
      <c r="B3" s="8"/>
      <c r="D3" s="8"/>
      <c r="F3" s="9"/>
    </row>
    <row r="4" spans="1:16" s="73" customFormat="1" ht="15.6" x14ac:dyDescent="0.3">
      <c r="A4" s="932" t="s">
        <v>7</v>
      </c>
      <c r="B4" s="367" t="s">
        <v>27</v>
      </c>
      <c r="C4" s="368" t="s">
        <v>27</v>
      </c>
      <c r="D4" s="368" t="s">
        <v>24</v>
      </c>
      <c r="E4" s="368" t="s">
        <v>24</v>
      </c>
      <c r="F4" s="368" t="s">
        <v>38</v>
      </c>
      <c r="G4" s="368" t="s">
        <v>39</v>
      </c>
      <c r="H4" s="368" t="s">
        <v>40</v>
      </c>
      <c r="I4" s="368" t="s">
        <v>41</v>
      </c>
      <c r="J4" s="368" t="s">
        <v>42</v>
      </c>
      <c r="K4" s="368" t="s">
        <v>43</v>
      </c>
      <c r="L4" s="928" t="s">
        <v>247</v>
      </c>
      <c r="M4" s="930" t="s">
        <v>250</v>
      </c>
      <c r="N4" s="343"/>
      <c r="O4" s="343"/>
      <c r="P4" s="355"/>
    </row>
    <row r="5" spans="1:16" s="73" customFormat="1" ht="16.2" thickBot="1" x14ac:dyDescent="0.35">
      <c r="A5" s="933"/>
      <c r="B5" s="375" t="s">
        <v>44</v>
      </c>
      <c r="C5" s="376" t="s">
        <v>34</v>
      </c>
      <c r="D5" s="376" t="s">
        <v>44</v>
      </c>
      <c r="E5" s="376" t="s">
        <v>34</v>
      </c>
      <c r="F5" s="376" t="s">
        <v>44</v>
      </c>
      <c r="G5" s="376" t="s">
        <v>34</v>
      </c>
      <c r="H5" s="376" t="s">
        <v>45</v>
      </c>
      <c r="I5" s="376" t="s">
        <v>45</v>
      </c>
      <c r="J5" s="376" t="s">
        <v>46</v>
      </c>
      <c r="K5" s="376" t="s">
        <v>47</v>
      </c>
      <c r="L5" s="929"/>
      <c r="M5" s="931"/>
      <c r="N5" s="343"/>
      <c r="O5" s="343"/>
      <c r="P5" s="355"/>
    </row>
    <row r="6" spans="1:16" x14ac:dyDescent="0.25">
      <c r="A6" s="763"/>
      <c r="B6" s="764"/>
      <c r="C6" s="765"/>
      <c r="D6" s="765"/>
      <c r="E6" s="765"/>
      <c r="F6" s="765"/>
      <c r="G6" s="765"/>
      <c r="H6" s="765"/>
      <c r="I6" s="765"/>
      <c r="J6" s="765"/>
      <c r="K6" s="765"/>
      <c r="L6" s="364"/>
      <c r="M6" s="374"/>
      <c r="O6" s="189"/>
      <c r="P6" s="338"/>
    </row>
    <row r="7" spans="1:16" x14ac:dyDescent="0.25">
      <c r="A7" s="807">
        <v>1</v>
      </c>
      <c r="B7" s="808">
        <f>IF('Entries December''25'!B7-'Entries December''25'!B6&lt;1,"0",'Entries December''25'!B7-'Entries December''25'!B6)</f>
        <v>2790</v>
      </c>
      <c r="C7" s="809">
        <f>IF('Entries December''25'!F7-'Entries December''25'!F6&lt;1,"0",'Entries December''25'!F7-'Entries December''25'!F6)</f>
        <v>18.799999999999272</v>
      </c>
      <c r="D7" s="809">
        <f>IF('Entries December''25'!C6=0,0,+'Entries December''25'!C6-'Entries December''25'!#REF!)</f>
        <v>0</v>
      </c>
      <c r="E7" s="809" t="str">
        <f>IF('Entries December''25'!G7-'Entries December''25'!G6&lt;1,"0",'Entries December''25'!G7-'Entries December''25'!G6)</f>
        <v>0</v>
      </c>
      <c r="F7" s="809"/>
      <c r="G7" s="809"/>
      <c r="H7" s="810">
        <f>IF(C7+E7=0,"0", B7/(C7+E7))</f>
        <v>148.40425531915469</v>
      </c>
      <c r="I7" s="810" t="str">
        <f>IF(E7=0,"0", D7/E7)</f>
        <v>0</v>
      </c>
      <c r="J7" s="810" t="str">
        <f>IF(G7=0,"0", F7/G7)</f>
        <v>0</v>
      </c>
      <c r="K7" s="809">
        <f>B7+D7+F7</f>
        <v>2790</v>
      </c>
      <c r="L7" s="366" cm="1">
        <f t="array" ref="L7:L37">IF(TRANSPOSE('Daily KPIs'!B9:AF9)=0,"0",TRANSPOSE('Daily KPIs'!B9:AF9))</f>
        <v>455.13600000000002</v>
      </c>
      <c r="M7" s="369">
        <f>IF(L7=0,"0",(K7/L7))</f>
        <v>6.1300358574140477</v>
      </c>
      <c r="O7" s="337"/>
      <c r="P7" s="337"/>
    </row>
    <row r="8" spans="1:16" x14ac:dyDescent="0.25">
      <c r="A8" s="807">
        <v>2</v>
      </c>
      <c r="B8" s="808">
        <f>IF('Entries December''25'!B8-'Entries December''25'!B7&lt;1,"0",'Entries December''25'!B8-'Entries December''25'!B7)</f>
        <v>3130</v>
      </c>
      <c r="C8" s="809">
        <f>IF('Entries December''25'!F8-'Entries December''25'!F7&lt;1,"0",'Entries December''25'!F8-'Entries December''25'!F7)</f>
        <v>20.800000000000182</v>
      </c>
      <c r="D8" s="809">
        <f>IF('Entries December''25'!C7=0,0,+'Entries December''25'!C7-'Entries December''25'!C6)</f>
        <v>0</v>
      </c>
      <c r="E8" s="809" t="str">
        <f>IF('Entries December''25'!G8-'Entries December''25'!G7&lt;1,"0",'Entries December''25'!G8-'Entries December''25'!G7)</f>
        <v>0</v>
      </c>
      <c r="F8" s="809"/>
      <c r="G8" s="809"/>
      <c r="H8" s="810">
        <f>IF(C8+E8=0,"0", B8/(C8+E8))</f>
        <v>150.48076923076792</v>
      </c>
      <c r="I8" s="810" t="str">
        <f t="shared" ref="I8:I36" si="0">IF(E8=0,"0", D8/E8)</f>
        <v>0</v>
      </c>
      <c r="J8" s="810" t="str">
        <f t="shared" ref="J8:J36" si="1">IF(G8=0,"0", F8/G8)</f>
        <v>0</v>
      </c>
      <c r="K8" s="809">
        <f t="shared" ref="K8:K36" si="2">B8+D8+F8</f>
        <v>3130</v>
      </c>
      <c r="L8" s="365">
        <v>211.92600000000002</v>
      </c>
      <c r="M8" s="369">
        <f t="shared" ref="M8:M36" si="3">IF(L8=0,"0",(K8/L8))</f>
        <v>14.769306267281975</v>
      </c>
      <c r="O8" s="337"/>
      <c r="P8" s="337"/>
    </row>
    <row r="9" spans="1:16" x14ac:dyDescent="0.25">
      <c r="A9" s="807">
        <v>3</v>
      </c>
      <c r="B9" s="808">
        <f>IF('Entries December''25'!B9-'Entries December''25'!B8&lt;1,"0",'Entries December''25'!B9-'Entries December''25'!B8)</f>
        <v>3150</v>
      </c>
      <c r="C9" s="809">
        <f>IF('Entries December''25'!F9-'Entries December''25'!F8&lt;1,"0",'Entries December''25'!F9-'Entries December''25'!F8)</f>
        <v>19.600000000000364</v>
      </c>
      <c r="D9" s="809">
        <f>IF('Entries December''25'!C8=0,0,+'Entries December''25'!C8-'Entries December''25'!C7)</f>
        <v>0</v>
      </c>
      <c r="E9" s="809" t="str">
        <f>IF('Entries December''25'!G9-'Entries December''25'!G8&lt;1,"0",'Entries December''25'!G9-'Entries December''25'!G8)</f>
        <v>0</v>
      </c>
      <c r="F9" s="809"/>
      <c r="G9" s="809"/>
      <c r="H9" s="810">
        <f t="shared" ref="H9:H38" si="4">IF(C9+E9=0,"0", B9/(C9+E9))</f>
        <v>160.71428571428274</v>
      </c>
      <c r="I9" s="810" t="str">
        <f t="shared" si="0"/>
        <v>0</v>
      </c>
      <c r="J9" s="810" t="str">
        <f t="shared" si="1"/>
        <v>0</v>
      </c>
      <c r="K9" s="809">
        <f t="shared" si="2"/>
        <v>3150</v>
      </c>
      <c r="L9" s="365">
        <v>346.5</v>
      </c>
      <c r="M9" s="369">
        <f t="shared" si="3"/>
        <v>9.0909090909090917</v>
      </c>
      <c r="O9" s="337"/>
      <c r="P9" s="337"/>
    </row>
    <row r="10" spans="1:16" x14ac:dyDescent="0.25">
      <c r="A10" s="807">
        <v>4</v>
      </c>
      <c r="B10" s="808">
        <f>IF('Entries December''25'!B10-'Entries December''25'!B9&lt;1,"0",'Entries December''25'!B10-'Entries December''25'!B9)</f>
        <v>2920</v>
      </c>
      <c r="C10" s="809">
        <f>IF('Entries December''25'!F10-'Entries December''25'!F9&lt;1,"0",'Entries December''25'!F10-'Entries December''25'!F9)</f>
        <v>18.199999999999818</v>
      </c>
      <c r="D10" s="809">
        <f>IF('Entries December''25'!C11=0,0,+'Entries December''25'!C11-'Entries December''25'!C8)</f>
        <v>0</v>
      </c>
      <c r="E10" s="809" t="str">
        <f>IF('Entries December''25'!G10-'Entries December''25'!G9&lt;1,"0",'Entries December''25'!G10-'Entries December''25'!G9)</f>
        <v>0</v>
      </c>
      <c r="F10" s="809"/>
      <c r="G10" s="809"/>
      <c r="H10" s="810">
        <f t="shared" si="4"/>
        <v>160.43956043956203</v>
      </c>
      <c r="I10" s="810" t="str">
        <f t="shared" si="0"/>
        <v>0</v>
      </c>
      <c r="J10" s="810" t="str">
        <f t="shared" si="1"/>
        <v>0</v>
      </c>
      <c r="K10" s="809">
        <f t="shared" si="2"/>
        <v>2920</v>
      </c>
      <c r="L10" s="365">
        <v>253.83600000000001</v>
      </c>
      <c r="M10" s="369">
        <f t="shared" si="3"/>
        <v>11.503490442648008</v>
      </c>
      <c r="O10" s="337"/>
      <c r="P10" s="337"/>
    </row>
    <row r="11" spans="1:16" x14ac:dyDescent="0.25">
      <c r="A11" s="811">
        <v>5</v>
      </c>
      <c r="B11" s="812">
        <f>IF('Entries December''25'!B11-'Entries December''25'!B10&lt;1,"0",'Entries December''25'!B11-'Entries December''25'!B10)</f>
        <v>2820</v>
      </c>
      <c r="C11" s="809">
        <f>IF('Entries December''25'!F11-'Entries December''25'!F10&lt;1,"0",'Entries December''25'!F11-'Entries December''25'!F10)</f>
        <v>18.800000000000182</v>
      </c>
      <c r="D11" s="809">
        <f>IF('Entries December''25'!C10=0,0,+'Entries December''25'!C10-'Entries December''25'!C11)</f>
        <v>0</v>
      </c>
      <c r="E11" s="809" t="str">
        <f>IF('Entries December''25'!G11-'Entries December''25'!G10&lt;1,"0",'Entries December''25'!G11-'Entries December''25'!G10)</f>
        <v>0</v>
      </c>
      <c r="F11" s="809"/>
      <c r="G11" s="809"/>
      <c r="H11" s="810">
        <f t="shared" si="4"/>
        <v>149.99999999999855</v>
      </c>
      <c r="I11" s="810" t="str">
        <f t="shared" si="0"/>
        <v>0</v>
      </c>
      <c r="J11" s="810" t="str">
        <f t="shared" si="1"/>
        <v>0</v>
      </c>
      <c r="K11" s="809">
        <f t="shared" si="2"/>
        <v>2820</v>
      </c>
      <c r="L11" s="728">
        <v>262.74600000000004</v>
      </c>
      <c r="M11" s="729">
        <f t="shared" si="3"/>
        <v>10.732798976958735</v>
      </c>
      <c r="O11" s="337"/>
      <c r="P11" s="337"/>
    </row>
    <row r="12" spans="1:16" x14ac:dyDescent="0.25">
      <c r="A12" s="483">
        <v>6</v>
      </c>
      <c r="B12" s="484">
        <f>IF('Entries December''25'!B12-'Entries December''25'!B11&lt;1,"0",'Entries December''25'!B12-'Entries December''25'!B11)</f>
        <v>3370</v>
      </c>
      <c r="C12" s="481">
        <f>IF('Entries December''25'!F12-'Entries December''25'!F11&lt;1,"0",'Entries December''25'!F12-'Entries December''25'!F11)</f>
        <v>21.599999999999454</v>
      </c>
      <c r="D12" s="481">
        <f>IF('Entries December''25'!C12=0,0,+'Entries December''25'!C12-'Entries December''25'!C10)</f>
        <v>0</v>
      </c>
      <c r="E12" s="481" t="str">
        <f>IF('Entries December''25'!G12-'Entries December''25'!G11&lt;1,"0",'Entries December''25'!G12-'Entries December''25'!G11)</f>
        <v>0</v>
      </c>
      <c r="F12" s="481"/>
      <c r="G12" s="481"/>
      <c r="H12" s="482">
        <f t="shared" si="4"/>
        <v>156.01851851852246</v>
      </c>
      <c r="I12" s="482" t="str">
        <f t="shared" si="0"/>
        <v>0</v>
      </c>
      <c r="J12" s="482" t="str">
        <f t="shared" si="1"/>
        <v>0</v>
      </c>
      <c r="K12" s="481">
        <f t="shared" si="2"/>
        <v>3370</v>
      </c>
      <c r="L12" s="365">
        <v>302.67599999999999</v>
      </c>
      <c r="M12" s="369">
        <f t="shared" si="3"/>
        <v>11.134017893721339</v>
      </c>
      <c r="O12" s="337"/>
      <c r="P12" s="337"/>
    </row>
    <row r="13" spans="1:16" x14ac:dyDescent="0.25">
      <c r="A13" s="483">
        <v>7</v>
      </c>
      <c r="B13" s="484">
        <f>IF('Entries December''25'!B13-'Entries December''25'!B12&lt;1,"0",'Entries December''25'!B13-'Entries December''25'!B12)</f>
        <v>3420</v>
      </c>
      <c r="C13" s="481">
        <f>IF('Entries December''25'!F13-'Entries December''25'!F12&lt;1,"0",'Entries December''25'!F13-'Entries December''25'!F12)</f>
        <v>21.800000000000182</v>
      </c>
      <c r="D13" s="481">
        <f>IF('Entries December''25'!C13=0,0,+'Entries December''25'!C13-'Entries December''25'!C11)</f>
        <v>0</v>
      </c>
      <c r="E13" s="481" t="str">
        <f>IF('Entries December''25'!G13-'Entries December''25'!G12&lt;1,"0",'Entries December''25'!G13-'Entries December''25'!G12)</f>
        <v>0</v>
      </c>
      <c r="F13" s="481"/>
      <c r="G13" s="481"/>
      <c r="H13" s="482">
        <f t="shared" si="4"/>
        <v>156.88073394495282</v>
      </c>
      <c r="I13" s="482" t="str">
        <f t="shared" si="0"/>
        <v>0</v>
      </c>
      <c r="J13" s="482" t="str">
        <f t="shared" si="1"/>
        <v>0</v>
      </c>
      <c r="K13" s="481">
        <f t="shared" si="2"/>
        <v>3420</v>
      </c>
      <c r="L13" s="365">
        <v>388.55040000000002</v>
      </c>
      <c r="M13" s="369">
        <f t="shared" si="3"/>
        <v>8.8019469288926224</v>
      </c>
      <c r="O13" s="337"/>
      <c r="P13" s="337"/>
    </row>
    <row r="14" spans="1:16" x14ac:dyDescent="0.25">
      <c r="A14" s="807">
        <v>8</v>
      </c>
      <c r="B14" s="808">
        <f>IF('Entries December''25'!B14-'Entries December''25'!B13&lt;1,"0",'Entries December''25'!B14-'Entries December''25'!B13)</f>
        <v>3630</v>
      </c>
      <c r="C14" s="809">
        <f>IF('Entries December''25'!F14-'Entries December''25'!F13&lt;1,"0",'Entries December''25'!F14-'Entries December''25'!F13)</f>
        <v>21.600000000000364</v>
      </c>
      <c r="D14" s="809">
        <f>IF('Entries December''25'!C13=0,0,+'Entries December''25'!C13-'Entries December''25'!#REF!)</f>
        <v>0</v>
      </c>
      <c r="E14" s="809" t="str">
        <f>IF('Entries December''25'!G14-'Entries December''25'!G13&lt;1,"0",'Entries December''25'!G14-'Entries December''25'!G13)</f>
        <v>0</v>
      </c>
      <c r="F14" s="809"/>
      <c r="G14" s="809"/>
      <c r="H14" s="810">
        <f t="shared" si="4"/>
        <v>168.05555555555273</v>
      </c>
      <c r="I14" s="810" t="str">
        <f t="shared" si="0"/>
        <v>0</v>
      </c>
      <c r="J14" s="810" t="str">
        <f t="shared" si="1"/>
        <v>0</v>
      </c>
      <c r="K14" s="809">
        <f t="shared" si="2"/>
        <v>3630</v>
      </c>
      <c r="L14" s="365">
        <v>447.88440000000003</v>
      </c>
      <c r="M14" s="369">
        <f t="shared" si="3"/>
        <v>8.1047698915166499</v>
      </c>
      <c r="O14" s="337"/>
      <c r="P14" s="337"/>
    </row>
    <row r="15" spans="1:16" x14ac:dyDescent="0.25">
      <c r="A15" s="807">
        <v>9</v>
      </c>
      <c r="B15" s="808">
        <f>IF('Entries December''25'!B15-'Entries December''25'!B14&lt;1,"0",'Entries December''25'!B15-'Entries December''25'!B14)</f>
        <v>2860</v>
      </c>
      <c r="C15" s="809">
        <f>IF('Entries December''25'!F15-'Entries December''25'!F14&lt;1,"0",'Entries December''25'!F15-'Entries December''25'!F14)</f>
        <v>18.099999999999454</v>
      </c>
      <c r="D15" s="809">
        <f>IF('Entries December''25'!C14=0,0,+'Entries December''25'!C14-'Entries December''25'!C13)</f>
        <v>0</v>
      </c>
      <c r="E15" s="809" t="str">
        <f>IF('Entries December''25'!G15-'Entries December''25'!G14&lt;1,"0",'Entries December''25'!G15-'Entries December''25'!G14)</f>
        <v>0</v>
      </c>
      <c r="F15" s="809"/>
      <c r="G15" s="809"/>
      <c r="H15" s="810">
        <f t="shared" si="4"/>
        <v>158.01104972376166</v>
      </c>
      <c r="I15" s="810" t="str">
        <f t="shared" si="0"/>
        <v>0</v>
      </c>
      <c r="J15" s="810" t="str">
        <f t="shared" si="1"/>
        <v>0</v>
      </c>
      <c r="K15" s="809">
        <f t="shared" si="2"/>
        <v>2860</v>
      </c>
      <c r="L15" s="365">
        <v>214.76400000000001</v>
      </c>
      <c r="M15" s="369">
        <f t="shared" si="3"/>
        <v>13.316943249334152</v>
      </c>
      <c r="O15" s="337"/>
      <c r="P15" s="337"/>
    </row>
    <row r="16" spans="1:16" x14ac:dyDescent="0.25">
      <c r="A16" s="807">
        <v>10</v>
      </c>
      <c r="B16" s="808">
        <f>IF('Entries December''25'!B16-'Entries December''25'!B15&lt;1,"0",'Entries December''25'!B16-'Entries December''25'!B15)</f>
        <v>3800</v>
      </c>
      <c r="C16" s="809">
        <f>IF('Entries December''25'!F16-'Entries December''25'!F15&lt;1,"0",'Entries December''25'!F16-'Entries December''25'!F15)</f>
        <v>22.900000000000546</v>
      </c>
      <c r="D16" s="809">
        <f>IF('Entries December''25'!C15=0,0,+'Entries December''25'!C15-'Entries December''25'!C14)</f>
        <v>0</v>
      </c>
      <c r="E16" s="809" t="str">
        <f>IF('Entries December''25'!G16-'Entries December''25'!G15&lt;1,"0",'Entries December''25'!G16-'Entries December''25'!G15)</f>
        <v>0</v>
      </c>
      <c r="F16" s="809"/>
      <c r="G16" s="809"/>
      <c r="H16" s="810">
        <f t="shared" si="4"/>
        <v>165.93886462881702</v>
      </c>
      <c r="I16" s="810" t="str">
        <f t="shared" si="0"/>
        <v>0</v>
      </c>
      <c r="J16" s="810" t="str">
        <f t="shared" si="1"/>
        <v>0</v>
      </c>
      <c r="K16" s="809">
        <f t="shared" si="2"/>
        <v>3800</v>
      </c>
      <c r="L16" s="365">
        <v>437.05200000000002</v>
      </c>
      <c r="M16" s="369">
        <f t="shared" si="3"/>
        <v>8.6946175741101737</v>
      </c>
      <c r="O16" s="337"/>
      <c r="P16" s="337"/>
    </row>
    <row r="17" spans="1:16" x14ac:dyDescent="0.25">
      <c r="A17" s="807">
        <v>11</v>
      </c>
      <c r="B17" s="808">
        <f>IF('Entries December''25'!B17-'Entries December''25'!B16&lt;1,"0",'Entries December''25'!B17-'Entries December''25'!B16)</f>
        <v>2680</v>
      </c>
      <c r="C17" s="809">
        <f>IF('Entries December''25'!F17-'Entries December''25'!F16&lt;1,"0",'Entries December''25'!F17-'Entries December''25'!F16)</f>
        <v>17.5</v>
      </c>
      <c r="D17" s="809">
        <f>IF('Entries December''25'!C16=0,0,+'Entries December''25'!C16-'Entries December''25'!C15)</f>
        <v>0</v>
      </c>
      <c r="E17" s="809" t="str">
        <f>IF('Entries December''25'!G17-'Entries December''25'!G16&lt;1,"0",'Entries December''25'!G17-'Entries December''25'!G16)</f>
        <v>0</v>
      </c>
      <c r="F17" s="809"/>
      <c r="G17" s="809"/>
      <c r="H17" s="810">
        <f t="shared" si="4"/>
        <v>153.14285714285714</v>
      </c>
      <c r="I17" s="810" t="str">
        <f t="shared" si="0"/>
        <v>0</v>
      </c>
      <c r="J17" s="810" t="str">
        <f t="shared" si="1"/>
        <v>0</v>
      </c>
      <c r="K17" s="809">
        <f t="shared" si="2"/>
        <v>2680</v>
      </c>
      <c r="L17" s="365">
        <v>332.83800000000002</v>
      </c>
      <c r="M17" s="369">
        <f t="shared" si="3"/>
        <v>8.0519652203173919</v>
      </c>
      <c r="O17" s="337"/>
      <c r="P17" s="337"/>
    </row>
    <row r="18" spans="1:16" x14ac:dyDescent="0.25">
      <c r="A18" s="807">
        <v>12</v>
      </c>
      <c r="B18" s="808">
        <f>IF('Entries December''25'!B18-'Entries December''25'!B17&lt;1,"0",'Entries December''25'!B18-'Entries December''25'!B17)</f>
        <v>3090</v>
      </c>
      <c r="C18" s="809">
        <f>IF('Entries December''25'!F18-'Entries December''25'!F17&lt;1,"0",'Entries December''25'!F18-'Entries December''25'!F17)</f>
        <v>18.399999999999636</v>
      </c>
      <c r="D18" s="809">
        <f>IF('Entries December''25'!C17=0,0,+'Entries December''25'!C17-'Entries December''25'!C16)</f>
        <v>0</v>
      </c>
      <c r="E18" s="809" t="str">
        <f>IF('Entries December''25'!G18-'Entries December''25'!G17&lt;1,"0",'Entries December''25'!G18-'Entries December''25'!G17)</f>
        <v>0</v>
      </c>
      <c r="F18" s="809"/>
      <c r="G18" s="809"/>
      <c r="H18" s="810">
        <f t="shared" si="4"/>
        <v>167.93478260869898</v>
      </c>
      <c r="I18" s="810" t="str">
        <f t="shared" si="0"/>
        <v>0</v>
      </c>
      <c r="J18" s="810" t="str">
        <f t="shared" si="1"/>
        <v>0</v>
      </c>
      <c r="K18" s="809">
        <f t="shared" si="2"/>
        <v>3090</v>
      </c>
      <c r="L18" s="365">
        <v>259.05</v>
      </c>
      <c r="M18" s="369">
        <f t="shared" si="3"/>
        <v>11.928199189345685</v>
      </c>
      <c r="O18" s="337"/>
      <c r="P18" s="337"/>
    </row>
    <row r="19" spans="1:16" x14ac:dyDescent="0.25">
      <c r="A19" s="483">
        <v>13</v>
      </c>
      <c r="B19" s="484">
        <f>IF('Entries December''25'!B19-'Entries December''25'!B18&lt;1,"0",'Entries December''25'!B19-'Entries December''25'!B18)</f>
        <v>1470</v>
      </c>
      <c r="C19" s="481">
        <f>IF('Entries December''25'!F19-'Entries December''25'!F18&lt;1,"0",'Entries December''25'!F19-'Entries December''25'!F18)</f>
        <v>10.300000000000182</v>
      </c>
      <c r="D19" s="481">
        <f>IF('Entries December''25'!C18=0,0,+'Entries December''25'!C18-'Entries December''25'!C17)</f>
        <v>0</v>
      </c>
      <c r="E19" s="481" t="str">
        <f>IF('Entries December''25'!G19-'Entries December''25'!G18&lt;1,"0",'Entries December''25'!G19-'Entries December''25'!G18)</f>
        <v>0</v>
      </c>
      <c r="F19" s="481"/>
      <c r="G19" s="481"/>
      <c r="H19" s="482">
        <f t="shared" si="4"/>
        <v>142.71844660193923</v>
      </c>
      <c r="I19" s="482" t="str">
        <f t="shared" si="0"/>
        <v>0</v>
      </c>
      <c r="J19" s="482" t="str">
        <f t="shared" si="1"/>
        <v>0</v>
      </c>
      <c r="K19" s="481">
        <f t="shared" si="2"/>
        <v>1470</v>
      </c>
      <c r="L19" s="365">
        <v>190.608</v>
      </c>
      <c r="M19" s="369">
        <f t="shared" si="3"/>
        <v>7.7121631830773101</v>
      </c>
      <c r="O19" s="337"/>
      <c r="P19" s="337"/>
    </row>
    <row r="20" spans="1:16" x14ac:dyDescent="0.25">
      <c r="A20" s="483">
        <v>14</v>
      </c>
      <c r="B20" s="484">
        <f>IF('Entries December''25'!B20-'Entries December''25'!B19&lt;1,"0",'Entries December''25'!B20-'Entries December''25'!B19)</f>
        <v>2140</v>
      </c>
      <c r="C20" s="481">
        <f>IF('Entries December''25'!F20-'Entries December''25'!F19&lt;1,"0",'Entries December''25'!F20-'Entries December''25'!F19)</f>
        <v>14.800000000000182</v>
      </c>
      <c r="D20" s="481">
        <f>IF('Entries December''25'!C19=0,0,+'Entries December''25'!C19-'Entries December''25'!C18)</f>
        <v>0</v>
      </c>
      <c r="E20" s="481" t="str">
        <f>IF('Entries December''25'!G20-'Entries December''25'!G19&lt;1,"0",'Entries December''25'!G20-'Entries December''25'!G19)</f>
        <v>0</v>
      </c>
      <c r="F20" s="481"/>
      <c r="G20" s="481"/>
      <c r="H20" s="482">
        <f t="shared" si="4"/>
        <v>144.59459459459282</v>
      </c>
      <c r="I20" s="482" t="str">
        <f t="shared" si="0"/>
        <v>0</v>
      </c>
      <c r="J20" s="482" t="str">
        <f t="shared" si="1"/>
        <v>0</v>
      </c>
      <c r="K20" s="481">
        <f t="shared" si="2"/>
        <v>2140</v>
      </c>
      <c r="L20" s="365">
        <v>389.154</v>
      </c>
      <c r="M20" s="369">
        <f t="shared" si="3"/>
        <v>5.499108322155239</v>
      </c>
      <c r="O20" s="337"/>
      <c r="P20" s="337"/>
    </row>
    <row r="21" spans="1:16" x14ac:dyDescent="0.25">
      <c r="A21" s="807">
        <v>15</v>
      </c>
      <c r="B21" s="808">
        <f>IF('Entries December''25'!B21-'Entries December''25'!B20&lt;1,"0",'Entries December''25'!B21-'Entries December''25'!B20)</f>
        <v>3070</v>
      </c>
      <c r="C21" s="809">
        <f>IF('Entries December''25'!F21-'Entries December''25'!F20&lt;1,"0",'Entries December''25'!F21-'Entries December''25'!F20)</f>
        <v>18.399999999999636</v>
      </c>
      <c r="D21" s="809">
        <f>IF('Entries December''25'!C20=0,0,+'Entries December''25'!C20-'Entries December''25'!C19)</f>
        <v>0</v>
      </c>
      <c r="E21" s="809" t="str">
        <f>IF('Entries December''25'!G21-'Entries December''25'!G20&lt;1,"0",'Entries December''25'!G21-'Entries December''25'!G20)</f>
        <v>0</v>
      </c>
      <c r="F21" s="809"/>
      <c r="G21" s="809"/>
      <c r="H21" s="810">
        <f t="shared" si="4"/>
        <v>166.84782608695983</v>
      </c>
      <c r="I21" s="810" t="str">
        <f t="shared" si="0"/>
        <v>0</v>
      </c>
      <c r="J21" s="810" t="str">
        <f t="shared" si="1"/>
        <v>0</v>
      </c>
      <c r="K21" s="809">
        <f t="shared" si="2"/>
        <v>3070</v>
      </c>
      <c r="L21" s="365">
        <v>369.45600000000002</v>
      </c>
      <c r="M21" s="369">
        <f t="shared" si="3"/>
        <v>8.3095145294703556</v>
      </c>
      <c r="O21" s="337"/>
      <c r="P21" s="337"/>
    </row>
    <row r="22" spans="1:16" x14ac:dyDescent="0.25">
      <c r="A22" s="807">
        <v>16</v>
      </c>
      <c r="B22" s="808">
        <f>IF('Entries December''25'!B22-'Entries December''25'!B21&lt;1,"0",'Entries December''25'!B22-'Entries December''25'!B21)</f>
        <v>3560</v>
      </c>
      <c r="C22" s="809">
        <f>IF('Entries December''25'!F22-'Entries December''25'!F21&lt;1,"0",'Entries December''25'!F22-'Entries December''25'!F21)</f>
        <v>22.400000000000546</v>
      </c>
      <c r="D22" s="809">
        <f>IF('Entries December''25'!C21=0,0,+'Entries December''25'!C21-'Entries December''25'!C20)</f>
        <v>0</v>
      </c>
      <c r="E22" s="809" t="str">
        <f>IF('Entries December''25'!G22-'Entries December''25'!G21&lt;1,"0",'Entries December''25'!G22-'Entries December''25'!G21)</f>
        <v>0</v>
      </c>
      <c r="F22" s="809"/>
      <c r="G22" s="809"/>
      <c r="H22" s="810">
        <f t="shared" si="4"/>
        <v>158.92857142856755</v>
      </c>
      <c r="I22" s="810" t="str">
        <f t="shared" si="0"/>
        <v>0</v>
      </c>
      <c r="J22" s="810" t="str">
        <f t="shared" si="1"/>
        <v>0</v>
      </c>
      <c r="K22" s="809">
        <f t="shared" si="2"/>
        <v>3560</v>
      </c>
      <c r="L22" s="365">
        <v>362.80200000000002</v>
      </c>
      <c r="M22" s="369">
        <f t="shared" si="3"/>
        <v>9.8125148152435759</v>
      </c>
      <c r="O22" s="337"/>
      <c r="P22" s="337"/>
    </row>
    <row r="23" spans="1:16" x14ac:dyDescent="0.25">
      <c r="A23" s="807">
        <v>17</v>
      </c>
      <c r="B23" s="808">
        <f>IF('Entries December''25'!B23-'Entries December''25'!B22&lt;1,"0",'Entries December''25'!B23-'Entries December''25'!B22)</f>
        <v>3260</v>
      </c>
      <c r="C23" s="809">
        <f>IF('Entries December''25'!F23-'Entries December''25'!F22&lt;1,"0",'Entries December''25'!F23-'Entries December''25'!F22)</f>
        <v>19.699999999999818</v>
      </c>
      <c r="D23" s="809">
        <f>IF('Entries December''25'!C22=0,0,+'Entries December''25'!C22-'Entries December''25'!C21)</f>
        <v>0</v>
      </c>
      <c r="E23" s="809" t="str">
        <f>IF('Entries December''25'!G23-'Entries December''25'!G22&lt;1,"0",'Entries December''25'!G23-'Entries December''25'!G22)</f>
        <v>0</v>
      </c>
      <c r="F23" s="809"/>
      <c r="G23" s="809"/>
      <c r="H23" s="810">
        <f t="shared" si="4"/>
        <v>165.4822335025396</v>
      </c>
      <c r="I23" s="810" t="str">
        <f t="shared" si="0"/>
        <v>0</v>
      </c>
      <c r="J23" s="810" t="str">
        <f t="shared" si="1"/>
        <v>0</v>
      </c>
      <c r="K23" s="809">
        <f t="shared" si="2"/>
        <v>3260</v>
      </c>
      <c r="L23" s="365">
        <v>489.06</v>
      </c>
      <c r="M23" s="369">
        <f t="shared" si="3"/>
        <v>6.6658487711119294</v>
      </c>
      <c r="O23" s="337"/>
      <c r="P23" s="337"/>
    </row>
    <row r="24" spans="1:16" x14ac:dyDescent="0.25">
      <c r="A24" s="807">
        <v>18</v>
      </c>
      <c r="B24" s="808">
        <f>IF('Entries December''25'!B24-'Entries December''25'!B23&lt;1,"0",'Entries December''25'!B24-'Entries December''25'!B23)</f>
        <v>3530</v>
      </c>
      <c r="C24" s="809">
        <f>IF('Entries December''25'!F24-'Entries December''25'!F23&lt;1,"0",'Entries December''25'!F24-'Entries December''25'!F23)</f>
        <v>22</v>
      </c>
      <c r="D24" s="809">
        <f>IF('Entries December''25'!C23=0,0,+'Entries December''25'!C23-'Entries December''25'!C22)</f>
        <v>0</v>
      </c>
      <c r="E24" s="809" t="str">
        <f>IF('Entries December''25'!G24-'Entries December''25'!G23&lt;1,"0",'Entries December''25'!G24-'Entries December''25'!G23)</f>
        <v>0</v>
      </c>
      <c r="F24" s="809"/>
      <c r="G24" s="809"/>
      <c r="H24" s="810">
        <f t="shared" si="4"/>
        <v>160.45454545454547</v>
      </c>
      <c r="I24" s="810" t="str">
        <f t="shared" si="0"/>
        <v>0</v>
      </c>
      <c r="J24" s="810" t="str">
        <f t="shared" si="1"/>
        <v>0</v>
      </c>
      <c r="K24" s="809">
        <f t="shared" si="2"/>
        <v>3530</v>
      </c>
      <c r="L24" s="365">
        <v>459.62400000000002</v>
      </c>
      <c r="M24" s="369">
        <f t="shared" si="3"/>
        <v>7.6801907646249976</v>
      </c>
      <c r="O24" s="337"/>
      <c r="P24" s="337"/>
    </row>
    <row r="25" spans="1:16" x14ac:dyDescent="0.25">
      <c r="A25" s="807">
        <v>19</v>
      </c>
      <c r="B25" s="808">
        <f>IF('Entries December''25'!B25-'Entries December''25'!B24&lt;1,"0",'Entries December''25'!B25-'Entries December''25'!B24)</f>
        <v>2420</v>
      </c>
      <c r="C25" s="809">
        <f>IF('Entries December''25'!F25-'Entries December''25'!F24&lt;1,"0",'Entries December''25'!F25-'Entries December''25'!F24)</f>
        <v>16.399999999999636</v>
      </c>
      <c r="D25" s="809">
        <f>IF('Entries December''25'!C24=0,0,+'Entries December''25'!C24-'Entries December''25'!C23)</f>
        <v>0</v>
      </c>
      <c r="E25" s="809" t="str">
        <f>IF('Entries December''25'!G25-'Entries December''25'!G24&lt;1,"0",'Entries December''25'!G25-'Entries December''25'!G24)</f>
        <v>0</v>
      </c>
      <c r="F25" s="809"/>
      <c r="G25" s="809"/>
      <c r="H25" s="810">
        <f t="shared" si="4"/>
        <v>147.56097560975937</v>
      </c>
      <c r="I25" s="810" t="str">
        <f t="shared" si="0"/>
        <v>0</v>
      </c>
      <c r="J25" s="810" t="str">
        <f t="shared" si="1"/>
        <v>0</v>
      </c>
      <c r="K25" s="809">
        <f t="shared" si="2"/>
        <v>2420</v>
      </c>
      <c r="L25" s="365">
        <v>479.226</v>
      </c>
      <c r="M25" s="369">
        <f t="shared" si="3"/>
        <v>5.0498094844603587</v>
      </c>
      <c r="O25" s="337"/>
      <c r="P25" s="337"/>
    </row>
    <row r="26" spans="1:16" x14ac:dyDescent="0.25">
      <c r="A26" s="483">
        <v>20</v>
      </c>
      <c r="B26" s="484">
        <f>IF('Entries December''25'!B26-'Entries December''25'!B25&lt;1,"0",'Entries December''25'!B26-'Entries December''25'!B25)</f>
        <v>130</v>
      </c>
      <c r="C26" s="481" t="str">
        <f>IF('Entries December''25'!F26-'Entries December''25'!F25&lt;1,"0",'Entries December''25'!F26-'Entries December''25'!F25)</f>
        <v>0</v>
      </c>
      <c r="D26" s="481">
        <f>IF('Entries December''25'!C25=0,0,+'Entries December''25'!C25-'Entries December''25'!C24)</f>
        <v>0</v>
      </c>
      <c r="E26" s="481" t="str">
        <f>IF('Entries December''25'!G26-'Entries December''25'!G25&lt;1,"0",'Entries December''25'!G26-'Entries December''25'!G25)</f>
        <v>0</v>
      </c>
      <c r="F26" s="481"/>
      <c r="G26" s="481"/>
      <c r="H26" s="482" t="str">
        <f t="shared" si="4"/>
        <v>0</v>
      </c>
      <c r="I26" s="482" t="str">
        <f t="shared" si="0"/>
        <v>0</v>
      </c>
      <c r="J26" s="482" t="str">
        <f t="shared" si="1"/>
        <v>0</v>
      </c>
      <c r="K26" s="481">
        <f t="shared" si="2"/>
        <v>130</v>
      </c>
      <c r="L26" s="365" t="str">
        <v>0</v>
      </c>
      <c r="M26" s="369" t="str">
        <f t="shared" si="3"/>
        <v>0</v>
      </c>
      <c r="O26" s="337"/>
      <c r="P26" s="337"/>
    </row>
    <row r="27" spans="1:16" x14ac:dyDescent="0.25">
      <c r="A27" s="483">
        <v>21</v>
      </c>
      <c r="B27" s="484">
        <f>IF('Entries December''25'!B27-'Entries December''25'!B26&lt;1,"0",'Entries December''25'!B27-'Entries December''25'!B26)</f>
        <v>700</v>
      </c>
      <c r="C27" s="481">
        <f>IF('Entries December''25'!F27-'Entries December''25'!F26&lt;1,"0",'Entries December''25'!F27-'Entries December''25'!F26)</f>
        <v>5.3000000000001819</v>
      </c>
      <c r="D27" s="481">
        <f>IF('Entries December''25'!C26=0,0,+'Entries December''25'!C26-'Entries December''25'!C25)</f>
        <v>0</v>
      </c>
      <c r="E27" s="481" t="str">
        <f>IF('Entries December''25'!G27-'Entries December''25'!G26&lt;1,"0",'Entries December''25'!G27-'Entries December''25'!G26)</f>
        <v>0</v>
      </c>
      <c r="F27" s="481"/>
      <c r="G27" s="481"/>
      <c r="H27" s="482">
        <f t="shared" si="4"/>
        <v>132.07547169810869</v>
      </c>
      <c r="I27" s="482" t="str">
        <f t="shared" si="0"/>
        <v>0</v>
      </c>
      <c r="J27" s="482" t="str">
        <f t="shared" si="1"/>
        <v>0</v>
      </c>
      <c r="K27" s="481">
        <f t="shared" si="2"/>
        <v>700</v>
      </c>
      <c r="L27" s="365" t="str">
        <v>0</v>
      </c>
      <c r="M27" s="369" t="str">
        <f t="shared" si="3"/>
        <v>0</v>
      </c>
      <c r="O27" s="337"/>
      <c r="P27" s="337"/>
    </row>
    <row r="28" spans="1:16" x14ac:dyDescent="0.25">
      <c r="A28" s="807">
        <v>22</v>
      </c>
      <c r="B28" s="808">
        <f>IF('Entries December''25'!B28-'Entries December''25'!B27&lt;1,"0",'Entries December''25'!B28-'Entries December''25'!B27)</f>
        <v>2600</v>
      </c>
      <c r="C28" s="809">
        <f>IF('Entries December''25'!F28-'Entries December''25'!F27&lt;1,"0",'Entries December''25'!F28-'Entries December''25'!F27)</f>
        <v>17.800000000000182</v>
      </c>
      <c r="D28" s="809">
        <f>IF('Entries December''25'!C27=0,0,+'Entries December''25'!C27-'Entries December''25'!C26)</f>
        <v>0</v>
      </c>
      <c r="E28" s="809" t="str">
        <f>IF('Entries December''25'!G28-'Entries December''25'!G27&lt;1,"0",'Entries December''25'!G28-'Entries December''25'!G27)</f>
        <v>0</v>
      </c>
      <c r="F28" s="809"/>
      <c r="G28" s="809"/>
      <c r="H28" s="810">
        <f t="shared" si="4"/>
        <v>146.0674157303356</v>
      </c>
      <c r="I28" s="810" t="str">
        <f t="shared" si="0"/>
        <v>0</v>
      </c>
      <c r="J28" s="810" t="str">
        <f t="shared" si="1"/>
        <v>0</v>
      </c>
      <c r="K28" s="809">
        <f t="shared" si="2"/>
        <v>2600</v>
      </c>
      <c r="L28" s="365">
        <v>542.98199999999997</v>
      </c>
      <c r="M28" s="369">
        <f t="shared" si="3"/>
        <v>4.788372358568056</v>
      </c>
      <c r="O28" s="337"/>
      <c r="P28" s="337"/>
    </row>
    <row r="29" spans="1:16" x14ac:dyDescent="0.25">
      <c r="A29" s="807">
        <v>23</v>
      </c>
      <c r="B29" s="808">
        <f>IF('Entries December''25'!B29-'Entries December''25'!B28&lt;1,"0",'Entries December''25'!B29-'Entries December''25'!B28)</f>
        <v>2700</v>
      </c>
      <c r="C29" s="809">
        <f>IF('Entries December''25'!F29-'Entries December''25'!F28&lt;1,"0",'Entries December''25'!F29-'Entries December''25'!F28)</f>
        <v>18</v>
      </c>
      <c r="D29" s="809">
        <f>IF('Entries December''25'!C28=0,0,+'Entries December''25'!C28-'Entries December''25'!C27)</f>
        <v>0</v>
      </c>
      <c r="E29" s="809" t="str">
        <f>IF('Entries December''25'!G29-'Entries December''25'!G28&lt;1,"0",'Entries December''25'!G29-'Entries December''25'!G28)</f>
        <v>0</v>
      </c>
      <c r="F29" s="809"/>
      <c r="G29" s="809"/>
      <c r="H29" s="810">
        <f t="shared" si="4"/>
        <v>150</v>
      </c>
      <c r="I29" s="810" t="str">
        <f t="shared" si="0"/>
        <v>0</v>
      </c>
      <c r="J29" s="810" t="str">
        <f t="shared" si="1"/>
        <v>0</v>
      </c>
      <c r="K29" s="809">
        <f t="shared" si="2"/>
        <v>2700</v>
      </c>
      <c r="L29" s="365">
        <v>451.63800000000003</v>
      </c>
      <c r="M29" s="369">
        <f t="shared" si="3"/>
        <v>5.9782392092782271</v>
      </c>
      <c r="O29" s="337"/>
      <c r="P29" s="337"/>
    </row>
    <row r="30" spans="1:16" x14ac:dyDescent="0.25">
      <c r="A30" s="807">
        <v>24</v>
      </c>
      <c r="B30" s="808">
        <f>IF('Entries December''25'!B30-'Entries December''25'!B29&lt;1,"0",'Entries December''25'!B30-'Entries December''25'!B29)</f>
        <v>2270</v>
      </c>
      <c r="C30" s="809">
        <f>IF('Entries December''25'!F30-'Entries December''25'!F29&lt;1,"0",'Entries December''25'!F30-'Entries December''25'!F29)</f>
        <v>14.699999999999818</v>
      </c>
      <c r="D30" s="809">
        <f>IF('Entries December''25'!C29=0,0,+'Entries December''25'!C29-'Entries December''25'!C28)</f>
        <v>0</v>
      </c>
      <c r="E30" s="809" t="str">
        <f>IF('Entries December''25'!G30-'Entries December''25'!G29&lt;1,"0",'Entries December''25'!G30-'Entries December''25'!G29)</f>
        <v>0</v>
      </c>
      <c r="F30" s="809"/>
      <c r="G30" s="809"/>
      <c r="H30" s="810">
        <f t="shared" si="4"/>
        <v>154.42176870748492</v>
      </c>
      <c r="I30" s="810" t="str">
        <f t="shared" si="0"/>
        <v>0</v>
      </c>
      <c r="J30" s="810" t="str">
        <f t="shared" si="1"/>
        <v>0</v>
      </c>
      <c r="K30" s="809">
        <f t="shared" si="2"/>
        <v>2270</v>
      </c>
      <c r="L30" s="365">
        <v>292.38</v>
      </c>
      <c r="M30" s="369">
        <f t="shared" si="3"/>
        <v>7.7638689376838359</v>
      </c>
      <c r="O30" s="337"/>
      <c r="P30" s="337"/>
    </row>
    <row r="31" spans="1:16" x14ac:dyDescent="0.25">
      <c r="A31" s="807">
        <v>25</v>
      </c>
      <c r="B31" s="808" t="str">
        <f>IF('Entries December''25'!B31-'Entries December''25'!B30&lt;1,"0",'Entries December''25'!B31-'Entries December''25'!B30)</f>
        <v>0</v>
      </c>
      <c r="C31" s="809" t="str">
        <f>IF('Entries December''25'!F31-'Entries December''25'!F30&lt;1,"0",'Entries December''25'!F31-'Entries December''25'!F30)</f>
        <v>0</v>
      </c>
      <c r="D31" s="809">
        <f>IF('Entries December''25'!C30=0,0,+'Entries December''25'!C30-'Entries December''25'!C29)</f>
        <v>0</v>
      </c>
      <c r="E31" s="809" t="str">
        <f>IF('Entries December''25'!G31-'Entries December''25'!G30&lt;1,"0",'Entries December''25'!G31-'Entries December''25'!G30)</f>
        <v>0</v>
      </c>
      <c r="F31" s="809"/>
      <c r="G31" s="809"/>
      <c r="H31" s="810" t="str">
        <f t="shared" si="4"/>
        <v>0</v>
      </c>
      <c r="I31" s="810" t="str">
        <f t="shared" si="0"/>
        <v>0</v>
      </c>
      <c r="J31" s="810" t="str">
        <f t="shared" si="1"/>
        <v>0</v>
      </c>
      <c r="K31" s="809">
        <f t="shared" si="2"/>
        <v>0</v>
      </c>
      <c r="L31" s="365" t="str">
        <v>0</v>
      </c>
      <c r="M31" s="369" t="str">
        <f t="shared" si="3"/>
        <v>0</v>
      </c>
      <c r="O31" s="337"/>
      <c r="P31" s="337"/>
    </row>
    <row r="32" spans="1:16" x14ac:dyDescent="0.25">
      <c r="A32" s="807">
        <v>26</v>
      </c>
      <c r="B32" s="808" t="str">
        <f>IF('Entries December''25'!B32-'Entries December''25'!B31&lt;1,"0",'Entries December''25'!B32-'Entries December''25'!B31)</f>
        <v>0</v>
      </c>
      <c r="C32" s="809" t="str">
        <f>IF('Entries December''25'!F32-'Entries December''25'!F31&lt;1,"0",'Entries December''25'!F32-'Entries December''25'!F31)</f>
        <v>0</v>
      </c>
      <c r="D32" s="809">
        <f>IF('Entries December''25'!C31=0,0,+'Entries December''25'!C31-'Entries December''25'!C30)</f>
        <v>0</v>
      </c>
      <c r="E32" s="809" t="str">
        <f>IF('Entries December''25'!G32-'Entries December''25'!G31&lt;1,"0",'Entries December''25'!G32-'Entries December''25'!G31)</f>
        <v>0</v>
      </c>
      <c r="F32" s="809"/>
      <c r="G32" s="809"/>
      <c r="H32" s="810" t="str">
        <f t="shared" si="4"/>
        <v>0</v>
      </c>
      <c r="I32" s="810" t="str">
        <f t="shared" si="0"/>
        <v>0</v>
      </c>
      <c r="J32" s="810" t="str">
        <f t="shared" si="1"/>
        <v>0</v>
      </c>
      <c r="K32" s="809">
        <f t="shared" si="2"/>
        <v>0</v>
      </c>
      <c r="L32" s="365" t="str">
        <v>0</v>
      </c>
      <c r="M32" s="369" t="str">
        <f t="shared" si="3"/>
        <v>0</v>
      </c>
      <c r="O32" s="337"/>
      <c r="P32" s="337"/>
    </row>
    <row r="33" spans="1:16" x14ac:dyDescent="0.25">
      <c r="A33" s="483">
        <v>27</v>
      </c>
      <c r="B33" s="484" t="str">
        <f>IF('Entries December''25'!B33-'Entries December''25'!B32&lt;1,"0",'Entries December''25'!B33-'Entries December''25'!B32)</f>
        <v>0</v>
      </c>
      <c r="C33" s="481" t="str">
        <f>IF('Entries December''25'!F33-'Entries December''25'!F32&lt;1,"0",'Entries December''25'!F33-'Entries December''25'!F32)</f>
        <v>0</v>
      </c>
      <c r="D33" s="481">
        <f>IF('Entries December''25'!C32=0,0,+'Entries December''25'!C32-'Entries December''25'!C31)</f>
        <v>0</v>
      </c>
      <c r="E33" s="481" t="str">
        <f>IF('Entries December''25'!G33-'Entries December''25'!G32&lt;1,"0",'Entries December''25'!G33-'Entries December''25'!G32)</f>
        <v>0</v>
      </c>
      <c r="F33" s="481"/>
      <c r="G33" s="481"/>
      <c r="H33" s="482" t="str">
        <f t="shared" si="4"/>
        <v>0</v>
      </c>
      <c r="I33" s="482" t="str">
        <f t="shared" si="0"/>
        <v>0</v>
      </c>
      <c r="J33" s="482" t="str">
        <f t="shared" si="1"/>
        <v>0</v>
      </c>
      <c r="K33" s="481">
        <f t="shared" si="2"/>
        <v>0</v>
      </c>
      <c r="L33" s="365" t="str">
        <v>0</v>
      </c>
      <c r="M33" s="369" t="str">
        <f t="shared" si="3"/>
        <v>0</v>
      </c>
      <c r="O33" s="337"/>
      <c r="P33" s="337"/>
    </row>
    <row r="34" spans="1:16" x14ac:dyDescent="0.25">
      <c r="A34" s="483">
        <v>28</v>
      </c>
      <c r="B34" s="484">
        <f>IF('Entries December''25'!B34-'Entries December''25'!B33&lt;1,"0",'Entries December''25'!B34-'Entries December''25'!B33)</f>
        <v>1020</v>
      </c>
      <c r="C34" s="481">
        <f>IF('Entries December''25'!F34-'Entries December''25'!F33&lt;1,"0",'Entries December''25'!F34-'Entries December''25'!F33)</f>
        <v>5.8000000000001819</v>
      </c>
      <c r="D34" s="481">
        <f>IF('Entries December''25'!C33=0,0,+'Entries December''25'!C33-'Entries December''25'!C32)</f>
        <v>0</v>
      </c>
      <c r="E34" s="481" t="str">
        <f>IF('Entries December''25'!G34-'Entries December''25'!G33&lt;1,"0",'Entries December''25'!G34-'Entries December''25'!G33)</f>
        <v>0</v>
      </c>
      <c r="F34" s="481"/>
      <c r="G34" s="481"/>
      <c r="H34" s="482">
        <f t="shared" si="4"/>
        <v>175.86206896551172</v>
      </c>
      <c r="I34" s="482" t="str">
        <f t="shared" si="0"/>
        <v>0</v>
      </c>
      <c r="J34" s="482" t="str">
        <f t="shared" si="1"/>
        <v>0</v>
      </c>
      <c r="K34" s="481">
        <f t="shared" si="2"/>
        <v>1020</v>
      </c>
      <c r="L34" s="365">
        <v>15.4275</v>
      </c>
      <c r="M34" s="369">
        <f t="shared" si="3"/>
        <v>66.115702479338836</v>
      </c>
      <c r="O34" s="337"/>
      <c r="P34" s="337"/>
    </row>
    <row r="35" spans="1:16" x14ac:dyDescent="0.25">
      <c r="A35" s="807">
        <v>29</v>
      </c>
      <c r="B35" s="808">
        <f>IF('Entries December''25'!B35-'Entries December''25'!B34&lt;1,"0",'Entries December''25'!B35-'Entries December''25'!B34)</f>
        <v>3230</v>
      </c>
      <c r="C35" s="809">
        <f>IF('Entries December''25'!F35-'Entries December''25'!F34&lt;1,"0",'Entries December''25'!F35-'Entries December''25'!F34)</f>
        <v>19.5</v>
      </c>
      <c r="D35" s="809"/>
      <c r="E35" s="809" t="str">
        <f>IF('Entries December''25'!G35-'Entries December''25'!G34&lt;1,"0",'Entries December''25'!G35-'Entries December''25'!G34)</f>
        <v>0</v>
      </c>
      <c r="F35" s="809"/>
      <c r="G35" s="809"/>
      <c r="H35" s="810">
        <f t="shared" si="4"/>
        <v>165.64102564102564</v>
      </c>
      <c r="I35" s="810" t="str">
        <f t="shared" si="0"/>
        <v>0</v>
      </c>
      <c r="J35" s="810" t="str">
        <f t="shared" si="1"/>
        <v>0</v>
      </c>
      <c r="K35" s="809">
        <f t="shared" si="2"/>
        <v>3230</v>
      </c>
      <c r="L35" s="365">
        <v>373.23</v>
      </c>
      <c r="M35" s="369">
        <f t="shared" si="3"/>
        <v>8.6541810679741715</v>
      </c>
      <c r="O35" s="30"/>
    </row>
    <row r="36" spans="1:16" x14ac:dyDescent="0.25">
      <c r="A36" s="807">
        <v>30</v>
      </c>
      <c r="B36" s="808">
        <f>IF('Entries December''25'!B36-'Entries December''25'!B35&lt;1,"0",'Entries December''25'!B36-'Entries December''25'!B35)</f>
        <v>3660</v>
      </c>
      <c r="C36" s="809">
        <f>IF('Entries December''25'!F36-'Entries December''25'!F35&lt;1,"0",'Entries December''25'!F36-'Entries December''25'!F35)</f>
        <v>21.299999999999272</v>
      </c>
      <c r="D36" s="809"/>
      <c r="E36" s="809" t="str">
        <f>IF('Entries December''25'!G36-'Entries December''25'!G35&lt;1,"0",'Entries December''25'!G36-'Entries December''25'!G35)</f>
        <v>0</v>
      </c>
      <c r="F36" s="809"/>
      <c r="G36" s="809"/>
      <c r="H36" s="810">
        <f t="shared" si="4"/>
        <v>171.83098591549881</v>
      </c>
      <c r="I36" s="810" t="str">
        <f t="shared" si="0"/>
        <v>0</v>
      </c>
      <c r="J36" s="810" t="str">
        <f t="shared" si="1"/>
        <v>0</v>
      </c>
      <c r="K36" s="809">
        <f t="shared" si="2"/>
        <v>3660</v>
      </c>
      <c r="L36" s="365">
        <v>513.01800000000003</v>
      </c>
      <c r="M36" s="369">
        <f t="shared" si="3"/>
        <v>7.1342525993240002</v>
      </c>
      <c r="O36" s="30"/>
    </row>
    <row r="37" spans="1:16" x14ac:dyDescent="0.25">
      <c r="A37" s="807">
        <v>31</v>
      </c>
      <c r="B37" s="808">
        <f>IF('Entries December''25'!B37-'Entries December''25'!B36&lt;1,"0",'Entries December''25'!B37-'Entries December''25'!B36)</f>
        <v>2570</v>
      </c>
      <c r="C37" s="809">
        <f>IF('Entries December''25'!F37-'Entries December''25'!F36&lt;1,"0",'Entries December''25'!F37-'Entries December''25'!F36)</f>
        <v>16</v>
      </c>
      <c r="D37" s="809"/>
      <c r="E37" s="809" t="str">
        <f>IF('Entries December''25'!G37-'Entries December''25'!G36&lt;1,"0",'Entries December''25'!G37-'Entries December''25'!G36)</f>
        <v>0</v>
      </c>
      <c r="F37" s="809"/>
      <c r="G37" s="809"/>
      <c r="H37" s="810">
        <f t="shared" si="4"/>
        <v>160.625</v>
      </c>
      <c r="I37" s="810" t="str">
        <f t="shared" ref="I37" si="5">IF(E37=0,"0", D37/E37)</f>
        <v>0</v>
      </c>
      <c r="J37" s="810" t="str">
        <f t="shared" ref="J37" si="6">IF(G37=0,"0", F37/G37)</f>
        <v>0</v>
      </c>
      <c r="K37" s="809">
        <f t="shared" ref="K37" si="7">B37+D37+F37</f>
        <v>2570</v>
      </c>
      <c r="L37" s="365">
        <v>430.51800000000003</v>
      </c>
      <c r="M37" s="369"/>
      <c r="O37" s="189"/>
    </row>
    <row r="38" spans="1:16" ht="18" thickBot="1" x14ac:dyDescent="0.35">
      <c r="A38" s="46" t="s">
        <v>86</v>
      </c>
      <c r="B38" s="409">
        <f>SUM(B7:B37)</f>
        <v>75990</v>
      </c>
      <c r="C38" s="410">
        <f>SUM(C7:C37)</f>
        <v>480.49999999999909</v>
      </c>
      <c r="D38" s="323">
        <f t="shared" ref="D38:E38" si="8">SUM(D7:D34)</f>
        <v>0</v>
      </c>
      <c r="E38" s="410">
        <f t="shared" si="8"/>
        <v>0</v>
      </c>
      <c r="F38" s="323"/>
      <c r="G38" s="370"/>
      <c r="H38" s="413">
        <f t="shared" si="4"/>
        <v>158.1477627471387</v>
      </c>
      <c r="I38" s="370"/>
      <c r="J38" s="370"/>
      <c r="K38" s="371">
        <f>SUM(K7:K37)</f>
        <v>75990</v>
      </c>
      <c r="L38" s="372">
        <f>SUM(L7:L37)</f>
        <v>9272.0823</v>
      </c>
      <c r="M38" s="373">
        <f>IF(L38=0,"0",(K38/L38))</f>
        <v>8.1955700501062196</v>
      </c>
      <c r="N38" s="344">
        <v>7.2</v>
      </c>
      <c r="O38" s="345">
        <f>M38/N38*100</f>
        <v>113.82736180703084</v>
      </c>
    </row>
    <row r="39" spans="1:16" ht="16.2" thickBot="1" x14ac:dyDescent="0.35">
      <c r="A39" s="8" t="s">
        <v>263</v>
      </c>
      <c r="B39" s="411">
        <f>AVERAGE(B7:B37)</f>
        <v>2713.9285714285716</v>
      </c>
      <c r="C39" s="412">
        <f>AVERAGE(C7:C37)</f>
        <v>17.796296296296262</v>
      </c>
      <c r="D39" s="30"/>
      <c r="H39" s="377" t="s">
        <v>45</v>
      </c>
    </row>
    <row r="40" spans="1:16" x14ac:dyDescent="0.25">
      <c r="B40" s="8"/>
      <c r="C40" s="42"/>
      <c r="D40" s="30"/>
      <c r="J40" s="8" t="s">
        <v>58</v>
      </c>
    </row>
    <row r="41" spans="1:16" x14ac:dyDescent="0.25">
      <c r="B41" s="8"/>
      <c r="C41" s="42"/>
      <c r="D41" s="30"/>
    </row>
    <row r="42" spans="1:16" x14ac:dyDescent="0.25">
      <c r="B42" s="8"/>
      <c r="C42" s="42"/>
      <c r="D42" s="30"/>
    </row>
    <row r="43" spans="1:16" x14ac:dyDescent="0.25">
      <c r="B43" s="8"/>
      <c r="C43" s="42"/>
      <c r="D43" s="30"/>
    </row>
    <row r="44" spans="1:16" x14ac:dyDescent="0.25">
      <c r="B44" s="8"/>
      <c r="C44" s="42"/>
      <c r="D44" s="30"/>
    </row>
    <row r="45" spans="1:16" x14ac:dyDescent="0.25">
      <c r="B45" s="8"/>
      <c r="C45" s="42"/>
      <c r="D45" s="30"/>
    </row>
    <row r="46" spans="1:16" x14ac:dyDescent="0.25">
      <c r="B46" s="8"/>
      <c r="C46" s="42"/>
      <c r="D46" s="30"/>
    </row>
    <row r="47" spans="1:16" x14ac:dyDescent="0.25">
      <c r="B47" s="8"/>
      <c r="C47" s="42"/>
      <c r="D47" s="30"/>
    </row>
    <row r="48" spans="1:16" x14ac:dyDescent="0.25">
      <c r="B48" s="8"/>
      <c r="C48" s="42"/>
      <c r="D48" s="30"/>
    </row>
    <row r="49" spans="2:4" x14ac:dyDescent="0.25">
      <c r="B49" s="8"/>
      <c r="C49" s="42"/>
      <c r="D49" s="30"/>
    </row>
    <row r="50" spans="2:4" x14ac:dyDescent="0.25">
      <c r="B50" s="8"/>
      <c r="C50" s="42"/>
      <c r="D50" s="30"/>
    </row>
    <row r="51" spans="2:4" x14ac:dyDescent="0.25">
      <c r="B51" s="8"/>
      <c r="C51" s="42"/>
      <c r="D51" s="30"/>
    </row>
    <row r="52" spans="2:4" x14ac:dyDescent="0.25">
      <c r="B52" s="8"/>
      <c r="C52" s="42"/>
      <c r="D52" s="30"/>
    </row>
    <row r="53" spans="2:4" x14ac:dyDescent="0.25">
      <c r="B53" s="8"/>
      <c r="C53" s="42"/>
      <c r="D53" s="30"/>
    </row>
    <row r="54" spans="2:4" x14ac:dyDescent="0.25">
      <c r="B54" s="8"/>
      <c r="C54" s="42"/>
      <c r="D54" s="30"/>
    </row>
    <row r="55" spans="2:4" x14ac:dyDescent="0.25">
      <c r="B55" s="8"/>
      <c r="C55" s="42"/>
      <c r="D55" s="30"/>
    </row>
    <row r="56" spans="2:4" x14ac:dyDescent="0.25">
      <c r="B56" s="8"/>
      <c r="C56" s="42"/>
      <c r="D56" s="30"/>
    </row>
    <row r="57" spans="2:4" x14ac:dyDescent="0.25">
      <c r="B57" s="8"/>
      <c r="C57" s="42"/>
      <c r="D57" s="30"/>
    </row>
    <row r="58" spans="2:4" x14ac:dyDescent="0.25">
      <c r="B58" s="8"/>
      <c r="C58" s="42"/>
      <c r="D58" s="30"/>
    </row>
    <row r="59" spans="2:4" x14ac:dyDescent="0.25">
      <c r="B59" s="8"/>
      <c r="C59" s="42"/>
      <c r="D59" s="30"/>
    </row>
    <row r="60" spans="2:4" x14ac:dyDescent="0.25">
      <c r="B60" s="8"/>
      <c r="C60" s="42"/>
      <c r="D60" s="30"/>
    </row>
    <row r="61" spans="2:4" x14ac:dyDescent="0.25">
      <c r="B61" s="8"/>
      <c r="C61" s="42"/>
      <c r="D61" s="30"/>
    </row>
    <row r="62" spans="2:4" x14ac:dyDescent="0.25">
      <c r="B62" s="8"/>
      <c r="C62" s="42"/>
      <c r="D62" s="30"/>
    </row>
    <row r="63" spans="2:4" x14ac:dyDescent="0.25">
      <c r="B63" s="8"/>
      <c r="C63" s="42"/>
      <c r="D63" s="30"/>
    </row>
    <row r="64" spans="2:4" x14ac:dyDescent="0.25">
      <c r="B64" s="8"/>
      <c r="C64" s="42"/>
      <c r="D64" s="30"/>
    </row>
    <row r="65" spans="2:4" x14ac:dyDescent="0.25">
      <c r="B65" s="8"/>
      <c r="C65" s="42"/>
      <c r="D65" s="30"/>
    </row>
    <row r="66" spans="2:4" x14ac:dyDescent="0.25">
      <c r="B66" s="8"/>
      <c r="C66" s="42"/>
      <c r="D66" s="30"/>
    </row>
    <row r="67" spans="2:4" x14ac:dyDescent="0.25">
      <c r="B67" s="8"/>
      <c r="C67" s="42"/>
      <c r="D67" s="30"/>
    </row>
    <row r="68" spans="2:4" x14ac:dyDescent="0.25">
      <c r="B68" s="8"/>
      <c r="C68" s="42"/>
      <c r="D68" s="30"/>
    </row>
    <row r="69" spans="2:4" x14ac:dyDescent="0.25">
      <c r="B69" s="8"/>
      <c r="C69" s="42"/>
      <c r="D69" s="30"/>
    </row>
    <row r="70" spans="2:4" x14ac:dyDescent="0.25">
      <c r="B70" s="8"/>
      <c r="D70" s="30"/>
    </row>
    <row r="71" spans="2:4" x14ac:dyDescent="0.25">
      <c r="B71" s="8"/>
      <c r="D71" s="8"/>
    </row>
    <row r="72" spans="2:4" x14ac:dyDescent="0.25">
      <c r="B72" s="8"/>
      <c r="D72" s="8"/>
    </row>
    <row r="73" spans="2:4" x14ac:dyDescent="0.25">
      <c r="B73" s="8"/>
      <c r="D73" s="8"/>
    </row>
    <row r="74" spans="2:4" x14ac:dyDescent="0.25">
      <c r="B74" s="8"/>
      <c r="D74" s="8"/>
    </row>
    <row r="75" spans="2:4" x14ac:dyDescent="0.25">
      <c r="B75" s="8"/>
      <c r="D75" s="8"/>
    </row>
    <row r="76" spans="2:4" x14ac:dyDescent="0.25">
      <c r="B76" s="8"/>
      <c r="D76" s="8"/>
    </row>
    <row r="77" spans="2:4" x14ac:dyDescent="0.25">
      <c r="B77" s="8"/>
      <c r="D77" s="8"/>
    </row>
    <row r="78" spans="2:4" x14ac:dyDescent="0.25">
      <c r="B78" s="8"/>
      <c r="D78" s="8"/>
    </row>
    <row r="79" spans="2:4" x14ac:dyDescent="0.25">
      <c r="B79" s="8"/>
      <c r="D79" s="8"/>
    </row>
    <row r="80" spans="2:4" x14ac:dyDescent="0.25">
      <c r="B80" s="8"/>
      <c r="D80" s="8"/>
    </row>
    <row r="81" spans="2:4" x14ac:dyDescent="0.25">
      <c r="B81" s="8"/>
      <c r="D81" s="8"/>
    </row>
    <row r="82" spans="2:4" x14ac:dyDescent="0.25">
      <c r="B82" s="8"/>
      <c r="D82" s="8"/>
    </row>
    <row r="83" spans="2:4" x14ac:dyDescent="0.25">
      <c r="B83" s="8"/>
      <c r="D83" s="8"/>
    </row>
    <row r="84" spans="2:4" x14ac:dyDescent="0.25">
      <c r="B84" s="8"/>
      <c r="D84" s="8"/>
    </row>
    <row r="85" spans="2:4" x14ac:dyDescent="0.25">
      <c r="B85" s="8"/>
      <c r="D85" s="8"/>
    </row>
    <row r="86" spans="2:4" x14ac:dyDescent="0.25">
      <c r="B86" s="8"/>
      <c r="D86" s="8"/>
    </row>
    <row r="87" spans="2:4" x14ac:dyDescent="0.25">
      <c r="B87" s="8"/>
      <c r="D87" s="8"/>
    </row>
    <row r="88" spans="2:4" x14ac:dyDescent="0.25">
      <c r="B88" s="8"/>
      <c r="D88" s="8"/>
    </row>
    <row r="89" spans="2:4" x14ac:dyDescent="0.25">
      <c r="B89" s="8"/>
      <c r="D89" s="8"/>
    </row>
    <row r="90" spans="2:4" x14ac:dyDescent="0.25">
      <c r="B90" s="8"/>
      <c r="D90" s="8"/>
    </row>
    <row r="91" spans="2:4" x14ac:dyDescent="0.25">
      <c r="B91" s="8"/>
      <c r="D91" s="8"/>
    </row>
    <row r="92" spans="2:4" x14ac:dyDescent="0.25">
      <c r="B92" s="8"/>
      <c r="D92" s="8"/>
    </row>
    <row r="93" spans="2:4" x14ac:dyDescent="0.25">
      <c r="B93" s="8"/>
      <c r="D93" s="8"/>
    </row>
    <row r="94" spans="2:4" x14ac:dyDescent="0.25">
      <c r="B94" s="8"/>
      <c r="D94" s="8"/>
    </row>
    <row r="95" spans="2:4" x14ac:dyDescent="0.25">
      <c r="B95" s="8"/>
      <c r="D95" s="8"/>
    </row>
    <row r="96" spans="2:4" x14ac:dyDescent="0.25">
      <c r="B96" s="8"/>
      <c r="D96" s="8"/>
    </row>
    <row r="97" spans="2:4" x14ac:dyDescent="0.25">
      <c r="B97" s="8"/>
      <c r="D97" s="8"/>
    </row>
    <row r="98" spans="2:4" x14ac:dyDescent="0.25">
      <c r="B98" s="8"/>
      <c r="D98" s="8"/>
    </row>
    <row r="99" spans="2:4" x14ac:dyDescent="0.25">
      <c r="B99" s="8"/>
      <c r="D99" s="8"/>
    </row>
    <row r="100" spans="2:4" x14ac:dyDescent="0.25">
      <c r="B100" s="8"/>
      <c r="D100" s="8"/>
    </row>
    <row r="101" spans="2:4" x14ac:dyDescent="0.25">
      <c r="B101" s="8"/>
      <c r="D101" s="8"/>
    </row>
    <row r="102" spans="2:4" x14ac:dyDescent="0.25">
      <c r="B102" s="8"/>
      <c r="D102" s="8"/>
    </row>
    <row r="103" spans="2:4" x14ac:dyDescent="0.25">
      <c r="B103" s="8"/>
      <c r="D103" s="8"/>
    </row>
    <row r="104" spans="2:4" x14ac:dyDescent="0.25">
      <c r="B104" s="8"/>
      <c r="D104" s="8"/>
    </row>
    <row r="105" spans="2:4" x14ac:dyDescent="0.25">
      <c r="B105" s="8"/>
      <c r="D105" s="8"/>
    </row>
    <row r="106" spans="2:4" x14ac:dyDescent="0.25">
      <c r="B106" s="8"/>
      <c r="D106" s="8"/>
    </row>
    <row r="107" spans="2:4" x14ac:dyDescent="0.25">
      <c r="B107" s="8"/>
      <c r="D107" s="8"/>
    </row>
    <row r="108" spans="2:4" x14ac:dyDescent="0.25">
      <c r="B108" s="8"/>
      <c r="D108" s="8"/>
    </row>
    <row r="109" spans="2:4" x14ac:dyDescent="0.25">
      <c r="B109" s="8"/>
      <c r="D109" s="8"/>
    </row>
    <row r="110" spans="2:4" x14ac:dyDescent="0.25">
      <c r="B110" s="8"/>
      <c r="D110" s="8"/>
    </row>
    <row r="111" spans="2:4" x14ac:dyDescent="0.25">
      <c r="B111" s="8"/>
      <c r="D111" s="8"/>
    </row>
    <row r="112" spans="2:4" x14ac:dyDescent="0.25">
      <c r="B112" s="8"/>
      <c r="D112" s="8"/>
    </row>
    <row r="113" spans="2:4" x14ac:dyDescent="0.25">
      <c r="B113" s="8"/>
      <c r="D113" s="8"/>
    </row>
    <row r="114" spans="2:4" x14ac:dyDescent="0.25">
      <c r="B114" s="8"/>
      <c r="D114" s="8"/>
    </row>
    <row r="115" spans="2:4" x14ac:dyDescent="0.25">
      <c r="B115" s="8"/>
      <c r="D115" s="8"/>
    </row>
    <row r="116" spans="2:4" x14ac:dyDescent="0.25">
      <c r="B116" s="8"/>
      <c r="D116" s="8"/>
    </row>
    <row r="117" spans="2:4" x14ac:dyDescent="0.25">
      <c r="B117" s="8"/>
      <c r="D117" s="8"/>
    </row>
    <row r="118" spans="2:4" x14ac:dyDescent="0.25">
      <c r="B118" s="8"/>
      <c r="D118" s="8"/>
    </row>
    <row r="119" spans="2:4" x14ac:dyDescent="0.25">
      <c r="B119" s="8"/>
      <c r="D119" s="8"/>
    </row>
    <row r="120" spans="2:4" x14ac:dyDescent="0.25">
      <c r="B120" s="8"/>
      <c r="D120" s="8"/>
    </row>
    <row r="121" spans="2:4" x14ac:dyDescent="0.25">
      <c r="B121" s="8"/>
      <c r="D121" s="8"/>
    </row>
    <row r="122" spans="2:4" x14ac:dyDescent="0.25">
      <c r="B122" s="8"/>
      <c r="D122" s="8"/>
    </row>
    <row r="123" spans="2:4" x14ac:dyDescent="0.25">
      <c r="B123" s="8"/>
      <c r="D123" s="8"/>
    </row>
    <row r="124" spans="2:4" x14ac:dyDescent="0.25">
      <c r="B124" s="8"/>
      <c r="D124" s="8"/>
    </row>
    <row r="125" spans="2:4" x14ac:dyDescent="0.25">
      <c r="B125" s="8"/>
      <c r="D125" s="8"/>
    </row>
    <row r="126" spans="2:4" x14ac:dyDescent="0.25">
      <c r="B126" s="8"/>
      <c r="D126" s="8"/>
    </row>
    <row r="127" spans="2:4" x14ac:dyDescent="0.25">
      <c r="B127" s="8"/>
      <c r="D127" s="8"/>
    </row>
    <row r="128" spans="2:4" x14ac:dyDescent="0.25">
      <c r="B128" s="8"/>
      <c r="D128" s="8"/>
    </row>
    <row r="129" spans="2:4" x14ac:dyDescent="0.25">
      <c r="B129" s="8"/>
      <c r="D129" s="8"/>
    </row>
    <row r="130" spans="2:4" x14ac:dyDescent="0.25">
      <c r="B130" s="8"/>
      <c r="D130" s="8"/>
    </row>
    <row r="131" spans="2:4" x14ac:dyDescent="0.25">
      <c r="B131" s="8"/>
      <c r="D131" s="8"/>
    </row>
    <row r="132" spans="2:4" x14ac:dyDescent="0.25">
      <c r="B132" s="8"/>
      <c r="D132" s="8"/>
    </row>
    <row r="133" spans="2:4" x14ac:dyDescent="0.25">
      <c r="B133" s="8"/>
      <c r="D133" s="8"/>
    </row>
    <row r="134" spans="2:4" x14ac:dyDescent="0.25">
      <c r="B134" s="8"/>
      <c r="D134" s="8"/>
    </row>
    <row r="135" spans="2:4" x14ac:dyDescent="0.25">
      <c r="B135" s="8"/>
      <c r="D135" s="8"/>
    </row>
    <row r="136" spans="2:4" x14ac:dyDescent="0.25">
      <c r="B136" s="8"/>
      <c r="D136" s="8"/>
    </row>
    <row r="137" spans="2:4" x14ac:dyDescent="0.25">
      <c r="B137" s="8"/>
      <c r="D137" s="8"/>
    </row>
    <row r="138" spans="2:4" x14ac:dyDescent="0.25">
      <c r="B138" s="8"/>
      <c r="D138" s="8"/>
    </row>
    <row r="139" spans="2:4" x14ac:dyDescent="0.25">
      <c r="B139" s="8"/>
      <c r="D139" s="8"/>
    </row>
    <row r="140" spans="2:4" x14ac:dyDescent="0.25">
      <c r="B140" s="8"/>
      <c r="D140" s="8"/>
    </row>
    <row r="141" spans="2:4" x14ac:dyDescent="0.25">
      <c r="B141" s="8"/>
      <c r="D141" s="8"/>
    </row>
    <row r="142" spans="2:4" x14ac:dyDescent="0.25">
      <c r="B142" s="8"/>
      <c r="D142" s="8"/>
    </row>
    <row r="143" spans="2:4" x14ac:dyDescent="0.25">
      <c r="B143" s="8"/>
      <c r="D143" s="8"/>
    </row>
    <row r="144" spans="2:4" x14ac:dyDescent="0.25">
      <c r="B144" s="8"/>
      <c r="D144" s="8"/>
    </row>
    <row r="145" spans="2:4" x14ac:dyDescent="0.25">
      <c r="B145" s="8"/>
      <c r="D145" s="8"/>
    </row>
    <row r="146" spans="2:4" x14ac:dyDescent="0.25">
      <c r="B146" s="8"/>
      <c r="D146" s="8"/>
    </row>
    <row r="147" spans="2:4" x14ac:dyDescent="0.25">
      <c r="B147" s="8"/>
      <c r="D147" s="8"/>
    </row>
    <row r="148" spans="2:4" x14ac:dyDescent="0.25">
      <c r="B148" s="8"/>
      <c r="D148" s="8"/>
    </row>
    <row r="149" spans="2:4" x14ac:dyDescent="0.25">
      <c r="B149" s="8"/>
      <c r="D149" s="8"/>
    </row>
    <row r="150" spans="2:4" x14ac:dyDescent="0.25">
      <c r="B150" s="8"/>
      <c r="D150" s="8"/>
    </row>
    <row r="151" spans="2:4" x14ac:dyDescent="0.25">
      <c r="B151" s="8"/>
      <c r="D151" s="8"/>
    </row>
    <row r="152" spans="2:4" x14ac:dyDescent="0.25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defaultColWidth="12.5546875" defaultRowHeight="15" x14ac:dyDescent="0.25"/>
  <cols>
    <col min="1" max="1" width="14.5546875" style="8" customWidth="1"/>
    <col min="2" max="2" width="12.5546875" style="8"/>
    <col min="3" max="3" width="16.6640625" style="8" customWidth="1"/>
    <col min="4" max="6" width="16.44140625" style="8" customWidth="1"/>
    <col min="7" max="10" width="18.6640625" style="8" customWidth="1"/>
    <col min="11" max="11" width="19.6640625" style="8" customWidth="1"/>
    <col min="12" max="16" width="18.6640625" style="8" customWidth="1"/>
    <col min="17" max="17" width="19.44140625" style="8" customWidth="1"/>
    <col min="18" max="18" width="14.5546875" style="8" customWidth="1"/>
    <col min="19" max="24" width="20.33203125" style="8" customWidth="1"/>
    <col min="25" max="25" width="17.6640625" style="8" customWidth="1"/>
    <col min="26" max="26" width="17.6640625" style="189" customWidth="1"/>
    <col min="27" max="29" width="12.5546875" style="8"/>
    <col min="30" max="30" width="12.44140625" style="8" customWidth="1"/>
    <col min="31" max="16384" width="12.5546875" style="8"/>
  </cols>
  <sheetData>
    <row r="1" spans="1:31" ht="15.6" x14ac:dyDescent="0.3">
      <c r="A1" s="926"/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  <c r="Q1" s="927"/>
      <c r="R1" s="927"/>
      <c r="S1" s="927"/>
      <c r="T1" s="927"/>
      <c r="U1" s="927"/>
      <c r="V1" s="927"/>
      <c r="W1" s="927"/>
      <c r="X1" s="927"/>
      <c r="Y1" s="927"/>
      <c r="Z1" s="927"/>
      <c r="AA1" s="927"/>
    </row>
    <row r="2" spans="1:31" x14ac:dyDescent="0.25">
      <c r="C2" s="17"/>
    </row>
    <row r="3" spans="1:31" ht="4.5" customHeight="1" thickBot="1" x14ac:dyDescent="0.3"/>
    <row r="4" spans="1:31" ht="15.75" customHeight="1" x14ac:dyDescent="0.25">
      <c r="B4" s="946" t="s">
        <v>7</v>
      </c>
      <c r="C4" s="938" t="s">
        <v>109</v>
      </c>
      <c r="D4" s="943" t="s">
        <v>110</v>
      </c>
      <c r="E4" s="938" t="s">
        <v>111</v>
      </c>
      <c r="F4" s="943" t="s">
        <v>243</v>
      </c>
      <c r="G4" s="943" t="s">
        <v>112</v>
      </c>
      <c r="H4" s="943" t="s">
        <v>165</v>
      </c>
      <c r="I4" s="938" t="s">
        <v>211</v>
      </c>
      <c r="J4" s="938" t="s">
        <v>113</v>
      </c>
      <c r="K4" s="938" t="s">
        <v>178</v>
      </c>
      <c r="L4" s="938" t="s">
        <v>177</v>
      </c>
      <c r="M4" s="938" t="s">
        <v>107</v>
      </c>
      <c r="N4" s="48"/>
      <c r="O4" s="48"/>
      <c r="P4" s="48"/>
      <c r="Q4" s="48"/>
      <c r="R4" s="943" t="s">
        <v>114</v>
      </c>
      <c r="S4" s="943" t="s">
        <v>244</v>
      </c>
      <c r="T4" s="48"/>
      <c r="U4" s="938" t="s">
        <v>157</v>
      </c>
      <c r="V4" s="48"/>
      <c r="W4" s="48"/>
      <c r="X4" s="938" t="s">
        <v>179</v>
      </c>
      <c r="Y4" s="938" t="s">
        <v>180</v>
      </c>
      <c r="Z4" s="936" t="s">
        <v>251</v>
      </c>
      <c r="AA4" s="940" t="s">
        <v>247</v>
      </c>
      <c r="AB4" s="934" t="s">
        <v>80</v>
      </c>
    </row>
    <row r="5" spans="1:31" s="301" customFormat="1" ht="47.25" customHeight="1" x14ac:dyDescent="0.25">
      <c r="B5" s="947"/>
      <c r="C5" s="945"/>
      <c r="D5" s="944"/>
      <c r="E5" s="939"/>
      <c r="F5" s="944"/>
      <c r="G5" s="944"/>
      <c r="H5" s="944"/>
      <c r="I5" s="939"/>
      <c r="J5" s="939"/>
      <c r="K5" s="939"/>
      <c r="L5" s="939"/>
      <c r="M5" s="939"/>
      <c r="N5" s="50" t="s">
        <v>115</v>
      </c>
      <c r="O5" s="50" t="s">
        <v>116</v>
      </c>
      <c r="P5" s="50" t="s">
        <v>246</v>
      </c>
      <c r="Q5" s="50" t="s">
        <v>117</v>
      </c>
      <c r="R5" s="944"/>
      <c r="S5" s="944"/>
      <c r="T5" s="49" t="s">
        <v>103</v>
      </c>
      <c r="U5" s="942"/>
      <c r="V5" s="80" t="s">
        <v>160</v>
      </c>
      <c r="W5" s="80" t="s">
        <v>161</v>
      </c>
      <c r="X5" s="939"/>
      <c r="Y5" s="939"/>
      <c r="Z5" s="937"/>
      <c r="AA5" s="941"/>
      <c r="AB5" s="935"/>
    </row>
    <row r="6" spans="1:31" x14ac:dyDescent="0.25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30"/>
      <c r="AA6" s="331"/>
      <c r="AB6" s="332"/>
    </row>
    <row r="7" spans="1:31" x14ac:dyDescent="0.25">
      <c r="B7" s="51">
        <v>1</v>
      </c>
      <c r="C7" s="52" t="str">
        <f>IF('Entries December''25'!W7-'Entries December''25'!W6&lt;1,"0",'Entries December''25'!W7-'Entries December''25'!W6)</f>
        <v>0</v>
      </c>
      <c r="D7" s="31">
        <f>IF('Entries December''25'!O7-'Entries December''25'!O6&lt;1,"0",'Entries December''25'!O7-'Entries December''25'!O6)</f>
        <v>98</v>
      </c>
      <c r="E7" s="31">
        <f>IF('Entries December''25'!P7-'Entries December''25'!P6&lt;1,"0",'Entries December''25'!P7-'Entries December''25'!P6)</f>
        <v>143</v>
      </c>
      <c r="F7" s="31">
        <f>IF('Entries December''25'!V7-'Entries December''25'!V6&lt;1,"0",'Entries December''25'!V7-'Entries December''25'!V6)</f>
        <v>151</v>
      </c>
      <c r="G7" s="31">
        <f>(D7+E7)-F7</f>
        <v>90</v>
      </c>
      <c r="H7" s="31">
        <f>IF('Entries December''25'!Q7-'Entries December''25'!Q6&lt;1,0,'Entries December''25'!Q7-'Entries December''25'!Q6)</f>
        <v>268</v>
      </c>
      <c r="I7" s="31">
        <f>IF('Entries December''25'!AG7-'Entries December''25'!AG6&lt;1,0,'Entries December''25'!AG7-'Entries December''25'!AG6)</f>
        <v>0</v>
      </c>
      <c r="J7" s="31">
        <f>IF('Entries December''25'!S7-'Entries December''25'!S6&lt;1,"0",'Entries December''25'!S7-'Entries December''25'!S6)</f>
        <v>28</v>
      </c>
      <c r="K7" s="31" t="str">
        <f>IF('Entries December''25'!R7-'Entries December''25'!R6&lt;1,"0",'Entries December''25'!R7-'Entries December''25'!R6)</f>
        <v>0</v>
      </c>
      <c r="L7" s="31" t="str">
        <f>IF('Entries December''25'!T7-'Entries December''25'!T6&lt;1,"0",'Entries December''25'!T7-'Entries December''25'!T6)</f>
        <v>0</v>
      </c>
      <c r="M7" s="31">
        <f>IF('Entries December''25'!U7-'Entries December''25'!U6&lt;1,"0",'Entries December''25'!U7-'Entries December''25'!U6)</f>
        <v>18</v>
      </c>
      <c r="N7" s="31">
        <f>IF('Entries December''25'!X7-'Entries December''25'!X6&lt;1,"0",'Entries December''25'!X7-'Entries December''25'!X6)</f>
        <v>28</v>
      </c>
      <c r="O7" s="31">
        <f>IF('Entries December''25'!Y7-'Entries December''25'!Y6&lt;1,"0",'Entries December''25'!Y7-'Entries December''25'!Y6)</f>
        <v>167</v>
      </c>
      <c r="P7" s="31">
        <f>IF('Entries December''25'!AC7-'Entries December''25'!AC6&lt;1,"0",'Entries December''25'!AC7-'Entries December''25'!AC6)</f>
        <v>27</v>
      </c>
      <c r="Q7" s="31">
        <f>IF('Entries December''25'!Z7-'Entries December''25'!Z6&lt;1,"0",'Entries December''25'!Z7-'Entries December''25'!Z6)</f>
        <v>60</v>
      </c>
      <c r="R7" s="31" t="str">
        <f>IF(('Entries December''25'!AA7-'Entries December''25'!AA6)+('Entries December''25'!AB7-'Entries December''25'!AB6)&lt;1,"0",('Entries December''25'!AA7-'Entries December''25'!AA6)+('Entries December''25'!AB7-'Entries December''25'!AB6))</f>
        <v>0</v>
      </c>
      <c r="S7" s="52">
        <f>(R7+G7)*10</f>
        <v>900</v>
      </c>
      <c r="T7" s="52">
        <f>O7+N7+M7+L7</f>
        <v>213</v>
      </c>
      <c r="U7" s="31">
        <f>IF('Entries December''25'!AC7-'Entries December''25'!AC6&lt;1,"0",'Entries December''25'!AC7-'Entries December''25'!AC6)</f>
        <v>27</v>
      </c>
      <c r="V7" s="31" t="str">
        <f>IF('Entries December''25'!AD7-'Entries December''25'!AD6&lt;1,"0",'Entries December''25'!AD7-'Entries December''25'!AD6)</f>
        <v>0</v>
      </c>
      <c r="W7" s="31" t="str">
        <f>IF('Entries December''25'!AE7-'Entries December''25'!AE6&lt;1,"0",'Entries December''25'!AE7-'Entries December''25'!AE6)</f>
        <v>0</v>
      </c>
      <c r="X7" s="79" t="str">
        <f>IF('Entries December''25'!AI7-'Entries December''25'!AI6&lt;1,"0",'Entries December''25'!AI7-'Entries December''25'!AI6)</f>
        <v>0</v>
      </c>
      <c r="Y7" s="79" t="str">
        <f>IF('Entries December''25'!AH7-'Entries December''25'!AH6&lt;1,"0",'Entries December''25'!AH7-'Entries December''25'!AH6)</f>
        <v>0</v>
      </c>
      <c r="Z7" s="333">
        <f>C7+D7+E7</f>
        <v>241</v>
      </c>
      <c r="AA7" s="334" cm="1">
        <f t="array" ref="AA7:AA37">IF(TRANSPOSE('Daily KPIs'!B9:AF9)=0,"0",TRANSPOSE('Daily KPIs'!B9:AF9))</f>
        <v>455.13600000000002</v>
      </c>
      <c r="AB7" s="335">
        <f>IF(AA7=0,"0",(Z7*10/AA7))</f>
        <v>5.2951205793433171</v>
      </c>
    </row>
    <row r="8" spans="1:31" x14ac:dyDescent="0.25">
      <c r="B8" s="51">
        <v>2</v>
      </c>
      <c r="C8" s="52" t="str">
        <f>IF('Entries December''25'!W8-'Entries December''25'!W7&lt;1,"0",'Entries December''25'!W8-'Entries December''25'!W7)</f>
        <v>0</v>
      </c>
      <c r="D8" s="31">
        <f>IF('Entries December''25'!O8-'Entries December''25'!O7&lt;1,"0",'Entries December''25'!O8-'Entries December''25'!O7)</f>
        <v>238</v>
      </c>
      <c r="E8" s="31">
        <f>IF('Entries December''25'!P8-'Entries December''25'!P7&lt;1,"0",'Entries December''25'!P8-'Entries December''25'!P7)</f>
        <v>131</v>
      </c>
      <c r="F8" s="31">
        <f>IF('Entries December''25'!V8-'Entries December''25'!V7&lt;1,"0",'Entries December''25'!V8-'Entries December''25'!V7)</f>
        <v>137</v>
      </c>
      <c r="G8" s="31">
        <f t="shared" ref="G8:G37" si="0">(D8+E8)-F8</f>
        <v>232</v>
      </c>
      <c r="H8" s="31">
        <f>IF('Entries December''25'!Q8-'Entries December''25'!Q7&lt;1,0,'Entries December''25'!Q8-'Entries December''25'!Q7)</f>
        <v>165</v>
      </c>
      <c r="I8" s="31">
        <f>IF('Entries December''25'!AG8-'Entries December''25'!AG7&lt;1,0,'Entries December''25'!AG8-'Entries December''25'!AG7)</f>
        <v>0</v>
      </c>
      <c r="J8" s="31">
        <f>IF('Entries December''25'!S8-'Entries December''25'!S7&lt;1,"0",'Entries December''25'!S8-'Entries December''25'!S7)</f>
        <v>152</v>
      </c>
      <c r="K8" s="31" t="str">
        <f>IF('Entries December''25'!R8-'Entries December''25'!R7&lt;1,"0",'Entries December''25'!R8-'Entries December''25'!R7)</f>
        <v>0</v>
      </c>
      <c r="L8" s="31" t="str">
        <f>IF('Entries December''25'!T8-'Entries December''25'!T7&lt;1,"0",'Entries December''25'!T8-'Entries December''25'!T7)</f>
        <v>0</v>
      </c>
      <c r="M8" s="31">
        <f>IF('Entries December''25'!U8-'Entries December''25'!U7&lt;1,"0",'Entries December''25'!U8-'Entries December''25'!U7)</f>
        <v>7</v>
      </c>
      <c r="N8" s="31">
        <f>IF('Entries December''25'!X8-'Entries December''25'!X7&lt;1,"0",'Entries December''25'!X8-'Entries December''25'!X7)</f>
        <v>3</v>
      </c>
      <c r="O8" s="31">
        <f>IF('Entries December''25'!Y8-'Entries December''25'!Y7&lt;1,"0",'Entries December''25'!Y8-'Entries December''25'!Y7)</f>
        <v>84</v>
      </c>
      <c r="P8" s="31">
        <f>IF('Entries December''25'!AC8-'Entries December''25'!AC7&lt;1,"0",'Entries December''25'!AC8-'Entries December''25'!AC7)</f>
        <v>14</v>
      </c>
      <c r="Q8" s="31">
        <f>IF('Entries December''25'!Z8-'Entries December''25'!Z7&lt;1,"0",'Entries December''25'!Z8-'Entries December''25'!Z7)</f>
        <v>48</v>
      </c>
      <c r="R8" s="31" t="str">
        <f>IF(('Entries December''25'!AA8-'Entries December''25'!AA7)+('Entries December''25'!AB8-'Entries December''25'!AB7)&lt;1,"0",('Entries December''25'!AA8-'Entries December''25'!AA7)+('Entries December''25'!AB8-'Entries December''25'!AB7))</f>
        <v>0</v>
      </c>
      <c r="S8" s="52">
        <f>(R8+G8)*10</f>
        <v>2320</v>
      </c>
      <c r="T8" s="52">
        <f t="shared" ref="T8:T36" si="1">O8+N8+M8+L8</f>
        <v>94</v>
      </c>
      <c r="U8" s="31">
        <f>IF('Entries December''25'!AC8-'Entries December''25'!AC7&lt;1,"0",'Entries December''25'!AC8-'Entries December''25'!AC7)</f>
        <v>14</v>
      </c>
      <c r="V8" s="31" t="str">
        <f>IF('Entries December''25'!AD8-'Entries December''25'!AD7&lt;1,"0",'Entries December''25'!AD8-'Entries December''25'!AD7)</f>
        <v>0</v>
      </c>
      <c r="W8" s="31" t="str">
        <f>IF('Entries December''25'!AE8-'Entries December''25'!AE7&lt;1,"0",'Entries December''25'!AE8-'Entries December''25'!AE7)</f>
        <v>0</v>
      </c>
      <c r="X8" s="79" t="str">
        <f>IF('Entries December''25'!AI8-'Entries December''25'!AI7&lt;1,"0",'Entries December''25'!AI8-'Entries December''25'!AI7)</f>
        <v>0</v>
      </c>
      <c r="Y8" s="79" t="str">
        <f>IF('Entries December''25'!AH8-'Entries December''25'!AH7&lt;1,"0",'Entries December''25'!AH8-'Entries December''25'!AH7)</f>
        <v>0</v>
      </c>
      <c r="Z8" s="333">
        <f t="shared" ref="Z8:Z37" si="2">C8+D8+E8</f>
        <v>369</v>
      </c>
      <c r="AA8" s="334">
        <v>211.92600000000002</v>
      </c>
      <c r="AB8" s="335">
        <f t="shared" ref="AB8:AB36" si="3">IF(AA8=0,"0",(Z8*10/AA8))</f>
        <v>17.411738059511336</v>
      </c>
    </row>
    <row r="9" spans="1:31" x14ac:dyDescent="0.25">
      <c r="B9" s="51">
        <v>3</v>
      </c>
      <c r="C9" s="52" t="str">
        <f>IF('Entries December''25'!W9-'Entries December''25'!W8&lt;1,"0",'Entries December''25'!W9-'Entries December''25'!W8)</f>
        <v>0</v>
      </c>
      <c r="D9" s="31">
        <f>IF('Entries December''25'!O9-'Entries December''25'!O8&lt;1,"0",'Entries December''25'!O9-'Entries December''25'!O8)</f>
        <v>139</v>
      </c>
      <c r="E9" s="31">
        <f>IF('Entries December''25'!P9-'Entries December''25'!P8&lt;1,"0",'Entries December''25'!P9-'Entries December''25'!P8)</f>
        <v>209</v>
      </c>
      <c r="F9" s="31">
        <f>IF('Entries December''25'!V9-'Entries December''25'!V8&lt;1,"0",'Entries December''25'!V9-'Entries December''25'!V8)</f>
        <v>218</v>
      </c>
      <c r="G9" s="31">
        <f t="shared" si="0"/>
        <v>130</v>
      </c>
      <c r="H9" s="31">
        <f>IF('Entries December''25'!Q9-'Entries December''25'!Q8&lt;1,0,'Entries December''25'!Q9-'Entries December''25'!Q8)</f>
        <v>229</v>
      </c>
      <c r="I9" s="31">
        <f>IF('Entries December''25'!AG9-'Entries December''25'!AG8&lt;1,0,'Entries December''25'!AG9-'Entries December''25'!AG8)</f>
        <v>0</v>
      </c>
      <c r="J9" s="31">
        <f>IF('Entries December''25'!S9-'Entries December''25'!S8&lt;1,"0",'Entries December''25'!S9-'Entries December''25'!S8)</f>
        <v>117</v>
      </c>
      <c r="K9" s="31" t="str">
        <f>IF('Entries December''25'!R9-'Entries December''25'!R8&lt;1,"0",'Entries December''25'!R9-'Entries December''25'!R8)</f>
        <v>0</v>
      </c>
      <c r="L9" s="31" t="str">
        <f>IF('Entries December''25'!T9-'Entries December''25'!T8&lt;1,"0",'Entries December''25'!T9-'Entries December''25'!T8)</f>
        <v>0</v>
      </c>
      <c r="M9" s="31">
        <f>IF('Entries December''25'!U9-'Entries December''25'!U8&lt;1,"0",'Entries December''25'!U9-'Entries December''25'!U8)</f>
        <v>10</v>
      </c>
      <c r="N9" s="31">
        <f>IF('Entries December''25'!X9-'Entries December''25'!X8&lt;1,"0",'Entries December''25'!X9-'Entries December''25'!X8)</f>
        <v>25</v>
      </c>
      <c r="O9" s="31">
        <f>IF('Entries December''25'!Y9-'Entries December''25'!Y8&lt;1,"0",'Entries December''25'!Y9-'Entries December''25'!Y8)</f>
        <v>118</v>
      </c>
      <c r="P9" s="31">
        <f>IF('Entries December''25'!AC9-'Entries December''25'!AC8&lt;1,"0",'Entries December''25'!AC9-'Entries December''25'!AC8)</f>
        <v>30</v>
      </c>
      <c r="Q9" s="31">
        <f>IF('Entries December''25'!Z9-'Entries December''25'!Z8&lt;1,"0",'Entries December''25'!Z9-'Entries December''25'!Z8)</f>
        <v>77</v>
      </c>
      <c r="R9" s="31" t="str">
        <f>IF(('Entries December''25'!AA9-'Entries December''25'!AA8)+('Entries December''25'!AB9-'Entries December''25'!AB8)&lt;1,"0",('Entries December''25'!AA9-'Entries December''25'!AA8)+('Entries December''25'!AB9-'Entries December''25'!AB8))</f>
        <v>0</v>
      </c>
      <c r="S9" s="52">
        <f t="shared" ref="S9:S37" si="4">(R9+G9)*10</f>
        <v>1300</v>
      </c>
      <c r="T9" s="52">
        <f t="shared" si="1"/>
        <v>153</v>
      </c>
      <c r="U9" s="31">
        <f>IF('Entries December''25'!AC9-'Entries December''25'!AC8&lt;1,"0",'Entries December''25'!AC9-'Entries December''25'!AC8)</f>
        <v>30</v>
      </c>
      <c r="V9" s="31">
        <f>IF('Entries December''25'!AD9-'Entries December''25'!AD8&lt;1,"0",'Entries December''25'!AD9-'Entries December''25'!AD8)</f>
        <v>41</v>
      </c>
      <c r="W9" s="31" t="str">
        <f>IF('Entries December''25'!AE9-'Entries December''25'!AE8&lt;1,"0",'Entries December''25'!AE9-'Entries December''25'!AE8)</f>
        <v>0</v>
      </c>
      <c r="X9" s="79" t="str">
        <f>IF('Entries December''25'!AI9-'Entries December''25'!AI8&lt;1,"0",'Entries December''25'!AI9-'Entries December''25'!AI8)</f>
        <v>0</v>
      </c>
      <c r="Y9" s="79" t="str">
        <f>IF('Entries December''25'!AH9-'Entries December''25'!AH8&lt;1,"0",'Entries December''25'!AH9-'Entries December''25'!AH8)</f>
        <v>0</v>
      </c>
      <c r="Z9" s="333">
        <f t="shared" si="2"/>
        <v>348</v>
      </c>
      <c r="AA9" s="334">
        <v>346.5</v>
      </c>
      <c r="AB9" s="335">
        <f t="shared" si="3"/>
        <v>10.043290043290042</v>
      </c>
    </row>
    <row r="10" spans="1:31" x14ac:dyDescent="0.25">
      <c r="B10" s="747">
        <v>4</v>
      </c>
      <c r="C10" s="748" t="str">
        <f>IF('Entries December''25'!W10-'Entries December''25'!W9&lt;1,"0",'Entries December''25'!W10-'Entries December''25'!W9)</f>
        <v>0</v>
      </c>
      <c r="D10" s="749">
        <f>IF('Entries December''25'!O10-'Entries December''25'!O9&lt;1,"0",'Entries December''25'!O10-'Entries December''25'!O9)</f>
        <v>204</v>
      </c>
      <c r="E10" s="749">
        <f>IF('Entries December''25'!P10-'Entries December''25'!P9&lt;1,"0",'Entries December''25'!P10-'Entries December''25'!P9)</f>
        <v>221</v>
      </c>
      <c r="F10" s="749">
        <f>IF('Entries December''25'!V10-'Entries December''25'!V9&lt;1,"0",'Entries December''25'!V10-'Entries December''25'!V9)</f>
        <v>241</v>
      </c>
      <c r="G10" s="749">
        <f t="shared" si="0"/>
        <v>184</v>
      </c>
      <c r="H10" s="749">
        <f>IF('Entries December''25'!Q10-'Entries December''25'!Q9&lt;1,0,'Entries December''25'!Q10-'Entries December''25'!Q9)</f>
        <v>226</v>
      </c>
      <c r="I10" s="749">
        <f>IF('Entries December''25'!AG10-'Entries December''25'!AG9&lt;1,0,'Entries December''25'!AG10-'Entries December''25'!AG9)</f>
        <v>0</v>
      </c>
      <c r="J10" s="749">
        <f>IF('Entries December''25'!S10-'Entries December''25'!S9&lt;1,"0",'Entries December''25'!S10-'Entries December''25'!S9)</f>
        <v>140</v>
      </c>
      <c r="K10" s="749" t="str">
        <f>IF('Entries December''25'!R10-'Entries December''25'!R9&lt;1,"0",'Entries December''25'!R10-'Entries December''25'!R9)</f>
        <v>0</v>
      </c>
      <c r="L10" s="749" t="str">
        <f>IF('Entries December''25'!T10-'Entries December''25'!T9&lt;1,"0",'Entries December''25'!T10-'Entries December''25'!T9)</f>
        <v>0</v>
      </c>
      <c r="M10" s="749">
        <f>IF('Entries December''25'!U10-'Entries December''25'!U9&lt;1,"0",'Entries December''25'!U10-'Entries December''25'!U9)</f>
        <v>7</v>
      </c>
      <c r="N10" s="749">
        <f>IF('Entries December''25'!X10-'Entries December''25'!X9&lt;1,"0",'Entries December''25'!X10-'Entries December''25'!X9)</f>
        <v>54</v>
      </c>
      <c r="O10" s="749">
        <f>IF('Entries December''25'!Y10-'Entries December''25'!Y9&lt;1,"0",'Entries December''25'!Y10-'Entries December''25'!Y9)</f>
        <v>85</v>
      </c>
      <c r="P10" s="749">
        <f>IF('Entries December''25'!AC10-'Entries December''25'!AC9&lt;1,"0",'Entries December''25'!AC10-'Entries December''25'!AC9)</f>
        <v>27</v>
      </c>
      <c r="Q10" s="749">
        <f>IF('Entries December''25'!Z10-'Entries December''25'!Z9&lt;1,"0",'Entries December''25'!Z10-'Entries December''25'!Z9)</f>
        <v>54</v>
      </c>
      <c r="R10" s="749" t="str">
        <f>IF(('Entries December''25'!AA10-'Entries December''25'!AA9)+('Entries December''25'!AB10-'Entries December''25'!AB9)&lt;1,"0",('Entries December''25'!AA10-'Entries December''25'!AA9)+('Entries December''25'!AB10-'Entries December''25'!AB9))</f>
        <v>0</v>
      </c>
      <c r="S10" s="748">
        <f t="shared" si="4"/>
        <v>1840</v>
      </c>
      <c r="T10" s="748">
        <f t="shared" si="1"/>
        <v>146</v>
      </c>
      <c r="U10" s="749">
        <f>IF('Entries December''25'!AC10-'Entries December''25'!AC9&lt;1,"0",'Entries December''25'!AC10-'Entries December''25'!AC9)</f>
        <v>27</v>
      </c>
      <c r="V10" s="749">
        <f>IF('Entries December''25'!AD10-'Entries December''25'!AD9&lt;1,"0",'Entries December''25'!AD10-'Entries December''25'!AD9)</f>
        <v>21</v>
      </c>
      <c r="W10" s="749" t="str">
        <f>IF('Entries December''25'!AE10-'Entries December''25'!AE9&lt;1,"0",'Entries December''25'!AE10-'Entries December''25'!AE9)</f>
        <v>0</v>
      </c>
      <c r="X10" s="750" t="str">
        <f>IF('Entries December''25'!AI10-'Entries December''25'!AI9&lt;1,"0",'Entries December''25'!AI10-'Entries December''25'!AI9)</f>
        <v>0</v>
      </c>
      <c r="Y10" s="750" t="str">
        <f>IF('Entries December''25'!AH10-'Entries December''25'!AH9&lt;1,"0",'Entries December''25'!AH10-'Entries December''25'!AH9)</f>
        <v>0</v>
      </c>
      <c r="Z10" s="333">
        <f t="shared" si="2"/>
        <v>425</v>
      </c>
      <c r="AA10" s="334">
        <v>253.83600000000001</v>
      </c>
      <c r="AB10" s="335">
        <f t="shared" si="3"/>
        <v>16.74309396618289</v>
      </c>
      <c r="AD10" s="8" t="s">
        <v>58</v>
      </c>
    </row>
    <row r="11" spans="1:31" x14ac:dyDescent="0.25">
      <c r="B11" s="747">
        <v>5</v>
      </c>
      <c r="C11" s="748" t="str">
        <f>IF('Entries December''25'!W11-'Entries December''25'!W10&lt;1,"0",'Entries December''25'!W11-'Entries December''25'!W10)</f>
        <v>0</v>
      </c>
      <c r="D11" s="749">
        <f>IF('Entries December''25'!O11-'Entries December''25'!O10&lt;1,"0",'Entries December''25'!O11-'Entries December''25'!O10)</f>
        <v>157</v>
      </c>
      <c r="E11" s="749">
        <f>IF('Entries December''25'!P11-'Entries December''25'!P10&lt;1,"0",'Entries December''25'!P11-'Entries December''25'!P10)</f>
        <v>245</v>
      </c>
      <c r="F11" s="749">
        <f>IF('Entries December''25'!V11-'Entries December''25'!V10&lt;1,"0",'Entries December''25'!V11-'Entries December''25'!V10)</f>
        <v>247</v>
      </c>
      <c r="G11" s="749">
        <f t="shared" si="0"/>
        <v>155</v>
      </c>
      <c r="H11" s="749">
        <f>IF('Entries December''25'!Q11-'Entries December''25'!Q10&lt;1,0,'Entries December''25'!Q11-'Entries December''25'!Q10)</f>
        <v>197</v>
      </c>
      <c r="I11" s="749">
        <f>IF('Entries December''25'!AG11-'Entries December''25'!AG10&lt;1,0,'Entries December''25'!AG11-'Entries December''25'!AG10)</f>
        <v>0</v>
      </c>
      <c r="J11" s="749">
        <f>IF('Entries December''25'!S11-'Entries December''25'!S10&lt;1,"0",'Entries December''25'!S11-'Entries December''25'!S10)</f>
        <v>83</v>
      </c>
      <c r="K11" s="749" t="str">
        <f>IF('Entries December''25'!R11-'Entries December''25'!R10&lt;1,"0",'Entries December''25'!R11-'Entries December''25'!R10)</f>
        <v>0</v>
      </c>
      <c r="L11" s="749" t="str">
        <f>IF('Entries December''25'!T11-'Entries December''25'!T10&lt;1,"0",'Entries December''25'!T11-'Entries December''25'!T10)</f>
        <v>0</v>
      </c>
      <c r="M11" s="749">
        <f>IF('Entries December''25'!U11-'Entries December''25'!U10&lt;1,"0",'Entries December''25'!U11-'Entries December''25'!U10)</f>
        <v>6</v>
      </c>
      <c r="N11" s="749">
        <f>IF('Entries December''25'!X11-'Entries December''25'!X10&lt;1,"0",'Entries December''25'!X11-'Entries December''25'!X10)</f>
        <v>29</v>
      </c>
      <c r="O11" s="749">
        <f>IF('Entries December''25'!Y11-'Entries December''25'!Y10&lt;1,"0",'Entries December''25'!Y11-'Entries December''25'!Y10)</f>
        <v>92</v>
      </c>
      <c r="P11" s="749">
        <f>IF('Entries December''25'!AC11-'Entries December''25'!AC10&lt;1,"0",'Entries December''25'!AC11-'Entries December''25'!AC10)</f>
        <v>17</v>
      </c>
      <c r="Q11" s="749">
        <f>IF('Entries December''25'!Z11-'Entries December''25'!Z10&lt;1,"0",'Entries December''25'!Z11-'Entries December''25'!Z10)</f>
        <v>48</v>
      </c>
      <c r="R11" s="749" t="str">
        <f>IF(('Entries December''25'!AA11-'Entries December''25'!AA10)+('Entries December''25'!AB11-'Entries December''25'!AB10)&lt;1,"0",('Entries December''25'!AA11-'Entries December''25'!AA10)+('Entries December''25'!AB11-'Entries December''25'!AB10))</f>
        <v>0</v>
      </c>
      <c r="S11" s="748">
        <f t="shared" si="4"/>
        <v>1550</v>
      </c>
      <c r="T11" s="748">
        <f t="shared" si="1"/>
        <v>127</v>
      </c>
      <c r="U11" s="749">
        <f>IF('Entries December''25'!AC11-'Entries December''25'!AC10&lt;1,"0",'Entries December''25'!AC11-'Entries December''25'!AC10)</f>
        <v>17</v>
      </c>
      <c r="V11" s="749">
        <f>IF('Entries December''25'!AD11-'Entries December''25'!AD10&lt;1,"0",'Entries December''25'!AD11-'Entries December''25'!AD10)</f>
        <v>48</v>
      </c>
      <c r="W11" s="749" t="str">
        <f>IF('Entries December''25'!AE11-'Entries December''25'!AE10&lt;1,"0",'Entries December''25'!AE11-'Entries December''25'!AE10)</f>
        <v>0</v>
      </c>
      <c r="X11" s="750" t="str">
        <f>IF('Entries December''25'!AI11-'Entries December''25'!AI10&lt;1,"0",'Entries December''25'!AI11-'Entries December''25'!AI10)</f>
        <v>0</v>
      </c>
      <c r="Y11" s="750" t="str">
        <f>IF('Entries December''25'!AH11-'Entries December''25'!AH10&lt;1,"0",'Entries December''25'!AH11-'Entries December''25'!AH10)</f>
        <v>0</v>
      </c>
      <c r="Z11" s="333">
        <f t="shared" si="2"/>
        <v>402</v>
      </c>
      <c r="AA11" s="334">
        <v>262.74600000000004</v>
      </c>
      <c r="AB11" s="335">
        <f t="shared" si="3"/>
        <v>15.299947477792239</v>
      </c>
    </row>
    <row r="12" spans="1:31" x14ac:dyDescent="0.25">
      <c r="A12" s="29"/>
      <c r="B12" s="747">
        <v>6</v>
      </c>
      <c r="C12" s="748" t="str">
        <f>IF('Entries December''25'!W12-'Entries December''25'!W11&lt;1,"0",'Entries December''25'!W12-'Entries December''25'!W11)</f>
        <v>0</v>
      </c>
      <c r="D12" s="749">
        <f>IF('Entries December''25'!O12-'Entries December''25'!O11&lt;1,"0",'Entries December''25'!O12-'Entries December''25'!O11)</f>
        <v>200</v>
      </c>
      <c r="E12" s="749">
        <f>IF('Entries December''25'!P12-'Entries December''25'!P11&lt;1,"0",'Entries December''25'!P12-'Entries December''25'!P11)</f>
        <v>165</v>
      </c>
      <c r="F12" s="749">
        <f>IF('Entries December''25'!V12-'Entries December''25'!V11&lt;1,"0",'Entries December''25'!V12-'Entries December''25'!V11)</f>
        <v>174</v>
      </c>
      <c r="G12" s="749">
        <f t="shared" si="0"/>
        <v>191</v>
      </c>
      <c r="H12" s="749">
        <f>IF('Entries December''25'!Q12-'Entries December''25'!Q11&lt;1,0,'Entries December''25'!Q12-'Entries December''25'!Q11)</f>
        <v>207</v>
      </c>
      <c r="I12" s="749">
        <f>IF('Entries December''25'!AG12-'Entries December''25'!AG11&lt;1,0,'Entries December''25'!AG12-'Entries December''25'!AG11)</f>
        <v>0</v>
      </c>
      <c r="J12" s="749">
        <f>IF('Entries December''25'!S12-'Entries December''25'!S11&lt;1,"0",'Entries December''25'!S12-'Entries December''25'!S11)</f>
        <v>122</v>
      </c>
      <c r="K12" s="749" t="str">
        <f>IF('Entries December''25'!R12-'Entries December''25'!R11&lt;1,"0",'Entries December''25'!R12-'Entries December''25'!R11)</f>
        <v>0</v>
      </c>
      <c r="L12" s="749" t="str">
        <f>IF('Entries December''25'!T12-'Entries December''25'!T11&lt;1,"0",'Entries December''25'!T12-'Entries December''25'!T11)</f>
        <v>0</v>
      </c>
      <c r="M12" s="749">
        <f>IF('Entries December''25'!U12-'Entries December''25'!U11&lt;1,"0",'Entries December''25'!U12-'Entries December''25'!U11)</f>
        <v>14</v>
      </c>
      <c r="N12" s="749">
        <f>IF('Entries December''25'!X12-'Entries December''25'!X11&lt;1,"0",'Entries December''25'!X12-'Entries December''25'!X11)</f>
        <v>33</v>
      </c>
      <c r="O12" s="749">
        <f>IF('Entries December''25'!Y12-'Entries December''25'!Y11&lt;1,"0",'Entries December''25'!Y12-'Entries December''25'!Y11)</f>
        <v>101</v>
      </c>
      <c r="P12" s="749">
        <f>IF('Entries December''25'!AC12-'Entries December''25'!AC11&lt;1,"0",'Entries December''25'!AC12-'Entries December''25'!AC11)</f>
        <v>17</v>
      </c>
      <c r="Q12" s="749">
        <f>IF('Entries December''25'!Z12-'Entries December''25'!Z11&lt;1,"0",'Entries December''25'!Z12-'Entries December''25'!Z11)</f>
        <v>47</v>
      </c>
      <c r="R12" s="749" t="str">
        <f>IF(('Entries December''25'!AA12-'Entries December''25'!AA11)+('Entries December''25'!AB12-'Entries December''25'!AB11)&lt;1,"0",('Entries December''25'!AA12-'Entries December''25'!AA11)+('Entries December''25'!AB12-'Entries December''25'!AB11))</f>
        <v>0</v>
      </c>
      <c r="S12" s="748">
        <f t="shared" si="4"/>
        <v>1910</v>
      </c>
      <c r="T12" s="748">
        <f t="shared" si="1"/>
        <v>148</v>
      </c>
      <c r="U12" s="749">
        <f>IF('Entries December''25'!AC12-'Entries December''25'!AC11&lt;1,"0",'Entries December''25'!AC12-'Entries December''25'!AC11)</f>
        <v>17</v>
      </c>
      <c r="V12" s="749" t="str">
        <f>IF('Entries December''25'!AD12-'Entries December''25'!AD11&lt;1,"0",'Entries December''25'!AD12-'Entries December''25'!AD11)</f>
        <v>0</v>
      </c>
      <c r="W12" s="749" t="str">
        <f>IF('Entries December''25'!AE12-'Entries December''25'!AE11&lt;1,"0",'Entries December''25'!AE12-'Entries December''25'!AE11)</f>
        <v>0</v>
      </c>
      <c r="X12" s="750" t="str">
        <f>IF('Entries December''25'!AI12-'Entries December''25'!AI11&lt;1,"0",'Entries December''25'!AI12-'Entries December''25'!AI11)</f>
        <v>0</v>
      </c>
      <c r="Y12" s="750" t="str">
        <f>IF('Entries December''25'!AH12-'Entries December''25'!AH11&lt;1,"0",'Entries December''25'!AH12-'Entries December''25'!AH11)</f>
        <v>0</v>
      </c>
      <c r="Z12" s="333">
        <f t="shared" si="2"/>
        <v>365</v>
      </c>
      <c r="AA12" s="334">
        <v>302.67599999999999</v>
      </c>
      <c r="AB12" s="335">
        <f t="shared" si="3"/>
        <v>12.059099499134389</v>
      </c>
      <c r="AE12" s="8" t="s">
        <v>58</v>
      </c>
    </row>
    <row r="13" spans="1:31" x14ac:dyDescent="0.25">
      <c r="A13" s="29"/>
      <c r="B13" s="747">
        <v>7</v>
      </c>
      <c r="C13" s="748" t="str">
        <f>IF('Entries December''25'!W13-'Entries December''25'!W12&lt;1,"0",'Entries December''25'!W13-'Entries December''25'!W12)</f>
        <v>0</v>
      </c>
      <c r="D13" s="749">
        <f>IF('Entries December''25'!O13-'Entries December''25'!O12&lt;1,"0",'Entries December''25'!O13-'Entries December''25'!O12)</f>
        <v>83</v>
      </c>
      <c r="E13" s="749">
        <f>IF('Entries December''25'!P13-'Entries December''25'!P12&lt;1,"0",'Entries December''25'!P13-'Entries December''25'!P12)</f>
        <v>156</v>
      </c>
      <c r="F13" s="749">
        <f>IF('Entries December''25'!V13-'Entries December''25'!V12&lt;1,"0",'Entries December''25'!V13-'Entries December''25'!V12)</f>
        <v>163</v>
      </c>
      <c r="G13" s="749">
        <f t="shared" si="0"/>
        <v>76</v>
      </c>
      <c r="H13" s="749">
        <f>IF('Entries December''25'!Q13-'Entries December''25'!Q12&lt;1,0,'Entries December''25'!Q13-'Entries December''25'!Q12)</f>
        <v>186</v>
      </c>
      <c r="I13" s="749">
        <f>IF('Entries December''25'!AG13-'Entries December''25'!AG12&lt;1,0,'Entries December''25'!AG13-'Entries December''25'!AG12)</f>
        <v>0</v>
      </c>
      <c r="J13" s="749">
        <f>IF('Entries December''25'!S13-'Entries December''25'!S12&lt;1,"0",'Entries December''25'!S13-'Entries December''25'!S12)</f>
        <v>119</v>
      </c>
      <c r="K13" s="749" t="str">
        <f>IF('Entries December''25'!R13-'Entries December''25'!R12&lt;1,"0",'Entries December''25'!R13-'Entries December''25'!R12)</f>
        <v>0</v>
      </c>
      <c r="L13" s="749" t="str">
        <f>IF('Entries December''25'!T13-'Entries December''25'!T12&lt;1,"0",'Entries December''25'!T13-'Entries December''25'!T12)</f>
        <v>0</v>
      </c>
      <c r="M13" s="749">
        <f>IF('Entries December''25'!U13-'Entries December''25'!U12&lt;1,"0",'Entries December''25'!U13-'Entries December''25'!U12)</f>
        <v>6</v>
      </c>
      <c r="N13" s="749">
        <f>IF('Entries December''25'!X13-'Entries December''25'!X12&lt;1,"0",'Entries December''25'!X13-'Entries December''25'!X12)</f>
        <v>12</v>
      </c>
      <c r="O13" s="749">
        <f>IF('Entries December''25'!Y13-'Entries December''25'!Y12&lt;1,"0",'Entries December''25'!Y13-'Entries December''25'!Y12)</f>
        <v>105</v>
      </c>
      <c r="P13" s="749">
        <f>IF('Entries December''25'!AC13-'Entries December''25'!AC12&lt;1,"0",'Entries December''25'!AC13-'Entries December''25'!AC12)</f>
        <v>23</v>
      </c>
      <c r="Q13" s="749">
        <f>IF('Entries December''25'!Z13-'Entries December''25'!Z12&lt;1,"0",'Entries December''25'!Z13-'Entries December''25'!Z12)</f>
        <v>33</v>
      </c>
      <c r="R13" s="749" t="str">
        <f>IF(('Entries December''25'!AA13-'Entries December''25'!AA12)+('Entries December''25'!AB13-'Entries December''25'!AB12)&lt;1,"0",('Entries December''25'!AA13-'Entries December''25'!AA12)+('Entries December''25'!AB13-'Entries December''25'!AB12))</f>
        <v>0</v>
      </c>
      <c r="S13" s="748">
        <f t="shared" si="4"/>
        <v>760</v>
      </c>
      <c r="T13" s="748">
        <f t="shared" si="1"/>
        <v>123</v>
      </c>
      <c r="U13" s="749">
        <f>IF('Entries December''25'!AC13-'Entries December''25'!AC12&lt;1,"0",'Entries December''25'!AC13-'Entries December''25'!AC12)</f>
        <v>23</v>
      </c>
      <c r="V13" s="749" t="str">
        <f>IF('Entries December''25'!AD13-'Entries December''25'!AD12&lt;1,"0",'Entries December''25'!AD13-'Entries December''25'!AD12)</f>
        <v>0</v>
      </c>
      <c r="W13" s="749" t="str">
        <f>IF('Entries December''25'!AE13-'Entries December''25'!AE12&lt;1,"0",'Entries December''25'!AE13-'Entries December''25'!AE12)</f>
        <v>0</v>
      </c>
      <c r="X13" s="750" t="str">
        <f>IF('Entries December''25'!AI13-'Entries December''25'!AI12&lt;1,"0",'Entries December''25'!AI13-'Entries December''25'!AI12)</f>
        <v>0</v>
      </c>
      <c r="Y13" s="750" t="str">
        <f>IF('Entries December''25'!AH13-'Entries December''25'!AH12&lt;1,"0",'Entries December''25'!AH13-'Entries December''25'!AH12)</f>
        <v>0</v>
      </c>
      <c r="Z13" s="333">
        <f t="shared" si="2"/>
        <v>239</v>
      </c>
      <c r="AA13" s="334">
        <v>388.55040000000002</v>
      </c>
      <c r="AB13" s="335">
        <f t="shared" si="3"/>
        <v>6.1510681754542009</v>
      </c>
    </row>
    <row r="14" spans="1:31" x14ac:dyDescent="0.25">
      <c r="B14" s="747">
        <v>8</v>
      </c>
      <c r="C14" s="748" t="str">
        <f>IF('Entries December''25'!W14-'Entries December''25'!W13&lt;1,"0",'Entries December''25'!W14-'Entries December''25'!W13)</f>
        <v>0</v>
      </c>
      <c r="D14" s="749">
        <f>IF('Entries December''25'!O14-'Entries December''25'!O13&lt;1,"0",'Entries December''25'!O14-'Entries December''25'!O13)</f>
        <v>43</v>
      </c>
      <c r="E14" s="749">
        <f>IF('Entries December''25'!P14-'Entries December''25'!P13&lt;1,"0",'Entries December''25'!P14-'Entries December''25'!P13)</f>
        <v>279</v>
      </c>
      <c r="F14" s="749">
        <f>IF('Entries December''25'!V14-'Entries December''25'!V13&lt;1,"0",'Entries December''25'!V14-'Entries December''25'!V13)</f>
        <v>292</v>
      </c>
      <c r="G14" s="749">
        <f t="shared" si="0"/>
        <v>30</v>
      </c>
      <c r="H14" s="749">
        <f>IF('Entries December''25'!Q14-'Entries December''25'!Q13&lt;1,0,'Entries December''25'!Q14-'Entries December''25'!Q13)</f>
        <v>251</v>
      </c>
      <c r="I14" s="749">
        <f>IF('Entries December''25'!AG14-'Entries December''25'!AG13&lt;1,0,'Entries December''25'!AG14-'Entries December''25'!AG13)</f>
        <v>0</v>
      </c>
      <c r="J14" s="749">
        <f>IF('Entries December''25'!S14-'Entries December''25'!S13&lt;1,"0",'Entries December''25'!S14-'Entries December''25'!S13)</f>
        <v>96</v>
      </c>
      <c r="K14" s="749" t="str">
        <f>IF('Entries December''25'!R14-'Entries December''25'!R13&lt;1,"0",'Entries December''25'!R14-'Entries December''25'!R13)</f>
        <v>0</v>
      </c>
      <c r="L14" s="749" t="str">
        <f>IF('Entries December''25'!T14-'Entries December''25'!T13&lt;1,"0",'Entries December''25'!T14-'Entries December''25'!T13)</f>
        <v>0</v>
      </c>
      <c r="M14" s="749">
        <f>IF('Entries December''25'!U14-'Entries December''25'!U13&lt;1,"0",'Entries December''25'!U14-'Entries December''25'!U13)</f>
        <v>4</v>
      </c>
      <c r="N14" s="749">
        <f>IF('Entries December''25'!X14-'Entries December''25'!X13&lt;1,"0",'Entries December''25'!X14-'Entries December''25'!X13)</f>
        <v>52</v>
      </c>
      <c r="O14" s="749">
        <f>IF('Entries December''25'!Y14-'Entries December''25'!Y13&lt;1,"0",'Entries December''25'!Y14-'Entries December''25'!Y13)</f>
        <v>110</v>
      </c>
      <c r="P14" s="749">
        <f>IF('Entries December''25'!AC14-'Entries December''25'!AC13&lt;1,"0",'Entries December''25'!AC14-'Entries December''25'!AC13)</f>
        <v>28</v>
      </c>
      <c r="Q14" s="749">
        <f>IF('Entries December''25'!Z14-'Entries December''25'!Z13&lt;1,"0",'Entries December''25'!Z14-'Entries December''25'!Z13)</f>
        <v>28</v>
      </c>
      <c r="R14" s="749" t="str">
        <f>IF(('Entries December''25'!AA14-'Entries December''25'!AA13)+('Entries December''25'!AB14-'Entries December''25'!AB13)&lt;1,"0",('Entries December''25'!AA14-'Entries December''25'!AA13)+('Entries December''25'!AB14-'Entries December''25'!AB13))</f>
        <v>0</v>
      </c>
      <c r="S14" s="748">
        <f t="shared" si="4"/>
        <v>300</v>
      </c>
      <c r="T14" s="748">
        <f t="shared" si="1"/>
        <v>166</v>
      </c>
      <c r="U14" s="749">
        <f>IF('Entries December''25'!AC14-'Entries December''25'!AC13&lt;1,"0",'Entries December''25'!AC14-'Entries December''25'!AC13)</f>
        <v>28</v>
      </c>
      <c r="V14" s="749" t="str">
        <f>IF('Entries December''25'!AD14-'Entries December''25'!AD13&lt;1,"0",'Entries December''25'!AD14-'Entries December''25'!AD13)</f>
        <v>0</v>
      </c>
      <c r="W14" s="749" t="str">
        <f>IF('Entries December''25'!AE14-'Entries December''25'!AE13&lt;1,"0",'Entries December''25'!AE14-'Entries December''25'!AE13)</f>
        <v>0</v>
      </c>
      <c r="X14" s="750" t="str">
        <f>IF('Entries December''25'!AI14-'Entries December''25'!AI13&lt;1,"0",'Entries December''25'!AI14-'Entries December''25'!AI13)</f>
        <v>0</v>
      </c>
      <c r="Y14" s="750" t="str">
        <f>IF('Entries December''25'!AH14-'Entries December''25'!AH13&lt;1,"0",'Entries December''25'!AH14-'Entries December''25'!AH13)</f>
        <v>0</v>
      </c>
      <c r="Z14" s="333">
        <f t="shared" si="2"/>
        <v>322</v>
      </c>
      <c r="AA14" s="334">
        <v>447.88440000000003</v>
      </c>
      <c r="AB14" s="335">
        <f t="shared" si="3"/>
        <v>7.1893551103811602</v>
      </c>
    </row>
    <row r="15" spans="1:31" x14ac:dyDescent="0.25">
      <c r="B15" s="747">
        <v>9</v>
      </c>
      <c r="C15" s="748" t="str">
        <f>IF('Entries December''25'!W15-'Entries December''25'!W14&lt;1,"0",'Entries December''25'!W15-'Entries December''25'!W14)</f>
        <v>0</v>
      </c>
      <c r="D15" s="749">
        <f>IF('Entries December''25'!O15-'Entries December''25'!O14&lt;1,"0",'Entries December''25'!O15-'Entries December''25'!O14)</f>
        <v>96</v>
      </c>
      <c r="E15" s="749">
        <f>IF('Entries December''25'!P15-'Entries December''25'!P14&lt;1,"0",'Entries December''25'!P15-'Entries December''25'!P14)</f>
        <v>190</v>
      </c>
      <c r="F15" s="749">
        <f>IF('Entries December''25'!V15-'Entries December''25'!V14&lt;1,"0",'Entries December''25'!V15-'Entries December''25'!V14)</f>
        <v>199</v>
      </c>
      <c r="G15" s="749">
        <f t="shared" si="0"/>
        <v>87</v>
      </c>
      <c r="H15" s="749">
        <f>IF('Entries December''25'!Q15-'Entries December''25'!Q14&lt;1,0,'Entries December''25'!Q15-'Entries December''25'!Q14)</f>
        <v>187</v>
      </c>
      <c r="I15" s="749">
        <f>IF('Entries December''25'!AG15-'Entries December''25'!AG14&lt;1,0,'Entries December''25'!AG15-'Entries December''25'!AG14)</f>
        <v>0</v>
      </c>
      <c r="J15" s="749">
        <f>IF('Entries December''25'!S15-'Entries December''25'!S14&lt;1,"0",'Entries December''25'!S15-'Entries December''25'!S14)</f>
        <v>164</v>
      </c>
      <c r="K15" s="749" t="str">
        <f>IF('Entries December''25'!R15-'Entries December''25'!R14&lt;1,"0",'Entries December''25'!R15-'Entries December''25'!R14)</f>
        <v>0</v>
      </c>
      <c r="L15" s="749" t="str">
        <f>IF('Entries December''25'!T15-'Entries December''25'!T14&lt;1,"0",'Entries December''25'!T15-'Entries December''25'!T14)</f>
        <v>0</v>
      </c>
      <c r="M15" s="749">
        <f>IF('Entries December''25'!U15-'Entries December''25'!U14&lt;1,"0",'Entries December''25'!U15-'Entries December''25'!U14)</f>
        <v>3</v>
      </c>
      <c r="N15" s="749">
        <f>IF('Entries December''25'!X15-'Entries December''25'!X14&lt;1,"0",'Entries December''25'!X15-'Entries December''25'!X14)</f>
        <v>13</v>
      </c>
      <c r="O15" s="749">
        <f>IF('Entries December''25'!Y15-'Entries December''25'!Y14&lt;1,"0",'Entries December''25'!Y15-'Entries December''25'!Y14)</f>
        <v>90</v>
      </c>
      <c r="P15" s="749">
        <f>IF('Entries December''25'!AC15-'Entries December''25'!AC14&lt;1,"0",'Entries December''25'!AC15-'Entries December''25'!AC14)</f>
        <v>18</v>
      </c>
      <c r="Q15" s="749">
        <f>IF('Entries December''25'!Z15-'Entries December''25'!Z14&lt;1,"0",'Entries December''25'!Z15-'Entries December''25'!Z14)</f>
        <v>24</v>
      </c>
      <c r="R15" s="749" t="str">
        <f>IF(('Entries December''25'!AA15-'Entries December''25'!AA14)+('Entries December''25'!AB15-'Entries December''25'!AB14)&lt;1,"0",('Entries December''25'!AA15-'Entries December''25'!AA14)+('Entries December''25'!AB15-'Entries December''25'!AB14))</f>
        <v>0</v>
      </c>
      <c r="S15" s="748">
        <f t="shared" si="4"/>
        <v>870</v>
      </c>
      <c r="T15" s="748">
        <f t="shared" si="1"/>
        <v>106</v>
      </c>
      <c r="U15" s="749">
        <f>IF('Entries December''25'!AC15-'Entries December''25'!AC14&lt;1,"0",'Entries December''25'!AC15-'Entries December''25'!AC14)</f>
        <v>18</v>
      </c>
      <c r="V15" s="749" t="str">
        <f>IF('Entries December''25'!AD15-'Entries December''25'!AD14&lt;1,"0",'Entries December''25'!AD15-'Entries December''25'!AD14)</f>
        <v>0</v>
      </c>
      <c r="W15" s="749" t="str">
        <f>IF('Entries December''25'!AE15-'Entries December''25'!AE14&lt;1,"0",'Entries December''25'!AE15-'Entries December''25'!AE14)</f>
        <v>0</v>
      </c>
      <c r="X15" s="750" t="str">
        <f>IF('Entries December''25'!AI15-'Entries December''25'!AI14&lt;1,"0",'Entries December''25'!AI15-'Entries December''25'!AI14)</f>
        <v>0</v>
      </c>
      <c r="Y15" s="750" t="str">
        <f>IF('Entries December''25'!AH15-'Entries December''25'!AH14&lt;1,"0",'Entries December''25'!AH15-'Entries December''25'!AH14)</f>
        <v>0</v>
      </c>
      <c r="Z15" s="333">
        <f t="shared" si="2"/>
        <v>286</v>
      </c>
      <c r="AA15" s="334">
        <v>214.76400000000001</v>
      </c>
      <c r="AB15" s="335">
        <f t="shared" si="3"/>
        <v>13.316943249334152</v>
      </c>
    </row>
    <row r="16" spans="1:31" x14ac:dyDescent="0.25">
      <c r="B16" s="747">
        <v>10</v>
      </c>
      <c r="C16" s="748" t="str">
        <f>IF('Entries December''25'!W16-'Entries December''25'!W15&lt;1,"0",'Entries December''25'!W16-'Entries December''25'!W15)</f>
        <v>0</v>
      </c>
      <c r="D16" s="749">
        <f>IF('Entries December''25'!O16-'Entries December''25'!O15&lt;1,"0",'Entries December''25'!O16-'Entries December''25'!O15)</f>
        <v>267</v>
      </c>
      <c r="E16" s="749">
        <f>IF('Entries December''25'!P16-'Entries December''25'!P15&lt;1,"0",'Entries December''25'!P16-'Entries December''25'!P15)</f>
        <v>276</v>
      </c>
      <c r="F16" s="749">
        <f>IF('Entries December''25'!V16-'Entries December''25'!V15&lt;1,"0",'Entries December''25'!V16-'Entries December''25'!V15)</f>
        <v>291</v>
      </c>
      <c r="G16" s="749">
        <f t="shared" si="0"/>
        <v>252</v>
      </c>
      <c r="H16" s="749">
        <f>IF('Entries December''25'!Q16-'Entries December''25'!Q15&lt;1,0,'Entries December''25'!Q16-'Entries December''25'!Q15)</f>
        <v>333</v>
      </c>
      <c r="I16" s="749">
        <f>IF('Entries December''25'!AG16-'Entries December''25'!AG15&lt;1,0,'Entries December''25'!AG16-'Entries December''25'!AG15)</f>
        <v>0</v>
      </c>
      <c r="J16" s="749">
        <f>IF('Entries December''25'!S16-'Entries December''25'!S15&lt;1,"0",'Entries December''25'!S16-'Entries December''25'!S15)</f>
        <v>165</v>
      </c>
      <c r="K16" s="749" t="str">
        <f>IF('Entries December''25'!R16-'Entries December''25'!R15&lt;1,"0",'Entries December''25'!R16-'Entries December''25'!R15)</f>
        <v>0</v>
      </c>
      <c r="L16" s="749" t="str">
        <f>IF('Entries December''25'!T16-'Entries December''25'!T15&lt;1,"0",'Entries December''25'!T16-'Entries December''25'!T15)</f>
        <v>0</v>
      </c>
      <c r="M16" s="749">
        <f>IF('Entries December''25'!U16-'Entries December''25'!U15&lt;1,"0",'Entries December''25'!U16-'Entries December''25'!U15)</f>
        <v>10</v>
      </c>
      <c r="N16" s="749">
        <f>IF('Entries December''25'!X16-'Entries December''25'!X15&lt;1,"0",'Entries December''25'!X16-'Entries December''25'!X15)</f>
        <v>59</v>
      </c>
      <c r="O16" s="749">
        <f>IF('Entries December''25'!Y16-'Entries December''25'!Y15&lt;1,"0",'Entries December''25'!Y16-'Entries December''25'!Y15)</f>
        <v>143</v>
      </c>
      <c r="P16" s="749">
        <f>IF('Entries December''25'!AC16-'Entries December''25'!AC15&lt;1,"0",'Entries December''25'!AC16-'Entries December''25'!AC15)</f>
        <v>27</v>
      </c>
      <c r="Q16" s="749">
        <f>IF('Entries December''25'!Z16-'Entries December''25'!Z15&lt;1,"0",'Entries December''25'!Z16-'Entries December''25'!Z15)</f>
        <v>32</v>
      </c>
      <c r="R16" s="749" t="str">
        <f>IF(('Entries December''25'!AA16-'Entries December''25'!AA15)+('Entries December''25'!AB16-'Entries December''25'!AB15)&lt;1,"0",('Entries December''25'!AA16-'Entries December''25'!AA15)+('Entries December''25'!AB16-'Entries December''25'!AB15))</f>
        <v>0</v>
      </c>
      <c r="S16" s="748">
        <f t="shared" si="4"/>
        <v>2520</v>
      </c>
      <c r="T16" s="748">
        <f t="shared" si="1"/>
        <v>212</v>
      </c>
      <c r="U16" s="749">
        <f>IF('Entries December''25'!AC16-'Entries December''25'!AC15&lt;1,"0",'Entries December''25'!AC16-'Entries December''25'!AC15)</f>
        <v>27</v>
      </c>
      <c r="V16" s="749">
        <f>IF('Entries December''25'!AD16-'Entries December''25'!AD15&lt;1,"0",'Entries December''25'!AD16-'Entries December''25'!AD15)</f>
        <v>62</v>
      </c>
      <c r="W16" s="749" t="str">
        <f>IF('Entries December''25'!AE16-'Entries December''25'!AE15&lt;1,"0",'Entries December''25'!AE16-'Entries December''25'!AE15)</f>
        <v>0</v>
      </c>
      <c r="X16" s="750" t="str">
        <f>IF('Entries December''25'!AI16-'Entries December''25'!AI15&lt;1,"0",'Entries December''25'!AI16-'Entries December''25'!AI15)</f>
        <v>0</v>
      </c>
      <c r="Y16" s="750" t="str">
        <f>IF('Entries December''25'!AH16-'Entries December''25'!AH15&lt;1,"0",'Entries December''25'!AH16-'Entries December''25'!AH15)</f>
        <v>0</v>
      </c>
      <c r="Z16" s="333">
        <f t="shared" si="2"/>
        <v>543</v>
      </c>
      <c r="AA16" s="334">
        <v>437.05200000000002</v>
      </c>
      <c r="AB16" s="335">
        <f t="shared" si="3"/>
        <v>12.424150901952169</v>
      </c>
    </row>
    <row r="17" spans="1:32" x14ac:dyDescent="0.25">
      <c r="B17" s="747">
        <v>11</v>
      </c>
      <c r="C17" s="748" t="str">
        <f>IF('Entries December''25'!W17-'Entries December''25'!W16&lt;1,"0",'Entries December''25'!W17-'Entries December''25'!W16)</f>
        <v>0</v>
      </c>
      <c r="D17" s="749">
        <f>IF('Entries December''25'!O17-'Entries December''25'!O16&lt;1,"0",'Entries December''25'!O17-'Entries December''25'!O16)</f>
        <v>201</v>
      </c>
      <c r="E17" s="749">
        <f>IF('Entries December''25'!P17-'Entries December''25'!P16&lt;1,"0",'Entries December''25'!P17-'Entries December''25'!P16)</f>
        <v>255</v>
      </c>
      <c r="F17" s="749">
        <f>IF('Entries December''25'!V17-'Entries December''25'!V16&lt;1,"0",'Entries December''25'!V17-'Entries December''25'!V16)</f>
        <v>267</v>
      </c>
      <c r="G17" s="749">
        <f t="shared" si="0"/>
        <v>189</v>
      </c>
      <c r="H17" s="749">
        <f>IF('Entries December''25'!Q17-'Entries December''25'!Q16&lt;1,0,'Entries December''25'!Q17-'Entries December''25'!Q16)</f>
        <v>235</v>
      </c>
      <c r="I17" s="749">
        <f>IF('Entries December''25'!AG17-'Entries December''25'!AG16&lt;1,0,'Entries December''25'!AG17-'Entries December''25'!AG16)</f>
        <v>0</v>
      </c>
      <c r="J17" s="749">
        <f>IF('Entries December''25'!S17-'Entries December''25'!S16&lt;1,"0",'Entries December''25'!S17-'Entries December''25'!S16)</f>
        <v>81</v>
      </c>
      <c r="K17" s="749" t="str">
        <f>IF('Entries December''25'!R17-'Entries December''25'!R16&lt;1,"0",'Entries December''25'!R17-'Entries December''25'!R16)</f>
        <v>0</v>
      </c>
      <c r="L17" s="749" t="str">
        <f>IF('Entries December''25'!T17-'Entries December''25'!T16&lt;1,"0",'Entries December''25'!T17-'Entries December''25'!T16)</f>
        <v>0</v>
      </c>
      <c r="M17" s="749">
        <f>IF('Entries December''25'!U17-'Entries December''25'!U16&lt;1,"0",'Entries December''25'!U17-'Entries December''25'!U16)</f>
        <v>18</v>
      </c>
      <c r="N17" s="749">
        <f>IF('Entries December''25'!X17-'Entries December''25'!X16&lt;1,"0",'Entries December''25'!X17-'Entries December''25'!X16)</f>
        <v>21</v>
      </c>
      <c r="O17" s="749">
        <f>IF('Entries December''25'!Y17-'Entries December''25'!Y16&lt;1,"0",'Entries December''25'!Y17-'Entries December''25'!Y16)</f>
        <v>131</v>
      </c>
      <c r="P17" s="749">
        <f>IF('Entries December''25'!AC17-'Entries December''25'!AC16&lt;1,"0",'Entries December''25'!AC17-'Entries December''25'!AC16)</f>
        <v>21</v>
      </c>
      <c r="Q17" s="749">
        <f>IF('Entries December''25'!Z17-'Entries December''25'!Z16&lt;1,"0",'Entries December''25'!Z17-'Entries December''25'!Z16)</f>
        <v>25</v>
      </c>
      <c r="R17" s="749" t="str">
        <f>IF(('Entries December''25'!AA17-'Entries December''25'!AA16)+('Entries December''25'!AB17-'Entries December''25'!AB16)&lt;1,"0",('Entries December''25'!AA17-'Entries December''25'!AA16)+('Entries December''25'!AB17-'Entries December''25'!AB16))</f>
        <v>0</v>
      </c>
      <c r="S17" s="748">
        <f t="shared" si="4"/>
        <v>1890</v>
      </c>
      <c r="T17" s="748">
        <f t="shared" si="1"/>
        <v>170</v>
      </c>
      <c r="U17" s="749">
        <f>IF('Entries December''25'!AC17-'Entries December''25'!AC16&lt;1,"0",'Entries December''25'!AC17-'Entries December''25'!AC16)</f>
        <v>21</v>
      </c>
      <c r="V17" s="749">
        <f>IF('Entries December''25'!AD17-'Entries December''25'!AD16&lt;1,"0",'Entries December''25'!AD17-'Entries December''25'!AD16)</f>
        <v>91</v>
      </c>
      <c r="W17" s="749" t="str">
        <f>IF('Entries December''25'!AE17-'Entries December''25'!AE16&lt;1,"0",'Entries December''25'!AE17-'Entries December''25'!AE16)</f>
        <v>0</v>
      </c>
      <c r="X17" s="750" t="str">
        <f>IF('Entries December''25'!AI17-'Entries December''25'!AI16&lt;1,"0",'Entries December''25'!AI17-'Entries December''25'!AI16)</f>
        <v>0</v>
      </c>
      <c r="Y17" s="750" t="str">
        <f>IF('Entries December''25'!AH17-'Entries December''25'!AH16&lt;1,"0",'Entries December''25'!AH17-'Entries December''25'!AH16)</f>
        <v>0</v>
      </c>
      <c r="Z17" s="333">
        <f t="shared" si="2"/>
        <v>456</v>
      </c>
      <c r="AA17" s="334">
        <v>332.83800000000002</v>
      </c>
      <c r="AB17" s="335">
        <f t="shared" si="3"/>
        <v>13.700358733077351</v>
      </c>
    </row>
    <row r="18" spans="1:32" x14ac:dyDescent="0.25">
      <c r="B18" s="747">
        <v>12</v>
      </c>
      <c r="C18" s="748" t="str">
        <f>IF('Entries December''25'!W18-'Entries December''25'!W17&lt;1,"0",'Entries December''25'!W18-'Entries December''25'!W17)</f>
        <v>0</v>
      </c>
      <c r="D18" s="749">
        <f>IF('Entries December''25'!O18-'Entries December''25'!O17&lt;1,"0",'Entries December''25'!O18-'Entries December''25'!O17)</f>
        <v>62</v>
      </c>
      <c r="E18" s="749">
        <f>IF('Entries December''25'!P18-'Entries December''25'!P17&lt;1,"0",'Entries December''25'!P18-'Entries December''25'!P17)</f>
        <v>175</v>
      </c>
      <c r="F18" s="749">
        <f>IF('Entries December''25'!V18-'Entries December''25'!V17&lt;1,"0",'Entries December''25'!V18-'Entries December''25'!V17)</f>
        <v>183</v>
      </c>
      <c r="G18" s="749">
        <f t="shared" si="0"/>
        <v>54</v>
      </c>
      <c r="H18" s="749">
        <f>IF('Entries December''25'!Q18-'Entries December''25'!Q17&lt;1,0,'Entries December''25'!Q18-'Entries December''25'!Q17)</f>
        <v>201</v>
      </c>
      <c r="I18" s="749">
        <f>IF('Entries December''25'!AG18-'Entries December''25'!AG17&lt;1,0,'Entries December''25'!AG18-'Entries December''25'!AG17)</f>
        <v>0</v>
      </c>
      <c r="J18" s="749">
        <f>IF('Entries December''25'!S18-'Entries December''25'!S17&lt;1,"0",'Entries December''25'!S18-'Entries December''25'!S17)</f>
        <v>132</v>
      </c>
      <c r="K18" s="749" t="str">
        <f>IF('Entries December''25'!R18-'Entries December''25'!R17&lt;1,"0",'Entries December''25'!R18-'Entries December''25'!R17)</f>
        <v>0</v>
      </c>
      <c r="L18" s="749" t="str">
        <f>IF('Entries December''25'!T18-'Entries December''25'!T17&lt;1,"0",'Entries December''25'!T18-'Entries December''25'!T17)</f>
        <v>0</v>
      </c>
      <c r="M18" s="749">
        <f>IF('Entries December''25'!U18-'Entries December''25'!U17&lt;1,"0",'Entries December''25'!U18-'Entries December''25'!U17)</f>
        <v>11</v>
      </c>
      <c r="N18" s="749">
        <f>IF('Entries December''25'!X18-'Entries December''25'!X17&lt;1,"0",'Entries December''25'!X18-'Entries December''25'!X17)</f>
        <v>28</v>
      </c>
      <c r="O18" s="749">
        <f>IF('Entries December''25'!Y18-'Entries December''25'!Y17&lt;1,"0",'Entries December''25'!Y18-'Entries December''25'!Y17)</f>
        <v>82</v>
      </c>
      <c r="P18" s="749">
        <f>IF('Entries December''25'!AC18-'Entries December''25'!AC17&lt;1,"0",'Entries December''25'!AC18-'Entries December''25'!AC17)</f>
        <v>34</v>
      </c>
      <c r="Q18" s="749">
        <f>IF('Entries December''25'!Z18-'Entries December''25'!Z17&lt;1,"0",'Entries December''25'!Z18-'Entries December''25'!Z17)</f>
        <v>26</v>
      </c>
      <c r="R18" s="749" t="str">
        <f>IF(('Entries December''25'!AA18-'Entries December''25'!AA17)+('Entries December''25'!AB18-'Entries December''25'!AB17)&lt;1,"0",('Entries December''25'!AA18-'Entries December''25'!AA17)+('Entries December''25'!AB18-'Entries December''25'!AB17))</f>
        <v>0</v>
      </c>
      <c r="S18" s="748">
        <f t="shared" si="4"/>
        <v>540</v>
      </c>
      <c r="T18" s="748">
        <f t="shared" si="1"/>
        <v>121</v>
      </c>
      <c r="U18" s="749">
        <f>IF('Entries December''25'!AC18-'Entries December''25'!AC17&lt;1,"0",'Entries December''25'!AC18-'Entries December''25'!AC17)</f>
        <v>34</v>
      </c>
      <c r="V18" s="749" t="str">
        <f>IF('Entries December''25'!AD18-'Entries December''25'!AD17&lt;1,"0",'Entries December''25'!AD18-'Entries December''25'!AD17)</f>
        <v>0</v>
      </c>
      <c r="W18" s="749" t="str">
        <f>IF('Entries December''25'!AE18-'Entries December''25'!AE17&lt;1,"0",'Entries December''25'!AE18-'Entries December''25'!AE17)</f>
        <v>0</v>
      </c>
      <c r="X18" s="750" t="str">
        <f>IF('Entries December''25'!AI18-'Entries December''25'!AI17&lt;1,"0",'Entries December''25'!AI18-'Entries December''25'!AI17)</f>
        <v>0</v>
      </c>
      <c r="Y18" s="750" t="str">
        <f>IF('Entries December''25'!AH18-'Entries December''25'!AH17&lt;1,"0",'Entries December''25'!AH18-'Entries December''25'!AH17)</f>
        <v>0</v>
      </c>
      <c r="Z18" s="333">
        <f t="shared" si="2"/>
        <v>237</v>
      </c>
      <c r="AA18" s="334">
        <v>259.05</v>
      </c>
      <c r="AB18" s="335">
        <f t="shared" si="3"/>
        <v>9.1488129704690202</v>
      </c>
    </row>
    <row r="19" spans="1:32" x14ac:dyDescent="0.25">
      <c r="A19" s="29"/>
      <c r="B19" s="747">
        <v>13</v>
      </c>
      <c r="C19" s="748" t="str">
        <f>IF('Entries December''25'!W19-'Entries December''25'!W18&lt;1,"0",'Entries December''25'!W19-'Entries December''25'!W18)</f>
        <v>0</v>
      </c>
      <c r="D19" s="749" t="str">
        <f>IF('Entries December''25'!O19-'Entries December''25'!O18&lt;1,"0",'Entries December''25'!O19-'Entries December''25'!O18)</f>
        <v>0</v>
      </c>
      <c r="E19" s="749">
        <f>IF('Entries December''25'!P19-'Entries December''25'!P18&lt;1,"0",'Entries December''25'!P19-'Entries December''25'!P18)</f>
        <v>146</v>
      </c>
      <c r="F19" s="749">
        <f>IF('Entries December''25'!V19-'Entries December''25'!V18&lt;1,"0",'Entries December''25'!V19-'Entries December''25'!V18)</f>
        <v>153</v>
      </c>
      <c r="G19" s="749">
        <f t="shared" si="0"/>
        <v>-7</v>
      </c>
      <c r="H19" s="749">
        <f>IF('Entries December''25'!Q19-'Entries December''25'!Q18&lt;1,0,'Entries December''25'!Q19-'Entries December''25'!Q18)</f>
        <v>171</v>
      </c>
      <c r="I19" s="749">
        <f>IF('Entries December''25'!AG19-'Entries December''25'!AG18&lt;1,0,'Entries December''25'!AG19-'Entries December''25'!AG18)</f>
        <v>0</v>
      </c>
      <c r="J19" s="749" t="str">
        <f>IF('Entries December''25'!S19-'Entries December''25'!S18&lt;1,"0",'Entries December''25'!S19-'Entries December''25'!S18)</f>
        <v>0</v>
      </c>
      <c r="K19" s="749" t="str">
        <f>IF('Entries December''25'!R19-'Entries December''25'!R18&lt;1,"0",'Entries December''25'!R19-'Entries December''25'!R18)</f>
        <v>0</v>
      </c>
      <c r="L19" s="749" t="str">
        <f>IF('Entries December''25'!T19-'Entries December''25'!T18&lt;1,"0",'Entries December''25'!T19-'Entries December''25'!T18)</f>
        <v>0</v>
      </c>
      <c r="M19" s="749">
        <f>IF('Entries December''25'!U19-'Entries December''25'!U18&lt;1,"0",'Entries December''25'!U19-'Entries December''25'!U18)</f>
        <v>4</v>
      </c>
      <c r="N19" s="749">
        <f>IF('Entries December''25'!X19-'Entries December''25'!X18&lt;1,"0",'Entries December''25'!X19-'Entries December''25'!X18)</f>
        <v>10</v>
      </c>
      <c r="O19" s="749">
        <f>IF('Entries December''25'!Y19-'Entries December''25'!Y18&lt;1,"0",'Entries December''25'!Y19-'Entries December''25'!Y18)</f>
        <v>95</v>
      </c>
      <c r="P19" s="749">
        <f>IF('Entries December''25'!AC19-'Entries December''25'!AC18&lt;1,"0",'Entries December''25'!AC19-'Entries December''25'!AC18)</f>
        <v>9</v>
      </c>
      <c r="Q19" s="749">
        <f>IF('Entries December''25'!Z19-'Entries December''25'!Z18&lt;1,"0",'Entries December''25'!Z19-'Entries December''25'!Z18)</f>
        <v>16</v>
      </c>
      <c r="R19" s="749" t="str">
        <f>IF(('Entries December''25'!AA19-'Entries December''25'!AA18)+('Entries December''25'!AB19-'Entries December''25'!AB18)&lt;1,"0",('Entries December''25'!AA19-'Entries December''25'!AA18)+('Entries December''25'!AB19-'Entries December''25'!AB18))</f>
        <v>0</v>
      </c>
      <c r="S19" s="748">
        <f t="shared" si="4"/>
        <v>-70</v>
      </c>
      <c r="T19" s="748">
        <f t="shared" si="1"/>
        <v>109</v>
      </c>
      <c r="U19" s="749">
        <f>IF('Entries December''25'!AC19-'Entries December''25'!AC18&lt;1,"0",'Entries December''25'!AC19-'Entries December''25'!AC18)</f>
        <v>9</v>
      </c>
      <c r="V19" s="749" t="str">
        <f>IF('Entries December''25'!AD19-'Entries December''25'!AD18&lt;1,"0",'Entries December''25'!AD19-'Entries December''25'!AD18)</f>
        <v>0</v>
      </c>
      <c r="W19" s="749" t="str">
        <f>IF('Entries December''25'!AE19-'Entries December''25'!AE18&lt;1,"0",'Entries December''25'!AE19-'Entries December''25'!AE18)</f>
        <v>0</v>
      </c>
      <c r="X19" s="750" t="str">
        <f>IF('Entries December''25'!AI19-'Entries December''25'!AI18&lt;1,"0",'Entries December''25'!AI19-'Entries December''25'!AI18)</f>
        <v>0</v>
      </c>
      <c r="Y19" s="750" t="str">
        <f>IF('Entries December''25'!AH19-'Entries December''25'!AH18&lt;1,"0",'Entries December''25'!AH19-'Entries December''25'!AH18)</f>
        <v>0</v>
      </c>
      <c r="Z19" s="333">
        <f t="shared" si="2"/>
        <v>146</v>
      </c>
      <c r="AA19" s="334">
        <v>190.608</v>
      </c>
      <c r="AB19" s="335">
        <f t="shared" si="3"/>
        <v>7.6596994879543354</v>
      </c>
    </row>
    <row r="20" spans="1:32" x14ac:dyDescent="0.25">
      <c r="A20" s="29"/>
      <c r="B20" s="747">
        <v>14</v>
      </c>
      <c r="C20" s="748" t="str">
        <f>IF('Entries December''25'!W20-'Entries December''25'!W19&lt;1,"0",'Entries December''25'!W20-'Entries December''25'!W19)</f>
        <v>0</v>
      </c>
      <c r="D20" s="749">
        <f>IF('Entries December''25'!O20-'Entries December''25'!O19&lt;1,"0",'Entries December''25'!O20-'Entries December''25'!O19)</f>
        <v>88</v>
      </c>
      <c r="E20" s="749">
        <f>IF('Entries December''25'!P20-'Entries December''25'!P19&lt;1,"0",'Entries December''25'!P20-'Entries December''25'!P19)</f>
        <v>246</v>
      </c>
      <c r="F20" s="749">
        <f>IF('Entries December''25'!V20-'Entries December''25'!V19&lt;1,"0",'Entries December''25'!V20-'Entries December''25'!V19)</f>
        <v>258</v>
      </c>
      <c r="G20" s="749">
        <f t="shared" si="0"/>
        <v>76</v>
      </c>
      <c r="H20" s="749">
        <f>IF('Entries December''25'!Q20-'Entries December''25'!Q19&lt;1,0,'Entries December''25'!Q20-'Entries December''25'!Q19)</f>
        <v>234</v>
      </c>
      <c r="I20" s="749">
        <f>IF('Entries December''25'!AG20-'Entries December''25'!AG19&lt;1,0,'Entries December''25'!AG20-'Entries December''25'!AG19)</f>
        <v>0</v>
      </c>
      <c r="J20" s="749">
        <f>IF('Entries December''25'!S20-'Entries December''25'!S19&lt;1,"0",'Entries December''25'!S20-'Entries December''25'!S19)</f>
        <v>5</v>
      </c>
      <c r="K20" s="749" t="str">
        <f>IF('Entries December''25'!R20-'Entries December''25'!R19&lt;1,"0",'Entries December''25'!R20-'Entries December''25'!R19)</f>
        <v>0</v>
      </c>
      <c r="L20" s="749" t="str">
        <f>IF('Entries December''25'!T20-'Entries December''25'!T19&lt;1,"0",'Entries December''25'!T20-'Entries December''25'!T19)</f>
        <v>0</v>
      </c>
      <c r="M20" s="749">
        <f>IF('Entries December''25'!U20-'Entries December''25'!U19&lt;1,"0",'Entries December''25'!U20-'Entries December''25'!U19)</f>
        <v>8</v>
      </c>
      <c r="N20" s="749">
        <f>IF('Entries December''25'!X20-'Entries December''25'!X19&lt;1,"0",'Entries December''25'!X20-'Entries December''25'!X19)</f>
        <v>36</v>
      </c>
      <c r="O20" s="749">
        <f>IF('Entries December''25'!Y20-'Entries December''25'!Y19&lt;1,"0",'Entries December''25'!Y20-'Entries December''25'!Y19)</f>
        <v>110</v>
      </c>
      <c r="P20" s="749">
        <f>IF('Entries December''25'!AC20-'Entries December''25'!AC19&lt;1,"0",'Entries December''25'!AC20-'Entries December''25'!AC19)</f>
        <v>20</v>
      </c>
      <c r="Q20" s="749">
        <f>IF('Entries December''25'!Z20-'Entries December''25'!Z19&lt;1,"0",'Entries December''25'!Z20-'Entries December''25'!Z19)</f>
        <v>24</v>
      </c>
      <c r="R20" s="749" t="str">
        <f>IF(('Entries December''25'!AA20-'Entries December''25'!AA19)+('Entries December''25'!AB20-'Entries December''25'!AB19)&lt;1,"0",('Entries December''25'!AA20-'Entries December''25'!AA19)+('Entries December''25'!AB20-'Entries December''25'!AB19))</f>
        <v>0</v>
      </c>
      <c r="S20" s="748">
        <f t="shared" si="4"/>
        <v>760</v>
      </c>
      <c r="T20" s="748">
        <f t="shared" si="1"/>
        <v>154</v>
      </c>
      <c r="U20" s="749">
        <f>IF('Entries December''25'!AC20-'Entries December''25'!AC19&lt;1,"0",'Entries December''25'!AC20-'Entries December''25'!AC19)</f>
        <v>20</v>
      </c>
      <c r="V20" s="749" t="str">
        <f>IF('Entries December''25'!AD20-'Entries December''25'!AD19&lt;1,"0",'Entries December''25'!AD20-'Entries December''25'!AD19)</f>
        <v>0</v>
      </c>
      <c r="W20" s="749" t="str">
        <f>IF('Entries December''25'!AE20-'Entries December''25'!AE19&lt;1,"0",'Entries December''25'!AE20-'Entries December''25'!AE19)</f>
        <v>0</v>
      </c>
      <c r="X20" s="750" t="str">
        <f>IF('Entries December''25'!AI20-'Entries December''25'!AI19&lt;1,"0",'Entries December''25'!AI20-'Entries December''25'!AI19)</f>
        <v>0</v>
      </c>
      <c r="Y20" s="750" t="str">
        <f>IF('Entries December''25'!AH20-'Entries December''25'!AH19&lt;1,"0",'Entries December''25'!AH20-'Entries December''25'!AH19)</f>
        <v>0</v>
      </c>
      <c r="Z20" s="333">
        <f t="shared" si="2"/>
        <v>334</v>
      </c>
      <c r="AA20" s="334">
        <v>389.154</v>
      </c>
      <c r="AB20" s="335">
        <f t="shared" si="3"/>
        <v>8.5827204654198592</v>
      </c>
    </row>
    <row r="21" spans="1:32" ht="14.25" customHeight="1" x14ac:dyDescent="0.25">
      <c r="B21" s="747">
        <v>15</v>
      </c>
      <c r="C21" s="748" t="str">
        <f>IF('Entries December''25'!W21-'Entries December''25'!W20&lt;1,"0",'Entries December''25'!W21-'Entries December''25'!W20)</f>
        <v>0</v>
      </c>
      <c r="D21" s="749">
        <f>IF('Entries December''25'!O21-'Entries December''25'!O20&lt;1,"0",'Entries December''25'!O21-'Entries December''25'!O20)</f>
        <v>191</v>
      </c>
      <c r="E21" s="749">
        <f>IF('Entries December''25'!P21-'Entries December''25'!P20&lt;1,"0",'Entries December''25'!P21-'Entries December''25'!P20)</f>
        <v>131</v>
      </c>
      <c r="F21" s="749">
        <f>IF('Entries December''25'!V21-'Entries December''25'!V20&lt;1,"0",'Entries December''25'!V21-'Entries December''25'!V20)</f>
        <v>137</v>
      </c>
      <c r="G21" s="749">
        <f t="shared" si="0"/>
        <v>185</v>
      </c>
      <c r="H21" s="749">
        <f>IF('Entries December''25'!Q21-'Entries December''25'!Q20&lt;1,0,'Entries December''25'!Q21-'Entries December''25'!Q20)</f>
        <v>256</v>
      </c>
      <c r="I21" s="749">
        <f>IF('Entries December''25'!AG21-'Entries December''25'!AG20&lt;1,0,'Entries December''25'!AG21-'Entries December''25'!AG20)</f>
        <v>0</v>
      </c>
      <c r="J21" s="749">
        <f>IF('Entries December''25'!S21-'Entries December''25'!S20&lt;1,"0",'Entries December''25'!S21-'Entries December''25'!S20)</f>
        <v>127</v>
      </c>
      <c r="K21" s="749" t="str">
        <f>IF('Entries December''25'!R21-'Entries December''25'!R20&lt;1,"0",'Entries December''25'!R21-'Entries December''25'!R20)</f>
        <v>0</v>
      </c>
      <c r="L21" s="749" t="str">
        <f>IF('Entries December''25'!T21-'Entries December''25'!T20&lt;1,"0",'Entries December''25'!T21-'Entries December''25'!T20)</f>
        <v>0</v>
      </c>
      <c r="M21" s="749">
        <f>IF('Entries December''25'!U21-'Entries December''25'!U20&lt;1,"0",'Entries December''25'!U21-'Entries December''25'!U20)</f>
        <v>5</v>
      </c>
      <c r="N21" s="749">
        <f>IF('Entries December''25'!X21-'Entries December''25'!X20&lt;1,"0",'Entries December''25'!X21-'Entries December''25'!X20)</f>
        <v>58</v>
      </c>
      <c r="O21" s="749">
        <f>IF('Entries December''25'!Y21-'Entries December''25'!Y20&lt;1,"0",'Entries December''25'!Y21-'Entries December''25'!Y20)</f>
        <v>96</v>
      </c>
      <c r="P21" s="749">
        <f>IF('Entries December''25'!AC21-'Entries December''25'!AC20&lt;1,"0",'Entries December''25'!AC21-'Entries December''25'!AC20)</f>
        <v>22</v>
      </c>
      <c r="Q21" s="749">
        <f>IF('Entries December''25'!Z21-'Entries December''25'!Z20&lt;1,"0",'Entries December''25'!Z21-'Entries December''25'!Z20)</f>
        <v>28</v>
      </c>
      <c r="R21" s="749" t="str">
        <f>IF(('Entries December''25'!AA21-'Entries December''25'!AA20)+('Entries December''25'!AB21-'Entries December''25'!AB20)&lt;1,"0",('Entries December''25'!AA21-'Entries December''25'!AA20)+('Entries December''25'!AB21-'Entries December''25'!AB20))</f>
        <v>0</v>
      </c>
      <c r="S21" s="748">
        <f t="shared" si="4"/>
        <v>1850</v>
      </c>
      <c r="T21" s="748">
        <f t="shared" si="1"/>
        <v>159</v>
      </c>
      <c r="U21" s="749">
        <f>IF('Entries December''25'!AC21-'Entries December''25'!AC20&lt;1,"0",'Entries December''25'!AC21-'Entries December''25'!AC20)</f>
        <v>22</v>
      </c>
      <c r="V21" s="749">
        <f>IF('Entries December''25'!AD21-'Entries December''25'!AD20&lt;1,"0",'Entries December''25'!AD21-'Entries December''25'!AD20)</f>
        <v>13</v>
      </c>
      <c r="W21" s="749" t="str">
        <f>IF('Entries December''25'!AE21-'Entries December''25'!AE20&lt;1,"0",'Entries December''25'!AE21-'Entries December''25'!AE20)</f>
        <v>0</v>
      </c>
      <c r="X21" s="750" t="str">
        <f>IF('Entries December''25'!AI21-'Entries December''25'!AI20&lt;1,"0",'Entries December''25'!AI21-'Entries December''25'!AI20)</f>
        <v>0</v>
      </c>
      <c r="Y21" s="750" t="str">
        <f>IF('Entries December''25'!AH21-'Entries December''25'!AH20&lt;1,"0",'Entries December''25'!AH21-'Entries December''25'!AH20)</f>
        <v>0</v>
      </c>
      <c r="Z21" s="333">
        <f t="shared" si="2"/>
        <v>322</v>
      </c>
      <c r="AA21" s="334">
        <v>369.45600000000002</v>
      </c>
      <c r="AB21" s="335">
        <f t="shared" si="3"/>
        <v>8.7155168680438262</v>
      </c>
    </row>
    <row r="22" spans="1:32" x14ac:dyDescent="0.25">
      <c r="B22" s="747">
        <v>16</v>
      </c>
      <c r="C22" s="748" t="str">
        <f>IF('Entries December''25'!W22-'Entries December''25'!W21&lt;1,"0",'Entries December''25'!W22-'Entries December''25'!W21)</f>
        <v>0</v>
      </c>
      <c r="D22" s="749">
        <f>IF('Entries December''25'!O22-'Entries December''25'!O21&lt;1,"0",'Entries December''25'!O22-'Entries December''25'!O21)</f>
        <v>242</v>
      </c>
      <c r="E22" s="749">
        <f>IF('Entries December''25'!P22-'Entries December''25'!P21&lt;1,"0",'Entries December''25'!P22-'Entries December''25'!P21)</f>
        <v>117</v>
      </c>
      <c r="F22" s="749">
        <f>IF('Entries December''25'!V22-'Entries December''25'!V21&lt;1,"0",'Entries December''25'!V22-'Entries December''25'!V21)</f>
        <v>122</v>
      </c>
      <c r="G22" s="749">
        <f t="shared" si="0"/>
        <v>237</v>
      </c>
      <c r="H22" s="749">
        <f>IF('Entries December''25'!Q22-'Entries December''25'!Q21&lt;1,0,'Entries December''25'!Q22-'Entries December''25'!Q21)</f>
        <v>286</v>
      </c>
      <c r="I22" s="749">
        <f>IF('Entries December''25'!AG22-'Entries December''25'!AG21&lt;1,0,'Entries December''25'!AG22-'Entries December''25'!AG21)</f>
        <v>0</v>
      </c>
      <c r="J22" s="749">
        <f>IF('Entries December''25'!S22-'Entries December''25'!S21&lt;1,"0",'Entries December''25'!S22-'Entries December''25'!S21)</f>
        <v>196</v>
      </c>
      <c r="K22" s="749" t="str">
        <f>IF('Entries December''25'!R22-'Entries December''25'!R21&lt;1,"0",'Entries December''25'!R22-'Entries December''25'!R21)</f>
        <v>0</v>
      </c>
      <c r="L22" s="749" t="str">
        <f>IF('Entries December''25'!T22-'Entries December''25'!T21&lt;1,"0",'Entries December''25'!T22-'Entries December''25'!T21)</f>
        <v>0</v>
      </c>
      <c r="M22" s="749">
        <f>IF('Entries December''25'!U22-'Entries December''25'!U21&lt;1,"0",'Entries December''25'!U22-'Entries December''25'!U21)</f>
        <v>16</v>
      </c>
      <c r="N22" s="749">
        <f>IF('Entries December''25'!X22-'Entries December''25'!X21&lt;1,"0",'Entries December''25'!X22-'Entries December''25'!X21)</f>
        <v>33</v>
      </c>
      <c r="O22" s="749">
        <f>IF('Entries December''25'!Y22-'Entries December''25'!Y21&lt;1,"0",'Entries December''25'!Y22-'Entries December''25'!Y21)</f>
        <v>133</v>
      </c>
      <c r="P22" s="749">
        <f>IF('Entries December''25'!AC22-'Entries December''25'!AC21&lt;1,"0",'Entries December''25'!AC22-'Entries December''25'!AC21)</f>
        <v>30</v>
      </c>
      <c r="Q22" s="749">
        <f>IF('Entries December''25'!Z22-'Entries December''25'!Z21&lt;1,"0",'Entries December''25'!Z22-'Entries December''25'!Z21)</f>
        <v>27</v>
      </c>
      <c r="R22" s="749" t="str">
        <f>IF(('Entries December''25'!AA22-'Entries December''25'!AA21)+('Entries December''25'!AB22-'Entries December''25'!AB21)&lt;1,"0",('Entries December''25'!AA22-'Entries December''25'!AA21)+('Entries December''25'!AB22-'Entries December''25'!AB21))</f>
        <v>0</v>
      </c>
      <c r="S22" s="748">
        <f t="shared" si="4"/>
        <v>2370</v>
      </c>
      <c r="T22" s="748">
        <f t="shared" si="1"/>
        <v>182</v>
      </c>
      <c r="U22" s="749">
        <f>IF('Entries December''25'!AC22-'Entries December''25'!AC21&lt;1,"0",'Entries December''25'!AC22-'Entries December''25'!AC21)</f>
        <v>30</v>
      </c>
      <c r="V22" s="749" t="str">
        <f>IF('Entries December''25'!AD22-'Entries December''25'!AD21&lt;1,"0",'Entries December''25'!AD22-'Entries December''25'!AD21)</f>
        <v>0</v>
      </c>
      <c r="W22" s="749" t="str">
        <f>IF('Entries December''25'!AE22-'Entries December''25'!AE21&lt;1,"0",'Entries December''25'!AE22-'Entries December''25'!AE21)</f>
        <v>0</v>
      </c>
      <c r="X22" s="750" t="str">
        <f>IF('Entries December''25'!AI22-'Entries December''25'!AI21&lt;1,"0",'Entries December''25'!AI22-'Entries December''25'!AI21)</f>
        <v>0</v>
      </c>
      <c r="Y22" s="750" t="str">
        <f>IF('Entries December''25'!AH22-'Entries December''25'!AH21&lt;1,"0",'Entries December''25'!AH22-'Entries December''25'!AH21)</f>
        <v>0</v>
      </c>
      <c r="Z22" s="333">
        <f t="shared" si="2"/>
        <v>359</v>
      </c>
      <c r="AA22" s="334">
        <v>362.80200000000002</v>
      </c>
      <c r="AB22" s="335">
        <f t="shared" si="3"/>
        <v>9.8952045468327068</v>
      </c>
    </row>
    <row r="23" spans="1:32" x14ac:dyDescent="0.25">
      <c r="B23" s="747">
        <v>17</v>
      </c>
      <c r="C23" s="748" t="str">
        <f>IF('Entries December''25'!W23-'Entries December''25'!W22&lt;1,"0",'Entries December''25'!W23-'Entries December''25'!W22)</f>
        <v>0</v>
      </c>
      <c r="D23" s="749">
        <f>IF('Entries December''25'!O23-'Entries December''25'!O22&lt;1,"0",'Entries December''25'!O23-'Entries December''25'!O22)</f>
        <v>315</v>
      </c>
      <c r="E23" s="749">
        <f>IF('Entries December''25'!P23-'Entries December''25'!P22&lt;1,"0",'Entries December''25'!P23-'Entries December''25'!P22)</f>
        <v>163</v>
      </c>
      <c r="F23" s="749">
        <f>IF('Entries December''25'!V23-'Entries December''25'!V22&lt;1,"0",'Entries December''25'!V23-'Entries December''25'!V22)</f>
        <v>172</v>
      </c>
      <c r="G23" s="749">
        <f t="shared" si="0"/>
        <v>306</v>
      </c>
      <c r="H23" s="749">
        <f>IF('Entries December''25'!Q23-'Entries December''25'!Q22&lt;1,0,'Entries December''25'!Q23-'Entries December''25'!Q22)</f>
        <v>234</v>
      </c>
      <c r="I23" s="749">
        <f>IF('Entries December''25'!AG23-'Entries December''25'!AG22&lt;1,0,'Entries December''25'!AG23-'Entries December''25'!AG22)</f>
        <v>0</v>
      </c>
      <c r="J23" s="749">
        <f>IF('Entries December''25'!S23-'Entries December''25'!S22&lt;1,"0",'Entries December''25'!S23-'Entries December''25'!S22)</f>
        <v>152</v>
      </c>
      <c r="K23" s="749" t="str">
        <f>IF('Entries December''25'!R23-'Entries December''25'!R22&lt;1,"0",'Entries December''25'!R23-'Entries December''25'!R22)</f>
        <v>0</v>
      </c>
      <c r="L23" s="749" t="str">
        <f>IF('Entries December''25'!T23-'Entries December''25'!T22&lt;1,"0",'Entries December''25'!T23-'Entries December''25'!T22)</f>
        <v>0</v>
      </c>
      <c r="M23" s="749">
        <f>IF('Entries December''25'!U23-'Entries December''25'!U22&lt;1,"0",'Entries December''25'!U23-'Entries December''25'!U22)</f>
        <v>8</v>
      </c>
      <c r="N23" s="749">
        <f>IF('Entries December''25'!X23-'Entries December''25'!X22&lt;1,"0",'Entries December''25'!X23-'Entries December''25'!X22)</f>
        <v>30</v>
      </c>
      <c r="O23" s="749">
        <f>IF('Entries December''25'!Y23-'Entries December''25'!Y22&lt;1,"0",'Entries December''25'!Y23-'Entries December''25'!Y22)</f>
        <v>103</v>
      </c>
      <c r="P23" s="749">
        <f>IF('Entries December''25'!AC23-'Entries December''25'!AC22&lt;1,"0",'Entries December''25'!AC23-'Entries December''25'!AC22)</f>
        <v>29</v>
      </c>
      <c r="Q23" s="749">
        <f>IF('Entries December''25'!Z23-'Entries December''25'!Z22&lt;1,"0",'Entries December''25'!Z23-'Entries December''25'!Z22)</f>
        <v>27</v>
      </c>
      <c r="R23" s="749" t="str">
        <f>IF(('Entries December''25'!AA23-'Entries December''25'!AA22)+('Entries December''25'!AB23-'Entries December''25'!AB22)&lt;1,"0",('Entries December''25'!AA23-'Entries December''25'!AA22)+('Entries December''25'!AB23-'Entries December''25'!AB22))</f>
        <v>0</v>
      </c>
      <c r="S23" s="748">
        <f t="shared" si="4"/>
        <v>3060</v>
      </c>
      <c r="T23" s="748">
        <f t="shared" si="1"/>
        <v>141</v>
      </c>
      <c r="U23" s="749">
        <f>IF('Entries December''25'!AC23-'Entries December''25'!AC22&lt;1,"0",'Entries December''25'!AC23-'Entries December''25'!AC22)</f>
        <v>29</v>
      </c>
      <c r="V23" s="749">
        <f>IF('Entries December''25'!AD23-'Entries December''25'!AD22&lt;1,"0",'Entries December''25'!AD23-'Entries December''25'!AD22)</f>
        <v>12</v>
      </c>
      <c r="W23" s="749" t="str">
        <f>IF('Entries December''25'!AE23-'Entries December''25'!AE22&lt;1,"0",'Entries December''25'!AE23-'Entries December''25'!AE22)</f>
        <v>0</v>
      </c>
      <c r="X23" s="750" t="str">
        <f>IF('Entries December''25'!AI23-'Entries December''25'!AI22&lt;1,"0",'Entries December''25'!AI23-'Entries December''25'!AI22)</f>
        <v>0</v>
      </c>
      <c r="Y23" s="750" t="str">
        <f>IF('Entries December''25'!AH23-'Entries December''25'!AH22&lt;1,"0",'Entries December''25'!AH23-'Entries December''25'!AH22)</f>
        <v>0</v>
      </c>
      <c r="Z23" s="333">
        <f t="shared" si="2"/>
        <v>478</v>
      </c>
      <c r="AA23" s="334">
        <v>489.06</v>
      </c>
      <c r="AB23" s="335">
        <f t="shared" si="3"/>
        <v>9.7738518791150373</v>
      </c>
    </row>
    <row r="24" spans="1:32" x14ac:dyDescent="0.25">
      <c r="B24" s="747">
        <v>18</v>
      </c>
      <c r="C24" s="748" t="str">
        <f>IF('Entries December''25'!W24-'Entries December''25'!W23&lt;1,"0",'Entries December''25'!W24-'Entries December''25'!W23)</f>
        <v>0</v>
      </c>
      <c r="D24" s="749">
        <f>IF('Entries December''25'!O24-'Entries December''25'!O23&lt;1,"0",'Entries December''25'!O24-'Entries December''25'!O23)</f>
        <v>175</v>
      </c>
      <c r="E24" s="749">
        <f>IF('Entries December''25'!P24-'Entries December''25'!P23&lt;1,"0",'Entries December''25'!P24-'Entries December''25'!P23)</f>
        <v>203</v>
      </c>
      <c r="F24" s="749">
        <f>IF('Entries December''25'!V24-'Entries December''25'!V23&lt;1,"0",'Entries December''25'!V24-'Entries December''25'!V23)</f>
        <v>211</v>
      </c>
      <c r="G24" s="749">
        <f t="shared" si="0"/>
        <v>167</v>
      </c>
      <c r="H24" s="749">
        <f>IF('Entries December''25'!Q24-'Entries December''25'!Q23&lt;1,0,'Entries December''25'!Q24-'Entries December''25'!Q23)</f>
        <v>347</v>
      </c>
      <c r="I24" s="749">
        <f>IF('Entries December''25'!AG24-'Entries December''25'!AG23&lt;1,0,'Entries December''25'!AG24-'Entries December''25'!AG23)</f>
        <v>0</v>
      </c>
      <c r="J24" s="749">
        <f>IF('Entries December''25'!S24-'Entries December''25'!S23&lt;1,"0",'Entries December''25'!S24-'Entries December''25'!S23)</f>
        <v>167</v>
      </c>
      <c r="K24" s="749" t="str">
        <f>IF('Entries December''25'!R24-'Entries December''25'!R23&lt;1,"0",'Entries December''25'!R24-'Entries December''25'!R23)</f>
        <v>0</v>
      </c>
      <c r="L24" s="749" t="str">
        <f>IF('Entries December''25'!T24-'Entries December''25'!T23&lt;1,"0",'Entries December''25'!T24-'Entries December''25'!T23)</f>
        <v>0</v>
      </c>
      <c r="M24" s="749">
        <f>IF('Entries December''25'!U24-'Entries December''25'!U23&lt;1,"0",'Entries December''25'!U24-'Entries December''25'!U23)</f>
        <v>5</v>
      </c>
      <c r="N24" s="749">
        <f>IF('Entries December''25'!X24-'Entries December''25'!X23&lt;1,"0",'Entries December''25'!X24-'Entries December''25'!X23)</f>
        <v>40</v>
      </c>
      <c r="O24" s="749">
        <f>IF('Entries December''25'!Y24-'Entries December''25'!Y23&lt;1,"0",'Entries December''25'!Y24-'Entries December''25'!Y23)</f>
        <v>190</v>
      </c>
      <c r="P24" s="749">
        <f>IF('Entries December''25'!AC24-'Entries December''25'!AC23&lt;1,"0",'Entries December''25'!AC24-'Entries December''25'!AC23)</f>
        <v>27</v>
      </c>
      <c r="Q24" s="749">
        <f>IF('Entries December''25'!Z24-'Entries December''25'!Z23&lt;1,"0",'Entries December''25'!Z24-'Entries December''25'!Z23)</f>
        <v>27</v>
      </c>
      <c r="R24" s="749" t="str">
        <f>IF(('Entries December''25'!AA24-'Entries December''25'!AA23)+('Entries December''25'!AB24-'Entries December''25'!AB23)&lt;1,"0",('Entries December''25'!AA24-'Entries December''25'!AA23)+('Entries December''25'!AB24-'Entries December''25'!AB23))</f>
        <v>0</v>
      </c>
      <c r="S24" s="748">
        <f t="shared" si="4"/>
        <v>1670</v>
      </c>
      <c r="T24" s="748">
        <f t="shared" si="1"/>
        <v>235</v>
      </c>
      <c r="U24" s="749">
        <f>IF('Entries December''25'!AC24-'Entries December''25'!AC23&lt;1,"0",'Entries December''25'!AC24-'Entries December''25'!AC23)</f>
        <v>27</v>
      </c>
      <c r="V24" s="749" t="str">
        <f>IF('Entries December''25'!AD24-'Entries December''25'!AD23&lt;1,"0",'Entries December''25'!AD24-'Entries December''25'!AD23)</f>
        <v>0</v>
      </c>
      <c r="W24" s="749" t="str">
        <f>IF('Entries December''25'!AE24-'Entries December''25'!AE23&lt;1,"0",'Entries December''25'!AE24-'Entries December''25'!AE23)</f>
        <v>0</v>
      </c>
      <c r="X24" s="750" t="str">
        <f>IF('Entries December''25'!AI24-'Entries December''25'!AI23&lt;1,"0",'Entries December''25'!AI24-'Entries December''25'!AI23)</f>
        <v>0</v>
      </c>
      <c r="Y24" s="750" t="str">
        <f>IF('Entries December''25'!AH24-'Entries December''25'!AH23&lt;1,"0",'Entries December''25'!AH24-'Entries December''25'!AH23)</f>
        <v>0</v>
      </c>
      <c r="Z24" s="333">
        <f>C24+D24+E24</f>
        <v>378</v>
      </c>
      <c r="AA24" s="334">
        <v>459.62400000000002</v>
      </c>
      <c r="AB24" s="335">
        <f t="shared" si="3"/>
        <v>8.2241136233094867</v>
      </c>
    </row>
    <row r="25" spans="1:32" x14ac:dyDescent="0.25">
      <c r="B25" s="747">
        <v>19</v>
      </c>
      <c r="C25" s="748" t="str">
        <f>IF('Entries December''25'!W25-'Entries December''25'!W24&lt;1,"0",'Entries December''25'!W25-'Entries December''25'!W24)</f>
        <v>0</v>
      </c>
      <c r="D25" s="749">
        <f>IF('Entries December''25'!O25-'Entries December''25'!O24&lt;1,"0",'Entries December''25'!O25-'Entries December''25'!O24)</f>
        <v>129</v>
      </c>
      <c r="E25" s="749">
        <f>IF('Entries December''25'!P25-'Entries December''25'!P24&lt;1,"0",'Entries December''25'!P25-'Entries December''25'!P24)</f>
        <v>298</v>
      </c>
      <c r="F25" s="749" t="str">
        <f>IF('Entries December''25'!V25-'Entries December''25'!V24&lt;1,"0",'Entries December''25'!V25-'Entries December''25'!V24)</f>
        <v>0</v>
      </c>
      <c r="G25" s="749">
        <f t="shared" si="0"/>
        <v>427</v>
      </c>
      <c r="H25" s="749">
        <f>IF('Entries December''25'!Q25-'Entries December''25'!Q24&lt;1,0,'Entries December''25'!Q25-'Entries December''25'!Q24)</f>
        <v>284</v>
      </c>
      <c r="I25" s="749">
        <f>IF('Entries December''25'!AG25-'Entries December''25'!AG24&lt;1,0,'Entries December''25'!AG25-'Entries December''25'!AG24)</f>
        <v>0</v>
      </c>
      <c r="J25" s="749">
        <f>IF('Entries December''25'!S25-'Entries December''25'!S24&lt;1,"0",'Entries December''25'!S25-'Entries December''25'!S24)</f>
        <v>11</v>
      </c>
      <c r="K25" s="749" t="str">
        <f>IF('Entries December''25'!R25-'Entries December''25'!R24&lt;1,"0",'Entries December''25'!R25-'Entries December''25'!R24)</f>
        <v>0</v>
      </c>
      <c r="L25" s="749" t="str">
        <f>IF('Entries December''25'!T25-'Entries December''25'!T24&lt;1,"0",'Entries December''25'!T25-'Entries December''25'!T24)</f>
        <v>0</v>
      </c>
      <c r="M25" s="749" t="str">
        <f>IF('Entries December''25'!U25-'Entries December''25'!U24&lt;1,"0",'Entries December''25'!U25-'Entries December''25'!U24)</f>
        <v>0</v>
      </c>
      <c r="N25" s="749">
        <f>IF('Entries December''25'!X25-'Entries December''25'!X24&lt;1,"0",'Entries December''25'!X25-'Entries December''25'!X24)</f>
        <v>52</v>
      </c>
      <c r="O25" s="749">
        <f>IF('Entries December''25'!Y25-'Entries December''25'!Y24&lt;1,"0",'Entries December''25'!Y25-'Entries December''25'!Y24)</f>
        <v>177</v>
      </c>
      <c r="P25" s="749">
        <f>IF('Entries December''25'!AC25-'Entries December''25'!AC24&lt;1,"0",'Entries December''25'!AC25-'Entries December''25'!AC24)</f>
        <v>26</v>
      </c>
      <c r="Q25" s="749">
        <f>IF('Entries December''25'!Z25-'Entries December''25'!Z24&lt;1,"0",'Entries December''25'!Z25-'Entries December''25'!Z24)</f>
        <v>26</v>
      </c>
      <c r="R25" s="749" t="str">
        <f>IF(('Entries December''25'!AA25-'Entries December''25'!AA24)+('Entries December''25'!AB25-'Entries December''25'!AB24)&lt;1,"0",('Entries December''25'!AA25-'Entries December''25'!AA24)+('Entries December''25'!AB25-'Entries December''25'!AB24))</f>
        <v>0</v>
      </c>
      <c r="S25" s="748">
        <f t="shared" si="4"/>
        <v>4270</v>
      </c>
      <c r="T25" s="748">
        <f t="shared" si="1"/>
        <v>229</v>
      </c>
      <c r="U25" s="749">
        <f>IF('Entries December''25'!AC25-'Entries December''25'!AC24&lt;1,"0",'Entries December''25'!AC25-'Entries December''25'!AC24)</f>
        <v>26</v>
      </c>
      <c r="V25" s="749" t="str">
        <f>IF('Entries December''25'!AD25-'Entries December''25'!AD24&lt;1,"0",'Entries December''25'!AD25-'Entries December''25'!AD24)</f>
        <v>0</v>
      </c>
      <c r="W25" s="749" t="str">
        <f>IF('Entries December''25'!AE25-'Entries December''25'!AE24&lt;1,"0",'Entries December''25'!AE25-'Entries December''25'!AE24)</f>
        <v>0</v>
      </c>
      <c r="X25" s="750" t="str">
        <f>IF('Entries December''25'!AI25-'Entries December''25'!AI24&lt;1,"0",'Entries December''25'!AI25-'Entries December''25'!AI24)</f>
        <v>0</v>
      </c>
      <c r="Y25" s="750" t="str">
        <f>IF('Entries December''25'!AH25-'Entries December''25'!AH24&lt;1,"0",'Entries December''25'!AH25-'Entries December''25'!AH24)</f>
        <v>0</v>
      </c>
      <c r="Z25" s="333">
        <f t="shared" si="2"/>
        <v>427</v>
      </c>
      <c r="AA25" s="334">
        <v>479.226</v>
      </c>
      <c r="AB25" s="335">
        <f t="shared" si="3"/>
        <v>8.9102010324982359</v>
      </c>
    </row>
    <row r="26" spans="1:32" x14ac:dyDescent="0.25">
      <c r="A26" s="29"/>
      <c r="B26" s="747">
        <v>20</v>
      </c>
      <c r="C26" s="748" t="str">
        <f>IF('Entries December''25'!W26-'Entries December''25'!W25&lt;1,"0",'Entries December''25'!W26-'Entries December''25'!W25)</f>
        <v>0</v>
      </c>
      <c r="D26" s="749">
        <f>IF('Entries December''25'!O26-'Entries December''25'!O25&lt;1,"0",'Entries December''25'!O26-'Entries December''25'!O25)</f>
        <v>4</v>
      </c>
      <c r="E26" s="749">
        <f>IF('Entries December''25'!P26-'Entries December''25'!P25&lt;1,"0",'Entries December''25'!P26-'Entries December''25'!P25)</f>
        <v>127</v>
      </c>
      <c r="F26" s="749">
        <f>IF('Entries December''25'!V26-'Entries December''25'!V25&lt;1,"0",'Entries December''25'!V26-'Entries December''25'!V25)</f>
        <v>446</v>
      </c>
      <c r="G26" s="749">
        <f t="shared" si="0"/>
        <v>-315</v>
      </c>
      <c r="H26" s="749">
        <f>IF('Entries December''25'!Q26-'Entries December''25'!Q25&lt;1,0,'Entries December''25'!Q26-'Entries December''25'!Q25)</f>
        <v>69</v>
      </c>
      <c r="I26" s="749">
        <f>IF('Entries December''25'!AG26-'Entries December''25'!AG25&lt;1,0,'Entries December''25'!AG26-'Entries December''25'!AG25)</f>
        <v>0</v>
      </c>
      <c r="J26" s="749" t="str">
        <f>IF('Entries December''25'!S26-'Entries December''25'!S25&lt;1,"0",'Entries December''25'!S26-'Entries December''25'!S25)</f>
        <v>0</v>
      </c>
      <c r="K26" s="749" t="str">
        <f>IF('Entries December''25'!R26-'Entries December''25'!R25&lt;1,"0",'Entries December''25'!R26-'Entries December''25'!R25)</f>
        <v>0</v>
      </c>
      <c r="L26" s="749" t="str">
        <f>IF('Entries December''25'!T26-'Entries December''25'!T25&lt;1,"0",'Entries December''25'!T26-'Entries December''25'!T25)</f>
        <v>0</v>
      </c>
      <c r="M26" s="749" t="str">
        <f>IF('Entries December''25'!U26-'Entries December''25'!U25&lt;1,"0",'Entries December''25'!U26-'Entries December''25'!U25)</f>
        <v>0</v>
      </c>
      <c r="N26" s="749" t="str">
        <f>IF('Entries December''25'!X26-'Entries December''25'!X25&lt;1,"0",'Entries December''25'!X26-'Entries December''25'!X25)</f>
        <v>0</v>
      </c>
      <c r="O26" s="749">
        <f>IF('Entries December''25'!Y26-'Entries December''25'!Y25&lt;1,"0",'Entries December''25'!Y26-'Entries December''25'!Y25)</f>
        <v>35</v>
      </c>
      <c r="P26" s="749">
        <f>IF('Entries December''25'!AC26-'Entries December''25'!AC25&lt;1,"0",'Entries December''25'!AC26-'Entries December''25'!AC25)</f>
        <v>2</v>
      </c>
      <c r="Q26" s="749" t="str">
        <f>IF('Entries December''25'!Z26-'Entries December''25'!Z25&lt;1,"0",'Entries December''25'!Z26-'Entries December''25'!Z25)</f>
        <v>0</v>
      </c>
      <c r="R26" s="749" t="str">
        <f>IF(('Entries December''25'!AA26-'Entries December''25'!AA25)+('Entries December''25'!AB26-'Entries December''25'!AB25)&lt;1,"0",('Entries December''25'!AA26-'Entries December''25'!AA25)+('Entries December''25'!AB26-'Entries December''25'!AB25))</f>
        <v>0</v>
      </c>
      <c r="S26" s="748">
        <f t="shared" si="4"/>
        <v>-3150</v>
      </c>
      <c r="T26" s="748">
        <f t="shared" si="1"/>
        <v>35</v>
      </c>
      <c r="U26" s="749">
        <f>IF('Entries December''25'!AC26-'Entries December''25'!AC25&lt;1,"0",'Entries December''25'!AC26-'Entries December''25'!AC25)</f>
        <v>2</v>
      </c>
      <c r="V26" s="749" t="str">
        <f>IF('Entries December''25'!AD26-'Entries December''25'!AD25&lt;1,"0",'Entries December''25'!AD26-'Entries December''25'!AD25)</f>
        <v>0</v>
      </c>
      <c r="W26" s="749" t="str">
        <f>IF('Entries December''25'!AE26-'Entries December''25'!AE25&lt;1,"0",'Entries December''25'!AE26-'Entries December''25'!AE25)</f>
        <v>0</v>
      </c>
      <c r="X26" s="750" t="str">
        <f>IF('Entries December''25'!AI26-'Entries December''25'!AI25&lt;1,"0",'Entries December''25'!AI26-'Entries December''25'!AI25)</f>
        <v>0</v>
      </c>
      <c r="Y26" s="750" t="str">
        <f>IF('Entries December''25'!AH26-'Entries December''25'!AH25&lt;1,"0",'Entries December''25'!AH26-'Entries December''25'!AH25)</f>
        <v>0</v>
      </c>
      <c r="Z26" s="333">
        <f t="shared" si="2"/>
        <v>131</v>
      </c>
      <c r="AA26" s="334" t="str">
        <v>0</v>
      </c>
      <c r="AB26" s="335" t="str">
        <f t="shared" si="3"/>
        <v>0</v>
      </c>
    </row>
    <row r="27" spans="1:32" x14ac:dyDescent="0.25">
      <c r="A27" s="29"/>
      <c r="B27" s="747">
        <v>21</v>
      </c>
      <c r="C27" s="748" t="str">
        <f>IF('Entries December''25'!W27-'Entries December''25'!W26&lt;1,"0",'Entries December''25'!W27-'Entries December''25'!W26)</f>
        <v>0</v>
      </c>
      <c r="D27" s="749">
        <f>IF('Entries December''25'!O27-'Entries December''25'!O26&lt;1,"0",'Entries December''25'!O27-'Entries December''25'!O26)</f>
        <v>15</v>
      </c>
      <c r="E27" s="749">
        <f>IF('Entries December''25'!P27-'Entries December''25'!P26&lt;1,"0",'Entries December''25'!P27-'Entries December''25'!P26)</f>
        <v>2</v>
      </c>
      <c r="F27" s="749" t="str">
        <f>IF('Entries December''25'!V27-'Entries December''25'!V26&lt;1,"0",'Entries December''25'!V27-'Entries December''25'!V26)</f>
        <v>0</v>
      </c>
      <c r="G27" s="749">
        <f t="shared" si="0"/>
        <v>17</v>
      </c>
      <c r="H27" s="749">
        <f>IF('Entries December''25'!Q27-'Entries December''25'!Q26&lt;1,0,'Entries December''25'!Q27-'Entries December''25'!Q26)</f>
        <v>19</v>
      </c>
      <c r="I27" s="749">
        <f>IF('Entries December''25'!AG27-'Entries December''25'!AG26&lt;1,0,'Entries December''25'!AG27-'Entries December''25'!AG26)</f>
        <v>0</v>
      </c>
      <c r="J27" s="749" t="str">
        <f>IF('Entries December''25'!S27-'Entries December''25'!S26&lt;1,"0",'Entries December''25'!S27-'Entries December''25'!S26)</f>
        <v>0</v>
      </c>
      <c r="K27" s="749" t="str">
        <f>IF('Entries December''25'!R27-'Entries December''25'!R26&lt;1,"0",'Entries December''25'!R27-'Entries December''25'!R26)</f>
        <v>0</v>
      </c>
      <c r="L27" s="749" t="str">
        <f>IF('Entries December''25'!T27-'Entries December''25'!T26&lt;1,"0",'Entries December''25'!T27-'Entries December''25'!T26)</f>
        <v>0</v>
      </c>
      <c r="M27" s="749" t="str">
        <f>IF('Entries December''25'!U27-'Entries December''25'!U26&lt;1,"0",'Entries December''25'!U27-'Entries December''25'!U26)</f>
        <v>0</v>
      </c>
      <c r="N27" s="749" t="str">
        <f>IF('Entries December''25'!X27-'Entries December''25'!X26&lt;1,"0",'Entries December''25'!X27-'Entries December''25'!X26)</f>
        <v>0</v>
      </c>
      <c r="O27" s="749">
        <f>IF('Entries December''25'!Y27-'Entries December''25'!Y26&lt;1,"0",'Entries December''25'!Y27-'Entries December''25'!Y26)</f>
        <v>4</v>
      </c>
      <c r="P27" s="749" t="str">
        <f>IF('Entries December''25'!AC27-'Entries December''25'!AC26&lt;1,"0",'Entries December''25'!AC27-'Entries December''25'!AC26)</f>
        <v>0</v>
      </c>
      <c r="Q27" s="749">
        <f>IF('Entries December''25'!Z27-'Entries December''25'!Z26&lt;1,"0",'Entries December''25'!Z27-'Entries December''25'!Z26)</f>
        <v>10</v>
      </c>
      <c r="R27" s="749" t="str">
        <f>IF(('Entries December''25'!AA27-'Entries December''25'!AA26)+('Entries December''25'!AB27-'Entries December''25'!AB26)&lt;1,"0",('Entries December''25'!AA27-'Entries December''25'!AA26)+('Entries December''25'!AB27-'Entries December''25'!AB26))</f>
        <v>0</v>
      </c>
      <c r="S27" s="748">
        <f t="shared" si="4"/>
        <v>170</v>
      </c>
      <c r="T27" s="748">
        <f t="shared" si="1"/>
        <v>4</v>
      </c>
      <c r="U27" s="749" t="str">
        <f>IF('Entries December''25'!AC27-'Entries December''25'!AC26&lt;1,"0",'Entries December''25'!AC27-'Entries December''25'!AC26)</f>
        <v>0</v>
      </c>
      <c r="V27" s="749" t="str">
        <f>IF('Entries December''25'!AD27-'Entries December''25'!AD26&lt;1,"0",'Entries December''25'!AD27-'Entries December''25'!AD26)</f>
        <v>0</v>
      </c>
      <c r="W27" s="749" t="str">
        <f>IF('Entries December''25'!AE27-'Entries December''25'!AE26&lt;1,"0",'Entries December''25'!AE27-'Entries December''25'!AE26)</f>
        <v>0</v>
      </c>
      <c r="X27" s="750" t="str">
        <f>IF('Entries December''25'!AI27-'Entries December''25'!AI26&lt;1,"0",'Entries December''25'!AI27-'Entries December''25'!AI26)</f>
        <v>0</v>
      </c>
      <c r="Y27" s="750" t="str">
        <f>IF('Entries December''25'!AH27-'Entries December''25'!AH26&lt;1,"0",'Entries December''25'!AH27-'Entries December''25'!AH26)</f>
        <v>0</v>
      </c>
      <c r="Z27" s="333">
        <f t="shared" si="2"/>
        <v>17</v>
      </c>
      <c r="AA27" s="334" t="str">
        <v>0</v>
      </c>
      <c r="AB27" s="335" t="str">
        <f t="shared" si="3"/>
        <v>0</v>
      </c>
    </row>
    <row r="28" spans="1:32" x14ac:dyDescent="0.25">
      <c r="B28" s="747">
        <v>22</v>
      </c>
      <c r="C28" s="748" t="str">
        <f>IF('Entries December''25'!W28-'Entries December''25'!W27&lt;1,"0",'Entries December''25'!W28-'Entries December''25'!W27)</f>
        <v>0</v>
      </c>
      <c r="D28" s="749">
        <f>IF('Entries December''25'!O28-'Entries December''25'!O27&lt;1,"0",'Entries December''25'!O28-'Entries December''25'!O27)</f>
        <v>129</v>
      </c>
      <c r="E28" s="749">
        <f>IF('Entries December''25'!P28-'Entries December''25'!P27&lt;1,"0",'Entries December''25'!P28-'Entries December''25'!P27)</f>
        <v>221</v>
      </c>
      <c r="F28" s="749">
        <f>IF('Entries December''25'!V28-'Entries December''25'!V27&lt;1,"0",'Entries December''25'!V28-'Entries December''25'!V27)</f>
        <v>234</v>
      </c>
      <c r="G28" s="749">
        <f t="shared" si="0"/>
        <v>116</v>
      </c>
      <c r="H28" s="749">
        <f>IF('Entries December''25'!Q28-'Entries December''25'!Q27&lt;1,0,'Entries December''25'!Q28-'Entries December''25'!Q27)</f>
        <v>327</v>
      </c>
      <c r="I28" s="749">
        <f>IF('Entries December''25'!AG28-'Entries December''25'!AG27&lt;1,0,'Entries December''25'!AG28-'Entries December''25'!AG27)</f>
        <v>0</v>
      </c>
      <c r="J28" s="749" t="str">
        <f>IF('Entries December''25'!S28-'Entries December''25'!S27&lt;1,"0",'Entries December''25'!S28-'Entries December''25'!S27)</f>
        <v>0</v>
      </c>
      <c r="K28" s="749" t="str">
        <f>IF('Entries December''25'!R28-'Entries December''25'!R27&lt;1,"0",'Entries December''25'!R28-'Entries December''25'!R27)</f>
        <v>0</v>
      </c>
      <c r="L28" s="749" t="str">
        <f>IF('Entries December''25'!T28-'Entries December''25'!T27&lt;1,"0",'Entries December''25'!T28-'Entries December''25'!T27)</f>
        <v>0</v>
      </c>
      <c r="M28" s="749">
        <f>IF('Entries December''25'!U28-'Entries December''25'!U27&lt;1,"0",'Entries December''25'!U28-'Entries December''25'!U27)</f>
        <v>6</v>
      </c>
      <c r="N28" s="749" t="str">
        <f>IF('Entries December''25'!X28-'Entries December''25'!X27&lt;1,"0",'Entries December''25'!X28-'Entries December''25'!X27)</f>
        <v>0</v>
      </c>
      <c r="O28" s="749">
        <f>IF('Entries December''25'!Y28-'Entries December''25'!Y27&lt;1,"0",'Entries December''25'!Y28-'Entries December''25'!Y27)</f>
        <v>217</v>
      </c>
      <c r="P28" s="749">
        <f>IF('Entries December''25'!AC28-'Entries December''25'!AC27&lt;1,"0",'Entries December''25'!AC28-'Entries December''25'!AC27)</f>
        <v>29</v>
      </c>
      <c r="Q28" s="749">
        <f>IF('Entries December''25'!Z28-'Entries December''25'!Z27&lt;1,"0",'Entries December''25'!Z28-'Entries December''25'!Z27)</f>
        <v>29</v>
      </c>
      <c r="R28" s="749" t="str">
        <f>IF(('Entries December''25'!AA28-'Entries December''25'!AA27)+('Entries December''25'!AB28-'Entries December''25'!AB27)&lt;1,"0",('Entries December''25'!AA28-'Entries December''25'!AA27)+('Entries December''25'!AB28-'Entries December''25'!AB27))</f>
        <v>0</v>
      </c>
      <c r="S28" s="748">
        <f t="shared" si="4"/>
        <v>1160</v>
      </c>
      <c r="T28" s="748">
        <f t="shared" si="1"/>
        <v>223</v>
      </c>
      <c r="U28" s="749">
        <f>IF('Entries December''25'!AC28-'Entries December''25'!AC27&lt;1,"0",'Entries December''25'!AC28-'Entries December''25'!AC27)</f>
        <v>29</v>
      </c>
      <c r="V28" s="749" t="str">
        <f>IF('Entries December''25'!AD28-'Entries December''25'!AD27&lt;1,"0",'Entries December''25'!AD28-'Entries December''25'!AD27)</f>
        <v>0</v>
      </c>
      <c r="W28" s="749" t="str">
        <f>IF('Entries December''25'!AE28-'Entries December''25'!AE27&lt;1,"0",'Entries December''25'!AE28-'Entries December''25'!AE27)</f>
        <v>0</v>
      </c>
      <c r="X28" s="750" t="str">
        <f>IF('Entries December''25'!AI28-'Entries December''25'!AI27&lt;1,"0",'Entries December''25'!AI28-'Entries December''25'!AI27)</f>
        <v>0</v>
      </c>
      <c r="Y28" s="750" t="str">
        <f>IF('Entries December''25'!AH28-'Entries December''25'!AH27&lt;1,"0",'Entries December''25'!AH28-'Entries December''25'!AH27)</f>
        <v>0</v>
      </c>
      <c r="Z28" s="333">
        <f t="shared" si="2"/>
        <v>350</v>
      </c>
      <c r="AA28" s="334">
        <v>542.98199999999997</v>
      </c>
      <c r="AB28" s="335">
        <f t="shared" si="3"/>
        <v>6.4458858673031525</v>
      </c>
    </row>
    <row r="29" spans="1:32" x14ac:dyDescent="0.25">
      <c r="B29" s="747">
        <v>23</v>
      </c>
      <c r="C29" s="748" t="str">
        <f>IF('Entries December''25'!W29-'Entries December''25'!W28&lt;1,"0",'Entries December''25'!W29-'Entries December''25'!W28)</f>
        <v>0</v>
      </c>
      <c r="D29" s="749">
        <f>IF('Entries December''25'!O29-'Entries December''25'!O28&lt;1,"0",'Entries December''25'!O29-'Entries December''25'!O28)</f>
        <v>255</v>
      </c>
      <c r="E29" s="749">
        <f>IF('Entries December''25'!P29-'Entries December''25'!P28&lt;1,"0",'Entries December''25'!P29-'Entries December''25'!P28)</f>
        <v>117</v>
      </c>
      <c r="F29" s="749">
        <f>IF('Entries December''25'!V29-'Entries December''25'!V28&lt;1,"0",'Entries December''25'!V29-'Entries December''25'!V28)</f>
        <v>123</v>
      </c>
      <c r="G29" s="749">
        <f t="shared" si="0"/>
        <v>249</v>
      </c>
      <c r="H29" s="749">
        <f>IF('Entries December''25'!Q29-'Entries December''25'!Q28&lt;1,0,'Entries December''25'!Q29-'Entries December''25'!Q28)</f>
        <v>347</v>
      </c>
      <c r="I29" s="749">
        <f>IF('Entries December''25'!AG29-'Entries December''25'!AG28&lt;1,0,'Entries December''25'!AG29-'Entries December''25'!AG28)</f>
        <v>0</v>
      </c>
      <c r="J29" s="749">
        <f>IF('Entries December''25'!S29-'Entries December''25'!S28&lt;1,"0",'Entries December''25'!S29-'Entries December''25'!S28)</f>
        <v>31</v>
      </c>
      <c r="K29" s="749" t="str">
        <f>IF('Entries December''25'!R29-'Entries December''25'!R28&lt;1,"0",'Entries December''25'!R29-'Entries December''25'!R28)</f>
        <v>0</v>
      </c>
      <c r="L29" s="749" t="str">
        <f>IF('Entries December''25'!T29-'Entries December''25'!T28&lt;1,"0",'Entries December''25'!T29-'Entries December''25'!T28)</f>
        <v>0</v>
      </c>
      <c r="M29" s="749">
        <f>IF('Entries December''25'!U29-'Entries December''25'!U28&lt;1,"0",'Entries December''25'!U29-'Entries December''25'!U28)</f>
        <v>10</v>
      </c>
      <c r="N29" s="749">
        <f>IF('Entries December''25'!X29-'Entries December''25'!X28&lt;1,"0",'Entries December''25'!X29-'Entries December''25'!X28)</f>
        <v>61</v>
      </c>
      <c r="O29" s="749">
        <f>IF('Entries December''25'!Y29-'Entries December''25'!Y28&lt;1,"0",'Entries December''25'!Y29-'Entries December''25'!Y28)</f>
        <v>192</v>
      </c>
      <c r="P29" s="749">
        <f>IF('Entries December''25'!AC29-'Entries December''25'!AC28&lt;1,"0",'Entries December''25'!AC29-'Entries December''25'!AC28)</f>
        <v>31</v>
      </c>
      <c r="Q29" s="749">
        <f>IF('Entries December''25'!Z29-'Entries December''25'!Z28&lt;1,"0",'Entries December''25'!Z29-'Entries December''25'!Z28)</f>
        <v>29</v>
      </c>
      <c r="R29" s="749" t="str">
        <f>IF(('Entries December''25'!AA29-'Entries December''25'!AA28)+('Entries December''25'!AB29-'Entries December''25'!AB28)&lt;1,"0",('Entries December''25'!AA29-'Entries December''25'!AA28)+('Entries December''25'!AB29-'Entries December''25'!AB28))</f>
        <v>0</v>
      </c>
      <c r="S29" s="748">
        <f t="shared" si="4"/>
        <v>2490</v>
      </c>
      <c r="T29" s="748">
        <f t="shared" si="1"/>
        <v>263</v>
      </c>
      <c r="U29" s="749">
        <f>IF('Entries December''25'!AC29-'Entries December''25'!AC28&lt;1,"0",'Entries December''25'!AC29-'Entries December''25'!AC28)</f>
        <v>31</v>
      </c>
      <c r="V29" s="749" t="str">
        <f>IF('Entries December''25'!AD29-'Entries December''25'!AD28&lt;1,"0",'Entries December''25'!AD29-'Entries December''25'!AD28)</f>
        <v>0</v>
      </c>
      <c r="W29" s="749" t="str">
        <f>IF('Entries December''25'!AE29-'Entries December''25'!AE28&lt;1,"0",'Entries December''25'!AE29-'Entries December''25'!AE28)</f>
        <v>0</v>
      </c>
      <c r="X29" s="750" t="str">
        <f>IF('Entries December''25'!AI29-'Entries December''25'!AI28&lt;1,"0",'Entries December''25'!AI29-'Entries December''25'!AI28)</f>
        <v>0</v>
      </c>
      <c r="Y29" s="750" t="str">
        <f>IF('Entries December''25'!AH29-'Entries December''25'!AH28&lt;1,"0",'Entries December''25'!AH29-'Entries December''25'!AH28)</f>
        <v>0</v>
      </c>
      <c r="Z29" s="333">
        <f t="shared" si="2"/>
        <v>372</v>
      </c>
      <c r="AA29" s="334">
        <v>451.63800000000003</v>
      </c>
      <c r="AB29" s="335">
        <f t="shared" si="3"/>
        <v>8.2366851327833341</v>
      </c>
    </row>
    <row r="30" spans="1:32" x14ac:dyDescent="0.25">
      <c r="B30" s="747">
        <v>24</v>
      </c>
      <c r="C30" s="748" t="str">
        <f>IF('Entries December''25'!W30-'Entries December''25'!W29&lt;1,"0",'Entries December''25'!W30-'Entries December''25'!W29)</f>
        <v>0</v>
      </c>
      <c r="D30" s="749">
        <f>IF('Entries December''25'!O30-'Entries December''25'!O29&lt;1,"0",'Entries December''25'!O30-'Entries December''25'!O29)</f>
        <v>233</v>
      </c>
      <c r="E30" s="749">
        <f>IF('Entries December''25'!P30-'Entries December''25'!P29&lt;1,"0",'Entries December''25'!P30-'Entries December''25'!P29)</f>
        <v>85</v>
      </c>
      <c r="F30" s="749">
        <f>IF('Entries December''25'!V30-'Entries December''25'!V29&lt;1,"0",'Entries December''25'!V30-'Entries December''25'!V29)</f>
        <v>89</v>
      </c>
      <c r="G30" s="749">
        <f t="shared" si="0"/>
        <v>229</v>
      </c>
      <c r="H30" s="749">
        <f>IF('Entries December''25'!Q30-'Entries December''25'!Q29&lt;1,0,'Entries December''25'!Q30-'Entries December''25'!Q29)</f>
        <v>216</v>
      </c>
      <c r="I30" s="749">
        <f>IF('Entries December''25'!AG30-'Entries December''25'!AG29&lt;1,0,'Entries December''25'!AG30-'Entries December''25'!AG29)</f>
        <v>0</v>
      </c>
      <c r="J30" s="749" t="str">
        <f>IF('Entries December''25'!S30-'Entries December''25'!S29&lt;1,"0",'Entries December''25'!S30-'Entries December''25'!S29)</f>
        <v>0</v>
      </c>
      <c r="K30" s="749" t="str">
        <f>IF('Entries December''25'!R30-'Entries December''25'!R29&lt;1,"0",'Entries December''25'!R30-'Entries December''25'!R29)</f>
        <v>0</v>
      </c>
      <c r="L30" s="749" t="str">
        <f>IF('Entries December''25'!T30-'Entries December''25'!T29&lt;1,"0",'Entries December''25'!T30-'Entries December''25'!T29)</f>
        <v>0</v>
      </c>
      <c r="M30" s="749">
        <f>IF('Entries December''25'!U30-'Entries December''25'!U29&lt;1,"0",'Entries December''25'!U30-'Entries December''25'!U29)</f>
        <v>4</v>
      </c>
      <c r="N30" s="749">
        <f>IF('Entries December''25'!X30-'Entries December''25'!X29&lt;1,"0",'Entries December''25'!X30-'Entries December''25'!X29)</f>
        <v>43</v>
      </c>
      <c r="O30" s="749">
        <f>IF('Entries December''25'!Y30-'Entries December''25'!Y29&lt;1,"0",'Entries December''25'!Y30-'Entries December''25'!Y29)</f>
        <v>96</v>
      </c>
      <c r="P30" s="749">
        <f>IF('Entries December''25'!AC30-'Entries December''25'!AC29&lt;1,"0",'Entries December''25'!AC30-'Entries December''25'!AC29)</f>
        <v>19</v>
      </c>
      <c r="Q30" s="749">
        <f>IF('Entries December''25'!Z30-'Entries December''25'!Z29&lt;1,"0",'Entries December''25'!Z30-'Entries December''25'!Z29)</f>
        <v>21</v>
      </c>
      <c r="R30" s="749" t="str">
        <f>IF(('Entries December''25'!AA30-'Entries December''25'!AA29)+('Entries December''25'!AB30-'Entries December''25'!AB29)&lt;1,"0",('Entries December''25'!AA30-'Entries December''25'!AA29)+('Entries December''25'!AB30-'Entries December''25'!AB29))</f>
        <v>0</v>
      </c>
      <c r="S30" s="748">
        <f t="shared" si="4"/>
        <v>2290</v>
      </c>
      <c r="T30" s="748">
        <f t="shared" si="1"/>
        <v>143</v>
      </c>
      <c r="U30" s="749">
        <f>IF('Entries December''25'!AC30-'Entries December''25'!AC29&lt;1,"0",'Entries December''25'!AC30-'Entries December''25'!AC29)</f>
        <v>19</v>
      </c>
      <c r="V30" s="749" t="str">
        <f>IF('Entries December''25'!AD30-'Entries December''25'!AD29&lt;1,"0",'Entries December''25'!AD30-'Entries December''25'!AD29)</f>
        <v>0</v>
      </c>
      <c r="W30" s="749" t="str">
        <f>IF('Entries December''25'!AE30-'Entries December''25'!AE29&lt;1,"0",'Entries December''25'!AE30-'Entries December''25'!AE29)</f>
        <v>0</v>
      </c>
      <c r="X30" s="750" t="str">
        <f>IF('Entries December''25'!AI30-'Entries December''25'!AI29&lt;1,"0",'Entries December''25'!AI30-'Entries December''25'!AI29)</f>
        <v>0</v>
      </c>
      <c r="Y30" s="750" t="str">
        <f>IF('Entries December''25'!AH30-'Entries December''25'!AH29&lt;1,"0",'Entries December''25'!AH30-'Entries December''25'!AH29)</f>
        <v>0</v>
      </c>
      <c r="Z30" s="333">
        <f t="shared" si="2"/>
        <v>318</v>
      </c>
      <c r="AA30" s="334">
        <v>292.38</v>
      </c>
      <c r="AB30" s="335">
        <f t="shared" si="3"/>
        <v>10.876256925918325</v>
      </c>
    </row>
    <row r="31" spans="1:32" x14ac:dyDescent="0.25">
      <c r="B31" s="747">
        <v>25</v>
      </c>
      <c r="C31" s="748" t="str">
        <f>IF('Entries December''25'!W31-'Entries December''25'!W30&lt;1,"0",'Entries December''25'!W31-'Entries December''25'!W30)</f>
        <v>0</v>
      </c>
      <c r="D31" s="749" t="str">
        <f>IF('Entries December''25'!O31-'Entries December''25'!O30&lt;1,"0",'Entries December''25'!O31-'Entries December''25'!O30)</f>
        <v>0</v>
      </c>
      <c r="E31" s="749" t="str">
        <f>IF('Entries December''25'!P31-'Entries December''25'!P30&lt;1,"0",'Entries December''25'!P31-'Entries December''25'!P30)</f>
        <v>0</v>
      </c>
      <c r="F31" s="749" t="str">
        <f>IF('Entries December''25'!V31-'Entries December''25'!V30&lt;1,"0",'Entries December''25'!V31-'Entries December''25'!V30)</f>
        <v>0</v>
      </c>
      <c r="G31" s="749">
        <f t="shared" si="0"/>
        <v>0</v>
      </c>
      <c r="H31" s="749">
        <f>IF('Entries December''25'!Q31-'Entries December''25'!Q30&lt;1,0,'Entries December''25'!Q31-'Entries December''25'!Q30)</f>
        <v>15</v>
      </c>
      <c r="I31" s="749">
        <f>IF('Entries December''25'!AG31-'Entries December''25'!AG30&lt;1,0,'Entries December''25'!AG31-'Entries December''25'!AG30)</f>
        <v>0</v>
      </c>
      <c r="J31" s="749">
        <f>IF('Entries December''25'!S31-'Entries December''25'!S30&lt;1,"0",'Entries December''25'!S31-'Entries December''25'!S30)</f>
        <v>81</v>
      </c>
      <c r="K31" s="749" t="str">
        <f>IF('Entries December''25'!R31-'Entries December''25'!R30&lt;1,"0",'Entries December''25'!R31-'Entries December''25'!R30)</f>
        <v>0</v>
      </c>
      <c r="L31" s="749" t="str">
        <f>IF('Entries December''25'!T31-'Entries December''25'!T30&lt;1,"0",'Entries December''25'!T31-'Entries December''25'!T30)</f>
        <v>0</v>
      </c>
      <c r="M31" s="749" t="str">
        <f>IF('Entries December''25'!U31-'Entries December''25'!U30&lt;1,"0",'Entries December''25'!U31-'Entries December''25'!U30)</f>
        <v>0</v>
      </c>
      <c r="N31" s="749" t="str">
        <f>IF('Entries December''25'!X31-'Entries December''25'!X30&lt;1,"0",'Entries December''25'!X31-'Entries December''25'!X30)</f>
        <v>0</v>
      </c>
      <c r="O31" s="749" t="str">
        <f>IF('Entries December''25'!Y31-'Entries December''25'!Y30&lt;1,"0",'Entries December''25'!Y31-'Entries December''25'!Y30)</f>
        <v>0</v>
      </c>
      <c r="P31" s="749" t="str">
        <f>IF('Entries December''25'!AC31-'Entries December''25'!AC30&lt;1,"0",'Entries December''25'!AC31-'Entries December''25'!AC30)</f>
        <v>0</v>
      </c>
      <c r="Q31" s="749">
        <f>IF('Entries December''25'!Z31-'Entries December''25'!Z30&lt;1,"0",'Entries December''25'!Z31-'Entries December''25'!Z30)</f>
        <v>1</v>
      </c>
      <c r="R31" s="749" t="str">
        <f>IF(('Entries December''25'!AA31-'Entries December''25'!AA30)+('Entries December''25'!AB31-'Entries December''25'!AB30)&lt;1,"0",('Entries December''25'!AA31-'Entries December''25'!AA30)+('Entries December''25'!AB31-'Entries December''25'!AB30))</f>
        <v>0</v>
      </c>
      <c r="S31" s="748">
        <f t="shared" si="4"/>
        <v>0</v>
      </c>
      <c r="T31" s="748">
        <f t="shared" si="1"/>
        <v>0</v>
      </c>
      <c r="U31" s="749" t="str">
        <f>IF('Entries December''25'!AC31-'Entries December''25'!AC30&lt;1,"0",'Entries December''25'!AC31-'Entries December''25'!AC30)</f>
        <v>0</v>
      </c>
      <c r="V31" s="749" t="str">
        <f>IF('Entries December''25'!AD31-'Entries December''25'!AD30&lt;1,"0",'Entries December''25'!AD31-'Entries December''25'!AD30)</f>
        <v>0</v>
      </c>
      <c r="W31" s="749" t="str">
        <f>IF('Entries December''25'!AE31-'Entries December''25'!AE30&lt;1,"0",'Entries December''25'!AE31-'Entries December''25'!AE30)</f>
        <v>0</v>
      </c>
      <c r="X31" s="750" t="str">
        <f>IF('Entries December''25'!AI31-'Entries December''25'!AI30&lt;1,"0",'Entries December''25'!AI31-'Entries December''25'!AI30)</f>
        <v>0</v>
      </c>
      <c r="Y31" s="750" t="str">
        <f>IF('Entries December''25'!AH31-'Entries December''25'!AH30&lt;1,"0",'Entries December''25'!AH31-'Entries December''25'!AH30)</f>
        <v>0</v>
      </c>
      <c r="Z31" s="333">
        <f t="shared" si="2"/>
        <v>0</v>
      </c>
      <c r="AA31" s="334" t="str">
        <v>0</v>
      </c>
      <c r="AB31" s="335" t="str">
        <f t="shared" si="3"/>
        <v>0</v>
      </c>
      <c r="AF31" s="8" t="s">
        <v>58</v>
      </c>
    </row>
    <row r="32" spans="1:32" x14ac:dyDescent="0.25">
      <c r="B32" s="747">
        <v>26</v>
      </c>
      <c r="C32" s="748" t="str">
        <f>IF('Entries December''25'!W32-'Entries December''25'!W31&lt;1,"0",'Entries December''25'!W32-'Entries December''25'!W31)</f>
        <v>0</v>
      </c>
      <c r="D32" s="749">
        <f>IF('Entries December''25'!O32-'Entries December''25'!O31&lt;1,"0",'Entries December''25'!O32-'Entries December''25'!O31)</f>
        <v>28</v>
      </c>
      <c r="E32" s="749">
        <f>IF('Entries December''25'!P32-'Entries December''25'!P31&lt;1,"0",'Entries December''25'!P32-'Entries December''25'!P31)</f>
        <v>76</v>
      </c>
      <c r="F32" s="749">
        <f>IF('Entries December''25'!V32-'Entries December''25'!V31&lt;1,"0",'Entries December''25'!V32-'Entries December''25'!V31)</f>
        <v>79</v>
      </c>
      <c r="G32" s="749">
        <f t="shared" si="0"/>
        <v>25</v>
      </c>
      <c r="H32" s="749">
        <f>IF('Entries December''25'!Q32-'Entries December''25'!Q31&lt;1,0,'Entries December''25'!Q32-'Entries December''25'!Q31)</f>
        <v>8</v>
      </c>
      <c r="I32" s="749">
        <f>IF('Entries December''25'!AG32-'Entries December''25'!AG31&lt;1,0,'Entries December''25'!AG32-'Entries December''25'!AG31)</f>
        <v>0</v>
      </c>
      <c r="J32" s="749" t="str">
        <f>IF('Entries December''25'!S32-'Entries December''25'!S31&lt;1,"0",'Entries December''25'!S32-'Entries December''25'!S31)</f>
        <v>0</v>
      </c>
      <c r="K32" s="749" t="str">
        <f>IF('Entries December''25'!R32-'Entries December''25'!R31&lt;1,"0",'Entries December''25'!R32-'Entries December''25'!R31)</f>
        <v>0</v>
      </c>
      <c r="L32" s="749" t="str">
        <f>IF('Entries December''25'!T32-'Entries December''25'!T31&lt;1,"0",'Entries December''25'!T32-'Entries December''25'!T31)</f>
        <v>0</v>
      </c>
      <c r="M32" s="749" t="str">
        <f>IF('Entries December''25'!U32-'Entries December''25'!U31&lt;1,"0",'Entries December''25'!U32-'Entries December''25'!U31)</f>
        <v>0</v>
      </c>
      <c r="N32" s="749" t="str">
        <f>IF('Entries December''25'!X32-'Entries December''25'!X31&lt;1,"0",'Entries December''25'!X32-'Entries December''25'!X31)</f>
        <v>0</v>
      </c>
      <c r="O32" s="749" t="str">
        <f>IF('Entries December''25'!Y32-'Entries December''25'!Y31&lt;1,"0",'Entries December''25'!Y32-'Entries December''25'!Y31)</f>
        <v>0</v>
      </c>
      <c r="P32" s="749" t="str">
        <f>IF('Entries December''25'!AC32-'Entries December''25'!AC31&lt;1,"0",'Entries December''25'!AC32-'Entries December''25'!AC31)</f>
        <v>0</v>
      </c>
      <c r="Q32" s="749" t="str">
        <f>IF('Entries December''25'!Z32-'Entries December''25'!Z31&lt;1,"0",'Entries December''25'!Z32-'Entries December''25'!Z31)</f>
        <v>0</v>
      </c>
      <c r="R32" s="749" t="str">
        <f>IF(('Entries December''25'!AA32-'Entries December''25'!AA31)+('Entries December''25'!AB32-'Entries December''25'!AB31)&lt;1,"0",('Entries December''25'!AA32-'Entries December''25'!AA31)+('Entries December''25'!AB32-'Entries December''25'!AB31))</f>
        <v>0</v>
      </c>
      <c r="S32" s="748">
        <f t="shared" si="4"/>
        <v>250</v>
      </c>
      <c r="T32" s="748">
        <f t="shared" si="1"/>
        <v>0</v>
      </c>
      <c r="U32" s="749" t="str">
        <f>IF('Entries December''25'!AC32-'Entries December''25'!AC31&lt;1,"0",'Entries December''25'!AC32-'Entries December''25'!AC31)</f>
        <v>0</v>
      </c>
      <c r="V32" s="749" t="str">
        <f>IF('Entries December''25'!AD32-'Entries December''25'!AD31&lt;1,"0",'Entries December''25'!AD32-'Entries December''25'!AD31)</f>
        <v>0</v>
      </c>
      <c r="W32" s="749" t="str">
        <f>IF('Entries December''25'!AE32-'Entries December''25'!AE31&lt;1,"0",'Entries December''25'!AE32-'Entries December''25'!AE31)</f>
        <v>0</v>
      </c>
      <c r="X32" s="750" t="str">
        <f>IF('Entries December''25'!AI32-'Entries December''25'!AI31&lt;1,"0",'Entries December''25'!AI32-'Entries December''25'!AI31)</f>
        <v>0</v>
      </c>
      <c r="Y32" s="750" t="str">
        <f>IF('Entries December''25'!AH32-'Entries December''25'!AH31&lt;1,"0",'Entries December''25'!AH32-'Entries December''25'!AH31)</f>
        <v>0</v>
      </c>
      <c r="Z32" s="333">
        <f t="shared" si="2"/>
        <v>104</v>
      </c>
      <c r="AA32" s="334" t="str">
        <v>0</v>
      </c>
      <c r="AB32" s="335" t="str">
        <f t="shared" si="3"/>
        <v>0</v>
      </c>
    </row>
    <row r="33" spans="1:36" x14ac:dyDescent="0.25">
      <c r="A33" s="29"/>
      <c r="B33" s="747">
        <v>27</v>
      </c>
      <c r="C33" s="748" t="str">
        <f>IF('Entries December''25'!W33-'Entries December''25'!W32&lt;1,"0",'Entries December''25'!W33-'Entries December''25'!W32)</f>
        <v>0</v>
      </c>
      <c r="D33" s="749" t="str">
        <f>IF('Entries December''25'!O33-'Entries December''25'!O32&lt;1,"0",'Entries December''25'!O33-'Entries December''25'!O32)</f>
        <v>0</v>
      </c>
      <c r="E33" s="749" t="str">
        <f>IF('Entries December''25'!P33-'Entries December''25'!P32&lt;1,"0",'Entries December''25'!P33-'Entries December''25'!P32)</f>
        <v>0</v>
      </c>
      <c r="F33" s="749" t="str">
        <f>IF('Entries December''25'!V33-'Entries December''25'!V32&lt;1,"0",'Entries December''25'!V33-'Entries December''25'!V32)</f>
        <v>0</v>
      </c>
      <c r="G33" s="749">
        <f t="shared" si="0"/>
        <v>0</v>
      </c>
      <c r="H33" s="749">
        <f>IF('Entries December''25'!Q33-'Entries December''25'!Q32&lt;1,0,'Entries December''25'!Q33-'Entries December''25'!Q32)</f>
        <v>13</v>
      </c>
      <c r="I33" s="749">
        <f>IF('Entries December''25'!AG33-'Entries December''25'!AG32&lt;1,0,'Entries December''25'!AG33-'Entries December''25'!AG32)</f>
        <v>0</v>
      </c>
      <c r="J33" s="749" t="str">
        <f>IF('Entries December''25'!S33-'Entries December''25'!S32&lt;1,"0",'Entries December''25'!S33-'Entries December''25'!S32)</f>
        <v>0</v>
      </c>
      <c r="K33" s="749" t="str">
        <f>IF('Entries December''25'!R33-'Entries December''25'!R32&lt;1,"0",'Entries December''25'!R33-'Entries December''25'!R32)</f>
        <v>0</v>
      </c>
      <c r="L33" s="749" t="str">
        <f>IF('Entries December''25'!T33-'Entries December''25'!T32&lt;1,"0",'Entries December''25'!T33-'Entries December''25'!T32)</f>
        <v>0</v>
      </c>
      <c r="M33" s="749" t="str">
        <f>IF('Entries December''25'!U33-'Entries December''25'!U32&lt;1,"0",'Entries December''25'!U33-'Entries December''25'!U32)</f>
        <v>0</v>
      </c>
      <c r="N33" s="749" t="str">
        <f>IF('Entries December''25'!X33-'Entries December''25'!X32&lt;1,"0",'Entries December''25'!X33-'Entries December''25'!X32)</f>
        <v>0</v>
      </c>
      <c r="O33" s="749" t="str">
        <f>IF('Entries December''25'!Y33-'Entries December''25'!Y32&lt;1,"0",'Entries December''25'!Y33-'Entries December''25'!Y32)</f>
        <v>0</v>
      </c>
      <c r="P33" s="749" t="str">
        <f>IF('Entries December''25'!AC33-'Entries December''25'!AC32&lt;1,"0",'Entries December''25'!AC33-'Entries December''25'!AC32)</f>
        <v>0</v>
      </c>
      <c r="Q33" s="749" t="str">
        <f>IF('Entries December''25'!Z33-'Entries December''25'!Z32&lt;1,"0",'Entries December''25'!Z33-'Entries December''25'!Z32)</f>
        <v>0</v>
      </c>
      <c r="R33" s="749" t="str">
        <f>IF(('Entries December''25'!AA33-'Entries December''25'!AA32)+('Entries December''25'!AB33-'Entries December''25'!AB32)&lt;1,"0",('Entries December''25'!AA33-'Entries December''25'!AA32)+('Entries December''25'!AB33-'Entries December''25'!AB32))</f>
        <v>0</v>
      </c>
      <c r="S33" s="748">
        <f t="shared" si="4"/>
        <v>0</v>
      </c>
      <c r="T33" s="748">
        <f t="shared" si="1"/>
        <v>0</v>
      </c>
      <c r="U33" s="749" t="str">
        <f>IF('Entries December''25'!AC33-'Entries December''25'!AC32&lt;1,"0",'Entries December''25'!AC33-'Entries December''25'!AC32)</f>
        <v>0</v>
      </c>
      <c r="V33" s="749" t="str">
        <f>IF('Entries December''25'!AD33-'Entries December''25'!AD32&lt;1,"0",'Entries December''25'!AD33-'Entries December''25'!AD32)</f>
        <v>0</v>
      </c>
      <c r="W33" s="749" t="str">
        <f>IF('Entries December''25'!AE33-'Entries December''25'!AE32&lt;1,"0",'Entries December''25'!AE33-'Entries December''25'!AE32)</f>
        <v>0</v>
      </c>
      <c r="X33" s="750" t="str">
        <f>IF('Entries December''25'!AI33-'Entries December''25'!AI32&lt;1,"0",'Entries December''25'!AI33-'Entries December''25'!AI32)</f>
        <v>0</v>
      </c>
      <c r="Y33" s="750" t="str">
        <f>IF('Entries December''25'!AH33-'Entries December''25'!AH32&lt;1,"0",'Entries December''25'!AH33-'Entries December''25'!AH32)</f>
        <v>0</v>
      </c>
      <c r="Z33" s="333">
        <f t="shared" si="2"/>
        <v>0</v>
      </c>
      <c r="AA33" s="334" t="str">
        <v>0</v>
      </c>
      <c r="AB33" s="335" t="str">
        <f t="shared" si="3"/>
        <v>0</v>
      </c>
    </row>
    <row r="34" spans="1:36" x14ac:dyDescent="0.25">
      <c r="A34" s="29"/>
      <c r="B34" s="747">
        <v>28</v>
      </c>
      <c r="C34" s="748" t="str">
        <f>IF('Entries December''25'!W34-'Entries December''25'!W33&lt;1,"0",'Entries December''25'!W34-'Entries December''25'!W33)</f>
        <v>0</v>
      </c>
      <c r="D34" s="749" t="str">
        <f>IF('Entries December''25'!O34-'Entries December''25'!O33&lt;1,"0",'Entries December''25'!O34-'Entries December''25'!O33)</f>
        <v>0</v>
      </c>
      <c r="E34" s="749" t="str">
        <f>IF('Entries December''25'!P34-'Entries December''25'!P33&lt;1,"0",'Entries December''25'!P34-'Entries December''25'!P33)</f>
        <v>0</v>
      </c>
      <c r="F34" s="749" t="str">
        <f>IF('Entries December''25'!V34-'Entries December''25'!V33&lt;1,"0",'Entries December''25'!V34-'Entries December''25'!V33)</f>
        <v>0</v>
      </c>
      <c r="G34" s="749">
        <f t="shared" si="0"/>
        <v>0</v>
      </c>
      <c r="H34" s="749">
        <f>IF('Entries December''25'!Q34-'Entries December''25'!Q33&lt;1,0,'Entries December''25'!Q34-'Entries December''25'!Q33)</f>
        <v>28</v>
      </c>
      <c r="I34" s="749">
        <f>IF('Entries December''25'!AG34-'Entries December''25'!AG33&lt;1,0,'Entries December''25'!AG34-'Entries December''25'!AG33)</f>
        <v>0</v>
      </c>
      <c r="J34" s="749" t="str">
        <f>IF('Entries December''25'!S34-'Entries December''25'!S33&lt;1,"0",'Entries December''25'!S34-'Entries December''25'!S33)</f>
        <v>0</v>
      </c>
      <c r="K34" s="749" t="str">
        <f>IF('Entries December''25'!R34-'Entries December''25'!R33&lt;1,"0",'Entries December''25'!R34-'Entries December''25'!R33)</f>
        <v>0</v>
      </c>
      <c r="L34" s="749" t="str">
        <f>IF('Entries December''25'!T34-'Entries December''25'!T33&lt;1,"0",'Entries December''25'!T34-'Entries December''25'!T33)</f>
        <v>0</v>
      </c>
      <c r="M34" s="749" t="str">
        <f>IF('Entries December''25'!U34-'Entries December''25'!U33&lt;1,"0",'Entries December''25'!U34-'Entries December''25'!U33)</f>
        <v>0</v>
      </c>
      <c r="N34" s="749" t="str">
        <f>IF('Entries December''25'!X34-'Entries December''25'!X33&lt;1,"0",'Entries December''25'!X34-'Entries December''25'!X33)</f>
        <v>0</v>
      </c>
      <c r="O34" s="749" t="str">
        <f>IF('Entries December''25'!Y34-'Entries December''25'!Y33&lt;1,"0",'Entries December''25'!Y34-'Entries December''25'!Y33)</f>
        <v>0</v>
      </c>
      <c r="P34" s="749" t="str">
        <f>IF('Entries December''25'!AC34-'Entries December''25'!AC33&lt;1,"0",'Entries December''25'!AC34-'Entries December''25'!AC33)</f>
        <v>0</v>
      </c>
      <c r="Q34" s="749">
        <f>IF('Entries December''25'!Z34-'Entries December''25'!Z33&lt;1,"0",'Entries December''25'!Z34-'Entries December''25'!Z33)</f>
        <v>10</v>
      </c>
      <c r="R34" s="749" t="str">
        <f>IF(('Entries December''25'!AA34-'Entries December''25'!AA33)+('Entries December''25'!AB34-'Entries December''25'!AB33)&lt;1,"0",('Entries December''25'!AA34-'Entries December''25'!AA33)+('Entries December''25'!AB34-'Entries December''25'!AB33))</f>
        <v>0</v>
      </c>
      <c r="S34" s="748">
        <f t="shared" si="4"/>
        <v>0</v>
      </c>
      <c r="T34" s="748">
        <f t="shared" si="1"/>
        <v>0</v>
      </c>
      <c r="U34" s="749" t="str">
        <f>IF('Entries December''25'!AC34-'Entries December''25'!AC33&lt;1,"0",'Entries December''25'!AC34-'Entries December''25'!AC33)</f>
        <v>0</v>
      </c>
      <c r="V34" s="749" t="str">
        <f>IF('Entries December''25'!AD34-'Entries December''25'!AD33&lt;1,"0",'Entries December''25'!AD34-'Entries December''25'!AD33)</f>
        <v>0</v>
      </c>
      <c r="W34" s="749" t="str">
        <f>IF('Entries December''25'!AE34-'Entries December''25'!AE33&lt;1,"0",'Entries December''25'!AE34-'Entries December''25'!AE33)</f>
        <v>0</v>
      </c>
      <c r="X34" s="750" t="str">
        <f>IF('Entries December''25'!AI34-'Entries December''25'!AI33&lt;1,"0",'Entries December''25'!AI34-'Entries December''25'!AI33)</f>
        <v>0</v>
      </c>
      <c r="Y34" s="750" t="str">
        <f>IF('Entries December''25'!AH34-'Entries December''25'!AH33&lt;1,"0",'Entries December''25'!AH34-'Entries December''25'!AH33)</f>
        <v>0</v>
      </c>
      <c r="Z34" s="333">
        <f t="shared" si="2"/>
        <v>0</v>
      </c>
      <c r="AA34" s="334">
        <v>15.4275</v>
      </c>
      <c r="AB34" s="335">
        <f t="shared" si="3"/>
        <v>0</v>
      </c>
    </row>
    <row r="35" spans="1:36" x14ac:dyDescent="0.25">
      <c r="B35" s="747">
        <v>29</v>
      </c>
      <c r="C35" s="748" t="str">
        <f>IF('Entries December''25'!W35-'Entries December''25'!W34&lt;1,"0",'Entries December''25'!W35-'Entries December''25'!W34)</f>
        <v>0</v>
      </c>
      <c r="D35" s="749">
        <f>IF('Entries December''25'!O35-'Entries December''25'!O34&lt;1,"0",'Entries December''25'!O35-'Entries December''25'!O34)</f>
        <v>236</v>
      </c>
      <c r="E35" s="749">
        <f>IF('Entries December''25'!P35-'Entries December''25'!P34&lt;1,"0",'Entries December''25'!P35-'Entries December''25'!P34)</f>
        <v>191</v>
      </c>
      <c r="F35" s="749">
        <f>IF('Entries December''25'!V35-'Entries December''25'!V34&lt;1,"0",'Entries December''25'!V35-'Entries December''25'!V34)</f>
        <v>148</v>
      </c>
      <c r="G35" s="749">
        <f t="shared" si="0"/>
        <v>279</v>
      </c>
      <c r="H35" s="749">
        <f>IF('Entries December''25'!Q35-'Entries December''25'!Q34&lt;1,0,'Entries December''25'!Q35-'Entries December''25'!Q34)</f>
        <v>333</v>
      </c>
      <c r="I35" s="749">
        <f>IF('Entries December''25'!AG35-'Entries December''25'!AG34&lt;1,0,'Entries December''25'!AG35-'Entries December''25'!AG34)</f>
        <v>0</v>
      </c>
      <c r="J35" s="749">
        <f>IF('Entries December''25'!S35-'Entries December''25'!S34&lt;1,"0",'Entries December''25'!S35-'Entries December''25'!S34)</f>
        <v>121</v>
      </c>
      <c r="K35" s="749" t="str">
        <f>IF('Entries December''25'!R35-'Entries December''25'!R34&lt;1,"0",'Entries December''25'!R35-'Entries December''25'!R34)</f>
        <v>0</v>
      </c>
      <c r="L35" s="749" t="str">
        <f>IF('Entries December''25'!T35-'Entries December''25'!T34&lt;1,"0",'Entries December''25'!T35-'Entries December''25'!T34)</f>
        <v>0</v>
      </c>
      <c r="M35" s="749">
        <f>IF('Entries December''25'!U35-'Entries December''25'!U34&lt;1,"0",'Entries December''25'!U35-'Entries December''25'!U34)</f>
        <v>12</v>
      </c>
      <c r="N35" s="749">
        <f>IF('Entries December''25'!X35-'Entries December''25'!X34&lt;1,"0",'Entries December''25'!X35-'Entries December''25'!X34)</f>
        <v>61</v>
      </c>
      <c r="O35" s="749">
        <f>IF('Entries December''25'!Y35-'Entries December''25'!Y34&lt;1,"0",'Entries December''25'!Y35-'Entries December''25'!Y34)</f>
        <v>162</v>
      </c>
      <c r="P35" s="749">
        <f>IF('Entries December''25'!AC35-'Entries December''25'!AC34&lt;1,"0",'Entries December''25'!AC35-'Entries December''25'!AC34)</f>
        <v>26</v>
      </c>
      <c r="Q35" s="749">
        <f>IF('Entries December''25'!Z35-'Entries December''25'!Z34&lt;1,"0",'Entries December''25'!Z35-'Entries December''25'!Z34)</f>
        <v>28</v>
      </c>
      <c r="R35" s="749" t="str">
        <f>IF(('Entries December''25'!AA35-'Entries December''25'!AA34)+('Entries December''25'!AB35-'Entries December''25'!AB34)&lt;1,"0",('Entries December''25'!AA35-'Entries December''25'!AA34)+('Entries December''25'!AB35-'Entries December''25'!AB34))</f>
        <v>0</v>
      </c>
      <c r="S35" s="748">
        <f t="shared" si="4"/>
        <v>2790</v>
      </c>
      <c r="T35" s="748">
        <f t="shared" si="1"/>
        <v>235</v>
      </c>
      <c r="U35" s="749">
        <f>IF('Entries December''25'!AC35-'Entries December''25'!AC34&lt;1,"0",'Entries December''25'!AC35-'Entries December''25'!AC34)</f>
        <v>26</v>
      </c>
      <c r="V35" s="749" t="str">
        <f>IF('Entries December''25'!AD35-'Entries December''25'!AD34&lt;1,"0",'Entries December''25'!AD35-'Entries December''25'!AD34)</f>
        <v>0</v>
      </c>
      <c r="W35" s="749" t="str">
        <f>IF('Entries December''25'!AE35-'Entries December''25'!AE34&lt;1,"0",'Entries December''25'!AE35-'Entries December''25'!AE34)</f>
        <v>0</v>
      </c>
      <c r="X35" s="750" t="str">
        <f>IF('Entries December''25'!AI35-'Entries December''25'!AI34&lt;1,"0",'Entries December''25'!AI35-'Entries December''25'!AI34)</f>
        <v>0</v>
      </c>
      <c r="Y35" s="750" t="str">
        <f>IF('Entries December''25'!AH35-'Entries December''25'!AH34&lt;1,"0",'Entries December''25'!AH35-'Entries December''25'!AH34)</f>
        <v>0</v>
      </c>
      <c r="Z35" s="333">
        <f>C35+D35+E35</f>
        <v>427</v>
      </c>
      <c r="AA35" s="334">
        <v>373.23</v>
      </c>
      <c r="AB35" s="335">
        <f t="shared" si="3"/>
        <v>11.440666613080406</v>
      </c>
    </row>
    <row r="36" spans="1:36" x14ac:dyDescent="0.25">
      <c r="B36" s="747">
        <v>30</v>
      </c>
      <c r="C36" s="748" t="str">
        <f>IF('Entries December''25'!W36-'Entries December''25'!W35&lt;1,"0",'Entries December''25'!W36-'Entries December''25'!W35)</f>
        <v>0</v>
      </c>
      <c r="D36" s="749">
        <f>IF('Entries December''25'!O36-'Entries December''25'!O35&lt;1,"0",'Entries December''25'!O36-'Entries December''25'!O35)</f>
        <v>182</v>
      </c>
      <c r="E36" s="749">
        <f>IF('Entries December''25'!P36-'Entries December''25'!P35&lt;1,"0",'Entries December''25'!P36-'Entries December''25'!P35)</f>
        <v>169</v>
      </c>
      <c r="F36" s="749">
        <f>IF('Entries December''25'!V36-'Entries December''25'!V35&lt;1,"0",'Entries December''25'!V36-'Entries December''25'!V35)</f>
        <v>231</v>
      </c>
      <c r="G36" s="749">
        <f t="shared" si="0"/>
        <v>120</v>
      </c>
      <c r="H36" s="749">
        <f>IF('Entries December''25'!Q36-'Entries December''25'!Q35&lt;1,0,'Entries December''25'!Q36-'Entries December''25'!Q35)</f>
        <v>296</v>
      </c>
      <c r="I36" s="749">
        <f>IF('Entries December''25'!AG36-'Entries December''25'!AG35&lt;1,0,'Entries December''25'!AG36-'Entries December''25'!AG35)</f>
        <v>0</v>
      </c>
      <c r="J36" s="749">
        <f>IF('Entries December''25'!S36-'Entries December''25'!S35&lt;1,"0",'Entries December''25'!S36-'Entries December''25'!S35)</f>
        <v>185</v>
      </c>
      <c r="K36" s="749" t="str">
        <f>IF('Entries December''25'!R36-'Entries December''25'!R35&lt;1,"0",'Entries December''25'!R36-'Entries December''25'!R35)</f>
        <v>0</v>
      </c>
      <c r="L36" s="749" t="str">
        <f>IF('Entries December''25'!T36-'Entries December''25'!T35&lt;1,"0",'Entries December''25'!T36-'Entries December''25'!T35)</f>
        <v>0</v>
      </c>
      <c r="M36" s="749" t="str">
        <f>IF('Entries December''25'!U36-'Entries December''25'!U35&lt;1,"0",'Entries December''25'!U36-'Entries December''25'!U35)</f>
        <v>0</v>
      </c>
      <c r="N36" s="749">
        <f>IF('Entries December''25'!X36-'Entries December''25'!X35&lt;1,"0",'Entries December''25'!X36-'Entries December''25'!X35)</f>
        <v>57</v>
      </c>
      <c r="O36" s="749">
        <f>IF('Entries December''25'!Y36-'Entries December''25'!Y35&lt;1,"0",'Entries December''25'!Y36-'Entries December''25'!Y35)</f>
        <v>158</v>
      </c>
      <c r="P36" s="749">
        <f>IF('Entries December''25'!AC36-'Entries December''25'!AC35&lt;1,"0",'Entries December''25'!AC36-'Entries December''25'!AC35)</f>
        <v>29</v>
      </c>
      <c r="Q36" s="749">
        <f>IF('Entries December''25'!Z36-'Entries December''25'!Z35&lt;1,"0",'Entries December''25'!Z36-'Entries December''25'!Z35)</f>
        <v>23</v>
      </c>
      <c r="R36" s="749" t="str">
        <f>IF(('Entries December''25'!AA36-'Entries December''25'!AA35)+('Entries December''25'!AB36-'Entries December''25'!AB35)&lt;1,"0",('Entries December''25'!AA36-'Entries December''25'!AA35)+('Entries December''25'!AB36-'Entries December''25'!AB35))</f>
        <v>0</v>
      </c>
      <c r="S36" s="748">
        <f t="shared" si="4"/>
        <v>1200</v>
      </c>
      <c r="T36" s="748">
        <f t="shared" si="1"/>
        <v>215</v>
      </c>
      <c r="U36" s="749">
        <f>IF('Entries December''25'!AC36-'Entries December''25'!AC35&lt;1,"0",'Entries December''25'!AC36-'Entries December''25'!AC35)</f>
        <v>29</v>
      </c>
      <c r="V36" s="749" t="str">
        <f>IF('Entries December''25'!AD36-'Entries December''25'!AD35&lt;1,"0",'Entries December''25'!AD36-'Entries December''25'!AD35)</f>
        <v>0</v>
      </c>
      <c r="W36" s="749" t="str">
        <f>IF('Entries December''25'!AE36-'Entries December''25'!AE35&lt;1,"0",'Entries December''25'!AE36-'Entries December''25'!AE35)</f>
        <v>0</v>
      </c>
      <c r="X36" s="750" t="str">
        <f>IF('Entries December''25'!AI36-'Entries December''25'!AI35&lt;1,"0",'Entries December''25'!AI36-'Entries December''25'!AI35)</f>
        <v>0</v>
      </c>
      <c r="Y36" s="750" t="str">
        <f>IF('Entries December''25'!AH36-'Entries December''25'!AH35&lt;1,"0",'Entries December''25'!AH36-'Entries December''25'!AH35)</f>
        <v>0</v>
      </c>
      <c r="Z36" s="333">
        <f t="shared" si="2"/>
        <v>351</v>
      </c>
      <c r="AA36" s="334">
        <v>513.01800000000003</v>
      </c>
      <c r="AB36" s="335">
        <f t="shared" si="3"/>
        <v>6.8418651977123606</v>
      </c>
    </row>
    <row r="37" spans="1:36" ht="15.6" x14ac:dyDescent="0.25">
      <c r="B37" s="747">
        <v>31</v>
      </c>
      <c r="C37" s="748" t="str">
        <f>IF('Entries December''25'!W37-'Entries December''25'!W36&lt;1,"0",'Entries December''25'!W37-'Entries December''25'!W36)</f>
        <v>0</v>
      </c>
      <c r="D37" s="749">
        <f>IF('Entries December''25'!O37-'Entries December''25'!O36&lt;1,"0",'Entries December''25'!O37-'Entries December''25'!O36)</f>
        <v>217</v>
      </c>
      <c r="E37" s="749">
        <f>IF('Entries December''25'!P37-'Entries December''25'!P36&lt;1,"0",'Entries December''25'!P37-'Entries December''25'!P36)</f>
        <v>98</v>
      </c>
      <c r="F37" s="749">
        <f>IF('Entries December''25'!V37-'Entries December''25'!V36&lt;1,"0",'Entries December''25'!V37-'Entries December''25'!V36)</f>
        <v>741</v>
      </c>
      <c r="G37" s="749">
        <f t="shared" si="0"/>
        <v>-426</v>
      </c>
      <c r="H37" s="749"/>
      <c r="I37" s="749"/>
      <c r="J37" s="749">
        <f>IF('Entries December''25'!S37-'Entries December''25'!S36&lt;1,"0",'Entries December''25'!S37-'Entries December''25'!S36)</f>
        <v>90</v>
      </c>
      <c r="K37" s="749" t="str">
        <f>IF('Entries December''25'!R37-'Entries December''25'!R36&lt;1,"0",'Entries December''25'!R37-'Entries December''25'!R36)</f>
        <v>0</v>
      </c>
      <c r="L37" s="749" t="str">
        <f>IF('Entries December''25'!T37-'Entries December''25'!T36&lt;1,"0",'Entries December''25'!T37-'Entries December''25'!T36)</f>
        <v>0</v>
      </c>
      <c r="M37" s="749">
        <f>IF('Entries December''25'!U37-'Entries December''25'!U36&lt;1,"0",'Entries December''25'!U37-'Entries December''25'!U36)</f>
        <v>1</v>
      </c>
      <c r="N37" s="749">
        <f>IF('Entries December''25'!X37-'Entries December''25'!X36&lt;1,"0",'Entries December''25'!X37-'Entries December''25'!X36)</f>
        <v>23</v>
      </c>
      <c r="O37" s="749">
        <f>IF('Entries December''25'!Y37-'Entries December''25'!Y36&lt;1,"0",'Entries December''25'!Y37-'Entries December''25'!Y36)</f>
        <v>103</v>
      </c>
      <c r="P37" s="749">
        <f>IF('Entries December''25'!AC37-'Entries December''25'!AC36&lt;1,"0",'Entries December''25'!AC37-'Entries December''25'!AC36)</f>
        <v>22</v>
      </c>
      <c r="Q37" s="749">
        <f>IF('Entries December''25'!Z37-'Entries December''25'!Z36&lt;1,"0",'Entries December''25'!Z37-'Entries December''25'!Z36)</f>
        <v>30</v>
      </c>
      <c r="R37" s="749" t="str">
        <f>IF(('Entries December''25'!AA37-'Entries December''25'!AA36)+('Entries December''25'!AB37-'Entries December''25'!AB36)&lt;1,"0",('Entries December''25'!AA37-'Entries December''25'!AA36)+('Entries December''25'!AB37-'Entries December''25'!AB36))</f>
        <v>0</v>
      </c>
      <c r="S37" s="748">
        <f t="shared" si="4"/>
        <v>-4260</v>
      </c>
      <c r="T37" s="748"/>
      <c r="U37" s="749">
        <f>IF('Entries December''25'!AC37-'Entries December''25'!AC36&lt;1,"0",'Entries December''25'!AC37-'Entries December''25'!AC36)</f>
        <v>22</v>
      </c>
      <c r="V37" s="749" t="str">
        <f>IF('Entries December''25'!AD37-'Entries December''25'!AD36&lt;1,"0",'Entries December''25'!AD37-'Entries December''25'!AD36)</f>
        <v>0</v>
      </c>
      <c r="W37" s="749" t="str">
        <f>IF('Entries December''25'!AE37-'Entries December''25'!AE36&lt;1,"0",'Entries December''25'!AE37-'Entries December''25'!AE36)</f>
        <v>0</v>
      </c>
      <c r="X37" s="750" t="str">
        <f>IF('Entries December''25'!AI37-'Entries December''25'!AI36&lt;1,"0",'Entries December''25'!AI37-'Entries December''25'!AI36)</f>
        <v>0</v>
      </c>
      <c r="Y37" s="750" t="str">
        <f>IF('Entries December''25'!AH37-'Entries December''25'!AH36&lt;1,"0",'Entries December''25'!AH37-'Entries December''25'!AH36)</f>
        <v>0</v>
      </c>
      <c r="Z37" s="333">
        <f t="shared" si="2"/>
        <v>315</v>
      </c>
      <c r="AA37" s="334">
        <v>430.51800000000003</v>
      </c>
      <c r="AB37" s="335"/>
      <c r="AC37" s="324"/>
      <c r="AD37" s="189"/>
    </row>
    <row r="38" spans="1:36" s="302" customFormat="1" ht="17.399999999999999" x14ac:dyDescent="0.3">
      <c r="A38" s="302" t="s">
        <v>86</v>
      </c>
      <c r="B38" s="303" t="s">
        <v>55</v>
      </c>
      <c r="C38" s="304">
        <f t="shared" ref="C38:O38" si="5">SUM(C7:C37)</f>
        <v>0</v>
      </c>
      <c r="D38" s="304">
        <f>SUM(D7:D37)</f>
        <v>4227</v>
      </c>
      <c r="E38" s="304">
        <f>SUM(E7:E37)</f>
        <v>4835</v>
      </c>
      <c r="F38" s="304">
        <f>SUM(F7:F37)</f>
        <v>5707</v>
      </c>
      <c r="G38" s="305">
        <f>SUM(G7:G37)</f>
        <v>3355</v>
      </c>
      <c r="H38" s="304">
        <f t="shared" si="5"/>
        <v>6168</v>
      </c>
      <c r="I38" s="304"/>
      <c r="J38" s="304">
        <f t="shared" si="5"/>
        <v>2565</v>
      </c>
      <c r="K38" s="304"/>
      <c r="L38" s="304">
        <f t="shared" si="5"/>
        <v>0</v>
      </c>
      <c r="M38" s="304">
        <f>SUM(M7:M37)</f>
        <v>193</v>
      </c>
      <c r="N38" s="304">
        <f t="shared" si="5"/>
        <v>861</v>
      </c>
      <c r="O38" s="304">
        <f t="shared" si="5"/>
        <v>3179</v>
      </c>
      <c r="P38" s="304">
        <f t="shared" ref="P38" si="6">SUM(P7:P37)</f>
        <v>604</v>
      </c>
      <c r="Q38" s="304">
        <f>SUM(Q7:Q37)</f>
        <v>858</v>
      </c>
      <c r="R38" s="304">
        <f>SUM(R7:R34)</f>
        <v>0</v>
      </c>
      <c r="S38" s="305">
        <f>SUM(S7:S37)</f>
        <v>33550</v>
      </c>
      <c r="T38" s="305">
        <f>SUM(T7:T37)</f>
        <v>4106</v>
      </c>
      <c r="U38" s="304">
        <f>SUM(U7:U37)</f>
        <v>604</v>
      </c>
      <c r="V38" s="304">
        <f>SUM(V7:V37)</f>
        <v>288</v>
      </c>
      <c r="W38" s="304"/>
      <c r="X38" s="304"/>
      <c r="Y38" s="304"/>
      <c r="Z38" s="336">
        <f>SUM(Z7:Z37)</f>
        <v>9062</v>
      </c>
      <c r="AA38" s="336">
        <f>SUM(AA7:AA37)</f>
        <v>9272.0823</v>
      </c>
      <c r="AB38" s="335">
        <f t="shared" ref="AB38" si="7">IF(AA38=0,"0",(Z38*10/AA38))</f>
        <v>9.7734248972315534</v>
      </c>
      <c r="AC38" s="325">
        <v>10.199999999999999</v>
      </c>
      <c r="AD38" s="345">
        <f>AB38/AC38*100</f>
        <v>95.817891149328958</v>
      </c>
    </row>
    <row r="39" spans="1:36" x14ac:dyDescent="0.25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5">
      <c r="A40" s="17" t="s">
        <v>58</v>
      </c>
      <c r="B40" s="17" t="s">
        <v>83</v>
      </c>
      <c r="C40" s="15"/>
      <c r="D40" s="15">
        <f>D38*220</f>
        <v>929940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5">
      <c r="A41" s="17"/>
      <c r="B41" s="17" t="s">
        <v>87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5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5">
      <c r="A43" s="17"/>
      <c r="B43" s="17" t="s">
        <v>89</v>
      </c>
      <c r="C43" s="17"/>
      <c r="D43" s="17">
        <f>+D41*D40</f>
        <v>14702.351400000001</v>
      </c>
      <c r="E43" s="17"/>
      <c r="F43" s="36"/>
      <c r="G43" s="17"/>
      <c r="H43" s="17"/>
      <c r="I43" s="17"/>
    </row>
    <row r="44" spans="1:36" x14ac:dyDescent="0.25">
      <c r="A44" s="17"/>
      <c r="B44" s="17" t="s">
        <v>88</v>
      </c>
      <c r="C44" s="17"/>
      <c r="D44" s="26">
        <v>278.97000000000003</v>
      </c>
      <c r="E44" s="327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6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5">
      <c r="D45" s="17">
        <f>SUM(D43:D44)</f>
        <v>14981.321400000001</v>
      </c>
      <c r="E45" s="17"/>
      <c r="F45" s="36"/>
      <c r="G45" s="17"/>
      <c r="H45" s="17"/>
      <c r="I45" s="17"/>
      <c r="Q45" s="15"/>
    </row>
    <row r="46" spans="1:36" x14ac:dyDescent="0.25">
      <c r="F46" s="36"/>
      <c r="G46" s="17"/>
      <c r="H46" s="17"/>
      <c r="I46" s="17"/>
      <c r="Q46" s="15"/>
    </row>
    <row r="47" spans="1:36" x14ac:dyDescent="0.25">
      <c r="B47" s="8" t="s">
        <v>90</v>
      </c>
      <c r="D47" s="23">
        <f>+D45*2/3</f>
        <v>9987.5475999999999</v>
      </c>
      <c r="E47" s="328"/>
      <c r="F47" s="36"/>
      <c r="G47" s="17"/>
      <c r="H47" s="17"/>
      <c r="I47" s="17"/>
      <c r="Q47" s="15"/>
    </row>
    <row r="48" spans="1:36" x14ac:dyDescent="0.25">
      <c r="F48" s="36"/>
      <c r="G48" s="17"/>
      <c r="H48" s="17"/>
      <c r="I48" s="17"/>
      <c r="Q48" s="15"/>
    </row>
    <row r="49" spans="2:17" ht="15.6" x14ac:dyDescent="0.3">
      <c r="B49" s="24" t="s">
        <v>91</v>
      </c>
      <c r="C49" s="24"/>
      <c r="D49" s="28">
        <f>SUM(D47,D45)</f>
        <v>24968.868999999999</v>
      </c>
      <c r="E49" s="329"/>
      <c r="F49" s="36"/>
      <c r="G49" s="17"/>
      <c r="H49" s="17"/>
      <c r="I49" s="17"/>
      <c r="Q49" s="15"/>
    </row>
    <row r="50" spans="2:17" x14ac:dyDescent="0.25">
      <c r="F50" s="36"/>
      <c r="G50" s="17"/>
      <c r="H50" s="17"/>
      <c r="I50" s="17"/>
      <c r="Q50" s="15"/>
    </row>
    <row r="51" spans="2:17" x14ac:dyDescent="0.25">
      <c r="F51" s="36"/>
      <c r="G51" s="17"/>
      <c r="H51" s="17"/>
      <c r="I51" s="17"/>
      <c r="Q51" s="15"/>
    </row>
    <row r="52" spans="2:17" x14ac:dyDescent="0.25">
      <c r="F52" s="36"/>
      <c r="G52" s="17"/>
      <c r="H52" s="17"/>
      <c r="I52" s="17"/>
      <c r="Q52" s="15"/>
    </row>
    <row r="53" spans="2:17" x14ac:dyDescent="0.25">
      <c r="F53" s="36"/>
      <c r="G53" s="17"/>
      <c r="H53" s="17"/>
      <c r="I53" s="17"/>
      <c r="Q53" s="15"/>
    </row>
    <row r="54" spans="2:17" x14ac:dyDescent="0.25">
      <c r="F54" s="36"/>
      <c r="G54" s="17"/>
      <c r="H54" s="17"/>
      <c r="I54" s="17"/>
      <c r="Q54" s="15"/>
    </row>
    <row r="55" spans="2:17" x14ac:dyDescent="0.25">
      <c r="F55" s="36"/>
      <c r="G55" s="17"/>
      <c r="H55" s="17"/>
      <c r="I55" s="17"/>
      <c r="Q55" s="15"/>
    </row>
    <row r="56" spans="2:17" x14ac:dyDescent="0.25">
      <c r="F56" s="36"/>
      <c r="G56" s="17"/>
      <c r="H56" s="17"/>
      <c r="I56" s="17"/>
      <c r="Q56" s="15"/>
    </row>
    <row r="57" spans="2:17" x14ac:dyDescent="0.25">
      <c r="F57" s="36"/>
      <c r="G57" s="17"/>
      <c r="H57" s="17"/>
      <c r="I57" s="17"/>
      <c r="Q57" s="15"/>
    </row>
    <row r="58" spans="2:17" x14ac:dyDescent="0.25">
      <c r="F58" s="36"/>
      <c r="G58" s="17"/>
      <c r="H58" s="17"/>
      <c r="I58" s="17"/>
      <c r="Q58" s="15"/>
    </row>
    <row r="59" spans="2:17" x14ac:dyDescent="0.25">
      <c r="F59" s="36"/>
      <c r="G59" s="17"/>
      <c r="H59" s="17"/>
      <c r="I59" s="17"/>
      <c r="Q59" s="15"/>
    </row>
    <row r="60" spans="2:17" x14ac:dyDescent="0.25">
      <c r="F60" s="36"/>
      <c r="G60" s="17"/>
      <c r="H60" s="17"/>
      <c r="I60" s="17"/>
      <c r="Q60" s="15"/>
    </row>
    <row r="61" spans="2:17" x14ac:dyDescent="0.25">
      <c r="F61" s="36"/>
      <c r="G61" s="17"/>
      <c r="H61" s="17"/>
      <c r="I61" s="17"/>
      <c r="Q61" s="15"/>
    </row>
    <row r="62" spans="2:17" x14ac:dyDescent="0.25">
      <c r="F62" s="36"/>
      <c r="G62" s="17"/>
      <c r="H62" s="17"/>
      <c r="I62" s="17"/>
      <c r="Q62" s="15"/>
    </row>
    <row r="63" spans="2:17" x14ac:dyDescent="0.25">
      <c r="F63" s="36"/>
      <c r="G63" s="17"/>
      <c r="H63" s="17"/>
      <c r="I63" s="17"/>
      <c r="Q63" s="15"/>
    </row>
    <row r="64" spans="2:17" x14ac:dyDescent="0.25">
      <c r="F64" s="36"/>
      <c r="G64" s="17"/>
      <c r="H64" s="17"/>
      <c r="I64" s="17"/>
      <c r="Q64" s="15"/>
    </row>
    <row r="65" spans="6:17" x14ac:dyDescent="0.25">
      <c r="F65" s="36"/>
      <c r="G65" s="17"/>
      <c r="H65" s="17"/>
      <c r="I65" s="17"/>
      <c r="Q65" s="15"/>
    </row>
    <row r="66" spans="6:17" x14ac:dyDescent="0.25">
      <c r="F66" s="36"/>
      <c r="G66" s="17"/>
      <c r="H66" s="17"/>
      <c r="I66" s="17"/>
      <c r="Q66" s="15"/>
    </row>
    <row r="67" spans="6:17" x14ac:dyDescent="0.25">
      <c r="F67" s="36"/>
      <c r="G67" s="17"/>
      <c r="H67" s="17"/>
      <c r="I67" s="17"/>
      <c r="Q67" s="15"/>
    </row>
    <row r="68" spans="6:17" x14ac:dyDescent="0.25">
      <c r="F68" s="36"/>
      <c r="G68" s="17"/>
      <c r="H68" s="17"/>
      <c r="I68" s="17"/>
      <c r="Q68" s="15"/>
    </row>
    <row r="69" spans="6:17" x14ac:dyDescent="0.25">
      <c r="F69" s="36"/>
      <c r="G69" s="17"/>
      <c r="H69" s="17"/>
      <c r="I69" s="17"/>
    </row>
    <row r="70" spans="6:17" x14ac:dyDescent="0.25">
      <c r="F70" s="36"/>
      <c r="G70" s="17"/>
      <c r="H70" s="17"/>
      <c r="I70" s="17"/>
    </row>
    <row r="71" spans="6:17" x14ac:dyDescent="0.25">
      <c r="F71" s="36"/>
      <c r="G71" s="17"/>
      <c r="H71" s="17"/>
      <c r="I71" s="17"/>
    </row>
    <row r="72" spans="6:17" x14ac:dyDescent="0.25">
      <c r="F72" s="36"/>
      <c r="G72" s="17"/>
      <c r="H72" s="17"/>
      <c r="I72" s="17"/>
    </row>
    <row r="73" spans="6:17" x14ac:dyDescent="0.25">
      <c r="F73" s="36"/>
      <c r="G73" s="17"/>
      <c r="H73" s="17"/>
      <c r="I73" s="17"/>
    </row>
    <row r="74" spans="6:17" x14ac:dyDescent="0.25">
      <c r="G74" s="17"/>
      <c r="H74" s="17"/>
      <c r="I74" s="17"/>
    </row>
    <row r="75" spans="6:17" x14ac:dyDescent="0.25">
      <c r="F75" s="36"/>
      <c r="G75" s="72"/>
      <c r="H75" s="72"/>
      <c r="I75" s="72"/>
    </row>
    <row r="76" spans="6:17" x14ac:dyDescent="0.25">
      <c r="F76" s="36"/>
      <c r="G76" s="72"/>
      <c r="H76" s="72"/>
      <c r="I76" s="72"/>
    </row>
    <row r="77" spans="6:17" x14ac:dyDescent="0.25">
      <c r="F77" s="36"/>
      <c r="G77" s="72"/>
      <c r="H77" s="72"/>
      <c r="I77" s="72"/>
    </row>
    <row r="78" spans="6:17" x14ac:dyDescent="0.25">
      <c r="F78" s="36"/>
      <c r="G78" s="72"/>
      <c r="H78" s="72"/>
      <c r="I78" s="72"/>
    </row>
    <row r="79" spans="6:17" x14ac:dyDescent="0.25">
      <c r="F79" s="36"/>
      <c r="G79" s="72"/>
      <c r="H79" s="72"/>
      <c r="I79" s="72"/>
    </row>
    <row r="80" spans="6:17" x14ac:dyDescent="0.25">
      <c r="F80" s="36"/>
      <c r="G80" s="72"/>
      <c r="H80" s="72"/>
      <c r="I80" s="72"/>
    </row>
    <row r="81" spans="6:9" x14ac:dyDescent="0.25">
      <c r="F81" s="36"/>
      <c r="G81" s="72"/>
      <c r="H81" s="72"/>
      <c r="I81" s="72"/>
    </row>
    <row r="82" spans="6:9" x14ac:dyDescent="0.25">
      <c r="F82" s="36"/>
      <c r="G82" s="72"/>
      <c r="H82" s="72"/>
      <c r="I82" s="72"/>
    </row>
    <row r="83" spans="6:9" x14ac:dyDescent="0.25">
      <c r="F83" s="36"/>
      <c r="G83" s="72"/>
      <c r="H83" s="72"/>
      <c r="I83" s="72"/>
    </row>
    <row r="84" spans="6:9" x14ac:dyDescent="0.25">
      <c r="F84" s="36"/>
      <c r="G84" s="72"/>
      <c r="H84" s="72"/>
      <c r="I84" s="72"/>
    </row>
    <row r="85" spans="6:9" x14ac:dyDescent="0.25">
      <c r="F85" s="36"/>
      <c r="G85" s="72"/>
      <c r="H85" s="72"/>
      <c r="I85" s="72"/>
    </row>
    <row r="86" spans="6:9" x14ac:dyDescent="0.25">
      <c r="F86" s="36"/>
      <c r="G86" s="72"/>
      <c r="H86" s="72"/>
      <c r="I86" s="72"/>
    </row>
    <row r="87" spans="6:9" x14ac:dyDescent="0.25">
      <c r="F87" s="36"/>
      <c r="G87" s="72"/>
      <c r="H87" s="72"/>
      <c r="I87" s="72"/>
    </row>
    <row r="88" spans="6:9" x14ac:dyDescent="0.25">
      <c r="F88" s="36"/>
      <c r="G88" s="72"/>
      <c r="H88" s="72"/>
      <c r="I88" s="72"/>
    </row>
    <row r="89" spans="6:9" x14ac:dyDescent="0.25">
      <c r="F89" s="36"/>
      <c r="G89" s="72"/>
      <c r="H89" s="72"/>
      <c r="I89" s="72"/>
    </row>
    <row r="90" spans="6:9" x14ac:dyDescent="0.25">
      <c r="F90" s="36"/>
      <c r="G90" s="72"/>
      <c r="H90" s="72"/>
      <c r="I90" s="72"/>
    </row>
    <row r="91" spans="6:9" x14ac:dyDescent="0.25">
      <c r="F91" s="36"/>
      <c r="G91" s="72"/>
      <c r="H91" s="72"/>
      <c r="I91" s="72"/>
    </row>
    <row r="92" spans="6:9" x14ac:dyDescent="0.25">
      <c r="F92" s="36"/>
      <c r="G92" s="72"/>
      <c r="H92" s="72"/>
      <c r="I92" s="72"/>
    </row>
    <row r="93" spans="6:9" x14ac:dyDescent="0.25">
      <c r="F93" s="36"/>
      <c r="G93" s="72"/>
      <c r="H93" s="72"/>
      <c r="I93" s="72"/>
    </row>
    <row r="94" spans="6:9" x14ac:dyDescent="0.25">
      <c r="F94" s="36"/>
      <c r="G94" s="72"/>
      <c r="H94" s="72"/>
      <c r="I94" s="72"/>
    </row>
    <row r="95" spans="6:9" x14ac:dyDescent="0.25">
      <c r="F95" s="36"/>
      <c r="G95" s="72"/>
      <c r="H95" s="72"/>
      <c r="I95" s="72"/>
    </row>
    <row r="96" spans="6:9" x14ac:dyDescent="0.25">
      <c r="F96" s="36"/>
      <c r="G96" s="72"/>
      <c r="H96" s="72"/>
      <c r="I96" s="72"/>
    </row>
    <row r="97" spans="6:9" x14ac:dyDescent="0.25">
      <c r="F97" s="36"/>
      <c r="G97" s="72"/>
      <c r="H97" s="72"/>
      <c r="I97" s="72"/>
    </row>
    <row r="98" spans="6:9" x14ac:dyDescent="0.25">
      <c r="F98" s="36"/>
      <c r="G98" s="72"/>
      <c r="H98" s="72"/>
      <c r="I98" s="72"/>
    </row>
    <row r="99" spans="6:9" x14ac:dyDescent="0.25">
      <c r="F99" s="36"/>
      <c r="G99" s="72"/>
      <c r="H99" s="72"/>
      <c r="I99" s="72"/>
    </row>
    <row r="100" spans="6:9" x14ac:dyDescent="0.25">
      <c r="F100" s="36"/>
      <c r="G100" s="72"/>
      <c r="H100" s="72"/>
      <c r="I100" s="72"/>
    </row>
    <row r="101" spans="6:9" x14ac:dyDescent="0.25">
      <c r="F101" s="36"/>
      <c r="G101" s="72"/>
      <c r="H101" s="72"/>
      <c r="I101" s="72"/>
    </row>
    <row r="102" spans="6:9" x14ac:dyDescent="0.25">
      <c r="F102" s="36"/>
      <c r="G102" s="72"/>
      <c r="H102" s="72"/>
      <c r="I102" s="72"/>
    </row>
    <row r="103" spans="6:9" x14ac:dyDescent="0.25">
      <c r="F103" s="36"/>
      <c r="G103" s="72"/>
      <c r="H103" s="72"/>
      <c r="I103" s="72"/>
    </row>
    <row r="104" spans="6:9" x14ac:dyDescent="0.25">
      <c r="F104" s="36"/>
      <c r="G104" s="72"/>
      <c r="H104" s="72"/>
      <c r="I104" s="72"/>
    </row>
    <row r="105" spans="6:9" x14ac:dyDescent="0.25">
      <c r="F105" s="36"/>
      <c r="G105" s="72"/>
      <c r="H105" s="72"/>
      <c r="I105" s="72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12" colorId="22" workbookViewId="0">
      <selection activeCell="D35" sqref="D35"/>
    </sheetView>
  </sheetViews>
  <sheetFormatPr defaultColWidth="12.5546875" defaultRowHeight="15" x14ac:dyDescent="0.25"/>
  <cols>
    <col min="1" max="1" width="12.5546875" style="8"/>
    <col min="2" max="2" width="17.6640625" style="8" bestFit="1" customWidth="1"/>
    <col min="3" max="3" width="14.6640625" style="32" bestFit="1" customWidth="1"/>
    <col min="4" max="4" width="14.6640625" style="32" customWidth="1"/>
    <col min="5" max="5" width="13.5546875" style="8" bestFit="1" customWidth="1"/>
    <col min="6" max="6" width="15.6640625" style="8" bestFit="1" customWidth="1"/>
    <col min="7" max="7" width="15.6640625" style="8" customWidth="1"/>
    <col min="8" max="8" width="12.5546875" style="338"/>
    <col min="9" max="16384" width="12.5546875" style="8"/>
  </cols>
  <sheetData>
    <row r="1" spans="1:10" ht="15.6" x14ac:dyDescent="0.3">
      <c r="A1" s="948" t="s">
        <v>298</v>
      </c>
      <c r="B1" s="949"/>
      <c r="C1" s="949"/>
      <c r="D1" s="950"/>
      <c r="E1" s="949"/>
      <c r="F1" s="949"/>
      <c r="G1" s="951"/>
    </row>
    <row r="2" spans="1:10" x14ac:dyDescent="0.25">
      <c r="B2" s="9"/>
      <c r="C2" s="379"/>
      <c r="D2" s="379"/>
    </row>
    <row r="3" spans="1:10" ht="15.6" thickBot="1" x14ac:dyDescent="0.3">
      <c r="B3" s="9"/>
      <c r="C3" s="379"/>
      <c r="D3" s="379"/>
    </row>
    <row r="4" spans="1:10" ht="15.6" x14ac:dyDescent="0.3">
      <c r="A4" s="962" t="s">
        <v>7</v>
      </c>
      <c r="B4" s="39" t="s">
        <v>49</v>
      </c>
      <c r="C4" s="380" t="s">
        <v>50</v>
      </c>
      <c r="D4" s="381" t="s">
        <v>294</v>
      </c>
      <c r="E4" s="952" t="s">
        <v>249</v>
      </c>
      <c r="F4" s="955" t="s">
        <v>247</v>
      </c>
      <c r="G4" s="958" t="s">
        <v>257</v>
      </c>
      <c r="H4" s="961"/>
    </row>
    <row r="5" spans="1:10" ht="15.6" x14ac:dyDescent="0.3">
      <c r="A5" s="963"/>
      <c r="B5" s="34" t="s">
        <v>51</v>
      </c>
      <c r="C5" s="381" t="s">
        <v>52</v>
      </c>
      <c r="D5" s="381" t="s">
        <v>52</v>
      </c>
      <c r="E5" s="953"/>
      <c r="F5" s="956"/>
      <c r="G5" s="959"/>
      <c r="H5" s="961"/>
    </row>
    <row r="6" spans="1:10" ht="16.2" thickBot="1" x14ac:dyDescent="0.35">
      <c r="A6" s="964"/>
      <c r="B6" s="40"/>
      <c r="C6" s="382"/>
      <c r="D6" s="381"/>
      <c r="E6" s="954"/>
      <c r="F6" s="957"/>
      <c r="G6" s="960"/>
      <c r="H6" s="961"/>
    </row>
    <row r="7" spans="1:10" ht="17.399999999999999" x14ac:dyDescent="0.25">
      <c r="A7" s="801">
        <v>1</v>
      </c>
      <c r="B7" s="802">
        <f>'Utility Analysis December''25 '!D10</f>
        <v>6358</v>
      </c>
      <c r="C7" s="803">
        <f>'Utility Analysis December''25 '!H10</f>
        <v>0</v>
      </c>
      <c r="D7" s="804">
        <f>'Utility Analysis December''25 '!E10</f>
        <v>1096.9000000000001</v>
      </c>
      <c r="E7" s="805">
        <f>B7+C7</f>
        <v>6358</v>
      </c>
      <c r="F7" s="806">
        <f>'PROD.FIG. '!H5</f>
        <v>455.13600000000002</v>
      </c>
      <c r="G7" s="340">
        <f>IF(F7=0,"0",(E7/F7))</f>
        <v>13.969450889404484</v>
      </c>
      <c r="H7" s="339"/>
      <c r="J7" s="30"/>
    </row>
    <row r="8" spans="1:10" x14ac:dyDescent="0.25">
      <c r="A8" s="801">
        <v>2</v>
      </c>
      <c r="B8" s="802">
        <f>'Utility Analysis December''25 '!D11</f>
        <v>6436</v>
      </c>
      <c r="C8" s="803">
        <f>'Utility Analysis December''25 '!H11</f>
        <v>0</v>
      </c>
      <c r="D8" s="804">
        <f>'Utility Analysis December''25 '!E11</f>
        <v>891.6</v>
      </c>
      <c r="E8" s="805">
        <f t="shared" ref="E8:E37" si="0">B8+C8</f>
        <v>6436</v>
      </c>
      <c r="F8" s="806">
        <f>'PROD.FIG. '!H6</f>
        <v>211.92600000000002</v>
      </c>
      <c r="G8" s="340">
        <f t="shared" ref="G8:G36" si="1">IF(F8=0,"0",(E8/F8))</f>
        <v>30.369091097836034</v>
      </c>
      <c r="I8" s="30"/>
      <c r="J8" s="30"/>
    </row>
    <row r="9" spans="1:10" x14ac:dyDescent="0.25">
      <c r="A9" s="801">
        <v>3</v>
      </c>
      <c r="B9" s="802">
        <f>'Utility Analysis December''25 '!D12</f>
        <v>7560</v>
      </c>
      <c r="C9" s="803">
        <f>'Utility Analysis December''25 '!H12</f>
        <v>0</v>
      </c>
      <c r="D9" s="804">
        <f>'Utility Analysis December''25 '!E12</f>
        <v>373.6</v>
      </c>
      <c r="E9" s="805">
        <f t="shared" si="0"/>
        <v>7560</v>
      </c>
      <c r="F9" s="806">
        <f>'PROD.FIG. '!H7</f>
        <v>346.5</v>
      </c>
      <c r="G9" s="340">
        <f>IF(F9=0,"0",(E9/F9))</f>
        <v>21.818181818181817</v>
      </c>
      <c r="J9" s="30"/>
    </row>
    <row r="10" spans="1:10" x14ac:dyDescent="0.25">
      <c r="A10" s="801">
        <v>4</v>
      </c>
      <c r="B10" s="802">
        <f>'Utility Analysis December''25 '!D13</f>
        <v>8026</v>
      </c>
      <c r="C10" s="803">
        <f>'Utility Analysis December''25 '!H13</f>
        <v>0</v>
      </c>
      <c r="D10" s="804">
        <f>'Utility Analysis December''25 '!E13</f>
        <v>501.5</v>
      </c>
      <c r="E10" s="805">
        <f t="shared" si="0"/>
        <v>8026</v>
      </c>
      <c r="F10" s="806">
        <f>'PROD.FIG. '!H8</f>
        <v>253.83600000000001</v>
      </c>
      <c r="G10" s="340">
        <f t="shared" si="1"/>
        <v>31.618840511196204</v>
      </c>
      <c r="J10" s="30"/>
    </row>
    <row r="11" spans="1:10" x14ac:dyDescent="0.25">
      <c r="A11" s="801">
        <v>5</v>
      </c>
      <c r="B11" s="802">
        <f>'Utility Analysis December''25 '!D14</f>
        <v>5885</v>
      </c>
      <c r="C11" s="803">
        <f>'Utility Analysis December''25 '!H14</f>
        <v>0</v>
      </c>
      <c r="D11" s="804">
        <f>'Utility Analysis December''25 '!E14</f>
        <v>1161.0999999999999</v>
      </c>
      <c r="E11" s="805">
        <f t="shared" si="0"/>
        <v>5885</v>
      </c>
      <c r="F11" s="806">
        <f>'PROD.FIG. '!H9</f>
        <v>262.74600000000004</v>
      </c>
      <c r="G11" s="490">
        <f t="shared" si="1"/>
        <v>22.39805743950431</v>
      </c>
      <c r="J11" s="30"/>
    </row>
    <row r="12" spans="1:10" x14ac:dyDescent="0.25">
      <c r="A12" s="485">
        <v>6</v>
      </c>
      <c r="B12" s="486">
        <f>'Utility Analysis December''25 '!D15</f>
        <v>6825</v>
      </c>
      <c r="C12" s="487">
        <f>'Utility Analysis December''25 '!H15</f>
        <v>0</v>
      </c>
      <c r="D12" s="804">
        <f>'Utility Analysis December''25 '!E15</f>
        <v>1390.7</v>
      </c>
      <c r="E12" s="488">
        <f t="shared" si="0"/>
        <v>6825</v>
      </c>
      <c r="F12" s="489">
        <f>'PROD.FIG. '!H10</f>
        <v>302.67599999999999</v>
      </c>
      <c r="G12" s="490">
        <f t="shared" si="1"/>
        <v>22.54886413194307</v>
      </c>
      <c r="J12" s="30"/>
    </row>
    <row r="13" spans="1:10" x14ac:dyDescent="0.25">
      <c r="A13" s="485">
        <v>7</v>
      </c>
      <c r="B13" s="486">
        <f>'Utility Analysis December''25 '!D16</f>
        <v>7554</v>
      </c>
      <c r="C13" s="487">
        <f>'Utility Analysis December''25 '!H16</f>
        <v>0</v>
      </c>
      <c r="D13" s="804">
        <f>'Utility Analysis December''25 '!E16</f>
        <v>808.8</v>
      </c>
      <c r="E13" s="488">
        <f t="shared" si="0"/>
        <v>7554</v>
      </c>
      <c r="F13" s="489">
        <f>'PROD.FIG. '!H11</f>
        <v>388.55040000000002</v>
      </c>
      <c r="G13" s="340">
        <f t="shared" si="1"/>
        <v>19.441493304343528</v>
      </c>
      <c r="J13" s="30"/>
    </row>
    <row r="14" spans="1:10" x14ac:dyDescent="0.25">
      <c r="A14" s="801">
        <v>8</v>
      </c>
      <c r="B14" s="802">
        <f>'Utility Analysis December''25 '!D17</f>
        <v>7330</v>
      </c>
      <c r="C14" s="803">
        <f>'Utility Analysis December''25 '!H17</f>
        <v>0</v>
      </c>
      <c r="D14" s="804">
        <f>'Utility Analysis December''25 '!E17</f>
        <v>1313.3</v>
      </c>
      <c r="E14" s="805">
        <f t="shared" si="0"/>
        <v>7330</v>
      </c>
      <c r="F14" s="806">
        <f>'PROD.FIG. '!H12</f>
        <v>447.88440000000003</v>
      </c>
      <c r="G14" s="340">
        <f t="shared" si="1"/>
        <v>16.365830111519845</v>
      </c>
      <c r="J14" s="30"/>
    </row>
    <row r="15" spans="1:10" x14ac:dyDescent="0.25">
      <c r="A15" s="801">
        <v>9</v>
      </c>
      <c r="B15" s="802">
        <f>'Utility Analysis December''25 '!D18</f>
        <v>6425</v>
      </c>
      <c r="C15" s="803">
        <f>'Utility Analysis December''25 '!H18</f>
        <v>0</v>
      </c>
      <c r="D15" s="804">
        <f>'Utility Analysis December''25 '!E18</f>
        <v>1380</v>
      </c>
      <c r="E15" s="805">
        <f t="shared" si="0"/>
        <v>6425</v>
      </c>
      <c r="F15" s="806">
        <f>'PROD.FIG. '!H13</f>
        <v>214.76400000000001</v>
      </c>
      <c r="G15" s="340">
        <f t="shared" si="1"/>
        <v>29.916559572367806</v>
      </c>
      <c r="J15" s="30"/>
    </row>
    <row r="16" spans="1:10" x14ac:dyDescent="0.25">
      <c r="A16" s="801">
        <v>10</v>
      </c>
      <c r="B16" s="802">
        <f>'Utility Analysis December''25 '!D19</f>
        <v>8488</v>
      </c>
      <c r="C16" s="803">
        <f>'Utility Analysis December''25 '!H19</f>
        <v>0</v>
      </c>
      <c r="D16" s="804">
        <f>'Utility Analysis December''25 '!E19</f>
        <v>1372.1</v>
      </c>
      <c r="E16" s="805">
        <f t="shared" si="0"/>
        <v>8488</v>
      </c>
      <c r="F16" s="806">
        <f>'PROD.FIG. '!H14</f>
        <v>437.05200000000002</v>
      </c>
      <c r="G16" s="340">
        <f t="shared" si="1"/>
        <v>19.421029991854514</v>
      </c>
      <c r="J16" s="30"/>
    </row>
    <row r="17" spans="1:10" x14ac:dyDescent="0.25">
      <c r="A17" s="801">
        <v>11</v>
      </c>
      <c r="B17" s="802">
        <f>'Utility Analysis December''25 '!D20</f>
        <v>6732</v>
      </c>
      <c r="C17" s="803">
        <f>'Utility Analysis December''25 '!H20</f>
        <v>0</v>
      </c>
      <c r="D17" s="804">
        <f>'Utility Analysis December''25 '!E20</f>
        <v>1466.4</v>
      </c>
      <c r="E17" s="805">
        <f t="shared" si="0"/>
        <v>6732</v>
      </c>
      <c r="F17" s="806">
        <f>'PROD.FIG. '!H15</f>
        <v>332.83800000000002</v>
      </c>
      <c r="G17" s="340">
        <f t="shared" si="1"/>
        <v>20.226055919095774</v>
      </c>
      <c r="J17" s="30"/>
    </row>
    <row r="18" spans="1:10" x14ac:dyDescent="0.25">
      <c r="A18" s="801">
        <v>12</v>
      </c>
      <c r="B18" s="802">
        <f>'Utility Analysis December''25 '!D21</f>
        <v>6620</v>
      </c>
      <c r="C18" s="803">
        <f>'Utility Analysis December''25 '!H21</f>
        <v>0</v>
      </c>
      <c r="D18" s="804">
        <f>'Utility Analysis December''25 '!E21</f>
        <v>1166.2</v>
      </c>
      <c r="E18" s="805">
        <f t="shared" si="0"/>
        <v>6620</v>
      </c>
      <c r="F18" s="806">
        <f>'PROD.FIG. '!H16</f>
        <v>259.05</v>
      </c>
      <c r="G18" s="490">
        <f t="shared" si="1"/>
        <v>25.554912179115998</v>
      </c>
      <c r="J18" s="30"/>
    </row>
    <row r="19" spans="1:10" x14ac:dyDescent="0.25">
      <c r="A19" s="485">
        <v>13</v>
      </c>
      <c r="B19" s="486">
        <f>'Utility Analysis December''25 '!D22</f>
        <v>4519</v>
      </c>
      <c r="C19" s="487">
        <f>'Utility Analysis December''25 '!H22</f>
        <v>0</v>
      </c>
      <c r="D19" s="804">
        <f>'Utility Analysis December''25 '!E22</f>
        <v>1223.0999999999999</v>
      </c>
      <c r="E19" s="488">
        <f t="shared" si="0"/>
        <v>4519</v>
      </c>
      <c r="F19" s="489">
        <f>'PROD.FIG. '!H17</f>
        <v>190.608</v>
      </c>
      <c r="G19" s="490">
        <f t="shared" si="1"/>
        <v>23.708343826072358</v>
      </c>
      <c r="J19" s="30"/>
    </row>
    <row r="20" spans="1:10" x14ac:dyDescent="0.25">
      <c r="A20" s="485">
        <v>14</v>
      </c>
      <c r="B20" s="486">
        <f>'Utility Analysis December''25 '!D23</f>
        <v>5387</v>
      </c>
      <c r="C20" s="487">
        <f>'Utility Analysis December''25 '!H23</f>
        <v>0</v>
      </c>
      <c r="D20" s="804">
        <f>'Utility Analysis December''25 '!E23</f>
        <v>1296.5</v>
      </c>
      <c r="E20" s="488">
        <f t="shared" si="0"/>
        <v>5387</v>
      </c>
      <c r="F20" s="489">
        <f>'PROD.FIG. '!H18</f>
        <v>389.154</v>
      </c>
      <c r="G20" s="340">
        <f t="shared" si="1"/>
        <v>13.842848846472091</v>
      </c>
      <c r="J20" s="30"/>
    </row>
    <row r="21" spans="1:10" x14ac:dyDescent="0.25">
      <c r="A21" s="801">
        <v>15</v>
      </c>
      <c r="B21" s="802">
        <f>'Utility Analysis December''25 '!D24</f>
        <v>6109</v>
      </c>
      <c r="C21" s="803">
        <f>'Utility Analysis December''25 '!H24</f>
        <v>0</v>
      </c>
      <c r="D21" s="804">
        <f>'Utility Analysis December''25 '!E24</f>
        <v>1397.4</v>
      </c>
      <c r="E21" s="805">
        <f t="shared" si="0"/>
        <v>6109</v>
      </c>
      <c r="F21" s="806">
        <f>'PROD.FIG. '!H19</f>
        <v>369.45600000000002</v>
      </c>
      <c r="G21" s="340">
        <f t="shared" si="1"/>
        <v>16.535121908968861</v>
      </c>
      <c r="J21" s="30"/>
    </row>
    <row r="22" spans="1:10" x14ac:dyDescent="0.25">
      <c r="A22" s="801">
        <v>16</v>
      </c>
      <c r="B22" s="802">
        <f>'Utility Analysis December''25 '!D25</f>
        <v>8916</v>
      </c>
      <c r="C22" s="803">
        <f>'Utility Analysis December''25 '!H25</f>
        <v>0</v>
      </c>
      <c r="D22" s="804">
        <f>'Utility Analysis December''25 '!E25</f>
        <v>1388.8</v>
      </c>
      <c r="E22" s="805">
        <f t="shared" si="0"/>
        <v>8916</v>
      </c>
      <c r="F22" s="806">
        <f>'PROD.FIG. '!H20</f>
        <v>362.80200000000002</v>
      </c>
      <c r="G22" s="340">
        <f t="shared" si="1"/>
        <v>24.57538822828981</v>
      </c>
      <c r="J22" s="30"/>
    </row>
    <row r="23" spans="1:10" x14ac:dyDescent="0.25">
      <c r="A23" s="801">
        <v>17</v>
      </c>
      <c r="B23" s="802">
        <f>'Utility Analysis December''25 '!D26</f>
        <v>6815</v>
      </c>
      <c r="C23" s="803">
        <f>'Utility Analysis December''25 '!H26</f>
        <v>0</v>
      </c>
      <c r="D23" s="804">
        <f>'Utility Analysis December''25 '!E26</f>
        <v>1363</v>
      </c>
      <c r="E23" s="805">
        <f t="shared" si="0"/>
        <v>6815</v>
      </c>
      <c r="F23" s="806">
        <f>'PROD.FIG. '!H21</f>
        <v>489.06</v>
      </c>
      <c r="G23" s="340">
        <f t="shared" si="1"/>
        <v>13.934895513842882</v>
      </c>
      <c r="J23" s="30"/>
    </row>
    <row r="24" spans="1:10" x14ac:dyDescent="0.25">
      <c r="A24" s="801">
        <v>18</v>
      </c>
      <c r="B24" s="802">
        <f>'Utility Analysis December''25 '!D27</f>
        <v>7445</v>
      </c>
      <c r="C24" s="803">
        <f>'Utility Analysis December''25 '!H27</f>
        <v>0</v>
      </c>
      <c r="D24" s="804">
        <f>'Utility Analysis December''25 '!E27</f>
        <v>1360.6</v>
      </c>
      <c r="E24" s="805">
        <f t="shared" si="0"/>
        <v>7445</v>
      </c>
      <c r="F24" s="806">
        <f>'PROD.FIG. '!H22</f>
        <v>459.62400000000002</v>
      </c>
      <c r="G24" s="340">
        <f t="shared" si="1"/>
        <v>16.198022731624111</v>
      </c>
      <c r="J24" s="30"/>
    </row>
    <row r="25" spans="1:10" x14ac:dyDescent="0.25">
      <c r="A25" s="801">
        <v>19</v>
      </c>
      <c r="B25" s="802">
        <f>'Utility Analysis December''25 '!D28</f>
        <v>6897</v>
      </c>
      <c r="C25" s="803">
        <f>'Utility Analysis December''25 '!H28</f>
        <v>0</v>
      </c>
      <c r="D25" s="804">
        <f>'Utility Analysis December''25 '!E28</f>
        <v>1198.5</v>
      </c>
      <c r="E25" s="805">
        <f t="shared" si="0"/>
        <v>6897</v>
      </c>
      <c r="F25" s="806">
        <f>'PROD.FIG. '!H23</f>
        <v>479.226</v>
      </c>
      <c r="G25" s="490">
        <f t="shared" si="1"/>
        <v>14.391957030712023</v>
      </c>
      <c r="J25" s="30"/>
    </row>
    <row r="26" spans="1:10" x14ac:dyDescent="0.25">
      <c r="A26" s="485">
        <v>20</v>
      </c>
      <c r="B26" s="486">
        <f>'Utility Analysis December''25 '!D29</f>
        <v>3934</v>
      </c>
      <c r="C26" s="487">
        <f>'Utility Analysis December''25 '!H29</f>
        <v>0</v>
      </c>
      <c r="D26" s="804">
        <f>'Utility Analysis December''25 '!E29</f>
        <v>1296.2</v>
      </c>
      <c r="E26" s="488">
        <f t="shared" si="0"/>
        <v>3934</v>
      </c>
      <c r="F26" s="489" t="str">
        <f>'PROD.FIG. '!H24</f>
        <v>0</v>
      </c>
      <c r="G26" s="490" t="str">
        <f t="shared" si="1"/>
        <v>0</v>
      </c>
      <c r="J26" s="30"/>
    </row>
    <row r="27" spans="1:10" x14ac:dyDescent="0.25">
      <c r="A27" s="485">
        <v>21</v>
      </c>
      <c r="B27" s="486">
        <f>'Utility Analysis December''25 '!D30</f>
        <v>2566</v>
      </c>
      <c r="C27" s="487">
        <f>'Utility Analysis December''25 '!H30</f>
        <v>0</v>
      </c>
      <c r="D27" s="804">
        <f>'Utility Analysis December''25 '!E30</f>
        <v>1208.3</v>
      </c>
      <c r="E27" s="488">
        <f t="shared" si="0"/>
        <v>2566</v>
      </c>
      <c r="F27" s="489" t="str">
        <f>'PROD.FIG. '!H25</f>
        <v>0</v>
      </c>
      <c r="G27" s="340" t="str">
        <f t="shared" si="1"/>
        <v>0</v>
      </c>
      <c r="J27" s="30"/>
    </row>
    <row r="28" spans="1:10" x14ac:dyDescent="0.25">
      <c r="A28" s="801">
        <v>22</v>
      </c>
      <c r="B28" s="802">
        <f>'Utility Analysis December''25 '!D31</f>
        <v>6346</v>
      </c>
      <c r="C28" s="803">
        <f>'Utility Analysis December''25 '!H31</f>
        <v>0</v>
      </c>
      <c r="D28" s="804">
        <f>'Utility Analysis December''25 '!E31</f>
        <v>1270.4000000000001</v>
      </c>
      <c r="E28" s="805">
        <f t="shared" si="0"/>
        <v>6346</v>
      </c>
      <c r="F28" s="806">
        <f>'PROD.FIG. '!H26</f>
        <v>542.98199999999997</v>
      </c>
      <c r="G28" s="340">
        <f t="shared" si="1"/>
        <v>11.687311918258802</v>
      </c>
      <c r="J28" s="30"/>
    </row>
    <row r="29" spans="1:10" x14ac:dyDescent="0.25">
      <c r="A29" s="801">
        <v>23</v>
      </c>
      <c r="B29" s="802">
        <f>'Utility Analysis December''25 '!D32</f>
        <v>6520</v>
      </c>
      <c r="C29" s="803">
        <f>'Utility Analysis December''25 '!H32</f>
        <v>0</v>
      </c>
      <c r="D29" s="804">
        <f>'Utility Analysis December''25 '!E32</f>
        <v>1092.8</v>
      </c>
      <c r="E29" s="805">
        <f t="shared" si="0"/>
        <v>6520</v>
      </c>
      <c r="F29" s="806">
        <f>'PROD.FIG. '!H27</f>
        <v>451.63800000000003</v>
      </c>
      <c r="G29" s="340">
        <f t="shared" si="1"/>
        <v>14.436340609071866</v>
      </c>
      <c r="J29" s="30"/>
    </row>
    <row r="30" spans="1:10" x14ac:dyDescent="0.25">
      <c r="A30" s="801">
        <v>24</v>
      </c>
      <c r="B30" s="802">
        <f>'Utility Analysis December''25 '!D33</f>
        <v>5182</v>
      </c>
      <c r="C30" s="803">
        <f>'Utility Analysis December''25 '!H33</f>
        <v>0</v>
      </c>
      <c r="D30" s="804">
        <f>'Utility Analysis December''25 '!E33</f>
        <v>1035.9000000000001</v>
      </c>
      <c r="E30" s="805">
        <f t="shared" si="0"/>
        <v>5182</v>
      </c>
      <c r="F30" s="806">
        <f>'PROD.FIG. '!H28</f>
        <v>292.38</v>
      </c>
      <c r="G30" s="340">
        <f t="shared" si="1"/>
        <v>17.723510500034202</v>
      </c>
      <c r="J30" s="30"/>
    </row>
    <row r="31" spans="1:10" x14ac:dyDescent="0.25">
      <c r="A31" s="801">
        <v>25</v>
      </c>
      <c r="B31" s="802">
        <f>'Utility Analysis December''25 '!D34</f>
        <v>3878</v>
      </c>
      <c r="C31" s="803">
        <f>'Utility Analysis December''25 '!H34</f>
        <v>0</v>
      </c>
      <c r="D31" s="804">
        <f>'Utility Analysis December''25 '!E34</f>
        <v>1114.7</v>
      </c>
      <c r="E31" s="805">
        <f t="shared" si="0"/>
        <v>3878</v>
      </c>
      <c r="F31" s="806" t="str">
        <f>'PROD.FIG. '!H29</f>
        <v>0</v>
      </c>
      <c r="G31" s="340" t="str">
        <f t="shared" si="1"/>
        <v>0</v>
      </c>
      <c r="J31" s="30"/>
    </row>
    <row r="32" spans="1:10" x14ac:dyDescent="0.25">
      <c r="A32" s="801">
        <v>26</v>
      </c>
      <c r="B32" s="802">
        <f>'Utility Analysis December''25 '!D35</f>
        <v>3529</v>
      </c>
      <c r="C32" s="803">
        <f>'Utility Analysis December''25 '!H35</f>
        <v>0</v>
      </c>
      <c r="D32" s="804">
        <f>'Utility Analysis December''25 '!E35</f>
        <v>469.1</v>
      </c>
      <c r="E32" s="805">
        <f t="shared" si="0"/>
        <v>3529</v>
      </c>
      <c r="F32" s="806" t="str">
        <f>'PROD.FIG. '!H30</f>
        <v>0</v>
      </c>
      <c r="G32" s="490" t="str">
        <f t="shared" si="1"/>
        <v>0</v>
      </c>
      <c r="J32" s="30"/>
    </row>
    <row r="33" spans="1:10" x14ac:dyDescent="0.25">
      <c r="A33" s="485">
        <v>27</v>
      </c>
      <c r="B33" s="486">
        <f>'Utility Analysis December''25 '!D36</f>
        <v>3866</v>
      </c>
      <c r="C33" s="487">
        <f>'Utility Analysis December''25 '!H36</f>
        <v>0</v>
      </c>
      <c r="D33" s="804">
        <f>'Utility Analysis December''25 '!E36</f>
        <v>1324.5</v>
      </c>
      <c r="E33" s="488">
        <f t="shared" si="0"/>
        <v>3866</v>
      </c>
      <c r="F33" s="489" t="str">
        <f>'PROD.FIG. '!H31</f>
        <v>0</v>
      </c>
      <c r="G33" s="490" t="str">
        <f t="shared" si="1"/>
        <v>0</v>
      </c>
      <c r="J33" s="30"/>
    </row>
    <row r="34" spans="1:10" x14ac:dyDescent="0.25">
      <c r="A34" s="485">
        <v>28</v>
      </c>
      <c r="B34" s="486">
        <f>'Utility Analysis December''25 '!D37</f>
        <v>3501</v>
      </c>
      <c r="C34" s="487">
        <f>'Utility Analysis December''25 '!H37</f>
        <v>0</v>
      </c>
      <c r="D34" s="804">
        <f>'Utility Analysis December''25 '!E37</f>
        <v>561.6</v>
      </c>
      <c r="E34" s="488">
        <f t="shared" si="0"/>
        <v>3501</v>
      </c>
      <c r="F34" s="489">
        <f>'PROD.FIG. '!H32</f>
        <v>15.4275</v>
      </c>
      <c r="G34" s="340">
        <f t="shared" si="1"/>
        <v>226.93242586290714</v>
      </c>
      <c r="J34" s="30"/>
    </row>
    <row r="35" spans="1:10" x14ac:dyDescent="0.25">
      <c r="A35" s="801">
        <v>29</v>
      </c>
      <c r="B35" s="802">
        <f>'Utility Analysis December''25 '!D38</f>
        <v>7041</v>
      </c>
      <c r="C35" s="803">
        <f>'Utility Analysis December''25 '!H38</f>
        <v>0</v>
      </c>
      <c r="D35" s="804">
        <f>'Utility Analysis December''25 '!E38</f>
        <v>975.5</v>
      </c>
      <c r="E35" s="805">
        <f t="shared" si="0"/>
        <v>7041</v>
      </c>
      <c r="F35" s="806">
        <f>'PROD.FIG. '!H33</f>
        <v>373.23</v>
      </c>
      <c r="G35" s="340">
        <f t="shared" si="1"/>
        <v>18.865043002974037</v>
      </c>
    </row>
    <row r="36" spans="1:10" x14ac:dyDescent="0.25">
      <c r="A36" s="801">
        <v>30</v>
      </c>
      <c r="B36" s="802">
        <f>'Utility Analysis December''25 '!D39</f>
        <v>7806</v>
      </c>
      <c r="C36" s="803">
        <f>'Utility Analysis December''25 '!H39</f>
        <v>0</v>
      </c>
      <c r="D36" s="804">
        <f>'Utility Analysis December''25 '!E39</f>
        <v>1196.3</v>
      </c>
      <c r="E36" s="805">
        <f t="shared" si="0"/>
        <v>7806</v>
      </c>
      <c r="F36" s="806">
        <f>'PROD.FIG. '!H34</f>
        <v>513.01800000000003</v>
      </c>
      <c r="G36" s="340">
        <f t="shared" si="1"/>
        <v>15.215840379869711</v>
      </c>
    </row>
    <row r="37" spans="1:10" ht="15.6" thickBot="1" x14ac:dyDescent="0.3">
      <c r="A37" s="801">
        <v>31</v>
      </c>
      <c r="B37" s="802">
        <f>'Utility Analysis December''25 '!D40</f>
        <v>7082</v>
      </c>
      <c r="C37" s="803"/>
      <c r="D37" s="804">
        <f>'Utility Analysis December''25 '!E40</f>
        <v>1307.3</v>
      </c>
      <c r="E37" s="805">
        <f t="shared" si="0"/>
        <v>7082</v>
      </c>
      <c r="F37" s="806"/>
      <c r="G37" s="340"/>
      <c r="I37" s="189" t="s">
        <v>252</v>
      </c>
    </row>
    <row r="38" spans="1:10" s="307" customFormat="1" ht="18" thickBot="1" x14ac:dyDescent="0.35">
      <c r="A38" s="308" t="s">
        <v>86</v>
      </c>
      <c r="B38" s="309">
        <f>SUM(B7:B37)</f>
        <v>191578</v>
      </c>
      <c r="C38" s="309">
        <f t="shared" ref="C38:D38" si="2">SUM(C7:C37)</f>
        <v>0</v>
      </c>
      <c r="D38" s="309">
        <f t="shared" si="2"/>
        <v>35002.700000000004</v>
      </c>
      <c r="E38" s="341">
        <f>SUM(E7:E37)</f>
        <v>191578</v>
      </c>
      <c r="F38" s="378">
        <f>SUM(F7:F37)</f>
        <v>8841.5643</v>
      </c>
      <c r="G38" s="342">
        <f>IF(F38=0,"0",(E38/F38))</f>
        <v>21.667885172762922</v>
      </c>
      <c r="H38" s="339">
        <v>22</v>
      </c>
      <c r="I38" s="345">
        <f>G38/H38*100</f>
        <v>98.49038714892238</v>
      </c>
    </row>
    <row r="39" spans="1:10" x14ac:dyDescent="0.25">
      <c r="B39" s="17"/>
      <c r="E39" s="17"/>
      <c r="F39" s="17"/>
      <c r="G39" s="17"/>
      <c r="H39" s="338" t="s">
        <v>248</v>
      </c>
    </row>
    <row r="40" spans="1:10" x14ac:dyDescent="0.25">
      <c r="B40" s="17"/>
      <c r="E40" s="17"/>
      <c r="F40" s="17"/>
      <c r="G40" s="17"/>
    </row>
    <row r="41" spans="1:10" x14ac:dyDescent="0.25">
      <c r="B41" s="17"/>
      <c r="E41" s="17"/>
      <c r="F41" s="17"/>
      <c r="G41" s="17"/>
    </row>
    <row r="42" spans="1:10" x14ac:dyDescent="0.25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6" sqref="B36"/>
    </sheetView>
  </sheetViews>
  <sheetFormatPr defaultColWidth="12.5546875" defaultRowHeight="15" x14ac:dyDescent="0.25"/>
  <cols>
    <col min="1" max="1" width="15.44140625" style="8" customWidth="1"/>
    <col min="2" max="2" width="7.44140625" style="8" bestFit="1" customWidth="1"/>
    <col min="3" max="3" width="16" style="32" customWidth="1"/>
    <col min="4" max="4" width="10.6640625" style="8" customWidth="1"/>
    <col min="5" max="5" width="17.33203125" style="8" customWidth="1"/>
    <col min="6" max="6" width="8.44140625" style="8" customWidth="1"/>
    <col min="7" max="7" width="13.5546875" style="8" customWidth="1"/>
    <col min="8" max="8" width="17.6640625" style="17" customWidth="1"/>
    <col min="9" max="16" width="12.5546875" style="32"/>
    <col min="17" max="16384" width="12.5546875" style="8"/>
  </cols>
  <sheetData>
    <row r="1" spans="1:10" ht="15.6" x14ac:dyDescent="0.3">
      <c r="A1" s="965" t="s">
        <v>299</v>
      </c>
      <c r="B1" s="927"/>
      <c r="C1" s="927"/>
      <c r="D1" s="927"/>
      <c r="E1" s="927"/>
      <c r="F1" s="927"/>
      <c r="G1" s="927"/>
      <c r="H1" s="927"/>
    </row>
    <row r="2" spans="1:10" ht="15.6" thickBot="1" x14ac:dyDescent="0.3">
      <c r="D2" s="12"/>
    </row>
    <row r="3" spans="1:10" ht="15.6" x14ac:dyDescent="0.3">
      <c r="A3" s="314"/>
      <c r="B3" s="315" t="s">
        <v>7</v>
      </c>
      <c r="C3" s="316"/>
      <c r="D3" s="317"/>
      <c r="E3" s="317"/>
      <c r="F3" s="317"/>
      <c r="G3" s="317"/>
      <c r="H3" s="318"/>
    </row>
    <row r="4" spans="1:10" ht="15.6" x14ac:dyDescent="0.3">
      <c r="A4" s="319"/>
      <c r="B4" s="70" t="s">
        <v>37</v>
      </c>
      <c r="C4" s="312" t="s">
        <v>82</v>
      </c>
      <c r="D4" s="313" t="s">
        <v>81</v>
      </c>
      <c r="E4" s="313" t="s">
        <v>69</v>
      </c>
      <c r="F4" s="313" t="s">
        <v>71</v>
      </c>
      <c r="G4" s="313" t="s">
        <v>70</v>
      </c>
      <c r="H4" s="320" t="s">
        <v>57</v>
      </c>
    </row>
    <row r="5" spans="1:10" x14ac:dyDescent="0.25">
      <c r="A5" s="751" t="s">
        <v>97</v>
      </c>
      <c r="B5" s="742">
        <v>1</v>
      </c>
      <c r="C5" s="743"/>
      <c r="D5" s="744"/>
      <c r="E5" s="742"/>
      <c r="F5" s="744"/>
      <c r="G5" s="742"/>
      <c r="H5" s="748" cm="1">
        <f t="array" ref="H5:H35">IF(TRANSPOSE('Daily KPIs'!B9:AF9)=0,"0",TRANSPOSE('Daily KPIs'!B9:AF9))</f>
        <v>455.13600000000002</v>
      </c>
      <c r="I5" s="297"/>
      <c r="J5" s="298"/>
    </row>
    <row r="6" spans="1:10" x14ac:dyDescent="0.25">
      <c r="A6" s="751" t="s">
        <v>98</v>
      </c>
      <c r="B6" s="742">
        <v>2</v>
      </c>
      <c r="C6" s="743"/>
      <c r="D6" s="744"/>
      <c r="E6" s="752"/>
      <c r="F6" s="744"/>
      <c r="G6" s="742"/>
      <c r="H6" s="745">
        <v>211.92600000000002</v>
      </c>
      <c r="I6" s="33"/>
      <c r="J6" s="298"/>
    </row>
    <row r="7" spans="1:10" x14ac:dyDescent="0.25">
      <c r="A7" s="751" t="s">
        <v>99</v>
      </c>
      <c r="B7" s="742">
        <v>3</v>
      </c>
      <c r="C7" s="743"/>
      <c r="D7" s="744"/>
      <c r="E7" s="742"/>
      <c r="F7" s="744"/>
      <c r="G7" s="742"/>
      <c r="H7" s="745">
        <v>346.5</v>
      </c>
      <c r="I7" s="299"/>
      <c r="J7" s="300"/>
    </row>
    <row r="8" spans="1:10" x14ac:dyDescent="0.25">
      <c r="A8" s="751" t="s">
        <v>93</v>
      </c>
      <c r="B8" s="742">
        <v>4</v>
      </c>
      <c r="C8" s="743"/>
      <c r="D8" s="744"/>
      <c r="E8" s="742"/>
      <c r="F8" s="746"/>
      <c r="G8" s="742"/>
      <c r="H8" s="745">
        <v>253.83600000000001</v>
      </c>
      <c r="I8" s="299"/>
      <c r="J8" s="300"/>
    </row>
    <row r="9" spans="1:10" x14ac:dyDescent="0.25">
      <c r="A9" s="751" t="s">
        <v>94</v>
      </c>
      <c r="B9" s="742">
        <v>5</v>
      </c>
      <c r="C9" s="743"/>
      <c r="D9" s="744"/>
      <c r="E9" s="742"/>
      <c r="F9" s="742"/>
      <c r="G9" s="742"/>
      <c r="H9" s="745">
        <v>262.74600000000004</v>
      </c>
      <c r="I9" s="299"/>
      <c r="J9" s="300"/>
    </row>
    <row r="10" spans="1:10" x14ac:dyDescent="0.25">
      <c r="A10" s="751" t="s">
        <v>95</v>
      </c>
      <c r="B10" s="742">
        <v>6</v>
      </c>
      <c r="C10" s="743"/>
      <c r="D10" s="744"/>
      <c r="E10" s="742"/>
      <c r="F10" s="742"/>
      <c r="G10" s="742"/>
      <c r="H10" s="745">
        <v>302.67599999999999</v>
      </c>
      <c r="I10" s="299"/>
      <c r="J10" s="300"/>
    </row>
    <row r="11" spans="1:10" x14ac:dyDescent="0.25">
      <c r="A11" s="813" t="s">
        <v>96</v>
      </c>
      <c r="B11" s="485">
        <v>7</v>
      </c>
      <c r="C11" s="814"/>
      <c r="D11" s="815"/>
      <c r="E11" s="485"/>
      <c r="F11" s="816"/>
      <c r="G11" s="485"/>
      <c r="H11" s="817">
        <v>388.55040000000002</v>
      </c>
      <c r="I11" s="299"/>
      <c r="J11" s="300"/>
    </row>
    <row r="12" spans="1:10" x14ac:dyDescent="0.25">
      <c r="A12" s="813" t="s">
        <v>97</v>
      </c>
      <c r="B12" s="485">
        <v>8</v>
      </c>
      <c r="C12" s="814"/>
      <c r="D12" s="815"/>
      <c r="E12" s="485"/>
      <c r="F12" s="485"/>
      <c r="G12" s="485"/>
      <c r="H12" s="817">
        <v>447.88440000000003</v>
      </c>
      <c r="I12" s="299"/>
      <c r="J12" s="300"/>
    </row>
    <row r="13" spans="1:10" x14ac:dyDescent="0.25">
      <c r="A13" s="751" t="s">
        <v>98</v>
      </c>
      <c r="B13" s="742">
        <v>9</v>
      </c>
      <c r="C13" s="743"/>
      <c r="D13" s="744"/>
      <c r="E13" s="746"/>
      <c r="F13" s="742"/>
      <c r="G13" s="742"/>
      <c r="H13" s="745">
        <v>214.76400000000001</v>
      </c>
      <c r="I13" s="299"/>
      <c r="J13" s="300"/>
    </row>
    <row r="14" spans="1:10" x14ac:dyDescent="0.25">
      <c r="A14" s="751" t="s">
        <v>99</v>
      </c>
      <c r="B14" s="742">
        <v>10</v>
      </c>
      <c r="C14" s="743"/>
      <c r="D14" s="744"/>
      <c r="E14" s="742"/>
      <c r="F14" s="742"/>
      <c r="G14" s="742"/>
      <c r="H14" s="745">
        <v>437.05200000000002</v>
      </c>
      <c r="I14" s="299"/>
      <c r="J14" s="300"/>
    </row>
    <row r="15" spans="1:10" x14ac:dyDescent="0.25">
      <c r="A15" s="751" t="s">
        <v>93</v>
      </c>
      <c r="B15" s="742">
        <v>11</v>
      </c>
      <c r="C15" s="743"/>
      <c r="D15" s="744"/>
      <c r="E15" s="746"/>
      <c r="F15" s="742"/>
      <c r="G15" s="746"/>
      <c r="H15" s="745">
        <v>332.83800000000002</v>
      </c>
      <c r="I15" s="299"/>
      <c r="J15" s="300"/>
    </row>
    <row r="16" spans="1:10" x14ac:dyDescent="0.25">
      <c r="A16" s="751" t="s">
        <v>94</v>
      </c>
      <c r="B16" s="742">
        <v>12</v>
      </c>
      <c r="C16" s="743"/>
      <c r="D16" s="744"/>
      <c r="E16" s="746"/>
      <c r="F16" s="742"/>
      <c r="G16" s="742"/>
      <c r="H16" s="745">
        <v>259.05</v>
      </c>
      <c r="I16" s="299"/>
      <c r="J16" s="300"/>
    </row>
    <row r="17" spans="1:13" x14ac:dyDescent="0.25">
      <c r="A17" s="813" t="s">
        <v>95</v>
      </c>
      <c r="B17" s="485">
        <v>13</v>
      </c>
      <c r="C17" s="814"/>
      <c r="D17" s="815"/>
      <c r="E17" s="485"/>
      <c r="F17" s="485"/>
      <c r="G17" s="485"/>
      <c r="H17" s="817">
        <v>190.608</v>
      </c>
      <c r="I17" s="299"/>
      <c r="J17" s="300"/>
    </row>
    <row r="18" spans="1:13" x14ac:dyDescent="0.25">
      <c r="A18" s="813" t="s">
        <v>96</v>
      </c>
      <c r="B18" s="485">
        <v>14</v>
      </c>
      <c r="C18" s="814"/>
      <c r="D18" s="815"/>
      <c r="E18" s="485"/>
      <c r="F18" s="485"/>
      <c r="G18" s="485"/>
      <c r="H18" s="817">
        <v>389.154</v>
      </c>
      <c r="I18" s="299"/>
      <c r="J18" s="300"/>
    </row>
    <row r="19" spans="1:13" x14ac:dyDescent="0.25">
      <c r="A19" s="751" t="s">
        <v>97</v>
      </c>
      <c r="B19" s="742">
        <v>15</v>
      </c>
      <c r="C19" s="743"/>
      <c r="D19" s="744"/>
      <c r="E19" s="746"/>
      <c r="F19" s="742"/>
      <c r="G19" s="742"/>
      <c r="H19" s="745">
        <v>369.45600000000002</v>
      </c>
      <c r="I19" s="299"/>
      <c r="J19" s="300"/>
    </row>
    <row r="20" spans="1:13" x14ac:dyDescent="0.25">
      <c r="A20" s="751" t="s">
        <v>98</v>
      </c>
      <c r="B20" s="742">
        <v>16</v>
      </c>
      <c r="C20" s="743"/>
      <c r="D20" s="744"/>
      <c r="E20" s="742"/>
      <c r="F20" s="742"/>
      <c r="G20" s="742"/>
      <c r="H20" s="745">
        <v>362.80200000000002</v>
      </c>
      <c r="I20" s="299"/>
      <c r="J20" s="300"/>
    </row>
    <row r="21" spans="1:13" x14ac:dyDescent="0.25">
      <c r="A21" s="751" t="s">
        <v>99</v>
      </c>
      <c r="B21" s="742">
        <v>17</v>
      </c>
      <c r="C21" s="743"/>
      <c r="D21" s="744"/>
      <c r="E21" s="742"/>
      <c r="F21" s="742"/>
      <c r="G21" s="742"/>
      <c r="H21" s="745">
        <v>489.06</v>
      </c>
      <c r="I21" s="299"/>
      <c r="J21" s="300"/>
    </row>
    <row r="22" spans="1:13" x14ac:dyDescent="0.25">
      <c r="A22" s="751" t="s">
        <v>93</v>
      </c>
      <c r="B22" s="742">
        <v>18</v>
      </c>
      <c r="C22" s="743"/>
      <c r="D22" s="744"/>
      <c r="E22" s="742"/>
      <c r="F22" s="742"/>
      <c r="G22" s="742"/>
      <c r="H22" s="745">
        <v>459.62400000000002</v>
      </c>
      <c r="I22" s="299"/>
      <c r="J22" s="300"/>
    </row>
    <row r="23" spans="1:13" x14ac:dyDescent="0.25">
      <c r="A23" s="751" t="s">
        <v>94</v>
      </c>
      <c r="B23" s="742">
        <v>19</v>
      </c>
      <c r="C23" s="743"/>
      <c r="D23" s="744"/>
      <c r="E23" s="742"/>
      <c r="F23" s="742"/>
      <c r="G23" s="742"/>
      <c r="H23" s="745">
        <v>479.226</v>
      </c>
      <c r="I23" s="299"/>
      <c r="J23" s="300"/>
    </row>
    <row r="24" spans="1:13" x14ac:dyDescent="0.25">
      <c r="A24" s="813" t="s">
        <v>95</v>
      </c>
      <c r="B24" s="485">
        <v>20</v>
      </c>
      <c r="C24" s="814"/>
      <c r="D24" s="815"/>
      <c r="E24" s="485"/>
      <c r="F24" s="485"/>
      <c r="G24" s="485"/>
      <c r="H24" s="817" t="str">
        <v>0</v>
      </c>
      <c r="I24" s="299"/>
      <c r="J24" s="300"/>
    </row>
    <row r="25" spans="1:13" x14ac:dyDescent="0.25">
      <c r="A25" s="813" t="s">
        <v>96</v>
      </c>
      <c r="B25" s="485">
        <v>21</v>
      </c>
      <c r="C25" s="814"/>
      <c r="D25" s="815"/>
      <c r="E25" s="485"/>
      <c r="F25" s="485"/>
      <c r="G25" s="485"/>
      <c r="H25" s="817" t="str">
        <v>0</v>
      </c>
      <c r="I25" s="299"/>
      <c r="J25" s="300"/>
    </row>
    <row r="26" spans="1:13" x14ac:dyDescent="0.25">
      <c r="A26" s="751" t="s">
        <v>97</v>
      </c>
      <c r="B26" s="742">
        <v>22</v>
      </c>
      <c r="C26" s="743"/>
      <c r="D26" s="744"/>
      <c r="E26" s="742"/>
      <c r="F26" s="742"/>
      <c r="G26" s="742"/>
      <c r="H26" s="745">
        <v>542.98199999999997</v>
      </c>
      <c r="I26" s="299"/>
      <c r="J26" s="300"/>
      <c r="M26" s="32" t="s">
        <v>58</v>
      </c>
    </row>
    <row r="27" spans="1:13" x14ac:dyDescent="0.25">
      <c r="A27" s="751" t="s">
        <v>98</v>
      </c>
      <c r="B27" s="742">
        <v>23</v>
      </c>
      <c r="C27" s="743"/>
      <c r="D27" s="744"/>
      <c r="E27" s="746"/>
      <c r="F27" s="742"/>
      <c r="G27" s="742"/>
      <c r="H27" s="745">
        <v>451.63800000000003</v>
      </c>
      <c r="I27" s="299"/>
      <c r="J27" s="300"/>
    </row>
    <row r="28" spans="1:13" x14ac:dyDescent="0.25">
      <c r="A28" s="751" t="s">
        <v>99</v>
      </c>
      <c r="B28" s="742">
        <v>24</v>
      </c>
      <c r="C28" s="743"/>
      <c r="D28" s="744"/>
      <c r="E28" s="746"/>
      <c r="F28" s="742"/>
      <c r="G28" s="742"/>
      <c r="H28" s="745">
        <v>292.38</v>
      </c>
      <c r="I28" s="299"/>
      <c r="J28" s="300"/>
    </row>
    <row r="29" spans="1:13" x14ac:dyDescent="0.25">
      <c r="A29" s="751" t="s">
        <v>93</v>
      </c>
      <c r="B29" s="742">
        <v>25</v>
      </c>
      <c r="C29" s="743"/>
      <c r="D29" s="744"/>
      <c r="E29" s="742"/>
      <c r="F29" s="742"/>
      <c r="G29" s="742"/>
      <c r="H29" s="745" t="str">
        <v>0</v>
      </c>
      <c r="I29" s="299"/>
      <c r="J29" s="300"/>
    </row>
    <row r="30" spans="1:13" x14ac:dyDescent="0.25">
      <c r="A30" s="751" t="s">
        <v>94</v>
      </c>
      <c r="B30" s="742">
        <v>26</v>
      </c>
      <c r="C30" s="743"/>
      <c r="D30" s="744"/>
      <c r="E30" s="742"/>
      <c r="F30" s="742"/>
      <c r="G30" s="742"/>
      <c r="H30" s="745" t="str">
        <v>0</v>
      </c>
      <c r="I30" s="299"/>
      <c r="J30" s="300"/>
    </row>
    <row r="31" spans="1:13" x14ac:dyDescent="0.25">
      <c r="A31" s="813" t="s">
        <v>95</v>
      </c>
      <c r="B31" s="485">
        <v>27</v>
      </c>
      <c r="C31" s="814"/>
      <c r="D31" s="815"/>
      <c r="E31" s="485"/>
      <c r="F31" s="485"/>
      <c r="G31" s="485"/>
      <c r="H31" s="817" t="str">
        <v>0</v>
      </c>
      <c r="I31" s="299"/>
      <c r="J31" s="300"/>
    </row>
    <row r="32" spans="1:13" x14ac:dyDescent="0.25">
      <c r="A32" s="813" t="s">
        <v>96</v>
      </c>
      <c r="B32" s="485">
        <v>28</v>
      </c>
      <c r="C32" s="814"/>
      <c r="D32" s="815"/>
      <c r="E32" s="485"/>
      <c r="F32" s="485"/>
      <c r="G32" s="485"/>
      <c r="H32" s="817">
        <v>15.4275</v>
      </c>
      <c r="I32" s="299"/>
      <c r="J32" s="300"/>
    </row>
    <row r="33" spans="1:10" x14ac:dyDescent="0.25">
      <c r="A33" s="751" t="s">
        <v>97</v>
      </c>
      <c r="B33" s="742">
        <v>29</v>
      </c>
      <c r="C33" s="743"/>
      <c r="D33" s="744"/>
      <c r="E33" s="742"/>
      <c r="F33" s="746"/>
      <c r="G33" s="742"/>
      <c r="H33" s="745">
        <v>373.23</v>
      </c>
      <c r="I33" s="299"/>
      <c r="J33" s="300"/>
    </row>
    <row r="34" spans="1:10" x14ac:dyDescent="0.25">
      <c r="A34" s="751" t="s">
        <v>98</v>
      </c>
      <c r="B34" s="742">
        <v>30</v>
      </c>
      <c r="C34" s="743"/>
      <c r="D34" s="744"/>
      <c r="E34" s="742"/>
      <c r="F34" s="742"/>
      <c r="G34" s="742"/>
      <c r="H34" s="745">
        <v>513.01800000000003</v>
      </c>
      <c r="I34" s="299"/>
      <c r="J34" s="300"/>
    </row>
    <row r="35" spans="1:10" x14ac:dyDescent="0.25">
      <c r="A35" s="751" t="s">
        <v>99</v>
      </c>
      <c r="B35" s="742">
        <v>31</v>
      </c>
      <c r="C35" s="743"/>
      <c r="D35" s="744"/>
      <c r="E35" s="742"/>
      <c r="F35" s="742"/>
      <c r="G35" s="742"/>
      <c r="H35" s="745">
        <v>430.51800000000003</v>
      </c>
      <c r="I35" s="299"/>
      <c r="J35" s="300"/>
    </row>
    <row r="36" spans="1:10" ht="18" thickBot="1" x14ac:dyDescent="0.35">
      <c r="A36" s="357"/>
      <c r="B36" s="358"/>
      <c r="C36" s="359"/>
      <c r="D36" s="360"/>
      <c r="E36" s="358"/>
      <c r="F36" s="358"/>
      <c r="G36" s="321" t="s">
        <v>245</v>
      </c>
      <c r="H36" s="322">
        <f>SUM(H5:H35)</f>
        <v>9272.0823</v>
      </c>
      <c r="I36" s="299"/>
      <c r="J36" s="300"/>
    </row>
    <row r="37" spans="1:10" x14ac:dyDescent="0.25">
      <c r="B37" s="310"/>
      <c r="C37" s="37"/>
      <c r="D37" s="311"/>
      <c r="E37" s="310"/>
      <c r="F37" s="310"/>
      <c r="G37" s="310"/>
      <c r="H37" s="47"/>
      <c r="I37" s="299"/>
      <c r="J37" s="300"/>
    </row>
    <row r="38" spans="1:10" x14ac:dyDescent="0.25">
      <c r="B38" s="16"/>
      <c r="C38" s="38"/>
      <c r="D38" s="296"/>
      <c r="E38" s="16"/>
      <c r="F38" s="16"/>
      <c r="G38" s="16"/>
      <c r="H38" s="185"/>
      <c r="I38" s="299"/>
      <c r="J38" s="300"/>
    </row>
    <row r="39" spans="1:10" x14ac:dyDescent="0.25">
      <c r="C39" s="33">
        <f>SUM(C5:C36)</f>
        <v>0</v>
      </c>
      <c r="D39" s="10"/>
      <c r="E39" s="10"/>
      <c r="F39" s="10"/>
      <c r="G39" s="10"/>
      <c r="H39" s="306"/>
      <c r="I39" s="299"/>
      <c r="J39" s="300"/>
    </row>
    <row r="40" spans="1:10" x14ac:dyDescent="0.25">
      <c r="C40" s="33"/>
      <c r="D40" s="10"/>
      <c r="E40" s="10"/>
      <c r="F40" s="10"/>
      <c r="G40" s="10"/>
      <c r="I40" s="299"/>
      <c r="J40" s="300"/>
    </row>
    <row r="41" spans="1:10" x14ac:dyDescent="0.25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10" zoomScaleNormal="100" workbookViewId="0">
      <selection activeCell="H19" sqref="H19"/>
    </sheetView>
  </sheetViews>
  <sheetFormatPr defaultRowHeight="13.2" x14ac:dyDescent="0.25"/>
  <cols>
    <col min="2" max="3" width="13.33203125" customWidth="1"/>
    <col min="4" max="5" width="19.88671875" style="27" customWidth="1"/>
    <col min="6" max="6" width="19.33203125" customWidth="1"/>
    <col min="7" max="7" width="13.109375" customWidth="1"/>
    <col min="8" max="8" width="15.6640625" style="351" customWidth="1"/>
    <col min="9" max="9" width="9.109375" style="27"/>
    <col min="11" max="11" width="9.109375" style="346"/>
    <col min="12" max="14" width="9.109375" style="191"/>
    <col min="15" max="15" width="10.6640625" style="191" customWidth="1"/>
    <col min="16" max="16" width="11" customWidth="1"/>
    <col min="18" max="18" width="13.6640625" style="81" customWidth="1"/>
    <col min="22" max="22" width="10.5546875" customWidth="1"/>
    <col min="24" max="24" width="12.88671875" customWidth="1"/>
  </cols>
  <sheetData>
    <row r="1" spans="1:24" ht="15" x14ac:dyDescent="0.25">
      <c r="A1" s="8"/>
      <c r="B1" s="8"/>
      <c r="C1" s="8"/>
      <c r="D1" s="11"/>
      <c r="E1" s="11"/>
      <c r="F1" s="8"/>
    </row>
    <row r="2" spans="1:24" ht="15.6" thickBot="1" x14ac:dyDescent="0.3">
      <c r="A2" s="8"/>
      <c r="B2" s="8"/>
      <c r="C2" s="8"/>
      <c r="D2" s="11"/>
      <c r="E2" s="11"/>
      <c r="F2" s="8"/>
    </row>
    <row r="3" spans="1:24" ht="16.2" thickBot="1" x14ac:dyDescent="0.35">
      <c r="A3" s="349" t="s">
        <v>300</v>
      </c>
      <c r="B3" s="1"/>
      <c r="C3" s="1"/>
      <c r="D3" s="85"/>
      <c r="E3" s="85"/>
      <c r="F3" s="1"/>
      <c r="I3" s="978" t="s">
        <v>271</v>
      </c>
      <c r="J3" s="979"/>
      <c r="K3" s="980"/>
    </row>
    <row r="4" spans="1:24" ht="37.5" customHeight="1" thickBot="1" x14ac:dyDescent="0.3">
      <c r="A4" s="8"/>
      <c r="B4" s="8"/>
      <c r="C4" s="8"/>
      <c r="D4" s="11"/>
      <c r="E4" s="11"/>
      <c r="F4" s="8"/>
      <c r="G4" s="265" t="s">
        <v>254</v>
      </c>
      <c r="H4" s="352"/>
      <c r="I4" s="981" t="s">
        <v>266</v>
      </c>
      <c r="J4" s="982"/>
      <c r="K4" s="983"/>
      <c r="M4" s="441"/>
      <c r="N4" s="441"/>
      <c r="O4" s="442"/>
      <c r="P4" s="442"/>
      <c r="Q4" s="993" t="s">
        <v>288</v>
      </c>
      <c r="R4" s="993"/>
      <c r="S4" s="993"/>
      <c r="T4" s="993"/>
      <c r="U4" s="191"/>
      <c r="V4" s="441"/>
      <c r="W4" s="191"/>
      <c r="X4" s="191"/>
    </row>
    <row r="5" spans="1:24" ht="15.75" customHeight="1" thickBot="1" x14ac:dyDescent="0.3">
      <c r="A5" s="922" t="s">
        <v>7</v>
      </c>
      <c r="B5" s="924" t="s">
        <v>255</v>
      </c>
      <c r="C5" s="924" t="s">
        <v>287</v>
      </c>
      <c r="D5" s="972" t="s">
        <v>283</v>
      </c>
      <c r="E5" s="972" t="s">
        <v>284</v>
      </c>
      <c r="F5" s="970" t="s">
        <v>247</v>
      </c>
      <c r="G5" s="967" t="s">
        <v>253</v>
      </c>
      <c r="I5" s="443" t="s">
        <v>267</v>
      </c>
      <c r="J5" s="444" t="s">
        <v>268</v>
      </c>
      <c r="K5" s="445" t="s">
        <v>269</v>
      </c>
      <c r="M5" s="984" t="s">
        <v>270</v>
      </c>
      <c r="N5" s="985"/>
      <c r="O5" s="986"/>
      <c r="P5" s="446"/>
      <c r="Q5" s="987" t="s">
        <v>7</v>
      </c>
      <c r="R5" s="989" t="s">
        <v>271</v>
      </c>
      <c r="S5" s="990"/>
      <c r="T5" s="477" t="s">
        <v>272</v>
      </c>
      <c r="U5" s="447" t="s">
        <v>273</v>
      </c>
      <c r="V5" s="991" t="s">
        <v>281</v>
      </c>
      <c r="W5" s="974" t="s">
        <v>274</v>
      </c>
      <c r="X5" s="976" t="s">
        <v>275</v>
      </c>
    </row>
    <row r="6" spans="1:24" ht="28.5" customHeight="1" thickBot="1" x14ac:dyDescent="0.3">
      <c r="A6" s="966"/>
      <c r="B6" s="969"/>
      <c r="C6" s="969"/>
      <c r="D6" s="973"/>
      <c r="E6" s="973"/>
      <c r="F6" s="971"/>
      <c r="G6" s="968"/>
      <c r="I6" s="448">
        <v>10</v>
      </c>
      <c r="J6" s="449">
        <v>722</v>
      </c>
      <c r="K6" s="450">
        <f>J6/2.204623</f>
        <v>327.49363496615973</v>
      </c>
      <c r="M6" s="451"/>
      <c r="N6" s="452" t="s">
        <v>276</v>
      </c>
      <c r="O6" s="451" t="s">
        <v>277</v>
      </c>
      <c r="P6" s="442"/>
      <c r="Q6" s="988"/>
      <c r="R6" s="472" t="s">
        <v>278</v>
      </c>
      <c r="S6" s="473" t="s">
        <v>279</v>
      </c>
      <c r="T6" s="478" t="s">
        <v>279</v>
      </c>
      <c r="U6" s="453" t="s">
        <v>279</v>
      </c>
      <c r="V6" s="992"/>
      <c r="W6" s="975"/>
      <c r="X6" s="977"/>
    </row>
    <row r="7" spans="1:24" ht="15.6" thickBot="1" x14ac:dyDescent="0.3">
      <c r="A7" s="820">
        <v>1</v>
      </c>
      <c r="B7" s="821">
        <f>IF('Entries December''25'!N7-'Entries December''25'!N6&lt;1,"0",'Entries December''25'!N7-'Entries December''25'!N6)</f>
        <v>564</v>
      </c>
      <c r="C7" s="821">
        <f>IF('Entries December''25'!L7-'Entries December''25'!L6&lt;1,"0",'Entries December''25'!L7-'Entries December''25'!L6)</f>
        <v>224.92000000000007</v>
      </c>
      <c r="D7" s="821">
        <f>IF('Entries December''25'!M7-'Entries December''25'!M6&lt;1,"0",'Entries December''25'!M7-'Entries December''25'!M6)</f>
        <v>2614.9000000000233</v>
      </c>
      <c r="E7" s="821" cm="1">
        <f t="array" ref="E7:E37">TRANSPOSE('Daily KPIs'!B74:AF74)</f>
        <v>3000</v>
      </c>
      <c r="F7" s="822" cm="1">
        <f t="array" ref="F7:F37">TRANSPOSE('Daily KPIs'!B9:AF9)</f>
        <v>455.13600000000002</v>
      </c>
      <c r="G7" s="340">
        <f>IF(F7=0,"0",(E7/F7))</f>
        <v>6.5914364058215567</v>
      </c>
      <c r="I7" s="454">
        <v>20</v>
      </c>
      <c r="J7" s="455">
        <v>2857</v>
      </c>
      <c r="K7" s="456">
        <f>J7/2.204623</f>
        <v>1295.9131788065351</v>
      </c>
      <c r="M7" s="452">
        <v>75</v>
      </c>
      <c r="N7" s="452">
        <f>O7*2.204623</f>
        <v>12436.000000000002</v>
      </c>
      <c r="O7" s="452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42"/>
      <c r="Q7" s="464">
        <v>45870</v>
      </c>
      <c r="R7" s="469">
        <f>'Entries December''25'!AL6</f>
        <v>0</v>
      </c>
      <c r="S7" s="474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79" t="e">
        <f>'Entries December''25'!#REF!</f>
        <v>#REF!</v>
      </c>
      <c r="U7" s="476" t="e">
        <f>'Entries December''25'!#REF!</f>
        <v>#REF!</v>
      </c>
      <c r="V7" s="468" t="e">
        <f>'Entries December''25'!#REF!/2.204623</f>
        <v>#REF!</v>
      </c>
      <c r="W7" s="457" t="e">
        <f>S7+T7+U7+V7</f>
        <v>#REF!</v>
      </c>
      <c r="X7" s="458"/>
    </row>
    <row r="8" spans="1:24" ht="15.6" thickBot="1" x14ac:dyDescent="0.3">
      <c r="A8" s="820">
        <v>2</v>
      </c>
      <c r="B8" s="821">
        <f>IF('Entries December''25'!N8-'Entries December''25'!N7&lt;1,"0",'Entries December''25'!N8-'Entries December''25'!N7)</f>
        <v>263.06000000000131</v>
      </c>
      <c r="C8" s="821">
        <f>IF('Entries December''25'!L8-'Entries December''25'!L7&lt;1,"0",'Entries December''25'!L8-'Entries December''25'!L7)</f>
        <v>58.419999999999163</v>
      </c>
      <c r="D8" s="821">
        <f>IF('Entries December''25'!M8-'Entries December''25'!M7&lt;1,"0",'Entries December''25'!M8-'Entries December''25'!M7)</f>
        <v>1219.4100000000035</v>
      </c>
      <c r="E8" s="821">
        <v>1200</v>
      </c>
      <c r="F8" s="823">
        <v>211.92600000000002</v>
      </c>
      <c r="G8" s="340">
        <f t="shared" ref="G8:G37" si="0">IF(F8=0,"0",(E8/F8))</f>
        <v>5.6623538404914919</v>
      </c>
      <c r="I8" s="454">
        <v>30</v>
      </c>
      <c r="J8" s="455">
        <v>4344</v>
      </c>
      <c r="K8" s="456">
        <f t="shared" ref="K8:K40" si="1">J8/2.204623</f>
        <v>1970.4049173033211</v>
      </c>
      <c r="M8" s="441"/>
      <c r="N8" s="441">
        <v>12436</v>
      </c>
      <c r="O8" s="452">
        <f>N8/2.204</f>
        <v>5642.4682395644277</v>
      </c>
      <c r="P8" s="442"/>
      <c r="Q8" s="464">
        <v>45871</v>
      </c>
      <c r="R8" s="469">
        <f>'Entries December''25'!AL7</f>
        <v>0</v>
      </c>
      <c r="S8" s="474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79">
        <f>'Entries December''25'!AM6</f>
        <v>0</v>
      </c>
      <c r="U8" s="476">
        <f>'Entries December''25'!AN6</f>
        <v>0</v>
      </c>
      <c r="V8" s="468">
        <f>'Entries December''25'!AO6/2.204623</f>
        <v>0</v>
      </c>
      <c r="W8" s="457">
        <f>S8+T8+U8+V8</f>
        <v>0</v>
      </c>
      <c r="X8" s="458">
        <f>IF(W9-W8&lt;0,W8-W9,W9-W8)</f>
        <v>0</v>
      </c>
    </row>
    <row r="9" spans="1:24" ht="15.6" thickBot="1" x14ac:dyDescent="0.3">
      <c r="A9" s="820">
        <v>3</v>
      </c>
      <c r="B9" s="821">
        <f>IF('Entries December''25'!N9-'Entries December''25'!N8&lt;1,"0",'Entries December''25'!N9-'Entries December''25'!N8)</f>
        <v>372.5</v>
      </c>
      <c r="C9" s="821">
        <f>IF('Entries December''25'!L9-'Entries December''25'!L8&lt;1,"0",'Entries December''25'!L9-'Entries December''25'!L8)</f>
        <v>59.510000000000218</v>
      </c>
      <c r="D9" s="821">
        <f>IF('Entries December''25'!M9-'Entries December''25'!M8&lt;1,"0",'Entries December''25'!M9-'Entries December''25'!M8)</f>
        <v>2153.859999999986</v>
      </c>
      <c r="E9" s="821">
        <v>1700</v>
      </c>
      <c r="F9" s="823">
        <v>346.5</v>
      </c>
      <c r="G9" s="340">
        <f t="shared" si="0"/>
        <v>4.9062049062049065</v>
      </c>
      <c r="I9" s="454">
        <v>40</v>
      </c>
      <c r="J9" s="455">
        <v>6143</v>
      </c>
      <c r="K9" s="456">
        <f t="shared" si="1"/>
        <v>2786.417450965539</v>
      </c>
      <c r="M9" s="441"/>
      <c r="N9" s="441"/>
      <c r="O9" s="442">
        <f>O8/2150</f>
        <v>2.6244038323555476</v>
      </c>
      <c r="P9" s="442"/>
      <c r="Q9" s="464">
        <v>45872</v>
      </c>
      <c r="R9" s="469">
        <f>'Entries December''25'!AL8</f>
        <v>0</v>
      </c>
      <c r="S9" s="474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79">
        <f>'Entries December''25'!AM7</f>
        <v>0</v>
      </c>
      <c r="U9" s="476">
        <f>'Entries December''25'!AN7</f>
        <v>0</v>
      </c>
      <c r="V9" s="468">
        <f>'Entries December''25'!AO7/2.204623</f>
        <v>0</v>
      </c>
      <c r="W9" s="457">
        <f t="shared" ref="W9:W39" si="2">S9+T9+U9+V9</f>
        <v>0</v>
      </c>
      <c r="X9" s="458">
        <f t="shared" ref="X9:X12" si="3">IF(W10-W9&lt;0,W9-W10,W10-W9)</f>
        <v>0</v>
      </c>
    </row>
    <row r="10" spans="1:24" ht="15.6" thickBot="1" x14ac:dyDescent="0.3">
      <c r="A10" s="820">
        <v>4</v>
      </c>
      <c r="B10" s="821">
        <f>IF('Entries December''25'!N10-'Entries December''25'!N9&lt;1,"0",'Entries December''25'!N10-'Entries December''25'!N9)</f>
        <v>296.87999999999738</v>
      </c>
      <c r="C10" s="821">
        <f>IF('Entries December''25'!L10-'Entries December''25'!L9&lt;1,"0",'Entries December''25'!L10-'Entries December''25'!L9)</f>
        <v>91.75</v>
      </c>
      <c r="D10" s="821">
        <f>IF('Entries December''25'!M10-'Entries December''25'!M9&lt;1,"0",'Entries December''25'!M10-'Entries December''25'!M9)</f>
        <v>1696.6900000000023</v>
      </c>
      <c r="E10" s="821">
        <v>1600</v>
      </c>
      <c r="F10" s="823">
        <v>253.83600000000001</v>
      </c>
      <c r="G10" s="340">
        <f t="shared" si="0"/>
        <v>6.3032824343276754</v>
      </c>
      <c r="I10" s="454">
        <v>50</v>
      </c>
      <c r="J10" s="455">
        <v>7941</v>
      </c>
      <c r="K10" s="456">
        <f t="shared" si="1"/>
        <v>3601.9763923355599</v>
      </c>
      <c r="M10" s="441"/>
      <c r="N10" s="441"/>
      <c r="O10" s="442"/>
      <c r="P10" s="442"/>
      <c r="Q10" s="464">
        <v>45873</v>
      </c>
      <c r="R10" s="469">
        <f>'Entries December''25'!AL9</f>
        <v>0</v>
      </c>
      <c r="S10" s="474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79">
        <f>'Entries December''25'!AM8</f>
        <v>0</v>
      </c>
      <c r="U10" s="476">
        <f>'Entries December''25'!AN8</f>
        <v>0</v>
      </c>
      <c r="V10" s="468">
        <f>'Entries December''25'!AO8/2.204623</f>
        <v>0</v>
      </c>
      <c r="W10" s="457">
        <f t="shared" si="2"/>
        <v>0</v>
      </c>
      <c r="X10" s="458">
        <f t="shared" si="3"/>
        <v>0</v>
      </c>
    </row>
    <row r="11" spans="1:24" ht="15.6" thickBot="1" x14ac:dyDescent="0.3">
      <c r="A11" s="820">
        <v>5</v>
      </c>
      <c r="B11" s="821">
        <f>IF('Entries December''25'!N11-'Entries December''25'!N10&lt;1,"0",'Entries December''25'!N11-'Entries December''25'!N10)</f>
        <v>301</v>
      </c>
      <c r="C11" s="821">
        <f>IF('Entries December''25'!L11-'Entries December''25'!L10&lt;1,"0",'Entries December''25'!L11-'Entries December''25'!L10)</f>
        <v>246.32999999999993</v>
      </c>
      <c r="D11" s="821">
        <f>IF('Entries December''25'!M11-'Entries December''25'!M10&lt;1,"0",'Entries December''25'!M11-'Entries December''25'!M10)</f>
        <v>1737.1699999999837</v>
      </c>
      <c r="E11" s="821">
        <v>1600</v>
      </c>
      <c r="F11" s="823">
        <v>262.74600000000004</v>
      </c>
      <c r="G11" s="340">
        <f t="shared" si="0"/>
        <v>6.089531334444672</v>
      </c>
      <c r="I11" s="454">
        <v>60</v>
      </c>
      <c r="J11" s="455">
        <v>9739</v>
      </c>
      <c r="K11" s="456">
        <f t="shared" si="1"/>
        <v>4417.5353337055813</v>
      </c>
      <c r="M11" s="441"/>
      <c r="N11" s="441"/>
      <c r="O11" s="442"/>
      <c r="P11" s="442"/>
      <c r="Q11" s="464">
        <v>45874</v>
      </c>
      <c r="R11" s="469">
        <f>'Entries December''25'!AL10</f>
        <v>0</v>
      </c>
      <c r="S11" s="474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79">
        <f>'Entries December''25'!AM9</f>
        <v>0</v>
      </c>
      <c r="U11" s="476">
        <f>'Entries December''25'!AN9</f>
        <v>0</v>
      </c>
      <c r="V11" s="468">
        <f>'Entries December''25'!AO9/2.204623</f>
        <v>0</v>
      </c>
      <c r="W11" s="457">
        <f t="shared" si="2"/>
        <v>0</v>
      </c>
      <c r="X11" s="458">
        <f t="shared" si="3"/>
        <v>0</v>
      </c>
    </row>
    <row r="12" spans="1:24" ht="15.6" thickBot="1" x14ac:dyDescent="0.3">
      <c r="A12" s="824">
        <v>6</v>
      </c>
      <c r="B12" s="825">
        <f>IF('Entries December''25'!N12-'Entries December''25'!N11&lt;1,"0",'Entries December''25'!N12-'Entries December''25'!N11)</f>
        <v>325.04000000000087</v>
      </c>
      <c r="C12" s="825">
        <f>IF('Entries December''25'!L12-'Entries December''25'!L11&lt;1,"0",'Entries December''25'!L12-'Entries December''25'!L11)</f>
        <v>239.68000000000029</v>
      </c>
      <c r="D12" s="825">
        <f>IF('Entries December''25'!M12-'Entries December''25'!M11&lt;1,"0",'Entries December''25'!M12-'Entries December''25'!M11)</f>
        <v>1770.5600000000268</v>
      </c>
      <c r="E12" s="825">
        <v>800</v>
      </c>
      <c r="F12" s="826">
        <v>302.67599999999999</v>
      </c>
      <c r="G12" s="340">
        <f>IF(F12=0,"0",(E12/F12))</f>
        <v>2.6430903011801399</v>
      </c>
      <c r="I12" s="454">
        <v>70</v>
      </c>
      <c r="J12" s="455">
        <v>11537</v>
      </c>
      <c r="K12" s="456">
        <f t="shared" si="1"/>
        <v>5233.0942750756021</v>
      </c>
      <c r="M12" s="441"/>
      <c r="N12" s="441"/>
      <c r="O12" s="442"/>
      <c r="P12" s="442"/>
      <c r="Q12" s="464">
        <v>45875</v>
      </c>
      <c r="R12" s="469">
        <f>'Entries December''25'!AL11</f>
        <v>0</v>
      </c>
      <c r="S12" s="474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79">
        <f>'Entries December''25'!AM10</f>
        <v>0</v>
      </c>
      <c r="U12" s="476">
        <f>'Entries December''25'!AN10</f>
        <v>0</v>
      </c>
      <c r="V12" s="468">
        <f>'Entries December''25'!AO10/2.204623</f>
        <v>0</v>
      </c>
      <c r="W12" s="457">
        <f t="shared" si="2"/>
        <v>0</v>
      </c>
      <c r="X12" s="458">
        <f t="shared" si="3"/>
        <v>0</v>
      </c>
    </row>
    <row r="13" spans="1:24" ht="15.6" thickBot="1" x14ac:dyDescent="0.3">
      <c r="A13" s="824">
        <v>7</v>
      </c>
      <c r="B13" s="825">
        <f>IF('Entries December''25'!N13-'Entries December''25'!N12&lt;1,"0",'Entries December''25'!N13-'Entries December''25'!N12)</f>
        <v>363.56999999999971</v>
      </c>
      <c r="C13" s="825">
        <f>IF('Entries December''25'!L13-'Entries December''25'!L12&lt;1,"0",'Entries December''25'!L13-'Entries December''25'!L12)</f>
        <v>184.35999999999967</v>
      </c>
      <c r="D13" s="825">
        <f>IF('Entries December''25'!M13-'Entries December''25'!M12&lt;1,"0",'Entries December''25'!M13-'Entries December''25'!M12)</f>
        <v>2328.9099999999744</v>
      </c>
      <c r="E13" s="825">
        <v>2900</v>
      </c>
      <c r="F13" s="826">
        <v>388.55040000000002</v>
      </c>
      <c r="G13" s="340">
        <f t="shared" si="0"/>
        <v>7.4636392087101182</v>
      </c>
      <c r="I13" s="454">
        <v>80</v>
      </c>
      <c r="J13" s="455">
        <v>13335</v>
      </c>
      <c r="K13" s="456">
        <f t="shared" si="1"/>
        <v>6048.653216445623</v>
      </c>
      <c r="M13" s="441"/>
      <c r="N13" s="441"/>
      <c r="O13" s="442"/>
      <c r="P13" s="442"/>
      <c r="Q13" s="464">
        <v>45876</v>
      </c>
      <c r="R13" s="469">
        <f>'Entries December''25'!AL12</f>
        <v>0</v>
      </c>
      <c r="S13" s="474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79">
        <f>'Entries December''25'!AM11</f>
        <v>0</v>
      </c>
      <c r="U13" s="476">
        <f>'Entries December''25'!AN11</f>
        <v>0</v>
      </c>
      <c r="V13" s="468">
        <f>'Entries December''25'!AO11/2.204623</f>
        <v>0</v>
      </c>
      <c r="W13" s="457">
        <f t="shared" si="2"/>
        <v>0</v>
      </c>
      <c r="X13" s="458"/>
    </row>
    <row r="14" spans="1:24" ht="15.6" thickBot="1" x14ac:dyDescent="0.3">
      <c r="A14" s="820">
        <v>8</v>
      </c>
      <c r="B14" s="821">
        <f>IF('Entries December''25'!N14-'Entries December''25'!N13&lt;1,"0",'Entries December''25'!N14-'Entries December''25'!N13)</f>
        <v>477.30999999999767</v>
      </c>
      <c r="C14" s="821">
        <f>IF('Entries December''25'!L14-'Entries December''25'!L13&lt;1,"0",'Entries December''25'!L14-'Entries December''25'!L13)</f>
        <v>183.53000000000065</v>
      </c>
      <c r="D14" s="821">
        <f>IF('Entries December''25'!M14-'Entries December''25'!M13&lt;1,"0",'Entries December''25'!M14-'Entries December''25'!M13)</f>
        <v>2505.9500000000116</v>
      </c>
      <c r="E14" s="821">
        <v>2000</v>
      </c>
      <c r="F14" s="823">
        <v>447.88440000000003</v>
      </c>
      <c r="G14" s="340">
        <f t="shared" si="0"/>
        <v>4.4654379567584845</v>
      </c>
      <c r="I14" s="454">
        <v>90</v>
      </c>
      <c r="J14" s="455">
        <v>15134</v>
      </c>
      <c r="K14" s="456">
        <f t="shared" si="1"/>
        <v>6864.6657501078407</v>
      </c>
      <c r="M14" s="441"/>
      <c r="N14" s="441"/>
      <c r="O14" s="442"/>
      <c r="P14" s="442"/>
      <c r="Q14" s="464">
        <v>45877</v>
      </c>
      <c r="R14" s="469">
        <f>'Entries December''25'!AL13</f>
        <v>0</v>
      </c>
      <c r="S14" s="474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79">
        <f>'Entries December''25'!AM12</f>
        <v>0</v>
      </c>
      <c r="U14" s="476">
        <f>'Entries December''25'!AN12</f>
        <v>0</v>
      </c>
      <c r="V14" s="468">
        <f>'Entries December''25'!AO12/2.204623</f>
        <v>0</v>
      </c>
      <c r="W14" s="457">
        <f t="shared" si="2"/>
        <v>0</v>
      </c>
      <c r="X14" s="458">
        <f>W14-S15</f>
        <v>0</v>
      </c>
    </row>
    <row r="15" spans="1:24" ht="15.6" thickBot="1" x14ac:dyDescent="0.3">
      <c r="A15" s="820">
        <v>9</v>
      </c>
      <c r="B15" s="821">
        <f>IF('Entries December''25'!N15-'Entries December''25'!N14&lt;1,"0",'Entries December''25'!N15-'Entries December''25'!N14)</f>
        <v>267.95000000000437</v>
      </c>
      <c r="C15" s="821">
        <f>IF('Entries December''25'!L15-'Entries December''25'!L14&lt;1,"0",'Entries December''25'!L15-'Entries December''25'!L14)</f>
        <v>132.69999999999982</v>
      </c>
      <c r="D15" s="821">
        <f>IF('Entries December''25'!M15-'Entries December''25'!M14&lt;1,"0",'Entries December''25'!M15-'Entries December''25'!M14)</f>
        <v>1557.4100000000035</v>
      </c>
      <c r="E15" s="821">
        <v>900</v>
      </c>
      <c r="F15" s="823">
        <v>214.76400000000001</v>
      </c>
      <c r="G15" s="340">
        <f t="shared" si="0"/>
        <v>4.1906464770631944</v>
      </c>
      <c r="I15" s="454">
        <v>100</v>
      </c>
      <c r="J15" s="455">
        <v>16932</v>
      </c>
      <c r="K15" s="456">
        <f t="shared" si="1"/>
        <v>7680.2246914778616</v>
      </c>
      <c r="M15" s="441"/>
      <c r="N15" s="441"/>
      <c r="O15" s="442"/>
      <c r="P15" s="442"/>
      <c r="Q15" s="464">
        <v>45878</v>
      </c>
      <c r="R15" s="469">
        <f>'Entries December''25'!AL14</f>
        <v>0</v>
      </c>
      <c r="S15" s="474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79">
        <f>'Entries December''25'!AM13</f>
        <v>0</v>
      </c>
      <c r="U15" s="476">
        <f>'Entries December''25'!AN13</f>
        <v>0</v>
      </c>
      <c r="V15" s="468">
        <f>'Entries December''25'!AO13/2.204623</f>
        <v>0</v>
      </c>
      <c r="W15" s="457">
        <f t="shared" si="2"/>
        <v>0</v>
      </c>
      <c r="X15" s="458"/>
    </row>
    <row r="16" spans="1:24" ht="15.6" thickBot="1" x14ac:dyDescent="0.3">
      <c r="A16" s="820">
        <v>10</v>
      </c>
      <c r="B16" s="821">
        <f>IF('Entries December''25'!N16-'Entries December''25'!N15&lt;1,"0",'Entries December''25'!N16-'Entries December''25'!N15)</f>
        <v>475.09999999999854</v>
      </c>
      <c r="C16" s="821">
        <f>IF('Entries December''25'!L16-'Entries December''25'!L15&lt;1,"0",'Entries December''25'!L16-'Entries December''25'!L15)</f>
        <v>70.769999999999527</v>
      </c>
      <c r="D16" s="821">
        <f>IF('Entries December''25'!M16-'Entries December''25'!M15&lt;1,"0",'Entries December''25'!M16-'Entries December''25'!M15)</f>
        <v>3318.5400000000081</v>
      </c>
      <c r="E16" s="821">
        <v>4800</v>
      </c>
      <c r="F16" s="823">
        <v>437.05200000000002</v>
      </c>
      <c r="G16" s="340">
        <f t="shared" si="0"/>
        <v>10.982674830454958</v>
      </c>
      <c r="I16" s="454">
        <v>110</v>
      </c>
      <c r="J16" s="455">
        <v>18730</v>
      </c>
      <c r="K16" s="456">
        <f t="shared" si="1"/>
        <v>8495.7836328478825</v>
      </c>
      <c r="M16" s="441"/>
      <c r="N16" s="441"/>
      <c r="O16" s="442"/>
      <c r="P16" s="442"/>
      <c r="Q16" s="464">
        <v>45879</v>
      </c>
      <c r="R16" s="469">
        <f>'Entries December''25'!AL15</f>
        <v>0</v>
      </c>
      <c r="S16" s="474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79">
        <f>'Entries December''25'!AM14</f>
        <v>0</v>
      </c>
      <c r="U16" s="476">
        <f>'Entries December''25'!AN14</f>
        <v>0</v>
      </c>
      <c r="V16" s="468">
        <f>'Entries December''25'!AO14/2.204623</f>
        <v>0</v>
      </c>
      <c r="W16" s="457">
        <f t="shared" si="2"/>
        <v>0</v>
      </c>
      <c r="X16" s="458">
        <f t="shared" ref="X16:X38" si="4">IF(W17-W16&lt;0,W16-W17,W17-W16)</f>
        <v>0</v>
      </c>
    </row>
    <row r="17" spans="1:24" ht="15.6" thickBot="1" x14ac:dyDescent="0.3">
      <c r="A17" s="820">
        <v>11</v>
      </c>
      <c r="B17" s="821">
        <f>IF('Entries December''25'!N17-'Entries December''25'!N16&lt;1,"0",'Entries December''25'!N17-'Entries December''25'!N16)</f>
        <v>324.79000000000087</v>
      </c>
      <c r="C17" s="821">
        <f>IF('Entries December''25'!L17-'Entries December''25'!L16&lt;1,"0",'Entries December''25'!L17-'Entries December''25'!L16)</f>
        <v>210.75</v>
      </c>
      <c r="D17" s="821">
        <f>IF('Entries December''25'!M17-'Entries December''25'!M16&lt;1,"0",'Entries December''25'!M17-'Entries December''25'!M16)</f>
        <v>2430.109999999986</v>
      </c>
      <c r="E17" s="821">
        <v>2000</v>
      </c>
      <c r="F17" s="823">
        <v>332.83800000000002</v>
      </c>
      <c r="G17" s="340">
        <f t="shared" si="0"/>
        <v>6.0089292688935751</v>
      </c>
      <c r="I17" s="454">
        <v>120</v>
      </c>
      <c r="J17" s="455">
        <v>20528</v>
      </c>
      <c r="K17" s="456">
        <f t="shared" si="1"/>
        <v>9311.3425742179043</v>
      </c>
      <c r="M17" s="441"/>
      <c r="N17" s="441"/>
      <c r="O17" s="442"/>
      <c r="P17" s="442"/>
      <c r="Q17" s="464">
        <v>45880</v>
      </c>
      <c r="R17" s="469">
        <f>'Entries December''25'!AL16</f>
        <v>0</v>
      </c>
      <c r="S17" s="474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79">
        <f>'Entries December''25'!AM15</f>
        <v>0</v>
      </c>
      <c r="U17" s="476">
        <f>'Entries December''25'!AN15</f>
        <v>0</v>
      </c>
      <c r="V17" s="468">
        <f>'Entries December''25'!AO15/2.204623</f>
        <v>0</v>
      </c>
      <c r="W17" s="457">
        <f>S17+T17+U17+V17</f>
        <v>0</v>
      </c>
      <c r="X17" s="458">
        <f t="shared" si="4"/>
        <v>0</v>
      </c>
    </row>
    <row r="18" spans="1:24" ht="15.6" thickBot="1" x14ac:dyDescent="0.3">
      <c r="A18" s="820">
        <v>12</v>
      </c>
      <c r="B18" s="821">
        <f>IF('Entries December''25'!N18-'Entries December''25'!N17&lt;1,"0",'Entries December''25'!N18-'Entries December''25'!N17)</f>
        <v>328.51000000000204</v>
      </c>
      <c r="C18" s="821">
        <f>IF('Entries December''25'!L18-'Entries December''25'!L17&lt;1,"0",'Entries December''25'!L18-'Entries December''25'!L17)</f>
        <v>222.57000000000062</v>
      </c>
      <c r="D18" s="821">
        <f>IF('Entries December''25'!M18-'Entries December''25'!M17&lt;1,"0",'Entries December''25'!M18-'Entries December''25'!M17)</f>
        <v>2265.570000000007</v>
      </c>
      <c r="E18" s="821">
        <v>1600</v>
      </c>
      <c r="F18" s="823">
        <v>259.05</v>
      </c>
      <c r="G18" s="340">
        <f t="shared" si="0"/>
        <v>6.1764138197259211</v>
      </c>
      <c r="I18" s="454">
        <v>130</v>
      </c>
      <c r="J18" s="455">
        <v>22326</v>
      </c>
      <c r="K18" s="456">
        <f t="shared" si="1"/>
        <v>10126.901515587924</v>
      </c>
      <c r="M18" s="441"/>
      <c r="N18" s="441"/>
      <c r="O18" s="442"/>
      <c r="P18" s="442"/>
      <c r="Q18" s="464">
        <v>45881</v>
      </c>
      <c r="R18" s="469">
        <f>'Entries December''25'!AL17</f>
        <v>0</v>
      </c>
      <c r="S18" s="474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79">
        <f>'Entries December''25'!AM16</f>
        <v>0</v>
      </c>
      <c r="U18" s="476">
        <f>'Entries December''25'!AN16</f>
        <v>0</v>
      </c>
      <c r="V18" s="468">
        <f>'Entries December''25'!AO16/2.204623</f>
        <v>0</v>
      </c>
      <c r="W18" s="457">
        <f t="shared" si="2"/>
        <v>0</v>
      </c>
      <c r="X18" s="458">
        <f t="shared" si="4"/>
        <v>0</v>
      </c>
    </row>
    <row r="19" spans="1:24" ht="15.6" thickBot="1" x14ac:dyDescent="0.3">
      <c r="A19" s="820">
        <v>13</v>
      </c>
      <c r="B19" s="821">
        <f>IF('Entries December''25'!N19-'Entries December''25'!N18&lt;1,"0",'Entries December''25'!N19-'Entries December''25'!N18)</f>
        <v>238.5399999999936</v>
      </c>
      <c r="C19" s="821" t="str">
        <f>IF('Entries December''25'!L19-'Entries December''25'!L18&lt;1,"0",'Entries December''25'!L19-'Entries December''25'!L18)</f>
        <v>0</v>
      </c>
      <c r="D19" s="821">
        <f>IF('Entries December''25'!M19-'Entries December''25'!M18&lt;1,"0",'Entries December''25'!M19-'Entries December''25'!M18)</f>
        <v>955.02999999999884</v>
      </c>
      <c r="E19" s="821">
        <v>200</v>
      </c>
      <c r="F19" s="823">
        <v>190.608</v>
      </c>
      <c r="G19" s="340">
        <f t="shared" si="0"/>
        <v>1.0492739024594979</v>
      </c>
      <c r="I19" s="454">
        <v>140</v>
      </c>
      <c r="J19" s="455">
        <v>24125</v>
      </c>
      <c r="K19" s="456">
        <f t="shared" si="1"/>
        <v>10942.914049250143</v>
      </c>
      <c r="M19" s="441"/>
      <c r="N19" s="441"/>
      <c r="O19" s="442"/>
      <c r="P19" s="442"/>
      <c r="Q19" s="464">
        <v>45882</v>
      </c>
      <c r="R19" s="469">
        <f>'Entries December''25'!AL18</f>
        <v>0</v>
      </c>
      <c r="S19" s="474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79">
        <f>'Entries December''25'!AM17</f>
        <v>0</v>
      </c>
      <c r="U19" s="476">
        <f>'Entries December''25'!AN17</f>
        <v>0</v>
      </c>
      <c r="V19" s="468">
        <f>'Entries December''25'!AO17/2.204623</f>
        <v>0</v>
      </c>
      <c r="W19" s="457">
        <f t="shared" si="2"/>
        <v>0</v>
      </c>
      <c r="X19" s="458">
        <f t="shared" si="4"/>
        <v>0</v>
      </c>
    </row>
    <row r="20" spans="1:24" ht="15.6" thickBot="1" x14ac:dyDescent="0.3">
      <c r="A20" s="824">
        <v>14</v>
      </c>
      <c r="B20" s="825">
        <f>IF('Entries December''25'!N20-'Entries December''25'!N19&lt;1,"0",'Entries December''25'!N20-'Entries December''25'!N19)</f>
        <v>377.10000000000582</v>
      </c>
      <c r="C20" s="825">
        <f>IF('Entries December''25'!L20-'Entries December''25'!L19&lt;1,"0",'Entries December''25'!L20-'Entries December''25'!L19)</f>
        <v>305.80000000000018</v>
      </c>
      <c r="D20" s="825">
        <f>IF('Entries December''25'!M20-'Entries December''25'!M19&lt;1,"0",'Entries December''25'!M20-'Entries December''25'!M19)</f>
        <v>2492.9599999999919</v>
      </c>
      <c r="E20" s="825">
        <v>2300</v>
      </c>
      <c r="F20" s="826">
        <v>389.154</v>
      </c>
      <c r="G20" s="340">
        <f t="shared" si="0"/>
        <v>5.9102566079238557</v>
      </c>
      <c r="I20" s="454">
        <v>150</v>
      </c>
      <c r="J20" s="455">
        <v>25923</v>
      </c>
      <c r="K20" s="456">
        <f t="shared" si="1"/>
        <v>11758.472990620165</v>
      </c>
      <c r="M20" s="441"/>
      <c r="N20" s="441"/>
      <c r="O20" s="442"/>
      <c r="P20" s="442"/>
      <c r="Q20" s="464">
        <v>45883</v>
      </c>
      <c r="R20" s="469">
        <f>'Entries December''25'!AL19</f>
        <v>0</v>
      </c>
      <c r="S20" s="474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79">
        <f>'Entries December''25'!AM18</f>
        <v>0</v>
      </c>
      <c r="U20" s="476">
        <f>'Entries December''25'!AN18</f>
        <v>0</v>
      </c>
      <c r="V20" s="468">
        <f>'Entries December''25'!AO18/2.204623</f>
        <v>0</v>
      </c>
      <c r="W20" s="457">
        <f t="shared" si="2"/>
        <v>0</v>
      </c>
      <c r="X20" s="458">
        <f t="shared" si="4"/>
        <v>0</v>
      </c>
    </row>
    <row r="21" spans="1:24" ht="15.6" thickBot="1" x14ac:dyDescent="0.3">
      <c r="A21" s="824">
        <v>15</v>
      </c>
      <c r="B21" s="825">
        <f>IF('Entries December''25'!N21-'Entries December''25'!N20&lt;1,"0",'Entries December''25'!N21-'Entries December''25'!N20)</f>
        <v>516.98999999999796</v>
      </c>
      <c r="C21" s="825">
        <f>IF('Entries December''25'!L21-'Entries December''25'!L20&lt;1,"0",'Entries December''25'!L21-'Entries December''25'!L20)</f>
        <v>183.07999999999993</v>
      </c>
      <c r="D21" s="825">
        <f>IF('Entries December''25'!M21-'Entries December''25'!M20&lt;1,"0",'Entries December''25'!M21-'Entries December''25'!M20)</f>
        <v>2751.4800000000105</v>
      </c>
      <c r="E21" s="825">
        <v>2500</v>
      </c>
      <c r="F21" s="826">
        <v>369.45600000000002</v>
      </c>
      <c r="G21" s="340">
        <f t="shared" si="0"/>
        <v>6.7667056428911696</v>
      </c>
      <c r="I21" s="454">
        <v>160</v>
      </c>
      <c r="J21" s="455">
        <v>27721</v>
      </c>
      <c r="K21" s="456">
        <f t="shared" si="1"/>
        <v>12574.031931990185</v>
      </c>
      <c r="M21" s="441"/>
      <c r="N21" s="441"/>
      <c r="O21" s="442"/>
      <c r="P21" s="442"/>
      <c r="Q21" s="464">
        <v>45884</v>
      </c>
      <c r="R21" s="469">
        <f>'Entries December''25'!AL20</f>
        <v>0</v>
      </c>
      <c r="S21" s="474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79">
        <f>'Entries December''25'!AM19</f>
        <v>0</v>
      </c>
      <c r="U21" s="476">
        <f>'Entries December''25'!AN19</f>
        <v>0</v>
      </c>
      <c r="V21" s="468">
        <f>'Entries December''25'!AO19/2.204623</f>
        <v>0</v>
      </c>
      <c r="W21" s="457">
        <f t="shared" si="2"/>
        <v>0</v>
      </c>
      <c r="X21" s="458">
        <f t="shared" si="4"/>
        <v>0</v>
      </c>
    </row>
    <row r="22" spans="1:24" ht="15.6" thickBot="1" x14ac:dyDescent="0.3">
      <c r="A22" s="820">
        <v>16</v>
      </c>
      <c r="B22" s="821">
        <f>IF('Entries December''25'!N22-'Entries December''25'!N21&lt;1,"0",'Entries December''25'!N22-'Entries December''25'!N21)</f>
        <v>411.05000000000291</v>
      </c>
      <c r="C22" s="821">
        <f>IF('Entries December''25'!L22-'Entries December''25'!L21&lt;1,"0",'Entries December''25'!L22-'Entries December''25'!L21)</f>
        <v>137.95000000000073</v>
      </c>
      <c r="D22" s="821">
        <f>IF('Entries December''25'!M22-'Entries December''25'!M21&lt;1,"0",'Entries December''25'!M22-'Entries December''25'!M21)</f>
        <v>2426.8500000000058</v>
      </c>
      <c r="E22" s="821">
        <v>2400</v>
      </c>
      <c r="F22" s="823">
        <v>362.80200000000002</v>
      </c>
      <c r="G22" s="340">
        <f t="shared" si="0"/>
        <v>6.6151785271305004</v>
      </c>
      <c r="I22" s="454">
        <v>170</v>
      </c>
      <c r="J22" s="455">
        <v>29519</v>
      </c>
      <c r="K22" s="456">
        <f t="shared" si="1"/>
        <v>13389.590873360206</v>
      </c>
      <c r="M22" s="441"/>
      <c r="N22" s="441"/>
      <c r="O22" s="442"/>
      <c r="P22" s="442"/>
      <c r="Q22" s="464">
        <v>45885</v>
      </c>
      <c r="R22" s="469">
        <f>'Entries December''25'!AL21</f>
        <v>0</v>
      </c>
      <c r="S22" s="474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79">
        <f>'Entries December''25'!AM20</f>
        <v>0</v>
      </c>
      <c r="U22" s="476">
        <f>'Entries December''25'!AN20</f>
        <v>0</v>
      </c>
      <c r="V22" s="468">
        <f>'Entries December''25'!AO20/2.204623</f>
        <v>0</v>
      </c>
      <c r="W22" s="457">
        <f t="shared" si="2"/>
        <v>0</v>
      </c>
      <c r="X22" s="458">
        <f t="shared" si="4"/>
        <v>0</v>
      </c>
    </row>
    <row r="23" spans="1:24" ht="15.6" thickBot="1" x14ac:dyDescent="0.3">
      <c r="A23" s="820">
        <v>17</v>
      </c>
      <c r="B23" s="821">
        <f>IF('Entries December''25'!N23-'Entries December''25'!N22&lt;1,"0",'Entries December''25'!N23-'Entries December''25'!N22)</f>
        <v>421</v>
      </c>
      <c r="C23" s="821">
        <f>IF('Entries December''25'!L23-'Entries December''25'!L22&lt;1,"0",'Entries December''25'!L23-'Entries December''25'!L22)</f>
        <v>114.05999999999949</v>
      </c>
      <c r="D23" s="821">
        <f>IF('Entries December''25'!M23-'Entries December''25'!M22&lt;1,"0",'Entries December''25'!M23-'Entries December''25'!M22)</f>
        <v>2601.7399999999907</v>
      </c>
      <c r="E23" s="821">
        <v>2500</v>
      </c>
      <c r="F23" s="823">
        <v>489.06</v>
      </c>
      <c r="G23" s="340">
        <f t="shared" si="0"/>
        <v>5.111847217110375</v>
      </c>
      <c r="I23" s="454">
        <v>180</v>
      </c>
      <c r="J23" s="455">
        <v>31317</v>
      </c>
      <c r="K23" s="456">
        <f t="shared" si="1"/>
        <v>14205.149814730226</v>
      </c>
      <c r="M23" s="441"/>
      <c r="N23" s="441"/>
      <c r="O23" s="442"/>
      <c r="P23" s="442"/>
      <c r="Q23" s="464">
        <v>45886</v>
      </c>
      <c r="R23" s="469">
        <f>'Entries December''25'!AL22</f>
        <v>0</v>
      </c>
      <c r="S23" s="474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79">
        <f>'Entries December''25'!AM21</f>
        <v>0</v>
      </c>
      <c r="U23" s="476">
        <f>'Entries December''25'!AN21</f>
        <v>0</v>
      </c>
      <c r="V23" s="468">
        <f>'Entries December''25'!AO21/2.204623</f>
        <v>0</v>
      </c>
      <c r="W23" s="457">
        <f t="shared" si="2"/>
        <v>0</v>
      </c>
      <c r="X23" s="458">
        <f t="shared" si="4"/>
        <v>0</v>
      </c>
    </row>
    <row r="24" spans="1:24" ht="15.6" thickBot="1" x14ac:dyDescent="0.3">
      <c r="A24" s="820">
        <v>18</v>
      </c>
      <c r="B24" s="821">
        <f>IF('Entries December''25'!N24-'Entries December''25'!N23&lt;1,"0",'Entries December''25'!N24-'Entries December''25'!N23)</f>
        <v>410.63999999999942</v>
      </c>
      <c r="C24" s="821">
        <f>IF('Entries December''25'!L24-'Entries December''25'!L23&lt;1,"0",'Entries December''25'!L24-'Entries December''25'!L23)</f>
        <v>221.26000000000022</v>
      </c>
      <c r="D24" s="821">
        <f>IF('Entries December''25'!M24-'Entries December''25'!M23&lt;1,"0",'Entries December''25'!M24-'Entries December''25'!M23)</f>
        <v>2593.8399999999965</v>
      </c>
      <c r="E24" s="821">
        <v>2500</v>
      </c>
      <c r="F24" s="823">
        <v>459.62400000000002</v>
      </c>
      <c r="G24" s="340">
        <f t="shared" si="0"/>
        <v>5.4392285868448988</v>
      </c>
      <c r="I24" s="454">
        <v>190</v>
      </c>
      <c r="J24" s="455">
        <v>33116</v>
      </c>
      <c r="K24" s="456">
        <f t="shared" si="1"/>
        <v>15021.162348392445</v>
      </c>
      <c r="M24" s="441"/>
      <c r="N24" s="441"/>
      <c r="O24" s="442"/>
      <c r="P24" s="442"/>
      <c r="Q24" s="464">
        <v>45887</v>
      </c>
      <c r="R24" s="469">
        <f>'Entries December''25'!AL23</f>
        <v>0</v>
      </c>
      <c r="S24" s="474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79">
        <f>'Entries December''25'!AM22</f>
        <v>0</v>
      </c>
      <c r="U24" s="476">
        <f>'Entries December''25'!AN22</f>
        <v>0</v>
      </c>
      <c r="V24" s="468">
        <f>'Entries December''25'!AO22/2.204623</f>
        <v>0</v>
      </c>
      <c r="W24" s="457">
        <f t="shared" si="2"/>
        <v>0</v>
      </c>
      <c r="X24" s="458">
        <f t="shared" si="4"/>
        <v>0</v>
      </c>
    </row>
    <row r="25" spans="1:24" ht="15.6" thickBot="1" x14ac:dyDescent="0.3">
      <c r="A25" s="820">
        <v>19</v>
      </c>
      <c r="B25" s="821">
        <f>IF('Entries December''25'!N25-'Entries December''25'!N24&lt;1,"0",'Entries December''25'!N25-'Entries December''25'!N24)</f>
        <v>402.48999999999796</v>
      </c>
      <c r="C25" s="821">
        <f>IF('Entries December''25'!L25-'Entries December''25'!L24&lt;1,"0",'Entries December''25'!L25-'Entries December''25'!L24)</f>
        <v>301.59000000000015</v>
      </c>
      <c r="D25" s="821">
        <f>IF('Entries December''25'!M25-'Entries December''25'!M24&lt;1,"0",'Entries December''25'!M25-'Entries December''25'!M24)</f>
        <v>2531.3300000000163</v>
      </c>
      <c r="E25" s="821">
        <v>2400</v>
      </c>
      <c r="F25" s="823">
        <v>479.226</v>
      </c>
      <c r="G25" s="340">
        <f t="shared" si="0"/>
        <v>5.0080755217788688</v>
      </c>
      <c r="I25" s="454">
        <v>200</v>
      </c>
      <c r="J25" s="455">
        <v>34914</v>
      </c>
      <c r="K25" s="456">
        <f t="shared" si="1"/>
        <v>15836.721289762465</v>
      </c>
      <c r="M25" s="441"/>
      <c r="N25" s="441"/>
      <c r="O25" s="442"/>
      <c r="P25" s="442"/>
      <c r="Q25" s="464">
        <v>45888</v>
      </c>
      <c r="R25" s="469">
        <f>'Entries December''25'!AL24</f>
        <v>0</v>
      </c>
      <c r="S25" s="474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79">
        <f>'Entries December''25'!AM23</f>
        <v>0</v>
      </c>
      <c r="U25" s="476">
        <f>'Entries December''25'!AN23</f>
        <v>0</v>
      </c>
      <c r="V25" s="468">
        <f>'Entries December''25'!AO23/2.204623</f>
        <v>0</v>
      </c>
      <c r="W25" s="457">
        <f t="shared" si="2"/>
        <v>0</v>
      </c>
      <c r="X25" s="458">
        <f t="shared" si="4"/>
        <v>0</v>
      </c>
    </row>
    <row r="26" spans="1:24" ht="15.6" thickBot="1" x14ac:dyDescent="0.3">
      <c r="A26" s="824">
        <v>20</v>
      </c>
      <c r="B26" s="825" t="str">
        <f>IF('Entries December''25'!N26-'Entries December''25'!N25&lt;1,"0",'Entries December''25'!N26-'Entries December''25'!N25)</f>
        <v>0</v>
      </c>
      <c r="C26" s="825" t="str">
        <f>IF('Entries December''25'!L26-'Entries December''25'!L25&lt;1,"0",'Entries December''25'!L26-'Entries December''25'!L25)</f>
        <v>0</v>
      </c>
      <c r="D26" s="825" t="str">
        <f>IF('Entries December''25'!M26-'Entries December''25'!M25&lt;1,"0",'Entries December''25'!M26-'Entries December''25'!M25)</f>
        <v>0</v>
      </c>
      <c r="E26" s="825">
        <v>0</v>
      </c>
      <c r="F26" s="826">
        <v>0</v>
      </c>
      <c r="G26" s="340" t="str">
        <f t="shared" si="0"/>
        <v>0</v>
      </c>
      <c r="I26" s="454">
        <v>210</v>
      </c>
      <c r="J26" s="455">
        <v>36712</v>
      </c>
      <c r="K26" s="456">
        <f t="shared" si="1"/>
        <v>16652.280231132489</v>
      </c>
      <c r="M26" s="441"/>
      <c r="N26" s="441"/>
      <c r="O26" s="442"/>
      <c r="P26" s="442"/>
      <c r="Q26" s="464">
        <v>45889</v>
      </c>
      <c r="R26" s="469">
        <f>'Entries December''25'!AL25</f>
        <v>0</v>
      </c>
      <c r="S26" s="474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79">
        <f>'Entries December''25'!AM24</f>
        <v>0</v>
      </c>
      <c r="U26" s="476">
        <f>'Entries December''25'!AN24</f>
        <v>0</v>
      </c>
      <c r="V26" s="468">
        <f>'Entries December''25'!AO24/2.204623</f>
        <v>0</v>
      </c>
      <c r="W26" s="457">
        <f t="shared" si="2"/>
        <v>0</v>
      </c>
      <c r="X26" s="458">
        <f t="shared" si="4"/>
        <v>0</v>
      </c>
    </row>
    <row r="27" spans="1:24" ht="15.6" thickBot="1" x14ac:dyDescent="0.3">
      <c r="A27" s="824">
        <v>21</v>
      </c>
      <c r="B27" s="825" t="str">
        <f>IF('Entries December''25'!N27-'Entries December''25'!N26&lt;1,"0",'Entries December''25'!N27-'Entries December''25'!N26)</f>
        <v>0</v>
      </c>
      <c r="C27" s="825" t="str">
        <f>IF('Entries December''25'!L27-'Entries December''25'!L26&lt;1,"0",'Entries December''25'!L27-'Entries December''25'!L26)</f>
        <v>0</v>
      </c>
      <c r="D27" s="825" t="str">
        <f>IF('Entries December''25'!M27-'Entries December''25'!M26&lt;1,"0",'Entries December''25'!M27-'Entries December''25'!M26)</f>
        <v>0</v>
      </c>
      <c r="E27" s="825">
        <v>2700</v>
      </c>
      <c r="F27" s="826">
        <v>0</v>
      </c>
      <c r="G27" s="340" t="str">
        <f t="shared" si="0"/>
        <v>0</v>
      </c>
      <c r="I27" s="454">
        <v>220</v>
      </c>
      <c r="J27" s="455">
        <v>38510</v>
      </c>
      <c r="K27" s="456">
        <f t="shared" si="1"/>
        <v>17467.839172502507</v>
      </c>
      <c r="M27" s="441"/>
      <c r="N27" s="441"/>
      <c r="O27" s="442"/>
      <c r="P27" s="442"/>
      <c r="Q27" s="464">
        <v>45890</v>
      </c>
      <c r="R27" s="469">
        <f>'Entries December''25'!AL26</f>
        <v>0</v>
      </c>
      <c r="S27" s="474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79">
        <f>'Entries December''25'!AM25</f>
        <v>0</v>
      </c>
      <c r="U27" s="476">
        <f>'Entries December''25'!AN25</f>
        <v>0</v>
      </c>
      <c r="V27" s="468">
        <f>'Entries December''25'!AO25/2.204623</f>
        <v>0</v>
      </c>
      <c r="W27" s="457">
        <f t="shared" si="2"/>
        <v>0</v>
      </c>
      <c r="X27" s="458">
        <f t="shared" si="4"/>
        <v>0</v>
      </c>
    </row>
    <row r="28" spans="1:24" ht="15.6" thickBot="1" x14ac:dyDescent="0.3">
      <c r="A28" s="820">
        <v>22</v>
      </c>
      <c r="B28" s="821">
        <f>IF('Entries December''25'!N28-'Entries December''25'!N27&lt;1,"0",'Entries December''25'!N28-'Entries December''25'!N27)</f>
        <v>457.58999999999651</v>
      </c>
      <c r="C28" s="821">
        <f>IF('Entries December''25'!L28-'Entries December''25'!L27&lt;1,"0",'Entries December''25'!L28-'Entries December''25'!L27)</f>
        <v>134.84999999999854</v>
      </c>
      <c r="D28" s="821">
        <f>IF('Entries December''25'!M28-'Entries December''25'!M27&lt;1,"0",'Entries December''25'!M28-'Entries December''25'!M27)</f>
        <v>2634.7399999999907</v>
      </c>
      <c r="E28" s="821">
        <v>2600</v>
      </c>
      <c r="F28" s="823">
        <v>542.98199999999997</v>
      </c>
      <c r="G28" s="340">
        <f t="shared" si="0"/>
        <v>4.788372358568056</v>
      </c>
      <c r="I28" s="454">
        <v>230</v>
      </c>
      <c r="J28" s="455">
        <v>40308</v>
      </c>
      <c r="K28" s="456">
        <f t="shared" si="1"/>
        <v>18283.398113872528</v>
      </c>
      <c r="M28" s="441"/>
      <c r="N28" s="441"/>
      <c r="O28" s="442"/>
      <c r="P28" s="442"/>
      <c r="Q28" s="464">
        <v>45891</v>
      </c>
      <c r="R28" s="469">
        <f>'Entries December''25'!AL27</f>
        <v>0</v>
      </c>
      <c r="S28" s="474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79">
        <f>'Entries December''25'!AM26</f>
        <v>0</v>
      </c>
      <c r="U28" s="476">
        <f>'Entries December''25'!AN26</f>
        <v>0</v>
      </c>
      <c r="V28" s="468">
        <f>'Entries December''25'!AO26/2.204623</f>
        <v>0</v>
      </c>
      <c r="W28" s="457">
        <f t="shared" si="2"/>
        <v>0</v>
      </c>
      <c r="X28" s="458">
        <f t="shared" si="4"/>
        <v>0</v>
      </c>
    </row>
    <row r="29" spans="1:24" ht="15.6" thickBot="1" x14ac:dyDescent="0.3">
      <c r="A29" s="820">
        <v>23</v>
      </c>
      <c r="B29" s="821">
        <f>IF('Entries December''25'!N29-'Entries December''25'!N28&lt;1,"0",'Entries December''25'!N29-'Entries December''25'!N28)</f>
        <v>517.70999999999913</v>
      </c>
      <c r="C29" s="821">
        <f>IF('Entries December''25'!L29-'Entries December''25'!L28&lt;1,"0",'Entries December''25'!L29-'Entries December''25'!L28)</f>
        <v>230.92000000000007</v>
      </c>
      <c r="D29" s="821">
        <f>IF('Entries December''25'!M29-'Entries December''25'!M28&lt;1,"0",'Entries December''25'!M29-'Entries December''25'!M28)</f>
        <v>2707.75</v>
      </c>
      <c r="E29" s="821">
        <v>2700</v>
      </c>
      <c r="F29" s="823">
        <v>451.63800000000003</v>
      </c>
      <c r="G29" s="340">
        <f t="shared" si="0"/>
        <v>5.9782392092782271</v>
      </c>
      <c r="I29" s="454">
        <v>240</v>
      </c>
      <c r="J29" s="455">
        <v>42107</v>
      </c>
      <c r="K29" s="456">
        <f t="shared" si="1"/>
        <v>19099.410647534747</v>
      </c>
      <c r="M29" s="441"/>
      <c r="N29" s="441"/>
      <c r="O29" s="442"/>
      <c r="P29" s="442"/>
      <c r="Q29" s="464">
        <v>45892</v>
      </c>
      <c r="R29" s="469">
        <f>'Entries December''25'!AL28</f>
        <v>0</v>
      </c>
      <c r="S29" s="474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79">
        <f>'Entries December''25'!AM27</f>
        <v>0</v>
      </c>
      <c r="U29" s="476">
        <f>'Entries December''25'!AN27</f>
        <v>0</v>
      </c>
      <c r="V29" s="468">
        <f>'Entries December''25'!AO27/2.204623</f>
        <v>0</v>
      </c>
      <c r="W29" s="457">
        <f t="shared" si="2"/>
        <v>0</v>
      </c>
      <c r="X29" s="458">
        <f t="shared" si="4"/>
        <v>0</v>
      </c>
    </row>
    <row r="30" spans="1:24" ht="15.6" thickBot="1" x14ac:dyDescent="0.3">
      <c r="A30" s="820">
        <v>24</v>
      </c>
      <c r="B30" s="821">
        <f>IF('Entries December''25'!N30-'Entries December''25'!N29&lt;1,"0",'Entries December''25'!N30-'Entries December''25'!N29)</f>
        <v>166.05000000000291</v>
      </c>
      <c r="C30" s="821">
        <f>IF('Entries December''25'!L30-'Entries December''25'!L29&lt;1,"0",'Entries December''25'!L30-'Entries December''25'!L29)</f>
        <v>98.890000000001237</v>
      </c>
      <c r="D30" s="821">
        <f>IF('Entries December''25'!M30-'Entries December''25'!M29&lt;1,"0",'Entries December''25'!M30-'Entries December''25'!M29)</f>
        <v>1825.320000000007</v>
      </c>
      <c r="E30" s="821">
        <v>2100</v>
      </c>
      <c r="F30" s="823">
        <v>292.38</v>
      </c>
      <c r="G30" s="340">
        <f t="shared" si="0"/>
        <v>7.182433819002668</v>
      </c>
      <c r="I30" s="454">
        <v>250</v>
      </c>
      <c r="J30" s="455">
        <v>43905</v>
      </c>
      <c r="K30" s="456">
        <f t="shared" si="1"/>
        <v>19914.969588904769</v>
      </c>
      <c r="M30" s="441"/>
      <c r="N30" s="441"/>
      <c r="O30" s="442"/>
      <c r="P30" s="442"/>
      <c r="Q30" s="464">
        <v>45893</v>
      </c>
      <c r="R30" s="469">
        <f>'Entries December''25'!AL29</f>
        <v>0</v>
      </c>
      <c r="S30" s="474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79">
        <f>'Entries December''25'!AM28</f>
        <v>0</v>
      </c>
      <c r="U30" s="476">
        <f>'Entries December''25'!AN28</f>
        <v>0</v>
      </c>
      <c r="V30" s="468">
        <f>'Entries December''25'!AO28/2.204623</f>
        <v>0</v>
      </c>
      <c r="W30" s="457">
        <f t="shared" si="2"/>
        <v>0</v>
      </c>
      <c r="X30" s="458">
        <f t="shared" si="4"/>
        <v>0</v>
      </c>
    </row>
    <row r="31" spans="1:24" ht="15.6" thickBot="1" x14ac:dyDescent="0.3">
      <c r="A31" s="820">
        <v>25</v>
      </c>
      <c r="B31" s="821" t="str">
        <f>IF('Entries December''25'!N31-'Entries December''25'!N30&lt;1,"0",'Entries December''25'!N31-'Entries December''25'!N30)</f>
        <v>0</v>
      </c>
      <c r="C31" s="821" t="str">
        <f>IF('Entries December''25'!L31-'Entries December''25'!L30&lt;1,"0",'Entries December''25'!L31-'Entries December''25'!L30)</f>
        <v>0</v>
      </c>
      <c r="D31" s="821" t="str">
        <f>IF('Entries December''25'!M31-'Entries December''25'!M30&lt;1,"0",'Entries December''25'!M31-'Entries December''25'!M30)</f>
        <v>0</v>
      </c>
      <c r="E31" s="821">
        <v>0</v>
      </c>
      <c r="F31" s="823">
        <v>0</v>
      </c>
      <c r="G31" s="340" t="str">
        <f t="shared" si="0"/>
        <v>0</v>
      </c>
      <c r="I31" s="454">
        <v>260</v>
      </c>
      <c r="J31" s="455">
        <v>45703</v>
      </c>
      <c r="K31" s="456">
        <f t="shared" si="1"/>
        <v>20730.528530274787</v>
      </c>
      <c r="M31" s="441"/>
      <c r="N31" s="441"/>
      <c r="O31" s="442"/>
      <c r="P31" s="442"/>
      <c r="Q31" s="464">
        <v>45894</v>
      </c>
      <c r="R31" s="469">
        <f>'Entries December''25'!AL30</f>
        <v>0</v>
      </c>
      <c r="S31" s="474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79">
        <f>'Entries December''25'!AM29</f>
        <v>0</v>
      </c>
      <c r="U31" s="476">
        <f>'Entries December''25'!AN29</f>
        <v>0</v>
      </c>
      <c r="V31" s="468">
        <f>'Entries December''25'!AO29/2.204623</f>
        <v>0</v>
      </c>
      <c r="W31" s="457">
        <f t="shared" si="2"/>
        <v>0</v>
      </c>
      <c r="X31" s="458">
        <f t="shared" si="4"/>
        <v>0</v>
      </c>
    </row>
    <row r="32" spans="1:24" ht="15.6" thickBot="1" x14ac:dyDescent="0.3">
      <c r="A32" s="820">
        <v>26</v>
      </c>
      <c r="B32" s="821" t="str">
        <f>IF('Entries December''25'!N32-'Entries December''25'!N31&lt;1,"0",'Entries December''25'!N32-'Entries December''25'!N31)</f>
        <v>0</v>
      </c>
      <c r="C32" s="821" t="str">
        <f>IF('Entries December''25'!L32-'Entries December''25'!L31&lt;1,"0",'Entries December''25'!L32-'Entries December''25'!L31)</f>
        <v>0</v>
      </c>
      <c r="D32" s="821" t="str">
        <f>IF('Entries December''25'!M32-'Entries December''25'!M31&lt;1,"0",'Entries December''25'!M32-'Entries December''25'!M31)</f>
        <v>0</v>
      </c>
      <c r="E32" s="821">
        <v>0</v>
      </c>
      <c r="F32" s="823">
        <v>0</v>
      </c>
      <c r="G32" s="340" t="str">
        <f t="shared" si="0"/>
        <v>0</v>
      </c>
      <c r="I32" s="454">
        <v>270</v>
      </c>
      <c r="J32" s="455">
        <v>47501</v>
      </c>
      <c r="K32" s="456">
        <f t="shared" si="1"/>
        <v>21546.087471644809</v>
      </c>
      <c r="M32" s="441"/>
      <c r="N32" s="441"/>
      <c r="O32" s="442"/>
      <c r="P32" s="442"/>
      <c r="Q32" s="464">
        <v>45895</v>
      </c>
      <c r="R32" s="469">
        <f>'Entries December''25'!AL31</f>
        <v>0</v>
      </c>
      <c r="S32" s="474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79">
        <f>'Entries December''25'!AM30</f>
        <v>0</v>
      </c>
      <c r="U32" s="476">
        <f>'Entries December''25'!AN30</f>
        <v>0</v>
      </c>
      <c r="V32" s="468">
        <f>'Entries December''25'!AO30/2.204623</f>
        <v>0</v>
      </c>
      <c r="W32" s="457">
        <f t="shared" si="2"/>
        <v>0</v>
      </c>
      <c r="X32" s="458">
        <f t="shared" si="4"/>
        <v>0</v>
      </c>
    </row>
    <row r="33" spans="1:24" ht="15.6" thickBot="1" x14ac:dyDescent="0.3">
      <c r="A33" s="824">
        <v>27</v>
      </c>
      <c r="B33" s="825" t="str">
        <f>IF('Entries December''25'!N33-'Entries December''25'!N32&lt;1,"0",'Entries December''25'!N33-'Entries December''25'!N32)</f>
        <v>0</v>
      </c>
      <c r="C33" s="825" t="str">
        <f>IF('Entries December''25'!L33-'Entries December''25'!L32&lt;1,"0",'Entries December''25'!L33-'Entries December''25'!L32)</f>
        <v>0</v>
      </c>
      <c r="D33" s="825" t="str">
        <f>IF('Entries December''25'!M33-'Entries December''25'!M32&lt;1,"0",'Entries December''25'!M33-'Entries December''25'!M32)</f>
        <v>0</v>
      </c>
      <c r="E33" s="825">
        <v>0</v>
      </c>
      <c r="F33" s="826">
        <v>0</v>
      </c>
      <c r="G33" s="340" t="str">
        <f t="shared" si="0"/>
        <v>0</v>
      </c>
      <c r="I33" s="454">
        <v>280</v>
      </c>
      <c r="J33" s="455">
        <v>49299</v>
      </c>
      <c r="K33" s="456">
        <f t="shared" si="1"/>
        <v>22361.646413014831</v>
      </c>
      <c r="M33" s="441"/>
      <c r="N33" s="441"/>
      <c r="O33" s="442"/>
      <c r="P33" s="442"/>
      <c r="Q33" s="464">
        <v>45896</v>
      </c>
      <c r="R33" s="469">
        <f>'Entries December''25'!AL32</f>
        <v>0</v>
      </c>
      <c r="S33" s="474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79">
        <f>'Entries December''25'!AM31</f>
        <v>0</v>
      </c>
      <c r="U33" s="476">
        <f>'Entries December''25'!AN31</f>
        <v>0</v>
      </c>
      <c r="V33" s="468">
        <f>'Entries December''25'!AO31/2.204623</f>
        <v>0</v>
      </c>
      <c r="W33" s="457">
        <f t="shared" si="2"/>
        <v>0</v>
      </c>
      <c r="X33" s="458">
        <f t="shared" si="4"/>
        <v>0</v>
      </c>
    </row>
    <row r="34" spans="1:24" ht="15.6" thickBot="1" x14ac:dyDescent="0.3">
      <c r="A34" s="824">
        <v>28</v>
      </c>
      <c r="B34" s="825" t="str">
        <f>IF('Entries December''25'!N34-'Entries December''25'!N33&lt;1,"0",'Entries December''25'!N34-'Entries December''25'!N33)</f>
        <v>0</v>
      </c>
      <c r="C34" s="825" t="str">
        <f>IF('Entries December''25'!L34-'Entries December''25'!L33&lt;1,"0",'Entries December''25'!L34-'Entries December''25'!L33)</f>
        <v>0</v>
      </c>
      <c r="D34" s="825" t="str">
        <f>IF('Entries December''25'!M34-'Entries December''25'!M33&lt;1,"0",'Entries December''25'!M34-'Entries December''25'!M33)</f>
        <v>0</v>
      </c>
      <c r="E34" s="825">
        <v>0</v>
      </c>
      <c r="F34" s="826">
        <v>15.4275</v>
      </c>
      <c r="G34" s="340">
        <f t="shared" si="0"/>
        <v>0</v>
      </c>
      <c r="I34" s="454">
        <v>290</v>
      </c>
      <c r="J34" s="455">
        <v>51098</v>
      </c>
      <c r="K34" s="456">
        <f t="shared" si="1"/>
        <v>23177.658946677049</v>
      </c>
      <c r="M34" s="441"/>
      <c r="N34" s="441"/>
      <c r="O34" s="442"/>
      <c r="P34" s="442"/>
      <c r="Q34" s="464">
        <v>45897</v>
      </c>
      <c r="R34" s="469">
        <f>'Entries December''25'!AL33</f>
        <v>0</v>
      </c>
      <c r="S34" s="474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79">
        <f>'Entries December''25'!AM32</f>
        <v>0</v>
      </c>
      <c r="U34" s="476">
        <f>'Entries December''25'!AN32</f>
        <v>0</v>
      </c>
      <c r="V34" s="468">
        <f>'Entries December''25'!AO32/2.204623</f>
        <v>0</v>
      </c>
      <c r="W34" s="457">
        <f t="shared" si="2"/>
        <v>0</v>
      </c>
      <c r="X34" s="458">
        <f t="shared" si="4"/>
        <v>0</v>
      </c>
    </row>
    <row r="35" spans="1:24" ht="15.6" thickBot="1" x14ac:dyDescent="0.3">
      <c r="A35" s="820">
        <v>29</v>
      </c>
      <c r="B35" s="821">
        <f>IF('Entries December''25'!N35-'Entries December''25'!N34&lt;1,"0",'Entries December''25'!N35-'Entries December''25'!N34)</f>
        <v>251.77999999999884</v>
      </c>
      <c r="C35" s="821">
        <f>IF('Entries December''25'!L35-'Entries December''25'!L34&lt;1,"0",'Entries December''25'!L35-'Entries December''25'!L34)</f>
        <v>273.57999999999993</v>
      </c>
      <c r="D35" s="821">
        <f>IF('Entries December''25'!M35-'Entries December''25'!M34&lt;1,"0",'Entries December''25'!M35-'Entries December''25'!M34)</f>
        <v>2116.7099999999919</v>
      </c>
      <c r="E35" s="821">
        <v>2400</v>
      </c>
      <c r="F35" s="823">
        <v>373.23</v>
      </c>
      <c r="G35" s="340">
        <f t="shared" si="0"/>
        <v>6.4303512579374642</v>
      </c>
      <c r="I35" s="454">
        <v>300</v>
      </c>
      <c r="J35" s="455">
        <v>52896</v>
      </c>
      <c r="K35" s="456">
        <f t="shared" si="1"/>
        <v>23993.217888047071</v>
      </c>
      <c r="M35" s="441"/>
      <c r="N35" s="441"/>
      <c r="O35" s="442"/>
      <c r="P35" s="442"/>
      <c r="Q35" s="464">
        <v>45898</v>
      </c>
      <c r="R35" s="469">
        <f>'Entries December''25'!AL34</f>
        <v>0</v>
      </c>
      <c r="S35" s="474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79">
        <f>'Entries December''25'!AM33</f>
        <v>0</v>
      </c>
      <c r="U35" s="476">
        <f>'Entries December''25'!AN33</f>
        <v>0</v>
      </c>
      <c r="V35" s="468">
        <f>'Entries December''25'!AO33/2.204623</f>
        <v>0</v>
      </c>
      <c r="W35" s="457">
        <f t="shared" si="2"/>
        <v>0</v>
      </c>
      <c r="X35" s="458">
        <f t="shared" si="4"/>
        <v>0</v>
      </c>
    </row>
    <row r="36" spans="1:24" ht="15.6" thickBot="1" x14ac:dyDescent="0.3">
      <c r="A36" s="820">
        <v>30</v>
      </c>
      <c r="B36" s="821">
        <f>IF('Entries December''25'!N36-'Entries December''25'!N35&lt;1,"0",'Entries December''25'!N36-'Entries December''25'!N35)</f>
        <v>392.45999999999913</v>
      </c>
      <c r="C36" s="821">
        <f>IF('Entries December''25'!L36-'Entries December''25'!L35&lt;1,"0",'Entries December''25'!L36-'Entries December''25'!L35)</f>
        <v>190.70999999999913</v>
      </c>
      <c r="D36" s="821">
        <f>IF('Entries December''25'!M36-'Entries December''25'!M35&lt;1,"0",'Entries December''25'!M36-'Entries December''25'!M35)</f>
        <v>2317.9899999999907</v>
      </c>
      <c r="E36" s="821">
        <v>1700</v>
      </c>
      <c r="F36" s="823">
        <v>513.01800000000003</v>
      </c>
      <c r="G36" s="340">
        <f t="shared" si="0"/>
        <v>3.3137238849319126</v>
      </c>
      <c r="I36" s="454">
        <v>310</v>
      </c>
      <c r="J36" s="455">
        <v>54694</v>
      </c>
      <c r="K36" s="456">
        <f t="shared" si="1"/>
        <v>24808.776829417089</v>
      </c>
      <c r="M36" s="441"/>
      <c r="N36" s="441"/>
      <c r="O36" s="442"/>
      <c r="P36" s="442"/>
      <c r="Q36" s="464">
        <v>45899</v>
      </c>
      <c r="R36" s="469">
        <f>'Entries December''25'!AL35</f>
        <v>0</v>
      </c>
      <c r="S36" s="474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79">
        <f>'Entries December''25'!AM34</f>
        <v>0</v>
      </c>
      <c r="U36" s="476">
        <f>'Entries December''25'!AN34</f>
        <v>0</v>
      </c>
      <c r="V36" s="468">
        <f>'Entries December''25'!AO34/2.204623</f>
        <v>0</v>
      </c>
      <c r="W36" s="457">
        <f t="shared" si="2"/>
        <v>0</v>
      </c>
      <c r="X36" s="458">
        <f t="shared" si="4"/>
        <v>0</v>
      </c>
    </row>
    <row r="37" spans="1:24" ht="15.6" thickBot="1" x14ac:dyDescent="0.3">
      <c r="A37" s="820">
        <v>31</v>
      </c>
      <c r="B37" s="821">
        <f>IF('Entries December''25'!N37-'Entries December''25'!N36&lt;1,"0",'Entries December''25'!N37-'Entries December''25'!N36)</f>
        <v>333.31999999999971</v>
      </c>
      <c r="C37" s="821">
        <f>IF('Entries December''25'!L37-'Entries December''25'!L36&lt;1,"0",'Entries December''25'!L37-'Entries December''25'!L36)</f>
        <v>170.28000000000065</v>
      </c>
      <c r="D37" s="821">
        <f>IF('Entries December''25'!M37-'Entries December''25'!M36&lt;1,"0",'Entries December''25'!M37-'Entries December''25'!M36)</f>
        <v>1947.070000000007</v>
      </c>
      <c r="E37" s="821">
        <v>1600</v>
      </c>
      <c r="F37" s="823">
        <v>430.51800000000003</v>
      </c>
      <c r="G37" s="340">
        <f t="shared" si="0"/>
        <v>3.7164532028858255</v>
      </c>
      <c r="H37" s="352" t="s">
        <v>248</v>
      </c>
      <c r="I37" s="454">
        <v>320</v>
      </c>
      <c r="J37" s="455">
        <v>56492</v>
      </c>
      <c r="K37" s="456">
        <f t="shared" si="1"/>
        <v>25624.335770787111</v>
      </c>
      <c r="M37" s="441"/>
      <c r="N37" s="441"/>
      <c r="O37" s="442"/>
      <c r="P37" s="442"/>
      <c r="Q37" s="464">
        <v>45900</v>
      </c>
      <c r="R37" s="469">
        <f>'Entries December''25'!AL36</f>
        <v>0</v>
      </c>
      <c r="S37" s="474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79">
        <f>'Entries December''25'!AM35</f>
        <v>0</v>
      </c>
      <c r="U37" s="476">
        <f>'Entries December''25'!AN35</f>
        <v>0</v>
      </c>
      <c r="V37" s="468">
        <f>'Entries December''25'!AO35/2.204623</f>
        <v>0</v>
      </c>
      <c r="W37" s="457">
        <f t="shared" si="2"/>
        <v>0</v>
      </c>
      <c r="X37" s="458">
        <f t="shared" si="4"/>
        <v>0</v>
      </c>
    </row>
    <row r="38" spans="1:24" ht="18" thickBot="1" x14ac:dyDescent="0.35">
      <c r="A38" s="41" t="s">
        <v>86</v>
      </c>
      <c r="B38" s="818">
        <f>SUM(B7:B37)</f>
        <v>9256.4299999999967</v>
      </c>
      <c r="C38" s="818">
        <f>SUM(C7:C37)</f>
        <v>4288.26</v>
      </c>
      <c r="D38" s="818">
        <f>SUM(D7:D37)</f>
        <v>55501.890000000014</v>
      </c>
      <c r="E38" s="818">
        <f>SUM(E7:E37)</f>
        <v>54700</v>
      </c>
      <c r="F38" s="819">
        <f>SUM(F7:F37)</f>
        <v>9272.0823</v>
      </c>
      <c r="G38" s="350">
        <f>IF(F38=0,"0",(E38/F38))</f>
        <v>5.8994299478985424</v>
      </c>
      <c r="H38" s="353">
        <v>5</v>
      </c>
      <c r="I38" s="454">
        <v>330</v>
      </c>
      <c r="J38" s="455">
        <v>58290</v>
      </c>
      <c r="K38" s="456">
        <f t="shared" si="1"/>
        <v>26439.894712157133</v>
      </c>
      <c r="M38" s="441"/>
      <c r="N38" s="441"/>
      <c r="O38" s="442"/>
      <c r="P38" s="442"/>
      <c r="Q38" s="464">
        <v>45901</v>
      </c>
      <c r="R38" s="469">
        <f>'Entries December''25'!AL37</f>
        <v>0</v>
      </c>
      <c r="S38" s="475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79">
        <f>'Entries December''25'!AM36</f>
        <v>0</v>
      </c>
      <c r="U38" s="476">
        <f>'Entries December''25'!AN36</f>
        <v>0</v>
      </c>
      <c r="V38" s="468">
        <f>'Entries December''25'!AO36/2.204623</f>
        <v>0</v>
      </c>
      <c r="W38" s="457">
        <f t="shared" si="2"/>
        <v>0</v>
      </c>
      <c r="X38" s="458">
        <f t="shared" si="4"/>
        <v>0</v>
      </c>
    </row>
    <row r="39" spans="1:24" ht="15.6" thickBot="1" x14ac:dyDescent="0.3">
      <c r="A39" s="8"/>
      <c r="B39" s="8"/>
      <c r="C39" s="8"/>
      <c r="D39" s="11"/>
      <c r="E39" s="11"/>
      <c r="F39" s="8"/>
      <c r="I39" s="454">
        <v>340</v>
      </c>
      <c r="J39" s="455">
        <v>60089</v>
      </c>
      <c r="K39" s="456">
        <f t="shared" si="1"/>
        <v>27255.907245819351</v>
      </c>
      <c r="M39" s="441"/>
      <c r="N39" s="441"/>
      <c r="O39" s="442"/>
      <c r="P39" s="442"/>
      <c r="Q39" s="465"/>
      <c r="R39" s="469">
        <f>'Entries December''25'!AL38</f>
        <v>0</v>
      </c>
      <c r="S39" s="475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79">
        <f>'Entries December''25'!AM37</f>
        <v>0</v>
      </c>
      <c r="U39" s="476">
        <f>'Entries December''25'!AN37</f>
        <v>0</v>
      </c>
      <c r="V39" s="468">
        <f>'Entries December''25'!AO37/2.204623</f>
        <v>0</v>
      </c>
      <c r="W39" s="457">
        <f t="shared" si="2"/>
        <v>0</v>
      </c>
      <c r="X39" s="480"/>
    </row>
    <row r="40" spans="1:24" ht="15.6" thickBot="1" x14ac:dyDescent="0.3">
      <c r="A40" s="8"/>
      <c r="B40" s="8"/>
      <c r="C40" s="8"/>
      <c r="D40" s="11"/>
      <c r="E40" s="11"/>
      <c r="F40" s="8"/>
      <c r="I40" s="462">
        <v>350</v>
      </c>
      <c r="J40" s="463">
        <v>60537</v>
      </c>
      <c r="K40" s="456">
        <f t="shared" si="1"/>
        <v>27459.11659272356</v>
      </c>
      <c r="M40" s="441"/>
      <c r="N40" s="441"/>
      <c r="O40" s="442"/>
      <c r="P40" s="442"/>
      <c r="Q40" s="191"/>
      <c r="R40" s="470"/>
      <c r="S40" s="471"/>
      <c r="T40" s="459"/>
      <c r="U40" s="459"/>
      <c r="V40" s="460"/>
      <c r="W40" s="459" t="s">
        <v>245</v>
      </c>
      <c r="X40" s="461">
        <f>SUM(X8:X38)</f>
        <v>0</v>
      </c>
    </row>
    <row r="41" spans="1:24" x14ac:dyDescent="0.25">
      <c r="M41" s="441"/>
      <c r="N41" s="441"/>
      <c r="O41" s="442"/>
      <c r="P41" s="442"/>
      <c r="Q41" s="191"/>
      <c r="R41" s="191"/>
      <c r="S41" s="191"/>
      <c r="T41" s="191"/>
      <c r="U41" s="191"/>
      <c r="V41" s="441"/>
      <c r="W41" s="191"/>
      <c r="X41" s="191"/>
    </row>
    <row r="42" spans="1:24" x14ac:dyDescent="0.25">
      <c r="Q42" s="191"/>
      <c r="R42" s="191"/>
      <c r="S42" s="191"/>
      <c r="T42" s="191"/>
      <c r="U42" s="191"/>
      <c r="V42" s="441"/>
      <c r="W42" s="191"/>
      <c r="X42" s="191"/>
    </row>
  </sheetData>
  <mergeCells count="16">
    <mergeCell ref="W5:W6"/>
    <mergeCell ref="X5:X6"/>
    <mergeCell ref="I3:K3"/>
    <mergeCell ref="I4:K4"/>
    <mergeCell ref="M5:O5"/>
    <mergeCell ref="Q5:Q6"/>
    <mergeCell ref="R5:S5"/>
    <mergeCell ref="V5:V6"/>
    <mergeCell ref="Q4:T4"/>
    <mergeCell ref="A5:A6"/>
    <mergeCell ref="G5:G6"/>
    <mergeCell ref="B5:B6"/>
    <mergeCell ref="F5:F6"/>
    <mergeCell ref="D5:D6"/>
    <mergeCell ref="E5:E6"/>
    <mergeCell ref="C5:C6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M18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33203125" defaultRowHeight="13.2" x14ac:dyDescent="0.25"/>
  <cols>
    <col min="1" max="1" width="46" style="81" bestFit="1" customWidth="1"/>
    <col min="2" max="8" width="14.6640625" style="82" customWidth="1"/>
    <col min="9" max="9" width="18.5546875" style="82" customWidth="1"/>
    <col min="10" max="12" width="14.6640625" style="82" customWidth="1"/>
    <col min="13" max="13" width="20.33203125" style="162" customWidth="1"/>
    <col min="14" max="15" width="14.6640625" style="82" customWidth="1"/>
    <col min="16" max="16" width="23.6640625" style="82" bestFit="1" customWidth="1"/>
    <col min="17" max="18" width="15.88671875" style="82" customWidth="1"/>
    <col min="19" max="19" width="18.33203125" style="82" customWidth="1"/>
    <col min="20" max="20" width="14.6640625" style="82" customWidth="1"/>
    <col min="21" max="21" width="15.88671875" style="82" customWidth="1"/>
    <col min="22" max="22" width="14.6640625" style="82" customWidth="1"/>
    <col min="23" max="23" width="16.88671875" style="82" customWidth="1"/>
    <col min="24" max="25" width="15.88671875" style="82" customWidth="1"/>
    <col min="26" max="31" width="14.6640625" style="82" customWidth="1"/>
    <col min="32" max="32" width="14.6640625" style="202" customWidth="1"/>
    <col min="33" max="33" width="15.44140625" style="211" bestFit="1" customWidth="1"/>
    <col min="34" max="34" width="15.5546875" style="211" customWidth="1"/>
    <col min="35" max="35" width="15.44140625" style="265" bestFit="1" customWidth="1"/>
    <col min="36" max="37" width="9.33203125" style="265"/>
    <col min="38" max="16384" width="9.33203125" style="81"/>
  </cols>
  <sheetData>
    <row r="1" spans="1:37" x14ac:dyDescent="0.25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1"/>
      <c r="AG1" s="265"/>
      <c r="AH1" s="265"/>
    </row>
    <row r="2" spans="1:37" x14ac:dyDescent="0.25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1"/>
      <c r="AG2" s="265"/>
      <c r="AH2" s="265"/>
    </row>
    <row r="3" spans="1:37" x14ac:dyDescent="0.25">
      <c r="A3" s="1" t="s">
        <v>135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1"/>
      <c r="AG3" s="265"/>
      <c r="AH3" s="265"/>
    </row>
    <row r="4" spans="1:37" x14ac:dyDescent="0.25">
      <c r="A4" s="1"/>
      <c r="M4" s="92" t="s">
        <v>231</v>
      </c>
      <c r="Y4" s="82">
        <v>1364</v>
      </c>
    </row>
    <row r="5" spans="1:37" ht="24.6" x14ac:dyDescent="0.4">
      <c r="A5" s="183">
        <v>45992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4.6" x14ac:dyDescent="0.25">
      <c r="A6" s="83"/>
      <c r="B6" s="508">
        <v>1</v>
      </c>
      <c r="C6" s="508">
        <v>2</v>
      </c>
      <c r="D6" s="508">
        <v>3</v>
      </c>
      <c r="E6" s="508">
        <v>4</v>
      </c>
      <c r="F6" s="508">
        <v>5</v>
      </c>
      <c r="G6" s="508">
        <v>6</v>
      </c>
      <c r="H6" s="508">
        <v>7</v>
      </c>
      <c r="I6" s="508">
        <v>8</v>
      </c>
      <c r="J6" s="508">
        <v>9</v>
      </c>
      <c r="K6" s="508">
        <v>10</v>
      </c>
      <c r="L6" s="508">
        <v>11</v>
      </c>
      <c r="M6" s="508">
        <v>12</v>
      </c>
      <c r="N6" s="508">
        <v>13</v>
      </c>
      <c r="O6" s="508">
        <v>14</v>
      </c>
      <c r="P6" s="508">
        <v>15</v>
      </c>
      <c r="Q6" s="508">
        <v>16</v>
      </c>
      <c r="R6" s="508">
        <v>17</v>
      </c>
      <c r="S6" s="508">
        <v>18</v>
      </c>
      <c r="T6" s="508">
        <v>19</v>
      </c>
      <c r="U6" s="508">
        <v>20</v>
      </c>
      <c r="V6" s="508">
        <v>21</v>
      </c>
      <c r="W6" s="508">
        <v>22</v>
      </c>
      <c r="X6" s="508">
        <v>23</v>
      </c>
      <c r="Y6" s="508">
        <v>24</v>
      </c>
      <c r="Z6" s="508">
        <v>25</v>
      </c>
      <c r="AA6" s="508">
        <v>26</v>
      </c>
      <c r="AB6" s="508">
        <v>27</v>
      </c>
      <c r="AC6" s="508">
        <v>28</v>
      </c>
      <c r="AD6" s="508">
        <v>29</v>
      </c>
      <c r="AE6" s="508">
        <v>30</v>
      </c>
      <c r="AF6" s="508">
        <v>31</v>
      </c>
      <c r="AG6" s="294"/>
      <c r="AH6" s="995" t="s">
        <v>220</v>
      </c>
      <c r="AI6" s="292"/>
    </row>
    <row r="7" spans="1:37" s="74" customFormat="1" ht="25.5" customHeight="1" x14ac:dyDescent="0.3">
      <c r="A7" s="97" t="s">
        <v>132</v>
      </c>
      <c r="B7" s="510" t="s">
        <v>144</v>
      </c>
      <c r="C7" s="510" t="s">
        <v>145</v>
      </c>
      <c r="D7" s="510" t="s">
        <v>146</v>
      </c>
      <c r="E7" s="510" t="s">
        <v>147</v>
      </c>
      <c r="F7" s="510" t="s">
        <v>148</v>
      </c>
      <c r="G7" s="510" t="s">
        <v>142</v>
      </c>
      <c r="H7" s="510" t="s">
        <v>143</v>
      </c>
      <c r="I7" s="510" t="s">
        <v>144</v>
      </c>
      <c r="J7" s="510" t="s">
        <v>145</v>
      </c>
      <c r="K7" s="510" t="s">
        <v>146</v>
      </c>
      <c r="L7" s="510" t="s">
        <v>147</v>
      </c>
      <c r="M7" s="510" t="s">
        <v>148</v>
      </c>
      <c r="N7" s="510" t="s">
        <v>142</v>
      </c>
      <c r="O7" s="510" t="s">
        <v>143</v>
      </c>
      <c r="P7" s="510" t="s">
        <v>144</v>
      </c>
      <c r="Q7" s="510" t="s">
        <v>145</v>
      </c>
      <c r="R7" s="510" t="s">
        <v>146</v>
      </c>
      <c r="S7" s="510" t="s">
        <v>147</v>
      </c>
      <c r="T7" s="510" t="s">
        <v>148</v>
      </c>
      <c r="U7" s="510" t="s">
        <v>142</v>
      </c>
      <c r="V7" s="510" t="s">
        <v>143</v>
      </c>
      <c r="W7" s="510" t="s">
        <v>144</v>
      </c>
      <c r="X7" s="510" t="s">
        <v>145</v>
      </c>
      <c r="Y7" s="510" t="s">
        <v>146</v>
      </c>
      <c r="Z7" s="510" t="s">
        <v>147</v>
      </c>
      <c r="AA7" s="510" t="s">
        <v>148</v>
      </c>
      <c r="AB7" s="510" t="s">
        <v>142</v>
      </c>
      <c r="AC7" s="510" t="s">
        <v>143</v>
      </c>
      <c r="AD7" s="510" t="s">
        <v>144</v>
      </c>
      <c r="AE7" s="510" t="s">
        <v>145</v>
      </c>
      <c r="AF7" s="510" t="s">
        <v>146</v>
      </c>
      <c r="AG7" s="213" t="s">
        <v>19</v>
      </c>
      <c r="AH7" s="995"/>
      <c r="AI7" s="293" t="s">
        <v>233</v>
      </c>
      <c r="AJ7" s="220"/>
      <c r="AK7" s="220"/>
    </row>
    <row r="8" spans="1:37" s="76" customFormat="1" ht="24.6" x14ac:dyDescent="0.35">
      <c r="A8" s="98" t="s">
        <v>137</v>
      </c>
      <c r="B8" s="99"/>
      <c r="C8" s="99">
        <f>'Daily KPIs'!C8</f>
        <v>3211</v>
      </c>
      <c r="D8" s="99">
        <f>'Daily KPIs'!D8</f>
        <v>5250</v>
      </c>
      <c r="E8" s="99">
        <f>'Daily KPIs'!E8</f>
        <v>3846</v>
      </c>
      <c r="F8" s="99">
        <f>'Daily KPIs'!F8</f>
        <v>3981</v>
      </c>
      <c r="G8" s="99">
        <f>'Daily KPIs'!G8</f>
        <v>4586</v>
      </c>
      <c r="H8" s="100">
        <f>'Daily KPIs'!H8</f>
        <v>5488</v>
      </c>
      <c r="I8" s="100">
        <f>'Daily KPIs'!I8</f>
        <v>6699</v>
      </c>
      <c r="J8" s="99">
        <f>'Daily KPIs'!J8</f>
        <v>3254</v>
      </c>
      <c r="K8" s="99">
        <f>'Daily KPIs'!K8</f>
        <v>6622</v>
      </c>
      <c r="L8" s="99">
        <f>'Daily KPIs'!L8</f>
        <v>5043</v>
      </c>
      <c r="M8" s="99">
        <f>'Daily KPIs'!M8</f>
        <v>3925</v>
      </c>
      <c r="N8" s="99">
        <f>'Daily KPIs'!N8</f>
        <v>2888</v>
      </c>
      <c r="O8" s="99">
        <f>'Daily KPIs'!O8</f>
        <v>5634</v>
      </c>
      <c r="P8" s="99">
        <f>'Daily KPIs'!P8</f>
        <v>5567</v>
      </c>
      <c r="Q8" s="100">
        <f>'Daily KPIs'!Q8</f>
        <v>5497</v>
      </c>
      <c r="R8" s="176">
        <f>'Daily KPIs'!R8</f>
        <v>7410</v>
      </c>
      <c r="S8" s="99">
        <f>'Daily KPIs'!S8</f>
        <v>6964</v>
      </c>
      <c r="T8" s="100">
        <f>'Daily KPIs'!T8</f>
        <v>7261</v>
      </c>
      <c r="U8" s="99">
        <f>'Daily KPIs'!U8</f>
        <v>0</v>
      </c>
      <c r="V8" s="99">
        <f>'Daily KPIs'!V8</f>
        <v>0</v>
      </c>
      <c r="W8" s="101">
        <f>'Daily KPIs'!W8</f>
        <v>8227</v>
      </c>
      <c r="X8" s="101">
        <f>'Daily KPIs'!X8</f>
        <v>6843</v>
      </c>
      <c r="Y8" s="99">
        <f>'Daily KPIs'!Y8</f>
        <v>4430</v>
      </c>
      <c r="Z8" s="99">
        <f>'Daily KPIs'!Z8</f>
        <v>0</v>
      </c>
      <c r="AA8" s="99">
        <f>'Daily KPIs'!AA8</f>
        <v>0</v>
      </c>
      <c r="AB8" s="102">
        <f>'Daily KPIs'!AB8</f>
        <v>0</v>
      </c>
      <c r="AC8" s="102">
        <f>'Daily KPIs'!AC8</f>
        <v>233.75</v>
      </c>
      <c r="AD8" s="102"/>
      <c r="AE8" s="102"/>
      <c r="AF8" s="203">
        <f>'Daily KPIs'!AD8</f>
        <v>5655</v>
      </c>
      <c r="AG8" s="214">
        <f>SUM($B8:AF8)</f>
        <v>118514.75</v>
      </c>
      <c r="AH8" s="294">
        <v>96325</v>
      </c>
      <c r="AI8" s="295">
        <f>AG8-AH8</f>
        <v>22189.75</v>
      </c>
      <c r="AJ8" s="267"/>
      <c r="AK8" s="267"/>
    </row>
    <row r="9" spans="1:37" ht="21" x14ac:dyDescent="0.35">
      <c r="A9" s="98" t="s">
        <v>139</v>
      </c>
      <c r="B9" s="99">
        <f>'Daily KPIs'!B9</f>
        <v>455.13600000000002</v>
      </c>
      <c r="C9" s="99">
        <f>'Daily KPIs'!C9</f>
        <v>211.92600000000002</v>
      </c>
      <c r="D9" s="99">
        <f>'Daily KPIs'!D9</f>
        <v>346.5</v>
      </c>
      <c r="E9" s="99">
        <f>'Daily KPIs'!E9</f>
        <v>253.83600000000001</v>
      </c>
      <c r="F9" s="99">
        <f>'Daily KPIs'!F9</f>
        <v>262.74600000000004</v>
      </c>
      <c r="G9" s="99">
        <f>'Daily KPIs'!G9</f>
        <v>302.67599999999999</v>
      </c>
      <c r="H9" s="99">
        <f>'Daily KPIs'!H9</f>
        <v>388.55040000000002</v>
      </c>
      <c r="I9" s="99">
        <f>'Daily KPIs'!I9</f>
        <v>447.88440000000003</v>
      </c>
      <c r="J9" s="99">
        <f>'Daily KPIs'!J9</f>
        <v>214.76400000000001</v>
      </c>
      <c r="K9" s="99">
        <f>'Daily KPIs'!K9</f>
        <v>437.05200000000002</v>
      </c>
      <c r="L9" s="99">
        <f>'Daily KPIs'!L9</f>
        <v>332.83800000000002</v>
      </c>
      <c r="M9" s="99">
        <f>'Daily KPIs'!M9</f>
        <v>259.05</v>
      </c>
      <c r="N9" s="99">
        <f>'Daily KPIs'!N9</f>
        <v>190.608</v>
      </c>
      <c r="O9" s="99">
        <f>'Daily KPIs'!O9</f>
        <v>389.154</v>
      </c>
      <c r="P9" s="99">
        <f>'Daily KPIs'!P9</f>
        <v>369.45600000000002</v>
      </c>
      <c r="Q9" s="99">
        <f>'Daily KPIs'!Q9</f>
        <v>362.80200000000002</v>
      </c>
      <c r="R9" s="99">
        <f>'Daily KPIs'!R9</f>
        <v>489.06</v>
      </c>
      <c r="S9" s="99">
        <f>'Daily KPIs'!S9</f>
        <v>459.62400000000002</v>
      </c>
      <c r="T9" s="99">
        <f>'Daily KPIs'!T9</f>
        <v>479.226</v>
      </c>
      <c r="U9" s="99">
        <f>'Daily KPIs'!U9</f>
        <v>0</v>
      </c>
      <c r="V9" s="99">
        <f>'Daily KPIs'!V9</f>
        <v>0</v>
      </c>
      <c r="W9" s="99">
        <f>'Daily KPIs'!W9</f>
        <v>542.98199999999997</v>
      </c>
      <c r="X9" s="99">
        <f>'Daily KPIs'!X9</f>
        <v>451.63800000000003</v>
      </c>
      <c r="Y9" s="99">
        <f>'Daily KPIs'!Y9</f>
        <v>292.38</v>
      </c>
      <c r="Z9" s="99">
        <f>'Daily KPIs'!Z9</f>
        <v>0</v>
      </c>
      <c r="AA9" s="99">
        <f>'Daily KPIs'!AA9</f>
        <v>0</v>
      </c>
      <c r="AB9" s="99">
        <f>'Daily KPIs'!AB9</f>
        <v>0</v>
      </c>
      <c r="AC9" s="99">
        <f>'Daily KPIs'!AC9</f>
        <v>15.4275</v>
      </c>
      <c r="AD9" s="99"/>
      <c r="AE9" s="99"/>
      <c r="AF9" s="204">
        <f>'Daily KPIs'!AD9</f>
        <v>373.23</v>
      </c>
      <c r="AG9" s="216">
        <f>SUM($B9:AF9)</f>
        <v>8328.5463</v>
      </c>
      <c r="AH9" s="215"/>
      <c r="AI9" s="266"/>
    </row>
    <row r="10" spans="1:37" s="76" customFormat="1" ht="21" x14ac:dyDescent="0.35">
      <c r="A10" s="103" t="s">
        <v>136</v>
      </c>
      <c r="B10" s="163" t="str">
        <f>'Daily KPIs'!B10</f>
        <v>ST/CB</v>
      </c>
      <c r="C10" s="163" t="str">
        <f>'Daily KPIs'!C10</f>
        <v>CB</v>
      </c>
      <c r="D10" s="163" t="str">
        <f>'Daily KPIs'!D10</f>
        <v>CB</v>
      </c>
      <c r="E10" s="163" t="str">
        <f>'Daily KPIs'!E10</f>
        <v>CB/Rose</v>
      </c>
      <c r="F10" s="163" t="str">
        <f>'Daily KPIs'!F10</f>
        <v>ST</v>
      </c>
      <c r="G10" s="163" t="str">
        <f>'Daily KPIs'!G10</f>
        <v>ST</v>
      </c>
      <c r="H10" s="163" t="str">
        <f>'Daily KPIs'!I10</f>
        <v>VM/GN</v>
      </c>
      <c r="I10" s="163" t="str">
        <f>'Daily KPIs'!J10</f>
        <v>CB</v>
      </c>
      <c r="J10" s="163" t="str">
        <f>'Daily KPIs'!J10</f>
        <v>CB</v>
      </c>
      <c r="K10" s="163" t="str">
        <f>'Daily KPIs'!K10</f>
        <v>CB/Rose</v>
      </c>
      <c r="L10" s="163" t="str">
        <f>'Daily KPIs'!L10</f>
        <v>Rose</v>
      </c>
      <c r="M10" s="163" t="str">
        <f>'Daily KPIs'!M10</f>
        <v>Rose/Psecco/SM</v>
      </c>
      <c r="N10" s="163" t="str">
        <f>'Daily KPIs'!N10</f>
        <v>SM</v>
      </c>
      <c r="O10" s="163" t="str">
        <f>'Daily KPIs'!O10</f>
        <v>SM/VM</v>
      </c>
      <c r="P10" s="163" t="str">
        <f>'Daily KPIs'!P10</f>
        <v>VM/ST</v>
      </c>
      <c r="Q10" s="163" t="str">
        <f>'Daily KPIs'!Q10</f>
        <v>CB</v>
      </c>
      <c r="R10" s="163" t="str">
        <f>'Daily KPIs'!R10</f>
        <v xml:space="preserve">CB </v>
      </c>
      <c r="S10" s="163" t="str">
        <f>'Daily KPIs'!S10</f>
        <v>CB /SS/ST/CB</v>
      </c>
      <c r="T10" s="163" t="str">
        <f>'Daily KPIs'!T10</f>
        <v>CB /SM</v>
      </c>
      <c r="U10" s="163">
        <f>'Daily KPIs'!U10</f>
        <v>0</v>
      </c>
      <c r="V10" s="163">
        <f>'Daily KPIs'!V10</f>
        <v>0</v>
      </c>
      <c r="W10" s="163" t="str">
        <f>'Daily KPIs'!W10</f>
        <v>CB</v>
      </c>
      <c r="X10" s="163" t="str">
        <f>'Daily KPIs'!X10</f>
        <v>ST</v>
      </c>
      <c r="Y10" s="994" t="str">
        <f>'Daily KPIs'!Y10</f>
        <v>GN</v>
      </c>
      <c r="Z10" s="994"/>
      <c r="AA10" s="163">
        <f>'Daily KPIs'!AA10</f>
        <v>0</v>
      </c>
      <c r="AB10" s="163">
        <f>'Daily KPIs'!AB10</f>
        <v>0</v>
      </c>
      <c r="AC10" s="163" t="str">
        <f>'Daily KPIs'!AC10</f>
        <v>Kegs</v>
      </c>
      <c r="AD10" s="163"/>
      <c r="AE10" s="163"/>
      <c r="AF10" s="205" t="str">
        <f>'Daily KPIs'!AD10</f>
        <v>GN/CB</v>
      </c>
      <c r="AG10" s="217"/>
      <c r="AH10" s="218"/>
      <c r="AI10" s="266"/>
      <c r="AJ10" s="267"/>
      <c r="AK10" s="267"/>
    </row>
    <row r="11" spans="1:37" ht="17.399999999999999" x14ac:dyDescent="0.3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7.399999999999999" hidden="1" x14ac:dyDescent="0.3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7.399999999999999" x14ac:dyDescent="0.3">
      <c r="A13" s="105" t="s">
        <v>192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7.399999999999999" x14ac:dyDescent="0.3">
      <c r="A14" s="106" t="s">
        <v>124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9" t="s">
        <v>86</v>
      </c>
      <c r="AH14" s="220"/>
      <c r="AI14" s="268"/>
      <c r="AJ14" s="268"/>
      <c r="AK14" s="268"/>
    </row>
    <row r="15" spans="1:37" ht="17.399999999999999" x14ac:dyDescent="0.3">
      <c r="A15" s="109" t="s">
        <v>140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1">
        <f>SUM($B15:AF15)</f>
        <v>0</v>
      </c>
      <c r="AH15" s="222"/>
    </row>
    <row r="16" spans="1:37" ht="17.399999999999999" x14ac:dyDescent="0.3">
      <c r="A16" s="109" t="s">
        <v>125</v>
      </c>
      <c r="B16" s="110">
        <f>+'Water '!$D7</f>
        <v>98</v>
      </c>
      <c r="C16" s="110">
        <f>+'Water '!$D8</f>
        <v>238</v>
      </c>
      <c r="D16" s="110">
        <f>+'Water '!$D9</f>
        <v>139</v>
      </c>
      <c r="E16" s="110">
        <f>+'Water '!$D10</f>
        <v>204</v>
      </c>
      <c r="F16" s="110">
        <f>+'Water '!$D11</f>
        <v>157</v>
      </c>
      <c r="G16" s="110">
        <f>+'Water '!$D12</f>
        <v>200</v>
      </c>
      <c r="H16" s="110">
        <f>+'Water '!$D13</f>
        <v>83</v>
      </c>
      <c r="I16" s="110">
        <f>+'Water '!$D14</f>
        <v>43</v>
      </c>
      <c r="J16" s="110">
        <f>+'Water '!$D15</f>
        <v>96</v>
      </c>
      <c r="K16" s="110">
        <f>+'Water '!$D16</f>
        <v>267</v>
      </c>
      <c r="L16" s="110">
        <f>+'Water '!$D17</f>
        <v>201</v>
      </c>
      <c r="M16" s="111">
        <f>+'Water '!$D18</f>
        <v>62</v>
      </c>
      <c r="N16" s="110" t="str">
        <f>+'Water '!$D19</f>
        <v>0</v>
      </c>
      <c r="O16" s="110">
        <f>+'Water '!$D20</f>
        <v>88</v>
      </c>
      <c r="P16" s="110">
        <f>+'Water '!$D21</f>
        <v>191</v>
      </c>
      <c r="Q16" s="110">
        <f>+'Water '!$D22</f>
        <v>242</v>
      </c>
      <c r="R16" s="110">
        <f>+'Water '!$D23</f>
        <v>315</v>
      </c>
      <c r="S16" s="110">
        <f>+'Water '!$D24</f>
        <v>175</v>
      </c>
      <c r="T16" s="110">
        <f>+'Water '!$D25</f>
        <v>129</v>
      </c>
      <c r="U16" s="110">
        <f>+'Water '!$D26</f>
        <v>4</v>
      </c>
      <c r="V16" s="110">
        <f>+'Water '!$D27</f>
        <v>15</v>
      </c>
      <c r="W16" s="110">
        <f>+'Water '!$D28</f>
        <v>129</v>
      </c>
      <c r="X16" s="110">
        <f>+'Water '!$D29</f>
        <v>255</v>
      </c>
      <c r="Y16" s="110">
        <f>+'Water '!$D30</f>
        <v>233</v>
      </c>
      <c r="Z16" s="110" t="str">
        <f>+'Water '!$D31</f>
        <v>0</v>
      </c>
      <c r="AA16" s="110">
        <f>+'Water '!$D32</f>
        <v>28</v>
      </c>
      <c r="AB16" s="110" t="str">
        <f>+'Water '!$D33</f>
        <v>0</v>
      </c>
      <c r="AC16" s="110" t="str">
        <f>+'Water '!$D34</f>
        <v>0</v>
      </c>
      <c r="AD16" s="110" t="str">
        <f>+'Water '!$D31</f>
        <v>0</v>
      </c>
      <c r="AE16" s="110">
        <f>+'Water '!$D32</f>
        <v>28</v>
      </c>
      <c r="AF16" s="110" t="str">
        <f>+'Water '!$D33</f>
        <v>0</v>
      </c>
      <c r="AG16" s="221">
        <f>SUM($B16:AF16)</f>
        <v>3620</v>
      </c>
      <c r="AH16" s="222"/>
    </row>
    <row r="17" spans="1:37" ht="17.399999999999999" x14ac:dyDescent="0.3">
      <c r="A17" s="109" t="s">
        <v>126</v>
      </c>
      <c r="B17" s="112">
        <f>+'Water '!$E7</f>
        <v>143</v>
      </c>
      <c r="C17" s="113">
        <f>+'Water '!$E8</f>
        <v>131</v>
      </c>
      <c r="D17" s="112">
        <f>+'Water '!$E9</f>
        <v>209</v>
      </c>
      <c r="E17" s="112">
        <f>+'Water '!$E10</f>
        <v>221</v>
      </c>
      <c r="F17" s="112">
        <f>+'Water '!$E11</f>
        <v>245</v>
      </c>
      <c r="G17" s="112">
        <f>+'Water '!$E12</f>
        <v>165</v>
      </c>
      <c r="H17" s="114">
        <f>+'Water '!$E13</f>
        <v>156</v>
      </c>
      <c r="I17" s="113">
        <f>+'Water '!$E14</f>
        <v>279</v>
      </c>
      <c r="J17" s="114">
        <f>+'Water '!$E15</f>
        <v>190</v>
      </c>
      <c r="K17" s="114">
        <f>+'Water '!$E16</f>
        <v>276</v>
      </c>
      <c r="L17" s="114">
        <f>+'Water '!$E17</f>
        <v>255</v>
      </c>
      <c r="M17" s="115">
        <f>+'Water '!$E18</f>
        <v>175</v>
      </c>
      <c r="N17" s="112">
        <f>+'Water '!$E19</f>
        <v>146</v>
      </c>
      <c r="O17" s="114">
        <f>+'Water '!$E20</f>
        <v>246</v>
      </c>
      <c r="P17" s="114">
        <f>+'Water '!$E21</f>
        <v>131</v>
      </c>
      <c r="Q17" s="114">
        <f>+'Water '!$E22</f>
        <v>117</v>
      </c>
      <c r="R17" s="114">
        <f>+'Water '!$E23</f>
        <v>163</v>
      </c>
      <c r="S17" s="114">
        <f>+'Water '!$E24</f>
        <v>203</v>
      </c>
      <c r="T17" s="114">
        <f>+'Water '!$E25</f>
        <v>298</v>
      </c>
      <c r="U17" s="114">
        <f>+'Water '!$E26</f>
        <v>127</v>
      </c>
      <c r="V17" s="114">
        <f>+'Water '!$E27</f>
        <v>2</v>
      </c>
      <c r="W17" s="114">
        <f>+'Water '!$E28</f>
        <v>221</v>
      </c>
      <c r="X17" s="114">
        <f>+'Water '!$E29</f>
        <v>117</v>
      </c>
      <c r="Y17" s="116">
        <f>+'Water '!$E30</f>
        <v>85</v>
      </c>
      <c r="Z17" s="116" t="str">
        <f>+'Water '!$E31</f>
        <v>0</v>
      </c>
      <c r="AA17" s="112">
        <f>+'Water '!$E32</f>
        <v>76</v>
      </c>
      <c r="AB17" s="114" t="str">
        <f>+'Water '!$E33</f>
        <v>0</v>
      </c>
      <c r="AC17" s="114" t="str">
        <f>+'Water '!$E34</f>
        <v>0</v>
      </c>
      <c r="AD17" s="116" t="str">
        <f>+'Water '!$E31</f>
        <v>0</v>
      </c>
      <c r="AE17" s="112">
        <f>+'Water '!$E32</f>
        <v>76</v>
      </c>
      <c r="AF17" s="114" t="str">
        <f>+'Water '!$E33</f>
        <v>0</v>
      </c>
      <c r="AG17" s="223">
        <f>SUM($B17:AF17)</f>
        <v>4453</v>
      </c>
      <c r="AH17" s="224"/>
      <c r="AI17" s="269"/>
    </row>
    <row r="18" spans="1:37" s="78" customFormat="1" ht="21" x14ac:dyDescent="0.4">
      <c r="A18" s="117" t="s">
        <v>168</v>
      </c>
      <c r="B18" s="118">
        <f>SUM(B15:B17)</f>
        <v>241</v>
      </c>
      <c r="C18" s="118">
        <f t="shared" ref="C18:AC18" si="0">SUM(C15:C17)</f>
        <v>369</v>
      </c>
      <c r="D18" s="118">
        <f t="shared" si="0"/>
        <v>348</v>
      </c>
      <c r="E18" s="118">
        <f t="shared" si="0"/>
        <v>425</v>
      </c>
      <c r="F18" s="118">
        <f t="shared" si="0"/>
        <v>402</v>
      </c>
      <c r="G18" s="118">
        <f t="shared" si="0"/>
        <v>365</v>
      </c>
      <c r="H18" s="118">
        <f t="shared" si="0"/>
        <v>239</v>
      </c>
      <c r="I18" s="118">
        <f t="shared" si="0"/>
        <v>322</v>
      </c>
      <c r="J18" s="118">
        <f t="shared" si="0"/>
        <v>286</v>
      </c>
      <c r="K18" s="118">
        <f t="shared" si="0"/>
        <v>543</v>
      </c>
      <c r="L18" s="118">
        <f t="shared" si="0"/>
        <v>456</v>
      </c>
      <c r="M18" s="118">
        <f t="shared" si="0"/>
        <v>237</v>
      </c>
      <c r="N18" s="175">
        <f t="shared" si="0"/>
        <v>146</v>
      </c>
      <c r="O18" s="175">
        <f t="shared" si="0"/>
        <v>334</v>
      </c>
      <c r="P18" s="175">
        <f t="shared" si="0"/>
        <v>322</v>
      </c>
      <c r="Q18" s="175">
        <f t="shared" si="0"/>
        <v>359</v>
      </c>
      <c r="R18" s="175">
        <f t="shared" si="0"/>
        <v>478</v>
      </c>
      <c r="S18" s="175">
        <f t="shared" si="0"/>
        <v>378</v>
      </c>
      <c r="T18" s="175">
        <f t="shared" si="0"/>
        <v>427</v>
      </c>
      <c r="U18" s="175">
        <f t="shared" si="0"/>
        <v>131</v>
      </c>
      <c r="V18" s="175">
        <f t="shared" si="0"/>
        <v>17</v>
      </c>
      <c r="W18" s="175">
        <f t="shared" si="0"/>
        <v>350</v>
      </c>
      <c r="X18" s="175">
        <f t="shared" si="0"/>
        <v>372</v>
      </c>
      <c r="Y18" s="175">
        <f t="shared" si="0"/>
        <v>318</v>
      </c>
      <c r="Z18" s="175">
        <f t="shared" si="0"/>
        <v>0</v>
      </c>
      <c r="AA18" s="175">
        <f t="shared" si="0"/>
        <v>104</v>
      </c>
      <c r="AB18" s="175">
        <f t="shared" si="0"/>
        <v>0</v>
      </c>
      <c r="AC18" s="175">
        <f t="shared" si="0"/>
        <v>0</v>
      </c>
      <c r="AD18" s="175">
        <f t="shared" ref="AD18:AF18" si="1">SUM(AD15:AD17)</f>
        <v>0</v>
      </c>
      <c r="AE18" s="175">
        <f t="shared" si="1"/>
        <v>104</v>
      </c>
      <c r="AF18" s="175">
        <f t="shared" si="1"/>
        <v>0</v>
      </c>
      <c r="AG18" s="225">
        <f>SUM($B18:AF18)</f>
        <v>8073</v>
      </c>
      <c r="AH18" s="225"/>
      <c r="AI18" s="270"/>
      <c r="AJ18" s="271"/>
      <c r="AK18" s="271"/>
    </row>
    <row r="19" spans="1:37" ht="17.399999999999999" x14ac:dyDescent="0.3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1"/>
      <c r="AH19" s="221"/>
      <c r="AI19" s="272"/>
    </row>
    <row r="20" spans="1:37" ht="17.399999999999999" hidden="1" x14ac:dyDescent="0.3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1">
        <f>SUM($B20:AF20)</f>
        <v>0</v>
      </c>
      <c r="AH20" s="221"/>
      <c r="AI20" s="272"/>
    </row>
    <row r="21" spans="1:37" ht="17.399999999999999" x14ac:dyDescent="0.3">
      <c r="A21" s="121" t="s">
        <v>152</v>
      </c>
      <c r="B21" s="119">
        <f>0.73*(B96+B15)</f>
        <v>110.23</v>
      </c>
      <c r="C21" s="119">
        <f t="shared" ref="C21:AC21" si="2">0.73*(C96+C15)</f>
        <v>100.00999999999999</v>
      </c>
      <c r="D21" s="119">
        <f t="shared" si="2"/>
        <v>159.13999999999999</v>
      </c>
      <c r="E21" s="119">
        <f>0.73*(E96+E15)</f>
        <v>175.93</v>
      </c>
      <c r="F21" s="119">
        <f t="shared" si="2"/>
        <v>180.31</v>
      </c>
      <c r="G21" s="119">
        <f t="shared" si="2"/>
        <v>127.02</v>
      </c>
      <c r="H21" s="119">
        <f t="shared" si="2"/>
        <v>118.99</v>
      </c>
      <c r="I21" s="119">
        <f t="shared" si="2"/>
        <v>213.16</v>
      </c>
      <c r="J21" s="119">
        <f t="shared" si="2"/>
        <v>145.27000000000001</v>
      </c>
      <c r="K21" s="119">
        <f t="shared" si="2"/>
        <v>212.43</v>
      </c>
      <c r="L21" s="119">
        <f t="shared" si="2"/>
        <v>194.91</v>
      </c>
      <c r="M21" s="119">
        <f t="shared" si="2"/>
        <v>133.59</v>
      </c>
      <c r="N21" s="119">
        <f>0.73*(N96+N15)</f>
        <v>111.69</v>
      </c>
      <c r="O21" s="119">
        <f>0.73*(O96+O15)</f>
        <v>111.69</v>
      </c>
      <c r="P21" s="119">
        <f t="shared" si="2"/>
        <v>111.69</v>
      </c>
      <c r="Q21" s="119">
        <f>0.73*(Q96+Q15)</f>
        <v>111.69</v>
      </c>
      <c r="R21" s="119">
        <f t="shared" si="2"/>
        <v>111.69</v>
      </c>
      <c r="S21" s="119">
        <f t="shared" si="2"/>
        <v>111.69</v>
      </c>
      <c r="T21" s="119">
        <f t="shared" si="2"/>
        <v>0</v>
      </c>
      <c r="U21" s="119">
        <f t="shared" si="2"/>
        <v>325.58</v>
      </c>
      <c r="V21" s="119">
        <f t="shared" si="2"/>
        <v>0</v>
      </c>
      <c r="W21" s="119">
        <f>0.73*(W96+W15)</f>
        <v>170.82</v>
      </c>
      <c r="X21" s="119">
        <f t="shared" si="2"/>
        <v>89.789999999999992</v>
      </c>
      <c r="Y21" s="119">
        <f>0.73*(Y96+Y15)</f>
        <v>64.97</v>
      </c>
      <c r="Z21" s="119">
        <f t="shared" si="2"/>
        <v>0</v>
      </c>
      <c r="AA21" s="119">
        <f t="shared" si="2"/>
        <v>0</v>
      </c>
      <c r="AB21" s="119">
        <f t="shared" si="2"/>
        <v>0</v>
      </c>
      <c r="AC21" s="119">
        <f t="shared" si="2"/>
        <v>0</v>
      </c>
      <c r="AD21" s="119">
        <f t="shared" ref="AD21:AF21" si="3">0.73*(AD96+AD15)</f>
        <v>0</v>
      </c>
      <c r="AE21" s="119">
        <f t="shared" si="3"/>
        <v>0</v>
      </c>
      <c r="AF21" s="119">
        <f t="shared" si="3"/>
        <v>108.03999999999999</v>
      </c>
      <c r="AG21" s="221">
        <f>SUM($B21:AF21)</f>
        <v>3300.33</v>
      </c>
      <c r="AH21" s="226">
        <f>AG24+AG37+AG28</f>
        <v>8559</v>
      </c>
      <c r="AI21" s="272"/>
      <c r="AJ21" s="273">
        <f>(AH21*10)/AG9</f>
        <v>10.276703390602512</v>
      </c>
    </row>
    <row r="22" spans="1:37" ht="17.399999999999999" x14ac:dyDescent="0.3">
      <c r="A22" s="104"/>
      <c r="B22" s="95"/>
      <c r="C22" s="95"/>
      <c r="D22" s="95"/>
      <c r="E22" s="119">
        <f>0.73*(E97+E16)</f>
        <v>148.91999999999999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2"/>
      <c r="AH22" s="212"/>
      <c r="AI22" s="272"/>
    </row>
    <row r="23" spans="1:37" ht="17.399999999999999" x14ac:dyDescent="0.3">
      <c r="A23" s="121" t="s">
        <v>131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21">
        <f>SUM($B23:AF23)</f>
        <v>0</v>
      </c>
      <c r="AH23" s="221"/>
      <c r="AI23" s="272"/>
    </row>
    <row r="24" spans="1:37" ht="17.399999999999999" x14ac:dyDescent="0.3">
      <c r="A24" s="122" t="s">
        <v>166</v>
      </c>
      <c r="B24" s="112">
        <f>'Water '!H7</f>
        <v>268</v>
      </c>
      <c r="C24" s="112">
        <f>'Water '!H8</f>
        <v>165</v>
      </c>
      <c r="D24" s="112">
        <f>'Water '!H9</f>
        <v>229</v>
      </c>
      <c r="E24" s="112">
        <f>'Water '!H10</f>
        <v>226</v>
      </c>
      <c r="F24" s="112">
        <f>'Water '!H11</f>
        <v>197</v>
      </c>
      <c r="G24" s="112">
        <f>'Water '!H12</f>
        <v>207</v>
      </c>
      <c r="H24" s="112">
        <f>'Water '!H13</f>
        <v>186</v>
      </c>
      <c r="I24" s="112">
        <f>'Water '!H14</f>
        <v>251</v>
      </c>
      <c r="J24" s="112">
        <f>'Water '!H15</f>
        <v>187</v>
      </c>
      <c r="K24" s="112">
        <f>'Water '!H16</f>
        <v>333</v>
      </c>
      <c r="L24" s="112">
        <f>'Water '!H17</f>
        <v>235</v>
      </c>
      <c r="M24" s="123">
        <f>'Water '!H18</f>
        <v>201</v>
      </c>
      <c r="N24" s="112">
        <f>'Water '!H19</f>
        <v>171</v>
      </c>
      <c r="O24" s="112">
        <f>'Water '!H20</f>
        <v>234</v>
      </c>
      <c r="P24" s="112">
        <f>'Water '!H21</f>
        <v>256</v>
      </c>
      <c r="Q24" s="112">
        <f>'Water '!H22</f>
        <v>286</v>
      </c>
      <c r="R24" s="112">
        <f>'Water '!H23</f>
        <v>234</v>
      </c>
      <c r="S24" s="112">
        <f>'Water '!H24</f>
        <v>347</v>
      </c>
      <c r="T24" s="112">
        <f>'Water '!H25</f>
        <v>284</v>
      </c>
      <c r="U24" s="112">
        <f>'Water '!H26</f>
        <v>69</v>
      </c>
      <c r="V24" s="112">
        <f>'Water '!H27</f>
        <v>19</v>
      </c>
      <c r="W24" s="112">
        <f>'Water '!H28</f>
        <v>327</v>
      </c>
      <c r="X24" s="112">
        <f>'Water '!H29</f>
        <v>347</v>
      </c>
      <c r="Y24" s="112">
        <f>'Water '!H30</f>
        <v>216</v>
      </c>
      <c r="Z24" s="112">
        <f>'Water '!H31</f>
        <v>15</v>
      </c>
      <c r="AA24" s="112">
        <f>'Water '!H32</f>
        <v>8</v>
      </c>
      <c r="AB24" s="112">
        <f>'Water '!H33</f>
        <v>13</v>
      </c>
      <c r="AC24" s="112">
        <f>'Water '!H34</f>
        <v>28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3">
        <f>SUM($B24:AF24)</f>
        <v>5539</v>
      </c>
      <c r="AH24" s="223"/>
      <c r="AI24" s="223"/>
    </row>
    <row r="25" spans="1:37" s="78" customFormat="1" ht="21" x14ac:dyDescent="0.4">
      <c r="A25" s="124" t="s">
        <v>153</v>
      </c>
      <c r="B25" s="118">
        <f>SUM(B23:B24)</f>
        <v>268</v>
      </c>
      <c r="C25" s="118">
        <f t="shared" ref="C25:AC25" si="4">SUM(C23:C24)</f>
        <v>165</v>
      </c>
      <c r="D25" s="118">
        <f t="shared" si="4"/>
        <v>229</v>
      </c>
      <c r="E25" s="118">
        <f t="shared" si="4"/>
        <v>226</v>
      </c>
      <c r="F25" s="118">
        <f t="shared" si="4"/>
        <v>197</v>
      </c>
      <c r="G25" s="118">
        <f t="shared" si="4"/>
        <v>207</v>
      </c>
      <c r="H25" s="118">
        <f t="shared" si="4"/>
        <v>186</v>
      </c>
      <c r="I25" s="118">
        <f t="shared" si="4"/>
        <v>251</v>
      </c>
      <c r="J25" s="118">
        <f t="shared" si="4"/>
        <v>187</v>
      </c>
      <c r="K25" s="118">
        <f t="shared" si="4"/>
        <v>333</v>
      </c>
      <c r="L25" s="118">
        <f t="shared" si="4"/>
        <v>235</v>
      </c>
      <c r="M25" s="118">
        <f t="shared" si="4"/>
        <v>201</v>
      </c>
      <c r="N25" s="118">
        <f t="shared" si="4"/>
        <v>171</v>
      </c>
      <c r="O25" s="118">
        <f t="shared" si="4"/>
        <v>234</v>
      </c>
      <c r="P25" s="118">
        <f t="shared" si="4"/>
        <v>256</v>
      </c>
      <c r="Q25" s="118">
        <f t="shared" si="4"/>
        <v>286</v>
      </c>
      <c r="R25" s="118">
        <f t="shared" si="4"/>
        <v>234</v>
      </c>
      <c r="S25" s="118">
        <f t="shared" si="4"/>
        <v>347</v>
      </c>
      <c r="T25" s="118">
        <f t="shared" si="4"/>
        <v>284</v>
      </c>
      <c r="U25" s="118">
        <f t="shared" si="4"/>
        <v>69</v>
      </c>
      <c r="V25" s="118">
        <f t="shared" si="4"/>
        <v>19</v>
      </c>
      <c r="W25" s="118">
        <f t="shared" si="4"/>
        <v>327</v>
      </c>
      <c r="X25" s="118">
        <f t="shared" si="4"/>
        <v>347</v>
      </c>
      <c r="Y25" s="118">
        <f t="shared" si="4"/>
        <v>216</v>
      </c>
      <c r="Z25" s="118">
        <f t="shared" si="4"/>
        <v>15</v>
      </c>
      <c r="AA25" s="118">
        <f t="shared" si="4"/>
        <v>8</v>
      </c>
      <c r="AB25" s="118">
        <f t="shared" si="4"/>
        <v>13</v>
      </c>
      <c r="AC25" s="118">
        <f t="shared" si="4"/>
        <v>28</v>
      </c>
      <c r="AD25" s="118">
        <f t="shared" ref="AD25:AF25" si="5">SUM(AD23:AD24)</f>
        <v>0</v>
      </c>
      <c r="AE25" s="118">
        <f t="shared" si="5"/>
        <v>0</v>
      </c>
      <c r="AF25" s="118">
        <f t="shared" si="5"/>
        <v>0</v>
      </c>
      <c r="AG25" s="225">
        <f>SUM($B25:AF25)</f>
        <v>5539</v>
      </c>
      <c r="AH25" s="225"/>
      <c r="AI25" s="270"/>
      <c r="AJ25" s="271"/>
      <c r="AK25" s="271"/>
    </row>
    <row r="26" spans="1:37" ht="17.399999999999999" x14ac:dyDescent="0.3">
      <c r="A26" s="109"/>
      <c r="B26" s="125">
        <f>IF(B$9=0,"",+(B25*10)/B$9)</f>
        <v>5.8883498558672569</v>
      </c>
      <c r="C26" s="125">
        <f t="shared" ref="C26:AC26" si="6">IF(C$9=0,"",+(C25*10)/C$9)</f>
        <v>7.7857365306758011</v>
      </c>
      <c r="D26" s="125">
        <f t="shared" si="6"/>
        <v>6.6089466089466091</v>
      </c>
      <c r="E26" s="125">
        <f>IF(E$9=0,"",+(E25*10)/E$9)</f>
        <v>8.9033864384878427</v>
      </c>
      <c r="F26" s="125">
        <f t="shared" si="6"/>
        <v>7.4977354555350022</v>
      </c>
      <c r="G26" s="125">
        <f t="shared" si="6"/>
        <v>6.8389961543036124</v>
      </c>
      <c r="H26" s="125">
        <f t="shared" si="6"/>
        <v>4.7870237683451098</v>
      </c>
      <c r="I26" s="125">
        <f t="shared" si="6"/>
        <v>5.6041246357318979</v>
      </c>
      <c r="J26" s="125">
        <f t="shared" si="6"/>
        <v>8.7072321245646371</v>
      </c>
      <c r="K26" s="125">
        <f t="shared" si="6"/>
        <v>7.6192306636281266</v>
      </c>
      <c r="L26" s="125">
        <f>IF(L$9=0,"",+(L25*10)/L$9)</f>
        <v>7.060491890949951</v>
      </c>
      <c r="M26" s="125">
        <f t="shared" si="6"/>
        <v>7.7591198610306886</v>
      </c>
      <c r="N26" s="125">
        <f t="shared" si="6"/>
        <v>8.9712918660287073</v>
      </c>
      <c r="O26" s="125">
        <f>IF(O$9=0,"",+(O25*10)/O$9)</f>
        <v>6.0130436793660094</v>
      </c>
      <c r="P26" s="125">
        <f t="shared" si="6"/>
        <v>6.9291065783205577</v>
      </c>
      <c r="Q26" s="125">
        <f t="shared" si="6"/>
        <v>7.8830877448305134</v>
      </c>
      <c r="R26" s="125">
        <f t="shared" si="6"/>
        <v>4.7846889952153111</v>
      </c>
      <c r="S26" s="125">
        <f t="shared" si="6"/>
        <v>7.5496492785407199</v>
      </c>
      <c r="T26" s="125">
        <f t="shared" si="6"/>
        <v>5.9262227007716612</v>
      </c>
      <c r="U26" s="125" t="str">
        <f t="shared" si="6"/>
        <v/>
      </c>
      <c r="V26" s="125" t="str">
        <f t="shared" si="6"/>
        <v/>
      </c>
      <c r="W26" s="125">
        <f t="shared" si="6"/>
        <v>6.0222990817375166</v>
      </c>
      <c r="X26" s="125">
        <f t="shared" si="6"/>
        <v>7.6831444652575733</v>
      </c>
      <c r="Y26" s="125">
        <f t="shared" si="6"/>
        <v>7.3876462138313155</v>
      </c>
      <c r="Z26" s="125" t="str">
        <f t="shared" si="6"/>
        <v/>
      </c>
      <c r="AA26" s="125" t="str">
        <f t="shared" si="6"/>
        <v/>
      </c>
      <c r="AB26" s="125" t="str">
        <f t="shared" si="6"/>
        <v/>
      </c>
      <c r="AC26" s="125">
        <f t="shared" si="6"/>
        <v>18.149408523740075</v>
      </c>
      <c r="AD26" s="125" t="str">
        <f t="shared" ref="AD26:AF26" si="7">IF(AD$9=0,"",+(AD25*10)/AD$9)</f>
        <v/>
      </c>
      <c r="AE26" s="125" t="str">
        <f t="shared" si="7"/>
        <v/>
      </c>
      <c r="AF26" s="125">
        <f t="shared" si="7"/>
        <v>0</v>
      </c>
      <c r="AG26" s="227"/>
      <c r="AH26" s="227"/>
      <c r="AI26" s="272"/>
    </row>
    <row r="27" spans="1:37" ht="17.399999999999999" x14ac:dyDescent="0.3">
      <c r="A27" s="126" t="s">
        <v>169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1">
        <f>SUM($B27:AF27)</f>
        <v>0</v>
      </c>
      <c r="AH27" s="221"/>
      <c r="AI27" s="272"/>
    </row>
    <row r="28" spans="1:37" ht="17.399999999999999" x14ac:dyDescent="0.3">
      <c r="A28" s="109" t="s">
        <v>127</v>
      </c>
      <c r="B28" s="127">
        <f>+'Water '!$J7</f>
        <v>28</v>
      </c>
      <c r="C28" s="127">
        <f>+'Water '!$J8</f>
        <v>152</v>
      </c>
      <c r="D28" s="127">
        <f>+'Water '!$J9</f>
        <v>117</v>
      </c>
      <c r="E28" s="127">
        <f>+'Water '!$J10</f>
        <v>140</v>
      </c>
      <c r="F28" s="127">
        <f>+'Water '!$J11</f>
        <v>83</v>
      </c>
      <c r="G28" s="127">
        <f>+'Water '!$J12</f>
        <v>122</v>
      </c>
      <c r="H28" s="111">
        <f>+'Water '!$J13</f>
        <v>119</v>
      </c>
      <c r="I28" s="127">
        <f>+'Water '!$J14</f>
        <v>96</v>
      </c>
      <c r="J28" s="127">
        <f>+'Water '!$J15</f>
        <v>164</v>
      </c>
      <c r="K28" s="127">
        <f>+'Water '!$J16</f>
        <v>165</v>
      </c>
      <c r="L28" s="128">
        <f>+'Water '!$J17</f>
        <v>81</v>
      </c>
      <c r="M28" s="111">
        <f>+'Water '!$J18</f>
        <v>132</v>
      </c>
      <c r="N28" s="127" t="str">
        <f>+'Water '!$J19</f>
        <v>0</v>
      </c>
      <c r="O28" s="127">
        <f>+'Water '!$J20</f>
        <v>5</v>
      </c>
      <c r="P28" s="127">
        <f>+'Water '!$J21</f>
        <v>127</v>
      </c>
      <c r="Q28" s="127">
        <f>+'Water '!$J22</f>
        <v>196</v>
      </c>
      <c r="R28" s="110">
        <f>+'Water '!$J23</f>
        <v>152</v>
      </c>
      <c r="S28" s="128">
        <f>+'Water '!$J24</f>
        <v>167</v>
      </c>
      <c r="T28" s="127">
        <f>+'Water '!$J25</f>
        <v>11</v>
      </c>
      <c r="U28" s="127" t="str">
        <f>+'Water '!$J26</f>
        <v>0</v>
      </c>
      <c r="V28" s="127" t="str">
        <f>+'Water '!$J27</f>
        <v>0</v>
      </c>
      <c r="W28" s="127" t="str">
        <f>+'Water '!$J28</f>
        <v>0</v>
      </c>
      <c r="X28" s="127">
        <f>+'Water '!$J29</f>
        <v>31</v>
      </c>
      <c r="Y28" s="127" t="str">
        <f>+'Water '!$J30</f>
        <v>0</v>
      </c>
      <c r="Z28" s="127">
        <f>+'Water '!$J31</f>
        <v>81</v>
      </c>
      <c r="AA28" s="127" t="str">
        <f>+'Water '!$J32</f>
        <v>0</v>
      </c>
      <c r="AB28" s="128" t="str">
        <f>+'Water '!$J33</f>
        <v>0</v>
      </c>
      <c r="AC28" s="127" t="str">
        <f>+'Water '!$J34</f>
        <v>0</v>
      </c>
      <c r="AD28" s="127">
        <f>+'Water '!$J31</f>
        <v>81</v>
      </c>
      <c r="AE28" s="127" t="str">
        <f>+'Water '!$J32</f>
        <v>0</v>
      </c>
      <c r="AF28" s="128" t="str">
        <f>+'Water '!$J33</f>
        <v>0</v>
      </c>
      <c r="AG28" s="221">
        <f>SUM($B28:AF28)</f>
        <v>2250</v>
      </c>
      <c r="AH28" s="221"/>
      <c r="AI28" s="272"/>
    </row>
    <row r="29" spans="1:37" ht="17.25" customHeight="1" x14ac:dyDescent="0.3">
      <c r="A29" s="121" t="s">
        <v>173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 t="str">
        <f>'Water '!AB32</f>
        <v>0</v>
      </c>
      <c r="AF29" s="119" t="str">
        <f>'Water '!AB33</f>
        <v>0</v>
      </c>
      <c r="AG29" s="221">
        <f>SUM($B29:AF29)</f>
        <v>0</v>
      </c>
      <c r="AH29" s="221"/>
      <c r="AI29" s="272"/>
    </row>
    <row r="30" spans="1:37" ht="17.25" customHeight="1" x14ac:dyDescent="0.3">
      <c r="A30" s="129" t="s">
        <v>189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1"/>
      <c r="AH30" s="221"/>
      <c r="AI30" s="272"/>
    </row>
    <row r="31" spans="1:37" ht="17.399999999999999" x14ac:dyDescent="0.3">
      <c r="A31" s="130" t="s">
        <v>172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8">
        <f>SUM($B31:AF31)</f>
        <v>0</v>
      </c>
      <c r="AH31" s="228"/>
      <c r="AI31" s="228"/>
    </row>
    <row r="32" spans="1:37" ht="17.25" customHeight="1" x14ac:dyDescent="0.3">
      <c r="A32" s="132" t="s">
        <v>174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4</v>
      </c>
      <c r="P32" s="133">
        <f>'Water '!N19</f>
        <v>10</v>
      </c>
      <c r="Q32" s="133" t="str">
        <f>'Water '!L22</f>
        <v>0</v>
      </c>
      <c r="R32" s="133">
        <f>'Water '!M22</f>
        <v>16</v>
      </c>
      <c r="S32" s="133">
        <f>'Water '!N22</f>
        <v>33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 t="str">
        <f>'Water '!P31</f>
        <v>0</v>
      </c>
      <c r="AE32" s="133" t="str">
        <f>'Water '!P32</f>
        <v>0</v>
      </c>
      <c r="AF32" s="133" t="str">
        <f>'Water '!P33</f>
        <v>0</v>
      </c>
      <c r="AG32" s="228">
        <f>SUM($B32:AF32)</f>
        <v>63</v>
      </c>
      <c r="AH32" s="228"/>
      <c r="AI32" s="228"/>
    </row>
    <row r="33" spans="1:37" ht="17.399999999999999" x14ac:dyDescent="0.3">
      <c r="A33" s="132" t="s">
        <v>100</v>
      </c>
      <c r="B33" s="131">
        <f>+'Water '!$N7</f>
        <v>28</v>
      </c>
      <c r="C33" s="131">
        <f>+'Water '!$N8</f>
        <v>3</v>
      </c>
      <c r="D33" s="131">
        <f>+'Water '!$N9</f>
        <v>25</v>
      </c>
      <c r="E33" s="131">
        <f>+'Water '!$N10</f>
        <v>54</v>
      </c>
      <c r="F33" s="131">
        <f>+'Water '!$N11</f>
        <v>29</v>
      </c>
      <c r="G33" s="131">
        <f>+'Water '!$N12</f>
        <v>33</v>
      </c>
      <c r="H33" s="131">
        <f>+'Water '!$N13</f>
        <v>12</v>
      </c>
      <c r="I33" s="131">
        <f>+'Water '!$N14</f>
        <v>52</v>
      </c>
      <c r="J33" s="131">
        <f>+'Water '!$N15</f>
        <v>13</v>
      </c>
      <c r="K33" s="131">
        <f>+'Water '!$N16</f>
        <v>59</v>
      </c>
      <c r="L33" s="131">
        <f>+'Water '!$N17</f>
        <v>21</v>
      </c>
      <c r="M33" s="131">
        <f>+'Water '!$N18</f>
        <v>28</v>
      </c>
      <c r="N33" s="131">
        <f>+'Water '!$N19</f>
        <v>10</v>
      </c>
      <c r="O33" s="131">
        <f>+'Water '!$N19</f>
        <v>10</v>
      </c>
      <c r="P33" s="131">
        <f>+'Water '!$N19</f>
        <v>10</v>
      </c>
      <c r="Q33" s="131">
        <f>+'Water '!$N22</f>
        <v>33</v>
      </c>
      <c r="R33" s="131">
        <f>+'Water '!$N22</f>
        <v>33</v>
      </c>
      <c r="S33" s="131">
        <f>+'Water '!$N22</f>
        <v>33</v>
      </c>
      <c r="T33" s="131">
        <f>+'Water '!$N25</f>
        <v>52</v>
      </c>
      <c r="U33" s="131" t="str">
        <f>+'Water '!$N26</f>
        <v>0</v>
      </c>
      <c r="V33" s="131" t="str">
        <f>+'Water '!$N27</f>
        <v>0</v>
      </c>
      <c r="W33" s="131" t="str">
        <f>+'Water '!$N28</f>
        <v>0</v>
      </c>
      <c r="X33" s="131">
        <f>+'Water '!$N29</f>
        <v>61</v>
      </c>
      <c r="Y33" s="131">
        <f>+'Water '!$N30</f>
        <v>43</v>
      </c>
      <c r="Z33" s="131" t="str">
        <f>+'Water '!$N31</f>
        <v>0</v>
      </c>
      <c r="AA33" s="131" t="str">
        <f>+'Water '!$N32</f>
        <v>0</v>
      </c>
      <c r="AB33" s="131" t="str">
        <f>+'Water '!$N33</f>
        <v>0</v>
      </c>
      <c r="AC33" s="131" t="str">
        <f>+'Water '!$N34</f>
        <v>0</v>
      </c>
      <c r="AD33" s="131" t="str">
        <f>+'Water '!$N31</f>
        <v>0</v>
      </c>
      <c r="AE33" s="131" t="str">
        <f>+'Water '!$N32</f>
        <v>0</v>
      </c>
      <c r="AF33" s="131" t="str">
        <f>+'Water '!$N33</f>
        <v>0</v>
      </c>
      <c r="AG33" s="228">
        <f>SUM($B33:AF33)</f>
        <v>642</v>
      </c>
      <c r="AH33" s="228"/>
      <c r="AI33" s="228"/>
      <c r="AJ33" s="265">
        <f>34294/2.2</f>
        <v>15588.181818181816</v>
      </c>
    </row>
    <row r="34" spans="1:37" ht="17.399999999999999" x14ac:dyDescent="0.3">
      <c r="A34" s="121" t="s">
        <v>129</v>
      </c>
      <c r="B34" s="134">
        <f>+'Water '!$O7</f>
        <v>167</v>
      </c>
      <c r="C34" s="134">
        <f>+'Water '!$O8</f>
        <v>84</v>
      </c>
      <c r="D34" s="134">
        <f>+'Water '!$O9</f>
        <v>118</v>
      </c>
      <c r="E34" s="134">
        <f>+'Water '!$O10</f>
        <v>85</v>
      </c>
      <c r="F34" s="134">
        <f>+'Water '!$O11</f>
        <v>92</v>
      </c>
      <c r="G34" s="134">
        <f>+'Water '!$O12</f>
        <v>101</v>
      </c>
      <c r="H34" s="134">
        <f>+'Water '!$O13</f>
        <v>105</v>
      </c>
      <c r="I34" s="134">
        <f>+'Water '!$O14</f>
        <v>110</v>
      </c>
      <c r="J34" s="134">
        <f>+'Water '!$O15</f>
        <v>90</v>
      </c>
      <c r="K34" s="134">
        <f>+'Water '!$O16</f>
        <v>143</v>
      </c>
      <c r="L34" s="134">
        <f>+'Water '!$O17</f>
        <v>131</v>
      </c>
      <c r="M34" s="134">
        <f>+'Water '!$O18</f>
        <v>82</v>
      </c>
      <c r="N34" s="134">
        <f>+'Water '!$O19</f>
        <v>95</v>
      </c>
      <c r="O34" s="134">
        <f>+'Water '!$O19</f>
        <v>95</v>
      </c>
      <c r="P34" s="134">
        <f>+'Water '!$O19</f>
        <v>95</v>
      </c>
      <c r="Q34" s="134">
        <f>+'Water '!$O19</f>
        <v>95</v>
      </c>
      <c r="R34" s="134">
        <f>+'Water '!$O19</f>
        <v>95</v>
      </c>
      <c r="S34" s="134">
        <f>+'Water '!$O19</f>
        <v>95</v>
      </c>
      <c r="T34" s="134">
        <f>+'Water '!$O25</f>
        <v>177</v>
      </c>
      <c r="U34" s="134">
        <f>+'Water '!$O26</f>
        <v>35</v>
      </c>
      <c r="V34" s="134">
        <f>+'Water '!$O27</f>
        <v>4</v>
      </c>
      <c r="W34" s="134">
        <f>+'Water '!$O28</f>
        <v>217</v>
      </c>
      <c r="X34" s="134">
        <f>+'Water '!$O29</f>
        <v>192</v>
      </c>
      <c r="Y34" s="134">
        <f>+'Water '!$O30</f>
        <v>96</v>
      </c>
      <c r="Z34" s="134" t="str">
        <f>+'Water '!$O31</f>
        <v>0</v>
      </c>
      <c r="AA34" s="134" t="str">
        <f>+'Water '!$O32</f>
        <v>0</v>
      </c>
      <c r="AB34" s="134" t="str">
        <f>+'Water '!$O33</f>
        <v>0</v>
      </c>
      <c r="AC34" s="134" t="str">
        <f>+'Water '!$O34</f>
        <v>0</v>
      </c>
      <c r="AD34" s="134" t="str">
        <f>+'Water '!$O31</f>
        <v>0</v>
      </c>
      <c r="AE34" s="134" t="str">
        <f>+'Water '!$O32</f>
        <v>0</v>
      </c>
      <c r="AF34" s="134" t="str">
        <f>+'Water '!$O33</f>
        <v>0</v>
      </c>
      <c r="AG34" s="229">
        <f>SUM($B34:AF34)</f>
        <v>2599</v>
      </c>
      <c r="AH34" s="229"/>
      <c r="AI34" s="229"/>
    </row>
    <row r="35" spans="1:37" ht="17.25" customHeight="1" x14ac:dyDescent="0.3">
      <c r="A35" s="121" t="s">
        <v>170</v>
      </c>
      <c r="B35" s="119">
        <f>IF('Entries December''25'!AC7-'Entries December''25'!AC6&lt;1,0,'Entries December''25'!AC7-'Entries December''25'!AC6)</f>
        <v>27</v>
      </c>
      <c r="C35" s="119">
        <f>IF('Entries December''25'!AC8-'Entries December''25'!AC7&lt;1,0,'Entries December''25'!AC8-'Entries December''25'!AC7)</f>
        <v>14</v>
      </c>
      <c r="D35" s="119">
        <f>IF('Entries December''25'!AC9-'Entries December''25'!AC8&lt;1,0,'Entries December''25'!AC9-'Entries December''25'!AC8)</f>
        <v>30</v>
      </c>
      <c r="E35" s="119">
        <f>IF('Entries December''25'!AC10-'Entries December''25'!AC9&lt;1,0,'Entries December''25'!AC10-'Entries December''25'!AC9)</f>
        <v>27</v>
      </c>
      <c r="F35" s="119">
        <f>IF('Entries December''25'!AC11-'Entries December''25'!AC10&lt;1,0,'Entries December''25'!AC11-'Entries December''25'!AC10)</f>
        <v>17</v>
      </c>
      <c r="G35" s="119">
        <f>IF('Entries December''25'!AC12-'Entries December''25'!AC11&lt;1,0,'Entries December''25'!AC12-'Entries December''25'!AC11)</f>
        <v>17</v>
      </c>
      <c r="H35" s="119">
        <f>IF('Entries December''25'!AC13-'Entries December''25'!AC12&lt;1,0,'Entries December''25'!AC13-'Entries December''25'!AC12)</f>
        <v>23</v>
      </c>
      <c r="I35" s="119">
        <f>IF('Entries December''25'!AC14-'Entries December''25'!AC13&lt;1,0,'Entries December''25'!AC14-'Entries December''25'!AC13)</f>
        <v>28</v>
      </c>
      <c r="J35" s="119">
        <f>IF('Entries December''25'!AC15-'Entries December''25'!AC14&lt;1,0,'Entries December''25'!AC15-'Entries December''25'!AC14)</f>
        <v>18</v>
      </c>
      <c r="K35" s="119">
        <f>IF('Entries December''25'!AC16-'Entries December''25'!AC15&lt;1,0,'Entries December''25'!AC16-'Entries December''25'!AC15)</f>
        <v>27</v>
      </c>
      <c r="L35" s="119">
        <f>IF('Entries December''25'!AC17-'Entries December''25'!AC16&lt;1,0,'Entries December''25'!AC17-'Entries December''25'!AC16)</f>
        <v>21</v>
      </c>
      <c r="M35" s="119">
        <f>IF('Entries December''25'!AC18-'Entries December''25'!AC17&lt;1,0,'Entries December''25'!AC18-'Entries December''25'!AC17)</f>
        <v>34</v>
      </c>
      <c r="N35" s="95">
        <f>IF('Entries December''25'!AC19-'Entries December''25'!AC18&lt;1,0,'Entries December''25'!AC19-'Entries December''25'!AC18)</f>
        <v>9</v>
      </c>
      <c r="O35" s="95">
        <f>IF('Entries December''25'!AC20-'Entries December''25'!AC19&lt;1,0,'Entries December''25'!AC20-'Entries December''25'!AC19)</f>
        <v>20</v>
      </c>
      <c r="P35" s="95">
        <f>IF('Entries December''25'!AC21-'Entries December''25'!AC20&lt;1,0,'Entries December''25'!AC21-'Entries December''25'!AC20)</f>
        <v>22</v>
      </c>
      <c r="Q35" s="95">
        <f>IF('Entries December''25'!AC22-'Entries December''25'!AC21&lt;1,0,'Entries December''25'!AC22-'Entries December''25'!AC21)</f>
        <v>30</v>
      </c>
      <c r="R35" s="95">
        <f>IF('Entries December''25'!AC23-'Entries December''25'!AC22&lt;1,0,'Entries December''25'!AC23-'Entries December''25'!AC22)</f>
        <v>29</v>
      </c>
      <c r="S35" s="95">
        <f>IF('Entries December''25'!AC24-'Entries December''25'!AC23&lt;1,0,'Entries December''25'!AC24-'Entries December''25'!AC23)</f>
        <v>27</v>
      </c>
      <c r="T35" s="95">
        <f>IF('Entries December''25'!AC25-'Entries December''25'!AC24&lt;1,0,'Entries December''25'!AC25-'Entries December''25'!AC24)</f>
        <v>26</v>
      </c>
      <c r="U35" s="95">
        <f>IF('Entries December''25'!AC26-'Entries December''25'!AC25&lt;1,0,'Entries December''25'!AC26-'Entries December''25'!AC25)</f>
        <v>2</v>
      </c>
      <c r="V35" s="95">
        <f>IF('Entries December''25'!AC27-'Entries December''25'!AC26&lt;1,0,'Entries December''25'!AC27-'Entries December''25'!AC26)</f>
        <v>0</v>
      </c>
      <c r="W35" s="95">
        <f>IF('Entries December''25'!$AC28-'Entries December''25'!$AC27&lt;1,0,'Entries December''25'!$AC28-'Entries December''25'!$AC27)</f>
        <v>29</v>
      </c>
      <c r="X35" s="95">
        <f>IF('Entries December''25'!$AC29-'Entries December''25'!$AC28&lt;1,0,'Entries December''25'!$AC29-'Entries December''25'!$AC28)</f>
        <v>31</v>
      </c>
      <c r="Y35" s="95">
        <f>IF('Entries December''25'!$AC30-'Entries December''25'!$AC29&lt;1,0,'Entries December''25'!$AC30-'Entries December''25'!$AC29)</f>
        <v>19</v>
      </c>
      <c r="Z35" s="95">
        <f>IF('Entries December''25'!$AC31-'Entries December''25'!$AC30&lt;1,0,'Entries December''25'!$AC31-'Entries December''25'!$AC30)</f>
        <v>0</v>
      </c>
      <c r="AA35" s="95">
        <f>IF('Entries December''25'!$AC32-'Entries December''25'!$AC31&lt;1,0,'Entries December''25'!$AC32-'Entries December''25'!$AC31)</f>
        <v>0</v>
      </c>
      <c r="AB35" s="95">
        <f>IF('Entries December''25'!$AC33-'Entries December''25'!$AC32&lt;1,0,'Entries December''25'!$AC33-'Entries December''25'!$AC32)</f>
        <v>0</v>
      </c>
      <c r="AC35" s="95">
        <f>IF('Entries December''25'!$AC34-'Entries December''25'!$AC33&lt;1,0,'Entries December''25'!$AC34-'Entries December''25'!$AC33)</f>
        <v>0</v>
      </c>
      <c r="AD35" s="95">
        <f>IF('Entries December''25'!$AC31-'Entries December''25'!$AC30&lt;1,0,'Entries December''25'!$AC31-'Entries December''25'!$AC30)</f>
        <v>0</v>
      </c>
      <c r="AE35" s="95">
        <f>IF('Entries December''25'!$AC32-'Entries December''25'!$AC31&lt;1,0,'Entries December''25'!$AC32-'Entries December''25'!$AC31)</f>
        <v>0</v>
      </c>
      <c r="AF35" s="95">
        <f>IF('Entries December''25'!$AC33-'Entries December''25'!$AC32&lt;1,0,'Entries December''25'!$AC33-'Entries December''25'!$AC32)</f>
        <v>0</v>
      </c>
      <c r="AG35" s="221">
        <f>SUM($B35:AF35)</f>
        <v>527</v>
      </c>
      <c r="AH35" s="221"/>
      <c r="AI35" s="272"/>
    </row>
    <row r="36" spans="1:37" ht="17.399999999999999" x14ac:dyDescent="0.3">
      <c r="A36" s="109" t="s">
        <v>128</v>
      </c>
      <c r="B36" s="110">
        <f>+'Water '!$M7</f>
        <v>18</v>
      </c>
      <c r="C36" s="110">
        <f>+'Water '!$M8</f>
        <v>7</v>
      </c>
      <c r="D36" s="110">
        <f>+'Water '!$M9</f>
        <v>10</v>
      </c>
      <c r="E36" s="110">
        <f>+'Water '!$M10</f>
        <v>7</v>
      </c>
      <c r="F36" s="110">
        <f>+'Water '!$M11</f>
        <v>6</v>
      </c>
      <c r="G36" s="110">
        <f>+'Water '!$M12</f>
        <v>14</v>
      </c>
      <c r="H36" s="110">
        <f>+'Water '!$M13</f>
        <v>6</v>
      </c>
      <c r="I36" s="110">
        <f>+'Water '!$M14</f>
        <v>4</v>
      </c>
      <c r="J36" s="110">
        <f>+'Water '!$M15</f>
        <v>3</v>
      </c>
      <c r="K36" s="110">
        <f>+'Water '!$M16</f>
        <v>10</v>
      </c>
      <c r="L36" s="110">
        <f>+'Water '!$M17</f>
        <v>18</v>
      </c>
      <c r="M36" s="110">
        <f>+'Water '!$M18</f>
        <v>11</v>
      </c>
      <c r="N36" s="110">
        <f>+'Water '!$M19</f>
        <v>4</v>
      </c>
      <c r="O36" s="110">
        <f>+'Water '!$M20</f>
        <v>8</v>
      </c>
      <c r="P36" s="110">
        <f>+'Water '!$M21</f>
        <v>5</v>
      </c>
      <c r="Q36" s="110">
        <f>+'Water '!$M22</f>
        <v>16</v>
      </c>
      <c r="R36" s="110">
        <f>+'Water '!$M23</f>
        <v>8</v>
      </c>
      <c r="S36" s="110">
        <f>+'Water '!$M24</f>
        <v>5</v>
      </c>
      <c r="T36" s="110" t="str">
        <f>+'Water '!$M25</f>
        <v>0</v>
      </c>
      <c r="U36" s="110" t="str">
        <f>+'Water '!$M26</f>
        <v>0</v>
      </c>
      <c r="V36" s="110" t="str">
        <f>+'Water '!$M27</f>
        <v>0</v>
      </c>
      <c r="W36" s="110">
        <f>+'Water '!$M28</f>
        <v>6</v>
      </c>
      <c r="X36" s="110">
        <f>+'Water '!$M29</f>
        <v>10</v>
      </c>
      <c r="Y36" s="110">
        <f>+'Water '!$M30</f>
        <v>4</v>
      </c>
      <c r="Z36" s="110" t="str">
        <f>+'Water '!$M31</f>
        <v>0</v>
      </c>
      <c r="AA36" s="110" t="str">
        <f>+'Water '!$M32</f>
        <v>0</v>
      </c>
      <c r="AB36" s="110" t="str">
        <f>+'Water '!$M33</f>
        <v>0</v>
      </c>
      <c r="AC36" s="110" t="str">
        <f>+'Water '!$M34</f>
        <v>0</v>
      </c>
      <c r="AD36" s="110" t="str">
        <f>+'Water '!$M31</f>
        <v>0</v>
      </c>
      <c r="AE36" s="110" t="str">
        <f>+'Water '!$M32</f>
        <v>0</v>
      </c>
      <c r="AF36" s="110" t="str">
        <f>+'Water '!$M33</f>
        <v>0</v>
      </c>
      <c r="AG36" s="221">
        <f>SUM($B36:AF36)</f>
        <v>180</v>
      </c>
      <c r="AH36" s="221"/>
      <c r="AI36" s="272"/>
    </row>
    <row r="37" spans="1:37" ht="17.399999999999999" x14ac:dyDescent="0.3">
      <c r="A37" s="132" t="s">
        <v>130</v>
      </c>
      <c r="B37" s="131">
        <f>+'Water '!$Q7</f>
        <v>60</v>
      </c>
      <c r="C37" s="131">
        <f>+'Water '!$Q8</f>
        <v>48</v>
      </c>
      <c r="D37" s="131">
        <f>+'Water '!$Q9</f>
        <v>77</v>
      </c>
      <c r="E37" s="131">
        <f>+'Water '!$Q10</f>
        <v>54</v>
      </c>
      <c r="F37" s="131">
        <f>+'Water '!$Q11</f>
        <v>48</v>
      </c>
      <c r="G37" s="131">
        <f>+'Water '!$Q12</f>
        <v>47</v>
      </c>
      <c r="H37" s="131">
        <f>+'Water '!$Q13</f>
        <v>33</v>
      </c>
      <c r="I37" s="131">
        <f>+'Water '!$Q14</f>
        <v>28</v>
      </c>
      <c r="J37" s="131">
        <f>+'Water '!$Q15</f>
        <v>24</v>
      </c>
      <c r="K37" s="131">
        <f>+'Water '!$Q16</f>
        <v>32</v>
      </c>
      <c r="L37" s="131">
        <f>+'Water '!$Q17</f>
        <v>25</v>
      </c>
      <c r="M37" s="131">
        <f>+'Water '!$Q18</f>
        <v>26</v>
      </c>
      <c r="N37" s="131">
        <f>+'Water '!$Q19</f>
        <v>16</v>
      </c>
      <c r="O37" s="131">
        <f>+'Water '!$Q19</f>
        <v>16</v>
      </c>
      <c r="P37" s="131">
        <f>+'Water '!$Q21</f>
        <v>28</v>
      </c>
      <c r="Q37" s="131">
        <f>+'Water '!$Q22</f>
        <v>27</v>
      </c>
      <c r="R37" s="131">
        <f>+'Water '!$Q22</f>
        <v>27</v>
      </c>
      <c r="S37" s="131">
        <f>+'Water '!$Q24</f>
        <v>27</v>
      </c>
      <c r="T37" s="131">
        <f>+'Water '!$Q25</f>
        <v>26</v>
      </c>
      <c r="U37" s="131" t="str">
        <f>+'Water '!$Q26</f>
        <v>0</v>
      </c>
      <c r="V37" s="131">
        <f>+'Water '!$Q27</f>
        <v>10</v>
      </c>
      <c r="W37" s="131">
        <f>+'Water '!$Q28</f>
        <v>29</v>
      </c>
      <c r="X37" s="131">
        <f>+'Water '!$Q29</f>
        <v>29</v>
      </c>
      <c r="Y37" s="131">
        <f>+'Water '!$Q30</f>
        <v>21</v>
      </c>
      <c r="Z37" s="131">
        <f>+'Water '!$Q31</f>
        <v>1</v>
      </c>
      <c r="AA37" s="131" t="str">
        <f>+'Water '!$Q32</f>
        <v>0</v>
      </c>
      <c r="AB37" s="131" t="str">
        <f>+'Water '!$Q33</f>
        <v>0</v>
      </c>
      <c r="AC37" s="131">
        <f>+'Water '!$Q34</f>
        <v>10</v>
      </c>
      <c r="AD37" s="131">
        <f>+'Water '!$Q31</f>
        <v>1</v>
      </c>
      <c r="AE37" s="131" t="str">
        <f>+'Water '!$Q32</f>
        <v>0</v>
      </c>
      <c r="AF37" s="131" t="str">
        <f>+'Water '!$Q33</f>
        <v>0</v>
      </c>
      <c r="AG37" s="228">
        <f>SUM($B37:AF37)</f>
        <v>770</v>
      </c>
      <c r="AH37" s="228"/>
      <c r="AI37" s="228"/>
    </row>
    <row r="38" spans="1:37" s="87" customFormat="1" ht="17.399999999999999" hidden="1" x14ac:dyDescent="0.3">
      <c r="A38" s="135" t="s">
        <v>167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30">
        <f>SUM($B38:AF38)</f>
        <v>0</v>
      </c>
      <c r="AH38" s="230"/>
      <c r="AI38" s="274"/>
      <c r="AJ38" s="275"/>
      <c r="AK38" s="275"/>
    </row>
    <row r="39" spans="1:37" ht="17.25" customHeight="1" x14ac:dyDescent="0.3">
      <c r="A39" s="121" t="s">
        <v>202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1">
        <f>SUM($B39:AF39)</f>
        <v>0</v>
      </c>
      <c r="AH39" s="221"/>
      <c r="AI39" s="272"/>
    </row>
    <row r="40" spans="1:37" ht="17.25" customHeight="1" x14ac:dyDescent="0.3">
      <c r="A40" s="121" t="s">
        <v>188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165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 t="str">
        <f>'Water '!M32</f>
        <v>0</v>
      </c>
      <c r="AF40" s="119" t="str">
        <f>'Water '!M33</f>
        <v>0</v>
      </c>
      <c r="AG40" s="221">
        <f>SUM($B40:AF40)</f>
        <v>165</v>
      </c>
      <c r="AH40" s="221"/>
      <c r="AI40" s="272"/>
    </row>
    <row r="41" spans="1:37" ht="17.25" customHeight="1" x14ac:dyDescent="0.3">
      <c r="A41" s="129" t="s">
        <v>201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1"/>
      <c r="AH41" s="221"/>
      <c r="AI41" s="276"/>
    </row>
    <row r="42" spans="1:37" s="88" customFormat="1" ht="21" x14ac:dyDescent="0.4">
      <c r="A42" s="137" t="s">
        <v>193</v>
      </c>
      <c r="B42" s="138">
        <f t="shared" ref="B42:AF42" si="8">SUM(B28:B41)</f>
        <v>328</v>
      </c>
      <c r="C42" s="138">
        <f>SUM(C28:C41)</f>
        <v>308</v>
      </c>
      <c r="D42" s="138">
        <f t="shared" si="8"/>
        <v>377</v>
      </c>
      <c r="E42" s="138">
        <f>SUM(E28:E41)</f>
        <v>367</v>
      </c>
      <c r="F42" s="138">
        <f t="shared" si="8"/>
        <v>275</v>
      </c>
      <c r="G42" s="138">
        <f>SUM(G28:G41)</f>
        <v>334</v>
      </c>
      <c r="H42" s="138">
        <f t="shared" si="8"/>
        <v>298</v>
      </c>
      <c r="I42" s="138">
        <f t="shared" si="8"/>
        <v>318</v>
      </c>
      <c r="J42" s="138">
        <f t="shared" si="8"/>
        <v>312</v>
      </c>
      <c r="K42" s="138">
        <f t="shared" si="8"/>
        <v>436</v>
      </c>
      <c r="L42" s="138">
        <f t="shared" si="8"/>
        <v>462</v>
      </c>
      <c r="M42" s="138">
        <f t="shared" si="8"/>
        <v>313</v>
      </c>
      <c r="N42" s="138">
        <f>SUM(N28:N41)</f>
        <v>134</v>
      </c>
      <c r="O42" s="138">
        <f>SUM(O28:O41)</f>
        <v>158</v>
      </c>
      <c r="P42" s="138">
        <f t="shared" si="8"/>
        <v>297</v>
      </c>
      <c r="Q42" s="138">
        <f t="shared" si="8"/>
        <v>397</v>
      </c>
      <c r="R42" s="138">
        <f t="shared" si="8"/>
        <v>360</v>
      </c>
      <c r="S42" s="138">
        <f t="shared" si="8"/>
        <v>387</v>
      </c>
      <c r="T42" s="138">
        <f t="shared" si="8"/>
        <v>292</v>
      </c>
      <c r="U42" s="138">
        <f t="shared" si="8"/>
        <v>37</v>
      </c>
      <c r="V42" s="138">
        <f t="shared" si="8"/>
        <v>14</v>
      </c>
      <c r="W42" s="138">
        <f t="shared" si="8"/>
        <v>281</v>
      </c>
      <c r="X42" s="138">
        <f t="shared" si="8"/>
        <v>354</v>
      </c>
      <c r="Y42" s="138">
        <f t="shared" si="8"/>
        <v>183</v>
      </c>
      <c r="Z42" s="138">
        <f t="shared" si="8"/>
        <v>82</v>
      </c>
      <c r="AA42" s="138">
        <f>SUM(AA28:AA41)</f>
        <v>0</v>
      </c>
      <c r="AB42" s="138">
        <f t="shared" si="8"/>
        <v>0</v>
      </c>
      <c r="AC42" s="138">
        <f t="shared" si="8"/>
        <v>10</v>
      </c>
      <c r="AD42" s="138">
        <f t="shared" si="8"/>
        <v>82</v>
      </c>
      <c r="AE42" s="138">
        <f t="shared" si="8"/>
        <v>0</v>
      </c>
      <c r="AF42" s="138">
        <f t="shared" si="8"/>
        <v>0</v>
      </c>
      <c r="AG42" s="231">
        <f>SUM($B42:AF42)</f>
        <v>7196</v>
      </c>
      <c r="AH42" s="231"/>
      <c r="AI42" s="277"/>
      <c r="AJ42" s="278"/>
      <c r="AK42" s="278"/>
    </row>
    <row r="43" spans="1:37" ht="17.399999999999999" x14ac:dyDescent="0.25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2"/>
      <c r="AH43" s="222"/>
    </row>
    <row r="44" spans="1:37" ht="17.399999999999999" x14ac:dyDescent="0.25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2"/>
      <c r="AH44" s="222"/>
    </row>
    <row r="45" spans="1:37" ht="21" x14ac:dyDescent="0.4">
      <c r="A45" s="105" t="s">
        <v>194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2"/>
      <c r="AH45" s="232"/>
    </row>
    <row r="46" spans="1:37" ht="21" x14ac:dyDescent="0.4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2"/>
      <c r="AH46" s="232"/>
    </row>
    <row r="47" spans="1:37" s="182" customFormat="1" ht="24.6" x14ac:dyDescent="0.4">
      <c r="A47" s="181" t="s">
        <v>195</v>
      </c>
      <c r="B47" s="178">
        <f>IF('Entries December''25'!M7-'Entries December''25'!M6&lt;1,0,'Entries December''25'!M7-'Entries December''25'!M6)</f>
        <v>2614.9000000000233</v>
      </c>
      <c r="C47" s="178">
        <f>IF('Entries December''25'!M8-'Entries December''25'!M7&lt;1,0,'Entries December''25'!M8-'Entries December''25'!M7)</f>
        <v>1219.4100000000035</v>
      </c>
      <c r="D47" s="178">
        <f>IF('Entries December''25'!M9-'Entries December''25'!M8&lt;1,0,'Entries December''25'!M9-'Entries December''25'!M8)</f>
        <v>2153.859999999986</v>
      </c>
      <c r="E47" s="178">
        <f>IF('Entries December''25'!M10-'Entries December''25'!M9&lt;1,0,'Entries December''25'!M10-'Entries December''25'!M9)</f>
        <v>1696.6900000000023</v>
      </c>
      <c r="F47" s="178">
        <f>IF('Entries December''25'!M11-'Entries December''25'!M10&lt;1,0,'Entries December''25'!M11-'Entries December''25'!M10)</f>
        <v>1737.1699999999837</v>
      </c>
      <c r="G47" s="178">
        <f>IF('Entries December''25'!M12-'Entries December''25'!M11&lt;1,0,'Entries December''25'!M12-'Entries December''25'!M11)</f>
        <v>1770.5600000000268</v>
      </c>
      <c r="H47" s="178">
        <f>IF('Entries December''25'!M13-'Entries December''25'!M12&lt;1,0,'Entries December''25'!M13-'Entries December''25'!M12)</f>
        <v>2328.9099999999744</v>
      </c>
      <c r="I47" s="178">
        <f>IF('Entries December''25'!M14-'Entries December''25'!M13&lt;1,0,'Entries December''25'!M14-'Entries December''25'!M13)</f>
        <v>2505.9500000000116</v>
      </c>
      <c r="J47" s="178">
        <f>IF('Entries December''25'!M15-'Entries December''25'!M14&lt;1,0,'Entries December''25'!M15-'Entries December''25'!M14)</f>
        <v>1557.4100000000035</v>
      </c>
      <c r="K47" s="178">
        <f>IF('Entries December''25'!M16-'Entries December''25'!M15&lt;1,0,'Entries December''25'!M16-'Entries December''25'!M15)</f>
        <v>3318.5400000000081</v>
      </c>
      <c r="L47" s="177">
        <f>IF('Entries December''25'!M17-'Entries December''25'!M16&lt;1,0,'Entries December''25'!M17-'Entries December''25'!M16)</f>
        <v>2430.109999999986</v>
      </c>
      <c r="M47" s="178">
        <f>IF('Entries December''25'!M18-'Entries December''25'!M17&lt;1,0,'Entries December''25'!M18-'Entries December''25'!M17)</f>
        <v>2265.570000000007</v>
      </c>
      <c r="N47" s="178">
        <f>IF('Entries December''25'!M19-'Entries December''25'!M18&lt;1,0,'Entries December''25'!M19-'Entries December''25'!M18)</f>
        <v>955.02999999999884</v>
      </c>
      <c r="O47" s="178">
        <f>IF('Entries December''25'!M20-'Entries December''25'!M19&lt;1,0,'Entries December''25'!M20-'Entries December''25'!M19)</f>
        <v>2492.9599999999919</v>
      </c>
      <c r="P47" s="178">
        <f>IF('Entries December''25'!M21-'Entries December''25'!M20&lt;1,0,'Entries December''25'!M21-'Entries December''25'!M20)</f>
        <v>2751.4800000000105</v>
      </c>
      <c r="Q47" s="178">
        <f>IF('Entries December''25'!M22-'Entries December''25'!M21&lt;1,0,'Entries December''25'!M22-'Entries December''25'!M21)</f>
        <v>2426.8500000000058</v>
      </c>
      <c r="R47" s="178">
        <f>IF('Entries December''25'!M23-'Entries December''25'!M22&lt;1,0,'Entries December''25'!M23-'Entries December''25'!M22)</f>
        <v>2601.7399999999907</v>
      </c>
      <c r="S47" s="178">
        <f>IF('Entries December''25'!N23-'Entries December''25'!N22&lt;1,0,'Entries December''25'!N23-'Entries December''25'!N22)</f>
        <v>421</v>
      </c>
      <c r="T47" s="178">
        <f>IF('Entries December''25'!O23-'Entries December''25'!O22&lt;1,0,'Entries December''25'!O23-'Entries December''25'!O22)</f>
        <v>315</v>
      </c>
      <c r="U47" s="178">
        <f>IF('Entries December''25'!P23-'Entries December''25'!P22&lt;1,0,'Entries December''25'!P23-'Entries December''25'!P22)</f>
        <v>163</v>
      </c>
      <c r="V47" s="178">
        <f>IF('Entries December''25'!O24-'Entries December''25'!O23&lt;1,0,'Entries December''25'!O24-'Entries December''25'!O23)</f>
        <v>175</v>
      </c>
      <c r="W47" s="178">
        <f>IF('Entries December''25'!P24-'Entries December''25'!P23&lt;1,0,'Entries December''25'!P24-'Entries December''25'!P23)</f>
        <v>203</v>
      </c>
      <c r="X47" s="178">
        <f>IF('Entries December''25'!Q24-'Entries December''25'!Q23&lt;1,0,'Entries December''25'!Q24-'Entries December''25'!Q23)</f>
        <v>347</v>
      </c>
      <c r="Y47" s="178">
        <f>IF('Entries December''25'!R24-'Entries December''25'!R23&lt;1,0,'Entries December''25'!R24-'Entries December''25'!R23)</f>
        <v>0</v>
      </c>
      <c r="Z47" s="178">
        <f>IF('Entries December''25'!S24-'Entries December''25'!S23&lt;1,0,'Entries December''25'!S24-'Entries December''25'!S23)</f>
        <v>167</v>
      </c>
      <c r="AA47" s="178">
        <f>IF('Entries December''25'!T24-'Entries December''25'!T23&lt;1,0,'Entries December''25'!T24-'Entries December''25'!T23)</f>
        <v>0</v>
      </c>
      <c r="AB47" s="178">
        <f>IF('Entries December''25'!U24-'Entries December''25'!U23&lt;1,0,'Entries December''25'!U24-'Entries December''25'!U23)</f>
        <v>5</v>
      </c>
      <c r="AC47" s="178">
        <f>IF('Entries December''25'!V24-'Entries December''25'!V23&lt;1,0,'Entries December''25'!V24-'Entries December''25'!V23)</f>
        <v>211</v>
      </c>
      <c r="AD47" s="178">
        <f>IF('Entries December''25'!W24-'Entries December''25'!W23&lt;1,0,'Entries December''25'!W24-'Entries December''25'!W23)</f>
        <v>0</v>
      </c>
      <c r="AE47" s="178">
        <f>IF('Entries December''25'!X24-'Entries December''25'!X23&lt;1,0,'Entries December''25'!X24-'Entries December''25'!X23)</f>
        <v>40</v>
      </c>
      <c r="AF47" s="178">
        <f>IF('Entries December''25'!Y24-'Entries December''25'!Y23&lt;1,0,'Entries December''25'!Y24-'Entries December''25'!Y23)</f>
        <v>190</v>
      </c>
      <c r="AG47" s="233">
        <f>SUM($B47:AF47)</f>
        <v>39064.140000000014</v>
      </c>
      <c r="AH47" s="234"/>
      <c r="AI47" s="234"/>
      <c r="AJ47" s="279"/>
      <c r="AK47" s="279"/>
    </row>
    <row r="48" spans="1:37" ht="21" hidden="1" x14ac:dyDescent="0.35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5"/>
      <c r="AH48" s="216"/>
      <c r="AI48" s="280"/>
    </row>
    <row r="49" spans="1:37" s="188" customFormat="1" ht="21" x14ac:dyDescent="0.35">
      <c r="A49" s="186" t="s">
        <v>196</v>
      </c>
      <c r="B49" s="187">
        <f>'Daily KPIs'!B76</f>
        <v>564</v>
      </c>
      <c r="C49" s="187">
        <f>'Daily KPIs'!C76</f>
        <v>263.06000000000131</v>
      </c>
      <c r="D49" s="187">
        <f>'Daily KPIs'!D76</f>
        <v>372.5</v>
      </c>
      <c r="E49" s="187">
        <f>'Daily KPIs'!E76</f>
        <v>296.87999999999738</v>
      </c>
      <c r="F49" s="187">
        <f>'Daily KPIs'!F76</f>
        <v>301</v>
      </c>
      <c r="G49" s="187">
        <f>'Daily KPIs'!G76</f>
        <v>325.04000000000087</v>
      </c>
      <c r="H49" s="187">
        <f>'Daily KPIs'!H76</f>
        <v>363.56999999999971</v>
      </c>
      <c r="I49" s="187">
        <f>'Daily KPIs'!I76</f>
        <v>477.30999999999767</v>
      </c>
      <c r="J49" s="187">
        <f>'Daily KPIs'!J76</f>
        <v>267.95000000000437</v>
      </c>
      <c r="K49" s="187">
        <f>'Daily KPIs'!K76</f>
        <v>475.09999999999854</v>
      </c>
      <c r="L49" s="187">
        <f>'Daily KPIs'!L76</f>
        <v>324.79000000000087</v>
      </c>
      <c r="M49" s="187">
        <f>'Daily KPIs'!M76</f>
        <v>328.51000000000204</v>
      </c>
      <c r="N49" s="187">
        <f>'Daily KPIs'!N76</f>
        <v>238.5399999999936</v>
      </c>
      <c r="O49" s="187">
        <f>'Daily KPIs'!O76</f>
        <v>377.10000000000582</v>
      </c>
      <c r="P49" s="187">
        <f>'Daily KPIs'!P76</f>
        <v>516.98999999999796</v>
      </c>
      <c r="Q49" s="187">
        <f>'Daily KPIs'!Q76</f>
        <v>411.05000000000291</v>
      </c>
      <c r="R49" s="187">
        <f>'Daily KPIs'!R76</f>
        <v>421</v>
      </c>
      <c r="S49" s="187">
        <f>'Daily KPIs'!S76</f>
        <v>410.63999999999942</v>
      </c>
      <c r="T49" s="187">
        <f>'Daily KPIs'!T76</f>
        <v>402.48999999999796</v>
      </c>
      <c r="U49" s="187" t="str">
        <f>'Daily KPIs'!U76</f>
        <v>0</v>
      </c>
      <c r="V49" s="187" t="str">
        <f>'Daily KPIs'!V76</f>
        <v>0</v>
      </c>
      <c r="W49" s="187">
        <f>'Daily KPIs'!W76</f>
        <v>457.58999999999651</v>
      </c>
      <c r="X49" s="187">
        <f>'Daily KPIs'!X76</f>
        <v>517.70999999999913</v>
      </c>
      <c r="Y49" s="187">
        <f>'Daily KPIs'!Y76</f>
        <v>166.05000000000291</v>
      </c>
      <c r="Z49" s="187" t="str">
        <f>'Daily KPIs'!Z76</f>
        <v>0</v>
      </c>
      <c r="AA49" s="187" t="str">
        <f>'Daily KPIs'!AA76</f>
        <v>0</v>
      </c>
      <c r="AB49" s="187" t="str">
        <f>'Daily KPIs'!AB76</f>
        <v>0</v>
      </c>
      <c r="AC49" s="187" t="str">
        <f>'Daily KPIs'!AC76</f>
        <v>0</v>
      </c>
      <c r="AD49" s="187">
        <f>'Daily KPIs'!AD76</f>
        <v>251.77999999999884</v>
      </c>
      <c r="AE49" s="187">
        <f>'Daily KPIs'!AE76</f>
        <v>392.45999999999913</v>
      </c>
      <c r="AF49" s="187">
        <f>'Daily KPIs'!AF76</f>
        <v>333.31999999999971</v>
      </c>
      <c r="AG49" s="236">
        <f>SUM($B49:AF49)</f>
        <v>9256.4299999999967</v>
      </c>
      <c r="AH49" s="237"/>
      <c r="AI49" s="281"/>
      <c r="AJ49" s="282"/>
      <c r="AK49" s="282"/>
    </row>
    <row r="50" spans="1:37" ht="17.399999999999999" hidden="1" x14ac:dyDescent="0.3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2"/>
      <c r="AH50" s="222"/>
    </row>
    <row r="51" spans="1:37" ht="17.399999999999999" x14ac:dyDescent="0.3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2"/>
      <c r="AH51" s="222"/>
    </row>
    <row r="52" spans="1:37" s="88" customFormat="1" ht="21" x14ac:dyDescent="0.4">
      <c r="A52" s="137" t="s">
        <v>133</v>
      </c>
      <c r="B52" s="141">
        <f>'Elec.December''25'!$B$7</f>
        <v>6358</v>
      </c>
      <c r="C52" s="141">
        <f>'Elec.December''25'!$B$8</f>
        <v>6436</v>
      </c>
      <c r="D52" s="141">
        <f>'Elec.December''25'!$B$9</f>
        <v>7560</v>
      </c>
      <c r="E52" s="141">
        <f>'Elec.December''25'!$B$10</f>
        <v>8026</v>
      </c>
      <c r="F52" s="141">
        <f>'Elec.December''25'!$B$11</f>
        <v>5885</v>
      </c>
      <c r="G52" s="141">
        <f>'Elec.December''25'!$B$12</f>
        <v>6825</v>
      </c>
      <c r="H52" s="141">
        <f>'Elec.December''25'!$B$13</f>
        <v>7554</v>
      </c>
      <c r="I52" s="141">
        <f>'Elec.December''25'!$B$14</f>
        <v>7330</v>
      </c>
      <c r="J52" s="141">
        <f>'Elec.December''25'!$B$15</f>
        <v>6425</v>
      </c>
      <c r="K52" s="141">
        <f>'Elec.December''25'!$B$16</f>
        <v>8488</v>
      </c>
      <c r="L52" s="141">
        <f>'Elec.December''25'!$B$17</f>
        <v>6732</v>
      </c>
      <c r="M52" s="141">
        <f>'Elec.December''25'!$B$18</f>
        <v>6620</v>
      </c>
      <c r="N52" s="141">
        <f>'Elec.December''25'!$B$19</f>
        <v>4519</v>
      </c>
      <c r="O52" s="141">
        <f>'Elec.December''25'!$B$20</f>
        <v>5387</v>
      </c>
      <c r="P52" s="141">
        <f>'Elec.December''25'!$B$21</f>
        <v>6109</v>
      </c>
      <c r="Q52" s="141">
        <f>'Elec.December''25'!$B$22</f>
        <v>8916</v>
      </c>
      <c r="R52" s="141">
        <f>'Elec.December''25'!$B$23</f>
        <v>6815</v>
      </c>
      <c r="S52" s="141">
        <f>'Elec.December''25'!$B$24</f>
        <v>7445</v>
      </c>
      <c r="T52" s="141">
        <f>'Elec.December''25'!$B$24</f>
        <v>7445</v>
      </c>
      <c r="U52" s="141">
        <f>'Elec.December''25'!$B$24</f>
        <v>7445</v>
      </c>
      <c r="V52" s="141">
        <f>'Elec.December''25'!$B$24</f>
        <v>7445</v>
      </c>
      <c r="W52" s="141">
        <f>'Elec.December''25'!$B$24</f>
        <v>7445</v>
      </c>
      <c r="X52" s="141">
        <f>'Elec.December''25'!$B$24</f>
        <v>7445</v>
      </c>
      <c r="Y52" s="141">
        <f>'Elec.December''25'!$B$24</f>
        <v>7445</v>
      </c>
      <c r="Z52" s="141">
        <f>'Elec.December''25'!$B$24</f>
        <v>7445</v>
      </c>
      <c r="AA52" s="141">
        <f>'Elec.December''25'!$B$24</f>
        <v>7445</v>
      </c>
      <c r="AB52" s="141">
        <f>'Elec.December''25'!$B$24</f>
        <v>7445</v>
      </c>
      <c r="AC52" s="141">
        <f>'Elec.December''25'!$B$24</f>
        <v>7445</v>
      </c>
      <c r="AD52" s="141">
        <f>'Elec.December''25'!$B$24</f>
        <v>7445</v>
      </c>
      <c r="AE52" s="141">
        <f>'Elec.December''25'!$B$24</f>
        <v>7445</v>
      </c>
      <c r="AF52" s="141">
        <f>'Elec.December''25'!$B$24</f>
        <v>7445</v>
      </c>
      <c r="AG52" s="225">
        <f>SUM(B52:AC52)</f>
        <v>197880</v>
      </c>
      <c r="AH52" s="225"/>
      <c r="AI52" s="277"/>
      <c r="AJ52" s="278"/>
      <c r="AK52" s="278"/>
    </row>
    <row r="53" spans="1:37" ht="21" x14ac:dyDescent="0.35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6"/>
      <c r="AH53" s="216"/>
      <c r="AI53" s="280"/>
    </row>
    <row r="54" spans="1:37" s="88" customFormat="1" ht="21" x14ac:dyDescent="0.4">
      <c r="A54" s="137" t="s">
        <v>134</v>
      </c>
      <c r="B54" s="143">
        <f>+'Fuel '!$K7</f>
        <v>2790</v>
      </c>
      <c r="C54" s="143">
        <f>+'Fuel '!$K8</f>
        <v>3130</v>
      </c>
      <c r="D54" s="143">
        <f>+'Fuel '!$K9</f>
        <v>3150</v>
      </c>
      <c r="E54" s="143">
        <f>+'Fuel '!$K10</f>
        <v>2920</v>
      </c>
      <c r="F54" s="143">
        <f>+'Fuel '!$K11</f>
        <v>2820</v>
      </c>
      <c r="G54" s="143">
        <f>+'Fuel '!$K12</f>
        <v>3370</v>
      </c>
      <c r="H54" s="143">
        <f>+'Fuel '!$K13</f>
        <v>3420</v>
      </c>
      <c r="I54" s="143">
        <f>+'Fuel '!$K14</f>
        <v>3630</v>
      </c>
      <c r="J54" s="143">
        <f>+'Fuel '!$K15</f>
        <v>2860</v>
      </c>
      <c r="K54" s="143">
        <f>+'Fuel '!$K16</f>
        <v>3800</v>
      </c>
      <c r="L54" s="143">
        <f>+'Fuel '!$K17</f>
        <v>2680</v>
      </c>
      <c r="M54" s="143">
        <f>+'Fuel '!$K18</f>
        <v>3090</v>
      </c>
      <c r="N54" s="143">
        <f>+'Fuel '!$K19</f>
        <v>1470</v>
      </c>
      <c r="O54" s="143">
        <f>+'Fuel '!$K20</f>
        <v>2140</v>
      </c>
      <c r="P54" s="143">
        <f>+'Fuel '!$K21</f>
        <v>3070</v>
      </c>
      <c r="Q54" s="143">
        <f>+'Fuel '!$K22</f>
        <v>3560</v>
      </c>
      <c r="R54" s="143">
        <f>+'Fuel '!$K23</f>
        <v>3260</v>
      </c>
      <c r="S54" s="143">
        <f>+'Fuel '!$K24</f>
        <v>3530</v>
      </c>
      <c r="T54" s="143">
        <f>+'Fuel '!$K24</f>
        <v>3530</v>
      </c>
      <c r="U54" s="143">
        <f>+'Fuel '!$K24</f>
        <v>3530</v>
      </c>
      <c r="V54" s="143">
        <f>+'Fuel '!$K24</f>
        <v>3530</v>
      </c>
      <c r="W54" s="143">
        <f>+'Fuel '!$K24</f>
        <v>3530</v>
      </c>
      <c r="X54" s="143">
        <f>+'Fuel '!$K24</f>
        <v>3530</v>
      </c>
      <c r="Y54" s="143">
        <f>+'Fuel '!$K24</f>
        <v>3530</v>
      </c>
      <c r="Z54" s="143">
        <f>+'Fuel '!$K24</f>
        <v>3530</v>
      </c>
      <c r="AA54" s="143">
        <f>+'Fuel '!$K24</f>
        <v>3530</v>
      </c>
      <c r="AB54" s="143">
        <f>+'Fuel '!$K24</f>
        <v>3530</v>
      </c>
      <c r="AC54" s="143">
        <f>+'Fuel '!$K24</f>
        <v>3530</v>
      </c>
      <c r="AD54" s="143">
        <f>+'Fuel '!$K24</f>
        <v>3530</v>
      </c>
      <c r="AE54" s="143">
        <f>+'Fuel '!$K24</f>
        <v>3530</v>
      </c>
      <c r="AF54" s="143">
        <f>+'Fuel '!$K24</f>
        <v>3530</v>
      </c>
      <c r="AG54" s="238">
        <f>SUM($B54:AF54)</f>
        <v>100580</v>
      </c>
      <c r="AH54" s="225"/>
      <c r="AI54" s="277"/>
      <c r="AJ54" s="278"/>
      <c r="AK54" s="278"/>
    </row>
    <row r="55" spans="1:37" ht="17.399999999999999" hidden="1" x14ac:dyDescent="0.3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2"/>
      <c r="AH55" s="222"/>
    </row>
    <row r="56" spans="1:37" ht="17.399999999999999" x14ac:dyDescent="0.3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2"/>
      <c r="AH56" s="222"/>
    </row>
    <row r="57" spans="1:37" ht="17.399999999999999" x14ac:dyDescent="0.3">
      <c r="A57" s="105" t="s">
        <v>192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7.399999999999999" x14ac:dyDescent="0.3">
      <c r="A58" s="106" t="s">
        <v>124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9" t="s">
        <v>86</v>
      </c>
      <c r="AH58" s="219" t="s">
        <v>154</v>
      </c>
      <c r="AI58" s="219" t="s">
        <v>203</v>
      </c>
      <c r="AJ58" s="268"/>
      <c r="AK58" s="268"/>
    </row>
    <row r="59" spans="1:37" s="78" customFormat="1" ht="21" x14ac:dyDescent="0.4">
      <c r="A59" s="124" t="s">
        <v>138</v>
      </c>
      <c r="B59" s="144">
        <f>IF(B$9=0,"",+(B18*10)/B$9)</f>
        <v>5.2951205793433171</v>
      </c>
      <c r="C59" s="144">
        <f>IF(C$9=0,"",+(C18*10)/C$9)</f>
        <v>17.411738059511336</v>
      </c>
      <c r="D59" s="144">
        <f t="shared" ref="D59:Y59" si="9">IF(D$9=0,"",+(D18*10)/D$9)</f>
        <v>10.043290043290042</v>
      </c>
      <c r="E59" s="144">
        <f t="shared" si="9"/>
        <v>16.74309396618289</v>
      </c>
      <c r="F59" s="144">
        <f t="shared" si="9"/>
        <v>15.299947477792239</v>
      </c>
      <c r="G59" s="144">
        <f t="shared" si="9"/>
        <v>12.059099499134389</v>
      </c>
      <c r="H59" s="144">
        <f t="shared" si="9"/>
        <v>6.1510681754542009</v>
      </c>
      <c r="I59" s="144">
        <f t="shared" si="9"/>
        <v>7.1893551103811602</v>
      </c>
      <c r="J59" s="144">
        <f t="shared" si="9"/>
        <v>13.316943249334152</v>
      </c>
      <c r="K59" s="144">
        <f>IF(K$9=0,"",+(K18*10)/K$9)</f>
        <v>12.424150901952169</v>
      </c>
      <c r="L59" s="144">
        <f>IF(L$9=0,"",+(L18*10)/L$9)</f>
        <v>13.700358733077351</v>
      </c>
      <c r="M59" s="144">
        <f>IF(M$9=0,"",+(M18*10)/M$9)</f>
        <v>9.1488129704690202</v>
      </c>
      <c r="N59" s="144">
        <f>IF(N$9=0,"",+(N18*10)/N$9)</f>
        <v>7.6596994879543354</v>
      </c>
      <c r="O59" s="144">
        <f t="shared" ref="O59:S59" si="10">IF(O$9=0,"",+(O18*10)/O$9)</f>
        <v>8.5827204654198592</v>
      </c>
      <c r="P59" s="144">
        <f t="shared" si="10"/>
        <v>8.7155168680438262</v>
      </c>
      <c r="Q59" s="144">
        <f t="shared" si="10"/>
        <v>9.8952045468327068</v>
      </c>
      <c r="R59" s="144">
        <f t="shared" si="10"/>
        <v>9.7738518791150373</v>
      </c>
      <c r="S59" s="144">
        <f t="shared" si="10"/>
        <v>8.2241136233094867</v>
      </c>
      <c r="T59" s="144">
        <f t="shared" si="9"/>
        <v>8.9102010324982359</v>
      </c>
      <c r="U59" s="144" t="str">
        <f t="shared" si="9"/>
        <v/>
      </c>
      <c r="V59" s="144" t="str">
        <f t="shared" si="9"/>
        <v/>
      </c>
      <c r="W59" s="144">
        <f t="shared" si="9"/>
        <v>6.4458858673031525</v>
      </c>
      <c r="X59" s="144">
        <f t="shared" si="9"/>
        <v>8.2366851327833341</v>
      </c>
      <c r="Y59" s="144">
        <f t="shared" si="9"/>
        <v>10.876256925918325</v>
      </c>
      <c r="Z59" s="144" t="str">
        <f>IF(Z$9=0,"",+(Z18*10)/Z$9)</f>
        <v/>
      </c>
      <c r="AA59" s="144" t="str">
        <f t="shared" ref="AA59:AF59" si="11">IF(AA$9=0,"",+(AA18*10)/AA$9)</f>
        <v/>
      </c>
      <c r="AB59" s="144" t="str">
        <f t="shared" si="11"/>
        <v/>
      </c>
      <c r="AC59" s="144">
        <f t="shared" si="11"/>
        <v>0</v>
      </c>
      <c r="AD59" s="144" t="str">
        <f t="shared" si="11"/>
        <v/>
      </c>
      <c r="AE59" s="144" t="str">
        <f t="shared" si="11"/>
        <v/>
      </c>
      <c r="AF59" s="144">
        <f t="shared" si="11"/>
        <v>0</v>
      </c>
      <c r="AG59" s="239">
        <f>IF(AG$9=0,"",+(AG18*10)/AG$9)</f>
        <v>9.6931681823033156</v>
      </c>
      <c r="AH59" s="240">
        <f>'Daily KPIs'!AI90</f>
        <v>10.199999999999999</v>
      </c>
      <c r="AI59" s="283">
        <f>+AH59-AG59</f>
        <v>0.50683181769668373</v>
      </c>
      <c r="AJ59" s="271"/>
      <c r="AK59" s="271"/>
    </row>
    <row r="60" spans="1:37" ht="17.399999999999999" hidden="1" x14ac:dyDescent="0.25">
      <c r="A60" s="109"/>
      <c r="M60" s="82"/>
      <c r="AG60" s="241"/>
      <c r="AH60" s="241"/>
    </row>
    <row r="61" spans="1:37" ht="17.399999999999999" x14ac:dyDescent="0.25">
      <c r="A61" s="126" t="s">
        <v>141</v>
      </c>
      <c r="M61" s="82"/>
      <c r="AF61" s="82"/>
      <c r="AG61" s="219" t="s">
        <v>86</v>
      </c>
      <c r="AH61" s="219" t="s">
        <v>154</v>
      </c>
      <c r="AI61" s="219" t="s">
        <v>203</v>
      </c>
    </row>
    <row r="62" spans="1:37" ht="17.399999999999999" x14ac:dyDescent="0.3">
      <c r="A62" s="109" t="s">
        <v>127</v>
      </c>
      <c r="B62" s="145">
        <f>IF(B$9=0,"",+(B28*10)/B$9)</f>
        <v>0.61520073121001195</v>
      </c>
      <c r="C62" s="145">
        <f>IF(C$9=0,"",+(C28*10)/C$9)</f>
        <v>7.1723148646225567</v>
      </c>
      <c r="D62" s="145">
        <f t="shared" ref="D62:W62" si="12">IF(D$9=0,"",+(D28*10)/D$9)</f>
        <v>3.3766233766233764</v>
      </c>
      <c r="E62" s="145">
        <f t="shared" si="12"/>
        <v>5.5153721300367167</v>
      </c>
      <c r="F62" s="145">
        <f t="shared" si="12"/>
        <v>3.1589443797431738</v>
      </c>
      <c r="G62" s="145">
        <f t="shared" si="12"/>
        <v>4.0307127092997135</v>
      </c>
      <c r="H62" s="145">
        <f t="shared" si="12"/>
        <v>3.062665744263807</v>
      </c>
      <c r="I62" s="145">
        <f t="shared" si="12"/>
        <v>2.1434102192440725</v>
      </c>
      <c r="J62" s="145">
        <f t="shared" si="12"/>
        <v>7.6362891359818219</v>
      </c>
      <c r="K62" s="145">
        <f t="shared" si="12"/>
        <v>3.7752944729688913</v>
      </c>
      <c r="L62" s="145">
        <f t="shared" si="12"/>
        <v>2.4336163539018982</v>
      </c>
      <c r="M62" s="145">
        <f>IF(M$9=0,"",+(M28*10)/M$9)</f>
        <v>5.0955414012738851</v>
      </c>
      <c r="N62" s="145">
        <f>IF(N$9=0,"",+(N28*10)/N$9)</f>
        <v>0</v>
      </c>
      <c r="O62" s="145">
        <f t="shared" ref="O62:S62" si="13">IF(O$9=0,"",+(O28*10)/O$9)</f>
        <v>0.1284838393026925</v>
      </c>
      <c r="P62" s="145">
        <f t="shared" si="13"/>
        <v>3.4374864665887142</v>
      </c>
      <c r="Q62" s="145">
        <f t="shared" si="13"/>
        <v>5.4023957971565757</v>
      </c>
      <c r="R62" s="145">
        <f t="shared" si="13"/>
        <v>3.1080031080031079</v>
      </c>
      <c r="S62" s="145">
        <f t="shared" si="13"/>
        <v>3.6334046960123927</v>
      </c>
      <c r="T62" s="145">
        <f t="shared" si="12"/>
        <v>0.22953679474819813</v>
      </c>
      <c r="U62" s="145" t="str">
        <f t="shared" si="12"/>
        <v/>
      </c>
      <c r="V62" s="145" t="str">
        <f t="shared" si="12"/>
        <v/>
      </c>
      <c r="W62" s="145">
        <f t="shared" si="12"/>
        <v>0</v>
      </c>
      <c r="X62" s="145">
        <f t="shared" ref="X62" si="14">IF(X$9=0,"",+(X28*10)/X$9)</f>
        <v>0.68639042773194459</v>
      </c>
      <c r="Y62" s="145">
        <f t="shared" ref="Y62:AF62" si="15">IF(Y$9=0,"",+(Y28*10)/Y$9)</f>
        <v>0</v>
      </c>
      <c r="Z62" s="145" t="str">
        <f t="shared" si="15"/>
        <v/>
      </c>
      <c r="AA62" s="145" t="str">
        <f t="shared" si="15"/>
        <v/>
      </c>
      <c r="AB62" s="145" t="str">
        <f t="shared" si="15"/>
        <v/>
      </c>
      <c r="AC62" s="145">
        <f t="shared" si="15"/>
        <v>0</v>
      </c>
      <c r="AD62" s="145" t="str">
        <f t="shared" si="15"/>
        <v/>
      </c>
      <c r="AE62" s="145" t="str">
        <f t="shared" si="15"/>
        <v/>
      </c>
      <c r="AF62" s="145">
        <f t="shared" si="15"/>
        <v>0</v>
      </c>
      <c r="AG62" s="242">
        <f>IF(+(AG28*10)/AG$9&lt;1,0,+(AG28*10)/AG$9)</f>
        <v>2.7015518902740565</v>
      </c>
      <c r="AH62" s="242">
        <v>2.5</v>
      </c>
      <c r="AI62" s="243">
        <f t="shared" ref="AI62:AI78" si="16">AH62-AG62</f>
        <v>-0.20155189027405651</v>
      </c>
    </row>
    <row r="63" spans="1:37" ht="18" x14ac:dyDescent="0.35">
      <c r="A63" s="167" t="s">
        <v>216</v>
      </c>
      <c r="B63" s="168">
        <f>IF(B$93=0,"",+(B28*10)/B$93)</f>
        <v>5.9071729957805905</v>
      </c>
      <c r="C63" s="168">
        <f t="shared" ref="C63:X63" si="17">IF(C$93=0,"",+(C28*10)/C$93)</f>
        <v>4.5563549160671464</v>
      </c>
      <c r="D63" s="168">
        <f t="shared" si="17"/>
        <v>4.0247678018575854</v>
      </c>
      <c r="E63" s="168">
        <f t="shared" si="17"/>
        <v>5.7755775577557751</v>
      </c>
      <c r="F63" s="168">
        <f t="shared" si="17"/>
        <v>2.9133029133029136</v>
      </c>
      <c r="G63" s="168">
        <f t="shared" si="17"/>
        <v>3.3954912329529638</v>
      </c>
      <c r="H63" s="168">
        <f t="shared" si="17"/>
        <v>3.900360537528679</v>
      </c>
      <c r="I63" s="168">
        <f>IF(I$93=0,"",+(I28*10)/I$93)</f>
        <v>2.7027027027027026</v>
      </c>
      <c r="J63" s="168">
        <f t="shared" si="17"/>
        <v>5.3858784893267648</v>
      </c>
      <c r="K63" s="168">
        <f t="shared" si="17"/>
        <v>4.6888320545609554</v>
      </c>
      <c r="L63" s="168">
        <f t="shared" si="17"/>
        <v>4.0991902834008096</v>
      </c>
      <c r="M63" s="168">
        <f t="shared" si="17"/>
        <v>4.6659597030752922</v>
      </c>
      <c r="N63" s="168" t="str">
        <f t="shared" si="17"/>
        <v/>
      </c>
      <c r="O63" s="168" t="str">
        <f t="shared" ref="O63:S63" si="18">IF(O$93=0,"",+(O28*10)/O$93)</f>
        <v/>
      </c>
      <c r="P63" s="168">
        <f t="shared" si="18"/>
        <v>3.160776505724241</v>
      </c>
      <c r="Q63" s="168">
        <f t="shared" si="18"/>
        <v>4.8671467593742239</v>
      </c>
      <c r="R63" s="168">
        <f t="shared" si="18"/>
        <v>3.3974072418417527</v>
      </c>
      <c r="S63" s="168" t="str">
        <f t="shared" si="18"/>
        <v/>
      </c>
      <c r="T63" s="168" t="str">
        <f t="shared" si="17"/>
        <v/>
      </c>
      <c r="U63" s="168" t="str">
        <f t="shared" si="17"/>
        <v/>
      </c>
      <c r="V63" s="168" t="str">
        <f t="shared" si="17"/>
        <v/>
      </c>
      <c r="W63" s="168" t="str">
        <f t="shared" si="17"/>
        <v/>
      </c>
      <c r="X63" s="168" t="str">
        <f t="shared" si="17"/>
        <v/>
      </c>
      <c r="Y63" s="168">
        <f t="shared" ref="Y63:AF63" si="19">IF(Y$93=0,"",+(Y28*10)/Y$93)</f>
        <v>0</v>
      </c>
      <c r="Z63" s="168" t="str">
        <f t="shared" si="19"/>
        <v/>
      </c>
      <c r="AA63" s="168" t="str">
        <f t="shared" si="19"/>
        <v/>
      </c>
      <c r="AB63" s="168" t="str">
        <f t="shared" si="19"/>
        <v/>
      </c>
      <c r="AC63" s="168" t="str">
        <f t="shared" si="19"/>
        <v/>
      </c>
      <c r="AD63" s="168" t="str">
        <f t="shared" si="19"/>
        <v/>
      </c>
      <c r="AE63" s="168" t="str">
        <f t="shared" si="19"/>
        <v/>
      </c>
      <c r="AF63" s="168" t="str">
        <f t="shared" si="19"/>
        <v/>
      </c>
      <c r="AG63" s="244">
        <f>IF(+(AG28*10)/AG$93&lt;1,0,+(AG28*10)/AG$93)</f>
        <v>4.7244094488188972</v>
      </c>
      <c r="AH63" s="244">
        <v>2.5</v>
      </c>
      <c r="AI63" s="245">
        <f t="shared" si="16"/>
        <v>-2.2244094488188972</v>
      </c>
    </row>
    <row r="64" spans="1:37" s="90" customFormat="1" ht="17.399999999999999" x14ac:dyDescent="0.3">
      <c r="A64" s="146" t="s">
        <v>173</v>
      </c>
      <c r="B64" s="147">
        <f>IF(B$9=0,"",+(B29*10)/B$9)</f>
        <v>0</v>
      </c>
      <c r="C64" s="147">
        <f t="shared" ref="C64:X64" si="20">IF(C$9=0,"",+(C29*10)/C$9)</f>
        <v>0</v>
      </c>
      <c r="D64" s="147">
        <f t="shared" si="20"/>
        <v>0</v>
      </c>
      <c r="E64" s="147">
        <f t="shared" si="20"/>
        <v>0</v>
      </c>
      <c r="F64" s="147">
        <f t="shared" si="20"/>
        <v>0</v>
      </c>
      <c r="G64" s="147">
        <f t="shared" si="20"/>
        <v>0</v>
      </c>
      <c r="H64" s="147">
        <f t="shared" si="20"/>
        <v>0</v>
      </c>
      <c r="I64" s="147">
        <f t="shared" si="20"/>
        <v>0</v>
      </c>
      <c r="J64" s="147">
        <f t="shared" si="20"/>
        <v>0</v>
      </c>
      <c r="K64" s="147">
        <f t="shared" si="20"/>
        <v>0</v>
      </c>
      <c r="L64" s="147">
        <f t="shared" si="20"/>
        <v>0</v>
      </c>
      <c r="M64" s="147">
        <f>IF(M$9=0,"",+(M29*10)/M$9)</f>
        <v>0</v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>
        <f t="shared" si="21"/>
        <v>0</v>
      </c>
      <c r="R64" s="147">
        <f t="shared" si="21"/>
        <v>0</v>
      </c>
      <c r="S64" s="147">
        <f t="shared" si="21"/>
        <v>0</v>
      </c>
      <c r="T64" s="147">
        <f t="shared" si="20"/>
        <v>0</v>
      </c>
      <c r="U64" s="147" t="str">
        <f t="shared" si="20"/>
        <v/>
      </c>
      <c r="V64" s="147" t="str">
        <f t="shared" si="20"/>
        <v/>
      </c>
      <c r="W64" s="147">
        <f t="shared" si="20"/>
        <v>0</v>
      </c>
      <c r="X64" s="147">
        <f t="shared" si="20"/>
        <v>0</v>
      </c>
      <c r="Y64" s="147">
        <f t="shared" ref="Y64:AF64" si="22">IF(Y$9=0,"",+(Y29*10)/Y$9)</f>
        <v>0</v>
      </c>
      <c r="Z64" s="147" t="str">
        <f t="shared" si="22"/>
        <v/>
      </c>
      <c r="AA64" s="147" t="str">
        <f t="shared" si="22"/>
        <v/>
      </c>
      <c r="AB64" s="147" t="str">
        <f t="shared" si="22"/>
        <v/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>
        <f t="shared" si="22"/>
        <v>0</v>
      </c>
      <c r="AG64" s="246">
        <f>+(AG29*10)/AG$9</f>
        <v>0</v>
      </c>
      <c r="AH64" s="246">
        <v>0.1</v>
      </c>
      <c r="AI64" s="247">
        <f>AH64-AG64</f>
        <v>0.1</v>
      </c>
      <c r="AJ64" s="284"/>
      <c r="AK64" s="284"/>
    </row>
    <row r="65" spans="1:37" s="87" customFormat="1" ht="17.399999999999999" x14ac:dyDescent="0.3">
      <c r="A65" s="135" t="s">
        <v>189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8"/>
      <c r="AH65" s="248">
        <v>0.1</v>
      </c>
      <c r="AI65" s="249">
        <f>AH65-AG65</f>
        <v>0.1</v>
      </c>
      <c r="AJ65" s="275"/>
      <c r="AK65" s="275"/>
    </row>
    <row r="66" spans="1:37" ht="17.399999999999999" x14ac:dyDescent="0.3">
      <c r="A66" s="109" t="s">
        <v>172</v>
      </c>
      <c r="B66" s="145">
        <f t="shared" ref="B66:V66" si="23">IF(B$9=0,"",+(B31*10)/B$9)</f>
        <v>0</v>
      </c>
      <c r="C66" s="145">
        <f t="shared" si="23"/>
        <v>0</v>
      </c>
      <c r="D66" s="145">
        <f t="shared" si="23"/>
        <v>0</v>
      </c>
      <c r="E66" s="145">
        <f t="shared" si="23"/>
        <v>0</v>
      </c>
      <c r="F66" s="145">
        <f t="shared" si="23"/>
        <v>0</v>
      </c>
      <c r="G66" s="145">
        <f t="shared" si="23"/>
        <v>0</v>
      </c>
      <c r="H66" s="145">
        <f t="shared" si="23"/>
        <v>0</v>
      </c>
      <c r="I66" s="145">
        <f t="shared" si="23"/>
        <v>0</v>
      </c>
      <c r="J66" s="145">
        <f t="shared" si="23"/>
        <v>0</v>
      </c>
      <c r="K66" s="145">
        <f t="shared" si="23"/>
        <v>0</v>
      </c>
      <c r="L66" s="145">
        <f t="shared" si="23"/>
        <v>0</v>
      </c>
      <c r="M66" s="145">
        <f t="shared" si="23"/>
        <v>0</v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>
        <f t="shared" si="24"/>
        <v>0</v>
      </c>
      <c r="R66" s="145">
        <f t="shared" si="24"/>
        <v>0</v>
      </c>
      <c r="S66" s="145">
        <f t="shared" si="24"/>
        <v>0</v>
      </c>
      <c r="T66" s="145">
        <f t="shared" si="23"/>
        <v>0</v>
      </c>
      <c r="U66" s="145" t="str">
        <f t="shared" si="23"/>
        <v/>
      </c>
      <c r="V66" s="145" t="str">
        <f t="shared" si="23"/>
        <v/>
      </c>
      <c r="W66" s="145" t="s">
        <v>212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2">
        <f>+(AG31*10)/AG$9</f>
        <v>0</v>
      </c>
      <c r="AH66" s="242">
        <v>0.7</v>
      </c>
      <c r="AI66" s="243">
        <f t="shared" si="16"/>
        <v>0.7</v>
      </c>
    </row>
    <row r="67" spans="1:37" s="91" customFormat="1" ht="17.399999999999999" x14ac:dyDescent="0.3">
      <c r="A67" s="149" t="s">
        <v>174</v>
      </c>
      <c r="B67" s="150">
        <f t="shared" ref="B67:X67" si="25">IF(B$9=0,"",+(B32*10)/B$9)</f>
        <v>0</v>
      </c>
      <c r="C67" s="150">
        <f t="shared" si="25"/>
        <v>0</v>
      </c>
      <c r="D67" s="150">
        <f t="shared" si="25"/>
        <v>0</v>
      </c>
      <c r="E67" s="150">
        <f t="shared" si="25"/>
        <v>0</v>
      </c>
      <c r="F67" s="150">
        <f t="shared" si="25"/>
        <v>0</v>
      </c>
      <c r="G67" s="150">
        <f t="shared" si="25"/>
        <v>0</v>
      </c>
      <c r="H67" s="150">
        <f t="shared" si="25"/>
        <v>0</v>
      </c>
      <c r="I67" s="150">
        <f t="shared" si="25"/>
        <v>0</v>
      </c>
      <c r="J67" s="150">
        <f t="shared" si="25"/>
        <v>0</v>
      </c>
      <c r="K67" s="150">
        <f t="shared" si="25"/>
        <v>0</v>
      </c>
      <c r="L67" s="150">
        <f t="shared" si="25"/>
        <v>0</v>
      </c>
      <c r="M67" s="150">
        <f t="shared" si="25"/>
        <v>0</v>
      </c>
      <c r="N67" s="150">
        <f t="shared" si="25"/>
        <v>0</v>
      </c>
      <c r="O67" s="150">
        <f t="shared" ref="O67:S67" si="26">IF(O$9=0,"",+(O32*10)/O$9)</f>
        <v>0.102787071442154</v>
      </c>
      <c r="P67" s="150">
        <f t="shared" si="26"/>
        <v>0.27066822571564675</v>
      </c>
      <c r="Q67" s="150">
        <f t="shared" si="26"/>
        <v>0</v>
      </c>
      <c r="R67" s="150">
        <f t="shared" si="26"/>
        <v>0.32715822189506399</v>
      </c>
      <c r="S67" s="150">
        <f t="shared" si="26"/>
        <v>0.71797817346352666</v>
      </c>
      <c r="T67" s="150">
        <f t="shared" si="25"/>
        <v>0</v>
      </c>
      <c r="U67" s="150" t="str">
        <f t="shared" si="25"/>
        <v/>
      </c>
      <c r="V67" s="150" t="str">
        <f t="shared" si="25"/>
        <v/>
      </c>
      <c r="W67" s="150">
        <f t="shared" si="25"/>
        <v>0</v>
      </c>
      <c r="X67" s="150">
        <f t="shared" si="25"/>
        <v>0</v>
      </c>
      <c r="Y67" s="150">
        <f t="shared" ref="Y67:AF67" si="27">IF(Y$9=0,"",+(Y32*10)/Y$9)</f>
        <v>0</v>
      </c>
      <c r="Z67" s="150" t="str">
        <f t="shared" si="27"/>
        <v/>
      </c>
      <c r="AA67" s="150" t="str">
        <f t="shared" si="27"/>
        <v/>
      </c>
      <c r="AB67" s="150" t="str">
        <f t="shared" si="27"/>
        <v/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>
        <f t="shared" si="27"/>
        <v>0</v>
      </c>
      <c r="AG67" s="250">
        <f>+(AG32*10)/AG$9</f>
        <v>7.5643452927673591E-2</v>
      </c>
      <c r="AH67" s="250">
        <v>1</v>
      </c>
      <c r="AI67" s="251">
        <f>AH67-AG67</f>
        <v>0.9243565470723264</v>
      </c>
      <c r="AJ67" s="285"/>
      <c r="AK67" s="285"/>
    </row>
    <row r="68" spans="1:37" ht="17.399999999999999" x14ac:dyDescent="0.3">
      <c r="A68" s="121" t="s">
        <v>100</v>
      </c>
      <c r="B68" s="145">
        <f t="shared" ref="B68:X68" si="28">IF(B$9=0,"",+(B33*10)/B$9)</f>
        <v>0.61520073121001195</v>
      </c>
      <c r="C68" s="145">
        <f t="shared" si="28"/>
        <v>0.1415588460122873</v>
      </c>
      <c r="D68" s="145">
        <f t="shared" si="28"/>
        <v>0.72150072150072153</v>
      </c>
      <c r="E68" s="145">
        <f t="shared" si="28"/>
        <v>2.1273578215855906</v>
      </c>
      <c r="F68" s="145">
        <f t="shared" si="28"/>
        <v>1.1037275543680969</v>
      </c>
      <c r="G68" s="145">
        <f t="shared" si="28"/>
        <v>1.0902747492368077</v>
      </c>
      <c r="H68" s="145">
        <f t="shared" si="28"/>
        <v>0.30884024311903935</v>
      </c>
      <c r="I68" s="145">
        <f t="shared" si="28"/>
        <v>1.161013868757206</v>
      </c>
      <c r="J68" s="145">
        <f t="shared" si="28"/>
        <v>0.6053156022424615</v>
      </c>
      <c r="K68" s="145">
        <f t="shared" si="28"/>
        <v>1.3499537812434217</v>
      </c>
      <c r="L68" s="145">
        <f t="shared" si="28"/>
        <v>0.63093757323382538</v>
      </c>
      <c r="M68" s="145">
        <f t="shared" si="28"/>
        <v>1.0808724184520362</v>
      </c>
      <c r="N68" s="145">
        <f t="shared" si="28"/>
        <v>0.52463695122974896</v>
      </c>
      <c r="O68" s="145">
        <f t="shared" ref="O68:S68" si="29">IF(O$9=0,"",+(O33*10)/O$9)</f>
        <v>0.256967678605385</v>
      </c>
      <c r="P68" s="145">
        <f t="shared" si="29"/>
        <v>0.27066822571564675</v>
      </c>
      <c r="Q68" s="145">
        <f t="shared" si="29"/>
        <v>0.90958704748044383</v>
      </c>
      <c r="R68" s="145">
        <f t="shared" si="29"/>
        <v>0.67476383265856954</v>
      </c>
      <c r="S68" s="145">
        <f t="shared" si="29"/>
        <v>0.71797817346352666</v>
      </c>
      <c r="T68" s="145">
        <f t="shared" si="28"/>
        <v>1.0850830297187548</v>
      </c>
      <c r="U68" s="145" t="str">
        <f t="shared" si="28"/>
        <v/>
      </c>
      <c r="V68" s="145" t="str">
        <f t="shared" si="28"/>
        <v/>
      </c>
      <c r="W68" s="145">
        <f t="shared" si="28"/>
        <v>0</v>
      </c>
      <c r="X68" s="145">
        <f t="shared" si="28"/>
        <v>1.3506392287628586</v>
      </c>
      <c r="Y68" s="145">
        <f t="shared" ref="Y68:AF68" si="30">IF(Y$9=0,"",+(Y33*10)/Y$9)</f>
        <v>1.4706888296053082</v>
      </c>
      <c r="Z68" s="145" t="str">
        <f t="shared" si="30"/>
        <v/>
      </c>
      <c r="AA68" s="145" t="str">
        <f t="shared" si="30"/>
        <v/>
      </c>
      <c r="AB68" s="145" t="str">
        <f t="shared" si="30"/>
        <v/>
      </c>
      <c r="AC68" s="145">
        <f t="shared" si="30"/>
        <v>0</v>
      </c>
      <c r="AD68" s="145" t="str">
        <f t="shared" si="30"/>
        <v/>
      </c>
      <c r="AE68" s="145" t="str">
        <f t="shared" si="30"/>
        <v/>
      </c>
      <c r="AF68" s="145">
        <f t="shared" si="30"/>
        <v>0</v>
      </c>
      <c r="AG68" s="242">
        <f>+(AG33*10)/AG$9</f>
        <v>0.7708428060248641</v>
      </c>
      <c r="AH68" s="242">
        <v>0.7</v>
      </c>
      <c r="AI68" s="243">
        <f t="shared" si="16"/>
        <v>-7.0842806024864147E-2</v>
      </c>
    </row>
    <row r="69" spans="1:37" ht="17.399999999999999" x14ac:dyDescent="0.3">
      <c r="A69" s="121" t="s">
        <v>129</v>
      </c>
      <c r="B69" s="145">
        <f t="shared" ref="B69:X69" si="31">IF(B$9=0,"",+(B34*10)/B$9)</f>
        <v>3.6692329325739999</v>
      </c>
      <c r="C69" s="145">
        <f t="shared" si="31"/>
        <v>3.9636476883440444</v>
      </c>
      <c r="D69" s="145">
        <f t="shared" si="31"/>
        <v>3.4054834054834053</v>
      </c>
      <c r="E69" s="145">
        <f t="shared" si="31"/>
        <v>3.3486187932365779</v>
      </c>
      <c r="F69" s="145">
        <f t="shared" si="31"/>
        <v>3.5014805173056862</v>
      </c>
      <c r="G69" s="145">
        <f t="shared" si="31"/>
        <v>3.3369015052399265</v>
      </c>
      <c r="H69" s="145">
        <f t="shared" si="31"/>
        <v>2.7023521272915945</v>
      </c>
      <c r="I69" s="145">
        <f t="shared" si="31"/>
        <v>2.4559908762171667</v>
      </c>
      <c r="J69" s="145">
        <f t="shared" si="31"/>
        <v>4.1906464770631944</v>
      </c>
      <c r="K69" s="145">
        <f t="shared" si="31"/>
        <v>3.2719218765730393</v>
      </c>
      <c r="L69" s="145">
        <f t="shared" si="31"/>
        <v>3.9358486711252918</v>
      </c>
      <c r="M69" s="145">
        <f t="shared" si="31"/>
        <v>3.1654120826095347</v>
      </c>
      <c r="N69" s="145">
        <f t="shared" si="31"/>
        <v>4.9840510366826152</v>
      </c>
      <c r="O69" s="145">
        <f t="shared" ref="O69:S69" si="32">IF(O$9=0,"",+(O34*10)/O$9)</f>
        <v>2.4411929467511575</v>
      </c>
      <c r="P69" s="145">
        <f t="shared" si="32"/>
        <v>2.5713481442986446</v>
      </c>
      <c r="Q69" s="145">
        <f t="shared" si="32"/>
        <v>2.6185081669891566</v>
      </c>
      <c r="R69" s="145">
        <f t="shared" si="32"/>
        <v>1.9425019425019425</v>
      </c>
      <c r="S69" s="145">
        <f t="shared" si="32"/>
        <v>2.0669068630010616</v>
      </c>
      <c r="T69" s="145">
        <f t="shared" si="31"/>
        <v>3.6934556973119155</v>
      </c>
      <c r="U69" s="145" t="str">
        <f t="shared" si="31"/>
        <v/>
      </c>
      <c r="V69" s="145" t="str">
        <f t="shared" si="31"/>
        <v/>
      </c>
      <c r="W69" s="145">
        <f t="shared" si="31"/>
        <v>3.9964492377279544</v>
      </c>
      <c r="X69" s="145">
        <f t="shared" si="31"/>
        <v>4.2511923265978497</v>
      </c>
      <c r="Y69" s="145">
        <f t="shared" ref="Y69:AF69" si="33">IF(Y$9=0,"",+(Y34*10)/Y$9)</f>
        <v>3.2833983172583623</v>
      </c>
      <c r="Z69" s="145" t="str">
        <f t="shared" si="33"/>
        <v/>
      </c>
      <c r="AA69" s="145" t="str">
        <f t="shared" si="33"/>
        <v/>
      </c>
      <c r="AB69" s="145" t="str">
        <f t="shared" si="33"/>
        <v/>
      </c>
      <c r="AC69" s="145">
        <f t="shared" si="33"/>
        <v>0</v>
      </c>
      <c r="AD69" s="145" t="str">
        <f t="shared" si="33"/>
        <v/>
      </c>
      <c r="AE69" s="145" t="str">
        <f t="shared" si="33"/>
        <v/>
      </c>
      <c r="AF69" s="145">
        <f t="shared" si="33"/>
        <v>0</v>
      </c>
      <c r="AG69" s="242">
        <f>+(AG34*10)/AG$9</f>
        <v>3.1205926056987878</v>
      </c>
      <c r="AH69" s="242">
        <v>2.6</v>
      </c>
      <c r="AI69" s="243">
        <f t="shared" si="16"/>
        <v>-0.52059260569878774</v>
      </c>
    </row>
    <row r="70" spans="1:37" ht="18" x14ac:dyDescent="0.35">
      <c r="A70" s="169" t="s">
        <v>101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52"/>
      <c r="AH70" s="252">
        <v>2.6</v>
      </c>
      <c r="AI70" s="253">
        <f t="shared" si="16"/>
        <v>2.6</v>
      </c>
    </row>
    <row r="71" spans="1:37" ht="17.399999999999999" x14ac:dyDescent="0.3">
      <c r="A71" s="121" t="s">
        <v>170</v>
      </c>
      <c r="B71" s="145">
        <f t="shared" ref="B71:X71" si="37">IF(B$9=0,"",+(B35*10)/B$9)</f>
        <v>0.59322927652394009</v>
      </c>
      <c r="C71" s="145">
        <f t="shared" si="37"/>
        <v>0.66060794805734069</v>
      </c>
      <c r="D71" s="145">
        <f t="shared" si="37"/>
        <v>0.86580086580086579</v>
      </c>
      <c r="E71" s="145">
        <f t="shared" si="37"/>
        <v>1.0636789107927953</v>
      </c>
      <c r="F71" s="145">
        <f t="shared" si="37"/>
        <v>0.64701270428474644</v>
      </c>
      <c r="G71" s="145">
        <f t="shared" si="37"/>
        <v>0.5616566890007797</v>
      </c>
      <c r="H71" s="145">
        <f t="shared" si="37"/>
        <v>0.5919437993114921</v>
      </c>
      <c r="I71" s="145">
        <f t="shared" si="37"/>
        <v>0.6251613139461879</v>
      </c>
      <c r="J71" s="145">
        <f t="shared" si="37"/>
        <v>0.83812929541263892</v>
      </c>
      <c r="K71" s="145">
        <f t="shared" si="37"/>
        <v>0.61777545921309129</v>
      </c>
      <c r="L71" s="145">
        <f t="shared" si="37"/>
        <v>0.63093757323382538</v>
      </c>
      <c r="M71" s="145">
        <f t="shared" si="37"/>
        <v>1.3124879366917583</v>
      </c>
      <c r="N71" s="145">
        <f t="shared" si="37"/>
        <v>0.47217325610677408</v>
      </c>
      <c r="O71" s="145">
        <f t="shared" ref="O71:S71" si="38">IF(O$9=0,"",+(O35*10)/O$9)</f>
        <v>0.51393535721076999</v>
      </c>
      <c r="P71" s="145">
        <f t="shared" si="38"/>
        <v>0.59547009657442296</v>
      </c>
      <c r="Q71" s="145">
        <f t="shared" si="38"/>
        <v>0.82689731589131255</v>
      </c>
      <c r="R71" s="145">
        <f t="shared" si="38"/>
        <v>0.59297427718480344</v>
      </c>
      <c r="S71" s="145">
        <f t="shared" si="38"/>
        <v>0.58743668737924915</v>
      </c>
      <c r="T71" s="145">
        <f t="shared" si="37"/>
        <v>0.54254151485937741</v>
      </c>
      <c r="U71" s="145" t="str">
        <f t="shared" si="37"/>
        <v/>
      </c>
      <c r="V71" s="145" t="str">
        <f t="shared" si="37"/>
        <v/>
      </c>
      <c r="W71" s="145">
        <f t="shared" si="37"/>
        <v>0.53408768614797542</v>
      </c>
      <c r="X71" s="145">
        <f t="shared" si="37"/>
        <v>0.68639042773194459</v>
      </c>
      <c r="Y71" s="145">
        <f t="shared" ref="Y71:AF71" si="39">IF(Y$9=0,"",+(Y35*10)/Y$9)</f>
        <v>0.64983925029071754</v>
      </c>
      <c r="Z71" s="145" t="str">
        <f t="shared" si="39"/>
        <v/>
      </c>
      <c r="AA71" s="145" t="str">
        <f t="shared" si="39"/>
        <v/>
      </c>
      <c r="AB71" s="145" t="str">
        <f t="shared" si="39"/>
        <v/>
      </c>
      <c r="AC71" s="145">
        <f t="shared" si="39"/>
        <v>0</v>
      </c>
      <c r="AD71" s="145" t="str">
        <f t="shared" si="39"/>
        <v/>
      </c>
      <c r="AE71" s="145" t="str">
        <f t="shared" si="39"/>
        <v/>
      </c>
      <c r="AF71" s="145">
        <f t="shared" si="39"/>
        <v>0</v>
      </c>
      <c r="AG71" s="242">
        <f>+(AG35*10)/AG$9</f>
        <v>0.63276348718863462</v>
      </c>
      <c r="AH71" s="242">
        <v>0.7</v>
      </c>
      <c r="AI71" s="243">
        <f>AH71-AG71</f>
        <v>6.7236512811365334E-2</v>
      </c>
    </row>
    <row r="72" spans="1:37" ht="17.399999999999999" x14ac:dyDescent="0.3">
      <c r="A72" s="109" t="s">
        <v>128</v>
      </c>
      <c r="B72" s="145">
        <f t="shared" ref="B72:X72" si="40">IF(B$9=0,"",+(B36*10)/B$9)</f>
        <v>0.39548618434929339</v>
      </c>
      <c r="C72" s="145">
        <f t="shared" si="40"/>
        <v>0.33030397402867034</v>
      </c>
      <c r="D72" s="145">
        <f t="shared" si="40"/>
        <v>0.28860028860028858</v>
      </c>
      <c r="E72" s="145">
        <f t="shared" si="40"/>
        <v>0.27576860650183582</v>
      </c>
      <c r="F72" s="145">
        <f t="shared" si="40"/>
        <v>0.22835742504167519</v>
      </c>
      <c r="G72" s="145">
        <f t="shared" si="40"/>
        <v>0.46254080270652448</v>
      </c>
      <c r="H72" s="145">
        <f t="shared" si="40"/>
        <v>0.15442012155951967</v>
      </c>
      <c r="I72" s="145">
        <f t="shared" si="40"/>
        <v>8.9308759135169696E-2</v>
      </c>
      <c r="J72" s="145">
        <f t="shared" si="40"/>
        <v>0.13968821590210651</v>
      </c>
      <c r="K72" s="145">
        <f t="shared" si="40"/>
        <v>0.22880572563447826</v>
      </c>
      <c r="L72" s="145">
        <f t="shared" si="40"/>
        <v>0.54080363420042177</v>
      </c>
      <c r="M72" s="145">
        <f t="shared" si="40"/>
        <v>0.42462845010615707</v>
      </c>
      <c r="N72" s="145">
        <f t="shared" si="40"/>
        <v>0.2098547804918996</v>
      </c>
      <c r="O72" s="145">
        <f t="shared" ref="O72:S72" si="41">IF(O$9=0,"",+(O36*10)/O$9)</f>
        <v>0.205574142884308</v>
      </c>
      <c r="P72" s="145">
        <f t="shared" si="41"/>
        <v>0.13533411285782337</v>
      </c>
      <c r="Q72" s="145">
        <f t="shared" si="41"/>
        <v>0.44101190180870004</v>
      </c>
      <c r="R72" s="145">
        <f t="shared" si="41"/>
        <v>0.163579110947532</v>
      </c>
      <c r="S72" s="145">
        <f t="shared" si="41"/>
        <v>0.10878457173689798</v>
      </c>
      <c r="T72" s="145">
        <f t="shared" si="40"/>
        <v>0</v>
      </c>
      <c r="U72" s="145" t="str">
        <f t="shared" si="40"/>
        <v/>
      </c>
      <c r="V72" s="145" t="str">
        <f t="shared" si="40"/>
        <v/>
      </c>
      <c r="W72" s="145">
        <f t="shared" si="40"/>
        <v>0.11050090058233976</v>
      </c>
      <c r="X72" s="145">
        <f t="shared" si="40"/>
        <v>0.2214162670103047</v>
      </c>
      <c r="Y72" s="145">
        <f t="shared" ref="Y72:AF72" si="42">IF(Y$9=0,"",+(Y36*10)/Y$9)</f>
        <v>0.13680826321909845</v>
      </c>
      <c r="Z72" s="145" t="str">
        <f t="shared" si="42"/>
        <v/>
      </c>
      <c r="AA72" s="145" t="str">
        <f t="shared" si="42"/>
        <v/>
      </c>
      <c r="AB72" s="145" t="str">
        <f t="shared" si="42"/>
        <v/>
      </c>
      <c r="AC72" s="145">
        <f t="shared" si="42"/>
        <v>0</v>
      </c>
      <c r="AD72" s="145" t="str">
        <f t="shared" si="42"/>
        <v/>
      </c>
      <c r="AE72" s="145" t="str">
        <f t="shared" si="42"/>
        <v/>
      </c>
      <c r="AF72" s="145">
        <f t="shared" si="42"/>
        <v>0</v>
      </c>
      <c r="AG72" s="242">
        <f>+(AG36*10)/AG$9</f>
        <v>0.21612415122192452</v>
      </c>
      <c r="AH72" s="242">
        <v>0.1</v>
      </c>
      <c r="AI72" s="243">
        <f>AH72-AG72</f>
        <v>-0.11612415122192452</v>
      </c>
    </row>
    <row r="73" spans="1:37" ht="17.399999999999999" x14ac:dyDescent="0.3">
      <c r="A73" s="121" t="s">
        <v>130</v>
      </c>
      <c r="B73" s="145">
        <f t="shared" ref="B73:X73" si="43">IF(B$9=0,"",+(B37*10)/B$9)</f>
        <v>1.3182872811643112</v>
      </c>
      <c r="C73" s="145">
        <f t="shared" si="43"/>
        <v>2.2649415361965968</v>
      </c>
      <c r="D73" s="145">
        <f t="shared" si="43"/>
        <v>2.2222222222222223</v>
      </c>
      <c r="E73" s="145">
        <f t="shared" si="43"/>
        <v>2.1273578215855906</v>
      </c>
      <c r="F73" s="145">
        <f t="shared" si="43"/>
        <v>1.8268594003334016</v>
      </c>
      <c r="G73" s="145">
        <f t="shared" si="43"/>
        <v>1.5528155519433322</v>
      </c>
      <c r="H73" s="145">
        <f t="shared" si="43"/>
        <v>0.84931066857735826</v>
      </c>
      <c r="I73" s="145">
        <f t="shared" si="43"/>
        <v>0.6251613139461879</v>
      </c>
      <c r="J73" s="145">
        <f t="shared" si="43"/>
        <v>1.117505727216852</v>
      </c>
      <c r="K73" s="145">
        <f t="shared" si="43"/>
        <v>0.7321783220303304</v>
      </c>
      <c r="L73" s="145">
        <f t="shared" si="43"/>
        <v>0.75111615861169689</v>
      </c>
      <c r="M73" s="145">
        <f t="shared" si="43"/>
        <v>1.0036672457054623</v>
      </c>
      <c r="N73" s="145">
        <f t="shared" si="43"/>
        <v>0.83941912196759838</v>
      </c>
      <c r="O73" s="145">
        <f t="shared" ref="O73:S73" si="44">IF(O$9=0,"",+(O37*10)/O$9)</f>
        <v>0.41114828576861601</v>
      </c>
      <c r="P73" s="145">
        <f t="shared" si="44"/>
        <v>0.75787103200381101</v>
      </c>
      <c r="Q73" s="145">
        <f t="shared" si="44"/>
        <v>0.74420758430218126</v>
      </c>
      <c r="R73" s="145">
        <f t="shared" si="44"/>
        <v>0.55207949944792045</v>
      </c>
      <c r="S73" s="145">
        <f t="shared" si="44"/>
        <v>0.58743668737924915</v>
      </c>
      <c r="T73" s="145">
        <f t="shared" si="43"/>
        <v>0.54254151485937741</v>
      </c>
      <c r="U73" s="145" t="str">
        <f t="shared" si="43"/>
        <v/>
      </c>
      <c r="V73" s="145" t="str">
        <f t="shared" si="43"/>
        <v/>
      </c>
      <c r="W73" s="145">
        <f t="shared" si="43"/>
        <v>0.53408768614797542</v>
      </c>
      <c r="X73" s="145">
        <f t="shared" si="43"/>
        <v>0.64210717432988362</v>
      </c>
      <c r="Y73" s="145">
        <f t="shared" ref="Y73:AF73" si="45">IF(Y$9=0,"",+(Y37*10)/Y$9)</f>
        <v>0.71824338190026682</v>
      </c>
      <c r="Z73" s="145" t="str">
        <f t="shared" si="45"/>
        <v/>
      </c>
      <c r="AA73" s="145" t="str">
        <f t="shared" si="45"/>
        <v/>
      </c>
      <c r="AB73" s="145" t="str">
        <f t="shared" si="45"/>
        <v/>
      </c>
      <c r="AC73" s="145">
        <f t="shared" si="45"/>
        <v>6.4819316156214555</v>
      </c>
      <c r="AD73" s="145" t="str">
        <f t="shared" si="45"/>
        <v/>
      </c>
      <c r="AE73" s="145" t="str">
        <f t="shared" si="45"/>
        <v/>
      </c>
      <c r="AF73" s="145">
        <f t="shared" si="45"/>
        <v>0</v>
      </c>
      <c r="AG73" s="242">
        <f>+(AG37*10)/AG$9</f>
        <v>0.92453109133823275</v>
      </c>
      <c r="AH73" s="242">
        <v>0.6</v>
      </c>
      <c r="AI73" s="243">
        <f t="shared" si="16"/>
        <v>-0.32453109133823277</v>
      </c>
    </row>
    <row r="74" spans="1:37" s="91" customFormat="1" ht="17.399999999999999" x14ac:dyDescent="0.3">
      <c r="A74" s="149" t="s">
        <v>167</v>
      </c>
      <c r="B74" s="150">
        <f t="shared" ref="B74:X74" si="46">IF(B$9=0,"",+(B38*10)/B$9)</f>
        <v>0</v>
      </c>
      <c r="C74" s="150">
        <f t="shared" si="46"/>
        <v>0</v>
      </c>
      <c r="D74" s="150">
        <f t="shared" si="46"/>
        <v>0</v>
      </c>
      <c r="E74" s="150">
        <f t="shared" si="46"/>
        <v>0</v>
      </c>
      <c r="F74" s="150">
        <f t="shared" si="46"/>
        <v>0</v>
      </c>
      <c r="G74" s="150">
        <f t="shared" si="46"/>
        <v>0</v>
      </c>
      <c r="H74" s="150">
        <f t="shared" si="46"/>
        <v>0</v>
      </c>
      <c r="I74" s="150">
        <f t="shared" si="46"/>
        <v>0</v>
      </c>
      <c r="J74" s="150">
        <f t="shared" si="46"/>
        <v>0</v>
      </c>
      <c r="K74" s="150">
        <f t="shared" si="46"/>
        <v>0</v>
      </c>
      <c r="L74" s="150">
        <f t="shared" si="46"/>
        <v>0</v>
      </c>
      <c r="M74" s="150">
        <f t="shared" si="46"/>
        <v>0</v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>
        <f t="shared" si="47"/>
        <v>0</v>
      </c>
      <c r="R74" s="150">
        <f t="shared" si="47"/>
        <v>0</v>
      </c>
      <c r="S74" s="150">
        <f t="shared" si="47"/>
        <v>0</v>
      </c>
      <c r="T74" s="150">
        <f t="shared" si="46"/>
        <v>0</v>
      </c>
      <c r="U74" s="150" t="str">
        <f t="shared" si="46"/>
        <v/>
      </c>
      <c r="V74" s="150" t="str">
        <f t="shared" si="46"/>
        <v/>
      </c>
      <c r="W74" s="150">
        <f t="shared" si="46"/>
        <v>0</v>
      </c>
      <c r="X74" s="150">
        <f t="shared" si="46"/>
        <v>0</v>
      </c>
      <c r="Y74" s="150">
        <f t="shared" ref="Y74:AF74" si="48">IF(Y$9=0,"",+(Y38*10)/Y$9)</f>
        <v>0</v>
      </c>
      <c r="Z74" s="150" t="str">
        <f t="shared" si="48"/>
        <v/>
      </c>
      <c r="AA74" s="150" t="str">
        <f t="shared" si="48"/>
        <v/>
      </c>
      <c r="AB74" s="150" t="str">
        <f t="shared" si="48"/>
        <v/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>
        <f t="shared" si="48"/>
        <v>0</v>
      </c>
      <c r="AG74" s="250">
        <f>+(AG38*10)/AG$9</f>
        <v>0</v>
      </c>
      <c r="AH74" s="250">
        <v>0.5</v>
      </c>
      <c r="AI74" s="251">
        <f t="shared" si="16"/>
        <v>0.5</v>
      </c>
      <c r="AJ74" s="285"/>
      <c r="AK74" s="285"/>
    </row>
    <row r="75" spans="1:37" ht="17.399999999999999" x14ac:dyDescent="0.3">
      <c r="A75" s="121" t="s">
        <v>202</v>
      </c>
      <c r="B75" s="145">
        <f t="shared" ref="B75:X75" si="49">IF(B$9=0,"",+(B39*10)/B$9)</f>
        <v>0</v>
      </c>
      <c r="C75" s="145">
        <f t="shared" si="49"/>
        <v>0</v>
      </c>
      <c r="D75" s="145">
        <f t="shared" si="49"/>
        <v>0</v>
      </c>
      <c r="E75" s="145">
        <f t="shared" si="49"/>
        <v>0</v>
      </c>
      <c r="F75" s="145">
        <f t="shared" si="49"/>
        <v>0</v>
      </c>
      <c r="G75" s="145">
        <f t="shared" si="49"/>
        <v>0</v>
      </c>
      <c r="H75" s="145">
        <f t="shared" si="49"/>
        <v>0</v>
      </c>
      <c r="I75" s="145">
        <f t="shared" si="49"/>
        <v>0</v>
      </c>
      <c r="J75" s="145">
        <f t="shared" si="49"/>
        <v>0</v>
      </c>
      <c r="K75" s="145">
        <f t="shared" si="49"/>
        <v>0</v>
      </c>
      <c r="L75" s="145">
        <f t="shared" si="49"/>
        <v>0</v>
      </c>
      <c r="M75" s="145">
        <f t="shared" si="49"/>
        <v>0</v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>
        <f t="shared" si="50"/>
        <v>0</v>
      </c>
      <c r="R75" s="145">
        <f t="shared" si="50"/>
        <v>0</v>
      </c>
      <c r="S75" s="145">
        <f t="shared" si="50"/>
        <v>0</v>
      </c>
      <c r="T75" s="145">
        <f t="shared" si="49"/>
        <v>0</v>
      </c>
      <c r="U75" s="145" t="str">
        <f t="shared" si="49"/>
        <v/>
      </c>
      <c r="V75" s="145" t="str">
        <f t="shared" si="49"/>
        <v/>
      </c>
      <c r="W75" s="145">
        <f t="shared" si="49"/>
        <v>0</v>
      </c>
      <c r="X75" s="145">
        <f t="shared" si="49"/>
        <v>0</v>
      </c>
      <c r="Y75" s="145">
        <f t="shared" ref="Y75:AF75" si="51">IF(Y$9=0,"",+(Y39*10)/Y$9)</f>
        <v>0</v>
      </c>
      <c r="Z75" s="145" t="str">
        <f t="shared" si="51"/>
        <v/>
      </c>
      <c r="AA75" s="145" t="str">
        <f t="shared" si="51"/>
        <v/>
      </c>
      <c r="AB75" s="145" t="str">
        <f t="shared" si="51"/>
        <v/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>
        <f t="shared" si="51"/>
        <v>0</v>
      </c>
      <c r="AG75" s="242">
        <f>+(AG39*10)/AG$9</f>
        <v>0</v>
      </c>
      <c r="AH75" s="242">
        <v>0.3</v>
      </c>
      <c r="AI75" s="243">
        <f t="shared" si="16"/>
        <v>0.3</v>
      </c>
    </row>
    <row r="76" spans="1:37" s="91" customFormat="1" ht="17.399999999999999" x14ac:dyDescent="0.3">
      <c r="A76" s="149" t="s">
        <v>188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50"/>
      <c r="AH76" s="250">
        <v>0.4</v>
      </c>
      <c r="AI76" s="251">
        <f t="shared" si="16"/>
        <v>0.4</v>
      </c>
      <c r="AJ76" s="285"/>
      <c r="AK76" s="285"/>
    </row>
    <row r="77" spans="1:37" s="91" customFormat="1" ht="17.399999999999999" x14ac:dyDescent="0.3">
      <c r="A77" s="149" t="s">
        <v>201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50"/>
      <c r="AH77" s="250">
        <v>0.2</v>
      </c>
      <c r="AI77" s="251">
        <f t="shared" si="16"/>
        <v>0.2</v>
      </c>
      <c r="AJ77" s="285"/>
      <c r="AK77" s="285"/>
    </row>
    <row r="78" spans="1:37" s="1" customFormat="1" ht="17.399999999999999" x14ac:dyDescent="0.3">
      <c r="A78" s="151" t="s">
        <v>197</v>
      </c>
      <c r="B78" s="152">
        <f t="shared" ref="B78:AH78" si="52">SUM(B62:B77)</f>
        <v>13.11381013281216</v>
      </c>
      <c r="C78" s="152">
        <f t="shared" si="52"/>
        <v>19.089729773328642</v>
      </c>
      <c r="D78" s="152">
        <f t="shared" si="52"/>
        <v>14.904998682088465</v>
      </c>
      <c r="E78" s="152">
        <f t="shared" si="52"/>
        <v>20.233731641494881</v>
      </c>
      <c r="F78" s="152">
        <f t="shared" si="52"/>
        <v>13.379684894379695</v>
      </c>
      <c r="G78" s="152">
        <f t="shared" si="52"/>
        <v>14.430393240380047</v>
      </c>
      <c r="H78" s="152">
        <f t="shared" si="52"/>
        <v>11.56989324165149</v>
      </c>
      <c r="I78" s="152">
        <f t="shared" si="52"/>
        <v>9.8027490539486948</v>
      </c>
      <c r="J78" s="152">
        <f t="shared" si="52"/>
        <v>19.913452943145842</v>
      </c>
      <c r="K78" s="152">
        <f t="shared" si="52"/>
        <v>14.664761692224205</v>
      </c>
      <c r="L78" s="152">
        <f t="shared" si="52"/>
        <v>13.02245024770777</v>
      </c>
      <c r="M78" s="152">
        <f t="shared" si="52"/>
        <v>16.748569237914126</v>
      </c>
      <c r="N78" s="152">
        <f>SUM(N62:N77)</f>
        <v>7.0301351464786359</v>
      </c>
      <c r="O78" s="152">
        <f t="shared" si="52"/>
        <v>4.0600893219650827</v>
      </c>
      <c r="P78" s="152">
        <f t="shared" si="52"/>
        <v>11.199622809478951</v>
      </c>
      <c r="Q78" s="152">
        <f t="shared" si="52"/>
        <v>15.809754573002595</v>
      </c>
      <c r="R78" s="152">
        <f t="shared" si="52"/>
        <v>10.758467234480692</v>
      </c>
      <c r="S78" s="152">
        <f t="shared" si="52"/>
        <v>8.4199258524359042</v>
      </c>
      <c r="T78" s="152">
        <f t="shared" si="52"/>
        <v>6.0931585514976234</v>
      </c>
      <c r="U78" s="152">
        <f t="shared" si="52"/>
        <v>0</v>
      </c>
      <c r="V78" s="152">
        <f t="shared" si="52"/>
        <v>0</v>
      </c>
      <c r="W78" s="152">
        <f>SUM(W62:W77)</f>
        <v>5.1751255106062448</v>
      </c>
      <c r="X78" s="152">
        <f>SUM(X62:X77)</f>
        <v>7.8381358521647861</v>
      </c>
      <c r="Y78" s="152">
        <f t="shared" si="52"/>
        <v>6.2589780422737533</v>
      </c>
      <c r="Z78" s="152">
        <f t="shared" si="52"/>
        <v>0</v>
      </c>
      <c r="AA78" s="152">
        <f t="shared" si="52"/>
        <v>0</v>
      </c>
      <c r="AB78" s="152">
        <f t="shared" si="52"/>
        <v>0</v>
      </c>
      <c r="AC78" s="152">
        <f t="shared" si="52"/>
        <v>6.4819316156214555</v>
      </c>
      <c r="AD78" s="152">
        <f t="shared" ref="AD78:AF78" si="53">SUM(AD62:AD77)</f>
        <v>0</v>
      </c>
      <c r="AE78" s="152">
        <f t="shared" si="53"/>
        <v>0</v>
      </c>
      <c r="AF78" s="152">
        <f t="shared" si="53"/>
        <v>0</v>
      </c>
      <c r="AG78" s="254">
        <f>SUM(AG62:AG77)</f>
        <v>13.166458933493072</v>
      </c>
      <c r="AH78" s="254">
        <f t="shared" si="52"/>
        <v>15.599999999999998</v>
      </c>
      <c r="AI78" s="254">
        <f t="shared" si="16"/>
        <v>2.4335410665069261</v>
      </c>
      <c r="AJ78" s="211"/>
      <c r="AK78" s="211"/>
    </row>
    <row r="79" spans="1:37" s="89" customFormat="1" ht="18.600000000000001" thickBot="1" x14ac:dyDescent="0.4">
      <c r="A79" s="153" t="s">
        <v>204</v>
      </c>
      <c r="B79" s="154">
        <f>SUM(B69:B72)</f>
        <v>4.6579483934472332</v>
      </c>
      <c r="C79" s="154">
        <f t="shared" ref="C79:AI79" si="54">SUM(C69:C72)</f>
        <v>4.9545596104300547</v>
      </c>
      <c r="D79" s="154">
        <f>SUM(D69:D72)</f>
        <v>4.5598845598845594</v>
      </c>
      <c r="E79" s="154">
        <f t="shared" si="54"/>
        <v>4.6880663105312088</v>
      </c>
      <c r="F79" s="154">
        <f t="shared" si="54"/>
        <v>4.376850646632108</v>
      </c>
      <c r="G79" s="154">
        <f t="shared" si="54"/>
        <v>4.3610989969472307</v>
      </c>
      <c r="H79" s="154">
        <f t="shared" si="54"/>
        <v>3.4487160481626065</v>
      </c>
      <c r="I79" s="154">
        <f t="shared" si="54"/>
        <v>3.1704609492985245</v>
      </c>
      <c r="J79" s="154">
        <f t="shared" si="54"/>
        <v>5.1684639883779395</v>
      </c>
      <c r="K79" s="154">
        <f t="shared" si="54"/>
        <v>4.1185030614206086</v>
      </c>
      <c r="L79" s="154">
        <f t="shared" si="54"/>
        <v>5.1075898785595388</v>
      </c>
      <c r="M79" s="154">
        <f>SUM(M69:M72)</f>
        <v>4.90252846940745</v>
      </c>
      <c r="N79" s="154">
        <f t="shared" si="54"/>
        <v>5.6660790732812885</v>
      </c>
      <c r="O79" s="154">
        <f t="shared" si="54"/>
        <v>3.1607024468462352</v>
      </c>
      <c r="P79" s="154">
        <f t="shared" si="54"/>
        <v>3.3021523537308908</v>
      </c>
      <c r="Q79" s="154">
        <f t="shared" si="54"/>
        <v>3.8864173846891692</v>
      </c>
      <c r="R79" s="154">
        <f t="shared" si="54"/>
        <v>2.6990553306342782</v>
      </c>
      <c r="S79" s="154">
        <f t="shared" si="54"/>
        <v>2.7631281221172088</v>
      </c>
      <c r="T79" s="154">
        <f t="shared" si="54"/>
        <v>4.2359972121712932</v>
      </c>
      <c r="U79" s="154">
        <f t="shared" si="54"/>
        <v>0</v>
      </c>
      <c r="V79" s="154">
        <f t="shared" si="54"/>
        <v>0</v>
      </c>
      <c r="W79" s="154">
        <f t="shared" si="54"/>
        <v>4.6410378244582695</v>
      </c>
      <c r="X79" s="154">
        <f t="shared" si="54"/>
        <v>5.1589990213400991</v>
      </c>
      <c r="Y79" s="154">
        <f t="shared" si="54"/>
        <v>4.0700458307681782</v>
      </c>
      <c r="Z79" s="154">
        <f t="shared" si="54"/>
        <v>0</v>
      </c>
      <c r="AA79" s="154">
        <f t="shared" si="54"/>
        <v>0</v>
      </c>
      <c r="AB79" s="154">
        <f t="shared" si="54"/>
        <v>0</v>
      </c>
      <c r="AC79" s="154">
        <f t="shared" si="54"/>
        <v>0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0</v>
      </c>
      <c r="AG79" s="255">
        <f t="shared" si="54"/>
        <v>3.9694802441093469</v>
      </c>
      <c r="AH79" s="255">
        <f t="shared" si="54"/>
        <v>6</v>
      </c>
      <c r="AI79" s="255">
        <f t="shared" si="54"/>
        <v>2.0305197558906531</v>
      </c>
      <c r="AJ79" s="286"/>
      <c r="AK79" s="286"/>
    </row>
    <row r="80" spans="1:37" s="78" customFormat="1" ht="21" x14ac:dyDescent="0.4">
      <c r="A80" s="137" t="s">
        <v>198</v>
      </c>
      <c r="B80" s="155">
        <f t="shared" ref="B80:W80" si="56">IF(B$9=0,"",+B47/B$9)</f>
        <v>5.7453156858609802</v>
      </c>
      <c r="C80" s="155">
        <f>IF(C$9=0,"",+C47/C$9)</f>
        <v>5.7539424138614583</v>
      </c>
      <c r="D80" s="155">
        <f t="shared" si="56"/>
        <v>6.2160461760461354</v>
      </c>
      <c r="E80" s="155">
        <f t="shared" si="56"/>
        <v>6.6841976709371496</v>
      </c>
      <c r="F80" s="155">
        <f t="shared" si="56"/>
        <v>6.6115944676607201</v>
      </c>
      <c r="G80" s="155">
        <f t="shared" si="56"/>
        <v>5.8496874545719741</v>
      </c>
      <c r="H80" s="155">
        <f t="shared" si="56"/>
        <v>5.9938427550196174</v>
      </c>
      <c r="I80" s="155">
        <f t="shared" si="56"/>
        <v>5.5950821238694886</v>
      </c>
      <c r="J80" s="155">
        <f t="shared" si="56"/>
        <v>7.2517274776033389</v>
      </c>
      <c r="K80" s="155">
        <f t="shared" si="56"/>
        <v>7.5930095274704339</v>
      </c>
      <c r="L80" s="155">
        <f t="shared" si="56"/>
        <v>7.3011795528154417</v>
      </c>
      <c r="M80" s="155">
        <f t="shared" si="56"/>
        <v>8.7456861609728112</v>
      </c>
      <c r="N80" s="155">
        <f t="shared" si="56"/>
        <v>5.0104402753294659</v>
      </c>
      <c r="O80" s="155">
        <f t="shared" si="56"/>
        <v>6.4061014405607857</v>
      </c>
      <c r="P80" s="155">
        <f t="shared" si="56"/>
        <v>7.4473820969209061</v>
      </c>
      <c r="Q80" s="155">
        <f t="shared" si="56"/>
        <v>6.689185836902789</v>
      </c>
      <c r="R80" s="155">
        <f t="shared" si="56"/>
        <v>5.3198789514578797</v>
      </c>
      <c r="S80" s="155">
        <f t="shared" si="56"/>
        <v>0.91596609402468099</v>
      </c>
      <c r="T80" s="155">
        <f t="shared" si="56"/>
        <v>0.65730991223347646</v>
      </c>
      <c r="U80" s="155" t="str">
        <f t="shared" si="56"/>
        <v/>
      </c>
      <c r="V80" s="155" t="str">
        <f t="shared" si="56"/>
        <v/>
      </c>
      <c r="W80" s="155">
        <f t="shared" si="56"/>
        <v>0.37386138030358285</v>
      </c>
      <c r="X80" s="155">
        <f>IF(X$9=0,"",+X47/X$9)</f>
        <v>0.76831444652575731</v>
      </c>
      <c r="Y80" s="155">
        <f>IF(Y$9=0,"",+Y47/Y$9)</f>
        <v>0</v>
      </c>
      <c r="Z80" s="155" t="str">
        <f>IF(Z$9=0,"",+Z47/Z$9)</f>
        <v/>
      </c>
      <c r="AA80" s="155" t="str">
        <f t="shared" ref="AA80:AF80" si="57">IF(AA$9=0,"",+AA47/AA$9)</f>
        <v/>
      </c>
      <c r="AB80" s="155" t="str">
        <f t="shared" si="57"/>
        <v/>
      </c>
      <c r="AC80" s="155">
        <f t="shared" si="57"/>
        <v>13.676875708961271</v>
      </c>
      <c r="AD80" s="155" t="str">
        <f t="shared" si="57"/>
        <v/>
      </c>
      <c r="AE80" s="155" t="str">
        <f t="shared" si="57"/>
        <v/>
      </c>
      <c r="AF80" s="155">
        <f t="shared" si="57"/>
        <v>0.50906947458671592</v>
      </c>
      <c r="AG80" s="256">
        <f>+(AG47)/AG$9</f>
        <v>4.6903911670635745</v>
      </c>
      <c r="AH80" s="257">
        <f>'Daily KPIs'!AI92</f>
        <v>5</v>
      </c>
      <c r="AI80" s="287">
        <f>AH80-AG80</f>
        <v>0.30960883293642549</v>
      </c>
      <c r="AJ80" s="271"/>
      <c r="AK80" s="271"/>
    </row>
    <row r="81" spans="1:37" s="1" customFormat="1" ht="21" x14ac:dyDescent="0.4">
      <c r="A81" s="156" t="s">
        <v>199</v>
      </c>
      <c r="B81" s="157">
        <f t="shared" ref="B81:Z81" si="58">IF(B$9=0,"",+B49/B$9)</f>
        <v>1.2391900442944526</v>
      </c>
      <c r="C81" s="157">
        <f>IF(C$9=0,"",+C49/C$9)</f>
        <v>1.2412823343997494</v>
      </c>
      <c r="D81" s="157">
        <f>IF(D$9=0,"",+D49/D$9)</f>
        <v>1.075036075036075</v>
      </c>
      <c r="E81" s="157">
        <f t="shared" si="58"/>
        <v>1.16957405568949</v>
      </c>
      <c r="F81" s="157">
        <f t="shared" si="58"/>
        <v>1.1455930822924039</v>
      </c>
      <c r="G81" s="157">
        <f t="shared" si="58"/>
        <v>1.0738875893694937</v>
      </c>
      <c r="H81" s="157">
        <f t="shared" si="58"/>
        <v>0.93570872658990878</v>
      </c>
      <c r="I81" s="157">
        <f t="shared" si="58"/>
        <v>1.065699095570191</v>
      </c>
      <c r="J81" s="157">
        <f t="shared" si="58"/>
        <v>1.2476485816990015</v>
      </c>
      <c r="K81" s="157">
        <f t="shared" si="58"/>
        <v>1.0870560024894029</v>
      </c>
      <c r="L81" s="157">
        <f t="shared" si="58"/>
        <v>0.97582006862197479</v>
      </c>
      <c r="M81" s="157">
        <f t="shared" si="58"/>
        <v>1.2681335649488594</v>
      </c>
      <c r="N81" s="157">
        <f t="shared" si="58"/>
        <v>1.2514689834634096</v>
      </c>
      <c r="O81" s="157">
        <f t="shared" ref="O81:S81" si="59">IF(O$9=0,"",+O49/O$9)</f>
        <v>0.9690251160209219</v>
      </c>
      <c r="P81" s="157">
        <f t="shared" si="59"/>
        <v>1.3993276601273168</v>
      </c>
      <c r="Q81" s="157">
        <f t="shared" si="59"/>
        <v>1.1329871389904214</v>
      </c>
      <c r="R81" s="157">
        <f t="shared" si="59"/>
        <v>0.86083507136138715</v>
      </c>
      <c r="S81" s="157">
        <f t="shared" si="59"/>
        <v>0.89342593076079446</v>
      </c>
      <c r="T81" s="157">
        <f t="shared" si="58"/>
        <v>0.83987513198365271</v>
      </c>
      <c r="U81" s="157" t="str">
        <f t="shared" si="58"/>
        <v/>
      </c>
      <c r="V81" s="157" t="str">
        <f>IF(V$9=0,"",+V49/V$9)</f>
        <v/>
      </c>
      <c r="W81" s="157">
        <f t="shared" si="58"/>
        <v>0.84273511829120773</v>
      </c>
      <c r="X81" s="157">
        <f t="shared" si="58"/>
        <v>1.1462941559390465</v>
      </c>
      <c r="Y81" s="157">
        <f t="shared" si="58"/>
        <v>0.56792530268829233</v>
      </c>
      <c r="Z81" s="157" t="str">
        <f t="shared" si="58"/>
        <v/>
      </c>
      <c r="AA81" s="157" t="str">
        <f t="shared" ref="AA81:AF81" si="60">IF(AA$9=0,"",+AA49/AA$9)</f>
        <v/>
      </c>
      <c r="AB81" s="157" t="str">
        <f t="shared" si="60"/>
        <v/>
      </c>
      <c r="AC81" s="157">
        <f t="shared" si="60"/>
        <v>0</v>
      </c>
      <c r="AD81" s="157" t="str">
        <f t="shared" si="60"/>
        <v/>
      </c>
      <c r="AE81" s="157" t="str">
        <f t="shared" si="60"/>
        <v/>
      </c>
      <c r="AF81" s="157">
        <f t="shared" si="60"/>
        <v>0.8930686172065474</v>
      </c>
      <c r="AG81" s="288">
        <f>IF(AG$9=0,"",+AG49/AG$9)</f>
        <v>1.1114100428306435</v>
      </c>
      <c r="AH81" s="288">
        <f>'Daily KPIs'!AI93</f>
        <v>1.7</v>
      </c>
      <c r="AI81" s="287">
        <f>AH81-AG81</f>
        <v>0.58858995716935647</v>
      </c>
      <c r="AJ81" s="211"/>
      <c r="AK81" s="211"/>
    </row>
    <row r="82" spans="1:37" s="78" customFormat="1" ht="21" x14ac:dyDescent="0.4">
      <c r="A82" s="137" t="s">
        <v>190</v>
      </c>
      <c r="B82" s="144">
        <f>IF(B$9=0,"",B52/B$9)</f>
        <v>13.969450889404484</v>
      </c>
      <c r="C82" s="144">
        <f t="shared" ref="C82:Y82" si="61">IF(C$9=0,"",C52/C$9)</f>
        <v>30.369091097836034</v>
      </c>
      <c r="D82" s="144">
        <f t="shared" si="61"/>
        <v>21.818181818181817</v>
      </c>
      <c r="E82" s="144">
        <f t="shared" si="61"/>
        <v>31.618840511196204</v>
      </c>
      <c r="F82" s="144">
        <f t="shared" si="61"/>
        <v>22.39805743950431</v>
      </c>
      <c r="G82" s="144">
        <f t="shared" si="61"/>
        <v>22.54886413194307</v>
      </c>
      <c r="H82" s="144">
        <f t="shared" si="61"/>
        <v>19.441493304343528</v>
      </c>
      <c r="I82" s="144">
        <f t="shared" si="61"/>
        <v>16.365830111519845</v>
      </c>
      <c r="J82" s="144">
        <f t="shared" si="61"/>
        <v>29.916559572367806</v>
      </c>
      <c r="K82" s="144">
        <f t="shared" si="61"/>
        <v>19.421029991854514</v>
      </c>
      <c r="L82" s="144">
        <f t="shared" si="61"/>
        <v>20.226055919095774</v>
      </c>
      <c r="M82" s="144">
        <f t="shared" si="61"/>
        <v>25.554912179115998</v>
      </c>
      <c r="N82" s="144">
        <f>IF(N$9=0,"",N52/N$9)</f>
        <v>23.708343826072358</v>
      </c>
      <c r="O82" s="144">
        <f t="shared" ref="O82:S82" si="62">IF(O$9=0,"",O52/O$9)</f>
        <v>13.842848846472091</v>
      </c>
      <c r="P82" s="144">
        <f t="shared" si="62"/>
        <v>16.535121908968861</v>
      </c>
      <c r="Q82" s="144">
        <f t="shared" si="62"/>
        <v>24.57538822828981</v>
      </c>
      <c r="R82" s="144">
        <f t="shared" si="62"/>
        <v>13.934895513842882</v>
      </c>
      <c r="S82" s="144">
        <f t="shared" si="62"/>
        <v>16.198022731624111</v>
      </c>
      <c r="T82" s="144">
        <f t="shared" si="61"/>
        <v>15.535467608184865</v>
      </c>
      <c r="U82" s="144" t="str">
        <f t="shared" si="61"/>
        <v/>
      </c>
      <c r="V82" s="144" t="str">
        <f t="shared" si="61"/>
        <v/>
      </c>
      <c r="W82" s="144">
        <f t="shared" si="61"/>
        <v>13.711320080591991</v>
      </c>
      <c r="X82" s="144">
        <f t="shared" si="61"/>
        <v>16.484441078917186</v>
      </c>
      <c r="Y82" s="144">
        <f t="shared" si="61"/>
        <v>25.463437991654697</v>
      </c>
      <c r="Z82" s="144" t="str">
        <f>IF(Z$9=0,"",Z52/Z$9)</f>
        <v/>
      </c>
      <c r="AA82" s="144" t="str">
        <f t="shared" ref="AA82:AF82" si="63">IF(AA$9=0,"",AA52/AA$9)</f>
        <v/>
      </c>
      <c r="AB82" s="144" t="str">
        <f t="shared" si="63"/>
        <v/>
      </c>
      <c r="AC82" s="144">
        <f t="shared" si="63"/>
        <v>482.57980878301731</v>
      </c>
      <c r="AD82" s="144" t="str">
        <f t="shared" si="63"/>
        <v/>
      </c>
      <c r="AE82" s="144" t="str">
        <f t="shared" si="63"/>
        <v/>
      </c>
      <c r="AF82" s="144">
        <f t="shared" si="63"/>
        <v>19.947485464726842</v>
      </c>
      <c r="AG82" s="239">
        <f>+(AG52)/AG$9</f>
        <v>23.759248357663569</v>
      </c>
      <c r="AH82" s="240">
        <f>'Daily KPIs'!AI94</f>
        <v>22</v>
      </c>
      <c r="AI82" s="287">
        <f>AH82-AG82</f>
        <v>-1.7592483576635694</v>
      </c>
      <c r="AJ82" s="271"/>
      <c r="AK82" s="271"/>
    </row>
    <row r="83" spans="1:37" s="1" customFormat="1" ht="21" x14ac:dyDescent="0.4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8"/>
      <c r="AH83" s="258">
        <f>SUM(AH62:AH78)</f>
        <v>31.199999999999996</v>
      </c>
      <c r="AI83" s="287">
        <f>AH83-AG83</f>
        <v>31.199999999999996</v>
      </c>
      <c r="AJ83" s="211"/>
      <c r="AK83" s="211"/>
    </row>
    <row r="84" spans="1:37" s="78" customFormat="1" ht="21" x14ac:dyDescent="0.4">
      <c r="A84" s="137" t="s">
        <v>191</v>
      </c>
      <c r="B84" s="144">
        <f>IF(B$9=0,"",B54/B$9)</f>
        <v>6.1300358574140477</v>
      </c>
      <c r="C84" s="144">
        <f t="shared" ref="C84:Z84" si="64">IF(C$9=0,"",C54/C$9)</f>
        <v>14.769306267281975</v>
      </c>
      <c r="D84" s="144">
        <f t="shared" si="64"/>
        <v>9.0909090909090917</v>
      </c>
      <c r="E84" s="144">
        <f t="shared" si="64"/>
        <v>11.503490442648008</v>
      </c>
      <c r="F84" s="144">
        <f t="shared" si="64"/>
        <v>10.732798976958735</v>
      </c>
      <c r="G84" s="144">
        <f>IF(G$9=0,"",G54/G$9)</f>
        <v>11.134017893721339</v>
      </c>
      <c r="H84" s="144">
        <f t="shared" si="64"/>
        <v>8.8019469288926224</v>
      </c>
      <c r="I84" s="144">
        <f t="shared" si="64"/>
        <v>8.1047698915166499</v>
      </c>
      <c r="J84" s="144">
        <f t="shared" si="64"/>
        <v>13.316943249334152</v>
      </c>
      <c r="K84" s="144">
        <f t="shared" si="64"/>
        <v>8.6946175741101737</v>
      </c>
      <c r="L84" s="144">
        <f t="shared" si="64"/>
        <v>8.0519652203173919</v>
      </c>
      <c r="M84" s="144">
        <f t="shared" si="64"/>
        <v>11.928199189345685</v>
      </c>
      <c r="N84" s="144">
        <f>IF(N$9=0,"",N54/N$9)</f>
        <v>7.7121631830773101</v>
      </c>
      <c r="O84" s="144">
        <f t="shared" ref="O84:S84" si="65">IF(O$9=0,"",O54/O$9)</f>
        <v>5.499108322155239</v>
      </c>
      <c r="P84" s="144">
        <f t="shared" si="65"/>
        <v>8.3095145294703556</v>
      </c>
      <c r="Q84" s="144">
        <f t="shared" si="65"/>
        <v>9.8125148152435759</v>
      </c>
      <c r="R84" s="144">
        <f t="shared" si="65"/>
        <v>6.6658487711119294</v>
      </c>
      <c r="S84" s="144">
        <f t="shared" si="65"/>
        <v>7.6801907646249976</v>
      </c>
      <c r="T84" s="144">
        <f t="shared" si="64"/>
        <v>7.3660444132830856</v>
      </c>
      <c r="U84" s="144" t="str">
        <f t="shared" si="64"/>
        <v/>
      </c>
      <c r="V84" s="144" t="str">
        <f t="shared" si="64"/>
        <v/>
      </c>
      <c r="W84" s="144">
        <f t="shared" si="64"/>
        <v>6.5011363175943222</v>
      </c>
      <c r="X84" s="144">
        <f t="shared" si="64"/>
        <v>7.815994225463756</v>
      </c>
      <c r="Y84" s="144">
        <f t="shared" si="64"/>
        <v>12.073329229085436</v>
      </c>
      <c r="Z84" s="144" t="str">
        <f t="shared" si="64"/>
        <v/>
      </c>
      <c r="AA84" s="144" t="str">
        <f t="shared" ref="AA84:AF84" si="66">IF(AA$9=0,"",AA54/AA$9)</f>
        <v/>
      </c>
      <c r="AB84" s="144" t="str">
        <f t="shared" si="66"/>
        <v/>
      </c>
      <c r="AC84" s="144">
        <f t="shared" si="66"/>
        <v>228.81218603143736</v>
      </c>
      <c r="AD84" s="144" t="str">
        <f t="shared" si="66"/>
        <v/>
      </c>
      <c r="AE84" s="144" t="str">
        <f t="shared" si="66"/>
        <v/>
      </c>
      <c r="AF84" s="144">
        <f t="shared" si="66"/>
        <v>9.457974975216354</v>
      </c>
      <c r="AG84" s="256">
        <f>+(AG54)/AG$9</f>
        <v>12.076537294389539</v>
      </c>
      <c r="AH84" s="257">
        <f>'Daily KPIs'!AI96</f>
        <v>7.2</v>
      </c>
      <c r="AI84" s="287">
        <f>AH84-AG84</f>
        <v>-4.8765372943895384</v>
      </c>
      <c r="AJ84" s="271"/>
      <c r="AK84" s="271"/>
    </row>
    <row r="85" spans="1:37" s="1" customFormat="1" ht="17.399999999999999" x14ac:dyDescent="0.3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1"/>
      <c r="AH85" s="211"/>
      <c r="AI85" s="211"/>
      <c r="AJ85" s="211"/>
      <c r="AK85" s="211"/>
    </row>
    <row r="86" spans="1:37" ht="18" x14ac:dyDescent="0.35">
      <c r="A86" s="171" t="s">
        <v>218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9">
        <f>SUM($B86:AF86)</f>
        <v>0</v>
      </c>
      <c r="AH86" s="259"/>
      <c r="AI86" s="289" t="s">
        <v>187</v>
      </c>
    </row>
    <row r="87" spans="1:37" ht="18" x14ac:dyDescent="0.35">
      <c r="A87" s="105" t="s">
        <v>205</v>
      </c>
      <c r="B87" s="159">
        <f>IF('Entries December''25'!L7-'Entries December''25'!L6&lt;1,0,'Entries December''25'!L7-'Entries December''25'!L6)</f>
        <v>224.92000000000007</v>
      </c>
      <c r="C87" s="159">
        <f>IF('Entries December''25'!L8-'Entries December''25'!L7&lt;1,0,'Entries December''25'!L8-'Entries December''25'!L7)</f>
        <v>58.419999999999163</v>
      </c>
      <c r="D87" s="159">
        <f>IF('Entries December''25'!L9-'Entries December''25'!L8&lt;1,0,'Entries December''25'!L9-'Entries December''25'!L8)</f>
        <v>59.510000000000218</v>
      </c>
      <c r="E87" s="159">
        <f>IF('Entries December''25'!L10-'Entries December''25'!L9&lt;1,0,'Entries December''25'!L10-'Entries December''25'!L9)</f>
        <v>91.75</v>
      </c>
      <c r="F87" s="159">
        <f>IF('Entries December''25'!L11-'Entries December''25'!L10&lt;1,0,'Entries December''25'!L11-'Entries December''25'!L10)</f>
        <v>246.32999999999993</v>
      </c>
      <c r="G87" s="159">
        <f>IF('Entries December''25'!L12-'Entries December''25'!L11&lt;1,0,'Entries December''25'!L12-'Entries December''25'!L11)</f>
        <v>239.68000000000029</v>
      </c>
      <c r="H87" s="159">
        <f>IF('Entries December''25'!L13-'Entries December''25'!L12&lt;1,0,'Entries December''25'!L13-'Entries December''25'!L12)</f>
        <v>184.35999999999967</v>
      </c>
      <c r="I87" s="159">
        <f>IF('Entries December''25'!L14-'Entries December''25'!L13&lt;1,0,'Entries December''25'!L14-'Entries December''25'!L13)</f>
        <v>183.53000000000065</v>
      </c>
      <c r="J87" s="159">
        <f>IF('Entries December''25'!L15-'Entries December''25'!L14&lt;1,0,'Entries December''25'!L15-'Entries December''25'!L14)</f>
        <v>132.69999999999982</v>
      </c>
      <c r="K87" s="159">
        <f>IF('Entries December''25'!L16-'Entries December''25'!L15&lt;1,0,'Entries December''25'!L16-'Entries December''25'!L15)</f>
        <v>70.769999999999527</v>
      </c>
      <c r="L87" s="159">
        <f>IF('Entries December''25'!L17-'Entries December''25'!L16&lt;1,0,'Entries December''25'!L17-'Entries December''25'!L16)</f>
        <v>210.75</v>
      </c>
      <c r="M87" s="159">
        <f>IF('Entries December''25'!L18-'Entries December''25'!L17&lt;1,0,'Entries December''25'!L18-'Entries December''25'!L17)</f>
        <v>222.57000000000062</v>
      </c>
      <c r="N87" s="119">
        <f>IF('Entries December''25'!L19-'Entries December''25'!L18&lt;1,0,'Entries December''25'!L19-'Entries December''25'!L18)</f>
        <v>0</v>
      </c>
      <c r="O87" s="119">
        <f>IF('Entries December''25'!L20-'Entries December''25'!L19&lt;1,0,'Entries December''25'!L20-'Entries December''25'!L19)</f>
        <v>305.80000000000018</v>
      </c>
      <c r="P87" s="119">
        <f>IF('Entries December''25'!L21-'Entries December''25'!L20&lt;1,0,'Entries December''25'!L21-'Entries December''25'!L20)</f>
        <v>183.07999999999993</v>
      </c>
      <c r="Q87" s="119">
        <f>IF('Entries December''25'!L22-'Entries December''25'!L21&lt;1,0,'Entries December''25'!L22-'Entries December''25'!L21)</f>
        <v>137.95000000000073</v>
      </c>
      <c r="R87" s="119">
        <f>IF('Entries December''25'!L23-'Entries December''25'!L22&lt;1,0,'Entries December''25'!L23-'Entries December''25'!L22)</f>
        <v>114.05999999999949</v>
      </c>
      <c r="S87" s="119">
        <f>IF('Entries December''25'!L24-'Entries December''25'!L23&lt;1,0,'Entries December''25'!L24-'Entries December''25'!L23)</f>
        <v>221.26000000000022</v>
      </c>
      <c r="T87" s="119">
        <f>IF('Entries December''25'!L25-'Entries December''25'!L24&lt;1,0,'Entries December''25'!L25-'Entries December''25'!L24)</f>
        <v>301.59000000000015</v>
      </c>
      <c r="U87" s="119">
        <f>IF('Entries December''25'!L26-'Entries December''25'!L25&lt;1,0,'Entries December''25'!L26-'Entries December''25'!L25)</f>
        <v>0</v>
      </c>
      <c r="V87" s="119">
        <f>IF('Entries December''25'!L27-'Entries December''25'!L26&lt;1,0,'Entries December''25'!L27-'Entries December''25'!L26)</f>
        <v>0</v>
      </c>
      <c r="W87" s="119">
        <f>IF('Entries December''25'!L28-'Entries December''25'!L27&lt;1,0,'Entries December''25'!L28-'Entries December''25'!L27)</f>
        <v>134.84999999999854</v>
      </c>
      <c r="X87" s="119">
        <f>IF('Entries December''25'!L29-'Entries December''25'!L28&lt;1,0,'Entries December''25'!L29-'Entries December''25'!L28)</f>
        <v>230.92000000000007</v>
      </c>
      <c r="Y87" s="119">
        <f>IF('Entries December''25'!L30-'Entries December''25'!L29&lt;1,0,'Entries December''25'!L30-'Entries December''25'!L29)</f>
        <v>98.890000000001237</v>
      </c>
      <c r="Z87" s="119">
        <f>IF('Entries December''25'!L31-'Entries December''25'!L30&lt;1,0,'Entries December''25'!L31-'Entries December''25'!L30)</f>
        <v>0</v>
      </c>
      <c r="AA87" s="119">
        <f>IF('Entries December''25'!L32-'Entries December''25'!L31&lt;1,0,'Entries December''25'!L32-'Entries December''25'!L31)</f>
        <v>0</v>
      </c>
      <c r="AB87" s="119">
        <f>IF('Entries December''25'!L33-'Entries December''25'!L32&lt;1,0,'Entries December''25'!L33-'Entries December''25'!L32)</f>
        <v>0</v>
      </c>
      <c r="AC87" s="119">
        <f>IF('Entries December''25'!L34-'Entries December''25'!L33&lt;1,0,'Entries December''25'!L34-'Entries December''25'!L33)</f>
        <v>0</v>
      </c>
      <c r="AD87" s="119">
        <f>IF('Entries December''25'!L35-'Entries December''25'!L34&lt;1,0,'Entries December''25'!L35-'Entries December''25'!L34)</f>
        <v>273.57999999999993</v>
      </c>
      <c r="AE87" s="119">
        <f>IF('Entries December''25'!L36-'Entries December''25'!L35&lt;1,0,'Entries December''25'!L36-'Entries December''25'!L35)</f>
        <v>190.70999999999913</v>
      </c>
      <c r="AF87" s="119">
        <f>IF('Entries December''25'!L37-'Entries December''25'!L36&lt;1,0,'Entries December''25'!L37-'Entries December''25'!L36)</f>
        <v>170.28000000000065</v>
      </c>
      <c r="AG87" s="221">
        <f>SUM($B87:AF87)</f>
        <v>4288.26</v>
      </c>
      <c r="AH87" s="221"/>
      <c r="AI87" s="272"/>
    </row>
    <row r="88" spans="1:37" ht="17.399999999999999" x14ac:dyDescent="0.3">
      <c r="A88" s="105" t="s">
        <v>206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2">
        <f>SUM(B88:AF88)</f>
        <v>0</v>
      </c>
      <c r="AH88" s="212"/>
      <c r="AI88" s="272"/>
    </row>
    <row r="89" spans="1:37" ht="17.399999999999999" x14ac:dyDescent="0.3">
      <c r="A89" s="105" t="s">
        <v>207</v>
      </c>
      <c r="B89" s="160">
        <f t="shared" ref="B89:AD89" si="67">IF(B87=0,"",B88/B87)</f>
        <v>0</v>
      </c>
      <c r="C89" s="160">
        <f t="shared" si="67"/>
        <v>0</v>
      </c>
      <c r="D89" s="160">
        <f t="shared" si="67"/>
        <v>0</v>
      </c>
      <c r="E89" s="160">
        <f t="shared" si="67"/>
        <v>0</v>
      </c>
      <c r="F89" s="160">
        <f t="shared" si="67"/>
        <v>0</v>
      </c>
      <c r="G89" s="160">
        <f t="shared" si="67"/>
        <v>0</v>
      </c>
      <c r="H89" s="160">
        <f t="shared" si="67"/>
        <v>0</v>
      </c>
      <c r="I89" s="160">
        <f>IF(I87=0,"",I88/I87)</f>
        <v>0</v>
      </c>
      <c r="J89" s="160">
        <f t="shared" si="67"/>
        <v>0</v>
      </c>
      <c r="K89" s="160">
        <f t="shared" si="67"/>
        <v>0</v>
      </c>
      <c r="L89" s="160">
        <f t="shared" si="67"/>
        <v>0</v>
      </c>
      <c r="M89" s="160">
        <f t="shared" si="67"/>
        <v>0</v>
      </c>
      <c r="N89" s="160" t="str">
        <f t="shared" si="67"/>
        <v/>
      </c>
      <c r="O89" s="160">
        <f t="shared" ref="O89:S89" si="68">IF(O87=0,"",O88/O87)</f>
        <v>0</v>
      </c>
      <c r="P89" s="160">
        <f t="shared" si="68"/>
        <v>0</v>
      </c>
      <c r="Q89" s="160">
        <f t="shared" si="68"/>
        <v>0</v>
      </c>
      <c r="R89" s="160">
        <f t="shared" si="68"/>
        <v>0</v>
      </c>
      <c r="S89" s="160">
        <f t="shared" si="68"/>
        <v>0</v>
      </c>
      <c r="T89" s="160">
        <f t="shared" si="67"/>
        <v>0</v>
      </c>
      <c r="U89" s="160" t="str">
        <f>IF(U87=0,"",U88/U87)</f>
        <v/>
      </c>
      <c r="V89" s="160" t="str">
        <f t="shared" si="67"/>
        <v/>
      </c>
      <c r="W89" s="160">
        <f t="shared" si="67"/>
        <v>0</v>
      </c>
      <c r="X89" s="160">
        <f t="shared" si="67"/>
        <v>0</v>
      </c>
      <c r="Y89" s="160">
        <f t="shared" si="67"/>
        <v>0</v>
      </c>
      <c r="Z89" s="160" t="str">
        <f t="shared" si="67"/>
        <v/>
      </c>
      <c r="AA89" s="160" t="str">
        <f t="shared" si="67"/>
        <v/>
      </c>
      <c r="AB89" s="160" t="str">
        <f t="shared" si="67"/>
        <v/>
      </c>
      <c r="AC89" s="160" t="str">
        <f t="shared" si="67"/>
        <v/>
      </c>
      <c r="AD89" s="160">
        <f t="shared" si="67"/>
        <v>0</v>
      </c>
      <c r="AE89" s="160">
        <f t="shared" ref="AE89" si="69">IF(AE87=0,"",AE88/AE87)</f>
        <v>0</v>
      </c>
      <c r="AF89" s="160">
        <f>IF(AF87=0,"",AF88/AF87)</f>
        <v>0</v>
      </c>
      <c r="AG89" s="260">
        <f>IF(AG87=0,"",AG88/AG87)</f>
        <v>0</v>
      </c>
      <c r="AH89" s="212"/>
      <c r="AI89" s="272"/>
    </row>
    <row r="90" spans="1:37" ht="17.399999999999999" x14ac:dyDescent="0.3">
      <c r="A90" s="105" t="s">
        <v>200</v>
      </c>
      <c r="B90" s="159">
        <f>IF('Entries December''25'!$AF7-'Entries December''25'!$AF6&lt;1,0,'Entries December''25'!$AF7-'Entries December''25'!$AF6)</f>
        <v>0</v>
      </c>
      <c r="C90" s="159">
        <f>IF('Entries December''25'!$AF8-'Entries December''25'!$AF7&lt;1,0,'Entries December''25'!$AF8-'Entries December''25'!$AF7)</f>
        <v>0</v>
      </c>
      <c r="D90" s="159">
        <f>IF('Entries December''25'!$AF9-'Entries December''25'!$AF8&lt;1,0,'Entries December''25'!$AF9-'Entries December''25'!$AF8)</f>
        <v>0</v>
      </c>
      <c r="E90" s="159">
        <f>IF('Entries December''25'!$AF10-'Entries December''25'!$AF9&lt;1,0,'Entries December''25'!$AF10-'Entries December''25'!$AF9)</f>
        <v>0</v>
      </c>
      <c r="F90" s="159">
        <f>IF('Entries December''25'!$AF11-'Entries December''25'!$AF10&lt;1,0,'Entries December''25'!$AF11-'Entries December''25'!$AF10)</f>
        <v>0</v>
      </c>
      <c r="G90" s="159">
        <f>IF('Entries December''25'!$AF12-'Entries December''25'!$AF11&lt;1,0,'Entries December''25'!$AF12-'Entries December''25'!$AF11)</f>
        <v>0</v>
      </c>
      <c r="H90" s="159">
        <f>IF('Entries December''25'!$AF13-'Entries December''25'!$AF12&lt;1,0,'Entries December''25'!$AF13-'Entries December''25'!$AF12)</f>
        <v>0</v>
      </c>
      <c r="I90" s="159">
        <f>IF('Entries December''25'!AF14-'Entries December''25'!AF13&lt;1,0,'Entries December''25'!AF14-'Entries December''25'!AF13)</f>
        <v>0</v>
      </c>
      <c r="J90" s="159">
        <f>IF('Entries December''25'!AF15-'Entries December''25'!AF14&lt;1,0,'Entries December''25'!AF15-'Entries December''25'!AF14)</f>
        <v>0</v>
      </c>
      <c r="K90" s="159">
        <f>IF('Entries December''25'!AF16-'Entries December''25'!AF15&lt;1,0,'Entries December''25'!AF16-'Entries December''25'!AF15)</f>
        <v>0</v>
      </c>
      <c r="L90" s="159">
        <f>IF('Entries December''25'!$AF17-'Entries December''25'!$AF16&lt;1,0,'Entries December''25'!$AF17-'Entries December''25'!$AF16)</f>
        <v>0</v>
      </c>
      <c r="M90" s="159">
        <f>IF('Entries December''25'!$AF18-'Entries December''25'!$AF17&lt;1,0,'Entries December''25'!$AF18-'Entries December''25'!$AF17)</f>
        <v>0</v>
      </c>
      <c r="N90" s="159">
        <f>IF('Entries December''25'!$AF19-'Entries December''25'!$AF18&lt;1,0,'Entries December''25'!$AF19-'Entries December''25'!$AF18)</f>
        <v>0</v>
      </c>
      <c r="O90" s="159">
        <f>IF('Entries December''25'!$AF20-'Entries December''25'!$AF19&lt;1,0,'Entries December''25'!$AF20-'Entries December''25'!$AF19)</f>
        <v>0</v>
      </c>
      <c r="P90" s="159">
        <f>IF('Entries December''25'!$AF21-'Entries December''25'!$AF20&lt;1,0,'Entries December''25'!$AF21-'Entries December''25'!$AF20)</f>
        <v>0</v>
      </c>
      <c r="Q90" s="159">
        <f>IF('Entries December''25'!$AF22-'Entries December''25'!$AF21&lt;1,0,'Entries December''25'!$AF22-'Entries December''25'!$AF21)</f>
        <v>0</v>
      </c>
      <c r="R90" s="159">
        <f>IF('Entries December''25'!$AF23-'Entries December''25'!$AF22&lt;1,0,'Entries December''25'!$AF23-'Entries December''25'!$AF22)</f>
        <v>0</v>
      </c>
      <c r="S90" s="159">
        <f>IF('Entries December''25'!$AF24-'Entries December''25'!$AF23&lt;1,0,'Entries December''25'!$AF24-'Entries December''25'!$AF23)</f>
        <v>0</v>
      </c>
      <c r="T90" s="159">
        <f>IF('Entries December''25'!$AF25-'Entries December''25'!$AF24&lt;1,0,'Entries December''25'!$AF25-'Entries December''25'!$AF24)</f>
        <v>0</v>
      </c>
      <c r="U90" s="159">
        <f>IF('Entries December''25'!$AF26-'Entries December''25'!$AF25&lt;1,0,'Entries December''25'!$AF26-'Entries December''25'!$AF25)</f>
        <v>0</v>
      </c>
      <c r="V90" s="159">
        <f>IF('Entries December''25'!$AF27-'Entries December''25'!$AF26&lt;1,0,'Entries December''25'!$AF27-'Entries December''25'!$AF26)</f>
        <v>0</v>
      </c>
      <c r="W90" s="159">
        <f>IF('Entries December''25'!$AF28-'Entries December''25'!$AF27&lt;1,0,'Entries December''25'!$AF28-'Entries December''25'!$AF27)</f>
        <v>0</v>
      </c>
      <c r="X90" s="159">
        <f>IF('Entries December''25'!$AF29-'Entries December''25'!$AF28&lt;1,0,'Entries December''25'!$AF29-'Entries December''25'!$AF28)</f>
        <v>0</v>
      </c>
      <c r="Y90" s="159">
        <f>IF('Entries December''25'!$AF30-'Entries December''25'!$AF29&lt;1,0,'Entries December''25'!$AF30-'Entries December''25'!$AF29)</f>
        <v>0</v>
      </c>
      <c r="Z90" s="159">
        <f>IF('Entries December''25'!$AF31-'Entries December''25'!$AF30&lt;1,0,'Entries December''25'!$AF31-'Entries December''25'!$AF30)</f>
        <v>0</v>
      </c>
      <c r="AA90" s="159">
        <f>IF('Entries December''25'!$AF32-'Entries December''25'!$AF31&lt;1,0,'Entries December''25'!$AF32-'Entries December''25'!$AF31)</f>
        <v>0</v>
      </c>
      <c r="AB90" s="159">
        <f>IF('Entries December''25'!$AF33-'Entries December''25'!$AF32&lt;1,0,'Entries December''25'!$AF33-'Entries December''25'!$AF32)</f>
        <v>0</v>
      </c>
      <c r="AC90" s="159">
        <f>IF('Entries December''25'!$AF34-'Entries December''25'!$AF33&lt;1,0,'Entries December''25'!$AF34-'Entries December''25'!$AF33)</f>
        <v>0</v>
      </c>
      <c r="AD90" s="159">
        <f>IF('Entries December''25'!$AF35-'Entries December''25'!$AF34&lt;1,0,'Entries December''25'!$AF35-'Entries December''25'!$AF34)</f>
        <v>0</v>
      </c>
      <c r="AE90" s="159">
        <f>IF('Entries December''25'!$AF36-'Entries December''25'!$AF35&lt;1,0,'Entries December''25'!$AF36-'Entries December''25'!$AF35)</f>
        <v>0</v>
      </c>
      <c r="AF90" s="159">
        <f>IF('Entries December''25'!$AF26-'Entries December''25'!$AF25&lt;1,0,'Entries December''25'!$AF26-'Entries December''25'!$AF25)</f>
        <v>0</v>
      </c>
      <c r="AG90" s="221">
        <f>SUM(B90:AF90)</f>
        <v>0</v>
      </c>
      <c r="AH90" s="221"/>
      <c r="AI90" s="272"/>
    </row>
    <row r="91" spans="1:37" ht="17.399999999999999" x14ac:dyDescent="0.3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2"/>
      <c r="AH91" s="212"/>
      <c r="AI91" s="272"/>
    </row>
    <row r="92" spans="1:37" ht="17.399999999999999" x14ac:dyDescent="0.3">
      <c r="A92" s="104" t="s">
        <v>162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2"/>
      <c r="AH92" s="212"/>
      <c r="AI92" s="272"/>
    </row>
    <row r="93" spans="1:37" ht="17.399999999999999" x14ac:dyDescent="0.3">
      <c r="A93" s="164" t="s">
        <v>214</v>
      </c>
      <c r="B93" s="165">
        <f>'Daily KPIs'!B12</f>
        <v>47.4</v>
      </c>
      <c r="C93" s="165">
        <f>'Daily KPIs'!C12</f>
        <v>333.6</v>
      </c>
      <c r="D93" s="165">
        <f>'Daily KPIs'!D12</f>
        <v>290.7</v>
      </c>
      <c r="E93" s="165">
        <f>'Daily KPIs'!E12</f>
        <v>242.4</v>
      </c>
      <c r="F93" s="165">
        <f>'Daily KPIs'!F12</f>
        <v>284.89999999999998</v>
      </c>
      <c r="G93" s="165">
        <f>'Daily KPIs'!G12</f>
        <v>359.3</v>
      </c>
      <c r="H93" s="165">
        <f>'Daily KPIs'!H12</f>
        <v>305.10000000000002</v>
      </c>
      <c r="I93" s="165">
        <f>'Daily KPIs'!I12</f>
        <v>355.2</v>
      </c>
      <c r="J93" s="165">
        <f>'Daily KPIs'!J12</f>
        <v>304.5</v>
      </c>
      <c r="K93" s="165">
        <f>'Daily KPIs'!K12</f>
        <v>351.9</v>
      </c>
      <c r="L93" s="165">
        <f>'Daily KPIs'!L12</f>
        <v>197.6</v>
      </c>
      <c r="M93" s="165">
        <f>'Daily KPIs'!M12</f>
        <v>282.89999999999998</v>
      </c>
      <c r="N93" s="165">
        <f>'Daily KPIs'!N12</f>
        <v>0</v>
      </c>
      <c r="O93" s="165">
        <f>'Daily KPIs'!O12</f>
        <v>0</v>
      </c>
      <c r="P93" s="165">
        <f>'Daily KPIs'!P12</f>
        <v>401.8</v>
      </c>
      <c r="Q93" s="165">
        <f>'Daily KPIs'!Q12</f>
        <v>402.7</v>
      </c>
      <c r="R93" s="165">
        <f>'Daily KPIs'!R12</f>
        <v>447.4</v>
      </c>
      <c r="S93" s="165">
        <f>'Daily KPIs'!S12</f>
        <v>0</v>
      </c>
      <c r="T93" s="165">
        <f>'Daily KPIs'!T12</f>
        <v>0</v>
      </c>
      <c r="U93" s="165">
        <f>'Daily KPIs'!U12</f>
        <v>0</v>
      </c>
      <c r="V93" s="165">
        <f>'Daily KPIs'!V12</f>
        <v>0</v>
      </c>
      <c r="W93" s="165">
        <f>'Daily KPIs'!W12</f>
        <v>0</v>
      </c>
      <c r="X93" s="165">
        <f>'Daily KPIs'!X12</f>
        <v>0</v>
      </c>
      <c r="Y93" s="165">
        <f>'Daily KPIs'!Y12</f>
        <v>155.1</v>
      </c>
      <c r="Z93" s="165">
        <f>'Daily KPIs'!Z12</f>
        <v>0</v>
      </c>
      <c r="AA93" s="165">
        <f>'Daily KPIs'!AA12</f>
        <v>0</v>
      </c>
      <c r="AB93" s="165">
        <f>'Daily KPIs'!AB12</f>
        <v>0</v>
      </c>
      <c r="AC93" s="165">
        <f>'Daily KPIs'!AC12</f>
        <v>0</v>
      </c>
      <c r="AD93" s="165">
        <f>'Daily KPIs'!AD12</f>
        <v>0</v>
      </c>
      <c r="AE93" s="165">
        <f>'Daily KPIs'!AE12</f>
        <v>0</v>
      </c>
      <c r="AF93" s="209">
        <f>'Daily KPIs'!AD12</f>
        <v>0</v>
      </c>
      <c r="AG93" s="261">
        <f>SUM(B93:AF93)</f>
        <v>4762.5</v>
      </c>
      <c r="AH93" s="262"/>
      <c r="AI93" s="290"/>
    </row>
    <row r="94" spans="1:37" ht="17.399999999999999" x14ac:dyDescent="0.3">
      <c r="A94" s="164" t="s">
        <v>215</v>
      </c>
      <c r="B94" s="166" t="str">
        <f>'Daily KPIs'!B13</f>
        <v>VM</v>
      </c>
      <c r="C94" s="166" t="str">
        <f>'Daily KPIs'!C13</f>
        <v>VM</v>
      </c>
      <c r="D94" s="166" t="str">
        <f>'Daily KPIs'!D13</f>
        <v>ST</v>
      </c>
      <c r="E94" s="166" t="str">
        <f>'Daily KPIs'!E13</f>
        <v>ST/ CB</v>
      </c>
      <c r="F94" s="166" t="str">
        <f>'Daily KPIs'!F13</f>
        <v>ST</v>
      </c>
      <c r="G94" s="166" t="str">
        <f>'Daily KPIs'!G10</f>
        <v>ST</v>
      </c>
      <c r="H94" s="166" t="str">
        <f>'Daily KPIs'!H13</f>
        <v>SM</v>
      </c>
      <c r="I94" s="166" t="str">
        <f>'Daily KPIs'!I13</f>
        <v>GU</v>
      </c>
      <c r="J94" s="166" t="str">
        <f>'Daily KPIs'!J13</f>
        <v>GU/CB</v>
      </c>
      <c r="K94" s="166" t="str">
        <f>'Daily KPIs'!K13</f>
        <v>CB/ST</v>
      </c>
      <c r="L94" s="166" t="str">
        <f>'Daily KPIs'!L13</f>
        <v>ST</v>
      </c>
      <c r="M94" s="166" t="str">
        <f>'Daily KPIs'!M13</f>
        <v>VM</v>
      </c>
      <c r="N94" s="166">
        <f>'Daily KPIs'!N13</f>
        <v>0</v>
      </c>
      <c r="O94" s="166">
        <f>'Daily KPIs'!O13</f>
        <v>0</v>
      </c>
      <c r="P94" s="166" t="str">
        <f>'Daily KPIs'!P13</f>
        <v>CB</v>
      </c>
      <c r="Q94" s="166" t="str">
        <f>'Daily KPIs'!Q13</f>
        <v>CB/ST</v>
      </c>
      <c r="R94" s="166" t="str">
        <f>'Daily KPIs'!R13</f>
        <v>ST/SM</v>
      </c>
      <c r="S94" s="166" t="str">
        <f>'Daily KPIs'!S13</f>
        <v>SM</v>
      </c>
      <c r="T94" s="166">
        <f>'Daily KPIs'!T13</f>
        <v>0</v>
      </c>
      <c r="U94" s="166">
        <f>'Daily KPIs'!U13</f>
        <v>0</v>
      </c>
      <c r="V94" s="166">
        <f>'Daily KPIs'!V13</f>
        <v>0</v>
      </c>
      <c r="W94" s="166">
        <f>'Daily KPIs'!W13</f>
        <v>0</v>
      </c>
      <c r="X94" s="166">
        <f>'Daily KPIs'!X13</f>
        <v>0</v>
      </c>
      <c r="Y94" s="166" t="str">
        <f>'Daily KPIs'!Y13</f>
        <v>CB</v>
      </c>
      <c r="Z94" s="166">
        <f>'Daily KPIs'!Z13</f>
        <v>0</v>
      </c>
      <c r="AA94" s="166">
        <f>'Daily KPIs'!AA13</f>
        <v>0</v>
      </c>
      <c r="AB94" s="166">
        <f>'Daily KPIs'!AB13</f>
        <v>0</v>
      </c>
      <c r="AC94" s="166">
        <f>'Daily KPIs'!AC13</f>
        <v>0</v>
      </c>
      <c r="AD94" s="166">
        <f>'Daily KPIs'!AD13</f>
        <v>0</v>
      </c>
      <c r="AE94" s="166" t="str">
        <f>'Daily KPIs'!AE13</f>
        <v>CB/ST</v>
      </c>
      <c r="AF94" s="210">
        <f>'Daily KPIs'!AD13</f>
        <v>0</v>
      </c>
      <c r="AG94" s="262"/>
      <c r="AH94" s="262"/>
      <c r="AI94" s="290"/>
    </row>
    <row r="95" spans="1:37" ht="17.399999999999999" x14ac:dyDescent="0.3">
      <c r="A95" s="173" t="s">
        <v>217</v>
      </c>
      <c r="B95" s="174">
        <f>'Daily KPIs'!B14</f>
        <v>1</v>
      </c>
      <c r="C95" s="174">
        <f>'Daily KPIs'!C14</f>
        <v>9</v>
      </c>
      <c r="D95" s="174">
        <f>'Daily KPIs'!D14</f>
        <v>6</v>
      </c>
      <c r="E95" s="174">
        <f>'Daily KPIs'!E14</f>
        <v>5</v>
      </c>
      <c r="F95" s="174">
        <f>'Daily KPIs'!F14</f>
        <v>6</v>
      </c>
      <c r="G95" s="174">
        <f>'Daily KPIs'!G14</f>
        <v>7</v>
      </c>
      <c r="H95" s="174">
        <f>'Daily KPIs'!H14</f>
        <v>6</v>
      </c>
      <c r="I95" s="174">
        <f>'Daily KPIs'!I14</f>
        <v>7</v>
      </c>
      <c r="J95" s="174">
        <f>'Daily KPIs'!J14</f>
        <v>6</v>
      </c>
      <c r="K95" s="174">
        <f>'Daily KPIs'!K14</f>
        <v>7</v>
      </c>
      <c r="L95" s="174">
        <f>'Daily KPIs'!L14</f>
        <v>4</v>
      </c>
      <c r="M95" s="174">
        <f>'Daily KPIs'!M14</f>
        <v>6</v>
      </c>
      <c r="N95" s="174">
        <f>'Daily KPIs'!N14</f>
        <v>0</v>
      </c>
      <c r="O95" s="174">
        <f>'Daily KPIs'!O14</f>
        <v>0</v>
      </c>
      <c r="P95" s="174">
        <f>'Daily KPIs'!P14</f>
        <v>8</v>
      </c>
      <c r="Q95" s="174">
        <f>'Daily KPIs'!Q14</f>
        <v>8</v>
      </c>
      <c r="R95" s="174">
        <f>'Daily KPIs'!R14</f>
        <v>9</v>
      </c>
      <c r="S95" s="174">
        <f>'Daily KPIs'!S14</f>
        <v>6</v>
      </c>
      <c r="T95" s="174">
        <f>'Daily KPIs'!T14</f>
        <v>0</v>
      </c>
      <c r="U95" s="174">
        <f>'Daily KPIs'!U14</f>
        <v>0</v>
      </c>
      <c r="V95" s="174">
        <f>'Daily KPIs'!V14</f>
        <v>0</v>
      </c>
      <c r="W95" s="174">
        <f>'Daily KPIs'!W14</f>
        <v>0</v>
      </c>
      <c r="X95" s="174">
        <f>'Daily KPIs'!X14</f>
        <v>0</v>
      </c>
      <c r="Y95" s="174">
        <f>'Daily KPIs'!Y14</f>
        <v>3</v>
      </c>
      <c r="Z95" s="174">
        <f>'Daily KPIs'!Z14</f>
        <v>0</v>
      </c>
      <c r="AA95" s="174">
        <f>'Daily KPIs'!AA14</f>
        <v>0</v>
      </c>
      <c r="AB95" s="174">
        <f>'Daily KPIs'!AB14</f>
        <v>0</v>
      </c>
      <c r="AC95" s="174">
        <f>'Daily KPIs'!AC14</f>
        <v>0</v>
      </c>
      <c r="AD95" s="174">
        <f>'Daily KPIs'!AD14</f>
        <v>0</v>
      </c>
      <c r="AE95" s="174">
        <f>'Daily KPIs'!AE14</f>
        <v>0</v>
      </c>
      <c r="AF95" s="207">
        <f>'Daily KPIs'!AD14</f>
        <v>0</v>
      </c>
      <c r="AG95" s="263">
        <f>SUM($B95:AF95)</f>
        <v>104</v>
      </c>
      <c r="AH95" s="263"/>
      <c r="AI95" s="291"/>
    </row>
    <row r="96" spans="1:37" ht="17.399999999999999" x14ac:dyDescent="0.3">
      <c r="A96" s="109" t="s">
        <v>149</v>
      </c>
      <c r="B96" s="110">
        <f>+'Water '!$F7</f>
        <v>151</v>
      </c>
      <c r="C96" s="110">
        <f>+'Water '!$F8</f>
        <v>137</v>
      </c>
      <c r="D96" s="110">
        <f>+'Water '!$F9</f>
        <v>218</v>
      </c>
      <c r="E96" s="110">
        <f>+'Water '!$F10</f>
        <v>241</v>
      </c>
      <c r="F96" s="110">
        <f>+'Water '!$F11</f>
        <v>247</v>
      </c>
      <c r="G96" s="110">
        <f>+'Water '!$F12</f>
        <v>174</v>
      </c>
      <c r="H96" s="110">
        <f>+'Water '!$F13</f>
        <v>163</v>
      </c>
      <c r="I96" s="110">
        <f>+'Water '!$F14</f>
        <v>292</v>
      </c>
      <c r="J96" s="110">
        <f>+'Water '!$F15</f>
        <v>199</v>
      </c>
      <c r="K96" s="110">
        <f>+'Water '!$F16</f>
        <v>291</v>
      </c>
      <c r="L96" s="110">
        <f>+'Water '!$F17</f>
        <v>267</v>
      </c>
      <c r="M96" s="110">
        <f>+'Water '!$F18</f>
        <v>183</v>
      </c>
      <c r="N96" s="110">
        <f>+'Water '!$F19</f>
        <v>153</v>
      </c>
      <c r="O96" s="110">
        <f>+'Water '!$F19</f>
        <v>153</v>
      </c>
      <c r="P96" s="110">
        <f>+'Water '!$F19</f>
        <v>153</v>
      </c>
      <c r="Q96" s="110">
        <f>+'Water '!$F19</f>
        <v>153</v>
      </c>
      <c r="R96" s="110">
        <f>+'Water '!$F19</f>
        <v>153</v>
      </c>
      <c r="S96" s="110">
        <f>+'Water '!$F19</f>
        <v>153</v>
      </c>
      <c r="T96" s="110" t="str">
        <f>+'Water '!$F25</f>
        <v>0</v>
      </c>
      <c r="U96" s="110">
        <f>+'Water '!$F26</f>
        <v>446</v>
      </c>
      <c r="V96" s="110" t="str">
        <f>+'Water '!$F27</f>
        <v>0</v>
      </c>
      <c r="W96" s="110">
        <f>+'Water '!$F28</f>
        <v>234</v>
      </c>
      <c r="X96" s="110">
        <f>+'Water '!$F29</f>
        <v>123</v>
      </c>
      <c r="Y96" s="110">
        <f>+'Water '!$F30</f>
        <v>89</v>
      </c>
      <c r="Z96" s="110" t="str">
        <f>+'Water '!$F31</f>
        <v>0</v>
      </c>
      <c r="AA96" s="110" t="str">
        <f>+'Water '!$F31</f>
        <v>0</v>
      </c>
      <c r="AB96" s="110" t="str">
        <f>+'Water '!$F31</f>
        <v>0</v>
      </c>
      <c r="AC96" s="110" t="str">
        <f>+'Water '!$F31</f>
        <v>0</v>
      </c>
      <c r="AD96" s="110" t="str">
        <f>+'Water '!$F31</f>
        <v>0</v>
      </c>
      <c r="AE96" s="110" t="str">
        <f>+'Water '!$F31</f>
        <v>0</v>
      </c>
      <c r="AF96" s="206">
        <f>+'Water '!$F35</f>
        <v>148</v>
      </c>
      <c r="AG96" s="221">
        <f>SUM($B96:AF96)</f>
        <v>4521</v>
      </c>
      <c r="AH96" s="221"/>
      <c r="AI96" s="272"/>
    </row>
    <row r="97" spans="1:35" ht="17.399999999999999" x14ac:dyDescent="0.3">
      <c r="A97" s="104" t="s">
        <v>150</v>
      </c>
      <c r="B97" s="161" t="s">
        <v>151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7"/>
      <c r="AG97" s="221">
        <f>SUM($B97:AC97)</f>
        <v>0</v>
      </c>
      <c r="AH97" s="221"/>
      <c r="AI97" s="272"/>
    </row>
    <row r="98" spans="1:35" ht="17.399999999999999" x14ac:dyDescent="0.3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7"/>
      <c r="AG98" s="212"/>
      <c r="AH98" s="212"/>
      <c r="AI98" s="272"/>
    </row>
    <row r="99" spans="1:35" ht="17.399999999999999" x14ac:dyDescent="0.3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7"/>
      <c r="AG99" s="212"/>
      <c r="AH99" s="212"/>
      <c r="AI99" s="272"/>
    </row>
    <row r="100" spans="1:35" ht="17.399999999999999" x14ac:dyDescent="0.3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7"/>
      <c r="AG100" s="212"/>
      <c r="AH100" s="212"/>
      <c r="AI100" s="272"/>
    </row>
    <row r="101" spans="1:35" ht="17.399999999999999" x14ac:dyDescent="0.3">
      <c r="A101" s="104"/>
      <c r="B101" s="159">
        <f>'Daily KPIs CO2'!B52</f>
        <v>6358</v>
      </c>
      <c r="C101" s="159">
        <f>'Daily KPIs CO2'!C52</f>
        <v>6436</v>
      </c>
      <c r="D101" s="159">
        <f>'Daily KPIs CO2'!D52</f>
        <v>7560</v>
      </c>
      <c r="E101" s="159">
        <f>'Daily KPIs CO2'!E52</f>
        <v>8026</v>
      </c>
      <c r="F101" s="159">
        <f>'Daily KPIs CO2'!F52</f>
        <v>5885</v>
      </c>
      <c r="G101" s="159">
        <f>'Daily KPIs CO2'!G52</f>
        <v>6825</v>
      </c>
      <c r="H101" s="159">
        <f>'Daily KPIs CO2'!H52</f>
        <v>7554</v>
      </c>
      <c r="I101" s="159">
        <f>'Daily KPIs CO2'!I52</f>
        <v>7330</v>
      </c>
      <c r="J101" s="159">
        <f>'Daily KPIs CO2'!J52</f>
        <v>6425</v>
      </c>
      <c r="K101" s="159">
        <f>'Daily KPIs CO2'!K52</f>
        <v>8488</v>
      </c>
      <c r="L101" s="159">
        <f>'Daily KPIs CO2'!L52</f>
        <v>6732</v>
      </c>
      <c r="M101" s="159">
        <f>'Daily KPIs CO2'!M52</f>
        <v>6620</v>
      </c>
      <c r="N101" s="159">
        <f>'Daily KPIs CO2'!N52</f>
        <v>4519</v>
      </c>
      <c r="O101" s="159">
        <f>'Daily KPIs CO2'!O52</f>
        <v>5387</v>
      </c>
      <c r="P101" s="159">
        <f>'Daily KPIs CO2'!P52</f>
        <v>6109</v>
      </c>
      <c r="Q101" s="159">
        <f>'Daily KPIs CO2'!Q52</f>
        <v>8916</v>
      </c>
      <c r="R101" s="159">
        <f>'Daily KPIs CO2'!R52</f>
        <v>6815</v>
      </c>
      <c r="S101" s="159">
        <f>'Daily KPIs CO2'!S52</f>
        <v>7445</v>
      </c>
      <c r="T101" s="159">
        <f>'Daily KPIs CO2'!T52</f>
        <v>7445</v>
      </c>
      <c r="U101" s="159">
        <f>'Daily KPIs CO2'!U52</f>
        <v>7445</v>
      </c>
      <c r="V101" s="159">
        <f>'Daily KPIs CO2'!V52</f>
        <v>7445</v>
      </c>
      <c r="W101" s="159">
        <f>'Daily KPIs CO2'!W52</f>
        <v>7445</v>
      </c>
      <c r="X101" s="159">
        <f>'Daily KPIs CO2'!X52</f>
        <v>7445</v>
      </c>
      <c r="Y101" s="159">
        <f>'Daily KPIs CO2'!Y52</f>
        <v>7445</v>
      </c>
      <c r="Z101" s="159">
        <f>'Daily KPIs CO2'!Z52</f>
        <v>7445</v>
      </c>
      <c r="AA101" s="159">
        <f>'Daily KPIs CO2'!AA52</f>
        <v>7445</v>
      </c>
      <c r="AB101" s="159">
        <f>'Daily KPIs CO2'!AB52</f>
        <v>7445</v>
      </c>
      <c r="AC101" s="159">
        <f>'Daily KPIs CO2'!AC52</f>
        <v>7445</v>
      </c>
      <c r="AD101" s="159">
        <f>'Daily KPIs CO2'!AD52</f>
        <v>7445</v>
      </c>
      <c r="AE101" s="159">
        <f>'Daily KPIs CO2'!AE52</f>
        <v>7445</v>
      </c>
      <c r="AF101" s="208">
        <f>'Daily KPIs CO2'!AF52</f>
        <v>7445</v>
      </c>
      <c r="AG101" s="264">
        <f>'Daily KPIs CO2'!AG52</f>
        <v>197880</v>
      </c>
      <c r="AH101" s="212"/>
      <c r="AI101" s="272"/>
    </row>
    <row r="102" spans="1:35" x14ac:dyDescent="0.25">
      <c r="M102" s="82"/>
    </row>
    <row r="103" spans="1:35" x14ac:dyDescent="0.25">
      <c r="M103" s="82"/>
    </row>
    <row r="104" spans="1:35" x14ac:dyDescent="0.25">
      <c r="M104" s="82"/>
    </row>
    <row r="105" spans="1:35" x14ac:dyDescent="0.25">
      <c r="M105" s="82"/>
    </row>
    <row r="106" spans="1:35" x14ac:dyDescent="0.25">
      <c r="M106" s="82"/>
    </row>
    <row r="107" spans="1:35" x14ac:dyDescent="0.25">
      <c r="M107" s="82"/>
    </row>
    <row r="108" spans="1:35" x14ac:dyDescent="0.25">
      <c r="H108" s="82" t="s">
        <v>212</v>
      </c>
      <c r="M108" s="82"/>
    </row>
    <row r="109" spans="1:35" x14ac:dyDescent="0.25">
      <c r="M109" s="82"/>
    </row>
    <row r="110" spans="1:35" x14ac:dyDescent="0.25">
      <c r="M110" s="82"/>
    </row>
    <row r="111" spans="1:35" x14ac:dyDescent="0.25">
      <c r="M111" s="82"/>
    </row>
    <row r="112" spans="1:35" x14ac:dyDescent="0.25">
      <c r="M112" s="82"/>
    </row>
    <row r="113" spans="13:13" x14ac:dyDescent="0.25">
      <c r="M113" s="82"/>
    </row>
    <row r="114" spans="13:13" x14ac:dyDescent="0.25">
      <c r="M114" s="82"/>
    </row>
    <row r="115" spans="13:13" x14ac:dyDescent="0.25">
      <c r="M115" s="82"/>
    </row>
    <row r="116" spans="13:13" x14ac:dyDescent="0.25">
      <c r="M116" s="82"/>
    </row>
    <row r="117" spans="13:13" x14ac:dyDescent="0.25">
      <c r="M117" s="82"/>
    </row>
    <row r="118" spans="13:13" x14ac:dyDescent="0.25">
      <c r="M118" s="82"/>
    </row>
    <row r="119" spans="13:13" x14ac:dyDescent="0.25">
      <c r="M119" s="82"/>
    </row>
    <row r="120" spans="13:13" x14ac:dyDescent="0.25">
      <c r="M120" s="82"/>
    </row>
    <row r="121" spans="13:13" x14ac:dyDescent="0.25">
      <c r="M121" s="82"/>
    </row>
    <row r="122" spans="13:13" x14ac:dyDescent="0.25">
      <c r="M122" s="82"/>
    </row>
    <row r="123" spans="13:13" x14ac:dyDescent="0.25">
      <c r="M123" s="82"/>
    </row>
    <row r="124" spans="13:13" x14ac:dyDescent="0.25">
      <c r="M124" s="82"/>
    </row>
    <row r="125" spans="13:13" x14ac:dyDescent="0.25">
      <c r="M125" s="82"/>
    </row>
    <row r="126" spans="13:13" x14ac:dyDescent="0.25">
      <c r="M126" s="82"/>
    </row>
    <row r="127" spans="13:13" x14ac:dyDescent="0.25">
      <c r="M127" s="82"/>
    </row>
    <row r="128" spans="13:13" x14ac:dyDescent="0.25">
      <c r="M128" s="82"/>
    </row>
    <row r="129" spans="13:13" x14ac:dyDescent="0.25">
      <c r="M129" s="82"/>
    </row>
    <row r="130" spans="13:13" x14ac:dyDescent="0.25">
      <c r="M130" s="82"/>
    </row>
    <row r="131" spans="13:13" x14ac:dyDescent="0.25">
      <c r="M131" s="82"/>
    </row>
    <row r="132" spans="13:13" x14ac:dyDescent="0.25">
      <c r="M132" s="82"/>
    </row>
    <row r="133" spans="13:13" x14ac:dyDescent="0.25">
      <c r="M133" s="82"/>
    </row>
    <row r="134" spans="13:13" x14ac:dyDescent="0.25">
      <c r="M134" s="82"/>
    </row>
    <row r="135" spans="13:13" x14ac:dyDescent="0.25">
      <c r="M135" s="82"/>
    </row>
    <row r="136" spans="13:13" x14ac:dyDescent="0.25">
      <c r="M136" s="82"/>
    </row>
    <row r="137" spans="13:13" x14ac:dyDescent="0.25">
      <c r="M137" s="82"/>
    </row>
    <row r="138" spans="13:13" x14ac:dyDescent="0.25">
      <c r="M138" s="82"/>
    </row>
    <row r="139" spans="13:13" x14ac:dyDescent="0.25">
      <c r="M139" s="82"/>
    </row>
    <row r="140" spans="13:13" x14ac:dyDescent="0.25">
      <c r="M140" s="82"/>
    </row>
    <row r="141" spans="13:13" x14ac:dyDescent="0.25">
      <c r="M141" s="82"/>
    </row>
    <row r="142" spans="13:13" x14ac:dyDescent="0.25">
      <c r="M142" s="82"/>
    </row>
    <row r="143" spans="13:13" x14ac:dyDescent="0.25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opLeftCell="A5" zoomScale="70" zoomScaleNormal="70" zoomScaleSheetLayoutView="50" workbookViewId="0">
      <pane xSplit="1" ySplit="10" topLeftCell="Z60" activePane="bottomRight" state="frozen"/>
      <selection activeCell="A5" sqref="A5"/>
      <selection pane="topRight" activeCell="B5" sqref="B5"/>
      <selection pane="bottomLeft" activeCell="A15" sqref="A15"/>
      <selection pane="bottomRight" activeCell="AG89" sqref="AG89"/>
    </sheetView>
  </sheetViews>
  <sheetFormatPr defaultColWidth="9.33203125" defaultRowHeight="24.6" outlineLevelRow="1" x14ac:dyDescent="0.4"/>
  <cols>
    <col min="1" max="1" width="65.5546875" style="501" customWidth="1"/>
    <col min="2" max="2" width="42.33203125" style="292" customWidth="1"/>
    <col min="3" max="3" width="24.109375" style="292" customWidth="1"/>
    <col min="4" max="4" width="27.33203125" style="292" customWidth="1"/>
    <col min="5" max="5" width="23.33203125" style="292" customWidth="1"/>
    <col min="6" max="6" width="30.109375" style="292" customWidth="1"/>
    <col min="7" max="7" width="36.44140625" style="292" customWidth="1"/>
    <col min="8" max="8" width="35.5546875" style="292" customWidth="1"/>
    <col min="9" max="9" width="23.6640625" style="292" customWidth="1"/>
    <col min="10" max="10" width="22.109375" style="503" customWidth="1"/>
    <col min="11" max="11" width="27.44140625" style="503" customWidth="1"/>
    <col min="12" max="12" width="23" style="503" customWidth="1"/>
    <col min="13" max="13" width="29.6640625" style="504" customWidth="1"/>
    <col min="14" max="33" width="29.6640625" style="503" customWidth="1"/>
    <col min="34" max="34" width="29.6640625" style="502" customWidth="1"/>
    <col min="35" max="35" width="24.6640625" style="502" customWidth="1"/>
    <col min="36" max="36" width="24.6640625" style="292" customWidth="1"/>
    <col min="37" max="37" width="11.6640625" style="292" customWidth="1"/>
    <col min="38" max="38" width="20.6640625" style="292" customWidth="1"/>
    <col min="39" max="40" width="9.33203125" style="292"/>
    <col min="41" max="41" width="11.33203125" style="292" bestFit="1" customWidth="1"/>
    <col min="42" max="59" width="9.33203125" style="292"/>
    <col min="60" max="16384" width="9.33203125" style="501"/>
  </cols>
  <sheetData>
    <row r="1" spans="1:149" x14ac:dyDescent="0.4">
      <c r="B1" s="502"/>
      <c r="AH1" s="292"/>
      <c r="AI1" s="292"/>
    </row>
    <row r="2" spans="1:149" x14ac:dyDescent="0.4">
      <c r="B2" s="502"/>
      <c r="AH2" s="292"/>
      <c r="AI2" s="292"/>
    </row>
    <row r="3" spans="1:149" x14ac:dyDescent="0.4">
      <c r="A3" s="505" t="s">
        <v>135</v>
      </c>
      <c r="B3" s="502"/>
      <c r="C3" s="502"/>
      <c r="AH3" s="292"/>
      <c r="AI3" s="292"/>
    </row>
    <row r="4" spans="1:149" hidden="1" x14ac:dyDescent="0.4">
      <c r="A4" s="505"/>
      <c r="M4" s="506"/>
    </row>
    <row r="5" spans="1:149" hidden="1" x14ac:dyDescent="0.4">
      <c r="B5" s="50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>
        <v>1800</v>
      </c>
      <c r="Z5" s="507"/>
      <c r="AA5" s="507"/>
      <c r="AB5" s="507"/>
      <c r="AC5" s="507"/>
      <c r="AD5" s="507"/>
      <c r="AE5" s="507"/>
      <c r="AF5" s="507"/>
      <c r="AG5" s="507"/>
      <c r="AH5" s="507"/>
      <c r="AI5" s="507"/>
      <c r="AJ5" s="507"/>
    </row>
    <row r="6" spans="1:149" x14ac:dyDescent="0.4">
      <c r="A6" s="183">
        <v>45993</v>
      </c>
      <c r="B6" s="508">
        <v>1</v>
      </c>
      <c r="C6" s="508">
        <v>2</v>
      </c>
      <c r="D6" s="508">
        <v>3</v>
      </c>
      <c r="E6" s="508">
        <v>4</v>
      </c>
      <c r="F6" s="508">
        <v>5</v>
      </c>
      <c r="G6" s="844">
        <v>6</v>
      </c>
      <c r="H6" s="844">
        <v>7</v>
      </c>
      <c r="I6" s="508">
        <v>8</v>
      </c>
      <c r="J6" s="508">
        <v>9</v>
      </c>
      <c r="K6" s="508">
        <v>10</v>
      </c>
      <c r="L6" s="508">
        <v>11</v>
      </c>
      <c r="M6" s="508">
        <v>12</v>
      </c>
      <c r="N6" s="508">
        <v>13</v>
      </c>
      <c r="O6" s="508">
        <v>14</v>
      </c>
      <c r="P6" s="508">
        <v>15</v>
      </c>
      <c r="Q6" s="508">
        <v>16</v>
      </c>
      <c r="R6" s="508">
        <v>17</v>
      </c>
      <c r="S6" s="508">
        <v>18</v>
      </c>
      <c r="T6" s="508">
        <v>19</v>
      </c>
      <c r="U6" s="508">
        <v>20</v>
      </c>
      <c r="V6" s="508">
        <v>21</v>
      </c>
      <c r="W6" s="508">
        <v>22</v>
      </c>
      <c r="X6" s="508">
        <v>23</v>
      </c>
      <c r="Y6" s="508">
        <v>24</v>
      </c>
      <c r="Z6" s="508">
        <v>25</v>
      </c>
      <c r="AA6" s="508">
        <v>26</v>
      </c>
      <c r="AB6" s="508">
        <v>27</v>
      </c>
      <c r="AC6" s="508">
        <v>28</v>
      </c>
      <c r="AD6" s="508">
        <v>29</v>
      </c>
      <c r="AE6" s="508">
        <v>30</v>
      </c>
      <c r="AF6" s="508">
        <v>31</v>
      </c>
      <c r="AG6" s="292"/>
      <c r="AI6" s="995" t="s">
        <v>220</v>
      </c>
    </row>
    <row r="7" spans="1:149" s="512" customFormat="1" x14ac:dyDescent="0.4">
      <c r="A7" s="509"/>
      <c r="B7" s="510" t="s">
        <v>97</v>
      </c>
      <c r="C7" s="510" t="s">
        <v>98</v>
      </c>
      <c r="D7" s="510" t="s">
        <v>99</v>
      </c>
      <c r="E7" s="510" t="s">
        <v>93</v>
      </c>
      <c r="F7" s="510" t="s">
        <v>94</v>
      </c>
      <c r="G7" s="845" t="s">
        <v>95</v>
      </c>
      <c r="H7" s="845" t="s">
        <v>96</v>
      </c>
      <c r="I7" s="510" t="s">
        <v>97</v>
      </c>
      <c r="J7" s="510" t="s">
        <v>98</v>
      </c>
      <c r="K7" s="510" t="s">
        <v>99</v>
      </c>
      <c r="L7" s="510" t="s">
        <v>93</v>
      </c>
      <c r="M7" s="510" t="s">
        <v>94</v>
      </c>
      <c r="N7" s="510" t="s">
        <v>95</v>
      </c>
      <c r="O7" s="510" t="s">
        <v>96</v>
      </c>
      <c r="P7" s="510" t="s">
        <v>97</v>
      </c>
      <c r="Q7" s="510" t="s">
        <v>98</v>
      </c>
      <c r="R7" s="510" t="s">
        <v>99</v>
      </c>
      <c r="S7" s="510" t="s">
        <v>93</v>
      </c>
      <c r="T7" s="510" t="s">
        <v>94</v>
      </c>
      <c r="U7" s="510" t="s">
        <v>95</v>
      </c>
      <c r="V7" s="510" t="s">
        <v>96</v>
      </c>
      <c r="W7" s="510" t="s">
        <v>97</v>
      </c>
      <c r="X7" s="510" t="s">
        <v>98</v>
      </c>
      <c r="Y7" s="510" t="s">
        <v>99</v>
      </c>
      <c r="Z7" s="510" t="s">
        <v>93</v>
      </c>
      <c r="AA7" s="510" t="s">
        <v>94</v>
      </c>
      <c r="AB7" s="510" t="s">
        <v>95</v>
      </c>
      <c r="AC7" s="510" t="s">
        <v>96</v>
      </c>
      <c r="AD7" s="510" t="s">
        <v>97</v>
      </c>
      <c r="AE7" s="510" t="s">
        <v>98</v>
      </c>
      <c r="AF7" s="510" t="s">
        <v>99</v>
      </c>
      <c r="AG7" s="511"/>
      <c r="AH7" s="511" t="s">
        <v>19</v>
      </c>
      <c r="AI7" s="995"/>
      <c r="AJ7" s="293" t="s">
        <v>233</v>
      </c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3"/>
      <c r="BC7" s="293"/>
      <c r="BD7" s="293"/>
      <c r="BE7" s="293"/>
      <c r="BF7" s="293"/>
      <c r="BG7" s="293"/>
    </row>
    <row r="8" spans="1:149" s="516" customFormat="1" x14ac:dyDescent="0.4">
      <c r="A8" s="513" t="s">
        <v>137</v>
      </c>
      <c r="B8" s="726">
        <f>3933+2963</f>
        <v>6896</v>
      </c>
      <c r="C8" s="726">
        <v>3211</v>
      </c>
      <c r="D8" s="726">
        <f>3175+2075</f>
        <v>5250</v>
      </c>
      <c r="E8" s="726">
        <f>283+3563</f>
        <v>3846</v>
      </c>
      <c r="F8" s="726">
        <f>3981</f>
        <v>3981</v>
      </c>
      <c r="G8" s="702">
        <v>4586</v>
      </c>
      <c r="H8" s="702">
        <v>5488</v>
      </c>
      <c r="I8" s="834">
        <f>1253+5446</f>
        <v>6699</v>
      </c>
      <c r="J8" s="730">
        <v>3254</v>
      </c>
      <c r="K8" s="730">
        <f>5217+1405</f>
        <v>6622</v>
      </c>
      <c r="L8" s="730">
        <f>5043</f>
        <v>5043</v>
      </c>
      <c r="M8" s="730">
        <f>615+665+2645</f>
        <v>3925</v>
      </c>
      <c r="N8" s="702">
        <v>2888</v>
      </c>
      <c r="O8" s="702">
        <f>2014+3620</f>
        <v>5634</v>
      </c>
      <c r="P8" s="726">
        <f>409+5158</f>
        <v>5567</v>
      </c>
      <c r="Q8" s="726">
        <f>2017+3480</f>
        <v>5497</v>
      </c>
      <c r="R8" s="726">
        <v>7410</v>
      </c>
      <c r="S8" s="726">
        <f>1393+1298+2736+1537</f>
        <v>6964</v>
      </c>
      <c r="T8" s="726">
        <f>1444+5817</f>
        <v>7261</v>
      </c>
      <c r="U8" s="702"/>
      <c r="V8" s="702"/>
      <c r="W8" s="726">
        <v>8227</v>
      </c>
      <c r="X8" s="726">
        <v>6843</v>
      </c>
      <c r="Y8" s="726">
        <v>4430</v>
      </c>
      <c r="Z8" s="726"/>
      <c r="AA8" s="726"/>
      <c r="AB8" s="702"/>
      <c r="AC8" s="702">
        <f>85*2.75</f>
        <v>233.75</v>
      </c>
      <c r="AD8" s="726">
        <f>1145+4510</f>
        <v>5655</v>
      </c>
      <c r="AE8" s="726">
        <f>4105+3668</f>
        <v>7773</v>
      </c>
      <c r="AF8" s="726">
        <f>4650+1873</f>
        <v>6523</v>
      </c>
      <c r="AG8" s="731"/>
      <c r="AH8" s="514">
        <f>SUM(B8:AF8)</f>
        <v>139706.75</v>
      </c>
      <c r="AI8" s="294">
        <v>141775</v>
      </c>
      <c r="AJ8" s="295">
        <f>AH8-AI8</f>
        <v>-2068.25</v>
      </c>
      <c r="AK8" s="515"/>
      <c r="AL8" s="515"/>
      <c r="AM8" s="515"/>
      <c r="AN8" s="515"/>
      <c r="AO8" s="515"/>
      <c r="AP8" s="515"/>
      <c r="AQ8" s="515"/>
      <c r="AR8" s="515"/>
      <c r="AS8" s="515"/>
      <c r="AT8" s="515"/>
      <c r="AU8" s="515"/>
      <c r="AV8" s="515"/>
      <c r="AW8" s="515"/>
      <c r="AX8" s="515"/>
      <c r="AY8" s="515"/>
      <c r="AZ8" s="515"/>
      <c r="BA8" s="515"/>
      <c r="BB8" s="515"/>
      <c r="BC8" s="515"/>
      <c r="BD8" s="515"/>
      <c r="BE8" s="515"/>
      <c r="BF8" s="515"/>
      <c r="BG8" s="515"/>
    </row>
    <row r="9" spans="1:149" x14ac:dyDescent="0.4">
      <c r="A9" s="517" t="s">
        <v>139</v>
      </c>
      <c r="B9" s="730">
        <f t="shared" ref="B9:G9" si="0">0.066*B8</f>
        <v>455.13600000000002</v>
      </c>
      <c r="C9" s="730">
        <f t="shared" si="0"/>
        <v>211.92600000000002</v>
      </c>
      <c r="D9" s="730">
        <f t="shared" si="0"/>
        <v>346.5</v>
      </c>
      <c r="E9" s="730">
        <f t="shared" si="0"/>
        <v>253.83600000000001</v>
      </c>
      <c r="F9" s="730">
        <f t="shared" si="0"/>
        <v>262.74600000000004</v>
      </c>
      <c r="G9" s="842">
        <f t="shared" si="0"/>
        <v>302.67599999999999</v>
      </c>
      <c r="H9" s="788">
        <f>0.0708*H8</f>
        <v>388.55040000000002</v>
      </c>
      <c r="I9" s="835">
        <f>0.0708*1253+0.066*5442</f>
        <v>447.88440000000003</v>
      </c>
      <c r="J9" s="766">
        <f t="shared" ref="J9:N9" si="1">0.066*J8</f>
        <v>214.76400000000001</v>
      </c>
      <c r="K9" s="766">
        <f t="shared" si="1"/>
        <v>437.05200000000002</v>
      </c>
      <c r="L9" s="730">
        <f t="shared" si="1"/>
        <v>332.83800000000002</v>
      </c>
      <c r="M9" s="730">
        <f t="shared" si="1"/>
        <v>259.05</v>
      </c>
      <c r="N9" s="842">
        <f t="shared" si="1"/>
        <v>190.608</v>
      </c>
      <c r="O9" s="842">
        <f>0.066*2013+0.0708*3620</f>
        <v>389.154</v>
      </c>
      <c r="P9" s="848">
        <f>0.0708*410+0.066*5158</f>
        <v>369.45600000000002</v>
      </c>
      <c r="Q9" s="848">
        <f>0.066*Q8</f>
        <v>362.80200000000002</v>
      </c>
      <c r="R9" s="848">
        <f>0.066*R8</f>
        <v>489.06</v>
      </c>
      <c r="S9" s="848">
        <f>0.066*S8</f>
        <v>459.62400000000002</v>
      </c>
      <c r="T9" s="848">
        <f>0.066*T8</f>
        <v>479.226</v>
      </c>
      <c r="U9" s="788"/>
      <c r="V9" s="788"/>
      <c r="W9" s="848">
        <f>0.066*W8</f>
        <v>542.98199999999997</v>
      </c>
      <c r="X9" s="848">
        <f>0.066*X8</f>
        <v>451.63800000000003</v>
      </c>
      <c r="Y9" s="848">
        <f>0.066*Y8</f>
        <v>292.38</v>
      </c>
      <c r="Z9" s="766"/>
      <c r="AA9" s="766"/>
      <c r="AB9" s="788"/>
      <c r="AC9" s="842">
        <f>0.066*AC8</f>
        <v>15.4275</v>
      </c>
      <c r="AD9" s="848">
        <f>0.066*AD8</f>
        <v>373.23</v>
      </c>
      <c r="AE9" s="848">
        <f>0.066*AE8</f>
        <v>513.01800000000003</v>
      </c>
      <c r="AF9" s="848">
        <f>0.066*AF8</f>
        <v>430.51800000000003</v>
      </c>
      <c r="AG9" s="732"/>
      <c r="AH9" s="518">
        <f>SUM($B9:AF9)</f>
        <v>9272.0823</v>
      </c>
      <c r="AI9" s="518"/>
      <c r="AO9" s="519"/>
    </row>
    <row r="10" spans="1:149" s="520" customFormat="1" x14ac:dyDescent="0.4">
      <c r="A10" s="520" t="s">
        <v>136</v>
      </c>
      <c r="B10" s="731" t="s">
        <v>302</v>
      </c>
      <c r="C10" s="735" t="s">
        <v>303</v>
      </c>
      <c r="D10" s="735" t="s">
        <v>303</v>
      </c>
      <c r="E10" s="735" t="s">
        <v>305</v>
      </c>
      <c r="F10" s="734" t="s">
        <v>304</v>
      </c>
      <c r="G10" s="829" t="s">
        <v>304</v>
      </c>
      <c r="H10" s="846" t="s">
        <v>301</v>
      </c>
      <c r="I10" s="843" t="s">
        <v>307</v>
      </c>
      <c r="J10" s="836" t="s">
        <v>303</v>
      </c>
      <c r="K10" s="735" t="s">
        <v>308</v>
      </c>
      <c r="L10" s="839" t="s">
        <v>309</v>
      </c>
      <c r="M10" s="839" t="s">
        <v>310</v>
      </c>
      <c r="N10" s="841" t="s">
        <v>311</v>
      </c>
      <c r="O10" s="841" t="s">
        <v>312</v>
      </c>
      <c r="P10" s="847" t="s">
        <v>313</v>
      </c>
      <c r="Q10" s="836" t="s">
        <v>303</v>
      </c>
      <c r="R10" s="836" t="s">
        <v>318</v>
      </c>
      <c r="S10" s="847" t="s">
        <v>320</v>
      </c>
      <c r="T10" s="847" t="s">
        <v>321</v>
      </c>
      <c r="U10" s="760"/>
      <c r="V10" s="760"/>
      <c r="W10" s="836" t="s">
        <v>303</v>
      </c>
      <c r="X10" s="733" t="s">
        <v>304</v>
      </c>
      <c r="Y10" s="855" t="s">
        <v>322</v>
      </c>
      <c r="Z10" s="759"/>
      <c r="AA10" s="759"/>
      <c r="AB10" s="762"/>
      <c r="AC10" s="831" t="s">
        <v>325</v>
      </c>
      <c r="AD10" s="855" t="s">
        <v>323</v>
      </c>
      <c r="AE10" s="847" t="s">
        <v>324</v>
      </c>
      <c r="AF10" s="731" t="s">
        <v>302</v>
      </c>
      <c r="AG10" s="733"/>
      <c r="AH10" s="521"/>
      <c r="AI10" s="521"/>
      <c r="AJ10" s="292"/>
      <c r="AK10" s="515"/>
      <c r="AL10" s="515" t="s">
        <v>58</v>
      </c>
      <c r="AM10" s="515" t="s">
        <v>58</v>
      </c>
      <c r="AN10" s="515"/>
      <c r="AO10" s="515"/>
      <c r="AP10" s="515"/>
      <c r="AQ10" s="515"/>
      <c r="AR10" s="515"/>
      <c r="AS10" s="515"/>
      <c r="AT10" s="515"/>
      <c r="AU10" s="515"/>
      <c r="AV10" s="515"/>
      <c r="AW10" s="515"/>
      <c r="AX10" s="515"/>
      <c r="AY10" s="515"/>
      <c r="AZ10" s="515"/>
      <c r="BA10" s="515"/>
      <c r="BB10" s="515"/>
      <c r="BC10" s="515"/>
      <c r="BD10" s="515"/>
      <c r="BE10" s="515"/>
      <c r="BF10" s="515"/>
      <c r="BG10" s="515"/>
    </row>
    <row r="11" spans="1:149" s="525" customFormat="1" ht="1.5" customHeight="1" x14ac:dyDescent="0.4">
      <c r="A11" s="522"/>
      <c r="B11" s="727"/>
      <c r="C11" s="727"/>
      <c r="D11" s="727"/>
      <c r="E11" s="754"/>
      <c r="F11" s="755"/>
      <c r="G11" s="830"/>
      <c r="H11" s="761"/>
      <c r="I11" s="727"/>
      <c r="J11" s="737"/>
      <c r="K11" s="727"/>
      <c r="L11" s="754"/>
      <c r="M11" s="755"/>
      <c r="N11" s="761"/>
      <c r="O11" s="703"/>
      <c r="P11" s="727"/>
      <c r="Q11" s="727"/>
      <c r="R11" s="727"/>
      <c r="S11" s="727"/>
      <c r="T11" s="737"/>
      <c r="U11" s="761"/>
      <c r="V11" s="703"/>
      <c r="W11" s="727"/>
      <c r="X11" s="758"/>
      <c r="Y11" s="727"/>
      <c r="Z11" s="727"/>
      <c r="AA11" s="727"/>
      <c r="AB11" s="703"/>
      <c r="AC11" s="703"/>
      <c r="AD11" s="727"/>
      <c r="AE11" s="727"/>
      <c r="AF11" s="727"/>
      <c r="AG11" s="738"/>
      <c r="AH11" s="523"/>
      <c r="AI11" s="523"/>
      <c r="AJ11" s="524"/>
      <c r="AK11" s="515"/>
      <c r="AL11" s="515"/>
      <c r="AM11" s="515"/>
      <c r="AN11" s="515"/>
      <c r="AO11" s="515"/>
      <c r="AP11" s="515"/>
      <c r="AQ11" s="515"/>
      <c r="AR11" s="515"/>
      <c r="AS11" s="515"/>
      <c r="AT11" s="515"/>
      <c r="AU11" s="515"/>
      <c r="AV11" s="515"/>
      <c r="AW11" s="515"/>
      <c r="AX11" s="515"/>
      <c r="AY11" s="515"/>
      <c r="AZ11" s="515"/>
      <c r="BA11" s="515"/>
      <c r="BB11" s="515"/>
      <c r="BC11" s="515"/>
      <c r="BD11" s="515"/>
      <c r="BE11" s="515"/>
      <c r="BF11" s="515"/>
      <c r="BG11" s="515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</row>
    <row r="12" spans="1:149" ht="27.75" customHeight="1" x14ac:dyDescent="0.4">
      <c r="A12" s="526" t="s">
        <v>214</v>
      </c>
      <c r="B12" s="528">
        <v>47.4</v>
      </c>
      <c r="C12" s="528">
        <v>333.6</v>
      </c>
      <c r="D12" s="528">
        <v>290.7</v>
      </c>
      <c r="E12" s="528">
        <v>242.4</v>
      </c>
      <c r="F12" s="528">
        <v>284.89999999999998</v>
      </c>
      <c r="G12" s="701">
        <v>359.3</v>
      </c>
      <c r="H12" s="701">
        <v>305.10000000000002</v>
      </c>
      <c r="I12" s="528">
        <v>355.2</v>
      </c>
      <c r="J12" s="528">
        <f>52+252.5</f>
        <v>304.5</v>
      </c>
      <c r="K12" s="528">
        <v>351.9</v>
      </c>
      <c r="L12" s="528">
        <v>197.6</v>
      </c>
      <c r="M12" s="528">
        <v>282.89999999999998</v>
      </c>
      <c r="N12" s="701"/>
      <c r="O12" s="701"/>
      <c r="P12" s="528">
        <v>401.8</v>
      </c>
      <c r="Q12" s="528">
        <v>402.7</v>
      </c>
      <c r="R12" s="528">
        <v>447.4</v>
      </c>
      <c r="S12" s="528"/>
      <c r="T12" s="528"/>
      <c r="U12" s="701"/>
      <c r="V12" s="701"/>
      <c r="W12" s="528"/>
      <c r="X12" s="528"/>
      <c r="Y12" s="528">
        <v>155.1</v>
      </c>
      <c r="Z12" s="528"/>
      <c r="AA12" s="528"/>
      <c r="AB12" s="701"/>
      <c r="AC12" s="701"/>
      <c r="AD12" s="528"/>
      <c r="AE12" s="528"/>
      <c r="AF12" s="528"/>
      <c r="AG12" s="528"/>
      <c r="AH12" s="529">
        <f>SUM(B12:AF12)</f>
        <v>4762.5</v>
      </c>
      <c r="AI12" s="530"/>
      <c r="AJ12" s="503"/>
      <c r="AL12" s="292" t="s">
        <v>231</v>
      </c>
    </row>
    <row r="13" spans="1:149" x14ac:dyDescent="0.4">
      <c r="A13" s="531" t="s">
        <v>215</v>
      </c>
      <c r="B13" s="739" t="s">
        <v>301</v>
      </c>
      <c r="C13" s="739" t="s">
        <v>301</v>
      </c>
      <c r="D13" s="736" t="s">
        <v>304</v>
      </c>
      <c r="E13" s="736" t="s">
        <v>306</v>
      </c>
      <c r="F13" s="736" t="s">
        <v>304</v>
      </c>
      <c r="G13" s="753" t="s">
        <v>317</v>
      </c>
      <c r="H13" s="852" t="s">
        <v>311</v>
      </c>
      <c r="I13" s="756" t="s">
        <v>316</v>
      </c>
      <c r="J13" s="756" t="s">
        <v>315</v>
      </c>
      <c r="K13" s="717" t="s">
        <v>314</v>
      </c>
      <c r="L13" s="736" t="s">
        <v>304</v>
      </c>
      <c r="M13" s="851" t="s">
        <v>301</v>
      </c>
      <c r="N13" s="741"/>
      <c r="O13" s="753"/>
      <c r="P13" s="717" t="s">
        <v>303</v>
      </c>
      <c r="Q13" s="717" t="s">
        <v>314</v>
      </c>
      <c r="R13" s="736" t="s">
        <v>319</v>
      </c>
      <c r="S13" s="853" t="s">
        <v>311</v>
      </c>
      <c r="T13" s="717"/>
      <c r="U13" s="741"/>
      <c r="V13" s="741"/>
      <c r="W13" s="717"/>
      <c r="X13" s="736"/>
      <c r="Y13" s="717" t="s">
        <v>303</v>
      </c>
      <c r="Z13" s="717"/>
      <c r="AA13" s="756"/>
      <c r="AB13" s="832"/>
      <c r="AC13" s="741"/>
      <c r="AD13" s="736"/>
      <c r="AE13" s="717" t="s">
        <v>314</v>
      </c>
      <c r="AF13" s="739"/>
      <c r="AG13" s="740"/>
      <c r="AH13" s="530"/>
      <c r="AI13" s="530"/>
      <c r="AJ13" s="503"/>
      <c r="AL13" s="292" t="s">
        <v>58</v>
      </c>
      <c r="AO13" s="292" t="s">
        <v>58</v>
      </c>
    </row>
    <row r="14" spans="1:149" ht="24.75" customHeight="1" x14ac:dyDescent="0.4">
      <c r="A14" s="501" t="s">
        <v>217</v>
      </c>
      <c r="B14" s="532">
        <v>1</v>
      </c>
      <c r="C14" s="532">
        <v>9</v>
      </c>
      <c r="D14" s="532">
        <v>6</v>
      </c>
      <c r="E14" s="532">
        <f>4+1</f>
        <v>5</v>
      </c>
      <c r="F14" s="532">
        <v>6</v>
      </c>
      <c r="G14" s="700">
        <f>2+1+4</f>
        <v>7</v>
      </c>
      <c r="H14" s="700">
        <v>6</v>
      </c>
      <c r="I14" s="532">
        <v>7</v>
      </c>
      <c r="J14" s="532">
        <f>1+5</f>
        <v>6</v>
      </c>
      <c r="K14" s="532">
        <f>3+4</f>
        <v>7</v>
      </c>
      <c r="L14" s="532">
        <v>4</v>
      </c>
      <c r="M14" s="532">
        <v>6</v>
      </c>
      <c r="N14" s="700"/>
      <c r="O14" s="700"/>
      <c r="P14" s="532">
        <v>8</v>
      </c>
      <c r="Q14" s="532">
        <f>4+4</f>
        <v>8</v>
      </c>
      <c r="R14" s="532">
        <f>8+1</f>
        <v>9</v>
      </c>
      <c r="S14" s="532">
        <v>6</v>
      </c>
      <c r="T14" s="856">
        <v>0</v>
      </c>
      <c r="U14" s="856">
        <v>0</v>
      </c>
      <c r="V14" s="856">
        <v>0</v>
      </c>
      <c r="W14" s="856">
        <v>0</v>
      </c>
      <c r="X14" s="532"/>
      <c r="Y14" s="532">
        <v>3</v>
      </c>
      <c r="Z14" s="532"/>
      <c r="AA14" s="532"/>
      <c r="AB14" s="700"/>
      <c r="AC14" s="700"/>
      <c r="AD14" s="532"/>
      <c r="AE14" s="532"/>
      <c r="AF14" s="532"/>
      <c r="AG14" s="532"/>
      <c r="AH14" s="502">
        <f>SUM($B14:AF14)</f>
        <v>104</v>
      </c>
    </row>
    <row r="15" spans="1:149" s="538" customFormat="1" ht="26.25" customHeight="1" x14ac:dyDescent="0.4">
      <c r="A15" s="533" t="s">
        <v>216</v>
      </c>
      <c r="B15" s="827">
        <f>IF(B$12=0,"",+(B36*10)/B$12)</f>
        <v>5.9071729957805905</v>
      </c>
      <c r="C15" s="827">
        <f>IF(C$12=0,"",+(C36*10)/C$12)</f>
        <v>4.5563549160671464</v>
      </c>
      <c r="D15" s="827">
        <f>IF(D$12=0,"",+(D36*10)/D$12)</f>
        <v>4.0247678018575854</v>
      </c>
      <c r="E15" s="827">
        <f t="shared" ref="E15:AB15" si="2">IF(E$12=0,"",+(E36*10)/E$12)</f>
        <v>5.7755775577557751</v>
      </c>
      <c r="F15" s="827">
        <f>IF(F$12=0,"",+(F36*10)/F$12)</f>
        <v>2.9133029133029136</v>
      </c>
      <c r="G15" s="827">
        <f t="shared" ref="G15:K15" si="3">IF(G$12=0,"",+(G36*10)/G$12)</f>
        <v>3.3954912329529638</v>
      </c>
      <c r="H15" s="827">
        <f t="shared" si="3"/>
        <v>3.900360537528679</v>
      </c>
      <c r="I15" s="827">
        <f>IF(I$12=0,"",+(I36*10)/I$12)</f>
        <v>2.7027027027027026</v>
      </c>
      <c r="J15" s="827">
        <f>IF(J$12=0,"",+(J36*10)/J$12)</f>
        <v>5.3858784893267648</v>
      </c>
      <c r="K15" s="827">
        <f t="shared" si="3"/>
        <v>4.6888320545609554</v>
      </c>
      <c r="L15" s="827">
        <f>IF(L$12=0,"",+(L36*10)/L$12)</f>
        <v>4.0991902834008096</v>
      </c>
      <c r="M15" s="828">
        <f t="shared" ref="M15:O15" si="4">IF(M$12=0,"",+(M36*10)/M$12)</f>
        <v>4.6659597030752922</v>
      </c>
      <c r="N15" s="828" t="str">
        <f t="shared" si="4"/>
        <v/>
      </c>
      <c r="O15" s="828" t="str">
        <f t="shared" si="4"/>
        <v/>
      </c>
      <c r="P15" s="828">
        <f>IF(P$12=0,"",+(P36*10)/P$12)</f>
        <v>3.160776505724241</v>
      </c>
      <c r="Q15" s="828">
        <f>IF(Q$12=0,"",+(Q36*10)/Q$12)</f>
        <v>4.8671467593742239</v>
      </c>
      <c r="R15" s="828">
        <f>IF(R$12=0,"",+(R36*10)/R$12)</f>
        <v>3.3974072418417527</v>
      </c>
      <c r="S15" s="828" t="str">
        <f>IF(S$12=0,"",+(S36*10)/S$12)</f>
        <v/>
      </c>
      <c r="T15" s="828" t="str">
        <f>IF(T$12=0,"",+(T36*10)/T$12)</f>
        <v/>
      </c>
      <c r="U15" s="828" t="str">
        <f t="shared" si="2"/>
        <v/>
      </c>
      <c r="V15" s="828" t="str">
        <f t="shared" si="2"/>
        <v/>
      </c>
      <c r="W15" s="828" t="str">
        <f t="shared" si="2"/>
        <v/>
      </c>
      <c r="X15" s="828" t="str">
        <f>IF(X$12=0,"",+(X36*10)/X$12)</f>
        <v/>
      </c>
      <c r="Y15" s="828">
        <f>IF(Y$12=0,"",+(Y36*10)/Y$12)</f>
        <v>0</v>
      </c>
      <c r="Z15" s="828" t="str">
        <f>IF(Z$12=0,"",+(Z36*10)/Z$12)</f>
        <v/>
      </c>
      <c r="AA15" s="828" t="str">
        <f>IF(AA$12=0,"",+(AA36*10)/AA$12)</f>
        <v/>
      </c>
      <c r="AB15" s="828" t="str">
        <f t="shared" si="2"/>
        <v/>
      </c>
      <c r="AC15" s="828" t="str">
        <f>IF(AC$12=0,"",+(AC36*10)/AC$12)</f>
        <v/>
      </c>
      <c r="AD15" s="828" t="str">
        <f>IF(AD$12=0,"",+(AD36*10)/AD$12)</f>
        <v/>
      </c>
      <c r="AE15" s="828" t="str">
        <f>IF(AE$12=0,"",+(AE36*10)/AE$12)</f>
        <v/>
      </c>
      <c r="AF15" s="828" t="str">
        <f>IF(AF$12=0,"",+(AF36*10)/AF$12)</f>
        <v/>
      </c>
      <c r="AG15" s="828"/>
      <c r="AH15" s="534">
        <f>IF(AH12=0,"",+(AH36*10)/AH12)</f>
        <v>5.3858267716535435</v>
      </c>
      <c r="AI15" s="536"/>
      <c r="AJ15" s="537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501"/>
      <c r="BI15" s="501"/>
      <c r="BJ15" s="501"/>
      <c r="BK15" s="501"/>
      <c r="BL15" s="501"/>
      <c r="BM15" s="501"/>
      <c r="BN15" s="501"/>
      <c r="BO15" s="501"/>
      <c r="BP15" s="501"/>
      <c r="BQ15" s="501"/>
      <c r="BR15" s="501"/>
      <c r="BS15" s="501"/>
      <c r="BT15" s="501"/>
      <c r="BU15" s="501"/>
      <c r="BV15" s="501"/>
      <c r="BW15" s="501"/>
      <c r="BX15" s="501"/>
      <c r="BY15" s="501"/>
      <c r="BZ15" s="501"/>
      <c r="CA15" s="501"/>
      <c r="CB15" s="501"/>
      <c r="CC15" s="501"/>
      <c r="CD15" s="501"/>
      <c r="CE15" s="501"/>
      <c r="CF15" s="501"/>
      <c r="CG15" s="501"/>
      <c r="CH15" s="501"/>
      <c r="CI15" s="501"/>
      <c r="CJ15" s="501"/>
      <c r="CK15" s="501"/>
      <c r="CL15" s="501"/>
      <c r="CM15" s="501"/>
      <c r="CN15" s="501"/>
      <c r="CO15" s="501"/>
      <c r="CP15" s="501"/>
      <c r="CQ15" s="501"/>
      <c r="CR15" s="501"/>
      <c r="CS15" s="501"/>
      <c r="CT15" s="501"/>
      <c r="CU15" s="501"/>
      <c r="CV15" s="501"/>
      <c r="CW15" s="501"/>
      <c r="CX15" s="501"/>
      <c r="CY15" s="501"/>
      <c r="CZ15" s="501"/>
      <c r="DA15" s="501"/>
      <c r="DB15" s="501"/>
      <c r="DC15" s="501"/>
      <c r="DD15" s="501"/>
      <c r="DE15" s="501"/>
      <c r="DF15" s="501"/>
      <c r="DG15" s="501"/>
      <c r="DH15" s="501"/>
      <c r="DI15" s="501"/>
      <c r="DJ15" s="501"/>
      <c r="DK15" s="501"/>
      <c r="DL15" s="501"/>
      <c r="DM15" s="501"/>
      <c r="DN15" s="501"/>
      <c r="DO15" s="501"/>
      <c r="DP15" s="501"/>
      <c r="DQ15" s="501"/>
      <c r="DR15" s="501"/>
      <c r="DS15" s="501"/>
      <c r="DT15" s="501"/>
      <c r="DU15" s="501"/>
      <c r="DV15" s="501"/>
      <c r="DW15" s="501"/>
      <c r="DX15" s="501"/>
      <c r="DY15" s="501"/>
      <c r="DZ15" s="501"/>
      <c r="EA15" s="501"/>
      <c r="EB15" s="501"/>
      <c r="EC15" s="501"/>
      <c r="ED15" s="501"/>
      <c r="EE15" s="501"/>
      <c r="EF15" s="501"/>
      <c r="EG15" s="501"/>
      <c r="EH15" s="501"/>
      <c r="EI15" s="501"/>
      <c r="EJ15" s="501"/>
      <c r="EK15" s="501"/>
      <c r="EL15" s="501"/>
      <c r="EM15" s="501"/>
      <c r="EN15" s="501"/>
      <c r="EO15" s="501"/>
      <c r="EP15" s="501"/>
      <c r="EQ15" s="501"/>
      <c r="ER15" s="501"/>
      <c r="ES15" s="501"/>
    </row>
    <row r="16" spans="1:149" ht="19.5" customHeight="1" x14ac:dyDescent="0.4">
      <c r="M16" s="503"/>
    </row>
    <row r="17" spans="1:149" ht="28.2" x14ac:dyDescent="0.4">
      <c r="A17" s="505" t="s">
        <v>222</v>
      </c>
      <c r="M17" s="503"/>
    </row>
    <row r="18" spans="1:149" s="540" customFormat="1" outlineLevel="1" x14ac:dyDescent="0.4">
      <c r="A18" s="512"/>
      <c r="B18" s="539"/>
      <c r="C18" s="539"/>
      <c r="D18" s="539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39"/>
      <c r="R18" s="539"/>
      <c r="S18" s="539"/>
      <c r="T18" s="539"/>
      <c r="U18" s="539"/>
      <c r="V18" s="539"/>
      <c r="W18" s="539"/>
      <c r="X18" s="539"/>
      <c r="Y18" s="539"/>
      <c r="Z18" s="539"/>
      <c r="AA18" s="539"/>
      <c r="AB18" s="539"/>
      <c r="AC18" s="539"/>
      <c r="AD18" s="539"/>
      <c r="AE18" s="539"/>
      <c r="AF18" s="539"/>
      <c r="AG18" s="539"/>
      <c r="AH18" s="293" t="s">
        <v>86</v>
      </c>
      <c r="AI18" s="293"/>
      <c r="AJ18" s="539"/>
      <c r="AK18" s="539"/>
      <c r="AL18" s="539"/>
      <c r="AM18" s="539"/>
      <c r="AN18" s="539" t="s">
        <v>58</v>
      </c>
      <c r="AO18" s="539"/>
      <c r="AP18" s="539"/>
      <c r="AQ18" s="539"/>
      <c r="AR18" s="539"/>
      <c r="AS18" s="539"/>
      <c r="AT18" s="539"/>
      <c r="AU18" s="539"/>
      <c r="AV18" s="539"/>
      <c r="AW18" s="539"/>
      <c r="AX18" s="539"/>
      <c r="AY18" s="539"/>
      <c r="AZ18" s="539"/>
      <c r="BA18" s="539"/>
      <c r="BB18" s="539"/>
      <c r="BC18" s="539"/>
      <c r="BD18" s="539"/>
      <c r="BE18" s="539"/>
      <c r="BF18" s="539"/>
      <c r="BG18" s="539"/>
    </row>
    <row r="19" spans="1:149" ht="45.75" customHeight="1" outlineLevel="1" x14ac:dyDescent="0.4">
      <c r="A19" s="541" t="s">
        <v>140</v>
      </c>
      <c r="B19" s="542" t="str">
        <f>+'Water '!$C7</f>
        <v>0</v>
      </c>
      <c r="C19" s="542" t="str">
        <f>+'Water '!$C8</f>
        <v>0</v>
      </c>
      <c r="D19" s="542" t="str">
        <f>+'Water '!$C9</f>
        <v>0</v>
      </c>
      <c r="E19" s="542" t="str">
        <f>+'Water '!$C10</f>
        <v>0</v>
      </c>
      <c r="F19" s="542" t="str">
        <f>+'Water '!$C11</f>
        <v>0</v>
      </c>
      <c r="G19" s="542" t="str">
        <f>+'Water '!$C12</f>
        <v>0</v>
      </c>
      <c r="H19" s="542" t="str">
        <f>+'Water '!$C13</f>
        <v>0</v>
      </c>
      <c r="I19" s="542" t="str">
        <f>+'Water '!$C14</f>
        <v>0</v>
      </c>
      <c r="J19" s="543" t="str">
        <f>+'Water '!$C15</f>
        <v>0</v>
      </c>
      <c r="K19" s="543" t="str">
        <f>+'Water '!$C16</f>
        <v>0</v>
      </c>
      <c r="L19" s="543" t="str">
        <f>+'Water '!$C17</f>
        <v>0</v>
      </c>
      <c r="M19" s="543" t="str">
        <f>+'Water '!$C18</f>
        <v>0</v>
      </c>
      <c r="N19" s="543" t="str">
        <f>+'Water '!$C18</f>
        <v>0</v>
      </c>
      <c r="O19" s="543" t="str">
        <f>+'Water '!$C20</f>
        <v>0</v>
      </c>
      <c r="P19" s="543" t="str">
        <f>+'Water '!$C21</f>
        <v>0</v>
      </c>
      <c r="Q19" s="543" t="str">
        <f>+'Water '!$C22</f>
        <v>0</v>
      </c>
      <c r="R19" s="543" t="str">
        <f>+'Water '!$C23</f>
        <v>0</v>
      </c>
      <c r="S19" s="543" t="str">
        <f>+'Water '!$C24</f>
        <v>0</v>
      </c>
      <c r="T19" s="543" t="str">
        <f>+'Water '!$C25</f>
        <v>0</v>
      </c>
      <c r="U19" s="543" t="str">
        <f>+'Water '!$C26</f>
        <v>0</v>
      </c>
      <c r="V19" s="543" t="str">
        <f>+'Water '!$C27</f>
        <v>0</v>
      </c>
      <c r="W19" s="543" t="str">
        <f>+'Water '!$C28</f>
        <v>0</v>
      </c>
      <c r="X19" s="543" t="str">
        <f>+'Water '!$C29</f>
        <v>0</v>
      </c>
      <c r="Y19" s="543" t="str">
        <f>+'Water '!$C30</f>
        <v>0</v>
      </c>
      <c r="Z19" s="543" t="str">
        <f>+'Water '!$C31</f>
        <v>0</v>
      </c>
      <c r="AA19" s="543" t="str">
        <f>+'Water '!$C32</f>
        <v>0</v>
      </c>
      <c r="AB19" s="543" t="str">
        <f>+'Water '!$C33</f>
        <v>0</v>
      </c>
      <c r="AC19" s="543" t="str">
        <f>+'Water '!$C34</f>
        <v>0</v>
      </c>
      <c r="AD19" s="543" t="str">
        <f>+'Water '!$C35</f>
        <v>0</v>
      </c>
      <c r="AE19" s="543" t="str">
        <f>+'Water '!$C36</f>
        <v>0</v>
      </c>
      <c r="AF19" s="543" t="str">
        <f>+'Water '!$C37</f>
        <v>0</v>
      </c>
      <c r="AG19" s="543"/>
      <c r="AH19" s="518">
        <f>SUM($B19:AF19)</f>
        <v>0</v>
      </c>
      <c r="AI19" s="518"/>
      <c r="AN19" s="292" t="s">
        <v>58</v>
      </c>
    </row>
    <row r="20" spans="1:149" outlineLevel="1" x14ac:dyDescent="0.4">
      <c r="A20" s="541" t="s">
        <v>125</v>
      </c>
      <c r="B20" s="542">
        <f>+'Water '!$D7</f>
        <v>98</v>
      </c>
      <c r="C20" s="542">
        <f>+'Water '!$D8</f>
        <v>238</v>
      </c>
      <c r="D20" s="542">
        <f>+'Water '!$D9</f>
        <v>139</v>
      </c>
      <c r="E20" s="542">
        <f>+'Water '!$D10</f>
        <v>204</v>
      </c>
      <c r="F20" s="542">
        <f>+'Water '!$D11</f>
        <v>157</v>
      </c>
      <c r="G20" s="542">
        <f>+'Water '!$D12</f>
        <v>200</v>
      </c>
      <c r="H20" s="542">
        <f>+'Water '!$D13</f>
        <v>83</v>
      </c>
      <c r="I20" s="542">
        <f>+'Water '!$D14</f>
        <v>43</v>
      </c>
      <c r="J20" s="543">
        <f>+'Water '!$D15</f>
        <v>96</v>
      </c>
      <c r="K20" s="543">
        <f>+'Water '!$D16</f>
        <v>267</v>
      </c>
      <c r="L20" s="543">
        <f>+'Water '!$D17</f>
        <v>201</v>
      </c>
      <c r="M20" s="543">
        <f>+'Water '!$D18</f>
        <v>62</v>
      </c>
      <c r="N20" s="543" t="str">
        <f>+'Water '!$D19</f>
        <v>0</v>
      </c>
      <c r="O20" s="543">
        <f>+'Water '!$D20</f>
        <v>88</v>
      </c>
      <c r="P20" s="543">
        <f>+'Water '!$D21</f>
        <v>191</v>
      </c>
      <c r="Q20" s="543">
        <f>+'Water '!$D22</f>
        <v>242</v>
      </c>
      <c r="R20" s="543">
        <f>+'Water '!$D23</f>
        <v>315</v>
      </c>
      <c r="S20" s="544">
        <f>+'Water '!$D24</f>
        <v>175</v>
      </c>
      <c r="T20" s="543">
        <f>+'Water '!$D25</f>
        <v>129</v>
      </c>
      <c r="U20" s="543">
        <f>+'Water '!$D26</f>
        <v>4</v>
      </c>
      <c r="V20" s="543">
        <f>+'Water '!$D27</f>
        <v>15</v>
      </c>
      <c r="W20" s="543">
        <f>+'Water '!$D28</f>
        <v>129</v>
      </c>
      <c r="X20" s="543">
        <f>+'Water '!$D29</f>
        <v>255</v>
      </c>
      <c r="Y20" s="543">
        <f>+'Water '!$D30</f>
        <v>233</v>
      </c>
      <c r="Z20" s="543" t="str">
        <f>+'Water '!$D31</f>
        <v>0</v>
      </c>
      <c r="AA20" s="543">
        <f>+'Water '!$D32</f>
        <v>28</v>
      </c>
      <c r="AB20" s="543" t="str">
        <f>+'Water '!$D33</f>
        <v>0</v>
      </c>
      <c r="AC20" s="543" t="str">
        <f>+'Water '!$D34</f>
        <v>0</v>
      </c>
      <c r="AD20" s="543">
        <f>+'Water '!$D35</f>
        <v>236</v>
      </c>
      <c r="AE20" s="543">
        <f>+'Water '!$D36</f>
        <v>182</v>
      </c>
      <c r="AF20" s="543">
        <f>+'Water '!$D37</f>
        <v>217</v>
      </c>
      <c r="AG20" s="543"/>
      <c r="AH20" s="518">
        <f>SUM($B20:AF20)</f>
        <v>4227</v>
      </c>
      <c r="AI20" s="518"/>
      <c r="AJ20" s="519"/>
    </row>
    <row r="21" spans="1:149" outlineLevel="1" x14ac:dyDescent="0.4">
      <c r="A21" s="541" t="s">
        <v>126</v>
      </c>
      <c r="B21" s="542">
        <f>+'Water '!$E7</f>
        <v>143</v>
      </c>
      <c r="C21" s="545">
        <f>+'Water '!$E8</f>
        <v>131</v>
      </c>
      <c r="D21" s="545">
        <f>+'Water '!$E9</f>
        <v>209</v>
      </c>
      <c r="E21" s="545">
        <f>+'Water '!$E10</f>
        <v>221</v>
      </c>
      <c r="F21" s="545">
        <f>+'Water '!$E11</f>
        <v>245</v>
      </c>
      <c r="G21" s="545">
        <f>+'Water '!$E12</f>
        <v>165</v>
      </c>
      <c r="H21" s="545">
        <f>+'Water '!$E13</f>
        <v>156</v>
      </c>
      <c r="I21" s="545">
        <f>+'Water '!$E14</f>
        <v>279</v>
      </c>
      <c r="J21" s="545">
        <f>+'Water '!$E15</f>
        <v>190</v>
      </c>
      <c r="K21" s="545">
        <f>+'Water '!$E16</f>
        <v>276</v>
      </c>
      <c r="L21" s="545">
        <f>+'Water '!$E17</f>
        <v>255</v>
      </c>
      <c r="M21" s="545">
        <f>+'Water '!$E18</f>
        <v>175</v>
      </c>
      <c r="N21" s="545">
        <f>+'Water '!$E19</f>
        <v>146</v>
      </c>
      <c r="O21" s="545">
        <f>+'Water '!$E20</f>
        <v>246</v>
      </c>
      <c r="P21" s="545">
        <f>+'Water '!$E21</f>
        <v>131</v>
      </c>
      <c r="Q21" s="545">
        <f>+'Water '!$E22</f>
        <v>117</v>
      </c>
      <c r="R21" s="545">
        <f>+'Water '!$E23</f>
        <v>163</v>
      </c>
      <c r="S21" s="545">
        <f>+'Water '!$E24</f>
        <v>203</v>
      </c>
      <c r="T21" s="545">
        <f>+'Water '!$E25</f>
        <v>298</v>
      </c>
      <c r="U21" s="545">
        <f>+'Water '!$E26</f>
        <v>127</v>
      </c>
      <c r="V21" s="545">
        <f>+'Water '!$E27</f>
        <v>2</v>
      </c>
      <c r="W21" s="545">
        <f>+'Water '!$E28</f>
        <v>221</v>
      </c>
      <c r="X21" s="545">
        <f>+'Water '!$E29</f>
        <v>117</v>
      </c>
      <c r="Y21" s="546">
        <f>+'Water '!$E30</f>
        <v>85</v>
      </c>
      <c r="Z21" s="545" t="str">
        <f>+'Water '!$E31</f>
        <v>0</v>
      </c>
      <c r="AA21" s="543">
        <f>+'Water '!$E32</f>
        <v>76</v>
      </c>
      <c r="AB21" s="543" t="str">
        <f>+'Water '!$E33</f>
        <v>0</v>
      </c>
      <c r="AC21" s="543" t="str">
        <f>+'Water '!$E34</f>
        <v>0</v>
      </c>
      <c r="AD21" s="543">
        <f>+'Water '!$E35</f>
        <v>191</v>
      </c>
      <c r="AE21" s="543">
        <f>+'Water '!$E36</f>
        <v>169</v>
      </c>
      <c r="AF21" s="543">
        <f>+'Water '!$E37</f>
        <v>98</v>
      </c>
      <c r="AG21" s="543"/>
      <c r="AH21" s="518">
        <f>SUM($B21:AF21)</f>
        <v>4835</v>
      </c>
      <c r="AI21" s="518"/>
    </row>
    <row r="22" spans="1:149" s="552" customFormat="1" x14ac:dyDescent="0.4">
      <c r="A22" s="547" t="s">
        <v>168</v>
      </c>
      <c r="B22" s="548">
        <f>SUM(B19:B21)</f>
        <v>241</v>
      </c>
      <c r="C22" s="548">
        <f>SUM(C19:C21)</f>
        <v>369</v>
      </c>
      <c r="D22" s="548">
        <f>SUM(D19:D21)</f>
        <v>348</v>
      </c>
      <c r="E22" s="548">
        <f>SUM(E19:E21)</f>
        <v>425</v>
      </c>
      <c r="F22" s="548">
        <f t="shared" ref="F22:AF22" si="5">SUM(F19:F21)</f>
        <v>402</v>
      </c>
      <c r="G22" s="548">
        <f t="shared" si="5"/>
        <v>365</v>
      </c>
      <c r="H22" s="548">
        <f t="shared" si="5"/>
        <v>239</v>
      </c>
      <c r="I22" s="548">
        <f>SUM(I19:I21)</f>
        <v>322</v>
      </c>
      <c r="J22" s="548">
        <f>SUM(J19:J21)</f>
        <v>286</v>
      </c>
      <c r="K22" s="548">
        <f t="shared" si="5"/>
        <v>543</v>
      </c>
      <c r="L22" s="548">
        <f>SUM(L19:L21)</f>
        <v>456</v>
      </c>
      <c r="M22" s="548">
        <f t="shared" si="5"/>
        <v>237</v>
      </c>
      <c r="N22" s="548">
        <f>SUM(N19:N21)</f>
        <v>146</v>
      </c>
      <c r="O22" s="548">
        <f t="shared" si="5"/>
        <v>334</v>
      </c>
      <c r="P22" s="548">
        <f>SUM(P19:P21)</f>
        <v>322</v>
      </c>
      <c r="Q22" s="548">
        <f t="shared" si="5"/>
        <v>359</v>
      </c>
      <c r="R22" s="548">
        <f>SUM(R19:R21)</f>
        <v>478</v>
      </c>
      <c r="S22" s="548">
        <f>SUM(S19:S21)</f>
        <v>378</v>
      </c>
      <c r="T22" s="548">
        <f t="shared" si="5"/>
        <v>427</v>
      </c>
      <c r="U22" s="548">
        <f t="shared" si="5"/>
        <v>131</v>
      </c>
      <c r="V22" s="548">
        <f>SUM(V19:V21)</f>
        <v>17</v>
      </c>
      <c r="W22" s="548">
        <f t="shared" si="5"/>
        <v>350</v>
      </c>
      <c r="X22" s="548">
        <f t="shared" si="5"/>
        <v>372</v>
      </c>
      <c r="Y22" s="548">
        <f>SUM(Y19:Y21)</f>
        <v>318</v>
      </c>
      <c r="Z22" s="548">
        <f t="shared" si="5"/>
        <v>0</v>
      </c>
      <c r="AA22" s="549">
        <f>SUM(AA19:AA21)</f>
        <v>104</v>
      </c>
      <c r="AB22" s="549">
        <f>SUM(AB19:AB21)</f>
        <v>0</v>
      </c>
      <c r="AC22" s="549">
        <f>SUM(AC19:AC21)</f>
        <v>0</v>
      </c>
      <c r="AD22" s="549">
        <f>SUM(AD19:AD21)</f>
        <v>427</v>
      </c>
      <c r="AE22" s="549">
        <f t="shared" si="5"/>
        <v>351</v>
      </c>
      <c r="AF22" s="549">
        <f t="shared" si="5"/>
        <v>315</v>
      </c>
      <c r="AG22" s="549"/>
      <c r="AH22" s="550">
        <f>SUM($B22:AF22)</f>
        <v>9062</v>
      </c>
      <c r="AI22" s="548"/>
      <c r="AJ22" s="551"/>
      <c r="AK22" s="502"/>
      <c r="AL22" s="502"/>
      <c r="AM22" s="502"/>
      <c r="AN22" s="502"/>
      <c r="AO22" s="502"/>
      <c r="AP22" s="502"/>
      <c r="AQ22" s="502"/>
      <c r="AR22" s="502"/>
      <c r="AS22" s="502"/>
      <c r="AT22" s="502"/>
      <c r="AU22" s="502"/>
      <c r="AV22" s="502"/>
      <c r="AW22" s="502"/>
      <c r="AX22" s="502"/>
      <c r="AY22" s="502"/>
      <c r="AZ22" s="502"/>
      <c r="BA22" s="502"/>
      <c r="BB22" s="502"/>
      <c r="BC22" s="502"/>
      <c r="BD22" s="502"/>
      <c r="BE22" s="502"/>
      <c r="BF22" s="502"/>
      <c r="BG22" s="502"/>
      <c r="BH22" s="505"/>
      <c r="BI22" s="505"/>
      <c r="BJ22" s="505"/>
      <c r="BK22" s="505"/>
      <c r="BL22" s="505"/>
      <c r="BM22" s="505"/>
      <c r="BN22" s="505"/>
      <c r="BO22" s="505"/>
      <c r="BP22" s="505"/>
      <c r="BQ22" s="505"/>
      <c r="BR22" s="505"/>
      <c r="BS22" s="505"/>
      <c r="BT22" s="505"/>
      <c r="BU22" s="505"/>
      <c r="BV22" s="505"/>
      <c r="BW22" s="505"/>
      <c r="BX22" s="505"/>
      <c r="BY22" s="505"/>
      <c r="BZ22" s="505"/>
      <c r="CA22" s="505"/>
      <c r="CB22" s="505"/>
      <c r="CC22" s="505"/>
      <c r="CD22" s="505"/>
      <c r="CE22" s="505"/>
      <c r="CF22" s="505"/>
      <c r="CG22" s="505"/>
      <c r="CH22" s="505"/>
      <c r="CI22" s="505"/>
      <c r="CJ22" s="505"/>
      <c r="CK22" s="505"/>
      <c r="CL22" s="505"/>
      <c r="CM22" s="505"/>
      <c r="CN22" s="505"/>
      <c r="CO22" s="505"/>
      <c r="CP22" s="505"/>
      <c r="CQ22" s="505"/>
      <c r="CR22" s="505"/>
      <c r="CS22" s="505"/>
      <c r="CT22" s="505"/>
      <c r="CU22" s="505"/>
      <c r="CV22" s="505"/>
      <c r="CW22" s="505"/>
      <c r="CX22" s="505"/>
      <c r="CY22" s="505"/>
      <c r="CZ22" s="505"/>
      <c r="DA22" s="505"/>
      <c r="DB22" s="505"/>
      <c r="DC22" s="505"/>
      <c r="DD22" s="505"/>
      <c r="DE22" s="505"/>
      <c r="DF22" s="505"/>
      <c r="DG22" s="505"/>
      <c r="DH22" s="505"/>
      <c r="DI22" s="505"/>
      <c r="DJ22" s="505"/>
      <c r="DK22" s="505"/>
      <c r="DL22" s="505"/>
      <c r="DM22" s="505"/>
      <c r="DN22" s="505"/>
      <c r="DO22" s="505"/>
      <c r="DP22" s="505"/>
      <c r="DQ22" s="505"/>
      <c r="DR22" s="505"/>
      <c r="DS22" s="505"/>
      <c r="DT22" s="505"/>
      <c r="DU22" s="505"/>
      <c r="DV22" s="505"/>
      <c r="DW22" s="505"/>
      <c r="DX22" s="505"/>
      <c r="DY22" s="505"/>
      <c r="DZ22" s="505"/>
      <c r="EA22" s="505"/>
      <c r="EB22" s="505"/>
      <c r="EC22" s="505"/>
      <c r="ED22" s="505"/>
      <c r="EE22" s="505"/>
      <c r="EF22" s="505"/>
      <c r="EG22" s="505"/>
      <c r="EH22" s="505"/>
      <c r="EI22" s="505"/>
      <c r="EJ22" s="505"/>
      <c r="EK22" s="505"/>
      <c r="EL22" s="505"/>
      <c r="EM22" s="505"/>
      <c r="EN22" s="505"/>
      <c r="EO22" s="505"/>
      <c r="EP22" s="505"/>
      <c r="EQ22" s="505"/>
      <c r="ER22" s="505"/>
      <c r="ES22" s="505"/>
    </row>
    <row r="23" spans="1:149" s="505" customFormat="1" hidden="1" x14ac:dyDescent="0.4">
      <c r="A23" s="553"/>
      <c r="B23" s="518"/>
      <c r="C23" s="518"/>
      <c r="D23" s="518"/>
      <c r="E23" s="518"/>
      <c r="F23" s="518"/>
      <c r="G23" s="518"/>
      <c r="H23" s="518"/>
      <c r="I23" s="518"/>
      <c r="J23" s="554"/>
      <c r="K23" s="554"/>
      <c r="L23" s="554"/>
      <c r="M23" s="554"/>
      <c r="N23" s="554"/>
      <c r="O23" s="554"/>
      <c r="P23" s="554"/>
      <c r="Q23" s="554"/>
      <c r="R23" s="554"/>
      <c r="S23" s="554"/>
      <c r="T23" s="554"/>
      <c r="U23" s="554"/>
      <c r="V23" s="554"/>
      <c r="W23" s="554"/>
      <c r="X23" s="554"/>
      <c r="Y23" s="554"/>
      <c r="Z23" s="554"/>
      <c r="AA23" s="554"/>
      <c r="AB23" s="554"/>
      <c r="AC23" s="554"/>
      <c r="AD23" s="554"/>
      <c r="AE23" s="554"/>
      <c r="AF23" s="554"/>
      <c r="AG23" s="554"/>
      <c r="AH23" s="518"/>
      <c r="AI23" s="518"/>
      <c r="AJ23" s="502"/>
      <c r="AK23" s="502"/>
      <c r="AL23" s="502"/>
      <c r="AM23" s="502"/>
      <c r="AN23" s="502"/>
      <c r="AO23" s="502"/>
      <c r="AP23" s="502"/>
      <c r="AQ23" s="502"/>
      <c r="AR23" s="502"/>
      <c r="AS23" s="502"/>
      <c r="AT23" s="502"/>
      <c r="AU23" s="502"/>
      <c r="AV23" s="502"/>
      <c r="AW23" s="502"/>
      <c r="AX23" s="502"/>
      <c r="AY23" s="502"/>
      <c r="AZ23" s="502"/>
      <c r="BA23" s="502"/>
      <c r="BB23" s="502"/>
      <c r="BC23" s="502"/>
      <c r="BD23" s="502"/>
      <c r="BE23" s="502"/>
      <c r="BF23" s="502"/>
      <c r="BG23" s="502"/>
    </row>
    <row r="24" spans="1:149" hidden="1" x14ac:dyDescent="0.4">
      <c r="B24" s="519"/>
      <c r="C24" s="519"/>
      <c r="D24" s="519"/>
      <c r="E24" s="519"/>
      <c r="F24" s="519"/>
      <c r="G24" s="519"/>
      <c r="H24" s="519"/>
      <c r="I24" s="519"/>
      <c r="J24" s="555"/>
      <c r="K24" s="555"/>
      <c r="L24" s="555"/>
      <c r="M24" s="555"/>
      <c r="N24" s="555"/>
      <c r="O24" s="555"/>
      <c r="P24" s="555"/>
      <c r="Q24" s="555"/>
      <c r="R24" s="555"/>
      <c r="S24" s="555"/>
      <c r="T24" s="555"/>
      <c r="U24" s="555"/>
      <c r="V24" s="555"/>
      <c r="W24" s="555"/>
      <c r="X24" s="555"/>
      <c r="Y24" s="555"/>
      <c r="Z24" s="555"/>
      <c r="AA24" s="555"/>
      <c r="AB24" s="555"/>
      <c r="AC24" s="555"/>
      <c r="AD24" s="555"/>
      <c r="AE24" s="555"/>
      <c r="AH24" s="518"/>
      <c r="AI24" s="518"/>
    </row>
    <row r="25" spans="1:149" x14ac:dyDescent="0.4">
      <c r="A25" s="541"/>
      <c r="B25" s="519"/>
      <c r="C25" s="519"/>
      <c r="D25" s="519"/>
      <c r="E25" s="519"/>
      <c r="F25" s="519"/>
      <c r="G25" s="519"/>
      <c r="H25" s="519"/>
      <c r="I25" s="519"/>
      <c r="J25" s="555"/>
      <c r="K25" s="555"/>
      <c r="L25" s="555"/>
      <c r="M25" s="555"/>
      <c r="AH25" s="518">
        <f>SUM($B25:AF25)</f>
        <v>0</v>
      </c>
      <c r="AI25" s="518"/>
    </row>
    <row r="26" spans="1:149" outlineLevel="1" x14ac:dyDescent="0.4">
      <c r="A26" s="556" t="s">
        <v>152</v>
      </c>
      <c r="B26" s="519">
        <f>0.73*(B71+B19)</f>
        <v>110.23</v>
      </c>
      <c r="C26" s="519">
        <f>0.73*(C112+C19)</f>
        <v>100.00999999999999</v>
      </c>
      <c r="D26" s="519">
        <f t="shared" ref="D26:AF26" si="6">0.73*(D71+D19)</f>
        <v>159.13999999999999</v>
      </c>
      <c r="E26" s="519">
        <f t="shared" si="6"/>
        <v>175.93</v>
      </c>
      <c r="F26" s="519">
        <f t="shared" si="6"/>
        <v>180.31</v>
      </c>
      <c r="G26" s="519">
        <f t="shared" si="6"/>
        <v>127.02</v>
      </c>
      <c r="H26" s="519">
        <f t="shared" si="6"/>
        <v>118.99</v>
      </c>
      <c r="I26" s="519">
        <f t="shared" si="6"/>
        <v>213.16</v>
      </c>
      <c r="J26" s="555">
        <f t="shared" si="6"/>
        <v>145.27000000000001</v>
      </c>
      <c r="K26" s="555">
        <f>0.73*(K71+K19)</f>
        <v>212.43</v>
      </c>
      <c r="L26" s="555">
        <f t="shared" si="6"/>
        <v>194.91</v>
      </c>
      <c r="M26" s="555">
        <f t="shared" si="6"/>
        <v>133.59</v>
      </c>
      <c r="N26" s="555">
        <f t="shared" si="6"/>
        <v>111.69</v>
      </c>
      <c r="O26" s="555">
        <f t="shared" si="6"/>
        <v>188.34</v>
      </c>
      <c r="P26" s="555">
        <f t="shared" si="6"/>
        <v>100.00999999999999</v>
      </c>
      <c r="Q26" s="555">
        <f t="shared" si="6"/>
        <v>89.06</v>
      </c>
      <c r="R26" s="555">
        <f t="shared" si="6"/>
        <v>125.56</v>
      </c>
      <c r="S26" s="555">
        <f t="shared" si="6"/>
        <v>154.03</v>
      </c>
      <c r="T26" s="555">
        <f t="shared" si="6"/>
        <v>0</v>
      </c>
      <c r="U26" s="555">
        <f t="shared" si="6"/>
        <v>325.58</v>
      </c>
      <c r="V26" s="555">
        <f t="shared" si="6"/>
        <v>0</v>
      </c>
      <c r="W26" s="555">
        <f t="shared" si="6"/>
        <v>170.82</v>
      </c>
      <c r="X26" s="555">
        <f t="shared" si="6"/>
        <v>89.789999999999992</v>
      </c>
      <c r="Y26" s="555">
        <f t="shared" si="6"/>
        <v>64.97</v>
      </c>
      <c r="Z26" s="555">
        <f t="shared" si="6"/>
        <v>0</v>
      </c>
      <c r="AA26" s="555">
        <f t="shared" si="6"/>
        <v>57.67</v>
      </c>
      <c r="AB26" s="555">
        <f t="shared" si="6"/>
        <v>0</v>
      </c>
      <c r="AC26" s="555">
        <f t="shared" si="6"/>
        <v>0</v>
      </c>
      <c r="AD26" s="555">
        <f t="shared" si="6"/>
        <v>108.03999999999999</v>
      </c>
      <c r="AE26" s="555">
        <f t="shared" si="6"/>
        <v>168.63</v>
      </c>
      <c r="AF26" s="555">
        <f t="shared" si="6"/>
        <v>540.92999999999995</v>
      </c>
      <c r="AG26" s="555"/>
      <c r="AH26" s="518">
        <f>SUM($B26:AF26)</f>
        <v>4166.1099999999997</v>
      </c>
      <c r="AI26" s="557">
        <f>AH29+AH45+AH36</f>
        <v>9591</v>
      </c>
      <c r="AK26" s="558">
        <f>(AI26*10)/AH9</f>
        <v>10.343954777019182</v>
      </c>
    </row>
    <row r="27" spans="1:149" outlineLevel="1" x14ac:dyDescent="0.4">
      <c r="E27" s="519">
        <f>0.73*(E112+E20)</f>
        <v>148.91999999999999</v>
      </c>
      <c r="M27" s="503"/>
      <c r="AI27" s="518"/>
    </row>
    <row r="28" spans="1:149" outlineLevel="1" x14ac:dyDescent="0.4">
      <c r="A28" s="556" t="s">
        <v>131</v>
      </c>
      <c r="B28" s="519" t="str">
        <f>'Water '!R7</f>
        <v>0</v>
      </c>
      <c r="C28" s="519" t="str">
        <f>'Water '!R8</f>
        <v>0</v>
      </c>
      <c r="D28" s="519" t="str">
        <f>'Water '!R9</f>
        <v>0</v>
      </c>
      <c r="E28" s="519" t="str">
        <f>'Water '!R10</f>
        <v>0</v>
      </c>
      <c r="F28" s="519" t="str">
        <f>'Water '!R11</f>
        <v>0</v>
      </c>
      <c r="G28" s="519" t="str">
        <f>'Water '!R12</f>
        <v>0</v>
      </c>
      <c r="H28" s="519" t="str">
        <f>'Water '!R13</f>
        <v>0</v>
      </c>
      <c r="I28" s="519" t="str">
        <f>'Water '!R14</f>
        <v>0</v>
      </c>
      <c r="J28" s="555" t="str">
        <f>'Water '!R15</f>
        <v>0</v>
      </c>
      <c r="K28" s="555" t="str">
        <f>'Water '!R16</f>
        <v>0</v>
      </c>
      <c r="L28" s="555" t="str">
        <f>'Water '!R17</f>
        <v>0</v>
      </c>
      <c r="M28" s="555" t="str">
        <f>'Water '!R18</f>
        <v>0</v>
      </c>
      <c r="N28" s="555" t="str">
        <f>'Water '!R19</f>
        <v>0</v>
      </c>
      <c r="O28" s="555" t="str">
        <f>'Water '!R20</f>
        <v>0</v>
      </c>
      <c r="P28" s="555" t="str">
        <f>'Water '!R21</f>
        <v>0</v>
      </c>
      <c r="Q28" s="555" t="str">
        <f>'Water '!R22</f>
        <v>0</v>
      </c>
      <c r="R28" s="555" t="str">
        <f>'Water '!R23</f>
        <v>0</v>
      </c>
      <c r="S28" s="555" t="str">
        <f>'Water '!R24</f>
        <v>0</v>
      </c>
      <c r="T28" s="555" t="str">
        <f>'Water '!R25</f>
        <v>0</v>
      </c>
      <c r="U28" s="555" t="str">
        <f>'Water '!R26</f>
        <v>0</v>
      </c>
      <c r="V28" s="555" t="str">
        <f>'Water '!R27</f>
        <v>0</v>
      </c>
      <c r="W28" s="555" t="str">
        <f>'Water '!R28</f>
        <v>0</v>
      </c>
      <c r="X28" s="555" t="str">
        <f>'Water '!R29</f>
        <v>0</v>
      </c>
      <c r="Y28" s="555" t="str">
        <f>'Water '!R30</f>
        <v>0</v>
      </c>
      <c r="Z28" s="555" t="str">
        <f>'Water '!R31</f>
        <v>0</v>
      </c>
      <c r="AA28" s="555" t="str">
        <f>'Water '!R32</f>
        <v>0</v>
      </c>
      <c r="AB28" s="555" t="str">
        <f>'Water '!R33</f>
        <v>0</v>
      </c>
      <c r="AC28" s="555" t="str">
        <f>'Water '!R32</f>
        <v>0</v>
      </c>
      <c r="AD28" s="555" t="str">
        <f>'Water '!R35</f>
        <v>0</v>
      </c>
      <c r="AE28" s="555" t="str">
        <f>'Water '!R36</f>
        <v>0</v>
      </c>
      <c r="AF28" s="555" t="str">
        <f>'Water '!R37</f>
        <v>0</v>
      </c>
      <c r="AG28" s="555"/>
      <c r="AH28" s="518">
        <f>SUM($B28:AF28)</f>
        <v>0</v>
      </c>
      <c r="AI28" s="518"/>
      <c r="AR28" s="292" t="s">
        <v>58</v>
      </c>
    </row>
    <row r="29" spans="1:149" outlineLevel="1" x14ac:dyDescent="0.4">
      <c r="A29" s="541" t="s">
        <v>166</v>
      </c>
      <c r="B29" s="542">
        <f>'Water '!H7</f>
        <v>268</v>
      </c>
      <c r="C29" s="542">
        <f>'Water '!H8</f>
        <v>165</v>
      </c>
      <c r="D29" s="542">
        <f>'Water '!H9</f>
        <v>229</v>
      </c>
      <c r="E29" s="542">
        <f>'Water '!H10</f>
        <v>226</v>
      </c>
      <c r="F29" s="542">
        <f>'Water '!H11</f>
        <v>197</v>
      </c>
      <c r="G29" s="542">
        <f>'Water '!H12</f>
        <v>207</v>
      </c>
      <c r="H29" s="542">
        <f>'Water '!H13</f>
        <v>186</v>
      </c>
      <c r="I29" s="542">
        <f>'Water '!H14</f>
        <v>251</v>
      </c>
      <c r="J29" s="543">
        <f>'Water '!H15</f>
        <v>187</v>
      </c>
      <c r="K29" s="543">
        <f>'Water '!H16</f>
        <v>333</v>
      </c>
      <c r="L29" s="543">
        <f>'Water '!H17</f>
        <v>235</v>
      </c>
      <c r="M29" s="543">
        <f>'Water '!H18</f>
        <v>201</v>
      </c>
      <c r="N29" s="543">
        <f>'Water '!H19</f>
        <v>171</v>
      </c>
      <c r="O29" s="543">
        <f>'Water '!$H20</f>
        <v>234</v>
      </c>
      <c r="P29" s="543">
        <f>'Water '!$H21</f>
        <v>256</v>
      </c>
      <c r="Q29" s="543">
        <f>'Water '!$H22</f>
        <v>286</v>
      </c>
      <c r="R29" s="543">
        <f>'Water '!$H23</f>
        <v>234</v>
      </c>
      <c r="S29" s="543">
        <f>'Water '!$H24</f>
        <v>347</v>
      </c>
      <c r="T29" s="543">
        <f>'Water '!$H25</f>
        <v>284</v>
      </c>
      <c r="U29" s="543">
        <f>'Water '!$H26</f>
        <v>69</v>
      </c>
      <c r="V29" s="543">
        <f>'Water '!$H27</f>
        <v>19</v>
      </c>
      <c r="W29" s="543">
        <f>'Water '!$H28</f>
        <v>327</v>
      </c>
      <c r="X29" s="543">
        <f>'Water '!$H29</f>
        <v>347</v>
      </c>
      <c r="Y29" s="543">
        <f>'Water '!$H30</f>
        <v>216</v>
      </c>
      <c r="Z29" s="543">
        <f>'Water '!$H31</f>
        <v>15</v>
      </c>
      <c r="AA29" s="543">
        <f>'Water '!$H32</f>
        <v>8</v>
      </c>
      <c r="AB29" s="543">
        <f>'Water '!$H33</f>
        <v>13</v>
      </c>
      <c r="AC29" s="543">
        <f>'Water '!$H34</f>
        <v>28</v>
      </c>
      <c r="AD29" s="543">
        <f>'Water '!$H35</f>
        <v>333</v>
      </c>
      <c r="AE29" s="543">
        <f>'Water '!$H36</f>
        <v>296</v>
      </c>
      <c r="AF29" s="543">
        <f>'Water '!$H37</f>
        <v>0</v>
      </c>
      <c r="AG29" s="543"/>
      <c r="AH29" s="518">
        <f>SUM($B29:AF29)</f>
        <v>6168</v>
      </c>
      <c r="AI29" s="518"/>
      <c r="AJ29" s="518"/>
    </row>
    <row r="30" spans="1:149" outlineLevel="1" x14ac:dyDescent="0.4">
      <c r="A30" s="541" t="str">
        <f t="shared" ref="A30:AF30" si="7">A36</f>
        <v>Brewhouse</v>
      </c>
      <c r="B30" s="542">
        <f t="shared" si="7"/>
        <v>28</v>
      </c>
      <c r="C30" s="542">
        <f t="shared" si="7"/>
        <v>152</v>
      </c>
      <c r="D30" s="542">
        <f t="shared" si="7"/>
        <v>117</v>
      </c>
      <c r="E30" s="542">
        <f t="shared" si="7"/>
        <v>140</v>
      </c>
      <c r="F30" s="542">
        <f t="shared" si="7"/>
        <v>83</v>
      </c>
      <c r="G30" s="542">
        <f t="shared" si="7"/>
        <v>122</v>
      </c>
      <c r="H30" s="542">
        <f>H36</f>
        <v>119</v>
      </c>
      <c r="I30" s="542">
        <f t="shared" si="7"/>
        <v>96</v>
      </c>
      <c r="J30" s="543">
        <f t="shared" si="7"/>
        <v>164</v>
      </c>
      <c r="K30" s="543">
        <f t="shared" si="7"/>
        <v>165</v>
      </c>
      <c r="L30" s="543">
        <f t="shared" si="7"/>
        <v>81</v>
      </c>
      <c r="M30" s="543">
        <f t="shared" si="7"/>
        <v>132</v>
      </c>
      <c r="N30" s="543" t="str">
        <f t="shared" si="7"/>
        <v>0</v>
      </c>
      <c r="O30" s="543">
        <f t="shared" si="7"/>
        <v>5</v>
      </c>
      <c r="P30" s="543">
        <f t="shared" si="7"/>
        <v>127</v>
      </c>
      <c r="Q30" s="543">
        <f t="shared" si="7"/>
        <v>196</v>
      </c>
      <c r="R30" s="543">
        <f t="shared" si="7"/>
        <v>152</v>
      </c>
      <c r="S30" s="543">
        <f t="shared" si="7"/>
        <v>167</v>
      </c>
      <c r="T30" s="543">
        <f t="shared" si="7"/>
        <v>11</v>
      </c>
      <c r="U30" s="543" t="str">
        <f t="shared" si="7"/>
        <v>0</v>
      </c>
      <c r="V30" s="543" t="str">
        <f t="shared" si="7"/>
        <v>0</v>
      </c>
      <c r="W30" s="543" t="str">
        <f t="shared" si="7"/>
        <v>0</v>
      </c>
      <c r="X30" s="543">
        <f t="shared" si="7"/>
        <v>31</v>
      </c>
      <c r="Y30" s="543" t="str">
        <f>Y36</f>
        <v>0</v>
      </c>
      <c r="Z30" s="543">
        <f t="shared" si="7"/>
        <v>81</v>
      </c>
      <c r="AA30" s="543" t="str">
        <f t="shared" si="7"/>
        <v>0</v>
      </c>
      <c r="AB30" s="543" t="str">
        <f t="shared" si="7"/>
        <v>0</v>
      </c>
      <c r="AC30" s="543" t="str">
        <f>AC36</f>
        <v>0</v>
      </c>
      <c r="AD30" s="543">
        <f t="shared" si="7"/>
        <v>121</v>
      </c>
      <c r="AE30" s="543">
        <f t="shared" si="7"/>
        <v>185</v>
      </c>
      <c r="AF30" s="543">
        <f t="shared" si="7"/>
        <v>90</v>
      </c>
      <c r="AG30" s="543"/>
      <c r="AH30" s="518">
        <f>AH36</f>
        <v>2565</v>
      </c>
      <c r="AI30" s="518"/>
      <c r="AJ30" s="518"/>
    </row>
    <row r="31" spans="1:149" outlineLevel="1" x14ac:dyDescent="0.4">
      <c r="A31" s="541" t="str">
        <f t="shared" ref="A31:AF31" si="8">A45</f>
        <v>Boiler Supply</v>
      </c>
      <c r="B31" s="542">
        <f t="shared" si="8"/>
        <v>60</v>
      </c>
      <c r="C31" s="542">
        <f t="shared" si="8"/>
        <v>48</v>
      </c>
      <c r="D31" s="542">
        <f t="shared" si="8"/>
        <v>77</v>
      </c>
      <c r="E31" s="542">
        <f t="shared" si="8"/>
        <v>54</v>
      </c>
      <c r="F31" s="542">
        <f t="shared" si="8"/>
        <v>48</v>
      </c>
      <c r="G31" s="542">
        <f t="shared" si="8"/>
        <v>47</v>
      </c>
      <c r="H31" s="542">
        <f t="shared" si="8"/>
        <v>33</v>
      </c>
      <c r="I31" s="542">
        <f t="shared" si="8"/>
        <v>28</v>
      </c>
      <c r="J31" s="543">
        <f>J45</f>
        <v>24</v>
      </c>
      <c r="K31" s="543">
        <f>K45</f>
        <v>32</v>
      </c>
      <c r="L31" s="543">
        <f t="shared" si="8"/>
        <v>25</v>
      </c>
      <c r="M31" s="543">
        <f>M45</f>
        <v>26</v>
      </c>
      <c r="N31" s="543">
        <f t="shared" si="8"/>
        <v>16</v>
      </c>
      <c r="O31" s="543">
        <f t="shared" si="8"/>
        <v>24</v>
      </c>
      <c r="P31" s="543">
        <f t="shared" si="8"/>
        <v>28</v>
      </c>
      <c r="Q31" s="543">
        <f t="shared" si="8"/>
        <v>27</v>
      </c>
      <c r="R31" s="543">
        <f t="shared" si="8"/>
        <v>27</v>
      </c>
      <c r="S31" s="543">
        <f t="shared" si="8"/>
        <v>27</v>
      </c>
      <c r="T31" s="543">
        <f t="shared" si="8"/>
        <v>26</v>
      </c>
      <c r="U31" s="543" t="str">
        <f t="shared" si="8"/>
        <v>0</v>
      </c>
      <c r="V31" s="543">
        <f>V45</f>
        <v>10</v>
      </c>
      <c r="W31" s="543">
        <f t="shared" si="8"/>
        <v>29</v>
      </c>
      <c r="X31" s="543">
        <f t="shared" si="8"/>
        <v>29</v>
      </c>
      <c r="Y31" s="543">
        <f t="shared" si="8"/>
        <v>21</v>
      </c>
      <c r="Z31" s="543">
        <f t="shared" si="8"/>
        <v>1</v>
      </c>
      <c r="AA31" s="543" t="str">
        <f t="shared" si="8"/>
        <v>0</v>
      </c>
      <c r="AB31" s="543" t="str">
        <f t="shared" si="8"/>
        <v>0</v>
      </c>
      <c r="AC31" s="543">
        <f t="shared" si="8"/>
        <v>10</v>
      </c>
      <c r="AD31" s="543">
        <f t="shared" si="8"/>
        <v>28</v>
      </c>
      <c r="AE31" s="543">
        <f t="shared" si="8"/>
        <v>23</v>
      </c>
      <c r="AF31" s="543">
        <f t="shared" si="8"/>
        <v>30</v>
      </c>
      <c r="AG31" s="543"/>
      <c r="AH31" s="518">
        <f>AH45</f>
        <v>858</v>
      </c>
      <c r="AI31" s="518"/>
      <c r="AJ31" s="518"/>
    </row>
    <row r="32" spans="1:149" s="564" customFormat="1" x14ac:dyDescent="0.4">
      <c r="A32" s="559" t="s">
        <v>153</v>
      </c>
      <c r="B32" s="560">
        <f>SUM(B28:B31)</f>
        <v>356</v>
      </c>
      <c r="C32" s="560">
        <f>SUM(C28:C31)</f>
        <v>365</v>
      </c>
      <c r="D32" s="560">
        <f t="shared" ref="D32:AF32" si="9">SUM(D28:D31)</f>
        <v>423</v>
      </c>
      <c r="E32" s="560">
        <f t="shared" si="9"/>
        <v>420</v>
      </c>
      <c r="F32" s="560">
        <f t="shared" si="9"/>
        <v>328</v>
      </c>
      <c r="G32" s="560">
        <f t="shared" si="9"/>
        <v>376</v>
      </c>
      <c r="H32" s="560">
        <f t="shared" si="9"/>
        <v>338</v>
      </c>
      <c r="I32" s="560">
        <f t="shared" si="9"/>
        <v>375</v>
      </c>
      <c r="J32" s="561">
        <f t="shared" si="9"/>
        <v>375</v>
      </c>
      <c r="K32" s="561">
        <f>SUM(K28:K31)</f>
        <v>530</v>
      </c>
      <c r="L32" s="561">
        <f t="shared" si="9"/>
        <v>341</v>
      </c>
      <c r="M32" s="561">
        <f t="shared" si="9"/>
        <v>359</v>
      </c>
      <c r="N32" s="561">
        <f t="shared" si="9"/>
        <v>187</v>
      </c>
      <c r="O32" s="561">
        <f t="shared" si="9"/>
        <v>263</v>
      </c>
      <c r="P32" s="561">
        <f t="shared" si="9"/>
        <v>411</v>
      </c>
      <c r="Q32" s="561">
        <f>SUM(Q28:Q31)</f>
        <v>509</v>
      </c>
      <c r="R32" s="561">
        <f t="shared" si="9"/>
        <v>413</v>
      </c>
      <c r="S32" s="561">
        <f t="shared" si="9"/>
        <v>541</v>
      </c>
      <c r="T32" s="561">
        <f t="shared" si="9"/>
        <v>321</v>
      </c>
      <c r="U32" s="561">
        <f t="shared" si="9"/>
        <v>69</v>
      </c>
      <c r="V32" s="561">
        <f t="shared" si="9"/>
        <v>29</v>
      </c>
      <c r="W32" s="560">
        <f t="shared" si="9"/>
        <v>356</v>
      </c>
      <c r="X32" s="561">
        <f t="shared" si="9"/>
        <v>407</v>
      </c>
      <c r="Y32" s="561">
        <f t="shared" si="9"/>
        <v>237</v>
      </c>
      <c r="Z32" s="561">
        <f t="shared" si="9"/>
        <v>97</v>
      </c>
      <c r="AA32" s="561">
        <f t="shared" si="9"/>
        <v>8</v>
      </c>
      <c r="AB32" s="561">
        <f t="shared" si="9"/>
        <v>13</v>
      </c>
      <c r="AC32" s="561">
        <f>SUM(AC28:AC31)</f>
        <v>38</v>
      </c>
      <c r="AD32" s="562">
        <f t="shared" si="9"/>
        <v>482</v>
      </c>
      <c r="AE32" s="561">
        <f t="shared" si="9"/>
        <v>504</v>
      </c>
      <c r="AF32" s="561">
        <f t="shared" si="9"/>
        <v>120</v>
      </c>
      <c r="AG32" s="561"/>
      <c r="AH32" s="560">
        <f>SUM($B32:AF32)</f>
        <v>9591</v>
      </c>
      <c r="AI32" s="560"/>
      <c r="AJ32" s="563"/>
      <c r="AK32" s="563"/>
      <c r="AL32" s="563"/>
      <c r="AM32" s="563"/>
      <c r="AN32" s="563"/>
      <c r="AO32" s="563"/>
      <c r="AP32" s="563"/>
      <c r="AQ32" s="563"/>
      <c r="AR32" s="563"/>
      <c r="AS32" s="563"/>
      <c r="AT32" s="563"/>
      <c r="AU32" s="563"/>
      <c r="AV32" s="563"/>
      <c r="AW32" s="563"/>
      <c r="AX32" s="563"/>
      <c r="AY32" s="563"/>
      <c r="AZ32" s="563"/>
      <c r="BA32" s="563"/>
      <c r="BB32" s="563"/>
      <c r="BC32" s="563"/>
      <c r="BD32" s="563"/>
      <c r="BE32" s="563"/>
      <c r="BF32" s="563"/>
      <c r="BG32" s="563"/>
    </row>
    <row r="33" spans="1:149" s="505" customFormat="1" x14ac:dyDescent="0.4">
      <c r="A33" s="565"/>
      <c r="B33" s="518"/>
      <c r="C33" s="518"/>
      <c r="D33" s="518"/>
      <c r="E33" s="518"/>
      <c r="F33" s="518"/>
      <c r="G33" s="518"/>
      <c r="H33" s="518"/>
      <c r="I33" s="518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54"/>
      <c r="AB33" s="554"/>
      <c r="AC33" s="554"/>
      <c r="AD33" s="554"/>
      <c r="AE33" s="554"/>
      <c r="AF33" s="554"/>
      <c r="AG33" s="554"/>
      <c r="AH33" s="518"/>
      <c r="AI33" s="518"/>
      <c r="AJ33" s="502"/>
      <c r="AK33" s="502"/>
      <c r="AL33" s="502"/>
      <c r="AM33" s="502"/>
      <c r="AN33" s="502"/>
      <c r="AO33" s="502"/>
      <c r="AP33" s="502"/>
      <c r="AQ33" s="502"/>
      <c r="AR33" s="502"/>
      <c r="AS33" s="502"/>
      <c r="AT33" s="502"/>
      <c r="AU33" s="502"/>
      <c r="AV33" s="502"/>
      <c r="AW33" s="502"/>
      <c r="AX33" s="502"/>
      <c r="AY33" s="502"/>
      <c r="AZ33" s="502"/>
      <c r="BA33" s="502"/>
      <c r="BB33" s="502"/>
      <c r="BC33" s="502"/>
      <c r="BD33" s="502"/>
      <c r="BE33" s="502"/>
      <c r="BF33" s="502"/>
      <c r="BG33" s="502"/>
    </row>
    <row r="34" spans="1:149" x14ac:dyDescent="0.4">
      <c r="A34" s="541"/>
      <c r="B34" s="566"/>
      <c r="C34" s="566"/>
      <c r="D34" s="566"/>
      <c r="E34" s="566"/>
      <c r="F34" s="566"/>
      <c r="G34" s="566"/>
      <c r="H34" s="566"/>
      <c r="I34" s="566"/>
      <c r="J34" s="527"/>
      <c r="K34" s="527"/>
      <c r="L34" s="527"/>
      <c r="M34" s="527"/>
      <c r="N34" s="527"/>
      <c r="O34" s="527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7"/>
      <c r="AB34" s="527"/>
      <c r="AC34" s="527"/>
      <c r="AD34" s="527"/>
      <c r="AE34" s="527"/>
      <c r="AF34" s="527"/>
      <c r="AG34" s="527"/>
      <c r="AH34" s="567"/>
      <c r="AI34" s="568"/>
    </row>
    <row r="35" spans="1:149" x14ac:dyDescent="0.4">
      <c r="A35" s="553" t="s">
        <v>169</v>
      </c>
      <c r="B35" s="519"/>
      <c r="C35" s="519"/>
      <c r="D35" s="519"/>
      <c r="E35" s="519"/>
      <c r="F35" s="519"/>
      <c r="G35" s="519"/>
      <c r="H35" s="519"/>
      <c r="I35" s="519"/>
      <c r="J35" s="555"/>
      <c r="K35" s="555"/>
      <c r="L35" s="555"/>
      <c r="M35" s="555"/>
      <c r="AH35" s="518"/>
      <c r="AI35" s="518"/>
    </row>
    <row r="36" spans="1:149" x14ac:dyDescent="0.4">
      <c r="A36" s="569" t="s">
        <v>74</v>
      </c>
      <c r="B36" s="570">
        <f>+'Water '!$J7</f>
        <v>28</v>
      </c>
      <c r="C36" s="570">
        <f>+'Water '!$J8</f>
        <v>152</v>
      </c>
      <c r="D36" s="570">
        <f>+'Water '!$J9</f>
        <v>117</v>
      </c>
      <c r="E36" s="570">
        <f>+'Water '!$J10</f>
        <v>140</v>
      </c>
      <c r="F36" s="570">
        <f>+'Water '!$J11</f>
        <v>83</v>
      </c>
      <c r="G36" s="570">
        <f>+'Water '!$J12</f>
        <v>122</v>
      </c>
      <c r="H36" s="542">
        <f>+'Water '!$J13</f>
        <v>119</v>
      </c>
      <c r="I36" s="570">
        <f>+'Water '!$J14</f>
        <v>96</v>
      </c>
      <c r="J36" s="570">
        <f>+'Water '!$J15</f>
        <v>164</v>
      </c>
      <c r="K36" s="570">
        <f>+'Water '!$J16</f>
        <v>165</v>
      </c>
      <c r="L36" s="542">
        <f>+'Water '!$J17</f>
        <v>81</v>
      </c>
      <c r="M36" s="570">
        <f>+'Water '!$J18</f>
        <v>132</v>
      </c>
      <c r="N36" s="570" t="str">
        <f>+'Water '!$J19</f>
        <v>0</v>
      </c>
      <c r="O36" s="570">
        <f>+'Water '!$J20</f>
        <v>5</v>
      </c>
      <c r="P36" s="542">
        <f>+'Water '!$J21</f>
        <v>127</v>
      </c>
      <c r="Q36" s="570">
        <f>+'Water '!$J22</f>
        <v>196</v>
      </c>
      <c r="R36" s="542">
        <f>+'Water '!$J23</f>
        <v>152</v>
      </c>
      <c r="S36" s="570">
        <f>+'Water '!$J24</f>
        <v>167</v>
      </c>
      <c r="T36" s="542">
        <f>+'Water '!$J25</f>
        <v>11</v>
      </c>
      <c r="U36" s="570" t="str">
        <f>+'Water '!$J26</f>
        <v>0</v>
      </c>
      <c r="V36" s="570" t="str">
        <f>+'Water '!$J27</f>
        <v>0</v>
      </c>
      <c r="W36" s="570" t="str">
        <f>+'Water '!$J28</f>
        <v>0</v>
      </c>
      <c r="X36" s="570">
        <f>+'Water '!$J29</f>
        <v>31</v>
      </c>
      <c r="Y36" s="570" t="str">
        <f>+'Water '!$J30</f>
        <v>0</v>
      </c>
      <c r="Z36" s="570">
        <f>+'Water '!$J31</f>
        <v>81</v>
      </c>
      <c r="AA36" s="570" t="str">
        <f>+'Water '!$J32</f>
        <v>0</v>
      </c>
      <c r="AB36" s="570" t="str">
        <f>+'Water '!$J33</f>
        <v>0</v>
      </c>
      <c r="AC36" s="542" t="str">
        <f>+'Water '!$J34</f>
        <v>0</v>
      </c>
      <c r="AD36" s="542">
        <f>+'Water '!$J35</f>
        <v>121</v>
      </c>
      <c r="AE36" s="542">
        <f>+'Water '!$J36</f>
        <v>185</v>
      </c>
      <c r="AF36" s="542">
        <f>+'Water '!$J37</f>
        <v>90</v>
      </c>
      <c r="AG36" s="542"/>
      <c r="AH36" s="518">
        <f>SUM($B36:AF36)</f>
        <v>2565</v>
      </c>
      <c r="AI36" s="518"/>
    </row>
    <row r="37" spans="1:149" s="538" customFormat="1" x14ac:dyDescent="0.4">
      <c r="A37" s="571" t="s">
        <v>230</v>
      </c>
      <c r="B37" s="572" t="str">
        <f>'Water '!X7</f>
        <v>0</v>
      </c>
      <c r="C37" s="572" t="str">
        <f>'Water '!X8</f>
        <v>0</v>
      </c>
      <c r="D37" s="572" t="str">
        <f>'Water '!X9</f>
        <v>0</v>
      </c>
      <c r="E37" s="572" t="str">
        <f>'Water '!X10</f>
        <v>0</v>
      </c>
      <c r="F37" s="572" t="str">
        <f>'Water '!X11</f>
        <v>0</v>
      </c>
      <c r="G37" s="572" t="str">
        <f>'Water '!X12</f>
        <v>0</v>
      </c>
      <c r="H37" s="572" t="str">
        <f>'Water '!X13</f>
        <v>0</v>
      </c>
      <c r="I37" s="572" t="str">
        <f>'Water '!X14</f>
        <v>0</v>
      </c>
      <c r="J37" s="572" t="str">
        <f>'Water '!X15</f>
        <v>0</v>
      </c>
      <c r="K37" s="572" t="str">
        <f>'Water '!X16</f>
        <v>0</v>
      </c>
      <c r="L37" s="572" t="str">
        <f>'Water '!X17</f>
        <v>0</v>
      </c>
      <c r="M37" s="572" t="str">
        <f>'Water '!X18</f>
        <v>0</v>
      </c>
      <c r="N37" s="572" t="str">
        <f>'Water '!X19</f>
        <v>0</v>
      </c>
      <c r="O37" s="572" t="str">
        <f>'Water '!X20</f>
        <v>0</v>
      </c>
      <c r="P37" s="572" t="str">
        <f>'Water '!X21</f>
        <v>0</v>
      </c>
      <c r="Q37" s="572" t="str">
        <f>'Water '!X22</f>
        <v>0</v>
      </c>
      <c r="R37" s="572" t="str">
        <f>'Water '!X23</f>
        <v>0</v>
      </c>
      <c r="S37" s="572" t="str">
        <f>'Water '!X24</f>
        <v>0</v>
      </c>
      <c r="T37" s="572" t="str">
        <f>'Water '!X25</f>
        <v>0</v>
      </c>
      <c r="U37" s="572" t="str">
        <f>'Water '!X26</f>
        <v>0</v>
      </c>
      <c r="V37" s="572" t="str">
        <f>'Water '!X27</f>
        <v>0</v>
      </c>
      <c r="W37" s="572" t="str">
        <f>'Water '!X28</f>
        <v>0</v>
      </c>
      <c r="X37" s="572" t="str">
        <f>'Water '!X29</f>
        <v>0</v>
      </c>
      <c r="Y37" s="572" t="str">
        <f>'Water '!X30</f>
        <v>0</v>
      </c>
      <c r="Z37" s="572" t="str">
        <f>'Water '!X31</f>
        <v>0</v>
      </c>
      <c r="AA37" s="572" t="str">
        <f>'Water '!X32</f>
        <v>0</v>
      </c>
      <c r="AB37" s="572" t="str">
        <f>'Water '!X33</f>
        <v>0</v>
      </c>
      <c r="AC37" s="572" t="str">
        <f>'Water '!X34</f>
        <v>0</v>
      </c>
      <c r="AD37" s="572" t="str">
        <f>'Water '!X35</f>
        <v>0</v>
      </c>
      <c r="AE37" s="572" t="str">
        <f>'Water '!X36</f>
        <v>0</v>
      </c>
      <c r="AF37" s="572" t="str">
        <f>'Water '!X37</f>
        <v>0</v>
      </c>
      <c r="AG37" s="572"/>
      <c r="AH37" s="548">
        <f>SUM($B37:AF37)</f>
        <v>0</v>
      </c>
      <c r="AI37" s="548"/>
      <c r="AJ37" s="508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501"/>
      <c r="BI37" s="501"/>
      <c r="BJ37" s="501"/>
      <c r="BK37" s="501"/>
      <c r="BL37" s="501"/>
      <c r="BM37" s="501"/>
      <c r="BN37" s="501"/>
      <c r="BO37" s="501"/>
      <c r="BP37" s="501"/>
      <c r="BQ37" s="501"/>
      <c r="BR37" s="501"/>
      <c r="BS37" s="501"/>
      <c r="BT37" s="501"/>
      <c r="BU37" s="501"/>
      <c r="BV37" s="501"/>
      <c r="BW37" s="501"/>
      <c r="BX37" s="501"/>
      <c r="BY37" s="501"/>
      <c r="BZ37" s="501"/>
      <c r="CA37" s="501"/>
      <c r="CB37" s="501"/>
      <c r="CC37" s="501"/>
      <c r="CD37" s="501"/>
      <c r="CE37" s="501"/>
      <c r="CF37" s="501"/>
      <c r="CG37" s="501"/>
      <c r="CH37" s="501"/>
      <c r="CI37" s="501"/>
      <c r="CJ37" s="501"/>
      <c r="CK37" s="501"/>
      <c r="CL37" s="501"/>
      <c r="CM37" s="501"/>
      <c r="CN37" s="501"/>
      <c r="CO37" s="501"/>
      <c r="CP37" s="501"/>
      <c r="CQ37" s="501"/>
      <c r="CR37" s="501"/>
      <c r="CS37" s="501"/>
      <c r="CT37" s="501"/>
      <c r="CU37" s="501"/>
      <c r="CV37" s="501"/>
      <c r="CW37" s="501"/>
      <c r="CX37" s="501"/>
      <c r="CY37" s="501"/>
      <c r="CZ37" s="501"/>
      <c r="DA37" s="501"/>
      <c r="DB37" s="501"/>
      <c r="DC37" s="501"/>
      <c r="DD37" s="501"/>
      <c r="DE37" s="501"/>
      <c r="DF37" s="501"/>
      <c r="DG37" s="501"/>
      <c r="DH37" s="501"/>
      <c r="DI37" s="501"/>
      <c r="DJ37" s="501"/>
      <c r="DK37" s="501"/>
      <c r="DL37" s="501"/>
      <c r="DM37" s="501"/>
      <c r="DN37" s="501"/>
      <c r="DO37" s="501"/>
      <c r="DP37" s="501"/>
      <c r="DQ37" s="501"/>
      <c r="DR37" s="501"/>
      <c r="DS37" s="501"/>
      <c r="DT37" s="501"/>
      <c r="DU37" s="501"/>
      <c r="DV37" s="501"/>
      <c r="DW37" s="501"/>
      <c r="DX37" s="501"/>
      <c r="DY37" s="501"/>
      <c r="DZ37" s="501"/>
      <c r="EA37" s="501"/>
      <c r="EB37" s="501"/>
      <c r="EC37" s="501"/>
      <c r="ED37" s="501"/>
      <c r="EE37" s="501"/>
      <c r="EF37" s="501"/>
      <c r="EG37" s="501"/>
      <c r="EH37" s="501"/>
      <c r="EI37" s="501"/>
      <c r="EJ37" s="501"/>
      <c r="EK37" s="501"/>
      <c r="EL37" s="501"/>
      <c r="EM37" s="501"/>
      <c r="EN37" s="501"/>
      <c r="EO37" s="501"/>
      <c r="EP37" s="501"/>
      <c r="EQ37" s="501"/>
      <c r="ER37" s="501"/>
      <c r="ES37" s="501"/>
    </row>
    <row r="38" spans="1:149" ht="32.25" customHeight="1" x14ac:dyDescent="0.4">
      <c r="A38" s="556" t="s">
        <v>189</v>
      </c>
      <c r="B38" s="519"/>
      <c r="C38" s="519"/>
      <c r="D38" s="519"/>
      <c r="E38" s="519"/>
      <c r="F38" s="519"/>
      <c r="G38" s="519"/>
      <c r="H38" s="519"/>
      <c r="I38" s="519"/>
      <c r="J38" s="519"/>
      <c r="K38" s="519"/>
      <c r="L38" s="519"/>
      <c r="M38" s="519"/>
      <c r="N38" s="519"/>
      <c r="O38" s="519"/>
      <c r="P38" s="519"/>
      <c r="Q38" s="519"/>
      <c r="R38" s="519"/>
      <c r="S38" s="519"/>
      <c r="T38" s="519"/>
      <c r="U38" s="519"/>
      <c r="V38" s="519"/>
      <c r="W38" s="519"/>
      <c r="X38" s="519"/>
      <c r="Y38" s="519"/>
      <c r="Z38" s="519"/>
      <c r="AA38" s="519"/>
      <c r="AB38" s="519"/>
      <c r="AC38" s="519"/>
      <c r="AD38" s="519"/>
      <c r="AE38" s="519"/>
      <c r="AF38" s="519"/>
      <c r="AG38" s="519"/>
      <c r="AH38" s="518"/>
      <c r="AI38" s="518"/>
    </row>
    <row r="39" spans="1:149" x14ac:dyDescent="0.4">
      <c r="A39" s="541" t="s">
        <v>221</v>
      </c>
      <c r="B39" s="542" t="str">
        <f>+'Water '!$K7</f>
        <v>0</v>
      </c>
      <c r="C39" s="542" t="str">
        <f>+'Water '!$K8</f>
        <v>0</v>
      </c>
      <c r="D39" s="542" t="str">
        <f>+'Water '!$K9</f>
        <v>0</v>
      </c>
      <c r="E39" s="542" t="str">
        <f>+'Water '!$K10</f>
        <v>0</v>
      </c>
      <c r="F39" s="542" t="str">
        <f>+'Water '!$K9</f>
        <v>0</v>
      </c>
      <c r="G39" s="542" t="str">
        <f>+'Water '!$K12</f>
        <v>0</v>
      </c>
      <c r="H39" s="542" t="str">
        <f>+'Water '!$K13</f>
        <v>0</v>
      </c>
      <c r="I39" s="542" t="str">
        <f>+'Water '!$K14</f>
        <v>0</v>
      </c>
      <c r="J39" s="542" t="str">
        <f>+'Water '!$K15</f>
        <v>0</v>
      </c>
      <c r="K39" s="542" t="str">
        <f>+'Water '!$K16</f>
        <v>0</v>
      </c>
      <c r="L39" s="542" t="str">
        <f>+'Water '!$K17</f>
        <v>0</v>
      </c>
      <c r="M39" s="542" t="str">
        <f>+'Water '!$K18</f>
        <v>0</v>
      </c>
      <c r="N39" s="542" t="str">
        <f>+'Water '!$K19</f>
        <v>0</v>
      </c>
      <c r="O39" s="542" t="str">
        <f>+'Water '!$K20</f>
        <v>0</v>
      </c>
      <c r="P39" s="542" t="str">
        <f>+'Water '!$K21</f>
        <v>0</v>
      </c>
      <c r="Q39" s="542" t="str">
        <f>+'Water '!$K22</f>
        <v>0</v>
      </c>
      <c r="R39" s="542" t="str">
        <f>+'Water '!$K23</f>
        <v>0</v>
      </c>
      <c r="S39" s="542" t="str">
        <f>+'Water '!$K24</f>
        <v>0</v>
      </c>
      <c r="T39" s="542" t="str">
        <f>+'Water '!$K25</f>
        <v>0</v>
      </c>
      <c r="U39" s="542" t="str">
        <f>+'Water '!$K26</f>
        <v>0</v>
      </c>
      <c r="V39" s="542" t="str">
        <f>+'Water '!$K27</f>
        <v>0</v>
      </c>
      <c r="W39" s="542" t="str">
        <f>+'Water '!$K28</f>
        <v>0</v>
      </c>
      <c r="X39" s="542" t="str">
        <f>+'Water '!$K29</f>
        <v>0</v>
      </c>
      <c r="Y39" s="542" t="str">
        <f>+'Water '!$K30</f>
        <v>0</v>
      </c>
      <c r="Z39" s="542" t="str">
        <f>+'Water '!$K31</f>
        <v>0</v>
      </c>
      <c r="AA39" s="542" t="str">
        <f>+'Water '!$K32</f>
        <v>0</v>
      </c>
      <c r="AB39" s="542" t="str">
        <f>+'Water '!$K33</f>
        <v>0</v>
      </c>
      <c r="AC39" s="542" t="str">
        <f>+'Water '!$K34</f>
        <v>0</v>
      </c>
      <c r="AD39" s="542" t="str">
        <f>+'Water '!$K35</f>
        <v>0</v>
      </c>
      <c r="AE39" s="542" t="str">
        <f>+'Water '!$K36</f>
        <v>0</v>
      </c>
      <c r="AF39" s="542" t="str">
        <f>+'Water '!$K37</f>
        <v>0</v>
      </c>
      <c r="AG39" s="542"/>
      <c r="AH39" s="518">
        <f>SUM($B39:AF39)</f>
        <v>0</v>
      </c>
      <c r="AI39" s="518"/>
      <c r="AJ39" s="518"/>
    </row>
    <row r="40" spans="1:149" s="538" customFormat="1" ht="27" customHeight="1" x14ac:dyDescent="0.4">
      <c r="A40" s="573" t="s">
        <v>174</v>
      </c>
      <c r="B40" s="572" t="str">
        <f>'Water '!L7</f>
        <v>0</v>
      </c>
      <c r="C40" s="572" t="str">
        <f>'Water '!L8</f>
        <v>0</v>
      </c>
      <c r="D40" s="572" t="str">
        <f>'Water '!L9</f>
        <v>0</v>
      </c>
      <c r="E40" s="572" t="str">
        <f>'Water '!L10</f>
        <v>0</v>
      </c>
      <c r="F40" s="572" t="str">
        <f>'Water '!L11</f>
        <v>0</v>
      </c>
      <c r="G40" s="572" t="str">
        <f>'Water '!L12</f>
        <v>0</v>
      </c>
      <c r="H40" s="572" t="str">
        <f>'Water '!L13</f>
        <v>0</v>
      </c>
      <c r="I40" s="572" t="str">
        <f>'Water '!L14</f>
        <v>0</v>
      </c>
      <c r="J40" s="572" t="str">
        <f>'Water '!L15</f>
        <v>0</v>
      </c>
      <c r="K40" s="572" t="str">
        <f>'Water '!L16</f>
        <v>0</v>
      </c>
      <c r="L40" s="572" t="str">
        <f>'Water '!L17</f>
        <v>0</v>
      </c>
      <c r="M40" s="572" t="str">
        <f>'Water '!L18</f>
        <v>0</v>
      </c>
      <c r="N40" s="572" t="str">
        <f>'Water '!L19</f>
        <v>0</v>
      </c>
      <c r="O40" s="572" t="str">
        <f>'Water '!L20</f>
        <v>0</v>
      </c>
      <c r="P40" s="572" t="str">
        <f>'Water '!L21</f>
        <v>0</v>
      </c>
      <c r="Q40" s="572" t="str">
        <f>'Water '!L22</f>
        <v>0</v>
      </c>
      <c r="R40" s="572" t="str">
        <f>'Water '!L23</f>
        <v>0</v>
      </c>
      <c r="S40" s="572" t="str">
        <f>'Water '!L24</f>
        <v>0</v>
      </c>
      <c r="T40" s="572" t="str">
        <f>'Water '!L25</f>
        <v>0</v>
      </c>
      <c r="U40" s="572" t="str">
        <f>'Water '!L26</f>
        <v>0</v>
      </c>
      <c r="V40" s="572" t="str">
        <f>'Water '!L27</f>
        <v>0</v>
      </c>
      <c r="W40" s="572" t="str">
        <f>'Water '!L28</f>
        <v>0</v>
      </c>
      <c r="X40" s="572" t="str">
        <f>'Water '!L29</f>
        <v>0</v>
      </c>
      <c r="Y40" s="572" t="str">
        <f>'Water '!L30</f>
        <v>0</v>
      </c>
      <c r="Z40" s="572" t="str">
        <f>'Water '!L31</f>
        <v>0</v>
      </c>
      <c r="AA40" s="572" t="str">
        <f>'Water '!L32</f>
        <v>0</v>
      </c>
      <c r="AB40" s="572" t="str">
        <f>'Water '!L33</f>
        <v>0</v>
      </c>
      <c r="AC40" s="572" t="str">
        <f>'Water '!L34</f>
        <v>0</v>
      </c>
      <c r="AD40" s="572" t="str">
        <f>'Water '!L35</f>
        <v>0</v>
      </c>
      <c r="AE40" s="572" t="str">
        <f>'Water '!L36</f>
        <v>0</v>
      </c>
      <c r="AF40" s="572" t="str">
        <f>'Water '!L37</f>
        <v>0</v>
      </c>
      <c r="AG40" s="572"/>
      <c r="AH40" s="548">
        <f>SUM($B40:AF40)</f>
        <v>0</v>
      </c>
      <c r="AI40" s="548"/>
      <c r="AJ40" s="548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292"/>
      <c r="BF40" s="292"/>
      <c r="BG40" s="292"/>
      <c r="BH40" s="501"/>
      <c r="BI40" s="501"/>
      <c r="BJ40" s="501"/>
      <c r="BK40" s="501"/>
      <c r="BL40" s="501"/>
      <c r="BM40" s="501"/>
      <c r="BN40" s="501"/>
      <c r="BO40" s="501"/>
      <c r="BP40" s="501"/>
      <c r="BQ40" s="501"/>
      <c r="BR40" s="501"/>
      <c r="BS40" s="501"/>
      <c r="BT40" s="501"/>
      <c r="BU40" s="501"/>
      <c r="BV40" s="501"/>
      <c r="BW40" s="501"/>
      <c r="BX40" s="501"/>
      <c r="BY40" s="501"/>
      <c r="BZ40" s="501"/>
      <c r="CA40" s="501"/>
      <c r="CB40" s="501"/>
      <c r="CC40" s="501"/>
      <c r="CD40" s="501"/>
      <c r="CE40" s="501"/>
      <c r="CF40" s="501"/>
      <c r="CG40" s="501"/>
      <c r="CH40" s="501"/>
      <c r="CI40" s="501"/>
      <c r="CJ40" s="501"/>
      <c r="CK40" s="501"/>
      <c r="CL40" s="501"/>
      <c r="CM40" s="501"/>
      <c r="CN40" s="501"/>
      <c r="CO40" s="501"/>
      <c r="CP40" s="501"/>
      <c r="CQ40" s="501"/>
      <c r="CR40" s="501"/>
      <c r="CS40" s="501"/>
      <c r="CT40" s="501"/>
      <c r="CU40" s="501"/>
      <c r="CV40" s="501"/>
      <c r="CW40" s="501"/>
      <c r="CX40" s="501"/>
      <c r="CY40" s="501"/>
      <c r="CZ40" s="501"/>
      <c r="DA40" s="501"/>
      <c r="DB40" s="501"/>
      <c r="DC40" s="501"/>
      <c r="DD40" s="501"/>
      <c r="DE40" s="501"/>
      <c r="DF40" s="501"/>
      <c r="DG40" s="501"/>
      <c r="DH40" s="501"/>
      <c r="DI40" s="501"/>
      <c r="DJ40" s="501"/>
      <c r="DK40" s="501"/>
      <c r="DL40" s="501"/>
      <c r="DM40" s="501"/>
      <c r="DN40" s="501"/>
      <c r="DO40" s="501"/>
      <c r="DP40" s="501"/>
      <c r="DQ40" s="501"/>
      <c r="DR40" s="501"/>
      <c r="DS40" s="501"/>
      <c r="DT40" s="501"/>
      <c r="DU40" s="501"/>
      <c r="DV40" s="501"/>
      <c r="DW40" s="501"/>
      <c r="DX40" s="501"/>
      <c r="DY40" s="501"/>
      <c r="DZ40" s="501"/>
      <c r="EA40" s="501"/>
      <c r="EB40" s="501"/>
      <c r="EC40" s="501"/>
      <c r="ED40" s="501"/>
      <c r="EE40" s="501"/>
      <c r="EF40" s="501"/>
      <c r="EG40" s="501"/>
      <c r="EH40" s="501"/>
      <c r="EI40" s="501"/>
      <c r="EJ40" s="501"/>
      <c r="EK40" s="501"/>
      <c r="EL40" s="501"/>
      <c r="EM40" s="501"/>
      <c r="EN40" s="501"/>
      <c r="EO40" s="501"/>
      <c r="EP40" s="501"/>
      <c r="EQ40" s="501"/>
      <c r="ER40" s="501"/>
      <c r="ES40" s="501"/>
    </row>
    <row r="41" spans="1:149" s="538" customFormat="1" x14ac:dyDescent="0.4">
      <c r="A41" s="573" t="s">
        <v>100</v>
      </c>
      <c r="B41" s="574">
        <f>+'Water '!$N7</f>
        <v>28</v>
      </c>
      <c r="C41" s="574">
        <f>+'Water '!$N8</f>
        <v>3</v>
      </c>
      <c r="D41" s="574">
        <f>+'Water '!$N9</f>
        <v>25</v>
      </c>
      <c r="E41" s="574">
        <f>+'Water '!$N10</f>
        <v>54</v>
      </c>
      <c r="F41" s="574">
        <f>+'Water '!$N11</f>
        <v>29</v>
      </c>
      <c r="G41" s="574">
        <f>+'Water '!$N12</f>
        <v>33</v>
      </c>
      <c r="H41" s="574">
        <f>+'Water '!$N13</f>
        <v>12</v>
      </c>
      <c r="I41" s="574">
        <f>+'Water '!$N14</f>
        <v>52</v>
      </c>
      <c r="J41" s="574">
        <f>+'Water '!$N15</f>
        <v>13</v>
      </c>
      <c r="K41" s="574">
        <f>+'Water '!$N16</f>
        <v>59</v>
      </c>
      <c r="L41" s="574">
        <f>+'Water '!$N17</f>
        <v>21</v>
      </c>
      <c r="M41" s="704">
        <f>+'Water '!$N18</f>
        <v>28</v>
      </c>
      <c r="N41" s="574">
        <f>+'Water '!$N19</f>
        <v>10</v>
      </c>
      <c r="O41" s="574">
        <f>+'Water '!$N20</f>
        <v>36</v>
      </c>
      <c r="P41" s="574">
        <f>+'Water '!$N21</f>
        <v>58</v>
      </c>
      <c r="Q41" s="574">
        <f>+'Water '!$N22</f>
        <v>33</v>
      </c>
      <c r="R41" s="574">
        <f>+'Water '!$N23</f>
        <v>30</v>
      </c>
      <c r="S41" s="574">
        <f>+'Water '!$N24</f>
        <v>40</v>
      </c>
      <c r="T41" s="574">
        <f>+'Water '!$N25</f>
        <v>52</v>
      </c>
      <c r="U41" s="574" t="str">
        <f>+'Water '!$N26</f>
        <v>0</v>
      </c>
      <c r="V41" s="574" t="str">
        <f>+'Water '!$N27</f>
        <v>0</v>
      </c>
      <c r="W41" s="574" t="str">
        <f>+'Water '!$N28</f>
        <v>0</v>
      </c>
      <c r="X41" s="574">
        <f>+'Water '!$N29</f>
        <v>61</v>
      </c>
      <c r="Y41" s="574">
        <f>+'Water '!$N30</f>
        <v>43</v>
      </c>
      <c r="Z41" s="574" t="str">
        <f>+'Water '!$N31</f>
        <v>0</v>
      </c>
      <c r="AA41" s="574" t="str">
        <f>+'Water '!$N32</f>
        <v>0</v>
      </c>
      <c r="AB41" s="574" t="str">
        <f>+'Water '!$N33</f>
        <v>0</v>
      </c>
      <c r="AC41" s="574" t="str">
        <f>+'Water '!$N34</f>
        <v>0</v>
      </c>
      <c r="AD41" s="574">
        <f>+'Water '!$N35</f>
        <v>61</v>
      </c>
      <c r="AE41" s="574">
        <f>+'Water '!$N36</f>
        <v>57</v>
      </c>
      <c r="AF41" s="574">
        <f>+'Water '!$N37</f>
        <v>23</v>
      </c>
      <c r="AG41" s="574"/>
      <c r="AH41" s="548">
        <f>SUM($B41:AF41)</f>
        <v>861</v>
      </c>
      <c r="AI41" s="548"/>
      <c r="AJ41" s="548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501"/>
      <c r="BI41" s="501"/>
      <c r="BJ41" s="501"/>
      <c r="BK41" s="501"/>
      <c r="BL41" s="501"/>
      <c r="BM41" s="501"/>
      <c r="BN41" s="501"/>
      <c r="BO41" s="501"/>
      <c r="BP41" s="501"/>
      <c r="BQ41" s="501"/>
      <c r="BR41" s="501"/>
      <c r="BS41" s="501"/>
      <c r="BT41" s="501"/>
      <c r="BU41" s="501"/>
      <c r="BV41" s="501"/>
      <c r="BW41" s="501"/>
      <c r="BX41" s="501"/>
      <c r="BY41" s="501"/>
      <c r="BZ41" s="501"/>
      <c r="CA41" s="501"/>
      <c r="CB41" s="501"/>
      <c r="CC41" s="501"/>
      <c r="CD41" s="501"/>
      <c r="CE41" s="501"/>
      <c r="CF41" s="501"/>
      <c r="CG41" s="501"/>
      <c r="CH41" s="501"/>
      <c r="CI41" s="501"/>
      <c r="CJ41" s="501"/>
      <c r="CK41" s="501"/>
      <c r="CL41" s="501"/>
      <c r="CM41" s="501"/>
      <c r="CN41" s="501"/>
      <c r="CO41" s="501"/>
      <c r="CP41" s="501"/>
      <c r="CQ41" s="501"/>
      <c r="CR41" s="501"/>
      <c r="CS41" s="501"/>
      <c r="CT41" s="501"/>
      <c r="CU41" s="501"/>
      <c r="CV41" s="501"/>
      <c r="CW41" s="501"/>
      <c r="CX41" s="501"/>
      <c r="CY41" s="501"/>
      <c r="CZ41" s="501"/>
      <c r="DA41" s="501"/>
      <c r="DB41" s="501"/>
      <c r="DC41" s="501"/>
      <c r="DD41" s="501"/>
      <c r="DE41" s="501"/>
      <c r="DF41" s="501"/>
      <c r="DG41" s="501"/>
      <c r="DH41" s="501"/>
      <c r="DI41" s="501"/>
      <c r="DJ41" s="501"/>
      <c r="DK41" s="501"/>
      <c r="DL41" s="501"/>
      <c r="DM41" s="501"/>
      <c r="DN41" s="501"/>
      <c r="DO41" s="501"/>
      <c r="DP41" s="501"/>
      <c r="DQ41" s="501"/>
      <c r="DR41" s="501"/>
      <c r="DS41" s="501"/>
      <c r="DT41" s="501"/>
      <c r="DU41" s="501"/>
      <c r="DV41" s="501"/>
      <c r="DW41" s="501"/>
      <c r="DX41" s="501"/>
      <c r="DY41" s="501"/>
      <c r="DZ41" s="501"/>
      <c r="EA41" s="501"/>
      <c r="EB41" s="501"/>
      <c r="EC41" s="501"/>
      <c r="ED41" s="501"/>
      <c r="EE41" s="501"/>
      <c r="EF41" s="501"/>
      <c r="EG41" s="501"/>
      <c r="EH41" s="501"/>
      <c r="EI41" s="501"/>
      <c r="EJ41" s="501"/>
      <c r="EK41" s="501"/>
      <c r="EL41" s="501"/>
      <c r="EM41" s="501"/>
      <c r="EN41" s="501"/>
      <c r="EO41" s="501"/>
      <c r="EP41" s="501"/>
      <c r="EQ41" s="501"/>
      <c r="ER41" s="501"/>
      <c r="ES41" s="501"/>
    </row>
    <row r="42" spans="1:149" s="538" customFormat="1" x14ac:dyDescent="0.4">
      <c r="A42" s="556" t="s">
        <v>129</v>
      </c>
      <c r="B42" s="542">
        <f>+'Water '!$O7</f>
        <v>167</v>
      </c>
      <c r="C42" s="542">
        <f>+'Water '!$O8</f>
        <v>84</v>
      </c>
      <c r="D42" s="542">
        <f>+'Water '!$O9</f>
        <v>118</v>
      </c>
      <c r="E42" s="542">
        <f>+'Water '!$O10</f>
        <v>85</v>
      </c>
      <c r="F42" s="542">
        <f>+'Water '!$O11</f>
        <v>92</v>
      </c>
      <c r="G42" s="542">
        <f>+'Water '!$O12</f>
        <v>101</v>
      </c>
      <c r="H42" s="542">
        <f>+'Water '!$O13</f>
        <v>105</v>
      </c>
      <c r="I42" s="542">
        <f>+'Water '!$O14</f>
        <v>110</v>
      </c>
      <c r="J42" s="542">
        <f>+'Water '!$O15</f>
        <v>90</v>
      </c>
      <c r="K42" s="542">
        <f>+'Water '!$O16</f>
        <v>143</v>
      </c>
      <c r="L42" s="542">
        <f>+'Water '!$O17</f>
        <v>131</v>
      </c>
      <c r="M42" s="542">
        <f>+'Water '!$O18</f>
        <v>82</v>
      </c>
      <c r="N42" s="542">
        <f>+'Water '!$O19</f>
        <v>95</v>
      </c>
      <c r="O42" s="542">
        <f>+'Water '!$O20</f>
        <v>110</v>
      </c>
      <c r="P42" s="542">
        <f>+'Water '!$O21</f>
        <v>96</v>
      </c>
      <c r="Q42" s="542">
        <f>+'Water '!$O22</f>
        <v>133</v>
      </c>
      <c r="R42" s="542">
        <f>+'Water '!$O23</f>
        <v>103</v>
      </c>
      <c r="S42" s="542">
        <f>+'Water '!$O24</f>
        <v>190</v>
      </c>
      <c r="T42" s="542">
        <f>+'Water '!$O25</f>
        <v>177</v>
      </c>
      <c r="U42" s="542">
        <f>+'Water '!$O26</f>
        <v>35</v>
      </c>
      <c r="V42" s="542">
        <f>+'Water '!$O27</f>
        <v>4</v>
      </c>
      <c r="W42" s="542">
        <f>+'Water '!$O28</f>
        <v>217</v>
      </c>
      <c r="X42" s="542">
        <f>+'Water '!$O29</f>
        <v>192</v>
      </c>
      <c r="Y42" s="542">
        <f>+'Water '!$O30</f>
        <v>96</v>
      </c>
      <c r="Z42" s="542" t="str">
        <f>+'Water '!$O31</f>
        <v>0</v>
      </c>
      <c r="AA42" s="542" t="str">
        <f>+'Water '!$O32</f>
        <v>0</v>
      </c>
      <c r="AB42" s="542" t="str">
        <f>+'Water '!$O33</f>
        <v>0</v>
      </c>
      <c r="AC42" s="542" t="str">
        <f>+'Water '!$O34</f>
        <v>0</v>
      </c>
      <c r="AD42" s="542">
        <f>+'Water '!$O35</f>
        <v>162</v>
      </c>
      <c r="AE42" s="542">
        <f>+'Water '!$O36</f>
        <v>158</v>
      </c>
      <c r="AF42" s="542">
        <f>+'Water '!$O37</f>
        <v>103</v>
      </c>
      <c r="AG42" s="542"/>
      <c r="AH42" s="575">
        <f>SUM($B42:AF42)</f>
        <v>3179</v>
      </c>
      <c r="AI42" s="542"/>
      <c r="AJ42" s="542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292"/>
      <c r="BF42" s="292"/>
      <c r="BG42" s="292"/>
      <c r="BH42" s="501"/>
      <c r="BI42" s="501"/>
      <c r="BJ42" s="501"/>
      <c r="BK42" s="501"/>
      <c r="BL42" s="501"/>
      <c r="BM42" s="501"/>
      <c r="BN42" s="501"/>
      <c r="BO42" s="501"/>
      <c r="BP42" s="501"/>
      <c r="BQ42" s="501"/>
      <c r="BR42" s="501"/>
      <c r="BS42" s="501"/>
      <c r="BT42" s="501"/>
      <c r="BU42" s="501"/>
      <c r="BV42" s="501"/>
      <c r="BW42" s="501"/>
      <c r="BX42" s="501"/>
      <c r="BY42" s="501"/>
      <c r="BZ42" s="501"/>
      <c r="CA42" s="501"/>
      <c r="CB42" s="501"/>
      <c r="CC42" s="501"/>
      <c r="CD42" s="501"/>
      <c r="CE42" s="501"/>
      <c r="CF42" s="501"/>
      <c r="CG42" s="501"/>
      <c r="CH42" s="501"/>
      <c r="CI42" s="501"/>
      <c r="CJ42" s="501"/>
      <c r="CK42" s="501"/>
      <c r="CL42" s="501"/>
      <c r="CM42" s="501"/>
      <c r="CN42" s="501"/>
      <c r="CO42" s="501"/>
      <c r="CP42" s="501"/>
      <c r="CQ42" s="501"/>
      <c r="CR42" s="501"/>
      <c r="CS42" s="501"/>
      <c r="CT42" s="501"/>
      <c r="CU42" s="501"/>
      <c r="CV42" s="501"/>
      <c r="CW42" s="501"/>
      <c r="CX42" s="501"/>
      <c r="CY42" s="501"/>
      <c r="CZ42" s="501"/>
      <c r="DA42" s="501"/>
      <c r="DB42" s="501"/>
      <c r="DC42" s="501"/>
      <c r="DD42" s="501"/>
      <c r="DE42" s="501"/>
      <c r="DF42" s="501"/>
      <c r="DG42" s="501"/>
      <c r="DH42" s="501"/>
      <c r="DI42" s="501"/>
      <c r="DJ42" s="501"/>
      <c r="DK42" s="501"/>
      <c r="DL42" s="501"/>
      <c r="DM42" s="501"/>
      <c r="DN42" s="501"/>
      <c r="DO42" s="501"/>
      <c r="DP42" s="501"/>
      <c r="DQ42" s="501"/>
      <c r="DR42" s="501"/>
      <c r="DS42" s="501"/>
      <c r="DT42" s="501"/>
      <c r="DU42" s="501"/>
      <c r="DV42" s="501"/>
      <c r="DW42" s="501"/>
      <c r="DX42" s="501"/>
      <c r="DY42" s="501"/>
      <c r="DZ42" s="501"/>
      <c r="EA42" s="501"/>
      <c r="EB42" s="501"/>
      <c r="EC42" s="501"/>
      <c r="ED42" s="501"/>
      <c r="EE42" s="501"/>
      <c r="EF42" s="501"/>
      <c r="EG42" s="501"/>
      <c r="EH42" s="501"/>
      <c r="EI42" s="501"/>
      <c r="EJ42" s="501"/>
      <c r="EK42" s="501"/>
      <c r="EL42" s="501"/>
      <c r="EM42" s="501"/>
      <c r="EN42" s="501"/>
      <c r="EO42" s="501"/>
      <c r="EP42" s="501"/>
      <c r="EQ42" s="501"/>
      <c r="ER42" s="501"/>
      <c r="ES42" s="501"/>
    </row>
    <row r="43" spans="1:149" s="538" customFormat="1" x14ac:dyDescent="0.4">
      <c r="A43" s="573" t="s">
        <v>170</v>
      </c>
      <c r="B43" s="576" cm="1">
        <f t="array" ref="B43:AF43">TRANSPOSE('Water '!P7:P37)</f>
        <v>27</v>
      </c>
      <c r="C43" s="576">
        <v>14</v>
      </c>
      <c r="D43" s="576">
        <v>30</v>
      </c>
      <c r="E43" s="576">
        <v>27</v>
      </c>
      <c r="F43" s="577">
        <v>17</v>
      </c>
      <c r="G43" s="577">
        <v>17</v>
      </c>
      <c r="H43" s="577">
        <v>23</v>
      </c>
      <c r="I43" s="577">
        <v>28</v>
      </c>
      <c r="J43" s="577">
        <v>18</v>
      </c>
      <c r="K43" s="577">
        <v>27</v>
      </c>
      <c r="L43" s="577">
        <v>21</v>
      </c>
      <c r="M43" s="577">
        <v>34</v>
      </c>
      <c r="N43" s="577">
        <v>9</v>
      </c>
      <c r="O43" s="577">
        <v>20</v>
      </c>
      <c r="P43" s="577">
        <v>22</v>
      </c>
      <c r="Q43" s="577">
        <v>30</v>
      </c>
      <c r="R43" s="577">
        <v>29</v>
      </c>
      <c r="S43" s="577">
        <v>27</v>
      </c>
      <c r="T43" s="577">
        <v>26</v>
      </c>
      <c r="U43" s="577">
        <v>2</v>
      </c>
      <c r="V43" s="577" t="str">
        <v>0</v>
      </c>
      <c r="W43" s="577">
        <v>29</v>
      </c>
      <c r="X43" s="577">
        <v>31</v>
      </c>
      <c r="Y43" s="577">
        <v>19</v>
      </c>
      <c r="Z43" s="577" t="str">
        <v>0</v>
      </c>
      <c r="AA43" s="577" t="str">
        <v>0</v>
      </c>
      <c r="AB43" s="577" t="str">
        <v>0</v>
      </c>
      <c r="AC43" s="577" t="str">
        <v>0</v>
      </c>
      <c r="AD43" s="577">
        <v>26</v>
      </c>
      <c r="AE43" s="577">
        <v>29</v>
      </c>
      <c r="AF43" s="577">
        <v>22</v>
      </c>
      <c r="AG43" s="577"/>
      <c r="AH43" s="578">
        <f>SUM($B43:AF43)</f>
        <v>604</v>
      </c>
      <c r="AI43" s="579"/>
      <c r="AJ43" s="508"/>
      <c r="AK43" s="292"/>
      <c r="AL43" s="519"/>
      <c r="AM43" s="292"/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501"/>
      <c r="BI43" s="501"/>
      <c r="BJ43" s="501"/>
      <c r="BK43" s="501"/>
      <c r="BL43" s="501"/>
      <c r="BM43" s="501"/>
      <c r="BN43" s="501"/>
      <c r="BO43" s="501"/>
      <c r="BP43" s="501"/>
      <c r="BQ43" s="501"/>
      <c r="BR43" s="501"/>
      <c r="BS43" s="501"/>
      <c r="BT43" s="501"/>
      <c r="BU43" s="501"/>
      <c r="BV43" s="501"/>
      <c r="BW43" s="501"/>
      <c r="BX43" s="501"/>
      <c r="BY43" s="501"/>
      <c r="BZ43" s="501"/>
      <c r="CA43" s="501"/>
      <c r="CB43" s="501"/>
      <c r="CC43" s="501"/>
      <c r="CD43" s="501"/>
      <c r="CE43" s="501"/>
      <c r="CF43" s="501"/>
      <c r="CG43" s="501"/>
      <c r="CH43" s="501"/>
      <c r="CI43" s="501"/>
      <c r="CJ43" s="501"/>
      <c r="CK43" s="501"/>
      <c r="CL43" s="501"/>
      <c r="CM43" s="501"/>
      <c r="CN43" s="501"/>
      <c r="CO43" s="501"/>
      <c r="CP43" s="501"/>
      <c r="CQ43" s="501"/>
      <c r="CR43" s="501"/>
      <c r="CS43" s="501"/>
      <c r="CT43" s="501"/>
      <c r="CU43" s="501"/>
      <c r="CV43" s="501"/>
      <c r="CW43" s="501"/>
      <c r="CX43" s="501"/>
      <c r="CY43" s="501"/>
      <c r="CZ43" s="501"/>
      <c r="DA43" s="501"/>
      <c r="DB43" s="501"/>
      <c r="DC43" s="501"/>
      <c r="DD43" s="501"/>
      <c r="DE43" s="501"/>
      <c r="DF43" s="501"/>
      <c r="DG43" s="501"/>
      <c r="DH43" s="501"/>
      <c r="DI43" s="501"/>
      <c r="DJ43" s="501"/>
      <c r="DK43" s="501"/>
      <c r="DL43" s="501"/>
      <c r="DM43" s="501"/>
      <c r="DN43" s="501"/>
      <c r="DO43" s="501"/>
      <c r="DP43" s="501"/>
      <c r="DQ43" s="501"/>
      <c r="DR43" s="501"/>
      <c r="DS43" s="501"/>
      <c r="DT43" s="501"/>
      <c r="DU43" s="501"/>
      <c r="DV43" s="501"/>
      <c r="DW43" s="501"/>
      <c r="DX43" s="501"/>
      <c r="DY43" s="501"/>
      <c r="DZ43" s="501"/>
      <c r="EA43" s="501"/>
      <c r="EB43" s="501"/>
      <c r="EC43" s="501"/>
      <c r="ED43" s="501"/>
      <c r="EE43" s="501"/>
      <c r="EF43" s="501"/>
      <c r="EG43" s="501"/>
      <c r="EH43" s="501"/>
      <c r="EI43" s="501"/>
      <c r="EJ43" s="501"/>
      <c r="EK43" s="501"/>
      <c r="EL43" s="501"/>
      <c r="EM43" s="501"/>
      <c r="EN43" s="501"/>
      <c r="EO43" s="501"/>
      <c r="EP43" s="501"/>
      <c r="EQ43" s="501"/>
      <c r="ER43" s="501"/>
      <c r="ES43" s="501"/>
    </row>
    <row r="44" spans="1:149" s="538" customFormat="1" x14ac:dyDescent="0.4">
      <c r="A44" s="541" t="s">
        <v>128</v>
      </c>
      <c r="B44" s="575">
        <f>+'Water '!$M7</f>
        <v>18</v>
      </c>
      <c r="C44" s="542">
        <f>+'Water '!$M8</f>
        <v>7</v>
      </c>
      <c r="D44" s="542">
        <f>+'Water '!$M9</f>
        <v>10</v>
      </c>
      <c r="E44" s="542">
        <f>+'Water '!$M10</f>
        <v>7</v>
      </c>
      <c r="F44" s="542">
        <f>+'Water '!$M11</f>
        <v>6</v>
      </c>
      <c r="G44" s="542">
        <f>+'Water '!$M12</f>
        <v>14</v>
      </c>
      <c r="H44" s="705">
        <f>+'Water '!$M13</f>
        <v>6</v>
      </c>
      <c r="I44" s="542">
        <f>+'Water '!$M14</f>
        <v>4</v>
      </c>
      <c r="J44" s="542">
        <f>+'Water '!$M15</f>
        <v>3</v>
      </c>
      <c r="K44" s="542">
        <f>+'Water '!$M16</f>
        <v>10</v>
      </c>
      <c r="L44" s="542">
        <f>+'Water '!$M17</f>
        <v>18</v>
      </c>
      <c r="M44" s="542">
        <f>+'Water '!$M18</f>
        <v>11</v>
      </c>
      <c r="N44" s="542">
        <f>+'Water '!$M19</f>
        <v>4</v>
      </c>
      <c r="O44" s="542">
        <f>+'Water '!$M19</f>
        <v>4</v>
      </c>
      <c r="P44" s="542">
        <f>+'Water '!$M21</f>
        <v>5</v>
      </c>
      <c r="Q44" s="542">
        <f>+'Water '!$M22</f>
        <v>16</v>
      </c>
      <c r="R44" s="542">
        <f>+'Water '!$M23</f>
        <v>8</v>
      </c>
      <c r="S44" s="542">
        <f>+'Water '!$M24</f>
        <v>5</v>
      </c>
      <c r="T44" s="542" t="str">
        <f>+'Water '!$M25</f>
        <v>0</v>
      </c>
      <c r="U44" s="542" t="str">
        <f>+'Water '!$M26</f>
        <v>0</v>
      </c>
      <c r="V44" s="542" t="str">
        <f>+'Water '!$M27</f>
        <v>0</v>
      </c>
      <c r="W44" s="542">
        <f>+'Water '!$M28</f>
        <v>6</v>
      </c>
      <c r="X44" s="542">
        <f>+'Water '!$M29</f>
        <v>10</v>
      </c>
      <c r="Y44" s="542">
        <f>+'Water '!$M30</f>
        <v>4</v>
      </c>
      <c r="Z44" s="542" t="str">
        <f>+'Water '!$M31</f>
        <v>0</v>
      </c>
      <c r="AA44" s="542" t="str">
        <f>+'Water '!$M32</f>
        <v>0</v>
      </c>
      <c r="AB44" s="542" t="str">
        <f>+'Water '!$M33</f>
        <v>0</v>
      </c>
      <c r="AC44" s="542" t="str">
        <f>+'Water '!$M34</f>
        <v>0</v>
      </c>
      <c r="AD44" s="542">
        <f>+'Water '!$M35</f>
        <v>12</v>
      </c>
      <c r="AE44" s="542" t="str">
        <f>+'Water '!$M36</f>
        <v>0</v>
      </c>
      <c r="AF44" s="542">
        <f>+'Water '!$M37</f>
        <v>1</v>
      </c>
      <c r="AG44" s="542"/>
      <c r="AH44" s="518">
        <f>SUM($B44:AF44)</f>
        <v>189</v>
      </c>
      <c r="AI44" s="518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501"/>
      <c r="BI44" s="501"/>
      <c r="BJ44" s="501"/>
      <c r="BK44" s="501"/>
      <c r="BL44" s="501"/>
      <c r="BM44" s="501"/>
      <c r="BN44" s="501"/>
      <c r="BO44" s="501"/>
      <c r="BP44" s="501"/>
      <c r="BQ44" s="501"/>
      <c r="BR44" s="501"/>
      <c r="BS44" s="501"/>
      <c r="BT44" s="501"/>
      <c r="BU44" s="501"/>
      <c r="BV44" s="501"/>
      <c r="BW44" s="501"/>
      <c r="BX44" s="501"/>
      <c r="BY44" s="501"/>
      <c r="BZ44" s="501"/>
      <c r="CA44" s="501"/>
      <c r="CB44" s="501"/>
      <c r="CC44" s="501"/>
      <c r="CD44" s="501"/>
      <c r="CE44" s="501"/>
      <c r="CF44" s="501"/>
      <c r="CG44" s="501"/>
      <c r="CH44" s="501"/>
      <c r="CI44" s="501"/>
      <c r="CJ44" s="501"/>
      <c r="CK44" s="501"/>
      <c r="CL44" s="501"/>
      <c r="CM44" s="501"/>
      <c r="CN44" s="501"/>
      <c r="CO44" s="501"/>
      <c r="CP44" s="501"/>
      <c r="CQ44" s="501"/>
      <c r="CR44" s="501"/>
      <c r="CS44" s="501"/>
      <c r="CT44" s="501"/>
      <c r="CU44" s="501"/>
      <c r="CV44" s="501"/>
      <c r="CW44" s="501"/>
      <c r="CX44" s="501"/>
      <c r="CY44" s="501"/>
      <c r="CZ44" s="501"/>
      <c r="DA44" s="501"/>
      <c r="DB44" s="501"/>
      <c r="DC44" s="501"/>
      <c r="DD44" s="501"/>
      <c r="DE44" s="501"/>
      <c r="DF44" s="501"/>
      <c r="DG44" s="501"/>
      <c r="DH44" s="501"/>
      <c r="DI44" s="501"/>
      <c r="DJ44" s="501"/>
      <c r="DK44" s="501"/>
      <c r="DL44" s="501"/>
      <c r="DM44" s="501"/>
      <c r="DN44" s="501"/>
      <c r="DO44" s="501"/>
      <c r="DP44" s="501"/>
      <c r="DQ44" s="501"/>
      <c r="DR44" s="501"/>
      <c r="DS44" s="501"/>
      <c r="DT44" s="501"/>
      <c r="DU44" s="501"/>
      <c r="DV44" s="501"/>
      <c r="DW44" s="501"/>
      <c r="DX44" s="501"/>
      <c r="DY44" s="501"/>
      <c r="DZ44" s="501"/>
      <c r="EA44" s="501"/>
      <c r="EB44" s="501"/>
      <c r="EC44" s="501"/>
      <c r="ED44" s="501"/>
      <c r="EE44" s="501"/>
      <c r="EF44" s="501"/>
      <c r="EG44" s="501"/>
      <c r="EH44" s="501"/>
      <c r="EI44" s="501"/>
      <c r="EJ44" s="501"/>
      <c r="EK44" s="501"/>
      <c r="EL44" s="501"/>
      <c r="EM44" s="501"/>
      <c r="EN44" s="501"/>
      <c r="EO44" s="501"/>
      <c r="EP44" s="501"/>
      <c r="EQ44" s="501"/>
      <c r="ER44" s="501"/>
      <c r="ES44" s="501"/>
    </row>
    <row r="45" spans="1:149" s="538" customFormat="1" ht="35.25" customHeight="1" x14ac:dyDescent="0.4">
      <c r="A45" s="573" t="s">
        <v>130</v>
      </c>
      <c r="B45" s="574">
        <f>+'Water '!$Q7</f>
        <v>60</v>
      </c>
      <c r="C45" s="574">
        <f>+'Water '!$Q8</f>
        <v>48</v>
      </c>
      <c r="D45" s="574">
        <f>+'Water '!$Q9</f>
        <v>77</v>
      </c>
      <c r="E45" s="574">
        <f>+'Water '!$Q10</f>
        <v>54</v>
      </c>
      <c r="F45" s="574">
        <f>+'Water '!$Q11</f>
        <v>48</v>
      </c>
      <c r="G45" s="574">
        <f>+'Water '!$Q12</f>
        <v>47</v>
      </c>
      <c r="H45" s="574">
        <f>+'Water '!$Q13</f>
        <v>33</v>
      </c>
      <c r="I45" s="574">
        <f>+'Water '!$Q14</f>
        <v>28</v>
      </c>
      <c r="J45" s="574">
        <f>+'Water '!$Q15</f>
        <v>24</v>
      </c>
      <c r="K45" s="574">
        <f>+'Water '!$Q16</f>
        <v>32</v>
      </c>
      <c r="L45" s="574">
        <f>+'Water '!$Q17</f>
        <v>25</v>
      </c>
      <c r="M45" s="574">
        <f>+'Water '!$Q18</f>
        <v>26</v>
      </c>
      <c r="N45" s="574">
        <f>+'Water '!$Q19</f>
        <v>16</v>
      </c>
      <c r="O45" s="574">
        <f>'Water '!$Q20</f>
        <v>24</v>
      </c>
      <c r="P45" s="574">
        <f>'Water '!$Q21</f>
        <v>28</v>
      </c>
      <c r="Q45" s="574">
        <f>+'Water '!$Q22</f>
        <v>27</v>
      </c>
      <c r="R45" s="574">
        <f>'Water '!$Q23</f>
        <v>27</v>
      </c>
      <c r="S45" s="574">
        <f>+'Water '!$Q24</f>
        <v>27</v>
      </c>
      <c r="T45" s="574">
        <f>+'Water '!$Q25</f>
        <v>26</v>
      </c>
      <c r="U45" s="574" t="str">
        <f>+'Water '!$Q26</f>
        <v>0</v>
      </c>
      <c r="V45" s="574">
        <f>+'Water '!$Q27</f>
        <v>10</v>
      </c>
      <c r="W45" s="574">
        <f>+'Water '!$Q28</f>
        <v>29</v>
      </c>
      <c r="X45" s="574">
        <f>+'Water '!$Q29</f>
        <v>29</v>
      </c>
      <c r="Y45" s="574">
        <f>+'Water '!$Q30</f>
        <v>21</v>
      </c>
      <c r="Z45" s="574">
        <f>+'Water '!$Q31</f>
        <v>1</v>
      </c>
      <c r="AA45" s="574" t="str">
        <f>+'Water '!$Q32</f>
        <v>0</v>
      </c>
      <c r="AB45" s="574" t="str">
        <f>+'Water '!$Q33</f>
        <v>0</v>
      </c>
      <c r="AC45" s="574">
        <f>+'Water '!$Q34</f>
        <v>10</v>
      </c>
      <c r="AD45" s="574">
        <f>+'Water '!$Q35</f>
        <v>28</v>
      </c>
      <c r="AE45" s="574">
        <f>+'Water '!$Q36</f>
        <v>23</v>
      </c>
      <c r="AF45" s="574">
        <f>+'Water '!$Q37</f>
        <v>30</v>
      </c>
      <c r="AG45" s="574"/>
      <c r="AH45" s="548">
        <f>SUM($B45:AF45)</f>
        <v>858</v>
      </c>
      <c r="AI45" s="548"/>
      <c r="AJ45" s="548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292"/>
      <c r="BF45" s="292"/>
      <c r="BG45" s="292"/>
      <c r="BH45" s="501"/>
      <c r="BI45" s="501"/>
      <c r="BJ45" s="501"/>
      <c r="BK45" s="501"/>
      <c r="BL45" s="501"/>
      <c r="BM45" s="501"/>
      <c r="BN45" s="501"/>
      <c r="BO45" s="501"/>
      <c r="BP45" s="501"/>
      <c r="BQ45" s="501"/>
      <c r="BR45" s="501"/>
      <c r="BS45" s="501"/>
      <c r="BT45" s="501"/>
      <c r="BU45" s="501"/>
      <c r="BV45" s="501"/>
      <c r="BW45" s="501"/>
      <c r="BX45" s="501"/>
      <c r="BY45" s="501"/>
      <c r="BZ45" s="501"/>
      <c r="CA45" s="501"/>
      <c r="CB45" s="501"/>
      <c r="CC45" s="501"/>
      <c r="CD45" s="501"/>
      <c r="CE45" s="501"/>
      <c r="CF45" s="501"/>
      <c r="CG45" s="501"/>
      <c r="CH45" s="501"/>
      <c r="CI45" s="501"/>
      <c r="CJ45" s="501"/>
      <c r="CK45" s="501"/>
      <c r="CL45" s="501"/>
      <c r="CM45" s="501"/>
      <c r="CN45" s="501"/>
      <c r="CO45" s="501"/>
      <c r="CP45" s="501"/>
      <c r="CQ45" s="501"/>
      <c r="CR45" s="501"/>
      <c r="CS45" s="501"/>
      <c r="CT45" s="501"/>
      <c r="CU45" s="501"/>
      <c r="CV45" s="501"/>
      <c r="CW45" s="501"/>
      <c r="CX45" s="501"/>
      <c r="CY45" s="501"/>
      <c r="CZ45" s="501"/>
      <c r="DA45" s="501"/>
      <c r="DB45" s="501"/>
      <c r="DC45" s="501"/>
      <c r="DD45" s="501"/>
      <c r="DE45" s="501"/>
      <c r="DF45" s="501"/>
      <c r="DG45" s="501"/>
      <c r="DH45" s="501"/>
      <c r="DI45" s="501"/>
      <c r="DJ45" s="501"/>
      <c r="DK45" s="501"/>
      <c r="DL45" s="501"/>
      <c r="DM45" s="501"/>
      <c r="DN45" s="501"/>
      <c r="DO45" s="501"/>
      <c r="DP45" s="501"/>
      <c r="DQ45" s="501"/>
      <c r="DR45" s="501"/>
      <c r="DS45" s="501"/>
      <c r="DT45" s="501"/>
      <c r="DU45" s="501"/>
      <c r="DV45" s="501"/>
      <c r="DW45" s="501"/>
      <c r="DX45" s="501"/>
      <c r="DY45" s="501"/>
      <c r="DZ45" s="501"/>
      <c r="EA45" s="501"/>
      <c r="EB45" s="501"/>
      <c r="EC45" s="501"/>
      <c r="ED45" s="501"/>
      <c r="EE45" s="501"/>
      <c r="EF45" s="501"/>
      <c r="EG45" s="501"/>
      <c r="EH45" s="501"/>
      <c r="EI45" s="501"/>
      <c r="EJ45" s="501"/>
      <c r="EK45" s="501"/>
      <c r="EL45" s="501"/>
      <c r="EM45" s="501"/>
      <c r="EN45" s="501"/>
      <c r="EO45" s="501"/>
      <c r="EP45" s="501"/>
      <c r="EQ45" s="501"/>
      <c r="ER45" s="501"/>
      <c r="ES45" s="501"/>
    </row>
    <row r="46" spans="1:149" s="538" customFormat="1" x14ac:dyDescent="0.4">
      <c r="A46" s="556" t="s">
        <v>202</v>
      </c>
      <c r="B46" s="519" t="str">
        <f>'Water '!Y7</f>
        <v>0</v>
      </c>
      <c r="C46" s="519" t="str">
        <f>'Water '!Y8</f>
        <v>0</v>
      </c>
      <c r="D46" s="519" t="str">
        <f>'Water '!Y9</f>
        <v>0</v>
      </c>
      <c r="E46" s="519" t="str">
        <f>'Water '!Y10</f>
        <v>0</v>
      </c>
      <c r="F46" s="519" t="str">
        <f>'Water '!Y11</f>
        <v>0</v>
      </c>
      <c r="G46" s="519" t="str">
        <f>'Water '!Y12</f>
        <v>0</v>
      </c>
      <c r="H46" s="519" t="str">
        <f>'Water '!Y13</f>
        <v>0</v>
      </c>
      <c r="I46" s="519" t="str">
        <f>'Water '!Y14</f>
        <v>0</v>
      </c>
      <c r="J46" s="519" t="str">
        <f>'Water '!Y15</f>
        <v>0</v>
      </c>
      <c r="K46" s="519" t="str">
        <f>'Water '!Y16</f>
        <v>0</v>
      </c>
      <c r="L46" s="519" t="str">
        <f>'Water '!Y17</f>
        <v>0</v>
      </c>
      <c r="M46" s="519" t="str">
        <f>'Water '!Y18</f>
        <v>0</v>
      </c>
      <c r="N46" s="519" t="str">
        <f>'Water '!Y19</f>
        <v>0</v>
      </c>
      <c r="O46" s="519" t="str">
        <f>'Water '!Y20</f>
        <v>0</v>
      </c>
      <c r="P46" s="519" t="str">
        <f>'Water '!Y21</f>
        <v>0</v>
      </c>
      <c r="Q46" s="519" t="str">
        <f>'Water '!Y22</f>
        <v>0</v>
      </c>
      <c r="R46" s="519" t="str">
        <f>'Water '!Y23</f>
        <v>0</v>
      </c>
      <c r="S46" s="519" t="str">
        <f>'Water '!Y24</f>
        <v>0</v>
      </c>
      <c r="T46" s="519" t="str">
        <f>'Water '!Y25</f>
        <v>0</v>
      </c>
      <c r="U46" s="519" t="str">
        <f>'Water '!Y26</f>
        <v>0</v>
      </c>
      <c r="V46" s="519" t="str">
        <f>'Water '!Y27</f>
        <v>0</v>
      </c>
      <c r="W46" s="519" t="str">
        <f>'Water '!Y28</f>
        <v>0</v>
      </c>
      <c r="X46" s="519" t="str">
        <f>'Water '!Y29</f>
        <v>0</v>
      </c>
      <c r="Y46" s="519" t="str">
        <f>'Water '!Y30</f>
        <v>0</v>
      </c>
      <c r="Z46" s="519" t="str">
        <f>'Water '!Y31</f>
        <v>0</v>
      </c>
      <c r="AA46" s="519" t="str">
        <f>'Water '!Y32</f>
        <v>0</v>
      </c>
      <c r="AB46" s="519" t="str">
        <f>'Water '!Y33</f>
        <v>0</v>
      </c>
      <c r="AC46" s="519" t="str">
        <f>'Water '!Y34</f>
        <v>0</v>
      </c>
      <c r="AD46" s="519" t="str">
        <f>'Water '!Y35</f>
        <v>0</v>
      </c>
      <c r="AE46" s="519" t="str">
        <f>'Water '!Y36</f>
        <v>0</v>
      </c>
      <c r="AF46" s="519" t="str">
        <f>'Water '!Y37</f>
        <v>0</v>
      </c>
      <c r="AG46" s="519"/>
      <c r="AH46" s="518">
        <f>SUM($B46:AF46)</f>
        <v>0</v>
      </c>
      <c r="AI46" s="518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501"/>
      <c r="BI46" s="501"/>
      <c r="BJ46" s="501"/>
      <c r="BK46" s="501"/>
      <c r="BL46" s="501"/>
      <c r="BM46" s="501"/>
      <c r="BN46" s="501"/>
      <c r="BO46" s="501"/>
      <c r="BP46" s="501"/>
      <c r="BQ46" s="501"/>
      <c r="BR46" s="501"/>
      <c r="BS46" s="501"/>
      <c r="BT46" s="501"/>
      <c r="BU46" s="501"/>
      <c r="BV46" s="501"/>
      <c r="BW46" s="501"/>
      <c r="BX46" s="501"/>
      <c r="BY46" s="501"/>
      <c r="BZ46" s="501"/>
      <c r="CA46" s="501"/>
      <c r="CB46" s="501"/>
      <c r="CC46" s="501"/>
      <c r="CD46" s="501"/>
      <c r="CE46" s="501"/>
      <c r="CF46" s="501"/>
      <c r="CG46" s="501"/>
      <c r="CH46" s="501"/>
      <c r="CI46" s="501"/>
      <c r="CJ46" s="501"/>
      <c r="CK46" s="501"/>
      <c r="CL46" s="501"/>
      <c r="CM46" s="501"/>
      <c r="CN46" s="501"/>
      <c r="CO46" s="501"/>
      <c r="CP46" s="501"/>
      <c r="CQ46" s="501"/>
      <c r="CR46" s="501"/>
      <c r="CS46" s="501"/>
      <c r="CT46" s="501"/>
      <c r="CU46" s="501"/>
      <c r="CV46" s="501"/>
      <c r="CW46" s="501"/>
      <c r="CX46" s="501"/>
      <c r="CY46" s="501"/>
      <c r="CZ46" s="501"/>
      <c r="DA46" s="501"/>
      <c r="DB46" s="501"/>
      <c r="DC46" s="501"/>
      <c r="DD46" s="501"/>
      <c r="DE46" s="501"/>
      <c r="DF46" s="501"/>
      <c r="DG46" s="501"/>
      <c r="DH46" s="501"/>
      <c r="DI46" s="501"/>
      <c r="DJ46" s="501"/>
      <c r="DK46" s="501"/>
      <c r="DL46" s="501"/>
      <c r="DM46" s="501"/>
      <c r="DN46" s="501"/>
      <c r="DO46" s="501"/>
      <c r="DP46" s="501"/>
      <c r="DQ46" s="501"/>
      <c r="DR46" s="501"/>
      <c r="DS46" s="501"/>
      <c r="DT46" s="501"/>
      <c r="DU46" s="501"/>
      <c r="DV46" s="501"/>
      <c r="DW46" s="501"/>
      <c r="DX46" s="501"/>
      <c r="DY46" s="501"/>
      <c r="DZ46" s="501"/>
      <c r="EA46" s="501"/>
      <c r="EB46" s="501"/>
      <c r="EC46" s="501"/>
      <c r="ED46" s="501"/>
      <c r="EE46" s="501"/>
      <c r="EF46" s="501"/>
      <c r="EG46" s="501"/>
      <c r="EH46" s="501"/>
      <c r="EI46" s="501"/>
      <c r="EJ46" s="501"/>
      <c r="EK46" s="501"/>
      <c r="EL46" s="501"/>
      <c r="EM46" s="501"/>
      <c r="EN46" s="501"/>
      <c r="EO46" s="501"/>
      <c r="EP46" s="501"/>
      <c r="EQ46" s="501"/>
      <c r="ER46" s="501"/>
      <c r="ES46" s="501"/>
    </row>
    <row r="47" spans="1:149" x14ac:dyDescent="0.4">
      <c r="A47" s="556" t="s">
        <v>188</v>
      </c>
      <c r="B47" s="519">
        <f>'Water '!I7</f>
        <v>0</v>
      </c>
      <c r="C47" s="519">
        <f>'Water '!I8</f>
        <v>0</v>
      </c>
      <c r="D47" s="519">
        <f>'Water '!I9</f>
        <v>0</v>
      </c>
      <c r="E47" s="519">
        <f>'Water '!I10</f>
        <v>0</v>
      </c>
      <c r="F47" s="519">
        <f>'Water '!I11</f>
        <v>0</v>
      </c>
      <c r="G47" s="519">
        <f>'Water '!I12</f>
        <v>0</v>
      </c>
      <c r="H47" s="519">
        <f>'Water '!I13</f>
        <v>0</v>
      </c>
      <c r="I47" s="519">
        <f>'Water '!I14</f>
        <v>0</v>
      </c>
      <c r="J47" s="519">
        <f>'Water '!I15</f>
        <v>0</v>
      </c>
      <c r="K47" s="519">
        <f>'Water '!I16</f>
        <v>0</v>
      </c>
      <c r="L47" s="519">
        <f>'Water '!I17</f>
        <v>0</v>
      </c>
      <c r="M47" s="519">
        <f>'Water '!I18</f>
        <v>0</v>
      </c>
      <c r="N47" s="519">
        <f>'Water '!I19</f>
        <v>0</v>
      </c>
      <c r="O47" s="519">
        <f>'Water '!I20</f>
        <v>0</v>
      </c>
      <c r="P47" s="519">
        <f>'Water '!I21</f>
        <v>0</v>
      </c>
      <c r="Q47" s="519">
        <f>'Water '!I22</f>
        <v>0</v>
      </c>
      <c r="R47" s="519">
        <f>'Water '!I23</f>
        <v>0</v>
      </c>
      <c r="S47" s="519">
        <f>'Water '!I24</f>
        <v>0</v>
      </c>
      <c r="T47" s="519">
        <f>'Water '!I25</f>
        <v>0</v>
      </c>
      <c r="U47" s="519">
        <f>'Water '!I26</f>
        <v>0</v>
      </c>
      <c r="V47" s="519">
        <f>'Water '!I27</f>
        <v>0</v>
      </c>
      <c r="W47" s="519">
        <f>'Water '!I28</f>
        <v>0</v>
      </c>
      <c r="X47" s="519">
        <f>'Water '!I29</f>
        <v>0</v>
      </c>
      <c r="Y47" s="519">
        <f>'Water '!I30</f>
        <v>0</v>
      </c>
      <c r="Z47" s="519">
        <f>'Water '!I31</f>
        <v>0</v>
      </c>
      <c r="AA47" s="519">
        <f>'Water '!I32</f>
        <v>0</v>
      </c>
      <c r="AB47" s="519">
        <f>'Water '!I33</f>
        <v>0</v>
      </c>
      <c r="AC47" s="519">
        <f>'Water '!I34</f>
        <v>0</v>
      </c>
      <c r="AD47" s="519">
        <f>'Water '!I35</f>
        <v>0</v>
      </c>
      <c r="AE47" s="519">
        <f>'Water '!I36</f>
        <v>0</v>
      </c>
      <c r="AF47" s="519">
        <f>'Water '!I37</f>
        <v>0</v>
      </c>
      <c r="AG47" s="519"/>
      <c r="AH47" s="518">
        <f>SUM($B47:AF47)</f>
        <v>0</v>
      </c>
      <c r="AI47" s="518"/>
    </row>
    <row r="48" spans="1:149" ht="24" customHeight="1" x14ac:dyDescent="0.4">
      <c r="A48" s="556" t="s">
        <v>201</v>
      </c>
      <c r="B48" s="519"/>
      <c r="C48" s="519"/>
      <c r="D48" s="519"/>
      <c r="E48" s="519"/>
      <c r="F48" s="519"/>
      <c r="G48" s="519"/>
      <c r="H48" s="519"/>
      <c r="I48" s="519"/>
      <c r="J48" s="519"/>
      <c r="K48" s="519"/>
      <c r="L48" s="519"/>
      <c r="M48" s="519"/>
      <c r="N48" s="519"/>
      <c r="O48" s="519"/>
      <c r="P48" s="519"/>
      <c r="Q48" s="519"/>
      <c r="R48" s="519"/>
      <c r="S48" s="519"/>
      <c r="T48" s="519"/>
      <c r="U48" s="519"/>
      <c r="V48" s="519"/>
      <c r="W48" s="519"/>
      <c r="X48" s="519"/>
      <c r="Y48" s="519"/>
      <c r="Z48" s="519"/>
      <c r="AA48" s="519"/>
      <c r="AB48" s="519"/>
      <c r="AC48" s="519"/>
      <c r="AD48" s="519"/>
      <c r="AE48" s="519"/>
      <c r="AF48" s="519"/>
      <c r="AG48" s="519"/>
      <c r="AH48" s="518"/>
      <c r="AI48" s="518"/>
    </row>
    <row r="49" spans="1:59" x14ac:dyDescent="0.4">
      <c r="A49" s="556" t="s">
        <v>167</v>
      </c>
      <c r="B49" s="542"/>
      <c r="C49" s="542"/>
      <c r="D49" s="542"/>
      <c r="E49" s="542"/>
      <c r="F49" s="542"/>
      <c r="G49" s="542"/>
      <c r="H49" s="542"/>
      <c r="I49" s="542"/>
      <c r="J49" s="542"/>
      <c r="K49" s="542"/>
      <c r="L49" s="542"/>
      <c r="M49" s="542"/>
      <c r="N49" s="542"/>
      <c r="O49" s="542"/>
      <c r="P49" s="542"/>
      <c r="Q49" s="542"/>
      <c r="R49" s="542"/>
      <c r="S49" s="542"/>
      <c r="T49" s="542"/>
      <c r="U49" s="542"/>
      <c r="V49" s="542"/>
      <c r="W49" s="542"/>
      <c r="X49" s="542"/>
      <c r="Y49" s="542"/>
      <c r="Z49" s="542"/>
      <c r="AA49" s="542"/>
      <c r="AB49" s="542"/>
      <c r="AC49" s="542"/>
      <c r="AD49" s="542"/>
      <c r="AE49" s="542"/>
      <c r="AF49" s="542"/>
      <c r="AG49" s="542"/>
      <c r="AH49" s="518">
        <f>SUM($B49:AF49)</f>
        <v>0</v>
      </c>
      <c r="AI49" s="518"/>
      <c r="AJ49" s="518"/>
    </row>
    <row r="50" spans="1:59" ht="28.2" x14ac:dyDescent="0.4">
      <c r="A50" s="505" t="s">
        <v>223</v>
      </c>
      <c r="B50" s="518">
        <f>SUM(B36:B48)</f>
        <v>328</v>
      </c>
      <c r="C50" s="518">
        <f t="shared" ref="C50:AE50" si="10">SUM(C36:C48)</f>
        <v>308</v>
      </c>
      <c r="D50" s="518">
        <f t="shared" si="10"/>
        <v>377</v>
      </c>
      <c r="E50" s="518">
        <f t="shared" si="10"/>
        <v>367</v>
      </c>
      <c r="F50" s="518">
        <f t="shared" si="10"/>
        <v>275</v>
      </c>
      <c r="G50" s="518">
        <f>SUM(G36:G48)</f>
        <v>334</v>
      </c>
      <c r="H50" s="518">
        <f t="shared" si="10"/>
        <v>298</v>
      </c>
      <c r="I50" s="518">
        <f t="shared" si="10"/>
        <v>318</v>
      </c>
      <c r="J50" s="518">
        <f t="shared" si="10"/>
        <v>312</v>
      </c>
      <c r="K50" s="518">
        <f t="shared" si="10"/>
        <v>436</v>
      </c>
      <c r="L50" s="518">
        <f t="shared" si="10"/>
        <v>297</v>
      </c>
      <c r="M50" s="518">
        <f t="shared" si="10"/>
        <v>313</v>
      </c>
      <c r="N50" s="518">
        <f t="shared" si="10"/>
        <v>134</v>
      </c>
      <c r="O50" s="518">
        <f t="shared" si="10"/>
        <v>199</v>
      </c>
      <c r="P50" s="518">
        <f t="shared" si="10"/>
        <v>336</v>
      </c>
      <c r="Q50" s="518">
        <f>SUM(Q36:Q48)</f>
        <v>435</v>
      </c>
      <c r="R50" s="518">
        <f t="shared" si="10"/>
        <v>349</v>
      </c>
      <c r="S50" s="518">
        <f>SUM(S36:S48)</f>
        <v>456</v>
      </c>
      <c r="T50" s="518">
        <f t="shared" si="10"/>
        <v>292</v>
      </c>
      <c r="U50" s="518">
        <f t="shared" si="10"/>
        <v>37</v>
      </c>
      <c r="V50" s="518">
        <f t="shared" si="10"/>
        <v>14</v>
      </c>
      <c r="W50" s="518">
        <f t="shared" si="10"/>
        <v>281</v>
      </c>
      <c r="X50" s="518">
        <f t="shared" si="10"/>
        <v>354</v>
      </c>
      <c r="Y50" s="518">
        <f t="shared" si="10"/>
        <v>183</v>
      </c>
      <c r="Z50" s="518">
        <f t="shared" si="10"/>
        <v>82</v>
      </c>
      <c r="AA50" s="518">
        <f t="shared" si="10"/>
        <v>0</v>
      </c>
      <c r="AB50" s="518">
        <f t="shared" si="10"/>
        <v>0</v>
      </c>
      <c r="AC50" s="518">
        <f t="shared" si="10"/>
        <v>10</v>
      </c>
      <c r="AD50" s="518">
        <f t="shared" si="10"/>
        <v>410</v>
      </c>
      <c r="AE50" s="518">
        <f t="shared" si="10"/>
        <v>452</v>
      </c>
      <c r="AF50" s="518">
        <f>SUM(AF36:AF48)</f>
        <v>269</v>
      </c>
      <c r="AG50" s="518"/>
      <c r="AH50" s="518">
        <f>SUM($B50:AF50)</f>
        <v>8256</v>
      </c>
      <c r="AI50" s="518"/>
    </row>
    <row r="51" spans="1:59" x14ac:dyDescent="0.4">
      <c r="A51" s="565"/>
      <c r="B51" s="518"/>
      <c r="C51" s="518"/>
      <c r="D51" s="518"/>
      <c r="E51" s="518"/>
      <c r="F51" s="518"/>
      <c r="G51" s="518"/>
      <c r="H51" s="518"/>
      <c r="I51" s="518"/>
      <c r="J51" s="554"/>
      <c r="K51" s="554"/>
      <c r="L51" s="554"/>
      <c r="M51" s="554"/>
      <c r="N51" s="554"/>
      <c r="O51" s="554"/>
      <c r="P51" s="554"/>
      <c r="Q51" s="554"/>
      <c r="R51" s="554"/>
      <c r="S51" s="554"/>
      <c r="T51" s="554"/>
      <c r="U51" s="554"/>
      <c r="V51" s="554"/>
      <c r="W51" s="554"/>
      <c r="X51" s="554"/>
      <c r="Y51" s="554"/>
      <c r="Z51" s="554"/>
      <c r="AA51" s="554"/>
      <c r="AB51" s="554"/>
      <c r="AC51" s="554"/>
      <c r="AD51" s="554"/>
      <c r="AE51" s="554"/>
      <c r="AH51" s="518"/>
      <c r="AI51" s="518"/>
    </row>
    <row r="52" spans="1:59" x14ac:dyDescent="0.4">
      <c r="A52" s="565"/>
      <c r="B52" s="518"/>
      <c r="C52" s="518"/>
      <c r="D52" s="518"/>
      <c r="E52" s="518"/>
      <c r="F52" s="518"/>
      <c r="G52" s="518"/>
      <c r="H52" s="518"/>
      <c r="I52" s="518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554"/>
      <c r="AB52" s="554"/>
      <c r="AC52" s="554"/>
      <c r="AD52" s="554"/>
      <c r="AE52" s="554"/>
      <c r="AH52" s="518"/>
      <c r="AI52" s="518"/>
    </row>
    <row r="53" spans="1:59" x14ac:dyDescent="0.4">
      <c r="A53" s="553" t="s">
        <v>141</v>
      </c>
      <c r="M53" s="503"/>
      <c r="O53" s="503" t="s">
        <v>58</v>
      </c>
      <c r="AH53" s="293" t="s">
        <v>86</v>
      </c>
      <c r="AI53" s="293" t="s">
        <v>154</v>
      </c>
      <c r="AJ53" s="293" t="s">
        <v>203</v>
      </c>
    </row>
    <row r="54" spans="1:59" x14ac:dyDescent="0.4">
      <c r="A54" s="541" t="s">
        <v>229</v>
      </c>
      <c r="B54" s="580">
        <f>IF(B$9=0,"",+(B36*10)/B$9)</f>
        <v>0.61520073121001195</v>
      </c>
      <c r="C54" s="580">
        <f>IF(C$9=0,"",+(C36*10)/C$9)</f>
        <v>7.1723148646225567</v>
      </c>
      <c r="D54" s="580">
        <f>IF(D$9=0,"",+(D36*10)/D$9)</f>
        <v>3.3766233766233764</v>
      </c>
      <c r="E54" s="580">
        <f t="shared" ref="E54:F54" si="11">IF(E$9=0,"",+(E36*10)/E$9)</f>
        <v>5.5153721300367167</v>
      </c>
      <c r="F54" s="580">
        <f t="shared" si="11"/>
        <v>3.1589443797431738</v>
      </c>
      <c r="G54" s="580">
        <f>IF(G$9=0,"",+(G36*10)/G$9)</f>
        <v>4.0307127092997135</v>
      </c>
      <c r="H54" s="580">
        <f t="shared" ref="H54:AF54" si="12">IF(H$9=0,"",+(H36*10)/H$9)</f>
        <v>3.062665744263807</v>
      </c>
      <c r="I54" s="580">
        <f t="shared" si="12"/>
        <v>2.1434102192440725</v>
      </c>
      <c r="J54" s="580">
        <f t="shared" si="12"/>
        <v>7.6362891359818219</v>
      </c>
      <c r="K54" s="580">
        <f t="shared" si="12"/>
        <v>3.7752944729688913</v>
      </c>
      <c r="L54" s="580">
        <f>IF(L$9=0,"",+(L36*10)/L$9)</f>
        <v>2.4336163539018982</v>
      </c>
      <c r="M54" s="580">
        <f>IF(M$9=0,"",+(M36*10)/M$9)</f>
        <v>5.0955414012738851</v>
      </c>
      <c r="N54" s="580">
        <f t="shared" si="12"/>
        <v>0</v>
      </c>
      <c r="O54" s="580">
        <f t="shared" si="12"/>
        <v>0.1284838393026925</v>
      </c>
      <c r="P54" s="580">
        <f t="shared" si="12"/>
        <v>3.4374864665887142</v>
      </c>
      <c r="Q54" s="580">
        <f t="shared" si="12"/>
        <v>5.4023957971565757</v>
      </c>
      <c r="R54" s="580">
        <f t="shared" si="12"/>
        <v>3.1080031080031079</v>
      </c>
      <c r="S54" s="580">
        <f t="shared" si="12"/>
        <v>3.6334046960123927</v>
      </c>
      <c r="T54" s="580">
        <f t="shared" si="12"/>
        <v>0.22953679474819813</v>
      </c>
      <c r="U54" s="580" t="str">
        <f t="shared" si="12"/>
        <v/>
      </c>
      <c r="V54" s="580" t="str">
        <f t="shared" si="12"/>
        <v/>
      </c>
      <c r="W54" s="580">
        <f t="shared" si="12"/>
        <v>0</v>
      </c>
      <c r="X54" s="580">
        <f t="shared" si="12"/>
        <v>0.68639042773194459</v>
      </c>
      <c r="Y54" s="580">
        <f>IF(Y$9=0,"",+(Y36*10)/Y$9)</f>
        <v>0</v>
      </c>
      <c r="Z54" s="580" t="str">
        <f t="shared" si="12"/>
        <v/>
      </c>
      <c r="AA54" s="580" t="str">
        <f t="shared" si="12"/>
        <v/>
      </c>
      <c r="AB54" s="580" t="str">
        <f t="shared" si="12"/>
        <v/>
      </c>
      <c r="AC54" s="580">
        <f>IF(AC$9=0,"",+(AC36*10)/AC$9)</f>
        <v>0</v>
      </c>
      <c r="AD54" s="580">
        <f t="shared" si="12"/>
        <v>3.2419687592101383</v>
      </c>
      <c r="AE54" s="580">
        <f t="shared" si="12"/>
        <v>3.6061112865435518</v>
      </c>
      <c r="AF54" s="580">
        <f t="shared" si="12"/>
        <v>2.0905049266232769</v>
      </c>
      <c r="AG54" s="580"/>
      <c r="AH54" s="581">
        <f>+(AH36*10)/AH$9</f>
        <v>2.7663688878171411</v>
      </c>
      <c r="AI54" s="581">
        <v>3.2</v>
      </c>
      <c r="AJ54" s="582">
        <f t="shared" ref="AJ54" si="13">AI54-AH54</f>
        <v>0.4336311121828591</v>
      </c>
    </row>
    <row r="55" spans="1:59" s="588" customFormat="1" ht="25.5" customHeight="1" x14ac:dyDescent="0.4">
      <c r="A55" s="583" t="s">
        <v>173</v>
      </c>
      <c r="B55" s="584"/>
      <c r="C55" s="584"/>
      <c r="D55" s="584"/>
      <c r="E55" s="584"/>
      <c r="F55" s="584"/>
      <c r="G55" s="584"/>
      <c r="H55" s="584"/>
      <c r="I55" s="584"/>
      <c r="J55" s="584"/>
      <c r="K55" s="584"/>
      <c r="L55" s="584"/>
      <c r="M55" s="584"/>
      <c r="N55" s="584"/>
      <c r="O55" s="584"/>
      <c r="P55" s="584"/>
      <c r="Q55" s="584"/>
      <c r="R55" s="584"/>
      <c r="S55" s="584"/>
      <c r="T55" s="584"/>
      <c r="U55" s="584"/>
      <c r="V55" s="584"/>
      <c r="W55" s="584"/>
      <c r="X55" s="584"/>
      <c r="Y55" s="584"/>
      <c r="Z55" s="584"/>
      <c r="AA55" s="584"/>
      <c r="AB55" s="584"/>
      <c r="AC55" s="584"/>
      <c r="AD55" s="584"/>
      <c r="AE55" s="584"/>
      <c r="AF55" s="584"/>
      <c r="AG55" s="584"/>
      <c r="AH55" s="585">
        <f t="shared" ref="AH55:AH62" si="14">+(AH37*10)/AH$9</f>
        <v>0</v>
      </c>
      <c r="AI55" s="585">
        <v>0.1</v>
      </c>
      <c r="AJ55" s="586">
        <f>AI55-AH55</f>
        <v>0.1</v>
      </c>
      <c r="AK55" s="587"/>
      <c r="AL55" s="508"/>
      <c r="AM55" s="587"/>
      <c r="AN55" s="587"/>
      <c r="AO55" s="587"/>
      <c r="AP55" s="587"/>
      <c r="AQ55" s="587"/>
      <c r="AR55" s="587"/>
      <c r="AS55" s="587"/>
      <c r="AT55" s="587"/>
      <c r="AU55" s="587"/>
      <c r="AV55" s="587"/>
      <c r="AW55" s="587"/>
      <c r="AX55" s="587"/>
      <c r="AY55" s="587"/>
      <c r="AZ55" s="587"/>
      <c r="BA55" s="587"/>
      <c r="BB55" s="587"/>
      <c r="BC55" s="587"/>
      <c r="BD55" s="587"/>
      <c r="BE55" s="587"/>
      <c r="BF55" s="587"/>
      <c r="BG55" s="587"/>
    </row>
    <row r="56" spans="1:59" s="594" customFormat="1" x14ac:dyDescent="0.4">
      <c r="A56" s="589" t="s">
        <v>189</v>
      </c>
      <c r="B56" s="580">
        <f t="shared" ref="B56:C56" si="15">IF(B$9=0,"",+(B38*10)/B$9)</f>
        <v>0</v>
      </c>
      <c r="C56" s="580">
        <f t="shared" si="15"/>
        <v>0</v>
      </c>
      <c r="D56" s="580">
        <f t="shared" ref="D56:F62" si="16">IF(D$9=0,"",+(D38*10)/D$9)</f>
        <v>0</v>
      </c>
      <c r="E56" s="580">
        <f t="shared" si="16"/>
        <v>0</v>
      </c>
      <c r="F56" s="580">
        <f t="shared" si="16"/>
        <v>0</v>
      </c>
      <c r="G56" s="580">
        <f t="shared" ref="G56:AF56" si="17">IF(G$9=0,"",+(G38*10)/G$9)</f>
        <v>0</v>
      </c>
      <c r="H56" s="580">
        <f t="shared" si="17"/>
        <v>0</v>
      </c>
      <c r="I56" s="580">
        <f t="shared" si="17"/>
        <v>0</v>
      </c>
      <c r="J56" s="580">
        <f t="shared" si="17"/>
        <v>0</v>
      </c>
      <c r="K56" s="580">
        <f t="shared" si="17"/>
        <v>0</v>
      </c>
      <c r="L56" s="580">
        <f t="shared" ref="L56:M63" si="18">IF(L$9=0,"",+(L38*10)/L$9)</f>
        <v>0</v>
      </c>
      <c r="M56" s="580">
        <f t="shared" si="18"/>
        <v>0</v>
      </c>
      <c r="N56" s="580">
        <f t="shared" si="17"/>
        <v>0</v>
      </c>
      <c r="O56" s="580">
        <f t="shared" si="17"/>
        <v>0</v>
      </c>
      <c r="P56" s="580">
        <f t="shared" si="17"/>
        <v>0</v>
      </c>
      <c r="Q56" s="580">
        <f t="shared" si="17"/>
        <v>0</v>
      </c>
      <c r="R56" s="580">
        <f t="shared" si="17"/>
        <v>0</v>
      </c>
      <c r="S56" s="580">
        <f t="shared" si="17"/>
        <v>0</v>
      </c>
      <c r="T56" s="580">
        <f t="shared" si="17"/>
        <v>0</v>
      </c>
      <c r="U56" s="580" t="str">
        <f t="shared" si="17"/>
        <v/>
      </c>
      <c r="V56" s="580" t="str">
        <f t="shared" si="17"/>
        <v/>
      </c>
      <c r="W56" s="580">
        <f t="shared" si="17"/>
        <v>0</v>
      </c>
      <c r="X56" s="580">
        <f t="shared" si="17"/>
        <v>0</v>
      </c>
      <c r="Y56" s="580">
        <f t="shared" ref="Y56:Y63" si="19">IF(Y$9=0,"",+(Y38*10)/Y$9)</f>
        <v>0</v>
      </c>
      <c r="Z56" s="580" t="str">
        <f t="shared" si="17"/>
        <v/>
      </c>
      <c r="AA56" s="580" t="str">
        <f t="shared" si="17"/>
        <v/>
      </c>
      <c r="AB56" s="580" t="str">
        <f t="shared" si="17"/>
        <v/>
      </c>
      <c r="AC56" s="580">
        <f t="shared" ref="AC56:AC63" si="20">IF(AC$9=0,"",+(AC38*10)/AC$9)</f>
        <v>0</v>
      </c>
      <c r="AD56" s="580">
        <f t="shared" si="17"/>
        <v>0</v>
      </c>
      <c r="AE56" s="580">
        <f t="shared" si="17"/>
        <v>0</v>
      </c>
      <c r="AF56" s="580">
        <f t="shared" si="17"/>
        <v>0</v>
      </c>
      <c r="AG56" s="580"/>
      <c r="AH56" s="590">
        <f t="shared" si="14"/>
        <v>0</v>
      </c>
      <c r="AI56" s="591">
        <v>0.1</v>
      </c>
      <c r="AJ56" s="592">
        <f>AI56-AH56</f>
        <v>0.1</v>
      </c>
      <c r="AK56" s="593"/>
      <c r="AL56" s="593"/>
      <c r="AM56" s="593"/>
      <c r="AN56" s="593"/>
      <c r="AO56" s="593"/>
      <c r="AP56" s="593"/>
      <c r="AQ56" s="593"/>
      <c r="AR56" s="593"/>
      <c r="AS56" s="593"/>
      <c r="AT56" s="593"/>
      <c r="AU56" s="593"/>
      <c r="AV56" s="593"/>
      <c r="AW56" s="593"/>
      <c r="AX56" s="593"/>
      <c r="AY56" s="593"/>
      <c r="AZ56" s="593"/>
      <c r="BA56" s="593"/>
      <c r="BB56" s="593"/>
      <c r="BC56" s="593"/>
      <c r="BD56" s="593"/>
      <c r="BE56" s="593"/>
      <c r="BF56" s="593"/>
      <c r="BG56" s="593"/>
    </row>
    <row r="57" spans="1:59" s="538" customFormat="1" x14ac:dyDescent="0.4">
      <c r="A57" s="595" t="s">
        <v>221</v>
      </c>
      <c r="B57" s="584">
        <f t="shared" ref="B57:C57" si="21">IF(B$9=0,"",+(B39*10)/B$9)</f>
        <v>0</v>
      </c>
      <c r="C57" s="584">
        <f t="shared" si="21"/>
        <v>0</v>
      </c>
      <c r="D57" s="584">
        <f t="shared" si="16"/>
        <v>0</v>
      </c>
      <c r="E57" s="584">
        <f t="shared" si="16"/>
        <v>0</v>
      </c>
      <c r="F57" s="584">
        <f t="shared" si="16"/>
        <v>0</v>
      </c>
      <c r="G57" s="584">
        <f t="shared" ref="G57:AF57" si="22">IF(G$9=0,"",+(G39*10)/G$9)</f>
        <v>0</v>
      </c>
      <c r="H57" s="584">
        <f t="shared" si="22"/>
        <v>0</v>
      </c>
      <c r="I57" s="584">
        <f t="shared" si="22"/>
        <v>0</v>
      </c>
      <c r="J57" s="584">
        <f t="shared" si="22"/>
        <v>0</v>
      </c>
      <c r="K57" s="584">
        <f t="shared" si="22"/>
        <v>0</v>
      </c>
      <c r="L57" s="584">
        <f t="shared" si="18"/>
        <v>0</v>
      </c>
      <c r="M57" s="584">
        <f t="shared" si="18"/>
        <v>0</v>
      </c>
      <c r="N57" s="584">
        <f t="shared" si="22"/>
        <v>0</v>
      </c>
      <c r="O57" s="584">
        <f t="shared" si="22"/>
        <v>0</v>
      </c>
      <c r="P57" s="584">
        <f t="shared" si="22"/>
        <v>0</v>
      </c>
      <c r="Q57" s="584">
        <f t="shared" si="22"/>
        <v>0</v>
      </c>
      <c r="R57" s="584">
        <f t="shared" si="22"/>
        <v>0</v>
      </c>
      <c r="S57" s="584">
        <f t="shared" si="22"/>
        <v>0</v>
      </c>
      <c r="T57" s="584">
        <f t="shared" si="22"/>
        <v>0</v>
      </c>
      <c r="U57" s="584" t="str">
        <f t="shared" si="22"/>
        <v/>
      </c>
      <c r="V57" s="584" t="str">
        <f t="shared" si="22"/>
        <v/>
      </c>
      <c r="W57" s="584">
        <f t="shared" si="22"/>
        <v>0</v>
      </c>
      <c r="X57" s="584">
        <f t="shared" si="22"/>
        <v>0</v>
      </c>
      <c r="Y57" s="584">
        <f t="shared" si="19"/>
        <v>0</v>
      </c>
      <c r="Z57" s="584" t="str">
        <f t="shared" si="22"/>
        <v/>
      </c>
      <c r="AA57" s="584" t="str">
        <f t="shared" si="22"/>
        <v/>
      </c>
      <c r="AB57" s="584" t="str">
        <f t="shared" si="22"/>
        <v/>
      </c>
      <c r="AC57" s="584">
        <f t="shared" si="20"/>
        <v>0</v>
      </c>
      <c r="AD57" s="584">
        <f t="shared" si="22"/>
        <v>0</v>
      </c>
      <c r="AE57" s="584">
        <f t="shared" si="22"/>
        <v>0</v>
      </c>
      <c r="AF57" s="584">
        <f t="shared" si="22"/>
        <v>0</v>
      </c>
      <c r="AG57" s="584"/>
      <c r="AH57" s="585">
        <f t="shared" si="14"/>
        <v>0</v>
      </c>
      <c r="AI57" s="585">
        <v>0.7</v>
      </c>
      <c r="AJ57" s="586">
        <f t="shared" ref="AJ57" si="23">AI57-AH57</f>
        <v>0.7</v>
      </c>
      <c r="AK57" s="508"/>
      <c r="AL57" s="508"/>
      <c r="AM57" s="508"/>
      <c r="AN57" s="508"/>
      <c r="AO57" s="508"/>
      <c r="AP57" s="508"/>
      <c r="AQ57" s="508"/>
      <c r="AR57" s="508"/>
      <c r="AS57" s="508"/>
      <c r="AT57" s="508"/>
      <c r="AU57" s="508"/>
      <c r="AV57" s="508"/>
      <c r="AW57" s="508"/>
      <c r="AX57" s="508"/>
      <c r="AY57" s="508"/>
      <c r="AZ57" s="508"/>
      <c r="BA57" s="508"/>
      <c r="BB57" s="508"/>
      <c r="BC57" s="508"/>
      <c r="BD57" s="508"/>
      <c r="BE57" s="508"/>
      <c r="BF57" s="508"/>
      <c r="BG57" s="508"/>
    </row>
    <row r="58" spans="1:59" s="600" customFormat="1" x14ac:dyDescent="0.4">
      <c r="A58" s="596" t="s">
        <v>174</v>
      </c>
      <c r="B58" s="580">
        <f t="shared" ref="B58:C58" si="24">IF(B$9=0,"",+(B40*10)/B$9)</f>
        <v>0</v>
      </c>
      <c r="C58" s="580">
        <f t="shared" si="24"/>
        <v>0</v>
      </c>
      <c r="D58" s="580">
        <f t="shared" si="16"/>
        <v>0</v>
      </c>
      <c r="E58" s="580">
        <f t="shared" si="16"/>
        <v>0</v>
      </c>
      <c r="F58" s="580">
        <f t="shared" si="16"/>
        <v>0</v>
      </c>
      <c r="G58" s="580">
        <f t="shared" ref="G58:AF58" si="25">IF(G$9=0,"",+(G40*10)/G$9)</f>
        <v>0</v>
      </c>
      <c r="H58" s="580">
        <f t="shared" si="25"/>
        <v>0</v>
      </c>
      <c r="I58" s="580">
        <f t="shared" si="25"/>
        <v>0</v>
      </c>
      <c r="J58" s="580">
        <f t="shared" si="25"/>
        <v>0</v>
      </c>
      <c r="K58" s="580">
        <f t="shared" si="25"/>
        <v>0</v>
      </c>
      <c r="L58" s="580">
        <f t="shared" si="18"/>
        <v>0</v>
      </c>
      <c r="M58" s="580">
        <f t="shared" si="18"/>
        <v>0</v>
      </c>
      <c r="N58" s="580">
        <f t="shared" si="25"/>
        <v>0</v>
      </c>
      <c r="O58" s="580">
        <f t="shared" si="25"/>
        <v>0</v>
      </c>
      <c r="P58" s="580">
        <f t="shared" si="25"/>
        <v>0</v>
      </c>
      <c r="Q58" s="580">
        <f t="shared" si="25"/>
        <v>0</v>
      </c>
      <c r="R58" s="580">
        <f t="shared" si="25"/>
        <v>0</v>
      </c>
      <c r="S58" s="580">
        <f t="shared" si="25"/>
        <v>0</v>
      </c>
      <c r="T58" s="580">
        <f t="shared" si="25"/>
        <v>0</v>
      </c>
      <c r="U58" s="580" t="str">
        <f t="shared" si="25"/>
        <v/>
      </c>
      <c r="V58" s="580" t="str">
        <f t="shared" si="25"/>
        <v/>
      </c>
      <c r="W58" s="580">
        <f t="shared" si="25"/>
        <v>0</v>
      </c>
      <c r="X58" s="580">
        <f t="shared" si="25"/>
        <v>0</v>
      </c>
      <c r="Y58" s="580">
        <f t="shared" si="19"/>
        <v>0</v>
      </c>
      <c r="Z58" s="580" t="str">
        <f t="shared" si="25"/>
        <v/>
      </c>
      <c r="AA58" s="580" t="str">
        <f t="shared" si="25"/>
        <v/>
      </c>
      <c r="AB58" s="580" t="str">
        <f t="shared" si="25"/>
        <v/>
      </c>
      <c r="AC58" s="580">
        <f t="shared" si="20"/>
        <v>0</v>
      </c>
      <c r="AD58" s="580">
        <f t="shared" si="25"/>
        <v>0</v>
      </c>
      <c r="AE58" s="580">
        <f t="shared" si="25"/>
        <v>0</v>
      </c>
      <c r="AF58" s="580">
        <f t="shared" si="25"/>
        <v>0</v>
      </c>
      <c r="AG58" s="580"/>
      <c r="AH58" s="590">
        <f t="shared" si="14"/>
        <v>0</v>
      </c>
      <c r="AI58" s="597">
        <v>1</v>
      </c>
      <c r="AJ58" s="598">
        <f>AI58-AH58</f>
        <v>1</v>
      </c>
      <c r="AK58" s="599"/>
      <c r="AL58" s="599"/>
      <c r="AM58" s="599"/>
      <c r="AN58" s="599"/>
      <c r="AO58" s="599"/>
      <c r="AP58" s="599"/>
      <c r="AQ58" s="599"/>
      <c r="AR58" s="599"/>
      <c r="AS58" s="599"/>
      <c r="AT58" s="599"/>
      <c r="AU58" s="599"/>
      <c r="AV58" s="599"/>
      <c r="AW58" s="599"/>
      <c r="AX58" s="599"/>
      <c r="AY58" s="599"/>
      <c r="AZ58" s="599"/>
      <c r="BA58" s="599"/>
      <c r="BB58" s="599"/>
      <c r="BC58" s="599"/>
      <c r="BD58" s="599"/>
      <c r="BE58" s="599"/>
      <c r="BF58" s="599"/>
      <c r="BG58" s="599"/>
    </row>
    <row r="59" spans="1:59" s="538" customFormat="1" x14ac:dyDescent="0.4">
      <c r="A59" s="573" t="s">
        <v>100</v>
      </c>
      <c r="B59" s="584">
        <f t="shared" ref="B59:C59" si="26">IF(B$9=0,"",+(B41*10)/B$9)</f>
        <v>0.61520073121001195</v>
      </c>
      <c r="C59" s="584">
        <f t="shared" si="26"/>
        <v>0.1415588460122873</v>
      </c>
      <c r="D59" s="584">
        <f t="shared" si="16"/>
        <v>0.72150072150072153</v>
      </c>
      <c r="E59" s="584">
        <f t="shared" si="16"/>
        <v>2.1273578215855906</v>
      </c>
      <c r="F59" s="584">
        <f t="shared" si="16"/>
        <v>1.1037275543680969</v>
      </c>
      <c r="G59" s="584">
        <f t="shared" ref="G59:AF59" si="27">IF(G$9=0,"",+(G41*10)/G$9)</f>
        <v>1.0902747492368077</v>
      </c>
      <c r="H59" s="584">
        <f t="shared" si="27"/>
        <v>0.30884024311903935</v>
      </c>
      <c r="I59" s="584">
        <f t="shared" si="27"/>
        <v>1.161013868757206</v>
      </c>
      <c r="J59" s="584">
        <f t="shared" si="27"/>
        <v>0.6053156022424615</v>
      </c>
      <c r="K59" s="584">
        <f t="shared" si="27"/>
        <v>1.3499537812434217</v>
      </c>
      <c r="L59" s="584">
        <f t="shared" si="18"/>
        <v>0.63093757323382538</v>
      </c>
      <c r="M59" s="584">
        <f t="shared" si="18"/>
        <v>1.0808724184520362</v>
      </c>
      <c r="N59" s="584">
        <f t="shared" si="27"/>
        <v>0.52463695122974896</v>
      </c>
      <c r="O59" s="584">
        <f t="shared" si="27"/>
        <v>0.92508364297938606</v>
      </c>
      <c r="P59" s="584">
        <f t="shared" si="27"/>
        <v>1.5698757091507514</v>
      </c>
      <c r="Q59" s="584">
        <f t="shared" si="27"/>
        <v>0.90958704748044383</v>
      </c>
      <c r="R59" s="584">
        <f t="shared" si="27"/>
        <v>0.613421666053245</v>
      </c>
      <c r="S59" s="584">
        <f t="shared" si="27"/>
        <v>0.87027657389518387</v>
      </c>
      <c r="T59" s="584">
        <f>IF(T$9=0,"",+(T41*10)/T$9)</f>
        <v>1.0850830297187548</v>
      </c>
      <c r="U59" s="584" t="str">
        <f t="shared" si="27"/>
        <v/>
      </c>
      <c r="V59" s="584" t="str">
        <f t="shared" si="27"/>
        <v/>
      </c>
      <c r="W59" s="584">
        <f t="shared" si="27"/>
        <v>0</v>
      </c>
      <c r="X59" s="584">
        <f t="shared" si="27"/>
        <v>1.3506392287628586</v>
      </c>
      <c r="Y59" s="584">
        <f t="shared" si="19"/>
        <v>1.4706888296053082</v>
      </c>
      <c r="Z59" s="584" t="str">
        <f t="shared" si="27"/>
        <v/>
      </c>
      <c r="AA59" s="584" t="str">
        <f t="shared" si="27"/>
        <v/>
      </c>
      <c r="AB59" s="584" t="str">
        <f t="shared" si="27"/>
        <v/>
      </c>
      <c r="AC59" s="584">
        <f t="shared" si="20"/>
        <v>0</v>
      </c>
      <c r="AD59" s="584">
        <f t="shared" si="27"/>
        <v>1.6343809447257722</v>
      </c>
      <c r="AE59" s="584">
        <f t="shared" si="27"/>
        <v>1.1110721261242296</v>
      </c>
      <c r="AF59" s="584">
        <f t="shared" si="27"/>
        <v>0.53424014791483743</v>
      </c>
      <c r="AG59" s="584"/>
      <c r="AH59" s="584">
        <f t="shared" si="14"/>
        <v>0.92859400093978894</v>
      </c>
      <c r="AI59" s="585">
        <v>0.7</v>
      </c>
      <c r="AJ59" s="586">
        <f t="shared" ref="AJ59:AJ60" si="28">AI59-AH59</f>
        <v>-0.22859400093978899</v>
      </c>
      <c r="AK59" s="508"/>
      <c r="AL59" s="508"/>
      <c r="AM59" s="508"/>
      <c r="AN59" s="508"/>
      <c r="AO59" s="508"/>
      <c r="AP59" s="508"/>
      <c r="AQ59" s="508"/>
      <c r="AR59" s="508"/>
      <c r="AS59" s="508"/>
      <c r="AT59" s="508"/>
      <c r="AU59" s="508"/>
      <c r="AV59" s="508"/>
      <c r="AW59" s="508"/>
      <c r="AX59" s="508"/>
      <c r="AY59" s="508"/>
      <c r="AZ59" s="508"/>
      <c r="BA59" s="508"/>
      <c r="BB59" s="508"/>
      <c r="BC59" s="508"/>
      <c r="BD59" s="508"/>
      <c r="BE59" s="508"/>
      <c r="BF59" s="508"/>
      <c r="BG59" s="508"/>
    </row>
    <row r="60" spans="1:59" x14ac:dyDescent="0.4">
      <c r="A60" s="601" t="s">
        <v>129</v>
      </c>
      <c r="B60" s="580">
        <f t="shared" ref="B60" si="29">IF(B$9=0,"",+(B42*10)/B$9)</f>
        <v>3.6692329325739999</v>
      </c>
      <c r="C60" s="580">
        <f>IF(C$9=0,"",+(C42*10)/C$9)</f>
        <v>3.9636476883440444</v>
      </c>
      <c r="D60" s="580">
        <f t="shared" si="16"/>
        <v>3.4054834054834053</v>
      </c>
      <c r="E60" s="580">
        <f t="shared" si="16"/>
        <v>3.3486187932365779</v>
      </c>
      <c r="F60" s="602">
        <f t="shared" si="16"/>
        <v>3.5014805173056862</v>
      </c>
      <c r="G60" s="580">
        <f t="shared" ref="G60:AF60" si="30">IF(G$9=0,"",+(G42*10)/G$9)</f>
        <v>3.3369015052399265</v>
      </c>
      <c r="H60" s="580">
        <f t="shared" si="30"/>
        <v>2.7023521272915945</v>
      </c>
      <c r="I60" s="580">
        <f t="shared" si="30"/>
        <v>2.4559908762171667</v>
      </c>
      <c r="J60" s="580">
        <f t="shared" si="30"/>
        <v>4.1906464770631944</v>
      </c>
      <c r="K60" s="580">
        <f t="shared" si="30"/>
        <v>3.2719218765730393</v>
      </c>
      <c r="L60" s="580">
        <f t="shared" si="18"/>
        <v>3.9358486711252918</v>
      </c>
      <c r="M60" s="580">
        <f t="shared" si="18"/>
        <v>3.1654120826095347</v>
      </c>
      <c r="N60" s="580">
        <f t="shared" si="30"/>
        <v>4.9840510366826152</v>
      </c>
      <c r="O60" s="580">
        <f t="shared" si="30"/>
        <v>2.826644464659235</v>
      </c>
      <c r="P60" s="580">
        <f t="shared" si="30"/>
        <v>2.5984149668702092</v>
      </c>
      <c r="Q60" s="580">
        <f t="shared" si="30"/>
        <v>3.6659114337848191</v>
      </c>
      <c r="R60" s="580">
        <f t="shared" si="30"/>
        <v>2.1060810534494743</v>
      </c>
      <c r="S60" s="580">
        <f t="shared" si="30"/>
        <v>4.1338137260021233</v>
      </c>
      <c r="T60" s="580">
        <f t="shared" si="30"/>
        <v>3.6934556973119155</v>
      </c>
      <c r="U60" s="580" t="str">
        <f t="shared" si="30"/>
        <v/>
      </c>
      <c r="V60" s="580" t="str">
        <f t="shared" si="30"/>
        <v/>
      </c>
      <c r="W60" s="580">
        <f t="shared" si="30"/>
        <v>3.9964492377279544</v>
      </c>
      <c r="X60" s="580">
        <f t="shared" si="30"/>
        <v>4.2511923265978497</v>
      </c>
      <c r="Y60" s="580">
        <f t="shared" si="19"/>
        <v>3.2833983172583623</v>
      </c>
      <c r="Z60" s="580" t="str">
        <f t="shared" si="30"/>
        <v/>
      </c>
      <c r="AA60" s="580" t="str">
        <f t="shared" si="30"/>
        <v/>
      </c>
      <c r="AB60" s="580" t="str">
        <f t="shared" si="30"/>
        <v/>
      </c>
      <c r="AC60" s="580">
        <f t="shared" si="20"/>
        <v>0</v>
      </c>
      <c r="AD60" s="580">
        <f t="shared" si="30"/>
        <v>4.3404870991077882</v>
      </c>
      <c r="AE60" s="580">
        <f t="shared" si="30"/>
        <v>3.079813963642601</v>
      </c>
      <c r="AF60" s="580">
        <f t="shared" si="30"/>
        <v>2.3924667493577503</v>
      </c>
      <c r="AG60" s="580"/>
      <c r="AH60" s="603">
        <f t="shared" si="14"/>
        <v>3.4285718106708352</v>
      </c>
      <c r="AI60" s="590">
        <v>2.1</v>
      </c>
      <c r="AJ60" s="582">
        <f t="shared" si="28"/>
        <v>-1.3285718106708351</v>
      </c>
    </row>
    <row r="61" spans="1:59" s="538" customFormat="1" x14ac:dyDescent="0.4">
      <c r="A61" s="573" t="s">
        <v>170</v>
      </c>
      <c r="B61" s="584">
        <f t="shared" ref="B61:C61" si="31">IF(B$9=0,"",+(B43*10)/B$9)</f>
        <v>0.59322927652394009</v>
      </c>
      <c r="C61" s="584">
        <f t="shared" si="31"/>
        <v>0.66060794805734069</v>
      </c>
      <c r="D61" s="584">
        <f t="shared" si="16"/>
        <v>0.86580086580086579</v>
      </c>
      <c r="E61" s="584">
        <f t="shared" si="16"/>
        <v>1.0636789107927953</v>
      </c>
      <c r="F61" s="584">
        <f t="shared" si="16"/>
        <v>0.64701270428474644</v>
      </c>
      <c r="G61" s="584">
        <f t="shared" ref="G61:AF61" si="32">IF(G$9=0,"",+(G43*10)/G$9)</f>
        <v>0.5616566890007797</v>
      </c>
      <c r="H61" s="584">
        <f t="shared" si="32"/>
        <v>0.5919437993114921</v>
      </c>
      <c r="I61" s="584">
        <f t="shared" si="32"/>
        <v>0.6251613139461879</v>
      </c>
      <c r="J61" s="584">
        <f t="shared" si="32"/>
        <v>0.83812929541263892</v>
      </c>
      <c r="K61" s="584">
        <f t="shared" si="32"/>
        <v>0.61777545921309129</v>
      </c>
      <c r="L61" s="584">
        <f t="shared" si="18"/>
        <v>0.63093757323382538</v>
      </c>
      <c r="M61" s="584">
        <f t="shared" si="18"/>
        <v>1.3124879366917583</v>
      </c>
      <c r="N61" s="584">
        <f t="shared" si="32"/>
        <v>0.47217325610677408</v>
      </c>
      <c r="O61" s="584">
        <f t="shared" si="32"/>
        <v>0.51393535721076999</v>
      </c>
      <c r="P61" s="584">
        <f t="shared" si="32"/>
        <v>0.59547009657442296</v>
      </c>
      <c r="Q61" s="584">
        <f t="shared" si="32"/>
        <v>0.82689731589131255</v>
      </c>
      <c r="R61" s="584">
        <f t="shared" si="32"/>
        <v>0.59297427718480344</v>
      </c>
      <c r="S61" s="584">
        <f t="shared" si="32"/>
        <v>0.58743668737924915</v>
      </c>
      <c r="T61" s="584">
        <f t="shared" si="32"/>
        <v>0.54254151485937741</v>
      </c>
      <c r="U61" s="584" t="str">
        <f t="shared" si="32"/>
        <v/>
      </c>
      <c r="V61" s="584" t="str">
        <f t="shared" si="32"/>
        <v/>
      </c>
      <c r="W61" s="584">
        <f t="shared" si="32"/>
        <v>0.53408768614797542</v>
      </c>
      <c r="X61" s="584">
        <f t="shared" si="32"/>
        <v>0.68639042773194459</v>
      </c>
      <c r="Y61" s="584">
        <f t="shared" si="19"/>
        <v>0.64983925029071754</v>
      </c>
      <c r="Z61" s="584" t="str">
        <f t="shared" si="32"/>
        <v/>
      </c>
      <c r="AA61" s="584" t="str">
        <f t="shared" si="32"/>
        <v/>
      </c>
      <c r="AB61" s="584" t="str">
        <f t="shared" si="32"/>
        <v/>
      </c>
      <c r="AC61" s="584">
        <f t="shared" si="20"/>
        <v>0</v>
      </c>
      <c r="AD61" s="584">
        <f t="shared" si="32"/>
        <v>0.69662138627655867</v>
      </c>
      <c r="AE61" s="584">
        <f t="shared" si="32"/>
        <v>0.56528230978250271</v>
      </c>
      <c r="AF61" s="584">
        <f t="shared" si="32"/>
        <v>0.51101231539680103</v>
      </c>
      <c r="AG61" s="584"/>
      <c r="AH61" s="585">
        <f t="shared" si="14"/>
        <v>0.65141785896356852</v>
      </c>
      <c r="AI61" s="585">
        <v>0.7</v>
      </c>
      <c r="AJ61" s="586">
        <f>AI61-AH61</f>
        <v>4.8582141036431437E-2</v>
      </c>
      <c r="AK61" s="508"/>
      <c r="AL61" s="508"/>
      <c r="AM61" s="508"/>
      <c r="AN61" s="508"/>
      <c r="AO61" s="508"/>
      <c r="AP61" s="508"/>
      <c r="AQ61" s="508"/>
      <c r="AR61" s="508"/>
      <c r="AS61" s="508"/>
      <c r="AT61" s="508"/>
      <c r="AU61" s="508"/>
      <c r="AV61" s="508"/>
      <c r="AW61" s="508"/>
      <c r="AX61" s="508"/>
      <c r="AY61" s="508"/>
      <c r="AZ61" s="508"/>
      <c r="BA61" s="508"/>
      <c r="BB61" s="508"/>
      <c r="BC61" s="508"/>
      <c r="BD61" s="508"/>
      <c r="BE61" s="508"/>
      <c r="BF61" s="508"/>
      <c r="BG61" s="508"/>
    </row>
    <row r="62" spans="1:59" x14ac:dyDescent="0.4">
      <c r="A62" s="541" t="s">
        <v>128</v>
      </c>
      <c r="B62" s="580">
        <f t="shared" ref="B62:C62" si="33">IF(B$9=0,"",+(B44*10)/B$9)</f>
        <v>0.39548618434929339</v>
      </c>
      <c r="C62" s="580">
        <f t="shared" si="33"/>
        <v>0.33030397402867034</v>
      </c>
      <c r="D62" s="580">
        <f t="shared" si="16"/>
        <v>0.28860028860028858</v>
      </c>
      <c r="E62" s="580">
        <f t="shared" si="16"/>
        <v>0.27576860650183582</v>
      </c>
      <c r="F62" s="580">
        <f t="shared" si="16"/>
        <v>0.22835742504167519</v>
      </c>
      <c r="G62" s="580">
        <f t="shared" ref="G62:AF62" si="34">IF(G$9=0,"",+(G44*10)/G$9)</f>
        <v>0.46254080270652448</v>
      </c>
      <c r="H62" s="580">
        <f t="shared" si="34"/>
        <v>0.15442012155951967</v>
      </c>
      <c r="I62" s="580">
        <f t="shared" si="34"/>
        <v>8.9308759135169696E-2</v>
      </c>
      <c r="J62" s="580">
        <f t="shared" si="34"/>
        <v>0.13968821590210651</v>
      </c>
      <c r="K62" s="580">
        <f t="shared" si="34"/>
        <v>0.22880572563447826</v>
      </c>
      <c r="L62" s="580">
        <f t="shared" si="18"/>
        <v>0.54080363420042177</v>
      </c>
      <c r="M62" s="580">
        <f t="shared" si="18"/>
        <v>0.42462845010615707</v>
      </c>
      <c r="N62" s="580">
        <f t="shared" si="34"/>
        <v>0.2098547804918996</v>
      </c>
      <c r="O62" s="580">
        <f t="shared" si="34"/>
        <v>0.102787071442154</v>
      </c>
      <c r="P62" s="580">
        <f t="shared" si="34"/>
        <v>0.13533411285782337</v>
      </c>
      <c r="Q62" s="580">
        <f t="shared" si="34"/>
        <v>0.44101190180870004</v>
      </c>
      <c r="R62" s="580">
        <f t="shared" si="34"/>
        <v>0.163579110947532</v>
      </c>
      <c r="S62" s="580">
        <f t="shared" si="34"/>
        <v>0.10878457173689798</v>
      </c>
      <c r="T62" s="580">
        <f t="shared" si="34"/>
        <v>0</v>
      </c>
      <c r="U62" s="580" t="str">
        <f t="shared" si="34"/>
        <v/>
      </c>
      <c r="V62" s="580" t="str">
        <f t="shared" si="34"/>
        <v/>
      </c>
      <c r="W62" s="580">
        <f t="shared" si="34"/>
        <v>0.11050090058233976</v>
      </c>
      <c r="X62" s="580">
        <f t="shared" si="34"/>
        <v>0.2214162670103047</v>
      </c>
      <c r="Y62" s="580">
        <f t="shared" si="19"/>
        <v>0.13680826321909845</v>
      </c>
      <c r="Z62" s="580" t="str">
        <f t="shared" si="34"/>
        <v/>
      </c>
      <c r="AA62" s="580" t="str">
        <f t="shared" si="34"/>
        <v/>
      </c>
      <c r="AB62" s="580" t="str">
        <f t="shared" si="34"/>
        <v/>
      </c>
      <c r="AC62" s="580">
        <f t="shared" si="20"/>
        <v>0</v>
      </c>
      <c r="AD62" s="580">
        <f t="shared" si="34"/>
        <v>0.32151756289687322</v>
      </c>
      <c r="AE62" s="580">
        <f t="shared" si="34"/>
        <v>0</v>
      </c>
      <c r="AF62" s="580">
        <f t="shared" si="34"/>
        <v>2.3227832518036409E-2</v>
      </c>
      <c r="AG62" s="580"/>
      <c r="AH62" s="590">
        <f t="shared" si="14"/>
        <v>0.2038377075233683</v>
      </c>
      <c r="AI62" s="590">
        <v>0.1</v>
      </c>
      <c r="AJ62" s="582">
        <f>AI62-AH62</f>
        <v>-0.10383770752336829</v>
      </c>
    </row>
    <row r="63" spans="1:59" s="538" customFormat="1" x14ac:dyDescent="0.4">
      <c r="A63" s="573" t="s">
        <v>130</v>
      </c>
      <c r="B63" s="584">
        <f t="shared" ref="B63:C63" si="35">IF(B$9=0,"",+(B45*10)/B$9)</f>
        <v>1.3182872811643112</v>
      </c>
      <c r="C63" s="584">
        <f t="shared" si="35"/>
        <v>2.2649415361965968</v>
      </c>
      <c r="D63" s="584">
        <f>IF(D$9=0,"",+(D45*10)/D$9)</f>
        <v>2.2222222222222223</v>
      </c>
      <c r="E63" s="604">
        <f t="shared" ref="E63:AF63" si="36">IF(E$9=0,"",+(E45*10)/E$9)</f>
        <v>2.1273578215855906</v>
      </c>
      <c r="F63" s="604">
        <f t="shared" si="36"/>
        <v>1.8268594003334016</v>
      </c>
      <c r="G63" s="604">
        <f t="shared" si="36"/>
        <v>1.5528155519433322</v>
      </c>
      <c r="H63" s="604">
        <f t="shared" si="36"/>
        <v>0.84931066857735826</v>
      </c>
      <c r="I63" s="604">
        <f t="shared" si="36"/>
        <v>0.6251613139461879</v>
      </c>
      <c r="J63" s="604">
        <f t="shared" si="36"/>
        <v>1.117505727216852</v>
      </c>
      <c r="K63" s="604">
        <f t="shared" si="36"/>
        <v>0.7321783220303304</v>
      </c>
      <c r="L63" s="604">
        <f t="shared" si="18"/>
        <v>0.75111615861169689</v>
      </c>
      <c r="M63" s="604">
        <f t="shared" si="18"/>
        <v>1.0036672457054623</v>
      </c>
      <c r="N63" s="604">
        <f t="shared" si="36"/>
        <v>0.83941912196759838</v>
      </c>
      <c r="O63" s="604">
        <f t="shared" si="36"/>
        <v>0.61672242865292404</v>
      </c>
      <c r="P63" s="584">
        <f t="shared" si="36"/>
        <v>0.75787103200381101</v>
      </c>
      <c r="Q63" s="584">
        <f t="shared" si="36"/>
        <v>0.74420758430218126</v>
      </c>
      <c r="R63" s="604">
        <f t="shared" si="36"/>
        <v>0.55207949944792045</v>
      </c>
      <c r="S63" s="604">
        <f t="shared" si="36"/>
        <v>0.58743668737924915</v>
      </c>
      <c r="T63" s="584">
        <f t="shared" si="36"/>
        <v>0.54254151485937741</v>
      </c>
      <c r="U63" s="584" t="str">
        <f t="shared" si="36"/>
        <v/>
      </c>
      <c r="V63" s="584" t="str">
        <f t="shared" si="36"/>
        <v/>
      </c>
      <c r="W63" s="584">
        <f t="shared" si="36"/>
        <v>0.53408768614797542</v>
      </c>
      <c r="X63" s="584">
        <f t="shared" si="36"/>
        <v>0.64210717432988362</v>
      </c>
      <c r="Y63" s="584">
        <f t="shared" si="19"/>
        <v>0.71824338190026682</v>
      </c>
      <c r="Z63" s="584" t="str">
        <f t="shared" si="36"/>
        <v/>
      </c>
      <c r="AA63" s="584" t="str">
        <f t="shared" si="36"/>
        <v/>
      </c>
      <c r="AB63" s="584" t="str">
        <f t="shared" si="36"/>
        <v/>
      </c>
      <c r="AC63" s="584">
        <f t="shared" si="20"/>
        <v>6.4819316156214555</v>
      </c>
      <c r="AD63" s="584">
        <f t="shared" si="36"/>
        <v>0.75020764675937091</v>
      </c>
      <c r="AE63" s="584">
        <f t="shared" si="36"/>
        <v>0.448327349137847</v>
      </c>
      <c r="AF63" s="584">
        <f t="shared" si="36"/>
        <v>0.69683497554109231</v>
      </c>
      <c r="AG63" s="584"/>
      <c r="AH63" s="585">
        <f>+(AH45*10)/AH$9</f>
        <v>0.92535848177275126</v>
      </c>
      <c r="AI63" s="585">
        <v>0.6</v>
      </c>
      <c r="AJ63" s="586">
        <f t="shared" ref="AJ63:AJ67" si="37">AI63-AH63</f>
        <v>-0.32535848177275128</v>
      </c>
      <c r="AK63" s="508"/>
      <c r="AL63" s="508"/>
      <c r="AM63" s="508"/>
      <c r="AN63" s="508"/>
      <c r="AO63" s="508"/>
      <c r="AP63" s="508"/>
      <c r="AQ63" s="508"/>
      <c r="AR63" s="508"/>
      <c r="AS63" s="508"/>
      <c r="AT63" s="508"/>
      <c r="AU63" s="508"/>
      <c r="AV63" s="508"/>
      <c r="AW63" s="508"/>
      <c r="AX63" s="508"/>
      <c r="AY63" s="508"/>
      <c r="AZ63" s="508"/>
      <c r="BA63" s="508"/>
      <c r="BB63" s="508"/>
      <c r="BC63" s="508"/>
      <c r="BD63" s="508"/>
      <c r="BE63" s="508"/>
      <c r="BF63" s="508"/>
      <c r="BG63" s="508"/>
    </row>
    <row r="64" spans="1:59" s="609" customFormat="1" x14ac:dyDescent="0.4">
      <c r="A64" s="605" t="s">
        <v>167</v>
      </c>
      <c r="B64" s="580"/>
      <c r="C64" s="580"/>
      <c r="D64" s="580"/>
      <c r="E64" s="580"/>
      <c r="F64" s="580"/>
      <c r="G64" s="580"/>
      <c r="H64" s="580"/>
      <c r="I64" s="580"/>
      <c r="J64" s="580"/>
      <c r="K64" s="580"/>
      <c r="L64" s="580"/>
      <c r="M64" s="580"/>
      <c r="N64" s="580"/>
      <c r="O64" s="580"/>
      <c r="P64" s="580"/>
      <c r="Q64" s="580"/>
      <c r="R64" s="580"/>
      <c r="S64" s="580"/>
      <c r="T64" s="580"/>
      <c r="U64" s="580"/>
      <c r="V64" s="580"/>
      <c r="W64" s="580"/>
      <c r="X64" s="580"/>
      <c r="Y64" s="580"/>
      <c r="Z64" s="580"/>
      <c r="AA64" s="580"/>
      <c r="AB64" s="580"/>
      <c r="AC64" s="580"/>
      <c r="AD64" s="580"/>
      <c r="AE64" s="580"/>
      <c r="AF64" s="580"/>
      <c r="AG64" s="580"/>
      <c r="AH64" s="590"/>
      <c r="AI64" s="606">
        <v>0.5</v>
      </c>
      <c r="AJ64" s="607">
        <f t="shared" si="37"/>
        <v>0.5</v>
      </c>
      <c r="AK64" s="608"/>
      <c r="AL64" s="292"/>
      <c r="AM64" s="608"/>
      <c r="AN64" s="608"/>
      <c r="AO64" s="608"/>
      <c r="AP64" s="608"/>
      <c r="AQ64" s="608"/>
      <c r="AR64" s="608"/>
      <c r="AS64" s="608"/>
      <c r="AT64" s="608"/>
      <c r="AU64" s="608"/>
      <c r="AV64" s="608"/>
      <c r="AW64" s="608"/>
      <c r="AX64" s="608"/>
      <c r="AY64" s="608"/>
      <c r="AZ64" s="608"/>
      <c r="BA64" s="608"/>
      <c r="BB64" s="608"/>
      <c r="BC64" s="608"/>
      <c r="BD64" s="608"/>
      <c r="BE64" s="608"/>
      <c r="BF64" s="608"/>
      <c r="BG64" s="608"/>
    </row>
    <row r="65" spans="1:59" s="538" customFormat="1" x14ac:dyDescent="0.4">
      <c r="A65" s="573" t="s">
        <v>202</v>
      </c>
      <c r="B65" s="584">
        <f t="shared" ref="B65:C65" si="38">IF(B$9=0,"",+(B46*10)/B$9)</f>
        <v>0</v>
      </c>
      <c r="C65" s="584">
        <f t="shared" si="38"/>
        <v>0</v>
      </c>
      <c r="D65" s="584">
        <f>IF(D$9=0,"",+(D46*10)/D$9)</f>
        <v>0</v>
      </c>
      <c r="E65" s="610">
        <f t="shared" ref="E65:AF65" si="39">IF(E$9=0,"",+(E46*10)/E$9)</f>
        <v>0</v>
      </c>
      <c r="F65" s="610">
        <f t="shared" si="39"/>
        <v>0</v>
      </c>
      <c r="G65" s="610">
        <f t="shared" si="39"/>
        <v>0</v>
      </c>
      <c r="H65" s="584">
        <f t="shared" si="39"/>
        <v>0</v>
      </c>
      <c r="I65" s="584">
        <f t="shared" si="39"/>
        <v>0</v>
      </c>
      <c r="J65" s="584">
        <f>IF(J$9=0,"",+(J46*10)/J$9)</f>
        <v>0</v>
      </c>
      <c r="K65" s="584">
        <f t="shared" si="39"/>
        <v>0</v>
      </c>
      <c r="L65" s="610">
        <f>IF(L$9=0,"",+(L46*10)/L$9)</f>
        <v>0</v>
      </c>
      <c r="M65" s="584">
        <f>IF(M$9=0,"",+(M46*10)/M$9)</f>
        <v>0</v>
      </c>
      <c r="N65" s="584">
        <f t="shared" si="39"/>
        <v>0</v>
      </c>
      <c r="O65" s="584">
        <f t="shared" si="39"/>
        <v>0</v>
      </c>
      <c r="P65" s="584">
        <f t="shared" si="39"/>
        <v>0</v>
      </c>
      <c r="Q65" s="584">
        <f t="shared" si="39"/>
        <v>0</v>
      </c>
      <c r="R65" s="584">
        <f t="shared" si="39"/>
        <v>0</v>
      </c>
      <c r="S65" s="584">
        <f t="shared" si="39"/>
        <v>0</v>
      </c>
      <c r="T65" s="584">
        <f t="shared" si="39"/>
        <v>0</v>
      </c>
      <c r="U65" s="584" t="str">
        <f t="shared" si="39"/>
        <v/>
      </c>
      <c r="V65" s="610" t="str">
        <f t="shared" si="39"/>
        <v/>
      </c>
      <c r="W65" s="610">
        <f t="shared" si="39"/>
        <v>0</v>
      </c>
      <c r="X65" s="610">
        <f t="shared" si="39"/>
        <v>0</v>
      </c>
      <c r="Y65" s="610">
        <f>IF(Y$9=0,"",+(Y46*10)/Y$9)</f>
        <v>0</v>
      </c>
      <c r="Z65" s="610" t="str">
        <f t="shared" si="39"/>
        <v/>
      </c>
      <c r="AA65" s="610" t="str">
        <f t="shared" si="39"/>
        <v/>
      </c>
      <c r="AB65" s="610" t="str">
        <f t="shared" si="39"/>
        <v/>
      </c>
      <c r="AC65" s="610">
        <f>IF(AC$9=0,"",+(AC46*10)/AC$9)</f>
        <v>0</v>
      </c>
      <c r="AD65" s="610">
        <f t="shared" si="39"/>
        <v>0</v>
      </c>
      <c r="AE65" s="610">
        <f t="shared" si="39"/>
        <v>0</v>
      </c>
      <c r="AF65" s="610">
        <f t="shared" si="39"/>
        <v>0</v>
      </c>
      <c r="AG65" s="610"/>
      <c r="AH65" s="585">
        <f>+(AH46*10)/AH$9</f>
        <v>0</v>
      </c>
      <c r="AI65" s="585">
        <v>0.3</v>
      </c>
      <c r="AJ65" s="586">
        <f t="shared" si="37"/>
        <v>0.3</v>
      </c>
      <c r="AK65" s="508"/>
      <c r="AL65" s="508"/>
      <c r="AM65" s="508"/>
      <c r="AN65" s="508"/>
      <c r="AO65" s="508"/>
      <c r="AP65" s="508"/>
      <c r="AQ65" s="508"/>
      <c r="AR65" s="508"/>
      <c r="AS65" s="508"/>
      <c r="AT65" s="508"/>
      <c r="AU65" s="508"/>
      <c r="AV65" s="508"/>
      <c r="AW65" s="508"/>
      <c r="AX65" s="508"/>
      <c r="AY65" s="508"/>
      <c r="AZ65" s="508"/>
      <c r="BA65" s="508"/>
      <c r="BB65" s="508"/>
      <c r="BC65" s="508"/>
      <c r="BD65" s="508"/>
      <c r="BE65" s="508"/>
      <c r="BF65" s="508"/>
      <c r="BG65" s="508"/>
    </row>
    <row r="66" spans="1:59" s="609" customFormat="1" hidden="1" x14ac:dyDescent="0.4">
      <c r="A66" s="605" t="s">
        <v>188</v>
      </c>
      <c r="B66" s="611"/>
      <c r="C66" s="611"/>
      <c r="D66" s="611"/>
      <c r="E66" s="611"/>
      <c r="F66" s="611"/>
      <c r="G66" s="611"/>
      <c r="H66" s="611"/>
      <c r="I66" s="611"/>
      <c r="J66" s="612"/>
      <c r="K66" s="612"/>
      <c r="L66" s="612"/>
      <c r="M66" s="612"/>
      <c r="N66" s="612"/>
      <c r="O66" s="612"/>
      <c r="P66" s="612"/>
      <c r="Q66" s="612"/>
      <c r="R66" s="612"/>
      <c r="S66" s="612"/>
      <c r="T66" s="612"/>
      <c r="U66" s="612"/>
      <c r="V66" s="612"/>
      <c r="W66" s="612"/>
      <c r="X66" s="612"/>
      <c r="Y66" s="612"/>
      <c r="Z66" s="612"/>
      <c r="AA66" s="612"/>
      <c r="AB66" s="612"/>
      <c r="AC66" s="612"/>
      <c r="AD66" s="612"/>
      <c r="AE66" s="612"/>
      <c r="AF66" s="612"/>
      <c r="AG66" s="612"/>
      <c r="AH66" s="606"/>
      <c r="AI66" s="606">
        <v>0.4</v>
      </c>
      <c r="AJ66" s="607">
        <f t="shared" si="37"/>
        <v>0.4</v>
      </c>
      <c r="AK66" s="608"/>
      <c r="AL66" s="292"/>
      <c r="AM66" s="608"/>
      <c r="AN66" s="608"/>
      <c r="AO66" s="608"/>
      <c r="AP66" s="608"/>
      <c r="AQ66" s="608"/>
      <c r="AR66" s="608"/>
      <c r="AS66" s="608"/>
      <c r="AT66" s="608"/>
      <c r="AU66" s="608"/>
      <c r="AV66" s="608"/>
      <c r="AW66" s="608"/>
      <c r="AX66" s="608"/>
      <c r="AY66" s="608"/>
      <c r="AZ66" s="608"/>
      <c r="BA66" s="608"/>
      <c r="BB66" s="608"/>
      <c r="BC66" s="608"/>
      <c r="BD66" s="608"/>
      <c r="BE66" s="608"/>
      <c r="BF66" s="608"/>
      <c r="BG66" s="608"/>
    </row>
    <row r="67" spans="1:59" s="588" customFormat="1" hidden="1" x14ac:dyDescent="0.4">
      <c r="A67" s="613" t="s">
        <v>201</v>
      </c>
      <c r="B67" s="614"/>
      <c r="C67" s="614"/>
      <c r="D67" s="614"/>
      <c r="E67" s="614"/>
      <c r="F67" s="614"/>
      <c r="G67" s="614"/>
      <c r="H67" s="614"/>
      <c r="I67" s="614"/>
      <c r="J67" s="615"/>
      <c r="K67" s="615"/>
      <c r="L67" s="615"/>
      <c r="M67" s="615"/>
      <c r="N67" s="615"/>
      <c r="O67" s="615"/>
      <c r="P67" s="615"/>
      <c r="Q67" s="615"/>
      <c r="R67" s="615"/>
      <c r="S67" s="615"/>
      <c r="T67" s="615"/>
      <c r="U67" s="615"/>
      <c r="V67" s="615"/>
      <c r="W67" s="615"/>
      <c r="X67" s="615"/>
      <c r="Y67" s="615"/>
      <c r="Z67" s="615"/>
      <c r="AA67" s="615"/>
      <c r="AB67" s="615"/>
      <c r="AC67" s="615"/>
      <c r="AD67" s="615"/>
      <c r="AE67" s="615"/>
      <c r="AF67" s="615"/>
      <c r="AG67" s="615"/>
      <c r="AH67" s="616"/>
      <c r="AI67" s="616">
        <v>0.2</v>
      </c>
      <c r="AJ67" s="617">
        <f t="shared" si="37"/>
        <v>0.2</v>
      </c>
      <c r="AK67" s="587"/>
      <c r="AL67" s="508"/>
      <c r="AM67" s="587"/>
      <c r="AN67" s="587"/>
      <c r="AO67" s="587"/>
      <c r="AP67" s="587"/>
      <c r="AQ67" s="587"/>
      <c r="AR67" s="587"/>
      <c r="AS67" s="587"/>
      <c r="AT67" s="587"/>
      <c r="AU67" s="587"/>
      <c r="AV67" s="587"/>
      <c r="AW67" s="587"/>
      <c r="AX67" s="587"/>
      <c r="AY67" s="587"/>
      <c r="AZ67" s="587"/>
      <c r="BA67" s="587"/>
      <c r="BB67" s="587"/>
      <c r="BC67" s="587"/>
      <c r="BD67" s="587"/>
      <c r="BE67" s="587"/>
      <c r="BF67" s="587"/>
      <c r="BG67" s="587"/>
    </row>
    <row r="68" spans="1:59" s="505" customFormat="1" ht="28.2" x14ac:dyDescent="0.4">
      <c r="A68" s="618" t="s">
        <v>225</v>
      </c>
      <c r="B68" s="619">
        <f>SUM(B54:B63,B65)</f>
        <v>7.2066371370315681</v>
      </c>
      <c r="C68" s="619">
        <f>SUM(C54:C63,C65)</f>
        <v>14.533374857261496</v>
      </c>
      <c r="D68" s="619">
        <f>SUM(D54:D63,D65)</f>
        <v>10.880230880230879</v>
      </c>
      <c r="E68" s="619">
        <f>SUM(E54:E63,E65)</f>
        <v>14.458154083739108</v>
      </c>
      <c r="F68" s="619">
        <f t="shared" ref="F68:AJ68" si="40">SUM(F54:F63,F65)</f>
        <v>10.466381981076781</v>
      </c>
      <c r="G68" s="619">
        <f t="shared" si="40"/>
        <v>11.034902007427084</v>
      </c>
      <c r="H68" s="619">
        <f t="shared" si="40"/>
        <v>7.669532704122811</v>
      </c>
      <c r="I68" s="619">
        <f t="shared" si="40"/>
        <v>7.1000463512459895</v>
      </c>
      <c r="J68" s="620">
        <f t="shared" si="40"/>
        <v>14.527574453819076</v>
      </c>
      <c r="K68" s="620">
        <f t="shared" si="40"/>
        <v>9.9759296376632509</v>
      </c>
      <c r="L68" s="620">
        <f t="shared" si="40"/>
        <v>8.9232599643069594</v>
      </c>
      <c r="M68" s="620">
        <f t="shared" si="40"/>
        <v>12.082609534838834</v>
      </c>
      <c r="N68" s="620">
        <f t="shared" si="40"/>
        <v>7.0301351464786359</v>
      </c>
      <c r="O68" s="620">
        <f t="shared" si="40"/>
        <v>5.113656804247162</v>
      </c>
      <c r="P68" s="620">
        <f t="shared" si="40"/>
        <v>9.0944523840457325</v>
      </c>
      <c r="Q68" s="620">
        <f t="shared" si="40"/>
        <v>11.990011080424033</v>
      </c>
      <c r="R68" s="620">
        <f t="shared" si="40"/>
        <v>7.1361387150860836</v>
      </c>
      <c r="S68" s="620">
        <f t="shared" si="40"/>
        <v>9.9211529424050955</v>
      </c>
      <c r="T68" s="620">
        <f t="shared" si="40"/>
        <v>6.0931585514976234</v>
      </c>
      <c r="U68" s="620">
        <f t="shared" si="40"/>
        <v>0</v>
      </c>
      <c r="V68" s="620">
        <f t="shared" si="40"/>
        <v>0</v>
      </c>
      <c r="W68" s="620">
        <f t="shared" si="40"/>
        <v>5.1751255106062448</v>
      </c>
      <c r="X68" s="620">
        <f t="shared" si="40"/>
        <v>7.8381358521647861</v>
      </c>
      <c r="Y68" s="620">
        <f t="shared" si="40"/>
        <v>6.2589780422737533</v>
      </c>
      <c r="Z68" s="620">
        <f t="shared" si="40"/>
        <v>0</v>
      </c>
      <c r="AA68" s="620">
        <f t="shared" si="40"/>
        <v>0</v>
      </c>
      <c r="AB68" s="620">
        <f t="shared" si="40"/>
        <v>0</v>
      </c>
      <c r="AC68" s="620">
        <f t="shared" si="40"/>
        <v>6.4819316156214555</v>
      </c>
      <c r="AD68" s="620">
        <f t="shared" si="40"/>
        <v>10.985183398976501</v>
      </c>
      <c r="AE68" s="620">
        <f t="shared" si="40"/>
        <v>8.8106070352307313</v>
      </c>
      <c r="AF68" s="620">
        <f t="shared" si="40"/>
        <v>6.2482869473517946</v>
      </c>
      <c r="AG68" s="620"/>
      <c r="AH68" s="619">
        <f t="shared" si="40"/>
        <v>8.9041487476874526</v>
      </c>
      <c r="AI68" s="619">
        <f>SUM(AI54:AI63,AI65)</f>
        <v>9.6</v>
      </c>
      <c r="AJ68" s="582">
        <f t="shared" si="40"/>
        <v>0.69585125231254685</v>
      </c>
      <c r="AK68" s="502"/>
      <c r="AL68" s="292"/>
      <c r="AM68" s="502"/>
      <c r="AN68" s="502"/>
      <c r="AO68" s="502"/>
      <c r="AP68" s="502"/>
      <c r="AQ68" s="502"/>
      <c r="AR68" s="502"/>
      <c r="AS68" s="502"/>
      <c r="AT68" s="502"/>
      <c r="AU68" s="502"/>
      <c r="AV68" s="502"/>
      <c r="AW68" s="502"/>
      <c r="AX68" s="502"/>
      <c r="AY68" s="502"/>
      <c r="AZ68" s="502"/>
      <c r="BA68" s="502"/>
      <c r="BB68" s="502"/>
      <c r="BC68" s="502"/>
      <c r="BD68" s="502"/>
      <c r="BE68" s="502"/>
      <c r="BF68" s="502"/>
      <c r="BG68" s="502"/>
    </row>
    <row r="69" spans="1:59" s="625" customFormat="1" ht="25.2" x14ac:dyDescent="0.45">
      <c r="A69" s="621" t="s">
        <v>204</v>
      </c>
      <c r="B69" s="622">
        <f t="shared" ref="B69" si="41">SUM(B60:B62)</f>
        <v>4.6579483934472332</v>
      </c>
      <c r="C69" s="622">
        <f>SUM(C60:C62)</f>
        <v>4.9545596104300547</v>
      </c>
      <c r="D69" s="622">
        <f t="shared" ref="D69:AJ69" si="42">SUM(D60:D62)</f>
        <v>4.5598845598845594</v>
      </c>
      <c r="E69" s="622">
        <f t="shared" si="42"/>
        <v>4.6880663105312088</v>
      </c>
      <c r="F69" s="622">
        <f t="shared" si="42"/>
        <v>4.376850646632108</v>
      </c>
      <c r="G69" s="622">
        <f t="shared" si="42"/>
        <v>4.3610989969472307</v>
      </c>
      <c r="H69" s="622">
        <f t="shared" si="42"/>
        <v>3.4487160481626065</v>
      </c>
      <c r="I69" s="622">
        <f t="shared" si="42"/>
        <v>3.1704609492985245</v>
      </c>
      <c r="J69" s="623">
        <f t="shared" si="42"/>
        <v>5.1684639883779395</v>
      </c>
      <c r="K69" s="623">
        <f t="shared" si="42"/>
        <v>4.1185030614206086</v>
      </c>
      <c r="L69" s="623">
        <f t="shared" si="42"/>
        <v>5.1075898785595388</v>
      </c>
      <c r="M69" s="623">
        <f t="shared" si="42"/>
        <v>4.90252846940745</v>
      </c>
      <c r="N69" s="623">
        <f t="shared" si="42"/>
        <v>5.6660790732812885</v>
      </c>
      <c r="O69" s="623">
        <f t="shared" si="42"/>
        <v>3.4433668933121591</v>
      </c>
      <c r="P69" s="623">
        <f t="shared" si="42"/>
        <v>3.3292191763024555</v>
      </c>
      <c r="Q69" s="623">
        <f t="shared" si="42"/>
        <v>4.9338206514848322</v>
      </c>
      <c r="R69" s="623">
        <f t="shared" si="42"/>
        <v>2.8626344415818097</v>
      </c>
      <c r="S69" s="623">
        <f t="shared" si="42"/>
        <v>4.83003498511827</v>
      </c>
      <c r="T69" s="623">
        <f t="shared" si="42"/>
        <v>4.2359972121712932</v>
      </c>
      <c r="U69" s="623">
        <f t="shared" si="42"/>
        <v>0</v>
      </c>
      <c r="V69" s="623">
        <f t="shared" si="42"/>
        <v>0</v>
      </c>
      <c r="W69" s="623">
        <f t="shared" si="42"/>
        <v>4.6410378244582695</v>
      </c>
      <c r="X69" s="623">
        <f t="shared" si="42"/>
        <v>5.1589990213400991</v>
      </c>
      <c r="Y69" s="623">
        <f t="shared" si="42"/>
        <v>4.0700458307681782</v>
      </c>
      <c r="Z69" s="623">
        <f t="shared" si="42"/>
        <v>0</v>
      </c>
      <c r="AA69" s="623">
        <f t="shared" si="42"/>
        <v>0</v>
      </c>
      <c r="AB69" s="623">
        <f t="shared" si="42"/>
        <v>0</v>
      </c>
      <c r="AC69" s="623">
        <f t="shared" si="42"/>
        <v>0</v>
      </c>
      <c r="AD69" s="623">
        <f t="shared" si="42"/>
        <v>5.35862604828122</v>
      </c>
      <c r="AE69" s="623">
        <f t="shared" si="42"/>
        <v>3.6450962734251036</v>
      </c>
      <c r="AF69" s="623">
        <f t="shared" si="42"/>
        <v>2.926706897272588</v>
      </c>
      <c r="AG69" s="623"/>
      <c r="AH69" s="622">
        <f t="shared" si="42"/>
        <v>4.2838273771577713</v>
      </c>
      <c r="AI69" s="622">
        <f t="shared" si="42"/>
        <v>2.9</v>
      </c>
      <c r="AJ69" s="622">
        <f t="shared" si="42"/>
        <v>-1.3838273771577718</v>
      </c>
      <c r="AK69" s="624"/>
      <c r="AL69" s="292"/>
      <c r="AM69" s="624"/>
      <c r="AN69" s="624"/>
      <c r="AO69" s="624"/>
      <c r="AP69" s="624"/>
      <c r="AQ69" s="624"/>
      <c r="AR69" s="624"/>
      <c r="AS69" s="624"/>
      <c r="AT69" s="624"/>
      <c r="AU69" s="624"/>
      <c r="AV69" s="624"/>
      <c r="AW69" s="624"/>
      <c r="AX69" s="624"/>
      <c r="AY69" s="624"/>
      <c r="AZ69" s="624"/>
      <c r="BA69" s="624"/>
      <c r="BB69" s="624"/>
      <c r="BC69" s="624"/>
      <c r="BD69" s="624"/>
      <c r="BE69" s="624"/>
      <c r="BF69" s="624"/>
      <c r="BG69" s="624"/>
    </row>
    <row r="70" spans="1:59" x14ac:dyDescent="0.4">
      <c r="A70" s="565"/>
      <c r="B70" s="518"/>
      <c r="C70" s="518"/>
      <c r="D70" s="518"/>
      <c r="E70" s="518"/>
      <c r="F70" s="518"/>
      <c r="G70" s="518"/>
      <c r="H70" s="518"/>
      <c r="I70" s="518"/>
      <c r="J70" s="554"/>
      <c r="K70" s="554"/>
      <c r="L70" s="554"/>
      <c r="M70" s="554"/>
      <c r="N70" s="554"/>
      <c r="O70" s="554"/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54"/>
      <c r="AB70" s="554"/>
      <c r="AC70" s="554"/>
      <c r="AD70" s="554"/>
      <c r="AE70" s="554"/>
      <c r="AH70" s="518"/>
      <c r="AI70" s="518"/>
    </row>
    <row r="71" spans="1:59" s="631" customFormat="1" ht="49.2" x14ac:dyDescent="0.4">
      <c r="A71" s="626" t="s">
        <v>234</v>
      </c>
      <c r="B71" s="627">
        <f>+'Water '!$F7</f>
        <v>151</v>
      </c>
      <c r="C71" s="627">
        <f>+'Water '!$F8</f>
        <v>137</v>
      </c>
      <c r="D71" s="627">
        <f>+'Water '!$F9</f>
        <v>218</v>
      </c>
      <c r="E71" s="627">
        <f>+'Water '!$F10</f>
        <v>241</v>
      </c>
      <c r="F71" s="627">
        <f>+'Water '!$F11</f>
        <v>247</v>
      </c>
      <c r="G71" s="627">
        <f>+'Water '!$F12</f>
        <v>174</v>
      </c>
      <c r="H71" s="627">
        <f>+'Water '!$F13</f>
        <v>163</v>
      </c>
      <c r="I71" s="627">
        <f>+'Water '!$F14</f>
        <v>292</v>
      </c>
      <c r="J71" s="628">
        <f>+'Water '!$F15</f>
        <v>199</v>
      </c>
      <c r="K71" s="628">
        <f>+'Water '!$F16</f>
        <v>291</v>
      </c>
      <c r="L71" s="628">
        <f>+'Water '!$F17</f>
        <v>267</v>
      </c>
      <c r="M71" s="628">
        <f>+'Water '!$F18</f>
        <v>183</v>
      </c>
      <c r="N71" s="628">
        <f>+'Water '!$F19</f>
        <v>153</v>
      </c>
      <c r="O71" s="628">
        <f>+'Water '!$F20</f>
        <v>258</v>
      </c>
      <c r="P71" s="628">
        <f>+'Water '!$F21</f>
        <v>137</v>
      </c>
      <c r="Q71" s="628">
        <f>+'Water '!$F22</f>
        <v>122</v>
      </c>
      <c r="R71" s="628">
        <f>+'Water '!$F23</f>
        <v>172</v>
      </c>
      <c r="S71" s="628">
        <f>+'Water '!$F24</f>
        <v>211</v>
      </c>
      <c r="T71" s="628" t="str">
        <f>+'Water '!$F25</f>
        <v>0</v>
      </c>
      <c r="U71" s="628">
        <f>+'Water '!$F26</f>
        <v>446</v>
      </c>
      <c r="V71" s="628" t="str">
        <f>+'Water '!$F27</f>
        <v>0</v>
      </c>
      <c r="W71" s="628">
        <f>+'Water '!$F28</f>
        <v>234</v>
      </c>
      <c r="X71" s="628">
        <f>+'Water '!$F29</f>
        <v>123</v>
      </c>
      <c r="Y71" s="628">
        <f>+'Water '!$F30</f>
        <v>89</v>
      </c>
      <c r="Z71" s="628" t="str">
        <f>+'Water '!$F31</f>
        <v>0</v>
      </c>
      <c r="AA71" s="628">
        <f>+'Water '!$F32</f>
        <v>79</v>
      </c>
      <c r="AB71" s="628" t="str">
        <f>+'Water '!$F33</f>
        <v>0</v>
      </c>
      <c r="AC71" s="628" t="str">
        <f>+'Water '!$F34</f>
        <v>0</v>
      </c>
      <c r="AD71" s="628">
        <f>+'Water '!$F35</f>
        <v>148</v>
      </c>
      <c r="AE71" s="628">
        <f>+'Water '!$F36</f>
        <v>231</v>
      </c>
      <c r="AF71" s="628">
        <f>+'Water '!$F37</f>
        <v>741</v>
      </c>
      <c r="AG71" s="628"/>
      <c r="AH71" s="629">
        <f>SUM($B71:AF71)</f>
        <v>5707</v>
      </c>
      <c r="AI71" s="629"/>
      <c r="AJ71" s="630"/>
      <c r="AK71" s="630"/>
      <c r="AL71" s="630"/>
      <c r="AM71" s="630"/>
      <c r="AN71" s="630"/>
      <c r="AO71" s="630"/>
      <c r="AP71" s="630"/>
      <c r="AQ71" s="630"/>
      <c r="AR71" s="630"/>
      <c r="AS71" s="630"/>
      <c r="AT71" s="630"/>
      <c r="AU71" s="630"/>
      <c r="AV71" s="630"/>
      <c r="AW71" s="630"/>
      <c r="AX71" s="630"/>
      <c r="AY71" s="630"/>
      <c r="AZ71" s="630"/>
      <c r="BA71" s="630"/>
      <c r="BB71" s="630"/>
      <c r="BC71" s="630"/>
      <c r="BD71" s="630"/>
      <c r="BE71" s="630"/>
      <c r="BF71" s="630"/>
      <c r="BG71" s="630"/>
    </row>
    <row r="72" spans="1:59" x14ac:dyDescent="0.4">
      <c r="A72" s="565"/>
      <c r="B72" s="518"/>
      <c r="C72" s="518"/>
      <c r="D72" s="518"/>
      <c r="E72" s="518"/>
      <c r="F72" s="518"/>
      <c r="G72" s="518"/>
      <c r="H72" s="518"/>
      <c r="I72" s="518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554"/>
      <c r="AB72" s="554"/>
      <c r="AC72" s="554"/>
      <c r="AD72" s="554"/>
      <c r="AE72" s="554"/>
      <c r="AH72" s="518"/>
      <c r="AI72" s="518"/>
    </row>
    <row r="73" spans="1:59" ht="25.5" hidden="1" customHeight="1" x14ac:dyDescent="0.6">
      <c r="A73" s="632" t="s">
        <v>242</v>
      </c>
      <c r="B73" s="518"/>
      <c r="C73" s="518"/>
      <c r="D73" s="518"/>
      <c r="E73" s="518"/>
      <c r="F73" s="554"/>
      <c r="G73" s="554"/>
      <c r="H73" s="554"/>
      <c r="I73" s="554"/>
      <c r="J73" s="554"/>
      <c r="K73" s="554"/>
      <c r="L73" s="554"/>
      <c r="M73" s="554"/>
      <c r="N73" s="554"/>
      <c r="O73" s="554"/>
      <c r="P73" s="554"/>
      <c r="Q73" s="554"/>
      <c r="R73" s="554"/>
      <c r="S73" s="554"/>
      <c r="T73" s="554"/>
      <c r="U73" s="554"/>
      <c r="V73" s="554"/>
      <c r="W73" s="554"/>
      <c r="X73" s="554"/>
      <c r="Y73" s="554"/>
      <c r="Z73" s="554"/>
      <c r="AA73" s="554"/>
      <c r="AB73" s="554"/>
      <c r="AC73" s="554"/>
      <c r="AD73" s="554"/>
      <c r="AE73" s="554"/>
      <c r="AF73" s="554"/>
      <c r="AG73" s="554"/>
      <c r="AH73" s="554">
        <f>SUM(B73:AF73)</f>
        <v>0</v>
      </c>
      <c r="AI73" s="633"/>
    </row>
    <row r="74" spans="1:59" s="538" customFormat="1" ht="37.5" customHeight="1" x14ac:dyDescent="0.6">
      <c r="A74" s="564" t="s">
        <v>224</v>
      </c>
      <c r="B74" s="635">
        <v>3000</v>
      </c>
      <c r="C74" s="833">
        <v>1200</v>
      </c>
      <c r="D74" s="634">
        <v>1700</v>
      </c>
      <c r="E74" s="634">
        <v>1600</v>
      </c>
      <c r="F74" s="634">
        <v>1600</v>
      </c>
      <c r="G74" s="634">
        <v>800</v>
      </c>
      <c r="H74" s="634">
        <v>2900</v>
      </c>
      <c r="I74" s="634">
        <v>2000</v>
      </c>
      <c r="J74" s="634">
        <v>900</v>
      </c>
      <c r="K74" s="840">
        <f>1800+1500+1500</f>
        <v>4800</v>
      </c>
      <c r="L74" s="837">
        <f>1200+800</f>
        <v>2000</v>
      </c>
      <c r="M74" s="838">
        <v>1600</v>
      </c>
      <c r="N74" s="838">
        <v>200</v>
      </c>
      <c r="O74" s="838">
        <v>2300</v>
      </c>
      <c r="P74" s="634">
        <v>2500</v>
      </c>
      <c r="Q74" s="634">
        <v>2400</v>
      </c>
      <c r="R74" s="634">
        <v>2500</v>
      </c>
      <c r="S74" s="634">
        <v>2500</v>
      </c>
      <c r="T74" s="634">
        <v>2400</v>
      </c>
      <c r="U74" s="634">
        <v>0</v>
      </c>
      <c r="V74" s="857">
        <v>2700</v>
      </c>
      <c r="W74" s="854">
        <f>800+1800</f>
        <v>2600</v>
      </c>
      <c r="X74" s="634">
        <v>2700</v>
      </c>
      <c r="Y74" s="634">
        <v>2100</v>
      </c>
      <c r="Z74" s="634"/>
      <c r="AA74" s="634"/>
      <c r="AB74" s="634"/>
      <c r="AC74" s="634"/>
      <c r="AD74" s="634">
        <v>2400</v>
      </c>
      <c r="AE74" s="634">
        <v>1700</v>
      </c>
      <c r="AF74" s="634">
        <v>1600</v>
      </c>
      <c r="AG74" s="634"/>
      <c r="AH74" s="550">
        <f>SUM(B74:AF74)</f>
        <v>54700</v>
      </c>
      <c r="AI74" s="572"/>
      <c r="AJ74" s="572"/>
      <c r="AK74" s="508"/>
      <c r="AL74" s="508"/>
      <c r="AM74" s="508"/>
      <c r="AN74" s="508"/>
      <c r="AO74" s="508"/>
      <c r="AP74" s="508"/>
      <c r="AQ74" s="508"/>
      <c r="AR74" s="508"/>
      <c r="AS74" s="508"/>
      <c r="AT74" s="508"/>
      <c r="AU74" s="508"/>
      <c r="AV74" s="508"/>
      <c r="AW74" s="508"/>
      <c r="AX74" s="508"/>
      <c r="AY74" s="508"/>
      <c r="AZ74" s="508"/>
      <c r="BA74" s="508"/>
      <c r="BB74" s="508"/>
      <c r="BC74" s="508"/>
      <c r="BD74" s="508"/>
      <c r="BE74" s="508"/>
      <c r="BF74" s="508"/>
      <c r="BG74" s="508"/>
    </row>
    <row r="75" spans="1:59" s="640" customFormat="1" x14ac:dyDescent="0.4">
      <c r="A75" s="638" t="s">
        <v>291</v>
      </c>
      <c r="B75" s="639" cm="1">
        <f t="array" ref="B75:AF75">TRANSPOSE('CO2'!D7:D37)</f>
        <v>2614.9000000000233</v>
      </c>
      <c r="C75" s="639">
        <v>1219.4100000000035</v>
      </c>
      <c r="D75" s="639">
        <v>2153.859999999986</v>
      </c>
      <c r="E75" s="639">
        <v>1696.6900000000023</v>
      </c>
      <c r="F75" s="639">
        <v>1737.1699999999837</v>
      </c>
      <c r="G75" s="639">
        <v>1770.5600000000268</v>
      </c>
      <c r="H75" s="639">
        <v>2328.9099999999744</v>
      </c>
      <c r="I75" s="639">
        <v>2505.9500000000116</v>
      </c>
      <c r="J75" s="639">
        <v>1557.4100000000035</v>
      </c>
      <c r="K75" s="639">
        <v>3318.5400000000081</v>
      </c>
      <c r="L75" s="639">
        <v>2430.109999999986</v>
      </c>
      <c r="M75" s="639">
        <v>2265.570000000007</v>
      </c>
      <c r="N75" s="639">
        <v>955.02999999999884</v>
      </c>
      <c r="O75" s="639">
        <v>2492.9599999999919</v>
      </c>
      <c r="P75" s="639">
        <v>2751.4800000000105</v>
      </c>
      <c r="Q75" s="639">
        <v>2426.8500000000058</v>
      </c>
      <c r="R75" s="639">
        <v>2601.7399999999907</v>
      </c>
      <c r="S75" s="639">
        <v>2593.8399999999965</v>
      </c>
      <c r="T75" s="639">
        <v>2531.3300000000163</v>
      </c>
      <c r="U75" s="639" t="str">
        <v>0</v>
      </c>
      <c r="V75" s="639" t="str">
        <v>0</v>
      </c>
      <c r="W75" s="639">
        <v>2634.7399999999907</v>
      </c>
      <c r="X75" s="639">
        <v>2707.75</v>
      </c>
      <c r="Y75" s="636">
        <v>1825.320000000007</v>
      </c>
      <c r="Z75" s="637" t="str">
        <v>0</v>
      </c>
      <c r="AA75" s="637" t="str">
        <v>0</v>
      </c>
      <c r="AB75" s="637" t="str">
        <v>0</v>
      </c>
      <c r="AC75" s="637" t="str">
        <v>0</v>
      </c>
      <c r="AD75" s="637">
        <v>2116.7099999999919</v>
      </c>
      <c r="AE75" s="636">
        <v>2317.9899999999907</v>
      </c>
      <c r="AF75" s="637">
        <v>1947.070000000007</v>
      </c>
      <c r="AG75" s="636"/>
      <c r="AH75" s="550">
        <f>SUM(B75:AF75)</f>
        <v>55501.890000000014</v>
      </c>
      <c r="AI75" s="637"/>
      <c r="AJ75" s="637"/>
      <c r="AK75" s="637"/>
      <c r="AL75" s="637"/>
      <c r="AM75" s="637"/>
      <c r="AN75" s="637"/>
      <c r="AO75" s="637"/>
      <c r="AP75" s="637"/>
      <c r="AQ75" s="637"/>
      <c r="AR75" s="637"/>
      <c r="AS75" s="637"/>
      <c r="AT75" s="637"/>
      <c r="AU75" s="637"/>
      <c r="AV75" s="637"/>
      <c r="AW75" s="637"/>
      <c r="AX75" s="637"/>
      <c r="AY75" s="637"/>
      <c r="AZ75" s="637"/>
      <c r="BA75" s="637"/>
      <c r="BB75" s="637"/>
      <c r="BC75" s="637"/>
      <c r="BD75" s="637"/>
      <c r="BE75" s="637"/>
      <c r="BF75" s="637"/>
    </row>
    <row r="76" spans="1:59" s="641" customFormat="1" x14ac:dyDescent="0.25">
      <c r="A76" s="641" t="s">
        <v>285</v>
      </c>
      <c r="B76" s="642" cm="1">
        <f t="array" ref="B76:AF76">TRANSPOSE('CO2'!B7:B37)</f>
        <v>564</v>
      </c>
      <c r="C76" s="642">
        <v>263.06000000000131</v>
      </c>
      <c r="D76" s="642">
        <v>372.5</v>
      </c>
      <c r="E76" s="642">
        <v>296.87999999999738</v>
      </c>
      <c r="F76" s="642">
        <v>301</v>
      </c>
      <c r="G76" s="642">
        <v>325.04000000000087</v>
      </c>
      <c r="H76" s="642">
        <v>363.56999999999971</v>
      </c>
      <c r="I76" s="642">
        <v>477.30999999999767</v>
      </c>
      <c r="J76" s="642">
        <v>267.95000000000437</v>
      </c>
      <c r="K76" s="642">
        <v>475.09999999999854</v>
      </c>
      <c r="L76" s="642">
        <v>324.79000000000087</v>
      </c>
      <c r="M76" s="642">
        <v>328.51000000000204</v>
      </c>
      <c r="N76" s="642">
        <v>238.5399999999936</v>
      </c>
      <c r="O76" s="642">
        <v>377.10000000000582</v>
      </c>
      <c r="P76" s="642">
        <v>516.98999999999796</v>
      </c>
      <c r="Q76" s="642">
        <v>411.05000000000291</v>
      </c>
      <c r="R76" s="642">
        <v>421</v>
      </c>
      <c r="S76" s="642">
        <v>410.63999999999942</v>
      </c>
      <c r="T76" s="642">
        <v>402.48999999999796</v>
      </c>
      <c r="U76" s="642" t="str">
        <v>0</v>
      </c>
      <c r="V76" s="642" t="str">
        <v>0</v>
      </c>
      <c r="W76" s="642">
        <v>457.58999999999651</v>
      </c>
      <c r="X76" s="642">
        <v>517.70999999999913</v>
      </c>
      <c r="Y76" s="642">
        <v>166.05000000000291</v>
      </c>
      <c r="Z76" s="642" t="str">
        <v>0</v>
      </c>
      <c r="AA76" s="642" t="str">
        <v>0</v>
      </c>
      <c r="AB76" s="642" t="str">
        <v>0</v>
      </c>
      <c r="AC76" s="642" t="str">
        <v>0</v>
      </c>
      <c r="AD76" s="642">
        <v>251.77999999999884</v>
      </c>
      <c r="AE76" s="642">
        <v>392.45999999999913</v>
      </c>
      <c r="AF76" s="642">
        <v>333.31999999999971</v>
      </c>
      <c r="AG76" s="642"/>
      <c r="AH76" s="642">
        <f>SUM($B76:AF76)</f>
        <v>9256.4299999999967</v>
      </c>
      <c r="AI76" s="643"/>
      <c r="AJ76" s="644"/>
      <c r="AK76" s="644"/>
      <c r="AL76" s="644"/>
      <c r="AM76" s="644"/>
      <c r="AN76" s="644"/>
      <c r="AO76" s="644"/>
      <c r="AP76" s="644"/>
      <c r="AQ76" s="644"/>
      <c r="AR76" s="644"/>
      <c r="AS76" s="644"/>
      <c r="AT76" s="644"/>
      <c r="AU76" s="644"/>
      <c r="AV76" s="644"/>
      <c r="AW76" s="644"/>
      <c r="AX76" s="644"/>
      <c r="AY76" s="644"/>
      <c r="AZ76" s="644"/>
      <c r="BA76" s="644"/>
      <c r="BB76" s="644"/>
      <c r="BC76" s="644"/>
      <c r="BD76" s="644"/>
      <c r="BE76" s="644"/>
      <c r="BF76" s="644"/>
      <c r="BG76" s="644"/>
    </row>
    <row r="77" spans="1:59" s="649" customFormat="1" x14ac:dyDescent="0.4">
      <c r="A77" s="757" t="s">
        <v>289</v>
      </c>
      <c r="B77" s="645" cm="1">
        <f t="array" ref="B77:AF77">TRANSPOSE('CO2'!C7:C37)</f>
        <v>224.92000000000007</v>
      </c>
      <c r="C77" s="645">
        <v>58.419999999999163</v>
      </c>
      <c r="D77" s="645">
        <v>59.510000000000218</v>
      </c>
      <c r="E77" s="645">
        <v>91.75</v>
      </c>
      <c r="F77" s="645">
        <v>246.32999999999993</v>
      </c>
      <c r="G77" s="645">
        <v>239.68000000000029</v>
      </c>
      <c r="H77" s="645">
        <v>184.35999999999967</v>
      </c>
      <c r="I77" s="645">
        <v>183.53000000000065</v>
      </c>
      <c r="J77" s="646">
        <v>132.69999999999982</v>
      </c>
      <c r="K77" s="646">
        <v>70.769999999999527</v>
      </c>
      <c r="L77" s="646">
        <v>210.75</v>
      </c>
      <c r="M77" s="646">
        <v>222.57000000000062</v>
      </c>
      <c r="N77" s="646" t="str">
        <v>0</v>
      </c>
      <c r="O77" s="646">
        <v>305.80000000000018</v>
      </c>
      <c r="P77" s="646">
        <v>183.07999999999993</v>
      </c>
      <c r="Q77" s="646">
        <v>137.95000000000073</v>
      </c>
      <c r="R77" s="646">
        <v>114.05999999999949</v>
      </c>
      <c r="S77" s="646">
        <v>221.26000000000022</v>
      </c>
      <c r="T77" s="646">
        <v>301.59000000000015</v>
      </c>
      <c r="U77" s="646" t="str">
        <v>0</v>
      </c>
      <c r="V77" s="646" t="str">
        <v>0</v>
      </c>
      <c r="W77" s="646">
        <v>134.84999999999854</v>
      </c>
      <c r="X77" s="646">
        <v>230.92000000000007</v>
      </c>
      <c r="Y77" s="646">
        <v>98.890000000001237</v>
      </c>
      <c r="Z77" s="646" t="str">
        <v>0</v>
      </c>
      <c r="AA77" s="646" t="str">
        <v>0</v>
      </c>
      <c r="AB77" s="646" t="str">
        <v>0</v>
      </c>
      <c r="AC77" s="646" t="str">
        <v>0</v>
      </c>
      <c r="AD77" s="646">
        <v>273.57999999999993</v>
      </c>
      <c r="AE77" s="646">
        <v>190.70999999999913</v>
      </c>
      <c r="AF77" s="646">
        <v>170.28000000000065</v>
      </c>
      <c r="AG77" s="647"/>
      <c r="AH77" s="642">
        <f>SUM($B77:AF77)</f>
        <v>4288.26</v>
      </c>
      <c r="AI77" s="648"/>
      <c r="AJ77" s="648"/>
      <c r="AK77" s="648"/>
      <c r="AL77" s="648"/>
      <c r="AM77" s="648"/>
      <c r="AN77" s="648"/>
      <c r="AO77" s="648"/>
      <c r="AP77" s="648"/>
      <c r="AQ77" s="648"/>
      <c r="AR77" s="648"/>
      <c r="AS77" s="648"/>
      <c r="AT77" s="648"/>
      <c r="AU77" s="648"/>
      <c r="AV77" s="648"/>
      <c r="AW77" s="648"/>
      <c r="AX77" s="648"/>
      <c r="AY77" s="648"/>
      <c r="AZ77" s="648"/>
      <c r="BA77" s="648"/>
      <c r="BB77" s="648"/>
      <c r="BC77" s="648"/>
      <c r="BD77" s="648"/>
      <c r="BE77" s="648"/>
      <c r="BF77" s="648"/>
    </row>
    <row r="78" spans="1:59" x14ac:dyDescent="0.4">
      <c r="A78" s="564"/>
      <c r="B78" s="519"/>
      <c r="C78" s="519"/>
      <c r="D78" s="519"/>
      <c r="E78" s="519"/>
      <c r="F78" s="519"/>
      <c r="G78" s="519"/>
      <c r="H78" s="519"/>
      <c r="I78" s="519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55"/>
      <c r="AB78" s="555"/>
      <c r="AC78" s="555"/>
      <c r="AD78" s="555"/>
      <c r="AE78" s="555"/>
      <c r="AF78" s="555"/>
      <c r="AG78" s="555"/>
      <c r="AH78" s="549">
        <f>SUM($B78:AF78)</f>
        <v>0</v>
      </c>
      <c r="AI78" s="518"/>
    </row>
    <row r="79" spans="1:59" ht="35.4" hidden="1" customHeight="1" x14ac:dyDescent="0.6">
      <c r="A79" s="650" t="s">
        <v>236</v>
      </c>
      <c r="B79" s="651">
        <f>'Daily KPIs CO2'!B47</f>
        <v>2614.9000000000233</v>
      </c>
      <c r="C79" s="651">
        <f>'Daily KPIs CO2'!C47</f>
        <v>1219.4100000000035</v>
      </c>
      <c r="D79" s="651">
        <f>'Daily KPIs CO2'!D47</f>
        <v>2153.859999999986</v>
      </c>
      <c r="E79" s="651">
        <f>'Daily KPIs CO2'!E47</f>
        <v>1696.6900000000023</v>
      </c>
      <c r="F79" s="651">
        <f>'Daily KPIs CO2'!F47</f>
        <v>1737.1699999999837</v>
      </c>
      <c r="G79" s="651">
        <f>'Daily KPIs CO2'!G47</f>
        <v>1770.5600000000268</v>
      </c>
      <c r="H79" s="651">
        <f>'Daily KPIs CO2'!H47</f>
        <v>2328.9099999999744</v>
      </c>
      <c r="I79" s="651">
        <f>'Daily KPIs CO2'!I47</f>
        <v>2505.9500000000116</v>
      </c>
      <c r="J79" s="652">
        <f>'Daily KPIs CO2'!J47</f>
        <v>1557.4100000000035</v>
      </c>
      <c r="K79" s="652">
        <f>'Daily KPIs CO2'!K47</f>
        <v>3318.5400000000081</v>
      </c>
      <c r="L79" s="652" t="s">
        <v>241</v>
      </c>
      <c r="M79" s="652">
        <f>'Daily KPIs CO2'!M47</f>
        <v>2265.570000000007</v>
      </c>
      <c r="N79" s="652"/>
      <c r="O79" s="652">
        <f>'Daily KPIs CO2'!O47</f>
        <v>2492.9599999999919</v>
      </c>
      <c r="P79" s="652">
        <f>'Daily KPIs CO2'!P47</f>
        <v>2751.4800000000105</v>
      </c>
      <c r="Q79" s="652">
        <f>'Daily KPIs CO2'!Q47</f>
        <v>2426.8500000000058</v>
      </c>
      <c r="R79" s="652">
        <f>'Daily KPIs CO2'!R47</f>
        <v>2601.7399999999907</v>
      </c>
      <c r="S79" s="652">
        <f>'Daily KPIs CO2'!S47</f>
        <v>421</v>
      </c>
      <c r="T79" s="652">
        <f>'Daily KPIs CO2'!T47</f>
        <v>315</v>
      </c>
      <c r="U79" s="652">
        <f>'Daily KPIs CO2'!U47</f>
        <v>163</v>
      </c>
      <c r="V79" s="652">
        <f>'Daily KPIs CO2'!V47</f>
        <v>175</v>
      </c>
      <c r="W79" s="652">
        <f>'Daily KPIs CO2'!W47</f>
        <v>203</v>
      </c>
      <c r="X79" s="652">
        <f>'Daily KPIs CO2'!X47</f>
        <v>347</v>
      </c>
      <c r="Y79" s="652">
        <f>'Daily KPIs CO2'!Y47</f>
        <v>0</v>
      </c>
      <c r="Z79" s="652">
        <f>'Daily KPIs CO2'!Z47</f>
        <v>167</v>
      </c>
      <c r="AA79" s="652">
        <f>'Daily KPIs CO2'!AA47</f>
        <v>0</v>
      </c>
      <c r="AB79" s="652">
        <f>'Daily KPIs CO2'!AB47</f>
        <v>5</v>
      </c>
      <c r="AC79" s="651">
        <f>'Daily KPIs CO2'!AC47</f>
        <v>211</v>
      </c>
      <c r="AD79" s="652">
        <f>'Daily KPIs CO2'!AF47</f>
        <v>190</v>
      </c>
      <c r="AE79" s="651">
        <f>'Daily KPIs CO2'!AG47</f>
        <v>39064.140000000014</v>
      </c>
      <c r="AF79" s="652">
        <f>'Daily KPIs CO2'!AH47</f>
        <v>0</v>
      </c>
      <c r="AG79" s="652"/>
      <c r="AH79" s="653"/>
      <c r="AI79" s="518"/>
      <c r="AL79" s="191"/>
    </row>
    <row r="80" spans="1:59" s="657" customFormat="1" ht="32.4" customHeight="1" x14ac:dyDescent="0.4">
      <c r="A80" s="631" t="s">
        <v>133</v>
      </c>
      <c r="B80" s="654" cm="1">
        <f t="array" ref="B80:AF80">TRANSPOSE('Elec.December''25'!E7:E37)</f>
        <v>6358</v>
      </c>
      <c r="C80" s="654">
        <v>6436</v>
      </c>
      <c r="D80" s="654">
        <v>7560</v>
      </c>
      <c r="E80" s="654">
        <v>8026</v>
      </c>
      <c r="F80" s="654">
        <v>5885</v>
      </c>
      <c r="G80" s="654">
        <v>6825</v>
      </c>
      <c r="H80" s="654">
        <v>7554</v>
      </c>
      <c r="I80" s="654">
        <v>7330</v>
      </c>
      <c r="J80" s="654">
        <v>6425</v>
      </c>
      <c r="K80" s="655">
        <v>8488</v>
      </c>
      <c r="L80" s="655">
        <v>6732</v>
      </c>
      <c r="M80" s="655">
        <v>6620</v>
      </c>
      <c r="N80" s="655">
        <v>4519</v>
      </c>
      <c r="O80" s="655">
        <v>5387</v>
      </c>
      <c r="P80" s="655">
        <v>6109</v>
      </c>
      <c r="Q80" s="655">
        <v>8916</v>
      </c>
      <c r="R80" s="655">
        <v>6815</v>
      </c>
      <c r="S80" s="655">
        <v>7445</v>
      </c>
      <c r="T80" s="655">
        <v>6897</v>
      </c>
      <c r="U80" s="655">
        <v>3934</v>
      </c>
      <c r="V80" s="655">
        <v>2566</v>
      </c>
      <c r="W80" s="655">
        <v>6346</v>
      </c>
      <c r="X80" s="655">
        <v>6520</v>
      </c>
      <c r="Y80" s="655">
        <v>5182</v>
      </c>
      <c r="Z80" s="655">
        <v>3878</v>
      </c>
      <c r="AA80" s="655">
        <v>3529</v>
      </c>
      <c r="AB80" s="655">
        <v>3866</v>
      </c>
      <c r="AC80" s="655">
        <v>3501</v>
      </c>
      <c r="AD80" s="655">
        <v>7041</v>
      </c>
      <c r="AE80" s="655">
        <v>7806</v>
      </c>
      <c r="AF80" s="655">
        <v>7082</v>
      </c>
      <c r="AG80" s="655"/>
      <c r="AH80" s="629">
        <f>SUM(B80:AF80)</f>
        <v>191578</v>
      </c>
      <c r="AI80" s="629"/>
      <c r="AJ80" s="656"/>
      <c r="AK80" s="656"/>
      <c r="AL80" s="656"/>
      <c r="AM80" s="656"/>
      <c r="AN80" s="656"/>
      <c r="AO80" s="656"/>
      <c r="AP80" s="656"/>
      <c r="AQ80" s="656"/>
      <c r="AR80" s="656"/>
      <c r="AS80" s="656"/>
      <c r="AT80" s="656"/>
      <c r="AU80" s="656"/>
      <c r="AV80" s="656"/>
      <c r="AW80" s="656"/>
      <c r="AX80" s="656"/>
      <c r="AY80" s="656"/>
      <c r="AZ80" s="656"/>
      <c r="BA80" s="656"/>
      <c r="BB80" s="656"/>
      <c r="BC80" s="656"/>
      <c r="BD80" s="656"/>
      <c r="BE80" s="656"/>
      <c r="BF80" s="656"/>
      <c r="BG80" s="656"/>
    </row>
    <row r="81" spans="1:59" s="657" customFormat="1" hidden="1" x14ac:dyDescent="0.4">
      <c r="A81" s="631"/>
      <c r="B81" s="654" t="e" cm="1" vm="1">
        <f t="array" aca="1" ref="B81" ca="1">TRANSPOSE('Elec.December''25'!E8:E38)</f>
        <v>#VALUE!</v>
      </c>
      <c r="C81" s="654"/>
      <c r="D81" s="654" t="s">
        <v>58</v>
      </c>
      <c r="E81" s="654"/>
      <c r="F81" s="654"/>
      <c r="G81" s="654"/>
      <c r="H81" s="654"/>
      <c r="I81" s="654"/>
      <c r="J81" s="655"/>
      <c r="K81" s="655"/>
      <c r="L81" s="655"/>
      <c r="M81" s="655"/>
      <c r="N81" s="655"/>
      <c r="O81" s="655"/>
      <c r="P81" s="658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5"/>
      <c r="AB81" s="655"/>
      <c r="AC81" s="655"/>
      <c r="AD81" s="655"/>
      <c r="AE81" s="655"/>
      <c r="AF81" s="655"/>
      <c r="AG81" s="655"/>
      <c r="AH81" s="629" t="e" vm="2">
        <f t="shared" ref="AH81:AH82" ca="1" si="43">SUM(B81:AF81)</f>
        <v>#VALUE!</v>
      </c>
      <c r="AI81" s="629"/>
      <c r="AJ81" s="656"/>
      <c r="AK81" s="656"/>
      <c r="AL81" s="656"/>
      <c r="AM81" s="656"/>
      <c r="AN81" s="656"/>
      <c r="AO81" s="656"/>
      <c r="AP81" s="656"/>
      <c r="AQ81" s="656"/>
      <c r="AR81" s="656"/>
      <c r="AS81" s="656"/>
      <c r="AT81" s="656"/>
      <c r="AU81" s="656"/>
      <c r="AV81" s="656"/>
      <c r="AW81" s="656"/>
      <c r="AX81" s="656"/>
      <c r="AY81" s="656"/>
      <c r="AZ81" s="656"/>
      <c r="BA81" s="656"/>
      <c r="BB81" s="656"/>
      <c r="BC81" s="656"/>
      <c r="BD81" s="656"/>
      <c r="BE81" s="656"/>
      <c r="BF81" s="656"/>
      <c r="BG81" s="656"/>
    </row>
    <row r="82" spans="1:59" s="657" customFormat="1" hidden="1" x14ac:dyDescent="0.4">
      <c r="A82" s="631"/>
      <c r="B82" s="654" cm="1">
        <f t="array" ref="B82:AF82">TRANSPOSE('Elec.December''25'!E9:E39)</f>
        <v>7560</v>
      </c>
      <c r="C82" s="656">
        <v>8026</v>
      </c>
      <c r="D82" s="656">
        <v>5885</v>
      </c>
      <c r="E82" s="656">
        <v>6825</v>
      </c>
      <c r="F82" s="656">
        <v>7554</v>
      </c>
      <c r="G82" s="656">
        <v>7330</v>
      </c>
      <c r="H82" s="656">
        <v>6425</v>
      </c>
      <c r="I82" s="656">
        <v>8488</v>
      </c>
      <c r="J82" s="659">
        <v>6732</v>
      </c>
      <c r="K82" s="659">
        <v>6620</v>
      </c>
      <c r="L82" s="659">
        <v>4519</v>
      </c>
      <c r="M82" s="659">
        <v>5387</v>
      </c>
      <c r="N82" s="659">
        <v>6109</v>
      </c>
      <c r="O82" s="659">
        <v>8916</v>
      </c>
      <c r="P82" s="659">
        <v>6815</v>
      </c>
      <c r="Q82" s="659">
        <v>7445</v>
      </c>
      <c r="R82" s="659">
        <v>6897</v>
      </c>
      <c r="S82" s="659">
        <v>3934</v>
      </c>
      <c r="T82" s="659">
        <v>2566</v>
      </c>
      <c r="U82" s="659">
        <v>6346</v>
      </c>
      <c r="V82" s="659">
        <v>6520</v>
      </c>
      <c r="W82" s="659">
        <v>5182</v>
      </c>
      <c r="X82" s="659">
        <v>3878</v>
      </c>
      <c r="Y82" s="660">
        <v>3529</v>
      </c>
      <c r="Z82" s="660">
        <v>3866</v>
      </c>
      <c r="AA82" s="659">
        <v>3501</v>
      </c>
      <c r="AB82" s="659">
        <v>7041</v>
      </c>
      <c r="AC82" s="659">
        <v>7806</v>
      </c>
      <c r="AD82" s="659">
        <v>7082</v>
      </c>
      <c r="AE82" s="659">
        <v>191578</v>
      </c>
      <c r="AF82" s="659">
        <v>0</v>
      </c>
      <c r="AG82" s="659"/>
      <c r="AH82" s="629">
        <f t="shared" si="43"/>
        <v>370362</v>
      </c>
      <c r="AI82" s="629"/>
      <c r="AJ82" s="656"/>
      <c r="AK82" s="656"/>
      <c r="AL82" s="656"/>
      <c r="AM82" s="656"/>
      <c r="AN82" s="656"/>
      <c r="AO82" s="656"/>
      <c r="AP82" s="656"/>
      <c r="AQ82" s="656"/>
      <c r="AR82" s="656"/>
      <c r="AS82" s="656"/>
      <c r="AT82" s="656"/>
      <c r="AU82" s="656"/>
      <c r="AV82" s="656"/>
      <c r="AW82" s="656"/>
      <c r="AX82" s="656"/>
      <c r="AY82" s="656"/>
      <c r="AZ82" s="656"/>
      <c r="BA82" s="656"/>
      <c r="BB82" s="656"/>
      <c r="BC82" s="656"/>
      <c r="BD82" s="656"/>
      <c r="BE82" s="656"/>
      <c r="BF82" s="656"/>
      <c r="BG82" s="656"/>
    </row>
    <row r="83" spans="1:59" s="767" customFormat="1" x14ac:dyDescent="0.4">
      <c r="A83" s="767" t="s">
        <v>293</v>
      </c>
      <c r="B83" s="654" cm="1">
        <f t="array" ref="B83:AF83">TRANSPOSE('Elec.December''25'!D7:D37)</f>
        <v>1096.9000000000001</v>
      </c>
      <c r="C83" s="629">
        <v>891.6</v>
      </c>
      <c r="D83" s="629">
        <v>373.6</v>
      </c>
      <c r="E83" s="629">
        <v>501.5</v>
      </c>
      <c r="F83" s="629">
        <v>1161.0999999999999</v>
      </c>
      <c r="G83" s="629">
        <v>1390.7</v>
      </c>
      <c r="H83" s="629">
        <v>808.8</v>
      </c>
      <c r="I83" s="629">
        <v>1313.3</v>
      </c>
      <c r="J83" s="663">
        <v>1380</v>
      </c>
      <c r="K83" s="663">
        <v>1372.1</v>
      </c>
      <c r="L83" s="663">
        <v>1466.4</v>
      </c>
      <c r="M83" s="663">
        <v>1166.2</v>
      </c>
      <c r="N83" s="663">
        <v>1223.0999999999999</v>
      </c>
      <c r="O83" s="663">
        <v>1296.5</v>
      </c>
      <c r="P83" s="663">
        <v>1397.4</v>
      </c>
      <c r="Q83" s="663">
        <v>1388.8</v>
      </c>
      <c r="R83" s="663">
        <v>1363</v>
      </c>
      <c r="S83" s="663">
        <v>1360.6</v>
      </c>
      <c r="T83" s="663">
        <v>1198.5</v>
      </c>
      <c r="U83" s="663">
        <v>1296.2</v>
      </c>
      <c r="V83" s="663">
        <v>1208.3</v>
      </c>
      <c r="W83" s="663">
        <v>1270.4000000000001</v>
      </c>
      <c r="X83" s="663">
        <v>1092.8</v>
      </c>
      <c r="Y83" s="774">
        <v>1035.9000000000001</v>
      </c>
      <c r="Z83" s="774">
        <v>1114.7</v>
      </c>
      <c r="AA83" s="663">
        <v>469.1</v>
      </c>
      <c r="AB83" s="663">
        <v>1324.5</v>
      </c>
      <c r="AC83" s="663">
        <v>561.6</v>
      </c>
      <c r="AD83" s="663">
        <v>975.5</v>
      </c>
      <c r="AE83" s="663">
        <v>1196.3</v>
      </c>
      <c r="AF83" s="663">
        <v>1307.3</v>
      </c>
      <c r="AG83" s="663"/>
      <c r="AH83" s="629">
        <f>SUM(B83:AF83)</f>
        <v>35002.700000000004</v>
      </c>
      <c r="AI83" s="629"/>
      <c r="AJ83" s="629"/>
      <c r="AK83" s="629"/>
      <c r="AL83" s="629"/>
      <c r="AM83" s="629"/>
      <c r="AN83" s="629"/>
      <c r="AO83" s="629"/>
      <c r="AP83" s="629"/>
      <c r="AQ83" s="629"/>
      <c r="AR83" s="629"/>
      <c r="AS83" s="629"/>
      <c r="AT83" s="629"/>
      <c r="AU83" s="629"/>
      <c r="AV83" s="629"/>
      <c r="AW83" s="629"/>
      <c r="AX83" s="629"/>
      <c r="AY83" s="629"/>
      <c r="AZ83" s="629"/>
      <c r="BA83" s="629"/>
      <c r="BB83" s="629"/>
      <c r="BC83" s="629"/>
      <c r="BD83" s="629"/>
      <c r="BE83" s="629"/>
      <c r="BF83" s="629"/>
      <c r="BG83" s="629"/>
    </row>
    <row r="84" spans="1:59" s="657" customFormat="1" x14ac:dyDescent="0.4">
      <c r="A84" s="631" t="s">
        <v>134</v>
      </c>
      <c r="B84" s="661">
        <f>+'Fuel '!$K7</f>
        <v>2790</v>
      </c>
      <c r="C84" s="661">
        <f>+'Fuel '!$K8</f>
        <v>3130</v>
      </c>
      <c r="D84" s="661">
        <f>+'Fuel '!$K9</f>
        <v>3150</v>
      </c>
      <c r="E84" s="661">
        <f>+'Fuel '!$K10</f>
        <v>2920</v>
      </c>
      <c r="F84" s="661">
        <f>+'Fuel '!$K11</f>
        <v>2820</v>
      </c>
      <c r="G84" s="661">
        <f>+'Fuel '!$K12</f>
        <v>3370</v>
      </c>
      <c r="H84" s="661">
        <f>+'Fuel '!$K13</f>
        <v>3420</v>
      </c>
      <c r="I84" s="661">
        <f>+'Fuel '!$K14</f>
        <v>3630</v>
      </c>
      <c r="J84" s="662">
        <f>+'Fuel '!$K15</f>
        <v>2860</v>
      </c>
      <c r="K84" s="662">
        <f>+'Fuel '!$K16</f>
        <v>3800</v>
      </c>
      <c r="L84" s="662">
        <f>+'Fuel '!$K17</f>
        <v>2680</v>
      </c>
      <c r="M84" s="662">
        <f>+'Fuel '!$K18</f>
        <v>3090</v>
      </c>
      <c r="N84" s="662">
        <f>+'Fuel '!$K19</f>
        <v>1470</v>
      </c>
      <c r="O84" s="662">
        <f>+'Fuel '!$K20</f>
        <v>2140</v>
      </c>
      <c r="P84" s="662">
        <f>+'Fuel '!$K21</f>
        <v>3070</v>
      </c>
      <c r="Q84" s="662">
        <f>+'Fuel '!$K22</f>
        <v>3560</v>
      </c>
      <c r="R84" s="662">
        <f>+'Fuel '!$K23</f>
        <v>3260</v>
      </c>
      <c r="S84" s="662">
        <f>+'Fuel '!$K24</f>
        <v>3530</v>
      </c>
      <c r="T84" s="662">
        <f>+'Fuel '!$K25</f>
        <v>2420</v>
      </c>
      <c r="U84" s="662">
        <f>+'Fuel '!$K26</f>
        <v>130</v>
      </c>
      <c r="V84" s="662">
        <f>+'Fuel '!$K27</f>
        <v>700</v>
      </c>
      <c r="W84" s="662">
        <f>+'Fuel '!$K28</f>
        <v>2600</v>
      </c>
      <c r="X84" s="662">
        <f>+'Fuel '!$K29</f>
        <v>2700</v>
      </c>
      <c r="Y84" s="662">
        <f>+'Fuel '!$K30</f>
        <v>2270</v>
      </c>
      <c r="Z84" s="662">
        <f>+'Fuel '!$K31</f>
        <v>0</v>
      </c>
      <c r="AA84" s="662">
        <f>+'Fuel '!$K32</f>
        <v>0</v>
      </c>
      <c r="AB84" s="662">
        <f>+'Fuel '!$K33</f>
        <v>0</v>
      </c>
      <c r="AC84" s="662">
        <f>+'Fuel '!$K34</f>
        <v>1020</v>
      </c>
      <c r="AD84" s="662">
        <f>+'Fuel '!$K35</f>
        <v>3230</v>
      </c>
      <c r="AE84" s="662">
        <f>+'Fuel '!$K36</f>
        <v>3660</v>
      </c>
      <c r="AF84" s="662">
        <f>+'Fuel '!$K37</f>
        <v>2570</v>
      </c>
      <c r="AG84" s="662"/>
      <c r="AH84" s="663">
        <f>SUM($B84:AF84)</f>
        <v>75990</v>
      </c>
      <c r="AI84" s="630"/>
      <c r="AJ84" s="656"/>
      <c r="AK84" s="656"/>
      <c r="AL84" s="656"/>
      <c r="AM84" s="656"/>
      <c r="AN84" s="656"/>
      <c r="AO84" s="656"/>
      <c r="AP84" s="656"/>
      <c r="AQ84" s="656"/>
      <c r="AR84" s="656"/>
      <c r="AS84" s="656"/>
      <c r="AT84" s="656"/>
      <c r="AU84" s="656"/>
      <c r="AV84" s="656"/>
      <c r="AW84" s="656"/>
      <c r="AX84" s="656"/>
      <c r="AY84" s="656"/>
      <c r="AZ84" s="656"/>
      <c r="BA84" s="656"/>
      <c r="BB84" s="656"/>
      <c r="BC84" s="656"/>
      <c r="BD84" s="656"/>
      <c r="BE84" s="656"/>
      <c r="BF84" s="656"/>
      <c r="BG84" s="656"/>
    </row>
    <row r="85" spans="1:59" s="668" customFormat="1" x14ac:dyDescent="0.4">
      <c r="A85" s="664" t="s">
        <v>238</v>
      </c>
      <c r="B85" s="665">
        <f>'Steam Mass Flow '!B5</f>
        <v>71.315999999642372</v>
      </c>
      <c r="C85" s="665" t="str">
        <f>'Steam Mass Flow '!B6</f>
        <v>0</v>
      </c>
      <c r="D85" s="665" t="str">
        <f>'Steam Mass Flow '!B7</f>
        <v>0</v>
      </c>
      <c r="E85" s="665" t="str">
        <f>'Steam Mass Flow '!B8</f>
        <v>0</v>
      </c>
      <c r="F85" s="665" t="str">
        <f>'Steam Mass Flow '!B9</f>
        <v>0</v>
      </c>
      <c r="G85" s="665" t="str">
        <f>'Steam Mass Flow '!B10</f>
        <v>0</v>
      </c>
      <c r="H85" s="665" t="str">
        <f>'Steam Mass Flow '!B11</f>
        <v>0</v>
      </c>
      <c r="I85" s="665" t="str">
        <f>'Steam Mass Flow '!B12</f>
        <v>0</v>
      </c>
      <c r="J85" s="665" t="str">
        <f>'Steam Mass Flow '!B13</f>
        <v>0</v>
      </c>
      <c r="K85" s="665" t="str">
        <f>'Steam Mass Flow '!B14</f>
        <v>0</v>
      </c>
      <c r="L85" s="665" t="str">
        <f>'Steam Mass Flow '!B15</f>
        <v>0</v>
      </c>
      <c r="M85" s="665" t="str">
        <f>'Steam Mass Flow '!B16</f>
        <v>0</v>
      </c>
      <c r="N85" s="665">
        <f>'Steam Mass Flow '!B17</f>
        <v>70.560000000521541</v>
      </c>
      <c r="O85" s="665" t="str">
        <f>'Steam Mass Flow '!B18</f>
        <v>0</v>
      </c>
      <c r="P85" s="665">
        <f>'Steam Mass Flow '!B19</f>
        <v>25.122999999672174</v>
      </c>
      <c r="Q85" s="665" t="str">
        <f>'Steam Mass Flow '!B20</f>
        <v>0</v>
      </c>
      <c r="R85" s="665" t="str">
        <f>'Steam Mass Flow '!B21</f>
        <v>0</v>
      </c>
      <c r="S85" s="665" t="str">
        <f>'Steam Mass Flow '!B22</f>
        <v>0</v>
      </c>
      <c r="T85" s="665" t="str">
        <f>'Steam Mass Flow '!B23</f>
        <v>0</v>
      </c>
      <c r="U85" s="665" t="str">
        <f>'Steam Mass Flow '!B24</f>
        <v>0</v>
      </c>
      <c r="V85" s="665" t="str">
        <f>'Steam Mass Flow '!B25</f>
        <v>0</v>
      </c>
      <c r="W85" s="665" t="str">
        <f>'Steam Mass Flow '!B26</f>
        <v>0</v>
      </c>
      <c r="X85" s="665" t="str">
        <f>'Steam Mass Flow '!B27</f>
        <v>0</v>
      </c>
      <c r="Y85" s="665">
        <f>'Steam Mass Flow '!B28</f>
        <v>2.2410000003874302</v>
      </c>
      <c r="Z85" s="665" t="str">
        <f>'Steam Mass Flow '!B29</f>
        <v>0</v>
      </c>
      <c r="AA85" s="665" t="str">
        <f>'Steam Mass Flow '!B30</f>
        <v>0</v>
      </c>
      <c r="AB85" s="665" t="str">
        <f>'Steam Mass Flow '!B31</f>
        <v>0</v>
      </c>
      <c r="AC85" s="665" t="str">
        <f>'Steam Mass Flow '!B32</f>
        <v>0</v>
      </c>
      <c r="AD85" s="665" t="str">
        <f>'Steam Mass Flow '!B33</f>
        <v>0</v>
      </c>
      <c r="AE85" s="665" t="str">
        <f>'Steam Mass Flow '!B34</f>
        <v>0</v>
      </c>
      <c r="AF85" s="665">
        <f>'Steam Mass Flow '!B35</f>
        <v>19044.019999999553</v>
      </c>
      <c r="AG85" s="665"/>
      <c r="AH85" s="666">
        <f>SUM($B85:AF85)</f>
        <v>19213.259999999776</v>
      </c>
      <c r="AI85" s="665"/>
      <c r="AJ85" s="667"/>
      <c r="AK85" s="667"/>
      <c r="AL85" s="667"/>
      <c r="AM85" s="667"/>
      <c r="AN85" s="667"/>
      <c r="AO85" s="667"/>
      <c r="AP85" s="667"/>
      <c r="AQ85" s="667"/>
      <c r="AR85" s="667"/>
      <c r="AS85" s="667"/>
      <c r="AT85" s="667"/>
      <c r="AU85" s="667"/>
      <c r="AV85" s="667"/>
      <c r="AW85" s="667"/>
      <c r="AX85" s="667"/>
      <c r="AY85" s="667"/>
      <c r="AZ85" s="667"/>
      <c r="BA85" s="667"/>
      <c r="BB85" s="667"/>
      <c r="BC85" s="667"/>
      <c r="BD85" s="667"/>
      <c r="BE85" s="667"/>
      <c r="BF85" s="667"/>
      <c r="BG85" s="667"/>
    </row>
    <row r="86" spans="1:59" x14ac:dyDescent="0.4">
      <c r="A86" s="505"/>
      <c r="B86" s="502"/>
      <c r="C86" s="502"/>
      <c r="D86" s="502"/>
      <c r="E86" s="502"/>
      <c r="F86" s="502"/>
      <c r="G86" s="502"/>
      <c r="H86" s="502"/>
      <c r="I86" s="502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H86" s="518"/>
      <c r="AI86" s="518"/>
    </row>
    <row r="87" spans="1:59" hidden="1" x14ac:dyDescent="0.4">
      <c r="B87" s="502"/>
      <c r="C87" s="502"/>
      <c r="D87" s="502"/>
      <c r="E87" s="502"/>
      <c r="F87" s="502"/>
      <c r="G87" s="502"/>
      <c r="H87" s="502"/>
      <c r="I87" s="502"/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530"/>
      <c r="U87" s="530"/>
      <c r="V87" s="530"/>
      <c r="W87" s="530"/>
      <c r="X87" s="530"/>
      <c r="Y87" s="530"/>
      <c r="Z87" s="530"/>
      <c r="AA87" s="530"/>
      <c r="AB87" s="530"/>
      <c r="AC87" s="530"/>
      <c r="AD87" s="530"/>
      <c r="AE87" s="530"/>
      <c r="AH87" s="518"/>
      <c r="AI87" s="518"/>
    </row>
    <row r="88" spans="1:59" ht="27.75" customHeight="1" thickBot="1" x14ac:dyDescent="0.45">
      <c r="A88" s="505" t="s">
        <v>222</v>
      </c>
      <c r="M88" s="503"/>
    </row>
    <row r="89" spans="1:59" ht="25.2" thickBot="1" x14ac:dyDescent="0.45">
      <c r="A89" s="505" t="s">
        <v>124</v>
      </c>
      <c r="B89" s="292">
        <v>1</v>
      </c>
      <c r="C89" s="292">
        <v>2</v>
      </c>
      <c r="D89" s="292">
        <v>3</v>
      </c>
      <c r="E89" s="292">
        <v>4</v>
      </c>
      <c r="F89" s="292">
        <v>5</v>
      </c>
      <c r="G89" s="292">
        <v>6</v>
      </c>
      <c r="H89" s="292">
        <v>7</v>
      </c>
      <c r="I89" s="292">
        <v>8</v>
      </c>
      <c r="J89" s="292">
        <v>9</v>
      </c>
      <c r="K89" s="292">
        <v>10</v>
      </c>
      <c r="L89" s="292">
        <v>11</v>
      </c>
      <c r="M89" s="292">
        <v>12</v>
      </c>
      <c r="N89" s="292">
        <v>13</v>
      </c>
      <c r="O89" s="292">
        <v>14</v>
      </c>
      <c r="P89" s="292">
        <v>15</v>
      </c>
      <c r="Q89" s="292">
        <v>16</v>
      </c>
      <c r="R89" s="292">
        <v>17</v>
      </c>
      <c r="S89" s="292">
        <v>18</v>
      </c>
      <c r="T89" s="292">
        <v>19</v>
      </c>
      <c r="U89" s="292">
        <v>20</v>
      </c>
      <c r="V89" s="292">
        <v>21</v>
      </c>
      <c r="W89" s="292">
        <v>22</v>
      </c>
      <c r="X89" s="292">
        <v>23</v>
      </c>
      <c r="Y89" s="292">
        <v>24</v>
      </c>
      <c r="Z89" s="292">
        <v>25</v>
      </c>
      <c r="AA89" s="292">
        <v>26</v>
      </c>
      <c r="AB89" s="292">
        <v>27</v>
      </c>
      <c r="AC89" s="292">
        <v>28</v>
      </c>
      <c r="AD89" s="292">
        <v>29</v>
      </c>
      <c r="AE89" s="292">
        <v>30</v>
      </c>
      <c r="AF89" s="292">
        <v>31</v>
      </c>
      <c r="AG89" s="292"/>
      <c r="AH89" s="706" t="s">
        <v>86</v>
      </c>
      <c r="AI89" s="709" t="s">
        <v>154</v>
      </c>
      <c r="AJ89" s="712" t="s">
        <v>203</v>
      </c>
      <c r="AK89" s="714" t="s">
        <v>252</v>
      </c>
    </row>
    <row r="90" spans="1:59" s="674" customFormat="1" x14ac:dyDescent="0.4">
      <c r="A90" s="669" t="s">
        <v>138</v>
      </c>
      <c r="B90" s="696">
        <f t="shared" ref="B90:H90" si="44">IF(B$9=0,"",+(B22*10)/B$9)</f>
        <v>5.2951205793433171</v>
      </c>
      <c r="C90" s="696">
        <f>IF(C$9=0,"",+(C22*10)/C$9)</f>
        <v>17.411738059511336</v>
      </c>
      <c r="D90" s="696">
        <f>IF(D$9=0,"",+(D22*10)/D$9)</f>
        <v>10.043290043290042</v>
      </c>
      <c r="E90" s="696">
        <f>IF(E$9=0,"",+(E22*10)/E$9)</f>
        <v>16.74309396618289</v>
      </c>
      <c r="F90" s="696">
        <f t="shared" si="44"/>
        <v>15.299947477792239</v>
      </c>
      <c r="G90" s="696">
        <f t="shared" si="44"/>
        <v>12.059099499134389</v>
      </c>
      <c r="H90" s="696">
        <f t="shared" si="44"/>
        <v>6.1510681754542009</v>
      </c>
      <c r="I90" s="696">
        <f>IF(I$9=0,"",+(I22*10)/I$9)</f>
        <v>7.1893551103811602</v>
      </c>
      <c r="J90" s="696">
        <f>IF(J$9=0,"",+(J22*10)/J$9)</f>
        <v>13.316943249334152</v>
      </c>
      <c r="K90" s="696">
        <f t="shared" ref="K90:AE90" si="45">IF(K$9=0,"",+(K22*10)/K$9)</f>
        <v>12.424150901952169</v>
      </c>
      <c r="L90" s="696">
        <f>IF(L$9=0,"",+(L22*10)/L$9)</f>
        <v>13.700358733077351</v>
      </c>
      <c r="M90" s="696">
        <f>IF(M$9=0,"",+(M22*10)/M$9)</f>
        <v>9.1488129704690202</v>
      </c>
      <c r="N90" s="696">
        <f>IF(N$9=0,"",+(N22*10)/N$9)</f>
        <v>7.6596994879543354</v>
      </c>
      <c r="O90" s="696">
        <f>IF(O$9=0,"",+(O22*10)/O$9)</f>
        <v>8.5827204654198592</v>
      </c>
      <c r="P90" s="696">
        <f>IF(P$9=0,"",+(P22*10)/P$9)</f>
        <v>8.7155168680438262</v>
      </c>
      <c r="Q90" s="696">
        <f t="shared" ref="Q90:V90" si="46">IF(Q$9=0,"",+(Q22*10)/Q$9)</f>
        <v>9.8952045468327068</v>
      </c>
      <c r="R90" s="696">
        <f t="shared" si="46"/>
        <v>9.7738518791150373</v>
      </c>
      <c r="S90" s="696">
        <f t="shared" si="46"/>
        <v>8.2241136233094867</v>
      </c>
      <c r="T90" s="696">
        <f t="shared" si="46"/>
        <v>8.9102010324982359</v>
      </c>
      <c r="U90" s="696" t="str">
        <f t="shared" si="46"/>
        <v/>
      </c>
      <c r="V90" s="696" t="str">
        <f t="shared" si="46"/>
        <v/>
      </c>
      <c r="W90" s="696">
        <f t="shared" si="45"/>
        <v>6.4458858673031525</v>
      </c>
      <c r="X90" s="696">
        <f t="shared" si="45"/>
        <v>8.2366851327833341</v>
      </c>
      <c r="Y90" s="696">
        <f>IF(Y$9=0,"",+(Y22*10)/Y$9)</f>
        <v>10.876256925918325</v>
      </c>
      <c r="Z90" s="696" t="str">
        <f t="shared" si="45"/>
        <v/>
      </c>
      <c r="AA90" s="696" t="str">
        <f t="shared" si="45"/>
        <v/>
      </c>
      <c r="AB90" s="696" t="str">
        <f t="shared" si="45"/>
        <v/>
      </c>
      <c r="AC90" s="696">
        <f>IF(AC$9=0,"",+(AC22*10)/AC$9)</f>
        <v>0</v>
      </c>
      <c r="AD90" s="696">
        <f>IF(AD$9=0,"",+(AD22*10)/AD$9)</f>
        <v>11.440666613080406</v>
      </c>
      <c r="AE90" s="696">
        <f t="shared" si="45"/>
        <v>6.8418651977123606</v>
      </c>
      <c r="AF90" s="697">
        <f>IF(AF$9=0,"",+(AF22*10)/AF$9)</f>
        <v>7.3167672431814692</v>
      </c>
      <c r="AG90" s="670"/>
      <c r="AH90" s="707">
        <f>IF(AH$9=0,"0",+(AH22*10)/AH$9)</f>
        <v>9.7734248972315534</v>
      </c>
      <c r="AI90" s="710">
        <v>10.199999999999999</v>
      </c>
      <c r="AJ90" s="713">
        <f>+AI90-AH90</f>
        <v>0.4265751027684459</v>
      </c>
      <c r="AK90" s="715">
        <f>AH90/AI90*100</f>
        <v>95.817891149328958</v>
      </c>
      <c r="AL90" s="672"/>
      <c r="AM90" s="673"/>
      <c r="AN90" s="673"/>
      <c r="AO90" s="673"/>
      <c r="AP90" s="673"/>
      <c r="AQ90" s="673"/>
      <c r="AR90" s="673"/>
      <c r="AS90" s="673"/>
      <c r="AT90" s="673"/>
      <c r="AU90" s="673"/>
      <c r="AV90" s="673"/>
      <c r="AW90" s="673"/>
      <c r="AX90" s="673"/>
      <c r="AY90" s="673"/>
      <c r="AZ90" s="673"/>
      <c r="BA90" s="673"/>
      <c r="BB90" s="673"/>
      <c r="BC90" s="673"/>
      <c r="BD90" s="673"/>
      <c r="BE90" s="673"/>
      <c r="BF90" s="673"/>
      <c r="BG90" s="673"/>
    </row>
    <row r="91" spans="1:59" s="677" customFormat="1" hidden="1" x14ac:dyDescent="0.4">
      <c r="A91" s="675"/>
      <c r="B91" s="698"/>
      <c r="C91" s="698"/>
      <c r="D91" s="698"/>
      <c r="E91" s="698"/>
      <c r="F91" s="698"/>
      <c r="G91" s="698"/>
      <c r="H91" s="698"/>
      <c r="I91" s="698"/>
      <c r="J91" s="698"/>
      <c r="K91" s="698"/>
      <c r="L91" s="698"/>
      <c r="M91" s="698"/>
      <c r="N91" s="698"/>
      <c r="O91" s="698"/>
      <c r="P91" s="698"/>
      <c r="Q91" s="698"/>
      <c r="R91" s="698"/>
      <c r="S91" s="698"/>
      <c r="T91" s="698"/>
      <c r="U91" s="698"/>
      <c r="V91" s="698"/>
      <c r="W91" s="698"/>
      <c r="X91" s="698"/>
      <c r="Y91" s="698"/>
      <c r="Z91" s="698"/>
      <c r="AA91" s="698"/>
      <c r="AB91" s="698"/>
      <c r="AC91" s="698"/>
      <c r="AD91" s="698"/>
      <c r="AE91" s="698"/>
      <c r="AF91" s="699"/>
      <c r="AG91" s="676"/>
      <c r="AH91" s="718">
        <f t="shared" ref="AH91" si="47">IF(AH$9=0,"0",+(AH23*10)/AH$9)</f>
        <v>0</v>
      </c>
      <c r="AI91" s="719"/>
      <c r="AJ91" s="720"/>
      <c r="AK91" s="721" t="e">
        <f t="shared" ref="AK91:AK96" si="48">AH91/AI91*100</f>
        <v>#DIV/0!</v>
      </c>
      <c r="AL91" s="672"/>
      <c r="AM91" s="672"/>
      <c r="AN91" s="672"/>
      <c r="AO91" s="672"/>
      <c r="AP91" s="672"/>
      <c r="AQ91" s="672"/>
      <c r="AR91" s="672"/>
      <c r="AS91" s="672"/>
      <c r="AT91" s="672"/>
      <c r="AU91" s="672"/>
      <c r="AV91" s="672"/>
      <c r="AW91" s="672"/>
      <c r="AX91" s="672"/>
      <c r="AY91" s="672"/>
      <c r="AZ91" s="672"/>
      <c r="BA91" s="672"/>
      <c r="BB91" s="672"/>
      <c r="BC91" s="672"/>
      <c r="BD91" s="672"/>
      <c r="BE91" s="672"/>
      <c r="BF91" s="672"/>
      <c r="BG91" s="672"/>
    </row>
    <row r="92" spans="1:59" s="674" customFormat="1" ht="29.4" x14ac:dyDescent="0.6">
      <c r="A92" s="674" t="s">
        <v>226</v>
      </c>
      <c r="B92" s="696">
        <f>IF(B$9=0,"",+B74/B$9)</f>
        <v>6.5914364058215567</v>
      </c>
      <c r="C92" s="696">
        <f t="shared" ref="C92:H92" si="49">IF(C$9=0,"",+C74/C$9)</f>
        <v>5.6623538404914919</v>
      </c>
      <c r="D92" s="696">
        <f>IF(D$9=0,"",+D74/D$9)</f>
        <v>4.9062049062049065</v>
      </c>
      <c r="E92" s="696">
        <f t="shared" si="49"/>
        <v>6.3032824343276754</v>
      </c>
      <c r="F92" s="696">
        <f>IF(F$9=0,"",+F74/F$9)</f>
        <v>6.089531334444672</v>
      </c>
      <c r="G92" s="696">
        <f>IF(G$9=0,"",+G74/G$9)</f>
        <v>2.6430903011801399</v>
      </c>
      <c r="H92" s="696">
        <f t="shared" si="49"/>
        <v>7.4636392087101182</v>
      </c>
      <c r="I92" s="696">
        <f t="shared" ref="I92:AE92" si="50">IF(I$9=0,"",+I74/I$9)</f>
        <v>4.4654379567584845</v>
      </c>
      <c r="J92" s="696">
        <f t="shared" ref="J92" si="51">IF(J$9=0,"",+J74/J$9)</f>
        <v>4.1906464770631944</v>
      </c>
      <c r="K92" s="696">
        <f t="shared" si="50"/>
        <v>10.982674830454958</v>
      </c>
      <c r="L92" s="696">
        <f>IF(L$9=0,"",+L74/L$9)</f>
        <v>6.0089292688935751</v>
      </c>
      <c r="M92" s="696">
        <f>IF(M$9=0,"",+M74/M$9)</f>
        <v>6.1764138197259211</v>
      </c>
      <c r="N92" s="696">
        <f t="shared" si="50"/>
        <v>1.0492739024594979</v>
      </c>
      <c r="O92" s="696">
        <f t="shared" si="50"/>
        <v>5.9102566079238557</v>
      </c>
      <c r="P92" s="696">
        <f t="shared" si="50"/>
        <v>6.7667056428911696</v>
      </c>
      <c r="Q92" s="696">
        <f t="shared" si="50"/>
        <v>6.6151785271305004</v>
      </c>
      <c r="R92" s="696">
        <f t="shared" si="50"/>
        <v>5.111847217110375</v>
      </c>
      <c r="S92" s="696">
        <f>IF(S$9=0,"",+S74/S$9)</f>
        <v>5.4392285868448988</v>
      </c>
      <c r="T92" s="696">
        <f t="shared" si="50"/>
        <v>5.0080755217788688</v>
      </c>
      <c r="U92" s="696" t="str">
        <f t="shared" si="50"/>
        <v/>
      </c>
      <c r="V92" s="696" t="str">
        <f>IF(V$9=0,"",+V74/V$9)</f>
        <v/>
      </c>
      <c r="W92" s="696">
        <f t="shared" si="50"/>
        <v>4.788372358568056</v>
      </c>
      <c r="X92" s="696">
        <f t="shared" si="50"/>
        <v>5.9782392092782271</v>
      </c>
      <c r="Y92" s="696">
        <f>IF(Y$9=0,"",+Y74/Y$9)</f>
        <v>7.182433819002668</v>
      </c>
      <c r="Z92" s="696" t="str">
        <f t="shared" si="50"/>
        <v/>
      </c>
      <c r="AA92" s="696" t="str">
        <f>IF(AA$9=0,"",+AA74/AA$9)</f>
        <v/>
      </c>
      <c r="AB92" s="696" t="str">
        <f t="shared" si="50"/>
        <v/>
      </c>
      <c r="AC92" s="696">
        <f>IF(AC$9=0,"",+AC74/AC$9)</f>
        <v>0</v>
      </c>
      <c r="AD92" s="696">
        <f t="shared" si="50"/>
        <v>6.4303512579374642</v>
      </c>
      <c r="AE92" s="696">
        <f t="shared" si="50"/>
        <v>3.3137238849319126</v>
      </c>
      <c r="AF92" s="696">
        <f>IF(AF$9=0,"",+AF74/AF$9)</f>
        <v>3.7164532028858255</v>
      </c>
      <c r="AG92" s="671"/>
      <c r="AH92" s="718">
        <f>IF(AH$9=0,"0",+(AH74)/AH$9)</f>
        <v>5.8994299478985424</v>
      </c>
      <c r="AI92" s="722">
        <v>5</v>
      </c>
      <c r="AJ92" s="723">
        <f>AI92-AH92</f>
        <v>-0.89942994789854236</v>
      </c>
      <c r="AK92" s="721">
        <f t="shared" si="48"/>
        <v>117.98859895797085</v>
      </c>
      <c r="AL92" s="672"/>
      <c r="AM92" s="673"/>
      <c r="AN92" s="673"/>
      <c r="AO92" s="673" t="s">
        <v>212</v>
      </c>
      <c r="AP92" s="673"/>
      <c r="AQ92" s="673"/>
      <c r="AR92" s="673"/>
      <c r="AS92" s="673"/>
      <c r="AT92" s="673"/>
      <c r="AU92" s="673"/>
      <c r="AV92" s="673"/>
      <c r="AW92" s="673"/>
      <c r="AX92" s="673"/>
      <c r="AY92" s="673"/>
      <c r="AZ92" s="673"/>
      <c r="BA92" s="673"/>
      <c r="BB92" s="673"/>
      <c r="BC92" s="673"/>
      <c r="BD92" s="673"/>
      <c r="BE92" s="673"/>
      <c r="BF92" s="673"/>
      <c r="BG92" s="673"/>
    </row>
    <row r="93" spans="1:59" s="674" customFormat="1" ht="29.4" x14ac:dyDescent="0.6">
      <c r="A93" s="674" t="s">
        <v>286</v>
      </c>
      <c r="B93" s="696">
        <f t="shared" ref="B93:AF93" si="52">IF(B$9=0,"",+B76/B$9)</f>
        <v>1.2391900442944526</v>
      </c>
      <c r="C93" s="696">
        <f t="shared" si="52"/>
        <v>1.2412823343997494</v>
      </c>
      <c r="D93" s="696">
        <f t="shared" si="52"/>
        <v>1.075036075036075</v>
      </c>
      <c r="E93" s="696">
        <f t="shared" si="52"/>
        <v>1.16957405568949</v>
      </c>
      <c r="F93" s="696">
        <f t="shared" si="52"/>
        <v>1.1455930822924039</v>
      </c>
      <c r="G93" s="696">
        <f t="shared" si="52"/>
        <v>1.0738875893694937</v>
      </c>
      <c r="H93" s="696">
        <f t="shared" si="52"/>
        <v>0.93570872658990878</v>
      </c>
      <c r="I93" s="696">
        <f t="shared" ref="I93:AE93" si="53">IF(I$9=0,"",+I76/I$9)</f>
        <v>1.065699095570191</v>
      </c>
      <c r="J93" s="696">
        <f t="shared" ref="J93" si="54">IF(J$9=0,"",+J76/J$9)</f>
        <v>1.2476485816990015</v>
      </c>
      <c r="K93" s="696">
        <f t="shared" si="53"/>
        <v>1.0870560024894029</v>
      </c>
      <c r="L93" s="696">
        <f>IF(L$9=0,"",+L76/L$9)</f>
        <v>0.97582006862197479</v>
      </c>
      <c r="M93" s="696">
        <f>IF(M$9=0,"",+M76/M$9)</f>
        <v>1.2681335649488594</v>
      </c>
      <c r="N93" s="696">
        <f t="shared" si="53"/>
        <v>1.2514689834634096</v>
      </c>
      <c r="O93" s="696">
        <f>IF(O$9=0,"",+O76/O$9)</f>
        <v>0.9690251160209219</v>
      </c>
      <c r="P93" s="696">
        <f>IF(P$9=0,"",+P76/P$9)</f>
        <v>1.3993276601273168</v>
      </c>
      <c r="Q93" s="696">
        <f t="shared" si="53"/>
        <v>1.1329871389904214</v>
      </c>
      <c r="R93" s="696">
        <f t="shared" si="53"/>
        <v>0.86083507136138715</v>
      </c>
      <c r="S93" s="696">
        <f>IF(S$9=0,"",+S76/S$9)</f>
        <v>0.89342593076079446</v>
      </c>
      <c r="T93" s="696">
        <f t="shared" si="53"/>
        <v>0.83987513198365271</v>
      </c>
      <c r="U93" s="696" t="str">
        <f t="shared" si="53"/>
        <v/>
      </c>
      <c r="V93" s="696" t="str">
        <f t="shared" si="53"/>
        <v/>
      </c>
      <c r="W93" s="696">
        <f t="shared" si="53"/>
        <v>0.84273511829120773</v>
      </c>
      <c r="X93" s="696">
        <f t="shared" si="53"/>
        <v>1.1462941559390465</v>
      </c>
      <c r="Y93" s="696">
        <f>IF(Y$9=0,"",+Y76/Y$9)</f>
        <v>0.56792530268829233</v>
      </c>
      <c r="Z93" s="696" t="str">
        <f t="shared" si="53"/>
        <v/>
      </c>
      <c r="AA93" s="696" t="str">
        <f t="shared" si="53"/>
        <v/>
      </c>
      <c r="AB93" s="696" t="str">
        <f t="shared" si="53"/>
        <v/>
      </c>
      <c r="AC93" s="696">
        <f>IF(AC$9=0,"",+AC76/AC$9)</f>
        <v>0</v>
      </c>
      <c r="AD93" s="696">
        <f>IF(AD$9=0,"",+AD76/AD$9)</f>
        <v>0.67459743321811971</v>
      </c>
      <c r="AE93" s="696">
        <f t="shared" si="53"/>
        <v>0.76500239757669142</v>
      </c>
      <c r="AF93" s="696">
        <f t="shared" si="52"/>
        <v>0.77423011349118898</v>
      </c>
      <c r="AG93" s="671"/>
      <c r="AH93" s="718">
        <f>IF(AH$9=0,"0",+AH76/AH$9)</f>
        <v>0.9983118894447256</v>
      </c>
      <c r="AI93" s="722">
        <v>1.7</v>
      </c>
      <c r="AJ93" s="724">
        <f>AI93-AH93</f>
        <v>0.70168811055527436</v>
      </c>
      <c r="AK93" s="721">
        <f t="shared" si="48"/>
        <v>58.724228790866221</v>
      </c>
      <c r="AL93" s="678"/>
      <c r="AM93" s="679"/>
      <c r="AN93" s="679"/>
      <c r="AO93" s="679"/>
      <c r="AP93" s="679"/>
      <c r="AQ93" s="679"/>
      <c r="AR93" s="679"/>
      <c r="AS93" s="679"/>
      <c r="AT93" s="679"/>
      <c r="AU93" s="679"/>
      <c r="AV93" s="679"/>
      <c r="AW93" s="679"/>
      <c r="AX93" s="679"/>
      <c r="AY93" s="679"/>
      <c r="AZ93" s="679"/>
      <c r="BA93" s="679"/>
      <c r="BB93" s="679"/>
      <c r="BC93" s="679"/>
      <c r="BD93" s="679"/>
      <c r="BE93" s="679"/>
      <c r="BF93" s="679"/>
      <c r="BG93" s="679"/>
    </row>
    <row r="94" spans="1:59" s="674" customFormat="1" x14ac:dyDescent="0.4">
      <c r="A94" s="674" t="s">
        <v>190</v>
      </c>
      <c r="B94" s="696">
        <f>IF(B$9=0,"",B80/B$9)</f>
        <v>13.969450889404484</v>
      </c>
      <c r="C94" s="696">
        <f t="shared" ref="C94:H94" si="55">IF(C$9=0,"",C80/C$9)</f>
        <v>30.369091097836034</v>
      </c>
      <c r="D94" s="696">
        <f t="shared" si="55"/>
        <v>21.818181818181817</v>
      </c>
      <c r="E94" s="696">
        <f t="shared" si="55"/>
        <v>31.618840511196204</v>
      </c>
      <c r="F94" s="696">
        <f t="shared" si="55"/>
        <v>22.39805743950431</v>
      </c>
      <c r="G94" s="696">
        <f>IF(G$9=0,"",G80/G$9)</f>
        <v>22.54886413194307</v>
      </c>
      <c r="H94" s="696">
        <f t="shared" si="55"/>
        <v>19.441493304343528</v>
      </c>
      <c r="I94" s="696">
        <f t="shared" ref="I94:AE94" si="56">IF(I$9=0,"",I80/I$9)</f>
        <v>16.365830111519845</v>
      </c>
      <c r="J94" s="696">
        <f t="shared" ref="J94" si="57">IF(J$9=0,"",J80/J$9)</f>
        <v>29.916559572367806</v>
      </c>
      <c r="K94" s="696">
        <f>IF(K$9=0,"",K80/K$9)</f>
        <v>19.421029991854514</v>
      </c>
      <c r="L94" s="696">
        <f>IF(L$9=0,"",L80/L$9)</f>
        <v>20.226055919095774</v>
      </c>
      <c r="M94" s="696">
        <f>IF(M$9=0,"",M80/M$9)</f>
        <v>25.554912179115998</v>
      </c>
      <c r="N94" s="696">
        <f t="shared" si="56"/>
        <v>23.708343826072358</v>
      </c>
      <c r="O94" s="696">
        <f t="shared" si="56"/>
        <v>13.842848846472091</v>
      </c>
      <c r="P94" s="696">
        <f t="shared" si="56"/>
        <v>16.535121908968861</v>
      </c>
      <c r="Q94" s="696">
        <f t="shared" si="56"/>
        <v>24.57538822828981</v>
      </c>
      <c r="R94" s="696">
        <f t="shared" si="56"/>
        <v>13.934895513842882</v>
      </c>
      <c r="S94" s="696">
        <f t="shared" si="56"/>
        <v>16.198022731624111</v>
      </c>
      <c r="T94" s="696">
        <f>IF(T$9=0,"",T80/T$9)</f>
        <v>14.391957030712023</v>
      </c>
      <c r="U94" s="696" t="str">
        <f t="shared" si="56"/>
        <v/>
      </c>
      <c r="V94" s="696" t="str">
        <f>IF(V$9=0,"",V80/V$9)</f>
        <v/>
      </c>
      <c r="W94" s="696">
        <f>IF(W$9=0,"",W80/W$9)</f>
        <v>11.687311918258802</v>
      </c>
      <c r="X94" s="696">
        <f t="shared" si="56"/>
        <v>14.436340609071866</v>
      </c>
      <c r="Y94" s="696">
        <f>IF(Y$9=0,"",Y80/Y$9)</f>
        <v>17.723510500034202</v>
      </c>
      <c r="Z94" s="696" t="str">
        <f t="shared" si="56"/>
        <v/>
      </c>
      <c r="AA94" s="696" t="str">
        <f>IF(AA$9=0,"",AA80/AA$9)</f>
        <v/>
      </c>
      <c r="AB94" s="696" t="str">
        <f t="shared" si="56"/>
        <v/>
      </c>
      <c r="AC94" s="696">
        <f>IF(AC$9=0,"",AC80/AC$9)</f>
        <v>226.93242586290714</v>
      </c>
      <c r="AD94" s="696">
        <f t="shared" si="56"/>
        <v>18.865043002974037</v>
      </c>
      <c r="AE94" s="696">
        <f t="shared" si="56"/>
        <v>15.215840379869711</v>
      </c>
      <c r="AF94" s="697">
        <f>IF(AF$9=0,"",AF80/AF$9)</f>
        <v>16.449950989273386</v>
      </c>
      <c r="AG94" s="670"/>
      <c r="AH94" s="718">
        <f>IF(AH$9=0,"0",+(AH80)/AH$9)</f>
        <v>20.661809699424261</v>
      </c>
      <c r="AI94" s="722">
        <v>22</v>
      </c>
      <c r="AJ94" s="723">
        <f>AI94-AH94</f>
        <v>1.3381903005757394</v>
      </c>
      <c r="AK94" s="721">
        <f>AH94/AI94*100</f>
        <v>93.917316815564817</v>
      </c>
      <c r="AL94" s="672"/>
      <c r="AM94" s="673"/>
      <c r="AN94" s="673"/>
      <c r="AO94" s="673"/>
      <c r="AP94" s="673"/>
      <c r="AQ94" s="673"/>
      <c r="AR94" s="673"/>
      <c r="AS94" s="673"/>
      <c r="AT94" s="673"/>
      <c r="AU94" s="673"/>
      <c r="AV94" s="673"/>
      <c r="AW94" s="673"/>
      <c r="AX94" s="673"/>
      <c r="AY94" s="673"/>
      <c r="AZ94" s="673"/>
      <c r="BA94" s="673"/>
      <c r="BB94" s="673"/>
      <c r="BC94" s="673"/>
      <c r="BD94" s="673"/>
      <c r="BE94" s="673"/>
      <c r="BF94" s="673"/>
      <c r="BG94" s="673"/>
    </row>
    <row r="95" spans="1:59" s="674" customFormat="1" hidden="1" x14ac:dyDescent="0.4">
      <c r="B95" s="696"/>
      <c r="C95" s="696"/>
      <c r="D95" s="696"/>
      <c r="E95" s="696"/>
      <c r="F95" s="696"/>
      <c r="G95" s="696"/>
      <c r="H95" s="696"/>
      <c r="I95" s="696"/>
      <c r="J95" s="696"/>
      <c r="K95" s="696"/>
      <c r="L95" s="696"/>
      <c r="M95" s="696"/>
      <c r="N95" s="696"/>
      <c r="O95" s="696"/>
      <c r="P95" s="696"/>
      <c r="Q95" s="696"/>
      <c r="R95" s="696"/>
      <c r="S95" s="696"/>
      <c r="T95" s="696"/>
      <c r="U95" s="696"/>
      <c r="V95" s="696"/>
      <c r="W95" s="696"/>
      <c r="X95" s="696"/>
      <c r="Y95" s="696"/>
      <c r="Z95" s="696"/>
      <c r="AA95" s="696"/>
      <c r="AB95" s="696"/>
      <c r="AC95" s="696"/>
      <c r="AD95" s="696"/>
      <c r="AE95" s="696"/>
      <c r="AF95" s="697"/>
      <c r="AG95" s="680"/>
      <c r="AH95" s="718">
        <f t="shared" ref="AH95" si="58">IF(AH$9=0,"0",+(AH78*10)/AH$9)</f>
        <v>0</v>
      </c>
      <c r="AI95" s="722"/>
      <c r="AJ95" s="724"/>
      <c r="AK95" s="721" t="e">
        <f t="shared" si="48"/>
        <v>#DIV/0!</v>
      </c>
      <c r="AL95" s="672"/>
      <c r="AM95" s="673"/>
      <c r="AN95" s="673"/>
      <c r="AO95" s="673"/>
      <c r="AP95" s="673"/>
      <c r="AQ95" s="673"/>
      <c r="AR95" s="673"/>
      <c r="AS95" s="673"/>
      <c r="AT95" s="673"/>
      <c r="AU95" s="673"/>
      <c r="AV95" s="673"/>
      <c r="AW95" s="673"/>
      <c r="AX95" s="673"/>
      <c r="AY95" s="673"/>
      <c r="AZ95" s="673"/>
      <c r="BA95" s="673"/>
      <c r="BB95" s="673"/>
      <c r="BC95" s="673"/>
      <c r="BD95" s="673"/>
      <c r="BE95" s="673"/>
      <c r="BF95" s="673"/>
      <c r="BG95" s="673"/>
    </row>
    <row r="96" spans="1:59" s="674" customFormat="1" ht="25.2" thickBot="1" x14ac:dyDescent="0.45">
      <c r="A96" s="674" t="s">
        <v>191</v>
      </c>
      <c r="B96" s="696">
        <f t="shared" ref="B96:AF96" si="59">IF(B$9=0,"",B84/B$9)</f>
        <v>6.1300358574140477</v>
      </c>
      <c r="C96" s="696">
        <f>IF(C$9=0,"",C84/C$9)</f>
        <v>14.769306267281975</v>
      </c>
      <c r="D96" s="697">
        <f t="shared" si="59"/>
        <v>9.0909090909090917</v>
      </c>
      <c r="E96" s="696">
        <f>IF(E$9=0,"",E84/E$9)</f>
        <v>11.503490442648008</v>
      </c>
      <c r="F96" s="696">
        <f>IF(F$9=0,"",F84/F$9)</f>
        <v>10.732798976958735</v>
      </c>
      <c r="G96" s="696">
        <f t="shared" si="59"/>
        <v>11.134017893721339</v>
      </c>
      <c r="H96" s="697">
        <f t="shared" si="59"/>
        <v>8.8019469288926224</v>
      </c>
      <c r="I96" s="697">
        <f>IF(I$9=0,"",I84/I$9)</f>
        <v>8.1047698915166499</v>
      </c>
      <c r="J96" s="697">
        <f>IF(J$9=0,"",J84/J$9)</f>
        <v>13.316943249334152</v>
      </c>
      <c r="K96" s="697">
        <f t="shared" ref="K96:AE96" si="60">IF(K$9=0,"",K84/K$9)</f>
        <v>8.6946175741101737</v>
      </c>
      <c r="L96" s="697">
        <f>IF(L$9=0,"",L84/L$9)</f>
        <v>8.0519652203173919</v>
      </c>
      <c r="M96" s="697">
        <f>IF(M$9=0,"",M84/M$9)</f>
        <v>11.928199189345685</v>
      </c>
      <c r="N96" s="697">
        <f t="shared" si="60"/>
        <v>7.7121631830773101</v>
      </c>
      <c r="O96" s="697">
        <f t="shared" si="60"/>
        <v>5.499108322155239</v>
      </c>
      <c r="P96" s="697">
        <f>IF(P$9=0,"",P84/P$9)</f>
        <v>8.3095145294703556</v>
      </c>
      <c r="Q96" s="697">
        <f t="shared" si="60"/>
        <v>9.8125148152435759</v>
      </c>
      <c r="R96" s="697">
        <f t="shared" si="60"/>
        <v>6.6658487711119294</v>
      </c>
      <c r="S96" s="697">
        <f t="shared" si="60"/>
        <v>7.6801907646249976</v>
      </c>
      <c r="T96" s="697">
        <f>IF(T$9=0,"",T84/T$9)</f>
        <v>5.0498094844603587</v>
      </c>
      <c r="U96" s="697" t="str">
        <f t="shared" si="60"/>
        <v/>
      </c>
      <c r="V96" s="697" t="str">
        <f t="shared" si="60"/>
        <v/>
      </c>
      <c r="W96" s="697">
        <f t="shared" si="60"/>
        <v>4.788372358568056</v>
      </c>
      <c r="X96" s="697">
        <f t="shared" si="60"/>
        <v>5.9782392092782271</v>
      </c>
      <c r="Y96" s="697">
        <f>IF(Y$9=0,"",Y84/Y$9)</f>
        <v>7.7638689376838359</v>
      </c>
      <c r="Z96" s="697" t="str">
        <f t="shared" si="60"/>
        <v/>
      </c>
      <c r="AA96" s="697" t="str">
        <f t="shared" si="60"/>
        <v/>
      </c>
      <c r="AB96" s="697" t="str">
        <f t="shared" si="60"/>
        <v/>
      </c>
      <c r="AC96" s="697">
        <f>IF(AC$9=0,"",AC84/AC$9)</f>
        <v>66.115702479338836</v>
      </c>
      <c r="AD96" s="697">
        <f t="shared" si="60"/>
        <v>8.6541810679741715</v>
      </c>
      <c r="AE96" s="697">
        <f t="shared" si="60"/>
        <v>7.1342525993240002</v>
      </c>
      <c r="AF96" s="697">
        <f t="shared" si="59"/>
        <v>5.9695529571353578</v>
      </c>
      <c r="AG96" s="670"/>
      <c r="AH96" s="708">
        <f>IF(AH$9=0,"0",+(AH84)/AH$9)</f>
        <v>8.1955700501062196</v>
      </c>
      <c r="AI96" s="711">
        <v>7.2</v>
      </c>
      <c r="AJ96" s="725">
        <f>AI96-AH96</f>
        <v>-0.99557005010621946</v>
      </c>
      <c r="AK96" s="716">
        <f t="shared" si="48"/>
        <v>113.82736180703084</v>
      </c>
      <c r="AL96" s="672"/>
      <c r="AM96" s="673"/>
      <c r="AN96" s="673"/>
      <c r="AO96" s="673"/>
      <c r="AP96" s="673"/>
      <c r="AQ96" s="673"/>
      <c r="AR96" s="673"/>
      <c r="AS96" s="673"/>
      <c r="AT96" s="673"/>
      <c r="AU96" s="673"/>
      <c r="AV96" s="673"/>
      <c r="AW96" s="673"/>
      <c r="AX96" s="673"/>
      <c r="AY96" s="673"/>
      <c r="AZ96" s="673"/>
      <c r="BA96" s="673"/>
      <c r="BB96" s="673"/>
      <c r="BC96" s="673"/>
      <c r="BD96" s="673"/>
      <c r="BE96" s="673"/>
      <c r="BF96" s="673"/>
      <c r="BG96" s="673"/>
    </row>
    <row r="97" spans="1:79" s="505" customFormat="1" hidden="1" x14ac:dyDescent="0.4">
      <c r="B97" s="502"/>
      <c r="C97" s="502"/>
      <c r="D97" s="502"/>
      <c r="E97" s="502"/>
      <c r="F97" s="502"/>
      <c r="G97" s="502"/>
      <c r="H97" s="502"/>
      <c r="I97" s="502"/>
      <c r="J97" s="530"/>
      <c r="K97" s="530"/>
      <c r="L97" s="530"/>
      <c r="M97" s="530"/>
      <c r="N97" s="530"/>
      <c r="O97" s="530"/>
      <c r="P97" s="530"/>
      <c r="Q97" s="530"/>
      <c r="R97" s="530"/>
      <c r="S97" s="530"/>
      <c r="T97" s="530"/>
      <c r="U97" s="530"/>
      <c r="V97" s="530"/>
      <c r="W97" s="530"/>
      <c r="X97" s="530"/>
      <c r="Y97" s="530"/>
      <c r="Z97" s="530"/>
      <c r="AA97" s="530"/>
      <c r="AB97" s="530"/>
      <c r="AC97" s="530"/>
      <c r="AD97" s="530"/>
      <c r="AE97" s="530"/>
      <c r="AF97" s="530"/>
      <c r="AG97" s="530"/>
      <c r="AH97" s="673"/>
      <c r="AI97" s="502"/>
      <c r="AJ97" s="502"/>
      <c r="AK97" s="502"/>
      <c r="AL97" s="292"/>
      <c r="AM97" s="502"/>
      <c r="AN97" s="502"/>
      <c r="AO97" s="502"/>
      <c r="AP97" s="502"/>
      <c r="AQ97" s="502"/>
      <c r="AR97" s="502"/>
      <c r="AS97" s="502"/>
      <c r="AT97" s="502"/>
      <c r="AU97" s="502"/>
      <c r="AV97" s="502"/>
      <c r="AW97" s="502"/>
      <c r="AX97" s="502"/>
      <c r="AY97" s="502"/>
      <c r="AZ97" s="502"/>
      <c r="BA97" s="502"/>
      <c r="BB97" s="502"/>
      <c r="BC97" s="502"/>
      <c r="BD97" s="502"/>
      <c r="BE97" s="502"/>
      <c r="BF97" s="502"/>
      <c r="BG97" s="502"/>
    </row>
    <row r="98" spans="1:79" s="505" customFormat="1" hidden="1" x14ac:dyDescent="0.4">
      <c r="B98" s="502"/>
      <c r="C98" s="502"/>
      <c r="D98" s="502"/>
      <c r="E98" s="502"/>
      <c r="F98" s="502"/>
      <c r="G98" s="502"/>
      <c r="H98" s="502"/>
      <c r="I98" s="502"/>
      <c r="J98" s="530"/>
      <c r="K98" s="530"/>
      <c r="L98" s="530"/>
      <c r="M98" s="530"/>
      <c r="N98" s="530"/>
      <c r="O98" s="530"/>
      <c r="P98" s="530"/>
      <c r="Q98" s="530"/>
      <c r="R98" s="530"/>
      <c r="S98" s="530"/>
      <c r="T98" s="530"/>
      <c r="U98" s="530"/>
      <c r="V98" s="530"/>
      <c r="W98" s="530"/>
      <c r="X98" s="530"/>
      <c r="Y98" s="530"/>
      <c r="Z98" s="530"/>
      <c r="AA98" s="530"/>
      <c r="AB98" s="530"/>
      <c r="AC98" s="530"/>
      <c r="AD98" s="530"/>
      <c r="AE98" s="530"/>
      <c r="AF98" s="530"/>
      <c r="AG98" s="530"/>
      <c r="AH98" s="673"/>
      <c r="AI98" s="502"/>
      <c r="AJ98" s="502"/>
      <c r="AK98" s="502"/>
      <c r="AL98" s="292"/>
      <c r="AM98" s="502"/>
      <c r="AN98" s="502"/>
      <c r="AO98" s="502"/>
      <c r="AP98" s="502"/>
      <c r="AQ98" s="502"/>
      <c r="AR98" s="502"/>
      <c r="AS98" s="502"/>
      <c r="AT98" s="502"/>
      <c r="AU98" s="502"/>
      <c r="AV98" s="502"/>
      <c r="AW98" s="502"/>
      <c r="AX98" s="502"/>
      <c r="AY98" s="502"/>
      <c r="AZ98" s="502"/>
      <c r="BA98" s="502"/>
      <c r="BB98" s="502"/>
      <c r="BC98" s="502"/>
      <c r="BD98" s="502"/>
      <c r="BE98" s="502"/>
      <c r="BF98" s="502"/>
      <c r="BG98" s="502"/>
    </row>
    <row r="99" spans="1:79" ht="25.2" hidden="1" x14ac:dyDescent="0.45">
      <c r="A99" s="625" t="s">
        <v>218</v>
      </c>
      <c r="B99" s="681"/>
      <c r="C99" s="681"/>
      <c r="D99" s="681"/>
      <c r="E99" s="681"/>
      <c r="F99" s="681"/>
      <c r="G99" s="681"/>
      <c r="H99" s="681"/>
      <c r="I99" s="681"/>
      <c r="J99" s="682"/>
      <c r="K99" s="682"/>
      <c r="L99" s="682"/>
      <c r="M99" s="682"/>
      <c r="N99" s="682"/>
      <c r="O99" s="682"/>
      <c r="P99" s="682"/>
      <c r="Q99" s="682"/>
      <c r="R99" s="682"/>
      <c r="S99" s="682"/>
      <c r="T99" s="682"/>
      <c r="U99" s="682"/>
      <c r="V99" s="682"/>
      <c r="W99" s="682"/>
      <c r="X99" s="682"/>
      <c r="Y99" s="682"/>
      <c r="Z99" s="682"/>
      <c r="AA99" s="682"/>
      <c r="AB99" s="682"/>
      <c r="AC99" s="682"/>
      <c r="AD99" s="682"/>
      <c r="AE99" s="682"/>
      <c r="AF99" s="682"/>
      <c r="AG99" s="682"/>
      <c r="AH99" s="683">
        <f>SUM($B99:AF99)</f>
        <v>0</v>
      </c>
      <c r="AI99" s="684"/>
      <c r="AJ99" s="681" t="s">
        <v>187</v>
      </c>
    </row>
    <row r="100" spans="1:79" s="538" customFormat="1" ht="25.2" hidden="1" x14ac:dyDescent="0.4">
      <c r="A100" s="685" t="s">
        <v>219</v>
      </c>
      <c r="B100" s="534" t="str">
        <f t="shared" ref="B100:AF100" si="61">IF(B$99=0,"",+(B42*10)/B$99)</f>
        <v/>
      </c>
      <c r="C100" s="534" t="str">
        <f t="shared" si="61"/>
        <v/>
      </c>
      <c r="D100" s="534" t="str">
        <f t="shared" si="61"/>
        <v/>
      </c>
      <c r="E100" s="534" t="str">
        <f t="shared" si="61"/>
        <v/>
      </c>
      <c r="F100" s="534" t="str">
        <f t="shared" si="61"/>
        <v/>
      </c>
      <c r="G100" s="534" t="str">
        <f t="shared" si="61"/>
        <v/>
      </c>
      <c r="H100" s="534" t="str">
        <f t="shared" si="61"/>
        <v/>
      </c>
      <c r="I100" s="534" t="str">
        <f t="shared" si="61"/>
        <v/>
      </c>
      <c r="J100" s="535" t="str">
        <f t="shared" si="61"/>
        <v/>
      </c>
      <c r="K100" s="535" t="str">
        <f t="shared" si="61"/>
        <v/>
      </c>
      <c r="L100" s="535" t="str">
        <f t="shared" si="61"/>
        <v/>
      </c>
      <c r="M100" s="535" t="str">
        <f t="shared" si="61"/>
        <v/>
      </c>
      <c r="N100" s="535" t="str">
        <f t="shared" si="61"/>
        <v/>
      </c>
      <c r="O100" s="535" t="str">
        <f t="shared" si="61"/>
        <v/>
      </c>
      <c r="P100" s="535" t="str">
        <f t="shared" si="61"/>
        <v/>
      </c>
      <c r="Q100" s="535" t="str">
        <f t="shared" si="61"/>
        <v/>
      </c>
      <c r="R100" s="535" t="str">
        <f t="shared" si="61"/>
        <v/>
      </c>
      <c r="S100" s="535" t="str">
        <f t="shared" si="61"/>
        <v/>
      </c>
      <c r="T100" s="535" t="str">
        <f t="shared" si="61"/>
        <v/>
      </c>
      <c r="U100" s="535" t="str">
        <f t="shared" si="61"/>
        <v/>
      </c>
      <c r="V100" s="535" t="str">
        <f t="shared" si="61"/>
        <v/>
      </c>
      <c r="W100" s="535" t="str">
        <f t="shared" si="61"/>
        <v/>
      </c>
      <c r="X100" s="535" t="str">
        <f t="shared" si="61"/>
        <v/>
      </c>
      <c r="Y100" s="535" t="str">
        <f t="shared" si="61"/>
        <v/>
      </c>
      <c r="Z100" s="535" t="str">
        <f t="shared" si="61"/>
        <v/>
      </c>
      <c r="AA100" s="535" t="str">
        <f t="shared" si="61"/>
        <v/>
      </c>
      <c r="AB100" s="535" t="str">
        <f t="shared" si="61"/>
        <v/>
      </c>
      <c r="AC100" s="535" t="str">
        <f t="shared" si="61"/>
        <v/>
      </c>
      <c r="AD100" s="535" t="str">
        <f t="shared" si="61"/>
        <v/>
      </c>
      <c r="AE100" s="535" t="str">
        <f t="shared" si="61"/>
        <v/>
      </c>
      <c r="AF100" s="535" t="str">
        <f t="shared" si="61"/>
        <v/>
      </c>
      <c r="AG100" s="535"/>
      <c r="AH100" s="536" t="e">
        <f>+(AH42*10)/AH$99</f>
        <v>#DIV/0!</v>
      </c>
      <c r="AI100" s="536">
        <v>2.6</v>
      </c>
      <c r="AJ100" s="686" t="e">
        <f>AI100-AH100</f>
        <v>#DIV/0!</v>
      </c>
      <c r="AK100" s="292"/>
      <c r="AL100" s="292"/>
      <c r="AM100" s="292"/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501"/>
      <c r="BI100" s="501"/>
      <c r="BJ100" s="501"/>
      <c r="BK100" s="501"/>
      <c r="BL100" s="501"/>
      <c r="BM100" s="501"/>
      <c r="BN100" s="501"/>
      <c r="BO100" s="501"/>
      <c r="BP100" s="501"/>
      <c r="BQ100" s="501"/>
      <c r="BR100" s="501"/>
      <c r="BS100" s="501"/>
      <c r="BT100" s="501"/>
      <c r="BU100" s="501"/>
      <c r="BV100" s="501"/>
      <c r="BW100" s="501"/>
      <c r="BX100" s="501"/>
      <c r="BY100" s="501"/>
      <c r="BZ100" s="501"/>
      <c r="CA100" s="501"/>
    </row>
    <row r="101" spans="1:79" ht="25.2" hidden="1" x14ac:dyDescent="0.4">
      <c r="A101" s="687"/>
      <c r="B101" s="688"/>
      <c r="C101" s="688"/>
      <c r="D101" s="688"/>
      <c r="E101" s="688"/>
      <c r="F101" s="688"/>
      <c r="G101" s="688"/>
      <c r="H101" s="688"/>
      <c r="I101" s="688"/>
      <c r="J101" s="689"/>
      <c r="K101" s="689"/>
      <c r="L101" s="689"/>
      <c r="M101" s="689"/>
      <c r="N101" s="689"/>
      <c r="O101" s="689"/>
      <c r="P101" s="689"/>
      <c r="Q101" s="689"/>
      <c r="R101" s="689"/>
      <c r="S101" s="689"/>
      <c r="T101" s="689"/>
      <c r="U101" s="689"/>
      <c r="V101" s="689"/>
      <c r="W101" s="689"/>
      <c r="X101" s="689"/>
      <c r="Y101" s="689"/>
      <c r="Z101" s="689"/>
      <c r="AA101" s="689"/>
      <c r="AB101" s="689"/>
      <c r="AC101" s="689"/>
      <c r="AD101" s="689"/>
      <c r="AE101" s="689"/>
      <c r="AF101" s="689"/>
      <c r="AG101" s="689"/>
      <c r="AH101" s="690"/>
      <c r="AI101" s="690"/>
      <c r="AJ101" s="691"/>
    </row>
    <row r="102" spans="1:79" ht="25.2" hidden="1" x14ac:dyDescent="0.4">
      <c r="A102" s="687"/>
      <c r="B102" s="688"/>
      <c r="C102" s="688"/>
      <c r="D102" s="688"/>
      <c r="E102" s="688"/>
      <c r="F102" s="688"/>
      <c r="G102" s="688"/>
      <c r="H102" s="688"/>
      <c r="I102" s="688"/>
      <c r="J102" s="689"/>
      <c r="K102" s="689"/>
      <c r="L102" s="689"/>
      <c r="M102" s="689"/>
      <c r="N102" s="689"/>
      <c r="O102" s="689"/>
      <c r="P102" s="689"/>
      <c r="Q102" s="689"/>
      <c r="R102" s="689"/>
      <c r="S102" s="689"/>
      <c r="T102" s="689"/>
      <c r="U102" s="689"/>
      <c r="V102" s="689"/>
      <c r="W102" s="689"/>
      <c r="X102" s="689"/>
      <c r="Y102" s="689"/>
      <c r="Z102" s="689"/>
      <c r="AA102" s="689"/>
      <c r="AB102" s="689"/>
      <c r="AC102" s="689"/>
      <c r="AD102" s="689"/>
      <c r="AE102" s="689"/>
      <c r="AF102" s="689"/>
      <c r="AG102" s="689"/>
      <c r="AH102" s="690"/>
      <c r="AI102" s="690"/>
      <c r="AJ102" s="691"/>
    </row>
    <row r="103" spans="1:79" ht="29.4" hidden="1" x14ac:dyDescent="0.6">
      <c r="A103" s="505" t="s">
        <v>227</v>
      </c>
      <c r="B103" s="692">
        <f>IF('Entries December''25'!L7-'Entries December''25'!L6&lt;1,0,'Entries December''25'!L7-'Entries December''25'!L6)</f>
        <v>224.92000000000007</v>
      </c>
      <c r="C103" s="692">
        <f>IF('Entries December''25'!L8-'Entries December''25'!L7&lt;1,0,'Entries December''25'!L8-'Entries December''25'!L7)</f>
        <v>58.419999999999163</v>
      </c>
      <c r="D103" s="692">
        <f>IF('Entries December''25'!L9-'Entries December''25'!L8&lt;1,0,'Entries December''25'!L9-'Entries December''25'!L8)</f>
        <v>59.510000000000218</v>
      </c>
      <c r="E103" s="692">
        <f>IF('Entries December''25'!L10-'Entries December''25'!L9&lt;1,0,'Entries December''25'!L10-'Entries December''25'!L9)</f>
        <v>91.75</v>
      </c>
      <c r="F103" s="692">
        <f>IF('Entries December''25'!L11-'Entries December''25'!L10&lt;1,0,'Entries December''25'!L11-'Entries December''25'!L10)</f>
        <v>246.32999999999993</v>
      </c>
      <c r="G103" s="692">
        <f>IF('Entries December''25'!L12-'Entries December''25'!L11&lt;1,0,'Entries December''25'!L12-'Entries December''25'!L11)</f>
        <v>239.68000000000029</v>
      </c>
      <c r="H103" s="692">
        <f>IF('Entries December''25'!L13-'Entries December''25'!L12&lt;1,0,'Entries December''25'!L13-'Entries December''25'!L12)</f>
        <v>184.35999999999967</v>
      </c>
      <c r="I103" s="692">
        <f>IF('Entries December''25'!L14-'Entries December''25'!L13&lt;1,0,'Entries December''25'!L14-'Entries December''25'!L13)</f>
        <v>183.53000000000065</v>
      </c>
      <c r="J103" s="693">
        <f>IF('Entries December''25'!L15-'Entries December''25'!L14&lt;1,0,'Entries December''25'!L15-'Entries December''25'!L14)</f>
        <v>132.69999999999982</v>
      </c>
      <c r="K103" s="693">
        <f>IF('Entries December''25'!L16-'Entries December''25'!L15&lt;1,0,'Entries December''25'!L16-'Entries December''25'!L15)</f>
        <v>70.769999999999527</v>
      </c>
      <c r="L103" s="693">
        <f>IF('Entries December''25'!L17-'Entries December''25'!L16&lt;1,0,'Entries December''25'!L17-'Entries December''25'!L16)</f>
        <v>210.75</v>
      </c>
      <c r="M103" s="693">
        <f>IF('Entries December''25'!L18-'Entries December''25'!L17&lt;1,0,'Entries December''25'!L18-'Entries December''25'!L17)</f>
        <v>222.57000000000062</v>
      </c>
      <c r="N103" s="555">
        <f>IF('Entries December''25'!L19-'Entries December''25'!L18&lt;1,0,'Entries December''25'!L19-'Entries December''25'!L18)</f>
        <v>0</v>
      </c>
      <c r="O103" s="555">
        <f>IF('Entries December''25'!L20-'Entries December''25'!L19&lt;1,0,'Entries December''25'!L20-'Entries December''25'!L19)</f>
        <v>305.80000000000018</v>
      </c>
      <c r="P103" s="555">
        <f>IF('Entries December''25'!L21-'Entries December''25'!L20&lt;1,0,'Entries December''25'!L21-'Entries December''25'!L20)</f>
        <v>183.07999999999993</v>
      </c>
      <c r="Q103" s="555">
        <f>IF('Entries December''25'!L22-'Entries December''25'!L21&lt;1,0,'Entries December''25'!L22-'Entries December''25'!L21)</f>
        <v>137.95000000000073</v>
      </c>
      <c r="R103" s="555">
        <f>IF('Entries December''25'!L23-'Entries December''25'!L22&lt;1,0,'Entries December''25'!L23-'Entries December''25'!L22)</f>
        <v>114.05999999999949</v>
      </c>
      <c r="S103" s="555">
        <f>IF('Entries December''25'!L24-'Entries December''25'!L23&lt;1,0,'Entries December''25'!L24-'Entries December''25'!L23)</f>
        <v>221.26000000000022</v>
      </c>
      <c r="T103" s="555">
        <f>IF('Entries December''25'!L25-'Entries December''25'!L24&lt;1,0,'Entries December''25'!L25-'Entries December''25'!L24)</f>
        <v>301.59000000000015</v>
      </c>
      <c r="U103" s="555">
        <f>IF('Entries December''25'!L26-'Entries December''25'!L25&lt;1,0,'Entries December''25'!L26-'Entries December''25'!L25)</f>
        <v>0</v>
      </c>
      <c r="V103" s="555">
        <f>IF('Entries December''25'!L27-'Entries December''25'!L26&lt;1,0,'Entries December''25'!L27-'Entries December''25'!L26)</f>
        <v>0</v>
      </c>
      <c r="W103" s="555">
        <f>IF('Entries December''25'!L28-'Entries December''25'!L27&lt;1,0,'Entries December''25'!L28-'Entries December''25'!L27)</f>
        <v>134.84999999999854</v>
      </c>
      <c r="X103" s="555">
        <f>IF('Entries December''25'!L29-'Entries December''25'!L28&lt;1,0,'Entries December''25'!L29-'Entries December''25'!L28)</f>
        <v>230.92000000000007</v>
      </c>
      <c r="Y103" s="555">
        <f>IF('Entries December''25'!L30-'Entries December''25'!L29&lt;1,0,'Entries December''25'!L30-'Entries December''25'!L29)</f>
        <v>98.890000000001237</v>
      </c>
      <c r="Z103" s="555">
        <f>IF('Entries December''25'!L31-'Entries December''25'!L30&lt;1,0,'Entries December''25'!L31-'Entries December''25'!L30)</f>
        <v>0</v>
      </c>
      <c r="AA103" s="555">
        <f>IF('Entries December''25'!L32-'Entries December''25'!L31&lt;1,0,'Entries December''25'!L32-'Entries December''25'!L31)</f>
        <v>0</v>
      </c>
      <c r="AB103" s="555">
        <f>IF('Entries December''25'!L33-'Entries December''25'!L32&lt;1,0,'Entries December''25'!L33-'Entries December''25'!L32)</f>
        <v>0</v>
      </c>
      <c r="AC103" s="555">
        <f>IF('Entries December''25'!L34-'Entries December''25'!L33&lt;1,0,'Entries December''25'!L34-'Entries December''25'!L33)</f>
        <v>0</v>
      </c>
      <c r="AD103" s="555" t="e">
        <f>IF('Entries December''25'!#REF!-'Entries December''25'!L34&lt;1,0,'Entries December''25'!#REF!-'Entries December''25'!L34)</f>
        <v>#REF!</v>
      </c>
      <c r="AE103" s="555" t="e">
        <f>IF('Entries December''25'!L35-'Entries December''25'!#REF!&lt;1,0,'Entries December''25'!L35-'Entries December''25'!#REF!)</f>
        <v>#REF!</v>
      </c>
      <c r="AF103" s="555">
        <f>IF('Entries December''25'!L36-'Entries December''25'!L35&lt;1,0,'Entries December''25'!L36-'Entries December''25'!L35)</f>
        <v>190.70999999999913</v>
      </c>
      <c r="AG103" s="555"/>
      <c r="AH103" s="518" t="e">
        <f>SUM($B103:AF103)</f>
        <v>#REF!</v>
      </c>
      <c r="AI103" s="518"/>
    </row>
    <row r="104" spans="1:79" hidden="1" x14ac:dyDescent="0.4">
      <c r="A104" s="505" t="s">
        <v>206</v>
      </c>
      <c r="M104" s="503"/>
      <c r="AH104" s="502">
        <f>SUM(B104:AF104)</f>
        <v>0</v>
      </c>
      <c r="AK104" s="292" t="s">
        <v>232</v>
      </c>
    </row>
    <row r="105" spans="1:79" hidden="1" x14ac:dyDescent="0.4">
      <c r="A105" s="505" t="s">
        <v>207</v>
      </c>
      <c r="B105" s="694">
        <f t="shared" ref="B105:AF105" si="62">IF(B103=0,"",B104/B103)</f>
        <v>0</v>
      </c>
      <c r="C105" s="694">
        <f>IF(C103=0,"",C104/C103)</f>
        <v>0</v>
      </c>
      <c r="D105" s="694">
        <f t="shared" si="62"/>
        <v>0</v>
      </c>
      <c r="E105" s="694">
        <f t="shared" si="62"/>
        <v>0</v>
      </c>
      <c r="F105" s="694">
        <f t="shared" si="62"/>
        <v>0</v>
      </c>
      <c r="G105" s="694" t="s">
        <v>58</v>
      </c>
      <c r="H105" s="694">
        <f t="shared" si="62"/>
        <v>0</v>
      </c>
      <c r="I105" s="694">
        <f>IF(I103=0,"",I104/I103)</f>
        <v>0</v>
      </c>
      <c r="J105" s="695">
        <f t="shared" si="62"/>
        <v>0</v>
      </c>
      <c r="K105" s="695">
        <f t="shared" si="62"/>
        <v>0</v>
      </c>
      <c r="L105" s="695">
        <f t="shared" si="62"/>
        <v>0</v>
      </c>
      <c r="M105" s="695">
        <f t="shared" si="62"/>
        <v>0</v>
      </c>
      <c r="N105" s="695" t="str">
        <f t="shared" si="62"/>
        <v/>
      </c>
      <c r="O105" s="695">
        <f t="shared" si="62"/>
        <v>0</v>
      </c>
      <c r="P105" s="695">
        <f t="shared" si="62"/>
        <v>0</v>
      </c>
      <c r="Q105" s="695">
        <f t="shared" si="62"/>
        <v>0</v>
      </c>
      <c r="R105" s="695">
        <f t="shared" si="62"/>
        <v>0</v>
      </c>
      <c r="S105" s="695">
        <f t="shared" si="62"/>
        <v>0</v>
      </c>
      <c r="T105" s="695">
        <f t="shared" si="62"/>
        <v>0</v>
      </c>
      <c r="U105" s="695" t="str">
        <f>IF(U103=0,"",U104/U103)</f>
        <v/>
      </c>
      <c r="V105" s="695" t="str">
        <f t="shared" si="62"/>
        <v/>
      </c>
      <c r="W105" s="695">
        <f t="shared" si="62"/>
        <v>0</v>
      </c>
      <c r="X105" s="695">
        <f t="shared" si="62"/>
        <v>0</v>
      </c>
      <c r="Y105" s="695">
        <f t="shared" si="62"/>
        <v>0</v>
      </c>
      <c r="Z105" s="695" t="str">
        <f t="shared" si="62"/>
        <v/>
      </c>
      <c r="AA105" s="695" t="str">
        <f t="shared" si="62"/>
        <v/>
      </c>
      <c r="AB105" s="695" t="str">
        <f t="shared" si="62"/>
        <v/>
      </c>
      <c r="AC105" s="695" t="str">
        <f t="shared" si="62"/>
        <v/>
      </c>
      <c r="AD105" s="695" t="e">
        <f t="shared" si="62"/>
        <v>#REF!</v>
      </c>
      <c r="AE105" s="695" t="e">
        <f t="shared" si="62"/>
        <v>#REF!</v>
      </c>
      <c r="AF105" s="695">
        <f t="shared" si="62"/>
        <v>0</v>
      </c>
      <c r="AG105" s="695"/>
      <c r="AH105" s="694" t="e">
        <f>IF(AH103=0,"",AH104/AH103)</f>
        <v>#REF!</v>
      </c>
    </row>
    <row r="106" spans="1:79" ht="28.2" hidden="1" x14ac:dyDescent="0.4">
      <c r="A106" s="505" t="s">
        <v>228</v>
      </c>
      <c r="B106" s="692">
        <f>IF('Entries December''25'!$AF7-'Entries December''25'!$AF6&lt;1,0,'Entries December''25'!$AF7-'Entries December''25'!$AF6)</f>
        <v>0</v>
      </c>
      <c r="C106" s="692">
        <f>IF('Entries December''25'!$AF8-'Entries December''25'!$AF7&lt;1,0,'Entries December''25'!$AF8-'Entries December''25'!$AF7)</f>
        <v>0</v>
      </c>
      <c r="D106" s="692">
        <f>IF('Entries December''25'!$AF9-'Entries December''25'!$AF8&lt;1,0,'Entries December''25'!$AF9-'Entries December''25'!$AF8)</f>
        <v>0</v>
      </c>
      <c r="E106" s="692">
        <f>IF('Entries December''25'!$AF10-'Entries December''25'!$AF9&lt;1,0,'Entries December''25'!$AF10-'Entries December''25'!$AF9)</f>
        <v>0</v>
      </c>
      <c r="F106" s="692">
        <f>IF('Entries December''25'!$AF11-'Entries December''25'!$AF10&lt;1,0,'Entries December''25'!$AF11-'Entries December''25'!$AF10)</f>
        <v>0</v>
      </c>
      <c r="G106" s="692">
        <f>IF('Entries December''25'!$AF12-'Entries December''25'!$AF11&lt;1,0,'Entries December''25'!$AF12-'Entries December''25'!$AF11)</f>
        <v>0</v>
      </c>
      <c r="H106" s="692">
        <f>IF('Entries December''25'!$AF13-'Entries December''25'!$AF12&lt;1,0,'Entries December''25'!$AF13-'Entries December''25'!$AF12)</f>
        <v>0</v>
      </c>
      <c r="I106" s="692">
        <f>IF('Entries December''25'!AF14-'Entries December''25'!AF13&lt;1,0,'Entries December''25'!AF14-'Entries December''25'!AF13)</f>
        <v>0</v>
      </c>
      <c r="J106" s="693">
        <f>IF('Entries December''25'!AF15-'Entries December''25'!AF14&lt;1,0,'Entries December''25'!AF15-'Entries December''25'!AF14)</f>
        <v>0</v>
      </c>
      <c r="K106" s="693">
        <f>IF('Entries December''25'!AF16-'Entries December''25'!AF15&lt;1,0,'Entries December''25'!AF16-'Entries December''25'!AF15)</f>
        <v>0</v>
      </c>
      <c r="L106" s="693">
        <f>IF('Entries December''25'!$AF17-'Entries December''25'!$AF16&lt;1,0,'Entries December''25'!$AF17-'Entries December''25'!$AF16)</f>
        <v>0</v>
      </c>
      <c r="M106" s="693">
        <f>IF('Entries December''25'!$AF18-'Entries December''25'!$AF17&lt;1,0,'Entries December''25'!$AF18-'Entries December''25'!$AF17)</f>
        <v>0</v>
      </c>
      <c r="N106" s="693">
        <f>IF('Entries December''25'!$AF19-'Entries December''25'!$AF18&lt;1,0,'Entries December''25'!$AF19-'Entries December''25'!$AF18)</f>
        <v>0</v>
      </c>
      <c r="O106" s="693">
        <f>IF('Entries December''25'!$AF20-'Entries December''25'!$AF19&lt;1,0,'Entries December''25'!$AF20-'Entries December''25'!$AF19)</f>
        <v>0</v>
      </c>
      <c r="P106" s="693">
        <f>IF('Entries December''25'!$AF21-'Entries December''25'!$AF20&lt;1,0,'Entries December''25'!$AF21-'Entries December''25'!$AF20)</f>
        <v>0</v>
      </c>
      <c r="Q106" s="693">
        <f>IF('Entries December''25'!$AF22-'Entries December''25'!$AF21&lt;1,0,'Entries December''25'!$AF22-'Entries December''25'!$AF21)</f>
        <v>0</v>
      </c>
      <c r="R106" s="693">
        <f>IF('Entries December''25'!$AF23-'Entries December''25'!$AF22&lt;1,0,'Entries December''25'!$AF23-'Entries December''25'!$AF22)</f>
        <v>0</v>
      </c>
      <c r="S106" s="693">
        <f>IF('Entries December''25'!$AF24-'Entries December''25'!$AF23&lt;1,0,'Entries December''25'!$AF24-'Entries December''25'!$AF23)</f>
        <v>0</v>
      </c>
      <c r="T106" s="693">
        <f>IF('Entries December''25'!$AF25-'Entries December''25'!$AF24&lt;1,0,'Entries December''25'!$AF25-'Entries December''25'!$AF24)</f>
        <v>0</v>
      </c>
      <c r="U106" s="693">
        <f>IF('Entries December''25'!$AF26-'Entries December''25'!$AF25&lt;1,0,'Entries December''25'!$AF26-'Entries December''25'!$AF25)</f>
        <v>0</v>
      </c>
      <c r="V106" s="693">
        <f>IF('Entries December''25'!$AF27-'Entries December''25'!$AF26&lt;1,0,'Entries December''25'!$AF27-'Entries December''25'!$AF26)</f>
        <v>0</v>
      </c>
      <c r="W106" s="693">
        <f>IF('Entries December''25'!$AF28-'Entries December''25'!$AF27&lt;1,0,'Entries December''25'!$AF28-'Entries December''25'!$AF27)</f>
        <v>0</v>
      </c>
      <c r="X106" s="693">
        <f>IF('Entries December''25'!$AF29-'Entries December''25'!$AF28&lt;1,0,'Entries December''25'!$AF29-'Entries December''25'!$AF28)</f>
        <v>0</v>
      </c>
      <c r="Y106" s="693">
        <f>IF('Entries December''25'!$AF30-'Entries December''25'!$AF29&lt;1,0,'Entries December''25'!$AF30-'Entries December''25'!$AF29)</f>
        <v>0</v>
      </c>
      <c r="Z106" s="693">
        <f>IF('Entries December''25'!$AF31-'Entries December''25'!$AF30&lt;1,0,'Entries December''25'!$AF31-'Entries December''25'!$AF30)</f>
        <v>0</v>
      </c>
      <c r="AA106" s="693">
        <f>IF('Entries December''25'!$AF32-'Entries December''25'!$AF30&lt;1,0,'Entries December''25'!$AF32-'Entries December''25'!$AF30)</f>
        <v>0</v>
      </c>
      <c r="AB106" s="693">
        <f>IF('Entries December''25'!$AF33-'Entries December''25'!$AF32&lt;1,0,'Entries December''25'!$AF33-'Entries December''25'!$AF32)</f>
        <v>0</v>
      </c>
      <c r="AC106" s="693">
        <f>IF('Entries December''25'!$AF34-'Entries December''25'!$AF33&lt;1,0,'Entries December''25'!$AF34-'Entries December''25'!$AF33)</f>
        <v>0</v>
      </c>
      <c r="AD106" s="693" t="e">
        <f>IF('Entries December''25'!#REF!-'Entries December''25'!$AF34&lt;1,0,'Entries December''25'!#REF!-'Entries December''25'!$AF34)</f>
        <v>#REF!</v>
      </c>
      <c r="AE106" s="693" t="e">
        <f>IF('Entries December''25'!$AF35-'Entries December''25'!#REF!&lt;1,0,'Entries December''25'!$AF35-'Entries December''25'!#REF!)</f>
        <v>#REF!</v>
      </c>
      <c r="AF106" s="693">
        <f>IF('Entries December''25'!$AF36-'Entries December''25'!$AF35&lt;1,0,'Entries December''25'!$AF36-'Entries December''25'!$AF35)</f>
        <v>0</v>
      </c>
      <c r="AG106" s="693"/>
      <c r="AH106" s="518" t="e">
        <f>SUM(B106:AF106)</f>
        <v>#REF!</v>
      </c>
      <c r="AI106" s="518"/>
    </row>
    <row r="107" spans="1:79" hidden="1" x14ac:dyDescent="0.4">
      <c r="M107" s="503"/>
    </row>
    <row r="108" spans="1:79" hidden="1" x14ac:dyDescent="0.4">
      <c r="A108" s="501" t="s">
        <v>162</v>
      </c>
      <c r="M108" s="503"/>
    </row>
    <row r="109" spans="1:79" hidden="1" x14ac:dyDescent="0.4">
      <c r="M109" s="503"/>
    </row>
    <row r="110" spans="1:79" hidden="1" x14ac:dyDescent="0.4">
      <c r="M110" s="503"/>
    </row>
    <row r="111" spans="1:79" hidden="1" x14ac:dyDescent="0.4">
      <c r="M111" s="503"/>
    </row>
    <row r="112" spans="1:79" hidden="1" x14ac:dyDescent="0.4">
      <c r="A112" s="501" t="s">
        <v>150</v>
      </c>
      <c r="B112" s="558" t="s">
        <v>151</v>
      </c>
      <c r="C112" s="542">
        <f>+'Water '!$F8</f>
        <v>137</v>
      </c>
      <c r="M112" s="503"/>
      <c r="AB112" s="503" t="s">
        <v>151</v>
      </c>
      <c r="AC112" s="503" t="s">
        <v>151</v>
      </c>
      <c r="AF112" s="503" t="s">
        <v>151</v>
      </c>
      <c r="AH112" s="518">
        <f>SUM($B112:AC112)</f>
        <v>137</v>
      </c>
      <c r="AI112" s="518"/>
    </row>
    <row r="113" spans="2:34" hidden="1" x14ac:dyDescent="0.4">
      <c r="M113" s="503"/>
    </row>
    <row r="114" spans="2:34" hidden="1" x14ac:dyDescent="0.4">
      <c r="M114" s="503"/>
    </row>
    <row r="115" spans="2:34" hidden="1" x14ac:dyDescent="0.4">
      <c r="M115" s="503"/>
    </row>
    <row r="116" spans="2:34" hidden="1" x14ac:dyDescent="0.4">
      <c r="B116" s="692">
        <f>'Daily KPIs'!B80</f>
        <v>6358</v>
      </c>
      <c r="D116" s="692">
        <f>'Daily KPIs'!D80</f>
        <v>7560</v>
      </c>
      <c r="E116" s="692">
        <f>'Daily KPIs'!E80</f>
        <v>8026</v>
      </c>
      <c r="F116" s="692">
        <f>'Daily KPIs'!F80</f>
        <v>5885</v>
      </c>
      <c r="G116" s="692">
        <f>'Daily KPIs'!G80</f>
        <v>6825</v>
      </c>
      <c r="H116" s="692">
        <f>'Daily KPIs'!H80</f>
        <v>7554</v>
      </c>
      <c r="I116" s="692">
        <f>'Daily KPIs'!I80</f>
        <v>7330</v>
      </c>
      <c r="J116" s="693">
        <f>'Daily KPIs'!J80</f>
        <v>6425</v>
      </c>
      <c r="K116" s="693">
        <f>'Daily KPIs'!K80</f>
        <v>8488</v>
      </c>
      <c r="L116" s="693">
        <f>'Daily KPIs'!L80</f>
        <v>6732</v>
      </c>
      <c r="M116" s="693">
        <f>'Daily KPIs'!M80</f>
        <v>6620</v>
      </c>
      <c r="N116" s="693">
        <f>'Daily KPIs'!N80</f>
        <v>4519</v>
      </c>
      <c r="O116" s="693">
        <f>'Daily KPIs'!O80</f>
        <v>5387</v>
      </c>
      <c r="P116" s="693">
        <f>'Daily KPIs'!P80</f>
        <v>6109</v>
      </c>
      <c r="Q116" s="693">
        <f>'Daily KPIs'!Q80</f>
        <v>8916</v>
      </c>
      <c r="R116" s="693">
        <f>'Daily KPIs'!R80</f>
        <v>6815</v>
      </c>
      <c r="S116" s="693">
        <f>'Daily KPIs'!S80</f>
        <v>7445</v>
      </c>
      <c r="T116" s="693">
        <f>'Daily KPIs'!T80</f>
        <v>6897</v>
      </c>
      <c r="U116" s="693">
        <f>'Daily KPIs'!U80</f>
        <v>3934</v>
      </c>
      <c r="V116" s="693">
        <f>'Daily KPIs'!V80</f>
        <v>2566</v>
      </c>
      <c r="W116" s="693">
        <f>'Daily KPIs'!W80</f>
        <v>6346</v>
      </c>
      <c r="X116" s="693">
        <f>'Daily KPIs'!X80</f>
        <v>6520</v>
      </c>
      <c r="Y116" s="693">
        <f>'Daily KPIs'!Y80</f>
        <v>5182</v>
      </c>
      <c r="Z116" s="693">
        <f>'Daily KPIs'!Z80</f>
        <v>3878</v>
      </c>
      <c r="AA116" s="693">
        <f>'Daily KPIs'!AA80</f>
        <v>3529</v>
      </c>
      <c r="AB116" s="693">
        <f>'Daily KPIs'!AB80</f>
        <v>3866</v>
      </c>
      <c r="AC116" s="693">
        <f>'Daily KPIs'!AC80</f>
        <v>3501</v>
      </c>
      <c r="AD116" s="693">
        <f>'Daily KPIs'!AD80</f>
        <v>7041</v>
      </c>
      <c r="AE116" s="693">
        <f>'Daily KPIs'!AE80</f>
        <v>7806</v>
      </c>
      <c r="AF116" s="693">
        <f>'Daily KPIs'!AF80</f>
        <v>7082</v>
      </c>
      <c r="AG116" s="693"/>
      <c r="AH116" s="692">
        <f>'Daily KPIs'!AH80</f>
        <v>191578</v>
      </c>
    </row>
    <row r="117" spans="2:34" hidden="1" x14ac:dyDescent="0.4">
      <c r="C117" s="692">
        <f>'Daily KPIs'!C80</f>
        <v>6436</v>
      </c>
      <c r="M117" s="503"/>
    </row>
    <row r="118" spans="2:34" hidden="1" x14ac:dyDescent="0.4">
      <c r="M118" s="503"/>
    </row>
    <row r="119" spans="2:34" hidden="1" x14ac:dyDescent="0.4">
      <c r="M119" s="503"/>
    </row>
    <row r="120" spans="2:34" hidden="1" x14ac:dyDescent="0.4">
      <c r="M120" s="503"/>
    </row>
    <row r="121" spans="2:34" hidden="1" x14ac:dyDescent="0.4">
      <c r="M121" s="503"/>
    </row>
    <row r="122" spans="2:34" hidden="1" x14ac:dyDescent="0.4">
      <c r="M122" s="503"/>
    </row>
    <row r="123" spans="2:34" hidden="1" x14ac:dyDescent="0.4">
      <c r="H123" s="292" t="s">
        <v>212</v>
      </c>
      <c r="M123" s="503"/>
      <c r="R123" s="530"/>
    </row>
    <row r="124" spans="2:34" hidden="1" x14ac:dyDescent="0.4">
      <c r="M124" s="503"/>
      <c r="R124" s="530"/>
    </row>
    <row r="125" spans="2:34" hidden="1" x14ac:dyDescent="0.4">
      <c r="M125" s="503"/>
    </row>
    <row r="126" spans="2:34" hidden="1" x14ac:dyDescent="0.4">
      <c r="M126" s="503"/>
    </row>
    <row r="127" spans="2:34" hidden="1" x14ac:dyDescent="0.4">
      <c r="M127" s="503"/>
    </row>
    <row r="128" spans="2:34" hidden="1" x14ac:dyDescent="0.4">
      <c r="M128" s="503"/>
    </row>
    <row r="129" spans="13:33" hidden="1" x14ac:dyDescent="0.4">
      <c r="M129" s="503"/>
    </row>
    <row r="130" spans="13:33" hidden="1" x14ac:dyDescent="0.4">
      <c r="M130" s="503"/>
    </row>
    <row r="131" spans="13:33" hidden="1" x14ac:dyDescent="0.4">
      <c r="M131" s="503"/>
    </row>
    <row r="132" spans="13:33" hidden="1" x14ac:dyDescent="0.4">
      <c r="M132" s="503"/>
    </row>
    <row r="133" spans="13:33" hidden="1" x14ac:dyDescent="0.4">
      <c r="M133" s="503"/>
    </row>
    <row r="134" spans="13:33" hidden="1" x14ac:dyDescent="0.4">
      <c r="M134" s="503"/>
    </row>
    <row r="135" spans="13:33" hidden="1" x14ac:dyDescent="0.4">
      <c r="M135" s="503"/>
    </row>
    <row r="136" spans="13:33" hidden="1" x14ac:dyDescent="0.4">
      <c r="M136" s="503"/>
    </row>
    <row r="137" spans="13:33" hidden="1" x14ac:dyDescent="0.4">
      <c r="M137" s="503"/>
    </row>
    <row r="138" spans="13:33" x14ac:dyDescent="0.4">
      <c r="M138" s="503"/>
    </row>
    <row r="139" spans="13:33" x14ac:dyDescent="0.4">
      <c r="M139" s="503"/>
    </row>
    <row r="140" spans="13:33" x14ac:dyDescent="0.4">
      <c r="M140" s="503"/>
    </row>
    <row r="141" spans="13:33" x14ac:dyDescent="0.4">
      <c r="M141" s="503"/>
      <c r="S141" s="503" t="s">
        <v>58</v>
      </c>
    </row>
    <row r="142" spans="13:33" x14ac:dyDescent="0.4">
      <c r="M142" s="503"/>
      <c r="U142" s="503" t="s">
        <v>58</v>
      </c>
      <c r="Z142" s="503" t="s">
        <v>58</v>
      </c>
      <c r="AF142" s="503" t="s">
        <v>58</v>
      </c>
      <c r="AG142" s="503" t="s">
        <v>58</v>
      </c>
    </row>
    <row r="143" spans="13:33" x14ac:dyDescent="0.4">
      <c r="M143" s="503"/>
    </row>
    <row r="144" spans="13:33" x14ac:dyDescent="0.4">
      <c r="M144" s="503"/>
    </row>
    <row r="145" spans="13:13" x14ac:dyDescent="0.4">
      <c r="M145" s="503"/>
    </row>
    <row r="146" spans="13:13" x14ac:dyDescent="0.4">
      <c r="M146" s="503"/>
    </row>
    <row r="147" spans="13:13" x14ac:dyDescent="0.4">
      <c r="M147" s="503"/>
    </row>
    <row r="148" spans="13:13" x14ac:dyDescent="0.4">
      <c r="M148" s="503"/>
    </row>
    <row r="149" spans="13:13" x14ac:dyDescent="0.4">
      <c r="M149" s="503"/>
    </row>
    <row r="150" spans="13:13" x14ac:dyDescent="0.4">
      <c r="M150" s="503"/>
    </row>
    <row r="151" spans="13:13" x14ac:dyDescent="0.4">
      <c r="M151" s="503"/>
    </row>
    <row r="152" spans="13:13" x14ac:dyDescent="0.4">
      <c r="M152" s="503"/>
    </row>
    <row r="153" spans="13:13" x14ac:dyDescent="0.4">
      <c r="M153" s="503"/>
    </row>
    <row r="154" spans="13:13" x14ac:dyDescent="0.4">
      <c r="M154" s="503"/>
    </row>
    <row r="155" spans="13:13" x14ac:dyDescent="0.4">
      <c r="M155" s="503"/>
    </row>
    <row r="156" spans="13:13" x14ac:dyDescent="0.4">
      <c r="M156" s="503"/>
    </row>
    <row r="157" spans="13:13" x14ac:dyDescent="0.4">
      <c r="M157" s="503"/>
    </row>
    <row r="158" spans="13:13" x14ac:dyDescent="0.4">
      <c r="M158" s="503"/>
    </row>
    <row r="159" spans="13:13" x14ac:dyDescent="0.4">
      <c r="M159" s="503"/>
    </row>
    <row r="160" spans="13:13" x14ac:dyDescent="0.4">
      <c r="M160" s="503"/>
    </row>
    <row r="161" spans="13:13" x14ac:dyDescent="0.4">
      <c r="M161" s="503"/>
    </row>
    <row r="162" spans="13:13" x14ac:dyDescent="0.4">
      <c r="M162" s="503"/>
    </row>
    <row r="163" spans="13:13" x14ac:dyDescent="0.4">
      <c r="M163" s="503"/>
    </row>
    <row r="164" spans="13:13" x14ac:dyDescent="0.4">
      <c r="M164" s="503"/>
    </row>
    <row r="165" spans="13:13" x14ac:dyDescent="0.4">
      <c r="M165" s="503"/>
    </row>
    <row r="166" spans="13:13" x14ac:dyDescent="0.4">
      <c r="M166" s="503"/>
    </row>
    <row r="167" spans="13:13" x14ac:dyDescent="0.4">
      <c r="M167" s="503"/>
    </row>
    <row r="168" spans="13:13" x14ac:dyDescent="0.4">
      <c r="M168" s="503"/>
    </row>
    <row r="169" spans="13:13" x14ac:dyDescent="0.4">
      <c r="M169" s="503"/>
    </row>
    <row r="170" spans="13:13" x14ac:dyDescent="0.4">
      <c r="M170" s="503"/>
    </row>
    <row r="171" spans="13:13" x14ac:dyDescent="0.4">
      <c r="M171" s="503"/>
    </row>
    <row r="172" spans="13:13" x14ac:dyDescent="0.4">
      <c r="M172" s="503"/>
    </row>
    <row r="173" spans="13:13" x14ac:dyDescent="0.4">
      <c r="M173" s="503"/>
    </row>
    <row r="174" spans="13:13" x14ac:dyDescent="0.4">
      <c r="M174" s="503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90:AF90">
    <cfRule type="cellIs" dxfId="33" priority="15" operator="greaterThan">
      <formula>10.2</formula>
    </cfRule>
  </conditionalFormatting>
  <conditionalFormatting sqref="B92:AF92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3:AF93">
    <cfRule type="cellIs" dxfId="30" priority="13" operator="greaterThan">
      <formula>1.7</formula>
    </cfRule>
  </conditionalFormatting>
  <conditionalFormatting sqref="B94:AF94">
    <cfRule type="cellIs" dxfId="29" priority="12" operator="greaterThan">
      <formula>22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2" operator="greaterThan">
      <formula>1.7</formula>
    </cfRule>
    <cfRule type="cellIs" dxfId="13" priority="23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9" operator="lessThan">
      <formula>7.2</formula>
    </cfRule>
    <cfRule type="cellIs" dxfId="3" priority="19" operator="greater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1" sqref="F1"/>
    </sheetView>
  </sheetViews>
  <sheetFormatPr defaultRowHeight="13.2" x14ac:dyDescent="0.25"/>
  <cols>
    <col min="2" max="2" width="13.5546875" customWidth="1"/>
    <col min="3" max="3" width="18.5546875" customWidth="1"/>
    <col min="4" max="4" width="17.6640625" customWidth="1"/>
    <col min="5" max="5" width="14" customWidth="1"/>
    <col min="6" max="6" width="14.33203125" customWidth="1"/>
    <col min="7" max="7" width="16.33203125" customWidth="1"/>
    <col min="8" max="9" width="14.5546875" customWidth="1"/>
    <col min="10" max="12" width="15.44140625" customWidth="1"/>
    <col min="13" max="14" width="15.6640625" customWidth="1"/>
    <col min="15" max="15" width="14" customWidth="1"/>
    <col min="16" max="16" width="12" customWidth="1"/>
    <col min="17" max="17" width="12.33203125" customWidth="1"/>
    <col min="18" max="18" width="11.33203125" customWidth="1"/>
  </cols>
  <sheetData>
    <row r="1" spans="1:18" ht="15.6" x14ac:dyDescent="0.3">
      <c r="A1" s="8"/>
      <c r="B1" s="8"/>
      <c r="C1" s="8"/>
      <c r="D1" s="8"/>
      <c r="E1" s="8"/>
      <c r="F1" s="66" t="s">
        <v>292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6" x14ac:dyDescent="0.3">
      <c r="A4" s="67"/>
      <c r="B4" s="68" t="s">
        <v>18</v>
      </c>
      <c r="C4" s="68" t="s">
        <v>78</v>
      </c>
      <c r="D4" s="69" t="s">
        <v>77</v>
      </c>
      <c r="E4" s="69" t="s">
        <v>75</v>
      </c>
      <c r="F4" s="69" t="s">
        <v>76</v>
      </c>
      <c r="G4" s="69" t="s">
        <v>76</v>
      </c>
      <c r="H4" s="68" t="s">
        <v>72</v>
      </c>
      <c r="I4" s="68" t="s">
        <v>72</v>
      </c>
      <c r="J4" s="68" t="s">
        <v>73</v>
      </c>
      <c r="K4" s="68" t="s">
        <v>73</v>
      </c>
      <c r="L4" s="68" t="s">
        <v>79</v>
      </c>
      <c r="M4" s="69" t="s">
        <v>74</v>
      </c>
      <c r="N4" s="69" t="s">
        <v>156</v>
      </c>
      <c r="O4" s="69" t="s">
        <v>53</v>
      </c>
      <c r="P4" s="69"/>
      <c r="Q4" s="69"/>
      <c r="R4" s="67"/>
    </row>
    <row r="5" spans="1:18" ht="16.2" x14ac:dyDescent="0.3">
      <c r="A5" s="70" t="s">
        <v>7</v>
      </c>
      <c r="B5" s="68" t="s">
        <v>118</v>
      </c>
      <c r="C5" s="68" t="s">
        <v>119</v>
      </c>
      <c r="D5" s="68" t="s">
        <v>120</v>
      </c>
      <c r="E5" s="68" t="s">
        <v>121</v>
      </c>
      <c r="F5" s="68" t="s">
        <v>121</v>
      </c>
      <c r="G5" s="68" t="s">
        <v>119</v>
      </c>
      <c r="H5" s="68" t="s">
        <v>122</v>
      </c>
      <c r="I5" s="68" t="s">
        <v>123</v>
      </c>
      <c r="J5" s="68" t="s">
        <v>122</v>
      </c>
      <c r="K5" s="68" t="s">
        <v>123</v>
      </c>
      <c r="L5" s="68" t="s">
        <v>123</v>
      </c>
      <c r="M5" s="68" t="s">
        <v>122</v>
      </c>
      <c r="N5" s="68" t="s">
        <v>122</v>
      </c>
      <c r="O5" s="68" t="s">
        <v>63</v>
      </c>
      <c r="P5" s="69" t="s">
        <v>54</v>
      </c>
      <c r="Q5" s="69" t="s">
        <v>48</v>
      </c>
      <c r="R5" s="71" t="s">
        <v>15</v>
      </c>
    </row>
    <row r="6" spans="1:18" ht="15.6" thickBot="1" x14ac:dyDescent="0.3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64</v>
      </c>
    </row>
    <row r="7" spans="1:18" ht="13.8" x14ac:dyDescent="0.25">
      <c r="A7" s="46">
        <v>1</v>
      </c>
      <c r="B7" s="55">
        <f>'Entries December''25'!O6</f>
        <v>207339</v>
      </c>
      <c r="C7" s="55">
        <f>B8-B7</f>
        <v>98</v>
      </c>
      <c r="D7" s="55">
        <f>C7-G7</f>
        <v>-53</v>
      </c>
      <c r="E7" s="56">
        <f>'Entries December''25'!Y6</f>
        <v>47792</v>
      </c>
      <c r="F7" s="57">
        <f>'Entries December''25'!V6</f>
        <v>1324115</v>
      </c>
      <c r="G7" s="57">
        <f>F8-F7</f>
        <v>151</v>
      </c>
      <c r="H7" s="57">
        <f>'Entries December''25'!AA6</f>
        <v>97122</v>
      </c>
      <c r="I7" s="58">
        <f>H8-H7</f>
        <v>0</v>
      </c>
      <c r="J7" s="57">
        <f>'Entries December''25'!V6</f>
        <v>1324115</v>
      </c>
      <c r="K7" s="58">
        <f>J8-J7</f>
        <v>-1324115</v>
      </c>
      <c r="L7" s="58">
        <f>K7+I7</f>
        <v>-1324115</v>
      </c>
      <c r="M7" s="57">
        <f>'Entries December''25'!R6</f>
        <v>0</v>
      </c>
      <c r="N7" s="57">
        <f>'Entries December''25'!AC7-'Entries December''25'!AC6</f>
        <v>27</v>
      </c>
      <c r="O7" s="57">
        <f>C7+D7+G7</f>
        <v>196</v>
      </c>
      <c r="P7" s="59"/>
      <c r="Q7" s="45"/>
      <c r="R7" s="60" t="e">
        <f t="shared" ref="R7:R34" si="0">SUM(O7/Q7)</f>
        <v>#DIV/0!</v>
      </c>
    </row>
    <row r="8" spans="1:18" ht="13.8" x14ac:dyDescent="0.25">
      <c r="A8" s="46">
        <v>2</v>
      </c>
      <c r="B8" s="55">
        <f>'Entries December''25'!O7</f>
        <v>207437</v>
      </c>
      <c r="C8" s="55">
        <f t="shared" ref="C8:C34" si="1">B9-B8</f>
        <v>238</v>
      </c>
      <c r="D8" s="55">
        <f t="shared" ref="D8:D35" si="2">C8-G8</f>
        <v>101</v>
      </c>
      <c r="E8" s="56">
        <f>'Entries December''25'!W7</f>
        <v>0</v>
      </c>
      <c r="F8" s="57">
        <f>'Entries December''25'!V7</f>
        <v>1324266</v>
      </c>
      <c r="G8" s="43">
        <f>F9-F8</f>
        <v>137</v>
      </c>
      <c r="H8" s="57">
        <f>'Entries December''25'!AA7</f>
        <v>97122</v>
      </c>
      <c r="I8" s="58">
        <f t="shared" ref="I8:I34" si="3">H9-H8</f>
        <v>0</v>
      </c>
      <c r="J8" s="57">
        <f>'Entries December''25'!T7</f>
        <v>0</v>
      </c>
      <c r="K8" s="58">
        <f t="shared" ref="K8:K34" si="4">J9-J8</f>
        <v>0</v>
      </c>
      <c r="L8" s="58">
        <f>K8+I8</f>
        <v>0</v>
      </c>
      <c r="M8" s="57">
        <f>'Entries December''25'!R7</f>
        <v>0</v>
      </c>
      <c r="N8" s="57">
        <f>'Entries December''25'!AC8-'Entries December''25'!AC7</f>
        <v>14</v>
      </c>
      <c r="O8" s="57">
        <f t="shared" ref="O8:O34" si="5">C8+D8+G8</f>
        <v>476</v>
      </c>
      <c r="P8" s="62"/>
      <c r="Q8" s="42"/>
      <c r="R8" s="60" t="e">
        <f t="shared" si="0"/>
        <v>#DIV/0!</v>
      </c>
    </row>
    <row r="9" spans="1:18" ht="13.8" x14ac:dyDescent="0.25">
      <c r="A9" s="46">
        <v>3</v>
      </c>
      <c r="B9" s="55">
        <f>'Entries December''25'!O8</f>
        <v>207675</v>
      </c>
      <c r="C9" s="55">
        <f t="shared" si="1"/>
        <v>139</v>
      </c>
      <c r="D9" s="55">
        <f t="shared" si="2"/>
        <v>-79</v>
      </c>
      <c r="E9" s="56">
        <f>'Entries December''25'!W8</f>
        <v>0</v>
      </c>
      <c r="F9" s="57">
        <f>'Entries December''25'!V8</f>
        <v>1324403</v>
      </c>
      <c r="G9" s="57">
        <f>F10-F9</f>
        <v>218</v>
      </c>
      <c r="H9" s="57">
        <f>'Entries December''25'!AA8</f>
        <v>97122</v>
      </c>
      <c r="I9" s="58">
        <f t="shared" si="3"/>
        <v>0</v>
      </c>
      <c r="J9" s="57">
        <f>'Entries December''25'!T8</f>
        <v>0</v>
      </c>
      <c r="K9" s="58">
        <f t="shared" si="4"/>
        <v>0</v>
      </c>
      <c r="L9" s="58">
        <f t="shared" ref="L9:L34" si="6">K9+I9</f>
        <v>0</v>
      </c>
      <c r="M9" s="57">
        <f>'Entries December''25'!R10</f>
        <v>0</v>
      </c>
      <c r="N9" s="57">
        <f>'Entries December''25'!AC9-'Entries December''25'!AC8</f>
        <v>30</v>
      </c>
      <c r="O9" s="57">
        <f t="shared" si="5"/>
        <v>278</v>
      </c>
      <c r="P9" s="62"/>
      <c r="Q9" s="42"/>
      <c r="R9" s="60" t="e">
        <f t="shared" si="0"/>
        <v>#DIV/0!</v>
      </c>
    </row>
    <row r="10" spans="1:18" ht="13.8" x14ac:dyDescent="0.25">
      <c r="A10" s="46">
        <v>4</v>
      </c>
      <c r="B10" s="55">
        <f>'Entries December''25'!O9</f>
        <v>207814</v>
      </c>
      <c r="C10" s="55">
        <f t="shared" si="1"/>
        <v>204</v>
      </c>
      <c r="D10" s="55">
        <f t="shared" si="2"/>
        <v>-37</v>
      </c>
      <c r="E10" s="56">
        <f>'Entries December''25'!W9</f>
        <v>0</v>
      </c>
      <c r="F10" s="57">
        <f>'Entries December''25'!V9</f>
        <v>1324621</v>
      </c>
      <c r="G10" s="43">
        <f t="shared" ref="G10:G34" si="7">F11-F10</f>
        <v>241</v>
      </c>
      <c r="H10" s="57">
        <f>'Entries December''25'!AA9</f>
        <v>97122</v>
      </c>
      <c r="I10" s="58">
        <f t="shared" si="3"/>
        <v>0</v>
      </c>
      <c r="J10" s="57">
        <f>'Entries December''25'!T9</f>
        <v>0</v>
      </c>
      <c r="K10" s="58">
        <f t="shared" si="4"/>
        <v>0</v>
      </c>
      <c r="L10" s="58">
        <f t="shared" si="6"/>
        <v>0</v>
      </c>
      <c r="M10" s="57">
        <f>'Entries December''25'!R9</f>
        <v>0</v>
      </c>
      <c r="N10" s="57">
        <f>'Entries December''25'!AC10-'Entries December''25'!AC9</f>
        <v>27</v>
      </c>
      <c r="O10" s="57">
        <f t="shared" si="5"/>
        <v>408</v>
      </c>
      <c r="P10" s="62"/>
      <c r="Q10" s="42"/>
      <c r="R10" s="60" t="e">
        <f t="shared" si="0"/>
        <v>#DIV/0!</v>
      </c>
    </row>
    <row r="11" spans="1:18" ht="13.8" x14ac:dyDescent="0.25">
      <c r="A11" s="46">
        <v>5</v>
      </c>
      <c r="B11" s="55">
        <f>'Entries December''25'!O10</f>
        <v>208018</v>
      </c>
      <c r="C11" s="55">
        <f t="shared" si="1"/>
        <v>157</v>
      </c>
      <c r="D11" s="55">
        <f t="shared" si="2"/>
        <v>-90</v>
      </c>
      <c r="E11" s="56">
        <f>'Entries December''25'!W10</f>
        <v>0</v>
      </c>
      <c r="F11" s="57">
        <f>'Entries December''25'!V10</f>
        <v>1324862</v>
      </c>
      <c r="G11" s="57">
        <f t="shared" si="7"/>
        <v>247</v>
      </c>
      <c r="H11" s="57">
        <f>'Entries December''25'!AA10</f>
        <v>97122</v>
      </c>
      <c r="I11" s="58">
        <f t="shared" si="3"/>
        <v>0</v>
      </c>
      <c r="J11" s="57">
        <f>'Entries December''25'!T10</f>
        <v>0</v>
      </c>
      <c r="K11" s="58">
        <f t="shared" si="4"/>
        <v>0</v>
      </c>
      <c r="L11" s="58">
        <f t="shared" si="6"/>
        <v>0</v>
      </c>
      <c r="M11" s="57">
        <f>'Entries December''25'!R10</f>
        <v>0</v>
      </c>
      <c r="N11" s="57">
        <f>'Entries December''25'!AC11-'Entries December''25'!AC10</f>
        <v>17</v>
      </c>
      <c r="O11" s="57">
        <f t="shared" si="5"/>
        <v>314</v>
      </c>
      <c r="P11" s="62"/>
      <c r="Q11" s="45"/>
      <c r="R11" s="60" t="e">
        <f t="shared" si="0"/>
        <v>#DIV/0!</v>
      </c>
    </row>
    <row r="12" spans="1:18" ht="13.8" x14ac:dyDescent="0.25">
      <c r="A12" s="46">
        <v>6</v>
      </c>
      <c r="B12" s="55">
        <f>'Entries December''25'!O11</f>
        <v>208175</v>
      </c>
      <c r="C12" s="55">
        <f t="shared" si="1"/>
        <v>200</v>
      </c>
      <c r="D12" s="55">
        <f t="shared" si="2"/>
        <v>26</v>
      </c>
      <c r="E12" s="56">
        <f>'Entries December''25'!W11</f>
        <v>0</v>
      </c>
      <c r="F12" s="57">
        <f>'Entries December''25'!V11</f>
        <v>1325109</v>
      </c>
      <c r="G12" s="57">
        <f t="shared" si="7"/>
        <v>174</v>
      </c>
      <c r="H12" s="57">
        <f>'Entries December''25'!AA11</f>
        <v>97122</v>
      </c>
      <c r="I12" s="58">
        <f t="shared" si="3"/>
        <v>0</v>
      </c>
      <c r="J12" s="57">
        <f>'Entries December''25'!T11</f>
        <v>0</v>
      </c>
      <c r="K12" s="58">
        <f t="shared" si="4"/>
        <v>21941</v>
      </c>
      <c r="L12" s="58">
        <f t="shared" si="6"/>
        <v>21941</v>
      </c>
      <c r="M12" s="57">
        <f>'Entries December''25'!R11</f>
        <v>0</v>
      </c>
      <c r="N12" s="57">
        <f>'Entries December''25'!AC12-'Entries December''25'!AC11</f>
        <v>17</v>
      </c>
      <c r="O12" s="57">
        <f t="shared" si="5"/>
        <v>400</v>
      </c>
      <c r="P12" s="62"/>
      <c r="Q12" s="45"/>
      <c r="R12" s="60" t="e">
        <f t="shared" si="0"/>
        <v>#DIV/0!</v>
      </c>
    </row>
    <row r="13" spans="1:18" ht="13.8" x14ac:dyDescent="0.25">
      <c r="A13" s="46">
        <v>7</v>
      </c>
      <c r="B13" s="55">
        <f>'Entries December''25'!O12</f>
        <v>208375</v>
      </c>
      <c r="C13" s="55">
        <f t="shared" si="1"/>
        <v>83</v>
      </c>
      <c r="D13" s="55">
        <f t="shared" si="2"/>
        <v>-80</v>
      </c>
      <c r="E13" s="56">
        <f>'Entries December''25'!W12</f>
        <v>0</v>
      </c>
      <c r="F13" s="57">
        <f>'Entries December''25'!V12</f>
        <v>1325283</v>
      </c>
      <c r="G13" s="57">
        <f t="shared" si="7"/>
        <v>163</v>
      </c>
      <c r="H13" s="57">
        <f>'Entries December''25'!AA12</f>
        <v>97122</v>
      </c>
      <c r="I13" s="58">
        <f t="shared" si="3"/>
        <v>0</v>
      </c>
      <c r="J13" s="57">
        <f>'Entries December''25'!U12</f>
        <v>21941</v>
      </c>
      <c r="K13" s="58">
        <f t="shared" si="4"/>
        <v>-21941</v>
      </c>
      <c r="L13" s="58">
        <f t="shared" si="6"/>
        <v>-21941</v>
      </c>
      <c r="M13" s="57">
        <f>'Entries December''25'!R12</f>
        <v>0</v>
      </c>
      <c r="N13" s="57">
        <f>'Entries December''25'!AC13-'Entries December''25'!AC12</f>
        <v>23</v>
      </c>
      <c r="O13" s="57">
        <f t="shared" si="5"/>
        <v>166</v>
      </c>
      <c r="P13" s="62"/>
      <c r="Q13" s="45"/>
      <c r="R13" s="60" t="e">
        <f t="shared" si="0"/>
        <v>#DIV/0!</v>
      </c>
    </row>
    <row r="14" spans="1:18" ht="13.8" x14ac:dyDescent="0.25">
      <c r="A14" s="46">
        <v>8</v>
      </c>
      <c r="B14" s="55">
        <f>'Entries December''25'!O13</f>
        <v>208458</v>
      </c>
      <c r="C14" s="55">
        <f t="shared" si="1"/>
        <v>43</v>
      </c>
      <c r="D14" s="55">
        <f t="shared" si="2"/>
        <v>-249</v>
      </c>
      <c r="E14" s="56">
        <f>'Entries December''25'!W13</f>
        <v>0</v>
      </c>
      <c r="F14" s="57">
        <f>'Entries December''25'!V13</f>
        <v>1325446</v>
      </c>
      <c r="G14" s="57">
        <f>F15-F14</f>
        <v>292</v>
      </c>
      <c r="H14" s="57">
        <f>'Entries December''25'!AA13</f>
        <v>97122</v>
      </c>
      <c r="I14" s="58">
        <f t="shared" si="3"/>
        <v>0</v>
      </c>
      <c r="J14" s="57">
        <f>'Entries December''25'!T13</f>
        <v>0</v>
      </c>
      <c r="K14" s="58">
        <f t="shared" si="4"/>
        <v>0</v>
      </c>
      <c r="L14" s="58">
        <f t="shared" si="6"/>
        <v>0</v>
      </c>
      <c r="M14" s="57">
        <f>'Entries December''25'!R13</f>
        <v>0</v>
      </c>
      <c r="N14" s="57">
        <f>'Entries December''25'!AC14-'Entries December''25'!AC13</f>
        <v>28</v>
      </c>
      <c r="O14" s="57">
        <f t="shared" si="5"/>
        <v>86</v>
      </c>
      <c r="P14" s="62"/>
      <c r="Q14" s="45"/>
      <c r="R14" s="60" t="e">
        <f t="shared" si="0"/>
        <v>#DIV/0!</v>
      </c>
    </row>
    <row r="15" spans="1:18" ht="13.8" x14ac:dyDescent="0.25">
      <c r="A15" s="46">
        <v>9</v>
      </c>
      <c r="B15" s="55">
        <f>'Entries December''25'!O14</f>
        <v>208501</v>
      </c>
      <c r="C15" s="55">
        <f t="shared" si="1"/>
        <v>96</v>
      </c>
      <c r="D15" s="55">
        <f t="shared" si="2"/>
        <v>-103</v>
      </c>
      <c r="E15" s="56">
        <f>'Entries December''25'!W14</f>
        <v>0</v>
      </c>
      <c r="F15" s="57">
        <f>'Entries December''25'!V14</f>
        <v>1325738</v>
      </c>
      <c r="G15" s="57">
        <f t="shared" si="7"/>
        <v>199</v>
      </c>
      <c r="H15" s="57">
        <f>'Entries December''25'!AA14</f>
        <v>97122</v>
      </c>
      <c r="I15" s="58">
        <f t="shared" si="3"/>
        <v>0</v>
      </c>
      <c r="J15" s="57">
        <f>'Entries December''25'!T14</f>
        <v>0</v>
      </c>
      <c r="K15" s="58">
        <f t="shared" si="4"/>
        <v>0</v>
      </c>
      <c r="L15" s="58">
        <f t="shared" si="6"/>
        <v>0</v>
      </c>
      <c r="M15" s="57">
        <f>'Entries December''25'!R14</f>
        <v>0</v>
      </c>
      <c r="N15" s="57">
        <f>'Entries December''25'!AC15-'Entries December''25'!AC14</f>
        <v>18</v>
      </c>
      <c r="O15" s="57">
        <f t="shared" si="5"/>
        <v>192</v>
      </c>
      <c r="P15" s="62"/>
      <c r="Q15" s="45"/>
      <c r="R15" s="60" t="e">
        <f t="shared" si="0"/>
        <v>#DIV/0!</v>
      </c>
    </row>
    <row r="16" spans="1:18" ht="13.8" x14ac:dyDescent="0.25">
      <c r="A16" s="46">
        <v>10</v>
      </c>
      <c r="B16" s="55">
        <f>'Entries December''25'!O15</f>
        <v>208597</v>
      </c>
      <c r="C16" s="55">
        <f t="shared" si="1"/>
        <v>267</v>
      </c>
      <c r="D16" s="55">
        <f t="shared" si="2"/>
        <v>-24</v>
      </c>
      <c r="E16" s="56">
        <f>'Entries December''25'!W15</f>
        <v>0</v>
      </c>
      <c r="F16" s="57">
        <f>'Entries December''25'!V15</f>
        <v>1325937</v>
      </c>
      <c r="G16" s="57">
        <f t="shared" si="7"/>
        <v>291</v>
      </c>
      <c r="H16" s="57">
        <f>'Entries December''25'!AA15</f>
        <v>97122</v>
      </c>
      <c r="I16" s="58">
        <f t="shared" si="3"/>
        <v>0</v>
      </c>
      <c r="J16" s="57">
        <f>'Entries December''25'!T15</f>
        <v>0</v>
      </c>
      <c r="K16" s="58">
        <f t="shared" si="4"/>
        <v>0</v>
      </c>
      <c r="L16" s="58">
        <f t="shared" si="6"/>
        <v>0</v>
      </c>
      <c r="M16" s="57">
        <f>'Entries December''25'!R15</f>
        <v>0</v>
      </c>
      <c r="N16" s="57">
        <f>'Entries December''25'!AC16-'Entries December''25'!AC15</f>
        <v>27</v>
      </c>
      <c r="O16" s="57">
        <f t="shared" si="5"/>
        <v>534</v>
      </c>
      <c r="P16" s="62"/>
      <c r="Q16" s="45"/>
      <c r="R16" s="60" t="e">
        <f t="shared" si="0"/>
        <v>#DIV/0!</v>
      </c>
    </row>
    <row r="17" spans="1:18" ht="13.8" x14ac:dyDescent="0.25">
      <c r="A17" s="46">
        <v>11</v>
      </c>
      <c r="B17" s="55">
        <f>'Entries December''25'!O16</f>
        <v>208864</v>
      </c>
      <c r="C17" s="55">
        <f t="shared" si="1"/>
        <v>201</v>
      </c>
      <c r="D17" s="55">
        <f t="shared" si="2"/>
        <v>-66</v>
      </c>
      <c r="E17" s="56">
        <f>'Entries December''25'!W16</f>
        <v>0</v>
      </c>
      <c r="F17" s="57">
        <f>'Entries December''25'!V16</f>
        <v>1326228</v>
      </c>
      <c r="G17" s="57">
        <f t="shared" si="7"/>
        <v>267</v>
      </c>
      <c r="H17" s="57">
        <f>'Entries December''25'!AA16</f>
        <v>97122</v>
      </c>
      <c r="I17" s="58">
        <f t="shared" si="3"/>
        <v>0</v>
      </c>
      <c r="J17" s="57">
        <f>'Entries December''25'!T16</f>
        <v>0</v>
      </c>
      <c r="K17" s="58">
        <f t="shared" si="4"/>
        <v>0</v>
      </c>
      <c r="L17" s="58">
        <f t="shared" si="6"/>
        <v>0</v>
      </c>
      <c r="M17" s="57">
        <f>'Entries December''25'!R16</f>
        <v>0</v>
      </c>
      <c r="N17" s="57">
        <f>'Entries December''25'!AC17-'Entries December''25'!AC16</f>
        <v>21</v>
      </c>
      <c r="O17" s="57">
        <f t="shared" si="5"/>
        <v>402</v>
      </c>
      <c r="P17" s="62"/>
      <c r="Q17" s="45"/>
      <c r="R17" s="60" t="e">
        <f t="shared" si="0"/>
        <v>#DIV/0!</v>
      </c>
    </row>
    <row r="18" spans="1:18" ht="13.8" x14ac:dyDescent="0.25">
      <c r="A18" s="46">
        <v>12</v>
      </c>
      <c r="B18" s="55">
        <f>'Entries December''25'!O17</f>
        <v>209065</v>
      </c>
      <c r="C18" s="55">
        <f t="shared" si="1"/>
        <v>62</v>
      </c>
      <c r="D18" s="55">
        <f t="shared" si="2"/>
        <v>-121</v>
      </c>
      <c r="E18" s="56">
        <f>'Entries December''25'!W17</f>
        <v>0</v>
      </c>
      <c r="F18" s="57">
        <f>'Entries December''25'!V17</f>
        <v>1326495</v>
      </c>
      <c r="G18" s="57">
        <f t="shared" si="7"/>
        <v>183</v>
      </c>
      <c r="H18" s="57">
        <f>'Entries December''25'!AA17</f>
        <v>97122</v>
      </c>
      <c r="I18" s="58">
        <f t="shared" si="3"/>
        <v>0</v>
      </c>
      <c r="J18" s="57">
        <f>'Entries December''25'!T17</f>
        <v>0</v>
      </c>
      <c r="K18" s="58">
        <f t="shared" si="4"/>
        <v>0</v>
      </c>
      <c r="L18" s="58">
        <f t="shared" si="6"/>
        <v>0</v>
      </c>
      <c r="M18" s="57">
        <f>'Entries December''25'!R17</f>
        <v>0</v>
      </c>
      <c r="N18" s="57">
        <f>'Entries December''25'!AC18-'Entries December''25'!AC17</f>
        <v>34</v>
      </c>
      <c r="O18" s="57">
        <f t="shared" si="5"/>
        <v>124</v>
      </c>
      <c r="P18" s="62"/>
      <c r="Q18" s="45"/>
      <c r="R18" s="60" t="e">
        <f t="shared" si="0"/>
        <v>#DIV/0!</v>
      </c>
    </row>
    <row r="19" spans="1:18" ht="13.8" x14ac:dyDescent="0.25">
      <c r="A19" s="46">
        <v>13</v>
      </c>
      <c r="B19" s="55">
        <f>'Entries December''25'!O18</f>
        <v>209127</v>
      </c>
      <c r="C19" s="55">
        <f t="shared" si="1"/>
        <v>0</v>
      </c>
      <c r="D19" s="55">
        <f t="shared" si="2"/>
        <v>-153</v>
      </c>
      <c r="E19" s="56">
        <f>'Entries December''25'!W18</f>
        <v>0</v>
      </c>
      <c r="F19" s="57">
        <f>'Entries December''25'!V18</f>
        <v>1326678</v>
      </c>
      <c r="G19" s="57">
        <f t="shared" si="7"/>
        <v>153</v>
      </c>
      <c r="H19" s="57">
        <f>'Entries December''25'!AA18</f>
        <v>97122</v>
      </c>
      <c r="I19" s="58">
        <f t="shared" si="3"/>
        <v>0</v>
      </c>
      <c r="J19" s="57">
        <f>'Entries December''25'!T18</f>
        <v>0</v>
      </c>
      <c r="K19" s="58">
        <f>J20-J19</f>
        <v>0</v>
      </c>
      <c r="L19" s="58">
        <f t="shared" si="6"/>
        <v>0</v>
      </c>
      <c r="M19" s="57">
        <f>'Entries December''25'!R18</f>
        <v>0</v>
      </c>
      <c r="N19" s="57">
        <f>'Entries December''25'!AC19-'Entries December''25'!AC18</f>
        <v>9</v>
      </c>
      <c r="O19" s="57">
        <f t="shared" si="5"/>
        <v>0</v>
      </c>
      <c r="P19" s="62"/>
      <c r="Q19" s="45"/>
      <c r="R19" s="60" t="e">
        <f t="shared" si="0"/>
        <v>#DIV/0!</v>
      </c>
    </row>
    <row r="20" spans="1:18" ht="13.8" x14ac:dyDescent="0.25">
      <c r="A20" s="46">
        <v>14</v>
      </c>
      <c r="B20" s="55">
        <f>'Entries December''25'!O19</f>
        <v>209127</v>
      </c>
      <c r="C20" s="55">
        <f t="shared" si="1"/>
        <v>88</v>
      </c>
      <c r="D20" s="55">
        <f t="shared" si="2"/>
        <v>-170</v>
      </c>
      <c r="E20" s="56">
        <f>'Entries December''25'!W19</f>
        <v>0</v>
      </c>
      <c r="F20" s="57">
        <f>'Entries December''25'!V19</f>
        <v>1326831</v>
      </c>
      <c r="G20" s="57">
        <f t="shared" si="7"/>
        <v>258</v>
      </c>
      <c r="H20" s="57">
        <f>'Entries December''25'!AA19</f>
        <v>97122</v>
      </c>
      <c r="I20" s="58">
        <f t="shared" si="3"/>
        <v>0</v>
      </c>
      <c r="J20" s="57">
        <f>'Entries December''25'!T19</f>
        <v>0</v>
      </c>
      <c r="K20" s="58">
        <f t="shared" si="4"/>
        <v>0</v>
      </c>
      <c r="L20" s="58">
        <f t="shared" si="6"/>
        <v>0</v>
      </c>
      <c r="M20" s="57">
        <f>'Entries December''25'!R19</f>
        <v>0</v>
      </c>
      <c r="N20" s="57">
        <f>'Entries December''25'!AC20-'Entries December''25'!AC19</f>
        <v>20</v>
      </c>
      <c r="O20" s="57">
        <f t="shared" si="5"/>
        <v>176</v>
      </c>
      <c r="P20" s="62"/>
      <c r="Q20" s="45"/>
      <c r="R20" s="60" t="e">
        <f t="shared" si="0"/>
        <v>#DIV/0!</v>
      </c>
    </row>
    <row r="21" spans="1:18" ht="13.8" x14ac:dyDescent="0.25">
      <c r="A21" s="46">
        <v>15</v>
      </c>
      <c r="B21" s="55">
        <f>'Entries December''25'!O20</f>
        <v>209215</v>
      </c>
      <c r="C21" s="55">
        <f t="shared" si="1"/>
        <v>191</v>
      </c>
      <c r="D21" s="55">
        <f t="shared" si="2"/>
        <v>54</v>
      </c>
      <c r="E21" s="56">
        <f>'Entries December''25'!W20</f>
        <v>0</v>
      </c>
      <c r="F21" s="57">
        <f>'Entries December''25'!V20</f>
        <v>1327089</v>
      </c>
      <c r="G21" s="57">
        <f t="shared" si="7"/>
        <v>137</v>
      </c>
      <c r="H21" s="57">
        <f>'Entries December''25'!AA20</f>
        <v>97122</v>
      </c>
      <c r="I21" s="58">
        <f t="shared" si="3"/>
        <v>0</v>
      </c>
      <c r="J21" s="57">
        <f>'Entries December''25'!T20</f>
        <v>0</v>
      </c>
      <c r="K21" s="58">
        <f t="shared" si="4"/>
        <v>0</v>
      </c>
      <c r="L21" s="58">
        <f t="shared" si="6"/>
        <v>0</v>
      </c>
      <c r="M21" s="57">
        <f>'Entries December''25'!R20</f>
        <v>0</v>
      </c>
      <c r="N21" s="57">
        <f>'Entries December''25'!AC21-'Entries December''25'!AC20</f>
        <v>22</v>
      </c>
      <c r="O21" s="57">
        <f t="shared" si="5"/>
        <v>382</v>
      </c>
      <c r="P21" s="62"/>
      <c r="Q21" s="45"/>
      <c r="R21" s="60" t="e">
        <f t="shared" si="0"/>
        <v>#DIV/0!</v>
      </c>
    </row>
    <row r="22" spans="1:18" ht="13.8" x14ac:dyDescent="0.25">
      <c r="A22" s="46">
        <v>16</v>
      </c>
      <c r="B22" s="55">
        <f>'Entries December''25'!O21</f>
        <v>209406</v>
      </c>
      <c r="C22" s="55">
        <f t="shared" si="1"/>
        <v>242</v>
      </c>
      <c r="D22" s="55">
        <f t="shared" si="2"/>
        <v>120</v>
      </c>
      <c r="E22" s="56">
        <f>'Entries December''25'!W21</f>
        <v>0</v>
      </c>
      <c r="F22" s="57">
        <f>'Entries December''25'!V21</f>
        <v>1327226</v>
      </c>
      <c r="G22" s="57">
        <f t="shared" si="7"/>
        <v>122</v>
      </c>
      <c r="H22" s="57">
        <f>'Entries December''25'!AA21</f>
        <v>97122</v>
      </c>
      <c r="I22" s="58">
        <f t="shared" si="3"/>
        <v>0</v>
      </c>
      <c r="J22" s="57">
        <f>'Entries December''25'!T21</f>
        <v>0</v>
      </c>
      <c r="K22" s="58">
        <f t="shared" si="4"/>
        <v>0</v>
      </c>
      <c r="L22" s="58">
        <f t="shared" si="6"/>
        <v>0</v>
      </c>
      <c r="M22" s="57">
        <f>'Entries December''25'!R21</f>
        <v>0</v>
      </c>
      <c r="N22" s="57">
        <f>'Entries December''25'!AC22-'Entries December''25'!AC21</f>
        <v>30</v>
      </c>
      <c r="O22" s="57">
        <f t="shared" si="5"/>
        <v>484</v>
      </c>
      <c r="P22" s="62"/>
      <c r="Q22" s="45"/>
      <c r="R22" s="60" t="e">
        <f t="shared" si="0"/>
        <v>#DIV/0!</v>
      </c>
    </row>
    <row r="23" spans="1:18" ht="13.8" x14ac:dyDescent="0.25">
      <c r="A23" s="46">
        <v>17</v>
      </c>
      <c r="B23" s="55">
        <f>'Entries December''25'!O22</f>
        <v>209648</v>
      </c>
      <c r="C23" s="55">
        <f t="shared" si="1"/>
        <v>315</v>
      </c>
      <c r="D23" s="55">
        <f t="shared" si="2"/>
        <v>143</v>
      </c>
      <c r="E23" s="56">
        <f>'Entries December''25'!W22</f>
        <v>0</v>
      </c>
      <c r="F23" s="57">
        <f>'Entries December''25'!V22</f>
        <v>1327348</v>
      </c>
      <c r="G23" s="57">
        <f t="shared" si="7"/>
        <v>172</v>
      </c>
      <c r="H23" s="57">
        <f>'Entries December''25'!AA22</f>
        <v>97122</v>
      </c>
      <c r="I23" s="58">
        <f t="shared" si="3"/>
        <v>0</v>
      </c>
      <c r="J23" s="57">
        <f>'Entries December''25'!T22</f>
        <v>0</v>
      </c>
      <c r="K23" s="58">
        <f t="shared" si="4"/>
        <v>0</v>
      </c>
      <c r="L23" s="58">
        <f t="shared" si="6"/>
        <v>0</v>
      </c>
      <c r="M23" s="57">
        <f>'Entries December''25'!R22</f>
        <v>0</v>
      </c>
      <c r="N23" s="57">
        <f>'Entries December''25'!AC23-'Entries December''25'!AC22</f>
        <v>29</v>
      </c>
      <c r="O23" s="57">
        <f t="shared" si="5"/>
        <v>630</v>
      </c>
      <c r="P23" s="62"/>
      <c r="Q23" s="45"/>
      <c r="R23" s="60" t="e">
        <f t="shared" si="0"/>
        <v>#DIV/0!</v>
      </c>
    </row>
    <row r="24" spans="1:18" ht="13.8" x14ac:dyDescent="0.25">
      <c r="A24" s="46">
        <v>18</v>
      </c>
      <c r="B24" s="55">
        <f>'Entries December''25'!O23</f>
        <v>209963</v>
      </c>
      <c r="C24" s="55">
        <f t="shared" si="1"/>
        <v>175</v>
      </c>
      <c r="D24" s="55">
        <f t="shared" si="2"/>
        <v>-36</v>
      </c>
      <c r="E24" s="56">
        <f>'Entries December''25'!W23</f>
        <v>0</v>
      </c>
      <c r="F24" s="57">
        <f>'Entries December''25'!V23</f>
        <v>1327520</v>
      </c>
      <c r="G24" s="57">
        <f t="shared" si="7"/>
        <v>211</v>
      </c>
      <c r="H24" s="57">
        <f>'Entries December''25'!AA23</f>
        <v>97122</v>
      </c>
      <c r="I24" s="58">
        <f t="shared" si="3"/>
        <v>0</v>
      </c>
      <c r="J24" s="57">
        <f>'Entries December''25'!T23</f>
        <v>0</v>
      </c>
      <c r="K24" s="58">
        <f t="shared" si="4"/>
        <v>0</v>
      </c>
      <c r="L24" s="58">
        <f t="shared" si="6"/>
        <v>0</v>
      </c>
      <c r="M24" s="57">
        <f>'Entries December''25'!R23</f>
        <v>0</v>
      </c>
      <c r="N24" s="57">
        <f>'Entries December''25'!AC24-'Entries December''25'!AC23</f>
        <v>27</v>
      </c>
      <c r="O24" s="57">
        <f t="shared" si="5"/>
        <v>350</v>
      </c>
      <c r="P24" s="62"/>
      <c r="Q24" s="45"/>
      <c r="R24" s="60" t="e">
        <f t="shared" si="0"/>
        <v>#DIV/0!</v>
      </c>
    </row>
    <row r="25" spans="1:18" ht="13.8" x14ac:dyDescent="0.25">
      <c r="A25" s="46">
        <v>19</v>
      </c>
      <c r="B25" s="55">
        <f>'Entries December''25'!O24</f>
        <v>210138</v>
      </c>
      <c r="C25" s="55">
        <f t="shared" si="1"/>
        <v>129</v>
      </c>
      <c r="D25" s="55">
        <f t="shared" si="2"/>
        <v>129</v>
      </c>
      <c r="E25" s="56">
        <f>'Entries December''25'!W24</f>
        <v>0</v>
      </c>
      <c r="F25" s="57">
        <f>'Entries December''25'!V24</f>
        <v>1327731</v>
      </c>
      <c r="G25" s="57">
        <f t="shared" si="7"/>
        <v>0</v>
      </c>
      <c r="H25" s="57">
        <f>'Entries December''25'!AA24</f>
        <v>97122</v>
      </c>
      <c r="I25" s="58">
        <f t="shared" si="3"/>
        <v>0</v>
      </c>
      <c r="J25" s="57">
        <f>'Entries December''25'!T24</f>
        <v>0</v>
      </c>
      <c r="K25" s="58">
        <f t="shared" si="4"/>
        <v>0</v>
      </c>
      <c r="L25" s="58">
        <f t="shared" si="6"/>
        <v>0</v>
      </c>
      <c r="M25" s="57">
        <f>'Entries December''25'!R24</f>
        <v>0</v>
      </c>
      <c r="N25" s="57">
        <f>'Entries December''25'!AC25-'Entries December''25'!AC24</f>
        <v>26</v>
      </c>
      <c r="O25" s="57">
        <f t="shared" si="5"/>
        <v>258</v>
      </c>
      <c r="P25" s="62"/>
      <c r="Q25" s="45"/>
      <c r="R25" s="60" t="e">
        <f t="shared" si="0"/>
        <v>#DIV/0!</v>
      </c>
    </row>
    <row r="26" spans="1:18" ht="13.8" x14ac:dyDescent="0.25">
      <c r="A26" s="46">
        <v>20</v>
      </c>
      <c r="B26" s="55">
        <f>'Entries December''25'!O25</f>
        <v>210267</v>
      </c>
      <c r="C26" s="55">
        <f t="shared" si="1"/>
        <v>4</v>
      </c>
      <c r="D26" s="55">
        <f t="shared" si="2"/>
        <v>-442</v>
      </c>
      <c r="E26" s="56">
        <f>'Entries December''25'!W25</f>
        <v>0</v>
      </c>
      <c r="F26" s="57">
        <f>'Entries December''25'!V25</f>
        <v>1327731</v>
      </c>
      <c r="G26" s="57">
        <f t="shared" si="7"/>
        <v>446</v>
      </c>
      <c r="H26" s="57">
        <f>'Entries December''25'!AA25</f>
        <v>97122</v>
      </c>
      <c r="I26" s="58">
        <f t="shared" si="3"/>
        <v>0</v>
      </c>
      <c r="J26" s="57">
        <f>'Entries December''25'!T25</f>
        <v>0</v>
      </c>
      <c r="K26" s="58">
        <f t="shared" si="4"/>
        <v>0</v>
      </c>
      <c r="L26" s="58">
        <f t="shared" si="6"/>
        <v>0</v>
      </c>
      <c r="M26" s="57">
        <f>'Entries December''25'!R25</f>
        <v>0</v>
      </c>
      <c r="N26" s="57">
        <f>'Entries December''25'!AC26-'Entries December''25'!AC25</f>
        <v>2</v>
      </c>
      <c r="O26" s="57">
        <f t="shared" si="5"/>
        <v>8</v>
      </c>
      <c r="P26" s="62"/>
      <c r="Q26" s="45"/>
      <c r="R26" s="60" t="e">
        <f t="shared" si="0"/>
        <v>#DIV/0!</v>
      </c>
    </row>
    <row r="27" spans="1:18" ht="13.8" x14ac:dyDescent="0.25">
      <c r="A27" s="46">
        <v>21</v>
      </c>
      <c r="B27" s="55">
        <f>'Entries December''25'!O26</f>
        <v>210271</v>
      </c>
      <c r="C27" s="55">
        <f t="shared" si="1"/>
        <v>15</v>
      </c>
      <c r="D27" s="55">
        <f t="shared" si="2"/>
        <v>15</v>
      </c>
      <c r="E27" s="56">
        <f>'Entries December''25'!W26</f>
        <v>0</v>
      </c>
      <c r="F27" s="57">
        <f>'Entries December''25'!V26</f>
        <v>1328177</v>
      </c>
      <c r="G27" s="57">
        <f t="shared" si="7"/>
        <v>0</v>
      </c>
      <c r="H27" s="57">
        <f>'Entries December''25'!AA26</f>
        <v>97122</v>
      </c>
      <c r="I27" s="58">
        <f t="shared" si="3"/>
        <v>0</v>
      </c>
      <c r="J27" s="57">
        <f>'Entries December''25'!T26</f>
        <v>0</v>
      </c>
      <c r="K27" s="58">
        <f t="shared" si="4"/>
        <v>0</v>
      </c>
      <c r="L27" s="58">
        <f t="shared" si="6"/>
        <v>0</v>
      </c>
      <c r="M27" s="57">
        <f>'Entries December''25'!R26</f>
        <v>0</v>
      </c>
      <c r="N27" s="57">
        <f>'Entries December''25'!AC27-'Entries December''25'!AC26</f>
        <v>0</v>
      </c>
      <c r="O27" s="57">
        <f t="shared" si="5"/>
        <v>30</v>
      </c>
      <c r="P27" s="62"/>
      <c r="Q27" s="45"/>
      <c r="R27" s="60" t="e">
        <f t="shared" si="0"/>
        <v>#DIV/0!</v>
      </c>
    </row>
    <row r="28" spans="1:18" ht="13.8" x14ac:dyDescent="0.25">
      <c r="A28" s="46">
        <v>22</v>
      </c>
      <c r="B28" s="55">
        <f>'Entries December''25'!O27</f>
        <v>210286</v>
      </c>
      <c r="C28" s="55">
        <f t="shared" si="1"/>
        <v>129</v>
      </c>
      <c r="D28" s="55">
        <f t="shared" si="2"/>
        <v>-105</v>
      </c>
      <c r="E28" s="56">
        <f>'Entries December''25'!W27</f>
        <v>0</v>
      </c>
      <c r="F28" s="57">
        <f>'Entries December''25'!V27</f>
        <v>1328177</v>
      </c>
      <c r="G28" s="57">
        <f t="shared" si="7"/>
        <v>234</v>
      </c>
      <c r="H28" s="57">
        <f>'Entries December''25'!AA27</f>
        <v>97122</v>
      </c>
      <c r="I28" s="58">
        <f t="shared" si="3"/>
        <v>0</v>
      </c>
      <c r="J28" s="57">
        <f>'Entries December''25'!T27</f>
        <v>0</v>
      </c>
      <c r="K28" s="58">
        <f t="shared" si="4"/>
        <v>0</v>
      </c>
      <c r="L28" s="58">
        <f t="shared" si="6"/>
        <v>0</v>
      </c>
      <c r="M28" s="57">
        <f>'Entries December''25'!R27</f>
        <v>0</v>
      </c>
      <c r="N28" s="57">
        <f>'Entries December''25'!AC28-'Entries December''25'!AC27</f>
        <v>29</v>
      </c>
      <c r="O28" s="57">
        <f t="shared" si="5"/>
        <v>258</v>
      </c>
      <c r="P28" s="62"/>
      <c r="Q28" s="45"/>
      <c r="R28" s="60" t="e">
        <f t="shared" si="0"/>
        <v>#DIV/0!</v>
      </c>
    </row>
    <row r="29" spans="1:18" ht="13.8" x14ac:dyDescent="0.25">
      <c r="A29" s="46">
        <v>23</v>
      </c>
      <c r="B29" s="55">
        <f>'Entries December''25'!O28</f>
        <v>210415</v>
      </c>
      <c r="C29" s="55">
        <f t="shared" si="1"/>
        <v>255</v>
      </c>
      <c r="D29" s="55">
        <f t="shared" si="2"/>
        <v>132</v>
      </c>
      <c r="E29" s="56">
        <f>'Entries December''25'!W28</f>
        <v>0</v>
      </c>
      <c r="F29" s="57">
        <f>'Entries December''25'!V28</f>
        <v>1328411</v>
      </c>
      <c r="G29" s="57">
        <f t="shared" si="7"/>
        <v>123</v>
      </c>
      <c r="H29" s="57">
        <f>'Entries December''25'!AA28</f>
        <v>97122</v>
      </c>
      <c r="I29" s="58">
        <f t="shared" si="3"/>
        <v>0</v>
      </c>
      <c r="J29" s="57">
        <f>'Entries December''25'!T28</f>
        <v>0</v>
      </c>
      <c r="K29" s="58">
        <f t="shared" si="4"/>
        <v>0</v>
      </c>
      <c r="L29" s="58">
        <f t="shared" si="6"/>
        <v>0</v>
      </c>
      <c r="M29" s="57">
        <f>'Entries December''25'!R28</f>
        <v>0</v>
      </c>
      <c r="N29" s="57">
        <f>'Entries December''25'!AC29-'Entries December''25'!AC28</f>
        <v>31</v>
      </c>
      <c r="O29" s="57">
        <f t="shared" si="5"/>
        <v>510</v>
      </c>
      <c r="P29" s="62"/>
      <c r="Q29" s="45"/>
      <c r="R29" s="60" t="e">
        <f t="shared" si="0"/>
        <v>#DIV/0!</v>
      </c>
    </row>
    <row r="30" spans="1:18" ht="13.8" x14ac:dyDescent="0.25">
      <c r="A30" s="46">
        <v>24</v>
      </c>
      <c r="B30" s="55">
        <f>'Entries December''25'!O29</f>
        <v>210670</v>
      </c>
      <c r="C30" s="55">
        <f t="shared" si="1"/>
        <v>233</v>
      </c>
      <c r="D30" s="55">
        <f t="shared" si="2"/>
        <v>144</v>
      </c>
      <c r="E30" s="56">
        <f>'Entries December''25'!W29</f>
        <v>0</v>
      </c>
      <c r="F30" s="57">
        <f>'Entries December''25'!V29</f>
        <v>1328534</v>
      </c>
      <c r="G30" s="57">
        <f t="shared" si="7"/>
        <v>89</v>
      </c>
      <c r="H30" s="57">
        <f>'Entries December''25'!AA29</f>
        <v>97122</v>
      </c>
      <c r="I30" s="58">
        <f t="shared" si="3"/>
        <v>0</v>
      </c>
      <c r="J30" s="57">
        <f>'Entries December''25'!T29</f>
        <v>0</v>
      </c>
      <c r="K30" s="58">
        <f t="shared" si="4"/>
        <v>0</v>
      </c>
      <c r="L30" s="58">
        <f t="shared" si="6"/>
        <v>0</v>
      </c>
      <c r="M30" s="57">
        <f>'Entries December''25'!R29</f>
        <v>0</v>
      </c>
      <c r="N30" s="57">
        <f>'Entries December''25'!AC30-'Entries December''25'!AC29</f>
        <v>19</v>
      </c>
      <c r="O30" s="57">
        <f t="shared" si="5"/>
        <v>466</v>
      </c>
      <c r="P30" s="62"/>
      <c r="Q30" s="45"/>
      <c r="R30" s="60" t="e">
        <f t="shared" si="0"/>
        <v>#DIV/0!</v>
      </c>
    </row>
    <row r="31" spans="1:18" ht="13.8" x14ac:dyDescent="0.25">
      <c r="A31" s="46">
        <v>25</v>
      </c>
      <c r="B31" s="55">
        <f>'Entries December''25'!O30</f>
        <v>210903</v>
      </c>
      <c r="C31" s="55">
        <f t="shared" si="1"/>
        <v>0</v>
      </c>
      <c r="D31" s="55">
        <f t="shared" si="2"/>
        <v>0</v>
      </c>
      <c r="E31" s="56">
        <f>'Entries December''25'!W30</f>
        <v>0</v>
      </c>
      <c r="F31" s="57">
        <f>'Entries December''25'!V30</f>
        <v>1328623</v>
      </c>
      <c r="G31" s="57">
        <f t="shared" si="7"/>
        <v>0</v>
      </c>
      <c r="H31" s="57">
        <f>'Entries December''25'!AA30</f>
        <v>97122</v>
      </c>
      <c r="I31" s="58">
        <f t="shared" si="3"/>
        <v>0</v>
      </c>
      <c r="J31" s="57">
        <f>'Entries December''25'!T30</f>
        <v>0</v>
      </c>
      <c r="K31" s="58">
        <f t="shared" si="4"/>
        <v>0</v>
      </c>
      <c r="L31" s="58">
        <f t="shared" si="6"/>
        <v>0</v>
      </c>
      <c r="M31" s="57">
        <f>'Entries December''25'!R30</f>
        <v>0</v>
      </c>
      <c r="N31" s="57">
        <f>'Entries December''25'!AC31-'Entries December''25'!AC30</f>
        <v>0</v>
      </c>
      <c r="O31" s="57">
        <f t="shared" si="5"/>
        <v>0</v>
      </c>
      <c r="P31" s="62"/>
      <c r="Q31" s="45"/>
      <c r="R31" s="60" t="e">
        <f t="shared" si="0"/>
        <v>#DIV/0!</v>
      </c>
    </row>
    <row r="32" spans="1:18" ht="13.8" x14ac:dyDescent="0.25">
      <c r="A32" s="46">
        <v>26</v>
      </c>
      <c r="B32" s="55">
        <f>'Entries December''25'!O31</f>
        <v>210903</v>
      </c>
      <c r="C32" s="55">
        <f t="shared" si="1"/>
        <v>28</v>
      </c>
      <c r="D32" s="55">
        <f t="shared" si="2"/>
        <v>-51</v>
      </c>
      <c r="E32" s="56">
        <f>'Entries December''25'!W31</f>
        <v>0</v>
      </c>
      <c r="F32" s="57">
        <f>'Entries December''25'!V31</f>
        <v>1328623</v>
      </c>
      <c r="G32" s="57">
        <f t="shared" si="7"/>
        <v>79</v>
      </c>
      <c r="H32" s="57">
        <f>'Entries December''25'!AA31</f>
        <v>97122</v>
      </c>
      <c r="I32" s="58">
        <f t="shared" si="3"/>
        <v>0</v>
      </c>
      <c r="J32" s="57">
        <f>'Entries December''25'!T31</f>
        <v>0</v>
      </c>
      <c r="K32" s="58">
        <f t="shared" si="4"/>
        <v>0</v>
      </c>
      <c r="L32" s="58">
        <f t="shared" si="6"/>
        <v>0</v>
      </c>
      <c r="M32" s="57">
        <f>'Entries December''25'!R31</f>
        <v>0</v>
      </c>
      <c r="N32" s="57">
        <f>'Entries December''25'!AC32-'Entries December''25'!AC31</f>
        <v>0</v>
      </c>
      <c r="O32" s="57">
        <f t="shared" si="5"/>
        <v>56</v>
      </c>
      <c r="P32" s="62"/>
      <c r="Q32" s="45"/>
      <c r="R32" s="60" t="e">
        <f t="shared" si="0"/>
        <v>#DIV/0!</v>
      </c>
    </row>
    <row r="33" spans="1:18" ht="13.8" x14ac:dyDescent="0.25">
      <c r="A33" s="46">
        <v>27</v>
      </c>
      <c r="B33" s="55">
        <f>'Entries December''25'!O32</f>
        <v>210931</v>
      </c>
      <c r="C33" s="55">
        <f t="shared" si="1"/>
        <v>0</v>
      </c>
      <c r="D33" s="55">
        <f t="shared" si="2"/>
        <v>0</v>
      </c>
      <c r="E33" s="56">
        <f>'Entries December''25'!W32</f>
        <v>0</v>
      </c>
      <c r="F33" s="57">
        <f>'Entries December''25'!V32</f>
        <v>1328702</v>
      </c>
      <c r="G33" s="57">
        <f t="shared" si="7"/>
        <v>0</v>
      </c>
      <c r="H33" s="57">
        <f>'Entries December''25'!AA32</f>
        <v>97122</v>
      </c>
      <c r="I33" s="58">
        <f t="shared" si="3"/>
        <v>0</v>
      </c>
      <c r="J33" s="57">
        <f>'Entries December''25'!T32</f>
        <v>0</v>
      </c>
      <c r="K33" s="58">
        <f t="shared" si="4"/>
        <v>0</v>
      </c>
      <c r="L33" s="58">
        <f t="shared" si="6"/>
        <v>0</v>
      </c>
      <c r="M33" s="57">
        <f>'Entries December''25'!R32</f>
        <v>0</v>
      </c>
      <c r="N33" s="57">
        <f>'Entries December''25'!AC33-'Entries December''25'!AC32</f>
        <v>0</v>
      </c>
      <c r="O33" s="57">
        <f t="shared" si="5"/>
        <v>0</v>
      </c>
      <c r="P33" s="62"/>
      <c r="Q33" s="45"/>
      <c r="R33" s="60" t="e">
        <f t="shared" si="0"/>
        <v>#DIV/0!</v>
      </c>
    </row>
    <row r="34" spans="1:18" ht="13.8" x14ac:dyDescent="0.25">
      <c r="A34" s="46">
        <v>28</v>
      </c>
      <c r="B34" s="55">
        <f>'Entries December''25'!O33</f>
        <v>210931</v>
      </c>
      <c r="C34" s="55">
        <f t="shared" si="1"/>
        <v>0</v>
      </c>
      <c r="D34" s="55">
        <f t="shared" si="2"/>
        <v>0</v>
      </c>
      <c r="E34" s="56">
        <f>'Entries December''25'!W33</f>
        <v>0</v>
      </c>
      <c r="F34" s="57">
        <f>'Entries December''25'!V33</f>
        <v>1328702</v>
      </c>
      <c r="G34" s="57">
        <f t="shared" si="7"/>
        <v>0</v>
      </c>
      <c r="H34" s="57">
        <f>'Entries December''25'!AA33</f>
        <v>97122</v>
      </c>
      <c r="I34" s="58">
        <f t="shared" si="3"/>
        <v>0</v>
      </c>
      <c r="J34" s="57">
        <f>'Entries December''25'!T33</f>
        <v>0</v>
      </c>
      <c r="K34" s="58">
        <f t="shared" si="4"/>
        <v>0</v>
      </c>
      <c r="L34" s="58">
        <f t="shared" si="6"/>
        <v>0</v>
      </c>
      <c r="M34" s="57">
        <f>'Entries December''25'!R33</f>
        <v>0</v>
      </c>
      <c r="N34" s="57">
        <f>'Entries December''25'!AC34-'Entries December''25'!AC33</f>
        <v>0</v>
      </c>
      <c r="O34" s="57">
        <f t="shared" si="5"/>
        <v>0</v>
      </c>
      <c r="P34" s="62"/>
      <c r="Q34" s="45"/>
      <c r="R34" s="60" t="e">
        <f t="shared" si="0"/>
        <v>#DIV/0!</v>
      </c>
    </row>
    <row r="35" spans="1:18" ht="13.8" x14ac:dyDescent="0.25">
      <c r="A35" s="46"/>
      <c r="B35" s="55">
        <f>'Entries December''25'!O34</f>
        <v>210931</v>
      </c>
      <c r="C35" s="63"/>
      <c r="D35" s="55">
        <f t="shared" si="2"/>
        <v>0</v>
      </c>
      <c r="E35" s="56"/>
      <c r="F35" s="57">
        <f>'Entries December''25'!V34</f>
        <v>1328702</v>
      </c>
      <c r="G35" s="57"/>
      <c r="H35" s="57">
        <f>'Entries December''25'!AA34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3.8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3.8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3.8" x14ac:dyDescent="0.25">
      <c r="A38" s="46" t="s">
        <v>19</v>
      </c>
      <c r="B38" s="65"/>
      <c r="C38" s="65">
        <f>SUM(C7:C34)</f>
        <v>3592</v>
      </c>
      <c r="D38" s="65">
        <f>SUM(D7:D34)</f>
        <v>-995</v>
      </c>
      <c r="E38" s="65"/>
      <c r="F38" s="65"/>
      <c r="G38" s="65">
        <f t="shared" ref="G38:R38" si="8">SUM(G7:G34)</f>
        <v>4587</v>
      </c>
      <c r="H38" s="65"/>
      <c r="I38" s="65">
        <f t="shared" si="8"/>
        <v>0</v>
      </c>
      <c r="J38" s="65">
        <f t="shared" si="8"/>
        <v>1346056</v>
      </c>
      <c r="K38" s="65">
        <f t="shared" si="8"/>
        <v>-1324115</v>
      </c>
      <c r="L38" s="65">
        <f t="shared" si="8"/>
        <v>-1324115</v>
      </c>
      <c r="M38" s="65">
        <f t="shared" si="8"/>
        <v>0</v>
      </c>
      <c r="N38" s="65">
        <f t="shared" si="8"/>
        <v>527</v>
      </c>
      <c r="O38" s="65">
        <f t="shared" si="8"/>
        <v>7184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December'25</vt:lpstr>
      <vt:lpstr>Utility Analysis December'25 </vt:lpstr>
      <vt:lpstr>Steam Mass Flow </vt:lpstr>
      <vt:lpstr>Fuel </vt:lpstr>
      <vt:lpstr>Water </vt:lpstr>
      <vt:lpstr>Elec.December'25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December''25'!Print_Area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Reshelle Fleming</cp:lastModifiedBy>
  <cp:lastPrinted>2019-10-02T13:09:44Z</cp:lastPrinted>
  <dcterms:created xsi:type="dcterms:W3CDTF">2003-05-05T15:42:25Z</dcterms:created>
  <dcterms:modified xsi:type="dcterms:W3CDTF">2026-01-16T20:04:51Z</dcterms:modified>
</cp:coreProperties>
</file>