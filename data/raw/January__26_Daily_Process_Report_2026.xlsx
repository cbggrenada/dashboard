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drawings/drawing1.xml" ContentType="application/vnd.openxmlformats-officedocument.drawing+xml"/>
  <Override PartName="/xl/comments2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6 Daily Process Report\"/>
    </mc:Choice>
  </mc:AlternateContent>
  <xr:revisionPtr revIDLastSave="0" documentId="13_ncr:1_{38E32308-D078-4D1A-9FA6-BB558099A241}" xr6:coauthVersionLast="47" xr6:coauthVersionMax="47" xr10:uidLastSave="{00000000-0000-0000-0000-000000000000}"/>
  <bookViews>
    <workbookView xWindow="-120" yWindow="-120" windowWidth="29040" windowHeight="15720" tabRatio="599" firstSheet="4" activeTab="4" xr2:uid="{1120807F-7390-4E10-A66F-84111922E872}"/>
  </bookViews>
  <sheets>
    <sheet name="Dec 18th" sheetId="658" state="hidden" r:id="rId1"/>
    <sheet name="Jan 2nd" sheetId="902" r:id="rId2"/>
    <sheet name="Jan 5th" sheetId="903" r:id="rId3"/>
    <sheet name="Jan 6th" sheetId="904" r:id="rId4"/>
    <sheet name="Jan 7th" sheetId="905" r:id="rId5"/>
    <sheet name="Jan 8th " sheetId="906" r:id="rId6"/>
    <sheet name="Jan 9th-10th" sheetId="907" r:id="rId7"/>
    <sheet name="Jan12th " sheetId="908" r:id="rId8"/>
    <sheet name="Jan13th" sheetId="909" r:id="rId9"/>
    <sheet name="Jan14th" sheetId="910" r:id="rId10"/>
    <sheet name="Jan15th" sheetId="911" r:id="rId11"/>
    <sheet name="Jan16-18th" sheetId="912" r:id="rId12"/>
    <sheet name="Jan19th " sheetId="913" r:id="rId13"/>
    <sheet name="Jan20th" sheetId="914" r:id="rId14"/>
    <sheet name="Jan21st" sheetId="915" r:id="rId15"/>
    <sheet name="Jan22nd" sheetId="916" r:id="rId16"/>
    <sheet name="Jan23rd" sheetId="917" r:id="rId17"/>
    <sheet name="Jan26th" sheetId="918" r:id="rId18"/>
    <sheet name="Jan27th" sheetId="919" r:id="rId19"/>
    <sheet name="Jan28th" sheetId="920" r:id="rId20"/>
    <sheet name="Jan29th" sheetId="921" r:id="rId21"/>
    <sheet name="Jan30th-31st" sheetId="922" r:id="rId22"/>
    <sheet name="MTD_Links" sheetId="18" r:id="rId23"/>
    <sheet name="YTD_Links" sheetId="19" r:id="rId24"/>
    <sheet name="KPIs" sheetId="20" state="hidden" r:id="rId25"/>
    <sheet name="Brewer Performance" sheetId="21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_xlnm.Print_Area" localSheetId="25">'Brewer Performance'!$B$2:$K$35</definedName>
    <definedName name="_xlnm.Print_Area" localSheetId="22">MTD_Links!$B$2:$K$65</definedName>
    <definedName name="_xlnm.Print_Area" localSheetId="23">YTD_Links!$B$2:$K$65</definedName>
    <definedName name="ProductList" localSheetId="25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0" i="905" l="1"/>
  <c r="L30" i="905"/>
  <c r="K30" i="905"/>
  <c r="C11" i="905"/>
  <c r="D11" i="905"/>
  <c r="E11" i="905"/>
  <c r="F11" i="905"/>
  <c r="G11" i="905"/>
  <c r="C12" i="905"/>
  <c r="D12" i="905"/>
  <c r="E12" i="905"/>
  <c r="F12" i="905"/>
  <c r="G12" i="905"/>
  <c r="C13" i="905"/>
  <c r="D13" i="905"/>
  <c r="E13" i="905"/>
  <c r="F13" i="905"/>
  <c r="G13" i="905"/>
  <c r="C14" i="905"/>
  <c r="D14" i="905"/>
  <c r="E14" i="905"/>
  <c r="F14" i="905"/>
  <c r="G14" i="905"/>
  <c r="C15" i="905"/>
  <c r="E15" i="905"/>
  <c r="F15" i="905"/>
  <c r="G15" i="905"/>
  <c r="C16" i="905"/>
  <c r="D16" i="905"/>
  <c r="E16" i="905"/>
  <c r="F16" i="905"/>
  <c r="G16" i="905"/>
  <c r="C17" i="905"/>
  <c r="D17" i="905"/>
  <c r="E17" i="905"/>
  <c r="F17" i="905"/>
  <c r="G17" i="905"/>
  <c r="I11" i="905"/>
  <c r="J11" i="905"/>
  <c r="L11" i="905"/>
  <c r="M11" i="905"/>
  <c r="N11" i="905"/>
  <c r="O11" i="905"/>
  <c r="I12" i="905"/>
  <c r="J12" i="905"/>
  <c r="K12" i="905"/>
  <c r="L12" i="905"/>
  <c r="M12" i="905"/>
  <c r="N12" i="905"/>
  <c r="O12" i="905"/>
  <c r="I13" i="905"/>
  <c r="J13" i="905"/>
  <c r="K13" i="905"/>
  <c r="L13" i="905"/>
  <c r="M13" i="905"/>
  <c r="N13" i="905"/>
  <c r="O13" i="905"/>
  <c r="I14" i="905"/>
  <c r="J14" i="905"/>
  <c r="K14" i="905"/>
  <c r="L14" i="905"/>
  <c r="M14" i="905"/>
  <c r="N14" i="905"/>
  <c r="O14" i="905"/>
  <c r="I15" i="905"/>
  <c r="J15" i="905"/>
  <c r="K15" i="905"/>
  <c r="L15" i="905"/>
  <c r="M15" i="905"/>
  <c r="N15" i="905"/>
  <c r="O15" i="905"/>
  <c r="I16" i="905"/>
  <c r="J16" i="905"/>
  <c r="K16" i="905"/>
  <c r="L16" i="905"/>
  <c r="M16" i="905"/>
  <c r="N16" i="905"/>
  <c r="O16" i="905"/>
  <c r="I17" i="905"/>
  <c r="J17" i="905"/>
  <c r="K17" i="905"/>
  <c r="L17" i="905"/>
  <c r="M17" i="905"/>
  <c r="N17" i="905"/>
  <c r="O17" i="905"/>
  <c r="O10" i="905"/>
  <c r="N10" i="905"/>
  <c r="M10" i="905"/>
  <c r="L10" i="905"/>
  <c r="K10" i="905"/>
  <c r="J10" i="905"/>
  <c r="I10" i="905"/>
  <c r="G10" i="905"/>
  <c r="F10" i="905"/>
  <c r="E10" i="905"/>
  <c r="D10" i="905"/>
  <c r="C10" i="905"/>
  <c r="D61" i="922" l="1"/>
  <c r="G61" i="922"/>
  <c r="M33" i="922"/>
  <c r="K37" i="922"/>
  <c r="K38" i="922" l="1"/>
  <c r="M38" i="922" l="1"/>
  <c r="L38" i="922"/>
  <c r="L37" i="922"/>
  <c r="E52" i="921"/>
  <c r="B61" i="922"/>
  <c r="J56" i="922"/>
  <c r="K32" i="922"/>
  <c r="M37" i="922" l="1"/>
  <c r="L26" i="922"/>
  <c r="L23" i="922"/>
  <c r="L22" i="922"/>
  <c r="L20" i="922"/>
  <c r="L18" i="922"/>
  <c r="L14" i="922"/>
  <c r="L11" i="922"/>
  <c r="R22" i="922"/>
  <c r="S22" i="922"/>
  <c r="T22" i="922"/>
  <c r="U22" i="922"/>
  <c r="V22" i="922"/>
  <c r="W22" i="922"/>
  <c r="X22" i="922"/>
  <c r="Y22" i="922"/>
  <c r="Z22" i="922"/>
  <c r="R23" i="922"/>
  <c r="S23" i="922"/>
  <c r="T23" i="922"/>
  <c r="U23" i="922"/>
  <c r="V23" i="922"/>
  <c r="W23" i="922"/>
  <c r="X23" i="922"/>
  <c r="Y23" i="922"/>
  <c r="Z23" i="922"/>
  <c r="R24" i="922"/>
  <c r="S24" i="922"/>
  <c r="T24" i="922"/>
  <c r="U24" i="922"/>
  <c r="V24" i="922"/>
  <c r="W24" i="922"/>
  <c r="X24" i="922"/>
  <c r="Y24" i="922"/>
  <c r="Z24" i="922"/>
  <c r="R25" i="922"/>
  <c r="S25" i="922"/>
  <c r="T25" i="922"/>
  <c r="U25" i="922"/>
  <c r="V25" i="922"/>
  <c r="W25" i="922"/>
  <c r="X25" i="922"/>
  <c r="Y25" i="922"/>
  <c r="Z25" i="922"/>
  <c r="R26" i="922"/>
  <c r="S26" i="922"/>
  <c r="T26" i="922"/>
  <c r="U26" i="922"/>
  <c r="V26" i="922"/>
  <c r="W26" i="922"/>
  <c r="X26" i="922"/>
  <c r="Y26" i="922"/>
  <c r="Z26" i="922"/>
  <c r="R27" i="922"/>
  <c r="S27" i="922"/>
  <c r="T27" i="922"/>
  <c r="U27" i="922"/>
  <c r="V27" i="922"/>
  <c r="W27" i="922"/>
  <c r="X27" i="922"/>
  <c r="Y27" i="922"/>
  <c r="Z27" i="922"/>
  <c r="R28" i="922"/>
  <c r="S28" i="922"/>
  <c r="T28" i="922"/>
  <c r="U28" i="922"/>
  <c r="V28" i="922"/>
  <c r="W28" i="922"/>
  <c r="X28" i="922"/>
  <c r="Y28" i="922"/>
  <c r="Z28" i="922"/>
  <c r="R29" i="922"/>
  <c r="S29" i="922"/>
  <c r="T29" i="922"/>
  <c r="U29" i="922"/>
  <c r="V29" i="922"/>
  <c r="W29" i="922"/>
  <c r="X29" i="922"/>
  <c r="Y29" i="922"/>
  <c r="Z29" i="922"/>
  <c r="R30" i="922"/>
  <c r="S30" i="922"/>
  <c r="T30" i="922"/>
  <c r="U30" i="922"/>
  <c r="V30" i="922"/>
  <c r="W30" i="922"/>
  <c r="X30" i="922"/>
  <c r="Y30" i="922"/>
  <c r="Z30" i="922"/>
  <c r="R31" i="922"/>
  <c r="S31" i="922"/>
  <c r="T31" i="922"/>
  <c r="U31" i="922"/>
  <c r="V31" i="922"/>
  <c r="W31" i="922"/>
  <c r="X31" i="922"/>
  <c r="Y31" i="922"/>
  <c r="Z31" i="922"/>
  <c r="R32" i="922"/>
  <c r="S32" i="922"/>
  <c r="T32" i="922"/>
  <c r="U32" i="922"/>
  <c r="V32" i="922"/>
  <c r="W32" i="922"/>
  <c r="X32" i="922"/>
  <c r="Y32" i="922"/>
  <c r="Z32" i="922"/>
  <c r="R33" i="922"/>
  <c r="S33" i="922"/>
  <c r="T33" i="922"/>
  <c r="U33" i="922"/>
  <c r="V33" i="922"/>
  <c r="W33" i="922"/>
  <c r="X33" i="922"/>
  <c r="Y33" i="922"/>
  <c r="Z33" i="922"/>
  <c r="R10" i="922"/>
  <c r="S10" i="922"/>
  <c r="T10" i="922"/>
  <c r="U10" i="922"/>
  <c r="V10" i="922"/>
  <c r="W10" i="922"/>
  <c r="X10" i="922"/>
  <c r="Y10" i="922"/>
  <c r="Z10" i="922"/>
  <c r="R11" i="922"/>
  <c r="S11" i="922"/>
  <c r="T11" i="922"/>
  <c r="U11" i="922"/>
  <c r="V11" i="922"/>
  <c r="W11" i="922"/>
  <c r="X11" i="922"/>
  <c r="Y11" i="922"/>
  <c r="Z11" i="922"/>
  <c r="R12" i="922"/>
  <c r="S12" i="922"/>
  <c r="T12" i="922"/>
  <c r="U12" i="922"/>
  <c r="V12" i="922"/>
  <c r="W12" i="922"/>
  <c r="X12" i="922"/>
  <c r="Y12" i="922"/>
  <c r="Z12" i="922"/>
  <c r="R13" i="922"/>
  <c r="S13" i="922"/>
  <c r="T13" i="922"/>
  <c r="U13" i="922"/>
  <c r="V13" i="922"/>
  <c r="W13" i="922"/>
  <c r="X13" i="922"/>
  <c r="Y13" i="922"/>
  <c r="Z13" i="922"/>
  <c r="R14" i="922"/>
  <c r="S14" i="922"/>
  <c r="T14" i="922"/>
  <c r="U14" i="922"/>
  <c r="V14" i="922"/>
  <c r="W14" i="922"/>
  <c r="X14" i="922"/>
  <c r="Y14" i="922"/>
  <c r="Z14" i="922"/>
  <c r="R15" i="922"/>
  <c r="S15" i="922"/>
  <c r="T15" i="922"/>
  <c r="U15" i="922"/>
  <c r="V15" i="922"/>
  <c r="W15" i="922"/>
  <c r="X15" i="922"/>
  <c r="Y15" i="922"/>
  <c r="Z15" i="922"/>
  <c r="R16" i="922"/>
  <c r="S16" i="922"/>
  <c r="T16" i="922"/>
  <c r="U16" i="922"/>
  <c r="V16" i="922"/>
  <c r="W16" i="922"/>
  <c r="X16" i="922"/>
  <c r="Y16" i="922"/>
  <c r="Z16" i="922"/>
  <c r="R17" i="922"/>
  <c r="S17" i="922"/>
  <c r="T17" i="922"/>
  <c r="U17" i="922"/>
  <c r="V17" i="922"/>
  <c r="W17" i="922"/>
  <c r="X17" i="922"/>
  <c r="Y17" i="922"/>
  <c r="Z17" i="922"/>
  <c r="R18" i="922"/>
  <c r="S18" i="922"/>
  <c r="T18" i="922"/>
  <c r="U18" i="922"/>
  <c r="V18" i="922"/>
  <c r="W18" i="922"/>
  <c r="X18" i="922"/>
  <c r="Y18" i="922"/>
  <c r="Z18" i="922"/>
  <c r="R19" i="922"/>
  <c r="S19" i="922"/>
  <c r="T19" i="922"/>
  <c r="U19" i="922"/>
  <c r="V19" i="922"/>
  <c r="W19" i="922"/>
  <c r="X19" i="922"/>
  <c r="Y19" i="922"/>
  <c r="Z19" i="922"/>
  <c r="R20" i="922"/>
  <c r="S20" i="922"/>
  <c r="T20" i="922"/>
  <c r="U20" i="922"/>
  <c r="V20" i="922"/>
  <c r="W20" i="922"/>
  <c r="X20" i="922"/>
  <c r="Y20" i="922"/>
  <c r="Z20" i="922"/>
  <c r="C24" i="922"/>
  <c r="D24" i="922"/>
  <c r="E24" i="922"/>
  <c r="F24" i="922"/>
  <c r="G24" i="922"/>
  <c r="C25" i="922"/>
  <c r="D25" i="922"/>
  <c r="E25" i="922"/>
  <c r="F25" i="922"/>
  <c r="G25" i="922"/>
  <c r="C26" i="922"/>
  <c r="D26" i="922"/>
  <c r="E26" i="922"/>
  <c r="F26" i="922"/>
  <c r="G26" i="922"/>
  <c r="J10" i="922"/>
  <c r="L10" i="922"/>
  <c r="M10" i="922"/>
  <c r="O10" i="922"/>
  <c r="J11" i="922"/>
  <c r="M11" i="922"/>
  <c r="O11" i="922"/>
  <c r="J12" i="922"/>
  <c r="L12" i="922"/>
  <c r="M12" i="922"/>
  <c r="O12" i="922"/>
  <c r="J13" i="922"/>
  <c r="L13" i="922"/>
  <c r="M13" i="922"/>
  <c r="O13" i="922"/>
  <c r="J14" i="922"/>
  <c r="M14" i="922"/>
  <c r="O14" i="922"/>
  <c r="J15" i="922"/>
  <c r="L15" i="922"/>
  <c r="M15" i="922"/>
  <c r="O15" i="922"/>
  <c r="J18" i="922"/>
  <c r="M18" i="922"/>
  <c r="O18" i="922"/>
  <c r="J19" i="922"/>
  <c r="L19" i="922"/>
  <c r="M19" i="922"/>
  <c r="O19" i="922"/>
  <c r="J20" i="922"/>
  <c r="M20" i="922"/>
  <c r="O20" i="922"/>
  <c r="J21" i="922"/>
  <c r="L21" i="922"/>
  <c r="M21" i="922"/>
  <c r="O21" i="922"/>
  <c r="J22" i="922"/>
  <c r="M22" i="922"/>
  <c r="O22" i="922"/>
  <c r="J23" i="922"/>
  <c r="M23" i="922"/>
  <c r="O23" i="922"/>
  <c r="J24" i="922"/>
  <c r="L24" i="922"/>
  <c r="M24" i="922"/>
  <c r="O24" i="922"/>
  <c r="J25" i="922"/>
  <c r="L25" i="922"/>
  <c r="M25" i="922"/>
  <c r="O25" i="922"/>
  <c r="J26" i="922"/>
  <c r="M26" i="922"/>
  <c r="O26" i="922"/>
  <c r="C10" i="922"/>
  <c r="D10" i="922"/>
  <c r="E10" i="922"/>
  <c r="F10" i="922"/>
  <c r="G10" i="922"/>
  <c r="C11" i="922"/>
  <c r="D11" i="922"/>
  <c r="E11" i="922"/>
  <c r="F11" i="922"/>
  <c r="G11" i="922"/>
  <c r="C12" i="922"/>
  <c r="D12" i="922"/>
  <c r="E12" i="922"/>
  <c r="F12" i="922"/>
  <c r="G12" i="922"/>
  <c r="C13" i="922"/>
  <c r="D13" i="922"/>
  <c r="E13" i="922"/>
  <c r="F13" i="922"/>
  <c r="G13" i="922"/>
  <c r="C14" i="922"/>
  <c r="D14" i="922"/>
  <c r="E14" i="922"/>
  <c r="F14" i="922"/>
  <c r="G14" i="922"/>
  <c r="C15" i="922"/>
  <c r="D15" i="922"/>
  <c r="E15" i="922"/>
  <c r="F15" i="922"/>
  <c r="G15" i="922"/>
  <c r="C18" i="922"/>
  <c r="D18" i="922"/>
  <c r="E18" i="922"/>
  <c r="F18" i="922"/>
  <c r="G18" i="922"/>
  <c r="C19" i="922"/>
  <c r="D19" i="922"/>
  <c r="E19" i="922"/>
  <c r="F19" i="922"/>
  <c r="G19" i="922"/>
  <c r="C20" i="922"/>
  <c r="D20" i="922"/>
  <c r="E20" i="922"/>
  <c r="F20" i="922"/>
  <c r="G20" i="922"/>
  <c r="C21" i="922"/>
  <c r="D21" i="922"/>
  <c r="E21" i="922"/>
  <c r="F21" i="922"/>
  <c r="G21" i="922"/>
  <c r="C22" i="922"/>
  <c r="D22" i="922"/>
  <c r="E22" i="922"/>
  <c r="F22" i="922"/>
  <c r="G22" i="922"/>
  <c r="C23" i="922"/>
  <c r="D23" i="922"/>
  <c r="E23" i="922"/>
  <c r="F23" i="922"/>
  <c r="G23" i="922"/>
  <c r="F79" i="922"/>
  <c r="AX63" i="922"/>
  <c r="AW63" i="922"/>
  <c r="AV63" i="922"/>
  <c r="AU63" i="922"/>
  <c r="AT63" i="922"/>
  <c r="AS63" i="922"/>
  <c r="AR63" i="922"/>
  <c r="AQ63" i="922"/>
  <c r="AP63" i="922"/>
  <c r="AO63" i="922"/>
  <c r="AN63" i="922"/>
  <c r="AM63" i="922"/>
  <c r="AL63" i="922"/>
  <c r="AK63" i="922"/>
  <c r="AJ63" i="922"/>
  <c r="AI63" i="922"/>
  <c r="AH63" i="922"/>
  <c r="AG63" i="922"/>
  <c r="AF63" i="922"/>
  <c r="AE63" i="922"/>
  <c r="AD63" i="922"/>
  <c r="AC63" i="922"/>
  <c r="AB63" i="922"/>
  <c r="K56" i="922"/>
  <c r="Z43" i="922"/>
  <c r="Y43" i="922"/>
  <c r="X43" i="922"/>
  <c r="W43" i="922"/>
  <c r="V43" i="922"/>
  <c r="U43" i="922"/>
  <c r="T43" i="922"/>
  <c r="S43" i="922"/>
  <c r="R43" i="922"/>
  <c r="Z42" i="922"/>
  <c r="Y42" i="922"/>
  <c r="X42" i="922"/>
  <c r="W42" i="922"/>
  <c r="V42" i="922"/>
  <c r="U42" i="922"/>
  <c r="T42" i="922"/>
  <c r="S42" i="922"/>
  <c r="R42" i="922"/>
  <c r="Z41" i="922"/>
  <c r="Y41" i="922"/>
  <c r="X41" i="922"/>
  <c r="W41" i="922"/>
  <c r="V41" i="922"/>
  <c r="U41" i="922"/>
  <c r="T41" i="922"/>
  <c r="S41" i="922"/>
  <c r="R41" i="922"/>
  <c r="Z40" i="922"/>
  <c r="Y40" i="922"/>
  <c r="X40" i="922"/>
  <c r="W40" i="922"/>
  <c r="V40" i="922"/>
  <c r="U40" i="922"/>
  <c r="T40" i="922"/>
  <c r="S40" i="922"/>
  <c r="R40" i="922"/>
  <c r="Z39" i="922"/>
  <c r="Y39" i="922"/>
  <c r="X39" i="922"/>
  <c r="W39" i="922"/>
  <c r="V39" i="922"/>
  <c r="U39" i="922"/>
  <c r="T39" i="922"/>
  <c r="S39" i="922"/>
  <c r="R39" i="922"/>
  <c r="Z38" i="922"/>
  <c r="Y38" i="922"/>
  <c r="X38" i="922"/>
  <c r="W38" i="922"/>
  <c r="V38" i="922"/>
  <c r="U38" i="922"/>
  <c r="T38" i="922"/>
  <c r="S38" i="922"/>
  <c r="R38" i="922"/>
  <c r="Z37" i="922"/>
  <c r="Y37" i="922"/>
  <c r="X37" i="922"/>
  <c r="W37" i="922"/>
  <c r="V37" i="922"/>
  <c r="U37" i="922"/>
  <c r="T37" i="922"/>
  <c r="S37" i="922"/>
  <c r="R37" i="922"/>
  <c r="Z36" i="922"/>
  <c r="Y36" i="922"/>
  <c r="X36" i="922"/>
  <c r="W36" i="922"/>
  <c r="V36" i="922"/>
  <c r="U36" i="922"/>
  <c r="T36" i="922"/>
  <c r="S36" i="922"/>
  <c r="R36" i="922"/>
  <c r="Z35" i="922"/>
  <c r="Y35" i="922"/>
  <c r="X35" i="922"/>
  <c r="W35" i="922"/>
  <c r="V35" i="922"/>
  <c r="U35" i="922"/>
  <c r="T35" i="922"/>
  <c r="S35" i="922"/>
  <c r="R35" i="922"/>
  <c r="M35" i="922"/>
  <c r="L35" i="922"/>
  <c r="K35" i="922"/>
  <c r="Z34" i="922"/>
  <c r="Y34" i="922"/>
  <c r="X34" i="922"/>
  <c r="W34" i="922"/>
  <c r="V34" i="922"/>
  <c r="U34" i="922"/>
  <c r="T34" i="922"/>
  <c r="S34" i="922"/>
  <c r="R34" i="922"/>
  <c r="M34" i="922"/>
  <c r="L34" i="922"/>
  <c r="K34" i="922"/>
  <c r="L33" i="922"/>
  <c r="K33" i="922"/>
  <c r="Z21" i="922"/>
  <c r="Y21" i="922"/>
  <c r="X21" i="922"/>
  <c r="W21" i="922"/>
  <c r="V21" i="922"/>
  <c r="U21" i="922"/>
  <c r="T21" i="922"/>
  <c r="S21" i="922"/>
  <c r="R21" i="922"/>
  <c r="B52" i="921"/>
  <c r="K23" i="921"/>
  <c r="L10" i="921"/>
  <c r="M10" i="921"/>
  <c r="N10" i="921"/>
  <c r="O10" i="921"/>
  <c r="L11" i="921"/>
  <c r="M11" i="921"/>
  <c r="N11" i="921"/>
  <c r="O11" i="921"/>
  <c r="L12" i="921"/>
  <c r="M12" i="921"/>
  <c r="N12" i="921"/>
  <c r="O12" i="921"/>
  <c r="L13" i="921"/>
  <c r="M13" i="921"/>
  <c r="N13" i="921"/>
  <c r="O13" i="921"/>
  <c r="L14" i="921"/>
  <c r="M14" i="921"/>
  <c r="N14" i="921"/>
  <c r="O14" i="921"/>
  <c r="C10" i="921"/>
  <c r="D10" i="921"/>
  <c r="E10" i="921"/>
  <c r="F10" i="921"/>
  <c r="G10" i="921"/>
  <c r="C11" i="921"/>
  <c r="D11" i="921"/>
  <c r="E11" i="921"/>
  <c r="F11" i="921"/>
  <c r="G11" i="921"/>
  <c r="C12" i="921"/>
  <c r="D12" i="921"/>
  <c r="E12" i="921"/>
  <c r="F12" i="921"/>
  <c r="G12" i="921"/>
  <c r="C13" i="921"/>
  <c r="D13" i="921"/>
  <c r="E13" i="921"/>
  <c r="F13" i="921"/>
  <c r="G13" i="921"/>
  <c r="C14" i="921"/>
  <c r="D14" i="921"/>
  <c r="E14" i="921"/>
  <c r="F14" i="921"/>
  <c r="G14" i="921"/>
  <c r="F70" i="921"/>
  <c r="AX54" i="921"/>
  <c r="AW54" i="921"/>
  <c r="AV54" i="921"/>
  <c r="AU54" i="921"/>
  <c r="AT54" i="921"/>
  <c r="AS54" i="921"/>
  <c r="AR54" i="921"/>
  <c r="AQ54" i="921"/>
  <c r="AP54" i="921"/>
  <c r="AO54" i="921"/>
  <c r="AN54" i="921"/>
  <c r="AM54" i="921"/>
  <c r="AL54" i="921"/>
  <c r="AK54" i="921"/>
  <c r="AJ54" i="921"/>
  <c r="AI54" i="921"/>
  <c r="AH54" i="921"/>
  <c r="AG54" i="921"/>
  <c r="AF54" i="921"/>
  <c r="AE54" i="921"/>
  <c r="AD54" i="921"/>
  <c r="AC54" i="921"/>
  <c r="AB54" i="921"/>
  <c r="B54" i="921"/>
  <c r="K47" i="921"/>
  <c r="Z34" i="921"/>
  <c r="Y34" i="921"/>
  <c r="X34" i="921"/>
  <c r="W34" i="921"/>
  <c r="V34" i="921"/>
  <c r="U34" i="921"/>
  <c r="T34" i="921"/>
  <c r="S34" i="921"/>
  <c r="R34" i="921"/>
  <c r="Z33" i="921"/>
  <c r="Y33" i="921"/>
  <c r="X33" i="921"/>
  <c r="W33" i="921"/>
  <c r="V33" i="921"/>
  <c r="U33" i="921"/>
  <c r="T33" i="921"/>
  <c r="S33" i="921"/>
  <c r="R33" i="921"/>
  <c r="Z32" i="921"/>
  <c r="Y32" i="921"/>
  <c r="X32" i="921"/>
  <c r="W32" i="921"/>
  <c r="V32" i="921"/>
  <c r="U32" i="921"/>
  <c r="T32" i="921"/>
  <c r="S32" i="921"/>
  <c r="R32" i="921"/>
  <c r="Z31" i="921"/>
  <c r="Y31" i="921"/>
  <c r="X31" i="921"/>
  <c r="W31" i="921"/>
  <c r="V31" i="921"/>
  <c r="U31" i="921"/>
  <c r="T31" i="921"/>
  <c r="S31" i="921"/>
  <c r="R31" i="921"/>
  <c r="Z30" i="921"/>
  <c r="Y30" i="921"/>
  <c r="X30" i="921"/>
  <c r="W30" i="921"/>
  <c r="V30" i="921"/>
  <c r="U30" i="921"/>
  <c r="T30" i="921"/>
  <c r="S30" i="921"/>
  <c r="R30" i="921"/>
  <c r="Z29" i="921"/>
  <c r="Y29" i="921"/>
  <c r="X29" i="921"/>
  <c r="W29" i="921"/>
  <c r="V29" i="921"/>
  <c r="U29" i="921"/>
  <c r="T29" i="921"/>
  <c r="S29" i="921"/>
  <c r="R29" i="921"/>
  <c r="M29" i="921"/>
  <c r="L29" i="921"/>
  <c r="K29" i="921"/>
  <c r="Z28" i="921"/>
  <c r="Y28" i="921"/>
  <c r="X28" i="921"/>
  <c r="W28" i="921"/>
  <c r="V28" i="921"/>
  <c r="U28" i="921"/>
  <c r="T28" i="921"/>
  <c r="S28" i="921"/>
  <c r="R28" i="921"/>
  <c r="M28" i="921"/>
  <c r="L28" i="921"/>
  <c r="K28" i="921"/>
  <c r="Z27" i="921"/>
  <c r="Y27" i="921"/>
  <c r="X27" i="921"/>
  <c r="W27" i="921"/>
  <c r="V27" i="921"/>
  <c r="U27" i="921"/>
  <c r="T27" i="921"/>
  <c r="S27" i="921"/>
  <c r="R27" i="921"/>
  <c r="Z26" i="921"/>
  <c r="Y26" i="921"/>
  <c r="X26" i="921"/>
  <c r="W26" i="921"/>
  <c r="V26" i="921"/>
  <c r="U26" i="921"/>
  <c r="T26" i="921"/>
  <c r="S26" i="921"/>
  <c r="R26" i="921"/>
  <c r="M26" i="921"/>
  <c r="L26" i="921"/>
  <c r="K26" i="921"/>
  <c r="Z25" i="921"/>
  <c r="Y25" i="921"/>
  <c r="X25" i="921"/>
  <c r="W25" i="921"/>
  <c r="V25" i="921"/>
  <c r="U25" i="921"/>
  <c r="T25" i="921"/>
  <c r="S25" i="921"/>
  <c r="R25" i="921"/>
  <c r="M25" i="921"/>
  <c r="L25" i="921"/>
  <c r="K25" i="921"/>
  <c r="Z24" i="921"/>
  <c r="Y24" i="921"/>
  <c r="X24" i="921"/>
  <c r="W24" i="921"/>
  <c r="V24" i="921"/>
  <c r="U24" i="921"/>
  <c r="T24" i="921"/>
  <c r="S24" i="921"/>
  <c r="R24" i="921"/>
  <c r="M24" i="921"/>
  <c r="L24" i="921"/>
  <c r="K24" i="921"/>
  <c r="Z23" i="921"/>
  <c r="Y23" i="921"/>
  <c r="X23" i="921"/>
  <c r="W23" i="921"/>
  <c r="V23" i="921"/>
  <c r="U23" i="921"/>
  <c r="T23" i="921"/>
  <c r="S23" i="921"/>
  <c r="R23" i="921"/>
  <c r="Z22" i="921"/>
  <c r="Y22" i="921"/>
  <c r="X22" i="921"/>
  <c r="W22" i="921"/>
  <c r="V22" i="921"/>
  <c r="U22" i="921"/>
  <c r="T22" i="921"/>
  <c r="S22" i="921"/>
  <c r="R22" i="921"/>
  <c r="Z21" i="921"/>
  <c r="Y21" i="921"/>
  <c r="X21" i="921"/>
  <c r="W21" i="921"/>
  <c r="V21" i="921"/>
  <c r="U21" i="921"/>
  <c r="T21" i="921"/>
  <c r="S21" i="921"/>
  <c r="R21" i="921"/>
  <c r="Z20" i="921"/>
  <c r="Y20" i="921"/>
  <c r="X20" i="921"/>
  <c r="W20" i="921"/>
  <c r="V20" i="921"/>
  <c r="U20" i="921"/>
  <c r="T20" i="921"/>
  <c r="S20" i="921"/>
  <c r="R20" i="921"/>
  <c r="Z19" i="921"/>
  <c r="Y19" i="921"/>
  <c r="X19" i="921"/>
  <c r="W19" i="921"/>
  <c r="V19" i="921"/>
  <c r="U19" i="921"/>
  <c r="T19" i="921"/>
  <c r="S19" i="921"/>
  <c r="R19" i="921"/>
  <c r="Z18" i="921"/>
  <c r="Y18" i="921"/>
  <c r="X18" i="921"/>
  <c r="W18" i="921"/>
  <c r="V18" i="921"/>
  <c r="U18" i="921"/>
  <c r="T18" i="921"/>
  <c r="S18" i="921"/>
  <c r="R18" i="921"/>
  <c r="Z17" i="921"/>
  <c r="Y17" i="921"/>
  <c r="X17" i="921"/>
  <c r="W17" i="921"/>
  <c r="V17" i="921"/>
  <c r="U17" i="921"/>
  <c r="T17" i="921"/>
  <c r="S17" i="921"/>
  <c r="R17" i="921"/>
  <c r="Z16" i="921"/>
  <c r="Y16" i="921"/>
  <c r="X16" i="921"/>
  <c r="W16" i="921"/>
  <c r="V16" i="921"/>
  <c r="U16" i="921"/>
  <c r="T16" i="921"/>
  <c r="S16" i="921"/>
  <c r="R16" i="921"/>
  <c r="Z15" i="921"/>
  <c r="Y15" i="921"/>
  <c r="X15" i="921"/>
  <c r="W15" i="921"/>
  <c r="V15" i="921"/>
  <c r="U15" i="921"/>
  <c r="T15" i="921"/>
  <c r="S15" i="921"/>
  <c r="R15" i="921"/>
  <c r="Z14" i="921"/>
  <c r="Y14" i="921"/>
  <c r="X14" i="921"/>
  <c r="W14" i="921"/>
  <c r="V14" i="921"/>
  <c r="U14" i="921"/>
  <c r="T14" i="921"/>
  <c r="S14" i="921"/>
  <c r="R14" i="921"/>
  <c r="Z13" i="921"/>
  <c r="Y13" i="921"/>
  <c r="X13" i="921"/>
  <c r="W13" i="921"/>
  <c r="V13" i="921"/>
  <c r="U13" i="921"/>
  <c r="T13" i="921"/>
  <c r="S13" i="921"/>
  <c r="R13" i="921"/>
  <c r="Z12" i="921"/>
  <c r="Y12" i="921"/>
  <c r="X12" i="921"/>
  <c r="W12" i="921"/>
  <c r="V12" i="921"/>
  <c r="U12" i="921"/>
  <c r="T12" i="921"/>
  <c r="S12" i="921"/>
  <c r="R12" i="921"/>
  <c r="Z11" i="921"/>
  <c r="Y11" i="921"/>
  <c r="X11" i="921"/>
  <c r="W11" i="921"/>
  <c r="V11" i="921"/>
  <c r="U11" i="921"/>
  <c r="T11" i="921"/>
  <c r="S11" i="921"/>
  <c r="R11" i="921"/>
  <c r="Z10" i="921"/>
  <c r="Y10" i="921"/>
  <c r="X10" i="921"/>
  <c r="W10" i="921"/>
  <c r="V10" i="921"/>
  <c r="U10" i="921"/>
  <c r="T10" i="921"/>
  <c r="S10" i="921"/>
  <c r="R10" i="921"/>
  <c r="B56" i="920"/>
  <c r="E56" i="920"/>
  <c r="K42" i="922" l="1"/>
  <c r="K33" i="921"/>
  <c r="R11" i="920"/>
  <c r="S11" i="920"/>
  <c r="T11" i="920"/>
  <c r="U11" i="920"/>
  <c r="V11" i="920"/>
  <c r="W11" i="920"/>
  <c r="X11" i="920"/>
  <c r="Y11" i="920"/>
  <c r="Z11" i="920"/>
  <c r="R12" i="920"/>
  <c r="S12" i="920"/>
  <c r="T12" i="920"/>
  <c r="U12" i="920"/>
  <c r="V12" i="920"/>
  <c r="W12" i="920"/>
  <c r="X12" i="920"/>
  <c r="Y12" i="920"/>
  <c r="Z12" i="920"/>
  <c r="R13" i="920"/>
  <c r="S13" i="920"/>
  <c r="T13" i="920"/>
  <c r="U13" i="920"/>
  <c r="V13" i="920"/>
  <c r="W13" i="920"/>
  <c r="X13" i="920"/>
  <c r="Y13" i="920"/>
  <c r="Z13" i="920"/>
  <c r="R14" i="920"/>
  <c r="S14" i="920"/>
  <c r="T14" i="920"/>
  <c r="U14" i="920"/>
  <c r="V14" i="920"/>
  <c r="W14" i="920"/>
  <c r="X14" i="920"/>
  <c r="Y14" i="920"/>
  <c r="Z14" i="920"/>
  <c r="R15" i="920"/>
  <c r="S15" i="920"/>
  <c r="T15" i="920"/>
  <c r="U15" i="920"/>
  <c r="V15" i="920"/>
  <c r="W15" i="920"/>
  <c r="X15" i="920"/>
  <c r="Y15" i="920"/>
  <c r="Z15" i="920"/>
  <c r="R16" i="920"/>
  <c r="S16" i="920"/>
  <c r="T16" i="920"/>
  <c r="U16" i="920"/>
  <c r="V16" i="920"/>
  <c r="W16" i="920"/>
  <c r="X16" i="920"/>
  <c r="Y16" i="920"/>
  <c r="Z16" i="920"/>
  <c r="R17" i="920"/>
  <c r="S17" i="920"/>
  <c r="T17" i="920"/>
  <c r="U17" i="920"/>
  <c r="V17" i="920"/>
  <c r="W17" i="920"/>
  <c r="X17" i="920"/>
  <c r="Y17" i="920"/>
  <c r="Z17" i="920"/>
  <c r="R18" i="920"/>
  <c r="S18" i="920"/>
  <c r="T18" i="920"/>
  <c r="U18" i="920"/>
  <c r="V18" i="920"/>
  <c r="W18" i="920"/>
  <c r="X18" i="920"/>
  <c r="Y18" i="920"/>
  <c r="Z18" i="920"/>
  <c r="R19" i="920"/>
  <c r="S19" i="920"/>
  <c r="T19" i="920"/>
  <c r="U19" i="920"/>
  <c r="V19" i="920"/>
  <c r="W19" i="920"/>
  <c r="X19" i="920"/>
  <c r="Y19" i="920"/>
  <c r="Z19" i="920"/>
  <c r="R20" i="920"/>
  <c r="S20" i="920"/>
  <c r="T20" i="920"/>
  <c r="U20" i="920"/>
  <c r="V20" i="920"/>
  <c r="W20" i="920"/>
  <c r="X20" i="920"/>
  <c r="Y20" i="920"/>
  <c r="Z20" i="920"/>
  <c r="R21" i="920"/>
  <c r="S21" i="920"/>
  <c r="T21" i="920"/>
  <c r="U21" i="920"/>
  <c r="V21" i="920"/>
  <c r="W21" i="920"/>
  <c r="X21" i="920"/>
  <c r="Y21" i="920"/>
  <c r="Z21" i="920"/>
  <c r="R22" i="920"/>
  <c r="S22" i="920"/>
  <c r="T22" i="920"/>
  <c r="U22" i="920"/>
  <c r="V22" i="920"/>
  <c r="W22" i="920"/>
  <c r="X22" i="920"/>
  <c r="Y22" i="920"/>
  <c r="Z22" i="920"/>
  <c r="R23" i="920"/>
  <c r="S23" i="920"/>
  <c r="T23" i="920"/>
  <c r="U23" i="920"/>
  <c r="V23" i="920"/>
  <c r="W23" i="920"/>
  <c r="X23" i="920"/>
  <c r="Y23" i="920"/>
  <c r="Z23" i="920"/>
  <c r="M28" i="920"/>
  <c r="L28" i="920"/>
  <c r="K28" i="920"/>
  <c r="N16" i="920"/>
  <c r="N15" i="920"/>
  <c r="I17" i="920"/>
  <c r="J17" i="920"/>
  <c r="J16" i="920"/>
  <c r="L17" i="920"/>
  <c r="L15" i="920"/>
  <c r="L13" i="920"/>
  <c r="K10" i="920"/>
  <c r="L10" i="920"/>
  <c r="M10" i="920"/>
  <c r="O10" i="920"/>
  <c r="K11" i="920"/>
  <c r="L11" i="920"/>
  <c r="M11" i="920"/>
  <c r="O11" i="920"/>
  <c r="K12" i="920"/>
  <c r="L12" i="920"/>
  <c r="M12" i="920"/>
  <c r="O12" i="920"/>
  <c r="K13" i="920"/>
  <c r="M13" i="920"/>
  <c r="O13" i="920"/>
  <c r="K14" i="920"/>
  <c r="L14" i="920"/>
  <c r="M14" i="920"/>
  <c r="O14" i="920"/>
  <c r="K15" i="920"/>
  <c r="M15" i="920"/>
  <c r="O15" i="920"/>
  <c r="K16" i="920"/>
  <c r="L16" i="920"/>
  <c r="M16" i="920"/>
  <c r="O16" i="920"/>
  <c r="K17" i="920"/>
  <c r="M17" i="920"/>
  <c r="N17" i="920"/>
  <c r="O17" i="920"/>
  <c r="C10" i="920"/>
  <c r="D10" i="920"/>
  <c r="E10" i="920"/>
  <c r="F10" i="920"/>
  <c r="G10" i="920"/>
  <c r="C11" i="920"/>
  <c r="D11" i="920"/>
  <c r="E11" i="920"/>
  <c r="F11" i="920"/>
  <c r="G11" i="920"/>
  <c r="C12" i="920"/>
  <c r="D12" i="920"/>
  <c r="E12" i="920"/>
  <c r="F12" i="920"/>
  <c r="G12" i="920"/>
  <c r="C13" i="920"/>
  <c r="D13" i="920"/>
  <c r="E13" i="920"/>
  <c r="F13" i="920"/>
  <c r="G13" i="920"/>
  <c r="C14" i="920"/>
  <c r="D14" i="920"/>
  <c r="E14" i="920"/>
  <c r="F14" i="920"/>
  <c r="G14" i="920"/>
  <c r="C15" i="920"/>
  <c r="D15" i="920"/>
  <c r="E15" i="920"/>
  <c r="F15" i="920"/>
  <c r="G15" i="920"/>
  <c r="C16" i="920"/>
  <c r="D16" i="920"/>
  <c r="E16" i="920"/>
  <c r="F16" i="920"/>
  <c r="G16" i="920"/>
  <c r="C17" i="920"/>
  <c r="D17" i="920"/>
  <c r="E17" i="920"/>
  <c r="F17" i="920"/>
  <c r="G17" i="920"/>
  <c r="F74" i="920"/>
  <c r="A59" i="920"/>
  <c r="AX58" i="920"/>
  <c r="AW58" i="920"/>
  <c r="AV58" i="920"/>
  <c r="AU58" i="920"/>
  <c r="AT58" i="920"/>
  <c r="AS58" i="920"/>
  <c r="AR58" i="920"/>
  <c r="AQ58" i="920"/>
  <c r="AP58" i="920"/>
  <c r="AO58" i="920"/>
  <c r="AN58" i="920"/>
  <c r="AM58" i="920"/>
  <c r="AL58" i="920"/>
  <c r="AK58" i="920"/>
  <c r="AJ58" i="920"/>
  <c r="AI58" i="920"/>
  <c r="AH58" i="920"/>
  <c r="AG58" i="920"/>
  <c r="AF58" i="920"/>
  <c r="AE58" i="920"/>
  <c r="AD58" i="920"/>
  <c r="AC58" i="920"/>
  <c r="AB58" i="920"/>
  <c r="B58" i="920"/>
  <c r="Z38" i="920"/>
  <c r="Y38" i="920"/>
  <c r="X38" i="920"/>
  <c r="W38" i="920"/>
  <c r="V38" i="920"/>
  <c r="U38" i="920"/>
  <c r="T38" i="920"/>
  <c r="S38" i="920"/>
  <c r="R38" i="920"/>
  <c r="Z37" i="920"/>
  <c r="Y37" i="920"/>
  <c r="X37" i="920"/>
  <c r="W37" i="920"/>
  <c r="V37" i="920"/>
  <c r="U37" i="920"/>
  <c r="T37" i="920"/>
  <c r="S37" i="920"/>
  <c r="R37" i="920"/>
  <c r="Z36" i="920"/>
  <c r="Y36" i="920"/>
  <c r="X36" i="920"/>
  <c r="W36" i="920"/>
  <c r="V36" i="920"/>
  <c r="U36" i="920"/>
  <c r="T36" i="920"/>
  <c r="S36" i="920"/>
  <c r="R36" i="920"/>
  <c r="Z35" i="920"/>
  <c r="Y35" i="920"/>
  <c r="X35" i="920"/>
  <c r="W35" i="920"/>
  <c r="V35" i="920"/>
  <c r="U35" i="920"/>
  <c r="T35" i="920"/>
  <c r="S35" i="920"/>
  <c r="R35" i="920"/>
  <c r="Z34" i="920"/>
  <c r="Y34" i="920"/>
  <c r="X34" i="920"/>
  <c r="W34" i="920"/>
  <c r="V34" i="920"/>
  <c r="U34" i="920"/>
  <c r="T34" i="920"/>
  <c r="S34" i="920"/>
  <c r="R34" i="920"/>
  <c r="Z33" i="920"/>
  <c r="Y33" i="920"/>
  <c r="X33" i="920"/>
  <c r="W33" i="920"/>
  <c r="V33" i="920"/>
  <c r="U33" i="920"/>
  <c r="T33" i="920"/>
  <c r="S33" i="920"/>
  <c r="R33" i="920"/>
  <c r="M33" i="920"/>
  <c r="L33" i="920"/>
  <c r="K33" i="920"/>
  <c r="Z32" i="920"/>
  <c r="Y32" i="920"/>
  <c r="X32" i="920"/>
  <c r="W32" i="920"/>
  <c r="V32" i="920"/>
  <c r="U32" i="920"/>
  <c r="T32" i="920"/>
  <c r="S32" i="920"/>
  <c r="R32" i="920"/>
  <c r="M32" i="920"/>
  <c r="L32" i="920"/>
  <c r="K32" i="920"/>
  <c r="Z31" i="920"/>
  <c r="Y31" i="920"/>
  <c r="X31" i="920"/>
  <c r="W31" i="920"/>
  <c r="V31" i="920"/>
  <c r="U31" i="920"/>
  <c r="T31" i="920"/>
  <c r="S31" i="920"/>
  <c r="R31" i="920"/>
  <c r="Z30" i="920"/>
  <c r="Y30" i="920"/>
  <c r="X30" i="920"/>
  <c r="W30" i="920"/>
  <c r="V30" i="920"/>
  <c r="U30" i="920"/>
  <c r="T30" i="920"/>
  <c r="S30" i="920"/>
  <c r="R30" i="920"/>
  <c r="M30" i="920"/>
  <c r="L30" i="920"/>
  <c r="K30" i="920"/>
  <c r="Z29" i="920"/>
  <c r="Y29" i="920"/>
  <c r="X29" i="920"/>
  <c r="W29" i="920"/>
  <c r="V29" i="920"/>
  <c r="U29" i="920"/>
  <c r="T29" i="920"/>
  <c r="S29" i="920"/>
  <c r="R29" i="920"/>
  <c r="M29" i="920"/>
  <c r="L29" i="920"/>
  <c r="K29" i="920"/>
  <c r="Z28" i="920"/>
  <c r="Y28" i="920"/>
  <c r="X28" i="920"/>
  <c r="W28" i="920"/>
  <c r="V28" i="920"/>
  <c r="U28" i="920"/>
  <c r="T28" i="920"/>
  <c r="S28" i="920"/>
  <c r="R28" i="920"/>
  <c r="Z27" i="920"/>
  <c r="Y27" i="920"/>
  <c r="X27" i="920"/>
  <c r="W27" i="920"/>
  <c r="V27" i="920"/>
  <c r="U27" i="920"/>
  <c r="T27" i="920"/>
  <c r="S27" i="920"/>
  <c r="R27" i="920"/>
  <c r="M27" i="920"/>
  <c r="L27" i="920"/>
  <c r="K27" i="920"/>
  <c r="Z26" i="920"/>
  <c r="Y26" i="920"/>
  <c r="X26" i="920"/>
  <c r="W26" i="920"/>
  <c r="V26" i="920"/>
  <c r="U26" i="920"/>
  <c r="T26" i="920"/>
  <c r="S26" i="920"/>
  <c r="R26" i="920"/>
  <c r="Z25" i="920"/>
  <c r="Y25" i="920"/>
  <c r="X25" i="920"/>
  <c r="W25" i="920"/>
  <c r="V25" i="920"/>
  <c r="U25" i="920"/>
  <c r="T25" i="920"/>
  <c r="S25" i="920"/>
  <c r="R25" i="920"/>
  <c r="Z24" i="920"/>
  <c r="Y24" i="920"/>
  <c r="X24" i="920"/>
  <c r="W24" i="920"/>
  <c r="V24" i="920"/>
  <c r="U24" i="920"/>
  <c r="T24" i="920"/>
  <c r="S24" i="920"/>
  <c r="R24" i="920"/>
  <c r="Z10" i="920"/>
  <c r="Y10" i="920"/>
  <c r="X10" i="920"/>
  <c r="W10" i="920"/>
  <c r="V10" i="920"/>
  <c r="U10" i="920"/>
  <c r="T10" i="920"/>
  <c r="S10" i="920"/>
  <c r="R10" i="920"/>
  <c r="K51" i="920"/>
  <c r="R10" i="919"/>
  <c r="S10" i="919"/>
  <c r="T10" i="919"/>
  <c r="U10" i="919"/>
  <c r="V10" i="919"/>
  <c r="W10" i="919"/>
  <c r="X10" i="919"/>
  <c r="Y10" i="919"/>
  <c r="Z10" i="919"/>
  <c r="I10" i="919"/>
  <c r="J10" i="919"/>
  <c r="K10" i="919"/>
  <c r="L10" i="919"/>
  <c r="M10" i="919"/>
  <c r="N10" i="919"/>
  <c r="O10" i="919"/>
  <c r="C10" i="919"/>
  <c r="D10" i="919"/>
  <c r="E10" i="919"/>
  <c r="F10" i="919"/>
  <c r="G10" i="919"/>
  <c r="L29" i="919"/>
  <c r="K29" i="919"/>
  <c r="O13" i="919"/>
  <c r="O14" i="919"/>
  <c r="O15" i="919"/>
  <c r="O16" i="919"/>
  <c r="O17" i="919"/>
  <c r="I15" i="920" l="1"/>
  <c r="I16" i="920"/>
  <c r="J15" i="920"/>
  <c r="K37" i="920"/>
  <c r="L37" i="920" s="1"/>
  <c r="M37" i="920" s="1"/>
  <c r="L11" i="919"/>
  <c r="I16" i="919"/>
  <c r="I17" i="919"/>
  <c r="C12" i="919"/>
  <c r="C13" i="919"/>
  <c r="C15" i="919"/>
  <c r="C16" i="919"/>
  <c r="N14" i="919"/>
  <c r="N15" i="919"/>
  <c r="N17" i="919"/>
  <c r="R11" i="919"/>
  <c r="S11" i="919"/>
  <c r="T11" i="919"/>
  <c r="U11" i="919"/>
  <c r="V11" i="919"/>
  <c r="W11" i="919"/>
  <c r="X11" i="919"/>
  <c r="Y11" i="919"/>
  <c r="Z11" i="919"/>
  <c r="R12" i="919"/>
  <c r="S12" i="919"/>
  <c r="T12" i="919"/>
  <c r="U12" i="919"/>
  <c r="V12" i="919"/>
  <c r="W12" i="919"/>
  <c r="X12" i="919"/>
  <c r="Y12" i="919"/>
  <c r="Z12" i="919"/>
  <c r="R13" i="919"/>
  <c r="S13" i="919"/>
  <c r="T13" i="919"/>
  <c r="U13" i="919"/>
  <c r="V13" i="919"/>
  <c r="W13" i="919"/>
  <c r="X13" i="919"/>
  <c r="Y13" i="919"/>
  <c r="Z13" i="919"/>
  <c r="R14" i="919"/>
  <c r="S14" i="919"/>
  <c r="T14" i="919"/>
  <c r="U14" i="919"/>
  <c r="V14" i="919"/>
  <c r="W14" i="919"/>
  <c r="X14" i="919"/>
  <c r="Y14" i="919"/>
  <c r="Z14" i="919"/>
  <c r="R15" i="919"/>
  <c r="S15" i="919"/>
  <c r="T15" i="919"/>
  <c r="U15" i="919"/>
  <c r="V15" i="919"/>
  <c r="W15" i="919"/>
  <c r="X15" i="919"/>
  <c r="Y15" i="919"/>
  <c r="Z15" i="919"/>
  <c r="R16" i="919"/>
  <c r="S16" i="919"/>
  <c r="T16" i="919"/>
  <c r="U16" i="919"/>
  <c r="V16" i="919"/>
  <c r="W16" i="919"/>
  <c r="X16" i="919"/>
  <c r="Y16" i="919"/>
  <c r="Z16" i="919"/>
  <c r="R17" i="919"/>
  <c r="S17" i="919"/>
  <c r="T17" i="919"/>
  <c r="U17" i="919"/>
  <c r="V17" i="919"/>
  <c r="W17" i="919"/>
  <c r="X17" i="919"/>
  <c r="Y17" i="919"/>
  <c r="Z17" i="919"/>
  <c r="R18" i="919"/>
  <c r="S18" i="919"/>
  <c r="T18" i="919"/>
  <c r="U18" i="919"/>
  <c r="V18" i="919"/>
  <c r="W18" i="919"/>
  <c r="X18" i="919"/>
  <c r="Y18" i="919"/>
  <c r="Z18" i="919"/>
  <c r="R19" i="919"/>
  <c r="S19" i="919"/>
  <c r="T19" i="919"/>
  <c r="U19" i="919"/>
  <c r="V19" i="919"/>
  <c r="W19" i="919"/>
  <c r="X19" i="919"/>
  <c r="Y19" i="919"/>
  <c r="Z19" i="919"/>
  <c r="R20" i="919"/>
  <c r="S20" i="919"/>
  <c r="T20" i="919"/>
  <c r="U20" i="919"/>
  <c r="V20" i="919"/>
  <c r="W20" i="919"/>
  <c r="X20" i="919"/>
  <c r="Y20" i="919"/>
  <c r="Z20" i="919"/>
  <c r="K11" i="919"/>
  <c r="M11" i="919"/>
  <c r="N11" i="919"/>
  <c r="O11" i="919"/>
  <c r="K12" i="919"/>
  <c r="L12" i="919"/>
  <c r="M12" i="919"/>
  <c r="N12" i="919"/>
  <c r="O12" i="919"/>
  <c r="L13" i="919"/>
  <c r="M13" i="919"/>
  <c r="N13" i="919"/>
  <c r="K14" i="919"/>
  <c r="L14" i="919"/>
  <c r="M14" i="919"/>
  <c r="K15" i="919"/>
  <c r="L15" i="919"/>
  <c r="M15" i="919"/>
  <c r="K16" i="919"/>
  <c r="L16" i="919"/>
  <c r="M16" i="919"/>
  <c r="N16" i="919"/>
  <c r="K17" i="919"/>
  <c r="L17" i="919"/>
  <c r="M17" i="919"/>
  <c r="C11" i="919"/>
  <c r="D11" i="919"/>
  <c r="E11" i="919"/>
  <c r="F11" i="919"/>
  <c r="G11" i="919"/>
  <c r="D12" i="919"/>
  <c r="E12" i="919"/>
  <c r="F12" i="919"/>
  <c r="G12" i="919"/>
  <c r="D13" i="919"/>
  <c r="E13" i="919"/>
  <c r="F13" i="919"/>
  <c r="G13" i="919"/>
  <c r="C14" i="919"/>
  <c r="D14" i="919"/>
  <c r="E14" i="919"/>
  <c r="F14" i="919"/>
  <c r="G14" i="919"/>
  <c r="D15" i="919"/>
  <c r="E15" i="919"/>
  <c r="F15" i="919"/>
  <c r="G15" i="919"/>
  <c r="D16" i="919"/>
  <c r="E16" i="919"/>
  <c r="F16" i="919"/>
  <c r="G16" i="919"/>
  <c r="C17" i="919"/>
  <c r="D17" i="919"/>
  <c r="E17" i="919"/>
  <c r="F17" i="919"/>
  <c r="G17" i="919"/>
  <c r="F75" i="919"/>
  <c r="A60" i="919"/>
  <c r="AX59" i="919"/>
  <c r="AW59" i="919"/>
  <c r="AV59" i="919"/>
  <c r="AU59" i="919"/>
  <c r="AT59" i="919"/>
  <c r="AS59" i="919"/>
  <c r="AR59" i="919"/>
  <c r="AQ59" i="919"/>
  <c r="AP59" i="919"/>
  <c r="AO59" i="919"/>
  <c r="AN59" i="919"/>
  <c r="AM59" i="919"/>
  <c r="AL59" i="919"/>
  <c r="AK59" i="919"/>
  <c r="AJ59" i="919"/>
  <c r="AI59" i="919"/>
  <c r="AH59" i="919"/>
  <c r="AG59" i="919"/>
  <c r="AF59" i="919"/>
  <c r="AE59" i="919"/>
  <c r="AD59" i="919"/>
  <c r="AC59" i="919"/>
  <c r="AB59" i="919"/>
  <c r="B59" i="919"/>
  <c r="Z39" i="919"/>
  <c r="Y39" i="919"/>
  <c r="X39" i="919"/>
  <c r="W39" i="919"/>
  <c r="V39" i="919"/>
  <c r="U39" i="919"/>
  <c r="T39" i="919"/>
  <c r="S39" i="919"/>
  <c r="R39" i="919"/>
  <c r="Z38" i="919"/>
  <c r="Y38" i="919"/>
  <c r="X38" i="919"/>
  <c r="W38" i="919"/>
  <c r="V38" i="919"/>
  <c r="U38" i="919"/>
  <c r="T38" i="919"/>
  <c r="S38" i="919"/>
  <c r="R38" i="919"/>
  <c r="Z37" i="919"/>
  <c r="Y37" i="919"/>
  <c r="X37" i="919"/>
  <c r="W37" i="919"/>
  <c r="V37" i="919"/>
  <c r="U37" i="919"/>
  <c r="T37" i="919"/>
  <c r="S37" i="919"/>
  <c r="R37" i="919"/>
  <c r="Z36" i="919"/>
  <c r="Y36" i="919"/>
  <c r="X36" i="919"/>
  <c r="W36" i="919"/>
  <c r="V36" i="919"/>
  <c r="U36" i="919"/>
  <c r="T36" i="919"/>
  <c r="S36" i="919"/>
  <c r="R36" i="919"/>
  <c r="Z35" i="919"/>
  <c r="Y35" i="919"/>
  <c r="X35" i="919"/>
  <c r="W35" i="919"/>
  <c r="V35" i="919"/>
  <c r="U35" i="919"/>
  <c r="T35" i="919"/>
  <c r="S35" i="919"/>
  <c r="R35" i="919"/>
  <c r="Z34" i="919"/>
  <c r="Y34" i="919"/>
  <c r="X34" i="919"/>
  <c r="W34" i="919"/>
  <c r="V34" i="919"/>
  <c r="U34" i="919"/>
  <c r="T34" i="919"/>
  <c r="S34" i="919"/>
  <c r="R34" i="919"/>
  <c r="M34" i="919"/>
  <c r="L34" i="919"/>
  <c r="K34" i="919"/>
  <c r="Z33" i="919"/>
  <c r="Y33" i="919"/>
  <c r="X33" i="919"/>
  <c r="W33" i="919"/>
  <c r="V33" i="919"/>
  <c r="U33" i="919"/>
  <c r="T33" i="919"/>
  <c r="S33" i="919"/>
  <c r="R33" i="919"/>
  <c r="M33" i="919"/>
  <c r="L33" i="919"/>
  <c r="K33" i="919"/>
  <c r="Z32" i="919"/>
  <c r="Y32" i="919"/>
  <c r="X32" i="919"/>
  <c r="W32" i="919"/>
  <c r="V32" i="919"/>
  <c r="U32" i="919"/>
  <c r="T32" i="919"/>
  <c r="S32" i="919"/>
  <c r="R32" i="919"/>
  <c r="Z31" i="919"/>
  <c r="Y31" i="919"/>
  <c r="X31" i="919"/>
  <c r="W31" i="919"/>
  <c r="V31" i="919"/>
  <c r="U31" i="919"/>
  <c r="T31" i="919"/>
  <c r="S31" i="919"/>
  <c r="R31" i="919"/>
  <c r="M31" i="919"/>
  <c r="L31" i="919"/>
  <c r="K31" i="919"/>
  <c r="Z30" i="919"/>
  <c r="Y30" i="919"/>
  <c r="X30" i="919"/>
  <c r="W30" i="919"/>
  <c r="V30" i="919"/>
  <c r="U30" i="919"/>
  <c r="T30" i="919"/>
  <c r="S30" i="919"/>
  <c r="R30" i="919"/>
  <c r="M30" i="919"/>
  <c r="L30" i="919"/>
  <c r="K30" i="919"/>
  <c r="Z29" i="919"/>
  <c r="Y29" i="919"/>
  <c r="X29" i="919"/>
  <c r="W29" i="919"/>
  <c r="V29" i="919"/>
  <c r="U29" i="919"/>
  <c r="T29" i="919"/>
  <c r="S29" i="919"/>
  <c r="R29" i="919"/>
  <c r="Z28" i="919"/>
  <c r="Y28" i="919"/>
  <c r="X28" i="919"/>
  <c r="W28" i="919"/>
  <c r="V28" i="919"/>
  <c r="U28" i="919"/>
  <c r="T28" i="919"/>
  <c r="S28" i="919"/>
  <c r="R28" i="919"/>
  <c r="M28" i="919"/>
  <c r="L28" i="919"/>
  <c r="K28" i="919"/>
  <c r="Z27" i="919"/>
  <c r="Y27" i="919"/>
  <c r="X27" i="919"/>
  <c r="W27" i="919"/>
  <c r="V27" i="919"/>
  <c r="U27" i="919"/>
  <c r="T27" i="919"/>
  <c r="S27" i="919"/>
  <c r="R27" i="919"/>
  <c r="Z26" i="919"/>
  <c r="Y26" i="919"/>
  <c r="X26" i="919"/>
  <c r="W26" i="919"/>
  <c r="V26" i="919"/>
  <c r="U26" i="919"/>
  <c r="T26" i="919"/>
  <c r="S26" i="919"/>
  <c r="R26" i="919"/>
  <c r="Z25" i="919"/>
  <c r="Y25" i="919"/>
  <c r="X25" i="919"/>
  <c r="W25" i="919"/>
  <c r="V25" i="919"/>
  <c r="U25" i="919"/>
  <c r="T25" i="919"/>
  <c r="S25" i="919"/>
  <c r="R25" i="919"/>
  <c r="Z24" i="919"/>
  <c r="Y24" i="919"/>
  <c r="X24" i="919"/>
  <c r="W24" i="919"/>
  <c r="V24" i="919"/>
  <c r="U24" i="919"/>
  <c r="T24" i="919"/>
  <c r="S24" i="919"/>
  <c r="R24" i="919"/>
  <c r="Z23" i="919"/>
  <c r="Y23" i="919"/>
  <c r="X23" i="919"/>
  <c r="W23" i="919"/>
  <c r="V23" i="919"/>
  <c r="U23" i="919"/>
  <c r="T23" i="919"/>
  <c r="S23" i="919"/>
  <c r="R23" i="919"/>
  <c r="Z22" i="919"/>
  <c r="Y22" i="919"/>
  <c r="X22" i="919"/>
  <c r="W22" i="919"/>
  <c r="V22" i="919"/>
  <c r="U22" i="919"/>
  <c r="T22" i="919"/>
  <c r="S22" i="919"/>
  <c r="R22" i="919"/>
  <c r="Z21" i="919"/>
  <c r="Y21" i="919"/>
  <c r="X21" i="919"/>
  <c r="W21" i="919"/>
  <c r="V21" i="919"/>
  <c r="U21" i="919"/>
  <c r="T21" i="919"/>
  <c r="S21" i="919"/>
  <c r="R21" i="919"/>
  <c r="K43" i="919" l="1"/>
  <c r="K52" i="919" s="1"/>
  <c r="L42" i="920"/>
  <c r="M42" i="920" s="1"/>
  <c r="L43" i="919"/>
  <c r="M43" i="919" s="1"/>
  <c r="J17" i="919"/>
  <c r="J16" i="919"/>
  <c r="I15" i="919"/>
  <c r="J12" i="919"/>
  <c r="J15" i="919"/>
  <c r="I12" i="919"/>
  <c r="J14" i="919"/>
  <c r="J11" i="919"/>
  <c r="I13" i="919"/>
  <c r="I11" i="919"/>
  <c r="J13" i="919"/>
  <c r="K38" i="919"/>
  <c r="L38" i="919"/>
  <c r="M38" i="919" s="1"/>
  <c r="L38" i="921" l="1"/>
  <c r="M38" i="921" s="1"/>
  <c r="L47" i="922"/>
  <c r="I14" i="919"/>
  <c r="J29" i="919" s="1"/>
  <c r="B56" i="918"/>
  <c r="A57" i="918"/>
  <c r="M28" i="918"/>
  <c r="L28" i="918"/>
  <c r="K28" i="918"/>
  <c r="I17" i="918"/>
  <c r="J17" i="918"/>
  <c r="L17" i="918"/>
  <c r="M17" i="918"/>
  <c r="N17" i="918"/>
  <c r="O17" i="918"/>
  <c r="C17" i="918"/>
  <c r="E17" i="918"/>
  <c r="F17" i="918"/>
  <c r="G17" i="918"/>
  <c r="M47" i="922" l="1"/>
  <c r="R11" i="918"/>
  <c r="S11" i="918"/>
  <c r="T11" i="918"/>
  <c r="U11" i="918"/>
  <c r="V11" i="918"/>
  <c r="W11" i="918"/>
  <c r="X11" i="918"/>
  <c r="Y11" i="918"/>
  <c r="Z11" i="918"/>
  <c r="R12" i="918"/>
  <c r="S12" i="918"/>
  <c r="T12" i="918"/>
  <c r="U12" i="918"/>
  <c r="V12" i="918"/>
  <c r="W12" i="918"/>
  <c r="X12" i="918"/>
  <c r="Y12" i="918"/>
  <c r="Z12" i="918"/>
  <c r="R13" i="918"/>
  <c r="S13" i="918"/>
  <c r="T13" i="918"/>
  <c r="U13" i="918"/>
  <c r="V13" i="918"/>
  <c r="W13" i="918"/>
  <c r="X13" i="918"/>
  <c r="Y13" i="918"/>
  <c r="Z13" i="918"/>
  <c r="R14" i="918"/>
  <c r="S14" i="918"/>
  <c r="T14" i="918"/>
  <c r="U14" i="918"/>
  <c r="V14" i="918"/>
  <c r="W14" i="918"/>
  <c r="X14" i="918"/>
  <c r="Y14" i="918"/>
  <c r="Z14" i="918"/>
  <c r="R15" i="918"/>
  <c r="S15" i="918"/>
  <c r="T15" i="918"/>
  <c r="U15" i="918"/>
  <c r="V15" i="918"/>
  <c r="W15" i="918"/>
  <c r="X15" i="918"/>
  <c r="Y15" i="918"/>
  <c r="Z15" i="918"/>
  <c r="R16" i="918"/>
  <c r="S16" i="918"/>
  <c r="T16" i="918"/>
  <c r="U16" i="918"/>
  <c r="V16" i="918"/>
  <c r="W16" i="918"/>
  <c r="X16" i="918"/>
  <c r="Y16" i="918"/>
  <c r="Z16" i="918"/>
  <c r="R17" i="918"/>
  <c r="S17" i="918"/>
  <c r="T17" i="918"/>
  <c r="U17" i="918"/>
  <c r="V17" i="918"/>
  <c r="W17" i="918"/>
  <c r="X17" i="918"/>
  <c r="Y17" i="918"/>
  <c r="Z17" i="918"/>
  <c r="R18" i="918"/>
  <c r="S18" i="918"/>
  <c r="T18" i="918"/>
  <c r="U18" i="918"/>
  <c r="V18" i="918"/>
  <c r="W18" i="918"/>
  <c r="X18" i="918"/>
  <c r="Y18" i="918"/>
  <c r="Z18" i="918"/>
  <c r="R19" i="918"/>
  <c r="S19" i="918"/>
  <c r="T19" i="918"/>
  <c r="U19" i="918"/>
  <c r="V19" i="918"/>
  <c r="W19" i="918"/>
  <c r="X19" i="918"/>
  <c r="Y19" i="918"/>
  <c r="Z19" i="918"/>
  <c r="R20" i="918"/>
  <c r="S20" i="918"/>
  <c r="T20" i="918"/>
  <c r="U20" i="918"/>
  <c r="V20" i="918"/>
  <c r="W20" i="918"/>
  <c r="X20" i="918"/>
  <c r="Y20" i="918"/>
  <c r="Z20" i="918"/>
  <c r="R21" i="918"/>
  <c r="S21" i="918"/>
  <c r="T21" i="918"/>
  <c r="U21" i="918"/>
  <c r="V21" i="918"/>
  <c r="W21" i="918"/>
  <c r="X21" i="918"/>
  <c r="Y21" i="918"/>
  <c r="Z21" i="918"/>
  <c r="R22" i="918"/>
  <c r="S22" i="918"/>
  <c r="T22" i="918"/>
  <c r="U22" i="918"/>
  <c r="V22" i="918"/>
  <c r="W22" i="918"/>
  <c r="X22" i="918"/>
  <c r="Y22" i="918"/>
  <c r="Z22" i="918"/>
  <c r="C10" i="918"/>
  <c r="D10" i="918"/>
  <c r="E10" i="918"/>
  <c r="F10" i="918"/>
  <c r="G10" i="918"/>
  <c r="I10" i="918"/>
  <c r="J10" i="918"/>
  <c r="L10" i="918"/>
  <c r="M10" i="918"/>
  <c r="N10" i="918"/>
  <c r="O10" i="918"/>
  <c r="C11" i="918"/>
  <c r="D11" i="918"/>
  <c r="E11" i="918"/>
  <c r="F11" i="918"/>
  <c r="G11" i="918"/>
  <c r="I11" i="918"/>
  <c r="J11" i="918"/>
  <c r="L11" i="918"/>
  <c r="M11" i="918"/>
  <c r="N11" i="918"/>
  <c r="O11" i="918"/>
  <c r="C12" i="918"/>
  <c r="D12" i="918"/>
  <c r="E12" i="918"/>
  <c r="F12" i="918"/>
  <c r="G12" i="918"/>
  <c r="I12" i="918"/>
  <c r="J12" i="918"/>
  <c r="L12" i="918"/>
  <c r="M12" i="918"/>
  <c r="N12" i="918"/>
  <c r="O12" i="918"/>
  <c r="C13" i="918"/>
  <c r="D13" i="918"/>
  <c r="E13" i="918"/>
  <c r="F13" i="918"/>
  <c r="G13" i="918"/>
  <c r="I13" i="918"/>
  <c r="J13" i="918"/>
  <c r="L13" i="918"/>
  <c r="M13" i="918"/>
  <c r="N13" i="918"/>
  <c r="O13" i="918"/>
  <c r="C14" i="918"/>
  <c r="D14" i="918"/>
  <c r="E14" i="918"/>
  <c r="F14" i="918"/>
  <c r="G14" i="918"/>
  <c r="I14" i="918"/>
  <c r="J14" i="918"/>
  <c r="L14" i="918"/>
  <c r="M14" i="918"/>
  <c r="N14" i="918"/>
  <c r="O14" i="918"/>
  <c r="C15" i="918"/>
  <c r="D15" i="918"/>
  <c r="E15" i="918"/>
  <c r="F15" i="918"/>
  <c r="G15" i="918"/>
  <c r="I15" i="918"/>
  <c r="J15" i="918"/>
  <c r="L15" i="918"/>
  <c r="M15" i="918"/>
  <c r="N15" i="918"/>
  <c r="O15" i="918"/>
  <c r="C16" i="918"/>
  <c r="D16" i="918"/>
  <c r="E16" i="918"/>
  <c r="F16" i="918"/>
  <c r="G16" i="918"/>
  <c r="I16" i="918"/>
  <c r="J16" i="918"/>
  <c r="L16" i="918"/>
  <c r="M16" i="918"/>
  <c r="N16" i="918"/>
  <c r="O16" i="918"/>
  <c r="F72" i="918"/>
  <c r="AX56" i="918"/>
  <c r="AW56" i="918"/>
  <c r="AV56" i="918"/>
  <c r="AU56" i="918"/>
  <c r="AT56" i="918"/>
  <c r="AS56" i="918"/>
  <c r="AR56" i="918"/>
  <c r="AQ56" i="918"/>
  <c r="AP56" i="918"/>
  <c r="AO56" i="918"/>
  <c r="AN56" i="918"/>
  <c r="AM56" i="918"/>
  <c r="AL56" i="918"/>
  <c r="AK56" i="918"/>
  <c r="AJ56" i="918"/>
  <c r="AI56" i="918"/>
  <c r="AH56" i="918"/>
  <c r="AG56" i="918"/>
  <c r="AF56" i="918"/>
  <c r="AE56" i="918"/>
  <c r="AD56" i="918"/>
  <c r="AC56" i="918"/>
  <c r="AB56" i="918"/>
  <c r="B54" i="918"/>
  <c r="K49" i="918"/>
  <c r="L40" i="918" s="1"/>
  <c r="M40" i="918" s="1"/>
  <c r="Z36" i="918"/>
  <c r="Y36" i="918"/>
  <c r="X36" i="918"/>
  <c r="W36" i="918"/>
  <c r="V36" i="918"/>
  <c r="U36" i="918"/>
  <c r="T36" i="918"/>
  <c r="S36" i="918"/>
  <c r="R36" i="918"/>
  <c r="Z35" i="918"/>
  <c r="Y35" i="918"/>
  <c r="X35" i="918"/>
  <c r="W35" i="918"/>
  <c r="V35" i="918"/>
  <c r="U35" i="918"/>
  <c r="T35" i="918"/>
  <c r="S35" i="918"/>
  <c r="R35" i="918"/>
  <c r="Z34" i="918"/>
  <c r="Y34" i="918"/>
  <c r="X34" i="918"/>
  <c r="W34" i="918"/>
  <c r="V34" i="918"/>
  <c r="U34" i="918"/>
  <c r="T34" i="918"/>
  <c r="S34" i="918"/>
  <c r="R34" i="918"/>
  <c r="Z33" i="918"/>
  <c r="Y33" i="918"/>
  <c r="X33" i="918"/>
  <c r="W33" i="918"/>
  <c r="V33" i="918"/>
  <c r="U33" i="918"/>
  <c r="T33" i="918"/>
  <c r="S33" i="918"/>
  <c r="R33" i="918"/>
  <c r="Z32" i="918"/>
  <c r="Y32" i="918"/>
  <c r="X32" i="918"/>
  <c r="W32" i="918"/>
  <c r="V32" i="918"/>
  <c r="U32" i="918"/>
  <c r="T32" i="918"/>
  <c r="S32" i="918"/>
  <c r="R32" i="918"/>
  <c r="Z31" i="918"/>
  <c r="Y31" i="918"/>
  <c r="X31" i="918"/>
  <c r="W31" i="918"/>
  <c r="V31" i="918"/>
  <c r="U31" i="918"/>
  <c r="T31" i="918"/>
  <c r="S31" i="918"/>
  <c r="R31" i="918"/>
  <c r="M31" i="918"/>
  <c r="L31" i="918"/>
  <c r="K31" i="918"/>
  <c r="Z30" i="918"/>
  <c r="Y30" i="918"/>
  <c r="X30" i="918"/>
  <c r="W30" i="918"/>
  <c r="V30" i="918"/>
  <c r="U30" i="918"/>
  <c r="T30" i="918"/>
  <c r="S30" i="918"/>
  <c r="R30" i="918"/>
  <c r="M30" i="918"/>
  <c r="L30" i="918"/>
  <c r="K30" i="918"/>
  <c r="Z29" i="918"/>
  <c r="Y29" i="918"/>
  <c r="X29" i="918"/>
  <c r="W29" i="918"/>
  <c r="V29" i="918"/>
  <c r="U29" i="918"/>
  <c r="T29" i="918"/>
  <c r="S29" i="918"/>
  <c r="R29" i="918"/>
  <c r="Z28" i="918"/>
  <c r="Y28" i="918"/>
  <c r="X28" i="918"/>
  <c r="W28" i="918"/>
  <c r="V28" i="918"/>
  <c r="U28" i="918"/>
  <c r="T28" i="918"/>
  <c r="S28" i="918"/>
  <c r="R28" i="918"/>
  <c r="Z27" i="918"/>
  <c r="Y27" i="918"/>
  <c r="X27" i="918"/>
  <c r="W27" i="918"/>
  <c r="V27" i="918"/>
  <c r="U27" i="918"/>
  <c r="T27" i="918"/>
  <c r="S27" i="918"/>
  <c r="R27" i="918"/>
  <c r="M27" i="918"/>
  <c r="L27" i="918"/>
  <c r="K27" i="918"/>
  <c r="Z26" i="918"/>
  <c r="Y26" i="918"/>
  <c r="X26" i="918"/>
  <c r="W26" i="918"/>
  <c r="V26" i="918"/>
  <c r="U26" i="918"/>
  <c r="T26" i="918"/>
  <c r="S26" i="918"/>
  <c r="R26" i="918"/>
  <c r="M26" i="918"/>
  <c r="L26" i="918"/>
  <c r="K26" i="918"/>
  <c r="Z25" i="918"/>
  <c r="Y25" i="918"/>
  <c r="X25" i="918"/>
  <c r="W25" i="918"/>
  <c r="V25" i="918"/>
  <c r="U25" i="918"/>
  <c r="T25" i="918"/>
  <c r="S25" i="918"/>
  <c r="R25" i="918"/>
  <c r="M25" i="918"/>
  <c r="L25" i="918"/>
  <c r="K25" i="918"/>
  <c r="Z24" i="918"/>
  <c r="Y24" i="918"/>
  <c r="X24" i="918"/>
  <c r="W24" i="918"/>
  <c r="V24" i="918"/>
  <c r="U24" i="918"/>
  <c r="T24" i="918"/>
  <c r="S24" i="918"/>
  <c r="R24" i="918"/>
  <c r="Z23" i="918"/>
  <c r="Y23" i="918"/>
  <c r="X23" i="918"/>
  <c r="W23" i="918"/>
  <c r="V23" i="918"/>
  <c r="U23" i="918"/>
  <c r="T23" i="918"/>
  <c r="S23" i="918"/>
  <c r="R23" i="918"/>
  <c r="Z10" i="918"/>
  <c r="Y10" i="918"/>
  <c r="X10" i="918"/>
  <c r="W10" i="918"/>
  <c r="V10" i="918"/>
  <c r="U10" i="918"/>
  <c r="T10" i="918"/>
  <c r="S10" i="918"/>
  <c r="R10" i="918"/>
  <c r="J28" i="918" l="1"/>
  <c r="K35" i="918"/>
  <c r="L35" i="918" s="1"/>
  <c r="M35" i="918" s="1"/>
  <c r="B55" i="917"/>
  <c r="M26" i="917" l="1"/>
  <c r="L26" i="917"/>
  <c r="K26" i="917"/>
  <c r="I10" i="917"/>
  <c r="J10" i="917"/>
  <c r="L10" i="917"/>
  <c r="M10" i="917"/>
  <c r="N10" i="917"/>
  <c r="O10" i="917"/>
  <c r="I11" i="917"/>
  <c r="J11" i="917"/>
  <c r="L11" i="917"/>
  <c r="M11" i="917"/>
  <c r="N11" i="917"/>
  <c r="O11" i="917"/>
  <c r="I12" i="917"/>
  <c r="J12" i="917"/>
  <c r="L12" i="917"/>
  <c r="M12" i="917"/>
  <c r="N12" i="917"/>
  <c r="O12" i="917"/>
  <c r="I13" i="917"/>
  <c r="J13" i="917"/>
  <c r="L13" i="917"/>
  <c r="M13" i="917"/>
  <c r="N13" i="917"/>
  <c r="O13" i="917"/>
  <c r="C10" i="917"/>
  <c r="D10" i="917"/>
  <c r="E10" i="917"/>
  <c r="F10" i="917"/>
  <c r="G10" i="917"/>
  <c r="C11" i="917"/>
  <c r="D11" i="917"/>
  <c r="E11" i="917"/>
  <c r="F11" i="917"/>
  <c r="G11" i="917"/>
  <c r="C12" i="917"/>
  <c r="D12" i="917"/>
  <c r="E12" i="917"/>
  <c r="F12" i="917"/>
  <c r="G12" i="917"/>
  <c r="C13" i="917"/>
  <c r="D13" i="917"/>
  <c r="E13" i="917"/>
  <c r="F13" i="917"/>
  <c r="G13" i="917"/>
  <c r="R11" i="917"/>
  <c r="S11" i="917"/>
  <c r="T11" i="917"/>
  <c r="U11" i="917"/>
  <c r="V11" i="917"/>
  <c r="W11" i="917"/>
  <c r="X11" i="917"/>
  <c r="Y11" i="917"/>
  <c r="Z11" i="917"/>
  <c r="R12" i="917"/>
  <c r="S12" i="917"/>
  <c r="T12" i="917"/>
  <c r="U12" i="917"/>
  <c r="V12" i="917"/>
  <c r="W12" i="917"/>
  <c r="X12" i="917"/>
  <c r="Y12" i="917"/>
  <c r="Z12" i="917"/>
  <c r="R13" i="917"/>
  <c r="S13" i="917"/>
  <c r="T13" i="917"/>
  <c r="U13" i="917"/>
  <c r="V13" i="917"/>
  <c r="W13" i="917"/>
  <c r="X13" i="917"/>
  <c r="Y13" i="917"/>
  <c r="Z13" i="917"/>
  <c r="R14" i="917"/>
  <c r="S14" i="917"/>
  <c r="T14" i="917"/>
  <c r="U14" i="917"/>
  <c r="V14" i="917"/>
  <c r="W14" i="917"/>
  <c r="X14" i="917"/>
  <c r="Y14" i="917"/>
  <c r="Z14" i="917"/>
  <c r="R15" i="917"/>
  <c r="S15" i="917"/>
  <c r="T15" i="917"/>
  <c r="U15" i="917"/>
  <c r="V15" i="917"/>
  <c r="W15" i="917"/>
  <c r="X15" i="917"/>
  <c r="Y15" i="917"/>
  <c r="Z15" i="917"/>
  <c r="R16" i="917"/>
  <c r="S16" i="917"/>
  <c r="T16" i="917"/>
  <c r="U16" i="917"/>
  <c r="V16" i="917"/>
  <c r="W16" i="917"/>
  <c r="X16" i="917"/>
  <c r="Y16" i="917"/>
  <c r="Z16" i="917"/>
  <c r="R17" i="917"/>
  <c r="S17" i="917"/>
  <c r="T17" i="917"/>
  <c r="U17" i="917"/>
  <c r="V17" i="917"/>
  <c r="W17" i="917"/>
  <c r="X17" i="917"/>
  <c r="Y17" i="917"/>
  <c r="Z17" i="917"/>
  <c r="R18" i="917"/>
  <c r="S18" i="917"/>
  <c r="T18" i="917"/>
  <c r="U18" i="917"/>
  <c r="V18" i="917"/>
  <c r="W18" i="917"/>
  <c r="X18" i="917"/>
  <c r="Y18" i="917"/>
  <c r="Z18" i="917"/>
  <c r="R19" i="917"/>
  <c r="S19" i="917"/>
  <c r="T19" i="917"/>
  <c r="U19" i="917"/>
  <c r="V19" i="917"/>
  <c r="W19" i="917"/>
  <c r="X19" i="917"/>
  <c r="Y19" i="917"/>
  <c r="Z19" i="917"/>
  <c r="R20" i="917"/>
  <c r="S20" i="917"/>
  <c r="T20" i="917"/>
  <c r="U20" i="917"/>
  <c r="V20" i="917"/>
  <c r="W20" i="917"/>
  <c r="X20" i="917"/>
  <c r="Y20" i="917"/>
  <c r="Z20" i="917"/>
  <c r="F73" i="917"/>
  <c r="AX57" i="917"/>
  <c r="AW57" i="917"/>
  <c r="AV57" i="917"/>
  <c r="AU57" i="917"/>
  <c r="AT57" i="917"/>
  <c r="AS57" i="917"/>
  <c r="AR57" i="917"/>
  <c r="AQ57" i="917"/>
  <c r="AP57" i="917"/>
  <c r="AO57" i="917"/>
  <c r="AN57" i="917"/>
  <c r="AM57" i="917"/>
  <c r="AL57" i="917"/>
  <c r="AK57" i="917"/>
  <c r="AJ57" i="917"/>
  <c r="AI57" i="917"/>
  <c r="AH57" i="917"/>
  <c r="AG57" i="917"/>
  <c r="AF57" i="917"/>
  <c r="AE57" i="917"/>
  <c r="AD57" i="917"/>
  <c r="AC57" i="917"/>
  <c r="AB57" i="917"/>
  <c r="K50" i="917"/>
  <c r="L41" i="917" s="1"/>
  <c r="Z37" i="917"/>
  <c r="Y37" i="917"/>
  <c r="X37" i="917"/>
  <c r="W37" i="917"/>
  <c r="V37" i="917"/>
  <c r="U37" i="917"/>
  <c r="T37" i="917"/>
  <c r="S37" i="917"/>
  <c r="R37" i="917"/>
  <c r="Z36" i="917"/>
  <c r="Y36" i="917"/>
  <c r="X36" i="917"/>
  <c r="W36" i="917"/>
  <c r="V36" i="917"/>
  <c r="U36" i="917"/>
  <c r="T36" i="917"/>
  <c r="S36" i="917"/>
  <c r="R36" i="917"/>
  <c r="Z35" i="917"/>
  <c r="Y35" i="917"/>
  <c r="X35" i="917"/>
  <c r="W35" i="917"/>
  <c r="V35" i="917"/>
  <c r="U35" i="917"/>
  <c r="T35" i="917"/>
  <c r="S35" i="917"/>
  <c r="R35" i="917"/>
  <c r="Z34" i="917"/>
  <c r="Y34" i="917"/>
  <c r="X34" i="917"/>
  <c r="W34" i="917"/>
  <c r="V34" i="917"/>
  <c r="U34" i="917"/>
  <c r="T34" i="917"/>
  <c r="S34" i="917"/>
  <c r="R34" i="917"/>
  <c r="Z33" i="917"/>
  <c r="Y33" i="917"/>
  <c r="X33" i="917"/>
  <c r="W33" i="917"/>
  <c r="V33" i="917"/>
  <c r="U33" i="917"/>
  <c r="T33" i="917"/>
  <c r="S33" i="917"/>
  <c r="R33" i="917"/>
  <c r="Z32" i="917"/>
  <c r="Y32" i="917"/>
  <c r="X32" i="917"/>
  <c r="W32" i="917"/>
  <c r="V32" i="917"/>
  <c r="U32" i="917"/>
  <c r="T32" i="917"/>
  <c r="S32" i="917"/>
  <c r="R32" i="917"/>
  <c r="M32" i="917"/>
  <c r="L32" i="917"/>
  <c r="K32" i="917"/>
  <c r="Z31" i="917"/>
  <c r="Y31" i="917"/>
  <c r="X31" i="917"/>
  <c r="W31" i="917"/>
  <c r="V31" i="917"/>
  <c r="U31" i="917"/>
  <c r="T31" i="917"/>
  <c r="S31" i="917"/>
  <c r="R31" i="917"/>
  <c r="M31" i="917"/>
  <c r="L31" i="917"/>
  <c r="K31" i="917"/>
  <c r="Z30" i="917"/>
  <c r="Y30" i="917"/>
  <c r="X30" i="917"/>
  <c r="W30" i="917"/>
  <c r="V30" i="917"/>
  <c r="U30" i="917"/>
  <c r="T30" i="917"/>
  <c r="S30" i="917"/>
  <c r="R30" i="917"/>
  <c r="Z29" i="917"/>
  <c r="Y29" i="917"/>
  <c r="X29" i="917"/>
  <c r="W29" i="917"/>
  <c r="V29" i="917"/>
  <c r="U29" i="917"/>
  <c r="T29" i="917"/>
  <c r="S29" i="917"/>
  <c r="R29" i="917"/>
  <c r="M29" i="917"/>
  <c r="L29" i="917"/>
  <c r="K29" i="917"/>
  <c r="Z28" i="917"/>
  <c r="Y28" i="917"/>
  <c r="X28" i="917"/>
  <c r="W28" i="917"/>
  <c r="V28" i="917"/>
  <c r="U28" i="917"/>
  <c r="T28" i="917"/>
  <c r="S28" i="917"/>
  <c r="R28" i="917"/>
  <c r="M28" i="917"/>
  <c r="L28" i="917"/>
  <c r="K28" i="917"/>
  <c r="Z27" i="917"/>
  <c r="Y27" i="917"/>
  <c r="X27" i="917"/>
  <c r="W27" i="917"/>
  <c r="V27" i="917"/>
  <c r="U27" i="917"/>
  <c r="T27" i="917"/>
  <c r="S27" i="917"/>
  <c r="R27" i="917"/>
  <c r="M27" i="917"/>
  <c r="L27" i="917"/>
  <c r="K27" i="917"/>
  <c r="Z26" i="917"/>
  <c r="Y26" i="917"/>
  <c r="X26" i="917"/>
  <c r="W26" i="917"/>
  <c r="V26" i="917"/>
  <c r="U26" i="917"/>
  <c r="T26" i="917"/>
  <c r="S26" i="917"/>
  <c r="R26" i="917"/>
  <c r="Z25" i="917"/>
  <c r="Y25" i="917"/>
  <c r="X25" i="917"/>
  <c r="W25" i="917"/>
  <c r="V25" i="917"/>
  <c r="U25" i="917"/>
  <c r="T25" i="917"/>
  <c r="S25" i="917"/>
  <c r="R25" i="917"/>
  <c r="Z24" i="917"/>
  <c r="Y24" i="917"/>
  <c r="X24" i="917"/>
  <c r="W24" i="917"/>
  <c r="V24" i="917"/>
  <c r="U24" i="917"/>
  <c r="T24" i="917"/>
  <c r="S24" i="917"/>
  <c r="R24" i="917"/>
  <c r="Z23" i="917"/>
  <c r="Y23" i="917"/>
  <c r="X23" i="917"/>
  <c r="W23" i="917"/>
  <c r="V23" i="917"/>
  <c r="U23" i="917"/>
  <c r="T23" i="917"/>
  <c r="S23" i="917"/>
  <c r="R23" i="917"/>
  <c r="Z22" i="917"/>
  <c r="Y22" i="917"/>
  <c r="X22" i="917"/>
  <c r="W22" i="917"/>
  <c r="V22" i="917"/>
  <c r="U22" i="917"/>
  <c r="T22" i="917"/>
  <c r="S22" i="917"/>
  <c r="R22" i="917"/>
  <c r="Z21" i="917"/>
  <c r="Y21" i="917"/>
  <c r="X21" i="917"/>
  <c r="W21" i="917"/>
  <c r="V21" i="917"/>
  <c r="U21" i="917"/>
  <c r="T21" i="917"/>
  <c r="S21" i="917"/>
  <c r="R21" i="917"/>
  <c r="Z10" i="917"/>
  <c r="Y10" i="917"/>
  <c r="X10" i="917"/>
  <c r="W10" i="917"/>
  <c r="V10" i="917"/>
  <c r="U10" i="917"/>
  <c r="T10" i="917"/>
  <c r="S10" i="917"/>
  <c r="R10" i="917"/>
  <c r="M24" i="916"/>
  <c r="L24" i="916"/>
  <c r="K24" i="916"/>
  <c r="L39" i="916"/>
  <c r="M39" i="916" s="1"/>
  <c r="I10" i="916"/>
  <c r="J10" i="916"/>
  <c r="L10" i="916"/>
  <c r="M10" i="916"/>
  <c r="N10" i="916"/>
  <c r="O10" i="916"/>
  <c r="I11" i="916"/>
  <c r="J11" i="916"/>
  <c r="L11" i="916"/>
  <c r="M11" i="916"/>
  <c r="N11" i="916"/>
  <c r="O11" i="916"/>
  <c r="I12" i="916"/>
  <c r="J12" i="916"/>
  <c r="L12" i="916"/>
  <c r="M12" i="916"/>
  <c r="N12" i="916"/>
  <c r="O12" i="916"/>
  <c r="I13" i="916"/>
  <c r="J13" i="916"/>
  <c r="L13" i="916"/>
  <c r="M13" i="916"/>
  <c r="N13" i="916"/>
  <c r="O13" i="916"/>
  <c r="C10" i="916"/>
  <c r="D10" i="916"/>
  <c r="E10" i="916"/>
  <c r="F10" i="916"/>
  <c r="G10" i="916"/>
  <c r="C11" i="916"/>
  <c r="D11" i="916"/>
  <c r="E11" i="916"/>
  <c r="F11" i="916"/>
  <c r="G11" i="916"/>
  <c r="C12" i="916"/>
  <c r="D12" i="916"/>
  <c r="E12" i="916"/>
  <c r="F12" i="916"/>
  <c r="G12" i="916"/>
  <c r="C13" i="916"/>
  <c r="D13" i="916"/>
  <c r="E13" i="916"/>
  <c r="F13" i="916"/>
  <c r="G13" i="916"/>
  <c r="F71" i="916"/>
  <c r="AX55" i="916"/>
  <c r="AW55" i="916"/>
  <c r="AV55" i="916"/>
  <c r="AU55" i="916"/>
  <c r="AT55" i="916"/>
  <c r="AS55" i="916"/>
  <c r="AR55" i="916"/>
  <c r="AQ55" i="916"/>
  <c r="AP55" i="916"/>
  <c r="AO55" i="916"/>
  <c r="AN55" i="916"/>
  <c r="AM55" i="916"/>
  <c r="AL55" i="916"/>
  <c r="AK55" i="916"/>
  <c r="AJ55" i="916"/>
  <c r="AI55" i="916"/>
  <c r="AH55" i="916"/>
  <c r="AG55" i="916"/>
  <c r="AF55" i="916"/>
  <c r="AE55" i="916"/>
  <c r="AD55" i="916"/>
  <c r="AC55" i="916"/>
  <c r="AB55" i="916"/>
  <c r="K48" i="916"/>
  <c r="Z35" i="916"/>
  <c r="Y35" i="916"/>
  <c r="X35" i="916"/>
  <c r="W35" i="916"/>
  <c r="V35" i="916"/>
  <c r="U35" i="916"/>
  <c r="T35" i="916"/>
  <c r="S35" i="916"/>
  <c r="R35" i="916"/>
  <c r="Z34" i="916"/>
  <c r="Y34" i="916"/>
  <c r="X34" i="916"/>
  <c r="W34" i="916"/>
  <c r="V34" i="916"/>
  <c r="U34" i="916"/>
  <c r="T34" i="916"/>
  <c r="S34" i="916"/>
  <c r="R34" i="916"/>
  <c r="Z33" i="916"/>
  <c r="Y33" i="916"/>
  <c r="X33" i="916"/>
  <c r="W33" i="916"/>
  <c r="V33" i="916"/>
  <c r="U33" i="916"/>
  <c r="T33" i="916"/>
  <c r="S33" i="916"/>
  <c r="R33" i="916"/>
  <c r="Z32" i="916"/>
  <c r="Y32" i="916"/>
  <c r="X32" i="916"/>
  <c r="W32" i="916"/>
  <c r="V32" i="916"/>
  <c r="U32" i="916"/>
  <c r="T32" i="916"/>
  <c r="S32" i="916"/>
  <c r="R32" i="916"/>
  <c r="Z31" i="916"/>
  <c r="Y31" i="916"/>
  <c r="X31" i="916"/>
  <c r="W31" i="916"/>
  <c r="V31" i="916"/>
  <c r="U31" i="916"/>
  <c r="T31" i="916"/>
  <c r="S31" i="916"/>
  <c r="R31" i="916"/>
  <c r="Z30" i="916"/>
  <c r="Y30" i="916"/>
  <c r="X30" i="916"/>
  <c r="W30" i="916"/>
  <c r="V30" i="916"/>
  <c r="U30" i="916"/>
  <c r="T30" i="916"/>
  <c r="S30" i="916"/>
  <c r="R30" i="916"/>
  <c r="M30" i="916"/>
  <c r="L30" i="916"/>
  <c r="K30" i="916"/>
  <c r="Z29" i="916"/>
  <c r="Y29" i="916"/>
  <c r="X29" i="916"/>
  <c r="W29" i="916"/>
  <c r="V29" i="916"/>
  <c r="U29" i="916"/>
  <c r="T29" i="916"/>
  <c r="S29" i="916"/>
  <c r="R29" i="916"/>
  <c r="M29" i="916"/>
  <c r="L29" i="916"/>
  <c r="K29" i="916"/>
  <c r="Z28" i="916"/>
  <c r="Y28" i="916"/>
  <c r="X28" i="916"/>
  <c r="W28" i="916"/>
  <c r="V28" i="916"/>
  <c r="U28" i="916"/>
  <c r="T28" i="916"/>
  <c r="S28" i="916"/>
  <c r="R28" i="916"/>
  <c r="Z27" i="916"/>
  <c r="Y27" i="916"/>
  <c r="X27" i="916"/>
  <c r="W27" i="916"/>
  <c r="V27" i="916"/>
  <c r="U27" i="916"/>
  <c r="T27" i="916"/>
  <c r="S27" i="916"/>
  <c r="R27" i="916"/>
  <c r="M27" i="916"/>
  <c r="L27" i="916"/>
  <c r="K27" i="916"/>
  <c r="Z26" i="916"/>
  <c r="Y26" i="916"/>
  <c r="X26" i="916"/>
  <c r="W26" i="916"/>
  <c r="V26" i="916"/>
  <c r="U26" i="916"/>
  <c r="T26" i="916"/>
  <c r="S26" i="916"/>
  <c r="R26" i="916"/>
  <c r="M26" i="916"/>
  <c r="L26" i="916"/>
  <c r="K26" i="916"/>
  <c r="Z25" i="916"/>
  <c r="Y25" i="916"/>
  <c r="X25" i="916"/>
  <c r="W25" i="916"/>
  <c r="V25" i="916"/>
  <c r="U25" i="916"/>
  <c r="T25" i="916"/>
  <c r="S25" i="916"/>
  <c r="R25" i="916"/>
  <c r="M25" i="916"/>
  <c r="L25" i="916"/>
  <c r="K25" i="916"/>
  <c r="Z24" i="916"/>
  <c r="Y24" i="916"/>
  <c r="X24" i="916"/>
  <c r="W24" i="916"/>
  <c r="V24" i="916"/>
  <c r="U24" i="916"/>
  <c r="T24" i="916"/>
  <c r="S24" i="916"/>
  <c r="R24" i="916"/>
  <c r="Z23" i="916"/>
  <c r="Y23" i="916"/>
  <c r="X23" i="916"/>
  <c r="W23" i="916"/>
  <c r="V23" i="916"/>
  <c r="U23" i="916"/>
  <c r="T23" i="916"/>
  <c r="S23" i="916"/>
  <c r="R23" i="916"/>
  <c r="Z22" i="916"/>
  <c r="Y22" i="916"/>
  <c r="X22" i="916"/>
  <c r="W22" i="916"/>
  <c r="V22" i="916"/>
  <c r="U22" i="916"/>
  <c r="T22" i="916"/>
  <c r="S22" i="916"/>
  <c r="R22" i="916"/>
  <c r="Z21" i="916"/>
  <c r="Y21" i="916"/>
  <c r="X21" i="916"/>
  <c r="W21" i="916"/>
  <c r="V21" i="916"/>
  <c r="U21" i="916"/>
  <c r="T21" i="916"/>
  <c r="S21" i="916"/>
  <c r="R21" i="916"/>
  <c r="Z20" i="916"/>
  <c r="Y20" i="916"/>
  <c r="X20" i="916"/>
  <c r="W20" i="916"/>
  <c r="V20" i="916"/>
  <c r="U20" i="916"/>
  <c r="T20" i="916"/>
  <c r="S20" i="916"/>
  <c r="R20" i="916"/>
  <c r="Z19" i="916"/>
  <c r="Y19" i="916"/>
  <c r="X19" i="916"/>
  <c r="W19" i="916"/>
  <c r="V19" i="916"/>
  <c r="U19" i="916"/>
  <c r="T19" i="916"/>
  <c r="S19" i="916"/>
  <c r="R19" i="916"/>
  <c r="Z18" i="916"/>
  <c r="Y18" i="916"/>
  <c r="X18" i="916"/>
  <c r="W18" i="916"/>
  <c r="V18" i="916"/>
  <c r="U18" i="916"/>
  <c r="T18" i="916"/>
  <c r="S18" i="916"/>
  <c r="R18" i="916"/>
  <c r="Z17" i="916"/>
  <c r="Y17" i="916"/>
  <c r="X17" i="916"/>
  <c r="W17" i="916"/>
  <c r="V17" i="916"/>
  <c r="U17" i="916"/>
  <c r="T17" i="916"/>
  <c r="S17" i="916"/>
  <c r="R17" i="916"/>
  <c r="Z16" i="916"/>
  <c r="Y16" i="916"/>
  <c r="X16" i="916"/>
  <c r="W16" i="916"/>
  <c r="V16" i="916"/>
  <c r="U16" i="916"/>
  <c r="T16" i="916"/>
  <c r="S16" i="916"/>
  <c r="R16" i="916"/>
  <c r="Z15" i="916"/>
  <c r="Y15" i="916"/>
  <c r="X15" i="916"/>
  <c r="W15" i="916"/>
  <c r="V15" i="916"/>
  <c r="U15" i="916"/>
  <c r="T15" i="916"/>
  <c r="S15" i="916"/>
  <c r="R15" i="916"/>
  <c r="Z14" i="916"/>
  <c r="Y14" i="916"/>
  <c r="X14" i="916"/>
  <c r="W14" i="916"/>
  <c r="V14" i="916"/>
  <c r="U14" i="916"/>
  <c r="T14" i="916"/>
  <c r="S14" i="916"/>
  <c r="R14" i="916"/>
  <c r="Z13" i="916"/>
  <c r="Y13" i="916"/>
  <c r="X13" i="916"/>
  <c r="W13" i="916"/>
  <c r="V13" i="916"/>
  <c r="U13" i="916"/>
  <c r="T13" i="916"/>
  <c r="S13" i="916"/>
  <c r="R13" i="916"/>
  <c r="Z12" i="916"/>
  <c r="Y12" i="916"/>
  <c r="X12" i="916"/>
  <c r="W12" i="916"/>
  <c r="V12" i="916"/>
  <c r="U12" i="916"/>
  <c r="T12" i="916"/>
  <c r="S12" i="916"/>
  <c r="R12" i="916"/>
  <c r="Z11" i="916"/>
  <c r="Y11" i="916"/>
  <c r="X11" i="916"/>
  <c r="W11" i="916"/>
  <c r="V11" i="916"/>
  <c r="U11" i="916"/>
  <c r="T11" i="916"/>
  <c r="S11" i="916"/>
  <c r="R11" i="916"/>
  <c r="Z10" i="916"/>
  <c r="Y10" i="916"/>
  <c r="X10" i="916"/>
  <c r="W10" i="916"/>
  <c r="V10" i="916"/>
  <c r="U10" i="916"/>
  <c r="T10" i="916"/>
  <c r="S10" i="916"/>
  <c r="R10" i="916"/>
  <c r="M26" i="915"/>
  <c r="L26" i="915"/>
  <c r="K26" i="915"/>
  <c r="M27" i="915"/>
  <c r="L27" i="915"/>
  <c r="K27" i="915"/>
  <c r="C13" i="915"/>
  <c r="D13" i="915"/>
  <c r="E13" i="915"/>
  <c r="F13" i="915"/>
  <c r="G13" i="915"/>
  <c r="I13" i="915"/>
  <c r="J13" i="915"/>
  <c r="L13" i="915"/>
  <c r="M13" i="915"/>
  <c r="N13" i="915"/>
  <c r="O13" i="915"/>
  <c r="C14" i="915"/>
  <c r="D14" i="915"/>
  <c r="E14" i="915"/>
  <c r="F14" i="915"/>
  <c r="G14" i="915"/>
  <c r="I14" i="915"/>
  <c r="J14" i="915"/>
  <c r="L14" i="915"/>
  <c r="M14" i="915"/>
  <c r="N14" i="915"/>
  <c r="O14" i="915"/>
  <c r="C15" i="915"/>
  <c r="D15" i="915"/>
  <c r="E15" i="915"/>
  <c r="F15" i="915"/>
  <c r="G15" i="915"/>
  <c r="I15" i="915"/>
  <c r="J15" i="915"/>
  <c r="L15" i="915"/>
  <c r="M15" i="915"/>
  <c r="N15" i="915"/>
  <c r="O15" i="915"/>
  <c r="C16" i="915"/>
  <c r="D16" i="915"/>
  <c r="E16" i="915"/>
  <c r="F16" i="915"/>
  <c r="G16" i="915"/>
  <c r="I16" i="915"/>
  <c r="J16" i="915"/>
  <c r="L16" i="915"/>
  <c r="M16" i="915"/>
  <c r="N16" i="915"/>
  <c r="O16" i="915"/>
  <c r="R10" i="915"/>
  <c r="S10" i="915"/>
  <c r="T10" i="915"/>
  <c r="U10" i="915"/>
  <c r="V10" i="915"/>
  <c r="W10" i="915"/>
  <c r="X10" i="915"/>
  <c r="Y10" i="915"/>
  <c r="Z10" i="915"/>
  <c r="R11" i="915"/>
  <c r="S11" i="915"/>
  <c r="T11" i="915"/>
  <c r="U11" i="915"/>
  <c r="V11" i="915"/>
  <c r="W11" i="915"/>
  <c r="X11" i="915"/>
  <c r="Y11" i="915"/>
  <c r="Z11" i="915"/>
  <c r="R12" i="915"/>
  <c r="S12" i="915"/>
  <c r="T12" i="915"/>
  <c r="U12" i="915"/>
  <c r="V12" i="915"/>
  <c r="W12" i="915"/>
  <c r="X12" i="915"/>
  <c r="Y12" i="915"/>
  <c r="Z12" i="915"/>
  <c r="R13" i="915"/>
  <c r="S13" i="915"/>
  <c r="T13" i="915"/>
  <c r="U13" i="915"/>
  <c r="V13" i="915"/>
  <c r="W13" i="915"/>
  <c r="X13" i="915"/>
  <c r="Y13" i="915"/>
  <c r="Z13" i="915"/>
  <c r="R14" i="915"/>
  <c r="S14" i="915"/>
  <c r="T14" i="915"/>
  <c r="U14" i="915"/>
  <c r="V14" i="915"/>
  <c r="W14" i="915"/>
  <c r="X14" i="915"/>
  <c r="Y14" i="915"/>
  <c r="Z14" i="915"/>
  <c r="R15" i="915"/>
  <c r="S15" i="915"/>
  <c r="T15" i="915"/>
  <c r="U15" i="915"/>
  <c r="V15" i="915"/>
  <c r="W15" i="915"/>
  <c r="X15" i="915"/>
  <c r="Y15" i="915"/>
  <c r="Z15" i="915"/>
  <c r="R16" i="915"/>
  <c r="S16" i="915"/>
  <c r="T16" i="915"/>
  <c r="U16" i="915"/>
  <c r="V16" i="915"/>
  <c r="W16" i="915"/>
  <c r="X16" i="915"/>
  <c r="Y16" i="915"/>
  <c r="Z16" i="915"/>
  <c r="R17" i="915"/>
  <c r="S17" i="915"/>
  <c r="T17" i="915"/>
  <c r="U17" i="915"/>
  <c r="V17" i="915"/>
  <c r="W17" i="915"/>
  <c r="X17" i="915"/>
  <c r="Y17" i="915"/>
  <c r="Z17" i="915"/>
  <c r="R18" i="915"/>
  <c r="S18" i="915"/>
  <c r="T18" i="915"/>
  <c r="U18" i="915"/>
  <c r="V18" i="915"/>
  <c r="W18" i="915"/>
  <c r="X18" i="915"/>
  <c r="Y18" i="915"/>
  <c r="Z18" i="915"/>
  <c r="R19" i="915"/>
  <c r="S19" i="915"/>
  <c r="T19" i="915"/>
  <c r="U19" i="915"/>
  <c r="V19" i="915"/>
  <c r="W19" i="915"/>
  <c r="X19" i="915"/>
  <c r="Y19" i="915"/>
  <c r="Z19" i="915"/>
  <c r="R20" i="915"/>
  <c r="S20" i="915"/>
  <c r="T20" i="915"/>
  <c r="U20" i="915"/>
  <c r="V20" i="915"/>
  <c r="W20" i="915"/>
  <c r="X20" i="915"/>
  <c r="Y20" i="915"/>
  <c r="Z20" i="915"/>
  <c r="R21" i="915"/>
  <c r="S21" i="915"/>
  <c r="T21" i="915"/>
  <c r="U21" i="915"/>
  <c r="V21" i="915"/>
  <c r="W21" i="915"/>
  <c r="X21" i="915"/>
  <c r="Y21" i="915"/>
  <c r="Z21" i="915"/>
  <c r="I10" i="915"/>
  <c r="J10" i="915"/>
  <c r="L10" i="915"/>
  <c r="M10" i="915"/>
  <c r="N10" i="915"/>
  <c r="O10" i="915"/>
  <c r="I11" i="915"/>
  <c r="J11" i="915"/>
  <c r="L11" i="915"/>
  <c r="M11" i="915"/>
  <c r="N11" i="915"/>
  <c r="O11" i="915"/>
  <c r="C10" i="915"/>
  <c r="D10" i="915"/>
  <c r="E10" i="915"/>
  <c r="F10" i="915"/>
  <c r="G10" i="915"/>
  <c r="C11" i="915"/>
  <c r="D11" i="915"/>
  <c r="E11" i="915"/>
  <c r="F11" i="915"/>
  <c r="G11" i="915"/>
  <c r="F73" i="915"/>
  <c r="AX57" i="915"/>
  <c r="AW57" i="915"/>
  <c r="AV57" i="915"/>
  <c r="AU57" i="915"/>
  <c r="AT57" i="915"/>
  <c r="AS57" i="915"/>
  <c r="AR57" i="915"/>
  <c r="AQ57" i="915"/>
  <c r="AP57" i="915"/>
  <c r="AO57" i="915"/>
  <c r="AN57" i="915"/>
  <c r="AM57" i="915"/>
  <c r="AL57" i="915"/>
  <c r="AK57" i="915"/>
  <c r="AJ57" i="915"/>
  <c r="AI57" i="915"/>
  <c r="AH57" i="915"/>
  <c r="AG57" i="915"/>
  <c r="AF57" i="915"/>
  <c r="AE57" i="915"/>
  <c r="AD57" i="915"/>
  <c r="AC57" i="915"/>
  <c r="AB57" i="915"/>
  <c r="K50" i="915"/>
  <c r="L41" i="915" s="1"/>
  <c r="M41" i="915" s="1"/>
  <c r="Z37" i="915"/>
  <c r="Y37" i="915"/>
  <c r="X37" i="915"/>
  <c r="W37" i="915"/>
  <c r="V37" i="915"/>
  <c r="U37" i="915"/>
  <c r="T37" i="915"/>
  <c r="S37" i="915"/>
  <c r="R37" i="915"/>
  <c r="Z36" i="915"/>
  <c r="Y36" i="915"/>
  <c r="X36" i="915"/>
  <c r="W36" i="915"/>
  <c r="V36" i="915"/>
  <c r="U36" i="915"/>
  <c r="T36" i="915"/>
  <c r="S36" i="915"/>
  <c r="R36" i="915"/>
  <c r="Z35" i="915"/>
  <c r="Y35" i="915"/>
  <c r="X35" i="915"/>
  <c r="W35" i="915"/>
  <c r="V35" i="915"/>
  <c r="U35" i="915"/>
  <c r="T35" i="915"/>
  <c r="S35" i="915"/>
  <c r="R35" i="915"/>
  <c r="Z34" i="915"/>
  <c r="Y34" i="915"/>
  <c r="X34" i="915"/>
  <c r="W34" i="915"/>
  <c r="V34" i="915"/>
  <c r="U34" i="915"/>
  <c r="T34" i="915"/>
  <c r="S34" i="915"/>
  <c r="R34" i="915"/>
  <c r="Z33" i="915"/>
  <c r="Y33" i="915"/>
  <c r="X33" i="915"/>
  <c r="W33" i="915"/>
  <c r="V33" i="915"/>
  <c r="U33" i="915"/>
  <c r="T33" i="915"/>
  <c r="S33" i="915"/>
  <c r="R33" i="915"/>
  <c r="Z32" i="915"/>
  <c r="Y32" i="915"/>
  <c r="X32" i="915"/>
  <c r="W32" i="915"/>
  <c r="V32" i="915"/>
  <c r="U32" i="915"/>
  <c r="T32" i="915"/>
  <c r="S32" i="915"/>
  <c r="R32" i="915"/>
  <c r="M32" i="915"/>
  <c r="L32" i="915"/>
  <c r="K32" i="915"/>
  <c r="Z31" i="915"/>
  <c r="Y31" i="915"/>
  <c r="X31" i="915"/>
  <c r="W31" i="915"/>
  <c r="V31" i="915"/>
  <c r="U31" i="915"/>
  <c r="T31" i="915"/>
  <c r="S31" i="915"/>
  <c r="R31" i="915"/>
  <c r="M31" i="915"/>
  <c r="L31" i="915"/>
  <c r="K31" i="915"/>
  <c r="Z30" i="915"/>
  <c r="Y30" i="915"/>
  <c r="X30" i="915"/>
  <c r="W30" i="915"/>
  <c r="V30" i="915"/>
  <c r="U30" i="915"/>
  <c r="T30" i="915"/>
  <c r="S30" i="915"/>
  <c r="R30" i="915"/>
  <c r="Z29" i="915"/>
  <c r="Y29" i="915"/>
  <c r="X29" i="915"/>
  <c r="W29" i="915"/>
  <c r="V29" i="915"/>
  <c r="U29" i="915"/>
  <c r="T29" i="915"/>
  <c r="S29" i="915"/>
  <c r="R29" i="915"/>
  <c r="M29" i="915"/>
  <c r="L29" i="915"/>
  <c r="K29" i="915"/>
  <c r="Z28" i="915"/>
  <c r="Y28" i="915"/>
  <c r="X28" i="915"/>
  <c r="W28" i="915"/>
  <c r="V28" i="915"/>
  <c r="U28" i="915"/>
  <c r="T28" i="915"/>
  <c r="S28" i="915"/>
  <c r="R28" i="915"/>
  <c r="M28" i="915"/>
  <c r="L28" i="915"/>
  <c r="K28" i="915"/>
  <c r="Z27" i="915"/>
  <c r="Y27" i="915"/>
  <c r="X27" i="915"/>
  <c r="W27" i="915"/>
  <c r="V27" i="915"/>
  <c r="U27" i="915"/>
  <c r="T27" i="915"/>
  <c r="S27" i="915"/>
  <c r="R27" i="915"/>
  <c r="Z26" i="915"/>
  <c r="Y26" i="915"/>
  <c r="X26" i="915"/>
  <c r="W26" i="915"/>
  <c r="V26" i="915"/>
  <c r="U26" i="915"/>
  <c r="T26" i="915"/>
  <c r="S26" i="915"/>
  <c r="R26" i="915"/>
  <c r="Z25" i="915"/>
  <c r="Y25" i="915"/>
  <c r="X25" i="915"/>
  <c r="W25" i="915"/>
  <c r="V25" i="915"/>
  <c r="U25" i="915"/>
  <c r="T25" i="915"/>
  <c r="S25" i="915"/>
  <c r="R25" i="915"/>
  <c r="Z24" i="915"/>
  <c r="Y24" i="915"/>
  <c r="X24" i="915"/>
  <c r="W24" i="915"/>
  <c r="V24" i="915"/>
  <c r="U24" i="915"/>
  <c r="T24" i="915"/>
  <c r="S24" i="915"/>
  <c r="R24" i="915"/>
  <c r="Z23" i="915"/>
  <c r="Y23" i="915"/>
  <c r="X23" i="915"/>
  <c r="W23" i="915"/>
  <c r="V23" i="915"/>
  <c r="U23" i="915"/>
  <c r="T23" i="915"/>
  <c r="S23" i="915"/>
  <c r="R23" i="915"/>
  <c r="Z22" i="915"/>
  <c r="Y22" i="915"/>
  <c r="X22" i="915"/>
  <c r="W22" i="915"/>
  <c r="V22" i="915"/>
  <c r="U22" i="915"/>
  <c r="T22" i="915"/>
  <c r="S22" i="915"/>
  <c r="R22" i="915"/>
  <c r="L38" i="914"/>
  <c r="M25" i="914"/>
  <c r="L25" i="914"/>
  <c r="K25" i="914"/>
  <c r="M23" i="914"/>
  <c r="L23" i="914"/>
  <c r="K23" i="914"/>
  <c r="R12" i="914"/>
  <c r="S12" i="914"/>
  <c r="T12" i="914"/>
  <c r="U12" i="914"/>
  <c r="V12" i="914"/>
  <c r="W12" i="914"/>
  <c r="X12" i="914"/>
  <c r="Y12" i="914"/>
  <c r="Z12" i="914"/>
  <c r="R13" i="914"/>
  <c r="S13" i="914"/>
  <c r="T13" i="914"/>
  <c r="U13" i="914"/>
  <c r="V13" i="914"/>
  <c r="W13" i="914"/>
  <c r="X13" i="914"/>
  <c r="Y13" i="914"/>
  <c r="Z13" i="914"/>
  <c r="R14" i="914"/>
  <c r="S14" i="914"/>
  <c r="T14" i="914"/>
  <c r="U14" i="914"/>
  <c r="V14" i="914"/>
  <c r="W14" i="914"/>
  <c r="X14" i="914"/>
  <c r="Y14" i="914"/>
  <c r="Z14" i="914"/>
  <c r="R15" i="914"/>
  <c r="S15" i="914"/>
  <c r="T15" i="914"/>
  <c r="U15" i="914"/>
  <c r="V15" i="914"/>
  <c r="W15" i="914"/>
  <c r="X15" i="914"/>
  <c r="Y15" i="914"/>
  <c r="Z15" i="914"/>
  <c r="R16" i="914"/>
  <c r="S16" i="914"/>
  <c r="T16" i="914"/>
  <c r="U16" i="914"/>
  <c r="V16" i="914"/>
  <c r="W16" i="914"/>
  <c r="X16" i="914"/>
  <c r="Y16" i="914"/>
  <c r="Z16" i="914"/>
  <c r="R17" i="914"/>
  <c r="S17" i="914"/>
  <c r="T17" i="914"/>
  <c r="U17" i="914"/>
  <c r="V17" i="914"/>
  <c r="W17" i="914"/>
  <c r="X17" i="914"/>
  <c r="Y17" i="914"/>
  <c r="Z17" i="914"/>
  <c r="R10" i="913"/>
  <c r="S10" i="913"/>
  <c r="T10" i="913"/>
  <c r="U10" i="913"/>
  <c r="V10" i="913"/>
  <c r="W10" i="913"/>
  <c r="X10" i="913"/>
  <c r="Y10" i="913"/>
  <c r="Z10" i="913"/>
  <c r="R11" i="913"/>
  <c r="S11" i="913"/>
  <c r="T11" i="913"/>
  <c r="U11" i="913"/>
  <c r="V11" i="913"/>
  <c r="W11" i="913"/>
  <c r="X11" i="913"/>
  <c r="Y11" i="913"/>
  <c r="Z11" i="913"/>
  <c r="M31" i="913"/>
  <c r="L31" i="913"/>
  <c r="K31" i="913"/>
  <c r="C10" i="913"/>
  <c r="D10" i="913"/>
  <c r="E10" i="913"/>
  <c r="F10" i="913"/>
  <c r="G10" i="913"/>
  <c r="I10" i="913"/>
  <c r="J31" i="913" s="1"/>
  <c r="J10" i="913"/>
  <c r="L10" i="913"/>
  <c r="M10" i="913"/>
  <c r="N10" i="913"/>
  <c r="O10" i="913"/>
  <c r="C13" i="914"/>
  <c r="D13" i="914"/>
  <c r="E13" i="914"/>
  <c r="F13" i="914"/>
  <c r="G13" i="914"/>
  <c r="I13" i="914"/>
  <c r="J13" i="914"/>
  <c r="L13" i="914"/>
  <c r="M13" i="914"/>
  <c r="N13" i="914"/>
  <c r="O13" i="914"/>
  <c r="C14" i="914"/>
  <c r="D14" i="914"/>
  <c r="E14" i="914"/>
  <c r="F14" i="914"/>
  <c r="G14" i="914"/>
  <c r="I14" i="914"/>
  <c r="J14" i="914"/>
  <c r="L14" i="914"/>
  <c r="M14" i="914"/>
  <c r="N14" i="914"/>
  <c r="O14" i="914"/>
  <c r="C15" i="914"/>
  <c r="D15" i="914"/>
  <c r="E15" i="914"/>
  <c r="F15" i="914"/>
  <c r="G15" i="914"/>
  <c r="I15" i="914"/>
  <c r="J15" i="914"/>
  <c r="L15" i="914"/>
  <c r="M15" i="914"/>
  <c r="N15" i="914"/>
  <c r="O15" i="914"/>
  <c r="C16" i="914"/>
  <c r="D16" i="914"/>
  <c r="E16" i="914"/>
  <c r="F16" i="914"/>
  <c r="G16" i="914"/>
  <c r="I16" i="914"/>
  <c r="J16" i="914"/>
  <c r="L16" i="914"/>
  <c r="M16" i="914"/>
  <c r="N16" i="914"/>
  <c r="O16" i="914"/>
  <c r="C17" i="914"/>
  <c r="D17" i="914"/>
  <c r="E17" i="914"/>
  <c r="F17" i="914"/>
  <c r="G17" i="914"/>
  <c r="I17" i="914"/>
  <c r="J17" i="914"/>
  <c r="L17" i="914"/>
  <c r="M17" i="914"/>
  <c r="N17" i="914"/>
  <c r="O17" i="914"/>
  <c r="C18" i="914"/>
  <c r="D18" i="914"/>
  <c r="E18" i="914"/>
  <c r="F18" i="914"/>
  <c r="G18" i="914"/>
  <c r="I18" i="914"/>
  <c r="J18" i="914"/>
  <c r="L18" i="914"/>
  <c r="M18" i="914"/>
  <c r="N18" i="914"/>
  <c r="O18" i="914"/>
  <c r="I10" i="914"/>
  <c r="J10" i="914"/>
  <c r="L10" i="914"/>
  <c r="M10" i="914"/>
  <c r="N10" i="914"/>
  <c r="O10" i="914"/>
  <c r="I11" i="914"/>
  <c r="J25" i="914" s="1"/>
  <c r="J11" i="914"/>
  <c r="L11" i="914"/>
  <c r="M11" i="914"/>
  <c r="N11" i="914"/>
  <c r="O11" i="914"/>
  <c r="C10" i="914"/>
  <c r="D10" i="914"/>
  <c r="E10" i="914"/>
  <c r="F10" i="914"/>
  <c r="G10" i="914"/>
  <c r="C11" i="914"/>
  <c r="D11" i="914"/>
  <c r="E11" i="914"/>
  <c r="F11" i="914"/>
  <c r="G11" i="914"/>
  <c r="F70" i="914"/>
  <c r="AX54" i="914"/>
  <c r="AW54" i="914"/>
  <c r="AV54" i="914"/>
  <c r="AU54" i="914"/>
  <c r="AT54" i="914"/>
  <c r="AS54" i="914"/>
  <c r="AR54" i="914"/>
  <c r="AQ54" i="914"/>
  <c r="AP54" i="914"/>
  <c r="AO54" i="914"/>
  <c r="AN54" i="914"/>
  <c r="AM54" i="914"/>
  <c r="AL54" i="914"/>
  <c r="AK54" i="914"/>
  <c r="AJ54" i="914"/>
  <c r="AI54" i="914"/>
  <c r="AH54" i="914"/>
  <c r="AG54" i="914"/>
  <c r="AF54" i="914"/>
  <c r="AE54" i="914"/>
  <c r="AD54" i="914"/>
  <c r="AC54" i="914"/>
  <c r="AB54" i="914"/>
  <c r="K47" i="914"/>
  <c r="Z34" i="914"/>
  <c r="Y34" i="914"/>
  <c r="X34" i="914"/>
  <c r="W34" i="914"/>
  <c r="V34" i="914"/>
  <c r="U34" i="914"/>
  <c r="T34" i="914"/>
  <c r="S34" i="914"/>
  <c r="R34" i="914"/>
  <c r="Z33" i="914"/>
  <c r="Y33" i="914"/>
  <c r="X33" i="914"/>
  <c r="W33" i="914"/>
  <c r="V33" i="914"/>
  <c r="U33" i="914"/>
  <c r="T33" i="914"/>
  <c r="S33" i="914"/>
  <c r="R33" i="914"/>
  <c r="Z32" i="914"/>
  <c r="Y32" i="914"/>
  <c r="X32" i="914"/>
  <c r="W32" i="914"/>
  <c r="V32" i="914"/>
  <c r="U32" i="914"/>
  <c r="T32" i="914"/>
  <c r="S32" i="914"/>
  <c r="R32" i="914"/>
  <c r="Z31" i="914"/>
  <c r="Y31" i="914"/>
  <c r="X31" i="914"/>
  <c r="W31" i="914"/>
  <c r="V31" i="914"/>
  <c r="U31" i="914"/>
  <c r="T31" i="914"/>
  <c r="S31" i="914"/>
  <c r="R31" i="914"/>
  <c r="Z30" i="914"/>
  <c r="Y30" i="914"/>
  <c r="X30" i="914"/>
  <c r="W30" i="914"/>
  <c r="V30" i="914"/>
  <c r="U30" i="914"/>
  <c r="T30" i="914"/>
  <c r="S30" i="914"/>
  <c r="R30" i="914"/>
  <c r="Z29" i="914"/>
  <c r="Y29" i="914"/>
  <c r="X29" i="914"/>
  <c r="W29" i="914"/>
  <c r="V29" i="914"/>
  <c r="U29" i="914"/>
  <c r="T29" i="914"/>
  <c r="S29" i="914"/>
  <c r="R29" i="914"/>
  <c r="M29" i="914"/>
  <c r="L29" i="914"/>
  <c r="K29" i="914"/>
  <c r="Z28" i="914"/>
  <c r="Y28" i="914"/>
  <c r="X28" i="914"/>
  <c r="W28" i="914"/>
  <c r="V28" i="914"/>
  <c r="U28" i="914"/>
  <c r="T28" i="914"/>
  <c r="S28" i="914"/>
  <c r="R28" i="914"/>
  <c r="M28" i="914"/>
  <c r="L28" i="914"/>
  <c r="K28" i="914"/>
  <c r="Z27" i="914"/>
  <c r="Y27" i="914"/>
  <c r="X27" i="914"/>
  <c r="W27" i="914"/>
  <c r="V27" i="914"/>
  <c r="U27" i="914"/>
  <c r="T27" i="914"/>
  <c r="S27" i="914"/>
  <c r="R27" i="914"/>
  <c r="Z26" i="914"/>
  <c r="Y26" i="914"/>
  <c r="X26" i="914"/>
  <c r="W26" i="914"/>
  <c r="V26" i="914"/>
  <c r="U26" i="914"/>
  <c r="T26" i="914"/>
  <c r="S26" i="914"/>
  <c r="R26" i="914"/>
  <c r="M26" i="914"/>
  <c r="L26" i="914"/>
  <c r="K26" i="914"/>
  <c r="Z25" i="914"/>
  <c r="Y25" i="914"/>
  <c r="X25" i="914"/>
  <c r="W25" i="914"/>
  <c r="V25" i="914"/>
  <c r="U25" i="914"/>
  <c r="T25" i="914"/>
  <c r="S25" i="914"/>
  <c r="R25" i="914"/>
  <c r="Z24" i="914"/>
  <c r="Y24" i="914"/>
  <c r="X24" i="914"/>
  <c r="W24" i="914"/>
  <c r="V24" i="914"/>
  <c r="U24" i="914"/>
  <c r="T24" i="914"/>
  <c r="S24" i="914"/>
  <c r="R24" i="914"/>
  <c r="M24" i="914"/>
  <c r="L24" i="914"/>
  <c r="K24" i="914"/>
  <c r="Z23" i="914"/>
  <c r="Y23" i="914"/>
  <c r="X23" i="914"/>
  <c r="W23" i="914"/>
  <c r="V23" i="914"/>
  <c r="U23" i="914"/>
  <c r="T23" i="914"/>
  <c r="S23" i="914"/>
  <c r="R23" i="914"/>
  <c r="Z22" i="914"/>
  <c r="Y22" i="914"/>
  <c r="X22" i="914"/>
  <c r="W22" i="914"/>
  <c r="V22" i="914"/>
  <c r="U22" i="914"/>
  <c r="T22" i="914"/>
  <c r="S22" i="914"/>
  <c r="R22" i="914"/>
  <c r="Z21" i="914"/>
  <c r="Y21" i="914"/>
  <c r="X21" i="914"/>
  <c r="W21" i="914"/>
  <c r="V21" i="914"/>
  <c r="U21" i="914"/>
  <c r="T21" i="914"/>
  <c r="S21" i="914"/>
  <c r="R21" i="914"/>
  <c r="Z20" i="914"/>
  <c r="Y20" i="914"/>
  <c r="X20" i="914"/>
  <c r="W20" i="914"/>
  <c r="V20" i="914"/>
  <c r="U20" i="914"/>
  <c r="T20" i="914"/>
  <c r="S20" i="914"/>
  <c r="R20" i="914"/>
  <c r="Z19" i="914"/>
  <c r="Y19" i="914"/>
  <c r="X19" i="914"/>
  <c r="W19" i="914"/>
  <c r="V19" i="914"/>
  <c r="U19" i="914"/>
  <c r="T19" i="914"/>
  <c r="S19" i="914"/>
  <c r="R19" i="914"/>
  <c r="Z18" i="914"/>
  <c r="Y18" i="914"/>
  <c r="X18" i="914"/>
  <c r="W18" i="914"/>
  <c r="V18" i="914"/>
  <c r="U18" i="914"/>
  <c r="T18" i="914"/>
  <c r="S18" i="914"/>
  <c r="R18" i="914"/>
  <c r="Z11" i="914"/>
  <c r="Y11" i="914"/>
  <c r="X11" i="914"/>
  <c r="W11" i="914"/>
  <c r="V11" i="914"/>
  <c r="U11" i="914"/>
  <c r="T11" i="914"/>
  <c r="S11" i="914"/>
  <c r="R11" i="914"/>
  <c r="Z10" i="914"/>
  <c r="Y10" i="914"/>
  <c r="X10" i="914"/>
  <c r="W10" i="914"/>
  <c r="V10" i="914"/>
  <c r="U10" i="914"/>
  <c r="T10" i="914"/>
  <c r="S10" i="914"/>
  <c r="R10" i="914"/>
  <c r="B60" i="913"/>
  <c r="J27" i="915" l="1"/>
  <c r="J26" i="917"/>
  <c r="M41" i="917"/>
  <c r="J24" i="916"/>
  <c r="K36" i="917"/>
  <c r="L36" i="917" s="1"/>
  <c r="M36" i="917" s="1"/>
  <c r="J23" i="914"/>
  <c r="J26" i="915"/>
  <c r="K34" i="916"/>
  <c r="L34" i="916" s="1"/>
  <c r="M34" i="916" s="1"/>
  <c r="K36" i="915"/>
  <c r="L36" i="915" s="1"/>
  <c r="M36" i="915" s="1"/>
  <c r="M38" i="914"/>
  <c r="K33" i="914"/>
  <c r="L33" i="914" s="1"/>
  <c r="M33" i="914" s="1"/>
  <c r="B64" i="913"/>
  <c r="B62" i="913"/>
  <c r="M33" i="913"/>
  <c r="L33" i="913"/>
  <c r="K33" i="913"/>
  <c r="R13" i="913"/>
  <c r="S13" i="913"/>
  <c r="T13" i="913"/>
  <c r="U13" i="913"/>
  <c r="V13" i="913"/>
  <c r="W13" i="913"/>
  <c r="X13" i="913"/>
  <c r="Y13" i="913"/>
  <c r="Z13" i="913"/>
  <c r="R14" i="913"/>
  <c r="S14" i="913"/>
  <c r="T14" i="913"/>
  <c r="U14" i="913"/>
  <c r="V14" i="913"/>
  <c r="W14" i="913"/>
  <c r="X14" i="913"/>
  <c r="Y14" i="913"/>
  <c r="Z14" i="913"/>
  <c r="R15" i="913"/>
  <c r="S15" i="913"/>
  <c r="T15" i="913"/>
  <c r="U15" i="913"/>
  <c r="V15" i="913"/>
  <c r="W15" i="913"/>
  <c r="X15" i="913"/>
  <c r="Y15" i="913"/>
  <c r="Z15" i="913"/>
  <c r="R16" i="913"/>
  <c r="S16" i="913"/>
  <c r="T16" i="913"/>
  <c r="U16" i="913"/>
  <c r="V16" i="913"/>
  <c r="W16" i="913"/>
  <c r="X16" i="913"/>
  <c r="Y16" i="913"/>
  <c r="Z16" i="913"/>
  <c r="R17" i="913"/>
  <c r="S17" i="913"/>
  <c r="T17" i="913"/>
  <c r="U17" i="913"/>
  <c r="V17" i="913"/>
  <c r="W17" i="913"/>
  <c r="X17" i="913"/>
  <c r="Y17" i="913"/>
  <c r="Z17" i="913"/>
  <c r="R18" i="913"/>
  <c r="S18" i="913"/>
  <c r="T18" i="913"/>
  <c r="U18" i="913"/>
  <c r="V18" i="913"/>
  <c r="W18" i="913"/>
  <c r="X18" i="913"/>
  <c r="Y18" i="913"/>
  <c r="Z18" i="913"/>
  <c r="R19" i="913"/>
  <c r="S19" i="913"/>
  <c r="T19" i="913"/>
  <c r="U19" i="913"/>
  <c r="V19" i="913"/>
  <c r="W19" i="913"/>
  <c r="X19" i="913"/>
  <c r="Y19" i="913"/>
  <c r="Z19" i="913"/>
  <c r="R20" i="913"/>
  <c r="S20" i="913"/>
  <c r="T20" i="913"/>
  <c r="U20" i="913"/>
  <c r="V20" i="913"/>
  <c r="W20" i="913"/>
  <c r="X20" i="913"/>
  <c r="Y20" i="913"/>
  <c r="Z20" i="913"/>
  <c r="R21" i="913"/>
  <c r="S21" i="913"/>
  <c r="T21" i="913"/>
  <c r="U21" i="913"/>
  <c r="V21" i="913"/>
  <c r="W21" i="913"/>
  <c r="X21" i="913"/>
  <c r="Y21" i="913"/>
  <c r="Z21" i="913"/>
  <c r="R22" i="913"/>
  <c r="S22" i="913"/>
  <c r="T22" i="913"/>
  <c r="U22" i="913"/>
  <c r="V22" i="913"/>
  <c r="W22" i="913"/>
  <c r="X22" i="913"/>
  <c r="Y22" i="913"/>
  <c r="Z22" i="913"/>
  <c r="R23" i="913"/>
  <c r="S23" i="913"/>
  <c r="T23" i="913"/>
  <c r="U23" i="913"/>
  <c r="V23" i="913"/>
  <c r="W23" i="913"/>
  <c r="X23" i="913"/>
  <c r="Y23" i="913"/>
  <c r="Z23" i="913"/>
  <c r="R24" i="913"/>
  <c r="S24" i="913"/>
  <c r="T24" i="913"/>
  <c r="U24" i="913"/>
  <c r="V24" i="913"/>
  <c r="W24" i="913"/>
  <c r="X24" i="913"/>
  <c r="Y24" i="913"/>
  <c r="Z24" i="913"/>
  <c r="R25" i="913"/>
  <c r="S25" i="913"/>
  <c r="T25" i="913"/>
  <c r="U25" i="913"/>
  <c r="V25" i="913"/>
  <c r="W25" i="913"/>
  <c r="X25" i="913"/>
  <c r="Y25" i="913"/>
  <c r="Z25" i="913"/>
  <c r="R26" i="913"/>
  <c r="S26" i="913"/>
  <c r="T26" i="913"/>
  <c r="U26" i="913"/>
  <c r="V26" i="913"/>
  <c r="W26" i="913"/>
  <c r="X26" i="913"/>
  <c r="Y26" i="913"/>
  <c r="Z26" i="913"/>
  <c r="R27" i="913"/>
  <c r="S27" i="913"/>
  <c r="T27" i="913"/>
  <c r="U27" i="913"/>
  <c r="V27" i="913"/>
  <c r="W27" i="913"/>
  <c r="X27" i="913"/>
  <c r="Y27" i="913"/>
  <c r="Z27" i="913"/>
  <c r="R28" i="913"/>
  <c r="S28" i="913"/>
  <c r="T28" i="913"/>
  <c r="U28" i="913"/>
  <c r="V28" i="913"/>
  <c r="W28" i="913"/>
  <c r="X28" i="913"/>
  <c r="Y28" i="913"/>
  <c r="Z28" i="913"/>
  <c r="R29" i="913"/>
  <c r="S29" i="913"/>
  <c r="T29" i="913"/>
  <c r="U29" i="913"/>
  <c r="V29" i="913"/>
  <c r="W29" i="913"/>
  <c r="X29" i="913"/>
  <c r="Y29" i="913"/>
  <c r="Z29" i="913"/>
  <c r="R30" i="913"/>
  <c r="S30" i="913"/>
  <c r="T30" i="913"/>
  <c r="U30" i="913"/>
  <c r="V30" i="913"/>
  <c r="W30" i="913"/>
  <c r="X30" i="913"/>
  <c r="Y30" i="913"/>
  <c r="Z30" i="913"/>
  <c r="C13" i="913"/>
  <c r="D13" i="913"/>
  <c r="E13" i="913"/>
  <c r="F13" i="913"/>
  <c r="G13" i="913"/>
  <c r="I13" i="913"/>
  <c r="J13" i="913"/>
  <c r="L13" i="913"/>
  <c r="M13" i="913"/>
  <c r="N13" i="913"/>
  <c r="O13" i="913"/>
  <c r="C14" i="913"/>
  <c r="D14" i="913"/>
  <c r="E14" i="913"/>
  <c r="F14" i="913"/>
  <c r="G14" i="913"/>
  <c r="I14" i="913"/>
  <c r="J14" i="913"/>
  <c r="L14" i="913"/>
  <c r="M14" i="913"/>
  <c r="N14" i="913"/>
  <c r="O14" i="913"/>
  <c r="C15" i="913"/>
  <c r="D15" i="913"/>
  <c r="E15" i="913"/>
  <c r="F15" i="913"/>
  <c r="G15" i="913"/>
  <c r="I15" i="913"/>
  <c r="J15" i="913"/>
  <c r="L15" i="913"/>
  <c r="M15" i="913"/>
  <c r="N15" i="913"/>
  <c r="O15" i="913"/>
  <c r="C16" i="913"/>
  <c r="D16" i="913"/>
  <c r="E16" i="913"/>
  <c r="F16" i="913"/>
  <c r="G16" i="913"/>
  <c r="I16" i="913"/>
  <c r="J16" i="913"/>
  <c r="L16" i="913"/>
  <c r="M16" i="913"/>
  <c r="N16" i="913"/>
  <c r="O16" i="913"/>
  <c r="C17" i="913"/>
  <c r="D17" i="913"/>
  <c r="E17" i="913"/>
  <c r="F17" i="913"/>
  <c r="G17" i="913"/>
  <c r="I17" i="913"/>
  <c r="J17" i="913"/>
  <c r="L17" i="913"/>
  <c r="M17" i="913"/>
  <c r="N17" i="913"/>
  <c r="O17" i="913"/>
  <c r="O12" i="913"/>
  <c r="N12" i="913"/>
  <c r="M12" i="913"/>
  <c r="L12" i="913"/>
  <c r="J12" i="913"/>
  <c r="I12" i="913"/>
  <c r="G12" i="913"/>
  <c r="F12" i="913"/>
  <c r="E12" i="913"/>
  <c r="D12" i="913"/>
  <c r="C12" i="913"/>
  <c r="J33" i="913" l="1"/>
  <c r="F78" i="913"/>
  <c r="AX62" i="913"/>
  <c r="AW62" i="913"/>
  <c r="AV62" i="913"/>
  <c r="AU62" i="913"/>
  <c r="AT62" i="913"/>
  <c r="AS62" i="913"/>
  <c r="AR62" i="913"/>
  <c r="AQ62" i="913"/>
  <c r="AP62" i="913"/>
  <c r="AO62" i="913"/>
  <c r="AN62" i="913"/>
  <c r="AM62" i="913"/>
  <c r="AL62" i="913"/>
  <c r="AK62" i="913"/>
  <c r="AJ62" i="913"/>
  <c r="AI62" i="913"/>
  <c r="AH62" i="913"/>
  <c r="AG62" i="913"/>
  <c r="AF62" i="913"/>
  <c r="AE62" i="913"/>
  <c r="AD62" i="913"/>
  <c r="AC62" i="913"/>
  <c r="AB62" i="913"/>
  <c r="K55" i="913"/>
  <c r="Z42" i="913"/>
  <c r="Y42" i="913"/>
  <c r="X42" i="913"/>
  <c r="W42" i="913"/>
  <c r="V42" i="913"/>
  <c r="U42" i="913"/>
  <c r="T42" i="913"/>
  <c r="S42" i="913"/>
  <c r="R42" i="913"/>
  <c r="Z41" i="913"/>
  <c r="Y41" i="913"/>
  <c r="X41" i="913"/>
  <c r="W41" i="913"/>
  <c r="V41" i="913"/>
  <c r="U41" i="913"/>
  <c r="T41" i="913"/>
  <c r="S41" i="913"/>
  <c r="R41" i="913"/>
  <c r="Z40" i="913"/>
  <c r="Y40" i="913"/>
  <c r="X40" i="913"/>
  <c r="W40" i="913"/>
  <c r="V40" i="913"/>
  <c r="U40" i="913"/>
  <c r="T40" i="913"/>
  <c r="S40" i="913"/>
  <c r="R40" i="913"/>
  <c r="Z39" i="913"/>
  <c r="Y39" i="913"/>
  <c r="X39" i="913"/>
  <c r="W39" i="913"/>
  <c r="V39" i="913"/>
  <c r="U39" i="913"/>
  <c r="T39" i="913"/>
  <c r="S39" i="913"/>
  <c r="R39" i="913"/>
  <c r="Z38" i="913"/>
  <c r="Y38" i="913"/>
  <c r="X38" i="913"/>
  <c r="W38" i="913"/>
  <c r="V38" i="913"/>
  <c r="U38" i="913"/>
  <c r="T38" i="913"/>
  <c r="S38" i="913"/>
  <c r="R38" i="913"/>
  <c r="Z37" i="913"/>
  <c r="Y37" i="913"/>
  <c r="X37" i="913"/>
  <c r="W37" i="913"/>
  <c r="V37" i="913"/>
  <c r="U37" i="913"/>
  <c r="T37" i="913"/>
  <c r="S37" i="913"/>
  <c r="R37" i="913"/>
  <c r="M37" i="913"/>
  <c r="L37" i="913"/>
  <c r="K37" i="913"/>
  <c r="Z36" i="913"/>
  <c r="Y36" i="913"/>
  <c r="X36" i="913"/>
  <c r="W36" i="913"/>
  <c r="V36" i="913"/>
  <c r="U36" i="913"/>
  <c r="T36" i="913"/>
  <c r="S36" i="913"/>
  <c r="R36" i="913"/>
  <c r="M36" i="913"/>
  <c r="L36" i="913"/>
  <c r="K36" i="913"/>
  <c r="Z35" i="913"/>
  <c r="Y35" i="913"/>
  <c r="X35" i="913"/>
  <c r="W35" i="913"/>
  <c r="V35" i="913"/>
  <c r="U35" i="913"/>
  <c r="T35" i="913"/>
  <c r="S35" i="913"/>
  <c r="R35" i="913"/>
  <c r="Z34" i="913"/>
  <c r="Y34" i="913"/>
  <c r="X34" i="913"/>
  <c r="W34" i="913"/>
  <c r="V34" i="913"/>
  <c r="U34" i="913"/>
  <c r="T34" i="913"/>
  <c r="S34" i="913"/>
  <c r="R34" i="913"/>
  <c r="M34" i="913"/>
  <c r="L34" i="913"/>
  <c r="K34" i="913"/>
  <c r="Z33" i="913"/>
  <c r="Y33" i="913"/>
  <c r="X33" i="913"/>
  <c r="W33" i="913"/>
  <c r="V33" i="913"/>
  <c r="U33" i="913"/>
  <c r="T33" i="913"/>
  <c r="S33" i="913"/>
  <c r="R33" i="913"/>
  <c r="Z32" i="913"/>
  <c r="Y32" i="913"/>
  <c r="X32" i="913"/>
  <c r="W32" i="913"/>
  <c r="V32" i="913"/>
  <c r="U32" i="913"/>
  <c r="T32" i="913"/>
  <c r="S32" i="913"/>
  <c r="R32" i="913"/>
  <c r="M32" i="913"/>
  <c r="L32" i="913"/>
  <c r="K32" i="913"/>
  <c r="Z31" i="913"/>
  <c r="Y31" i="913"/>
  <c r="X31" i="913"/>
  <c r="W31" i="913"/>
  <c r="V31" i="913"/>
  <c r="U31" i="913"/>
  <c r="T31" i="913"/>
  <c r="S31" i="913"/>
  <c r="R31" i="913"/>
  <c r="Z12" i="913"/>
  <c r="Y12" i="913"/>
  <c r="X12" i="913"/>
  <c r="W12" i="913"/>
  <c r="V12" i="913"/>
  <c r="U12" i="913"/>
  <c r="T12" i="913"/>
  <c r="S12" i="913"/>
  <c r="R12" i="913"/>
  <c r="B60" i="912"/>
  <c r="K41" i="913" l="1"/>
  <c r="L41" i="913" s="1"/>
  <c r="M41" i="913" s="1"/>
  <c r="B58" i="912" l="1"/>
  <c r="I53" i="912"/>
  <c r="J53" i="912"/>
  <c r="M29" i="912"/>
  <c r="L29" i="912"/>
  <c r="K29" i="912"/>
  <c r="E11" i="912"/>
  <c r="E12" i="912"/>
  <c r="E13" i="912"/>
  <c r="E15" i="912"/>
  <c r="E16" i="912"/>
  <c r="E17" i="912"/>
  <c r="E18" i="912"/>
  <c r="E19" i="912"/>
  <c r="E20" i="912"/>
  <c r="E22" i="912"/>
  <c r="E23" i="912"/>
  <c r="E24" i="912"/>
  <c r="E25" i="912"/>
  <c r="E10" i="912"/>
  <c r="I19" i="912"/>
  <c r="J19" i="912"/>
  <c r="L19" i="912"/>
  <c r="M19" i="912"/>
  <c r="N19" i="912"/>
  <c r="O19" i="912"/>
  <c r="I20" i="912"/>
  <c r="J20" i="912"/>
  <c r="L20" i="912"/>
  <c r="M20" i="912"/>
  <c r="N20" i="912"/>
  <c r="O20" i="912"/>
  <c r="I22" i="912"/>
  <c r="J22" i="912"/>
  <c r="L22" i="912"/>
  <c r="M22" i="912"/>
  <c r="N22" i="912"/>
  <c r="O22" i="912"/>
  <c r="I23" i="912"/>
  <c r="J23" i="912"/>
  <c r="L23" i="912"/>
  <c r="M23" i="912"/>
  <c r="N23" i="912"/>
  <c r="O23" i="912"/>
  <c r="I24" i="912"/>
  <c r="J24" i="912"/>
  <c r="L24" i="912"/>
  <c r="M24" i="912"/>
  <c r="N24" i="912"/>
  <c r="O24" i="912"/>
  <c r="I25" i="912"/>
  <c r="J25" i="912"/>
  <c r="L25" i="912"/>
  <c r="M25" i="912"/>
  <c r="N25" i="912"/>
  <c r="O25" i="912"/>
  <c r="C25" i="912"/>
  <c r="D25" i="912"/>
  <c r="F25" i="912"/>
  <c r="G25" i="912"/>
  <c r="C19" i="912"/>
  <c r="D19" i="912"/>
  <c r="F19" i="912"/>
  <c r="G19" i="912"/>
  <c r="C20" i="912"/>
  <c r="D20" i="912"/>
  <c r="F20" i="912"/>
  <c r="G20" i="912"/>
  <c r="C22" i="912"/>
  <c r="D22" i="912"/>
  <c r="F22" i="912"/>
  <c r="G22" i="912"/>
  <c r="C23" i="912"/>
  <c r="D23" i="912"/>
  <c r="F23" i="912"/>
  <c r="G23" i="912"/>
  <c r="C24" i="912"/>
  <c r="D24" i="912"/>
  <c r="F24" i="912"/>
  <c r="G24" i="912"/>
  <c r="C15" i="912" l="1"/>
  <c r="L10" i="912"/>
  <c r="M10" i="912"/>
  <c r="O10" i="912"/>
  <c r="I11" i="912"/>
  <c r="J11" i="912"/>
  <c r="L11" i="912"/>
  <c r="M11" i="912"/>
  <c r="N11" i="912"/>
  <c r="O11" i="912"/>
  <c r="I12" i="912"/>
  <c r="J12" i="912"/>
  <c r="L12" i="912"/>
  <c r="M12" i="912"/>
  <c r="N12" i="912"/>
  <c r="O12" i="912"/>
  <c r="I13" i="912"/>
  <c r="J13" i="912"/>
  <c r="L13" i="912"/>
  <c r="M13" i="912"/>
  <c r="N13" i="912"/>
  <c r="O13" i="912"/>
  <c r="I15" i="912"/>
  <c r="J15" i="912"/>
  <c r="L15" i="912"/>
  <c r="M15" i="912"/>
  <c r="N15" i="912"/>
  <c r="O15" i="912"/>
  <c r="I16" i="912"/>
  <c r="J16" i="912"/>
  <c r="L16" i="912"/>
  <c r="M16" i="912"/>
  <c r="N16" i="912"/>
  <c r="O16" i="912"/>
  <c r="I17" i="912"/>
  <c r="J17" i="912"/>
  <c r="L17" i="912"/>
  <c r="M17" i="912"/>
  <c r="N17" i="912"/>
  <c r="O17" i="912"/>
  <c r="I18" i="912"/>
  <c r="J18" i="912"/>
  <c r="L18" i="912"/>
  <c r="M18" i="912"/>
  <c r="N18" i="912"/>
  <c r="O18" i="912"/>
  <c r="D10" i="912"/>
  <c r="F10" i="912"/>
  <c r="G10" i="912"/>
  <c r="D11" i="912"/>
  <c r="F11" i="912"/>
  <c r="G11" i="912"/>
  <c r="D12" i="912"/>
  <c r="F12" i="912"/>
  <c r="G12" i="912"/>
  <c r="C13" i="912"/>
  <c r="D13" i="912"/>
  <c r="F13" i="912"/>
  <c r="G13" i="912"/>
  <c r="D15" i="912"/>
  <c r="F15" i="912"/>
  <c r="G15" i="912"/>
  <c r="C16" i="912"/>
  <c r="D16" i="912"/>
  <c r="F16" i="912"/>
  <c r="G16" i="912"/>
  <c r="C17" i="912"/>
  <c r="D17" i="912"/>
  <c r="F17" i="912"/>
  <c r="G17" i="912"/>
  <c r="C18" i="912"/>
  <c r="D18" i="912"/>
  <c r="F18" i="912"/>
  <c r="G18" i="912"/>
  <c r="R10" i="912"/>
  <c r="S10" i="912"/>
  <c r="T10" i="912"/>
  <c r="U10" i="912"/>
  <c r="V10" i="912"/>
  <c r="W10" i="912"/>
  <c r="X10" i="912"/>
  <c r="Y10" i="912"/>
  <c r="Z10" i="912"/>
  <c r="R11" i="912"/>
  <c r="S11" i="912"/>
  <c r="T11" i="912"/>
  <c r="U11" i="912"/>
  <c r="V11" i="912"/>
  <c r="W11" i="912"/>
  <c r="X11" i="912"/>
  <c r="Y11" i="912"/>
  <c r="Z11" i="912"/>
  <c r="R12" i="912"/>
  <c r="S12" i="912"/>
  <c r="T12" i="912"/>
  <c r="U12" i="912"/>
  <c r="V12" i="912"/>
  <c r="W12" i="912"/>
  <c r="X12" i="912"/>
  <c r="Y12" i="912"/>
  <c r="Z12" i="912"/>
  <c r="R13" i="912"/>
  <c r="S13" i="912"/>
  <c r="T13" i="912"/>
  <c r="U13" i="912"/>
  <c r="V13" i="912"/>
  <c r="W13" i="912"/>
  <c r="X13" i="912"/>
  <c r="Y13" i="912"/>
  <c r="Z13" i="912"/>
  <c r="R15" i="912"/>
  <c r="S15" i="912"/>
  <c r="T15" i="912"/>
  <c r="U15" i="912"/>
  <c r="V15" i="912"/>
  <c r="W15" i="912"/>
  <c r="X15" i="912"/>
  <c r="Y15" i="912"/>
  <c r="Z15" i="912"/>
  <c r="R16" i="912"/>
  <c r="S16" i="912"/>
  <c r="T16" i="912"/>
  <c r="U16" i="912"/>
  <c r="V16" i="912"/>
  <c r="W16" i="912"/>
  <c r="X16" i="912"/>
  <c r="Y16" i="912"/>
  <c r="Z16" i="912"/>
  <c r="R17" i="912"/>
  <c r="S17" i="912"/>
  <c r="T17" i="912"/>
  <c r="U17" i="912"/>
  <c r="V17" i="912"/>
  <c r="W17" i="912"/>
  <c r="X17" i="912"/>
  <c r="Y17" i="912"/>
  <c r="Z17" i="912"/>
  <c r="R18" i="912"/>
  <c r="S18" i="912"/>
  <c r="T18" i="912"/>
  <c r="U18" i="912"/>
  <c r="V18" i="912"/>
  <c r="W18" i="912"/>
  <c r="X18" i="912"/>
  <c r="Y18" i="912"/>
  <c r="Z18" i="912"/>
  <c r="R19" i="912"/>
  <c r="S19" i="912"/>
  <c r="T19" i="912"/>
  <c r="U19" i="912"/>
  <c r="V19" i="912"/>
  <c r="W19" i="912"/>
  <c r="X19" i="912"/>
  <c r="Y19" i="912"/>
  <c r="Z19" i="912"/>
  <c r="R20" i="912"/>
  <c r="S20" i="912"/>
  <c r="T20" i="912"/>
  <c r="U20" i="912"/>
  <c r="V20" i="912"/>
  <c r="W20" i="912"/>
  <c r="X20" i="912"/>
  <c r="Y20" i="912"/>
  <c r="Z20" i="912"/>
  <c r="R22" i="912"/>
  <c r="S22" i="912"/>
  <c r="T22" i="912"/>
  <c r="U22" i="912"/>
  <c r="V22" i="912"/>
  <c r="W22" i="912"/>
  <c r="X22" i="912"/>
  <c r="Y22" i="912"/>
  <c r="Z22" i="912"/>
  <c r="R23" i="912"/>
  <c r="S23" i="912"/>
  <c r="T23" i="912"/>
  <c r="U23" i="912"/>
  <c r="V23" i="912"/>
  <c r="W23" i="912"/>
  <c r="X23" i="912"/>
  <c r="Y23" i="912"/>
  <c r="Z23" i="912"/>
  <c r="R24" i="912"/>
  <c r="S24" i="912"/>
  <c r="T24" i="912"/>
  <c r="U24" i="912"/>
  <c r="V24" i="912"/>
  <c r="W24" i="912"/>
  <c r="X24" i="912"/>
  <c r="Y24" i="912"/>
  <c r="Z24" i="912"/>
  <c r="F74" i="912"/>
  <c r="AX58" i="912"/>
  <c r="AW58" i="912"/>
  <c r="AV58" i="912"/>
  <c r="AU58" i="912"/>
  <c r="AT58" i="912"/>
  <c r="AS58" i="912"/>
  <c r="AR58" i="912"/>
  <c r="AQ58" i="912"/>
  <c r="AP58" i="912"/>
  <c r="AO58" i="912"/>
  <c r="AN58" i="912"/>
  <c r="AM58" i="912"/>
  <c r="AL58" i="912"/>
  <c r="AK58" i="912"/>
  <c r="AJ58" i="912"/>
  <c r="AI58" i="912"/>
  <c r="AH58" i="912"/>
  <c r="AG58" i="912"/>
  <c r="AF58" i="912"/>
  <c r="AE58" i="912"/>
  <c r="AD58" i="912"/>
  <c r="AC58" i="912"/>
  <c r="AB58" i="912"/>
  <c r="K53" i="912"/>
  <c r="Z40" i="912"/>
  <c r="Y40" i="912"/>
  <c r="X40" i="912"/>
  <c r="W40" i="912"/>
  <c r="V40" i="912"/>
  <c r="U40" i="912"/>
  <c r="T40" i="912"/>
  <c r="S40" i="912"/>
  <c r="R40" i="912"/>
  <c r="Z39" i="912"/>
  <c r="Y39" i="912"/>
  <c r="X39" i="912"/>
  <c r="W39" i="912"/>
  <c r="V39" i="912"/>
  <c r="U39" i="912"/>
  <c r="T39" i="912"/>
  <c r="S39" i="912"/>
  <c r="R39" i="912"/>
  <c r="Z38" i="912"/>
  <c r="Y38" i="912"/>
  <c r="X38" i="912"/>
  <c r="W38" i="912"/>
  <c r="V38" i="912"/>
  <c r="U38" i="912"/>
  <c r="T38" i="912"/>
  <c r="S38" i="912"/>
  <c r="R38" i="912"/>
  <c r="Z37" i="912"/>
  <c r="Y37" i="912"/>
  <c r="X37" i="912"/>
  <c r="W37" i="912"/>
  <c r="V37" i="912"/>
  <c r="U37" i="912"/>
  <c r="T37" i="912"/>
  <c r="S37" i="912"/>
  <c r="R37" i="912"/>
  <c r="Z36" i="912"/>
  <c r="Y36" i="912"/>
  <c r="X36" i="912"/>
  <c r="W36" i="912"/>
  <c r="V36" i="912"/>
  <c r="U36" i="912"/>
  <c r="T36" i="912"/>
  <c r="S36" i="912"/>
  <c r="R36" i="912"/>
  <c r="Z35" i="912"/>
  <c r="Y35" i="912"/>
  <c r="X35" i="912"/>
  <c r="W35" i="912"/>
  <c r="V35" i="912"/>
  <c r="U35" i="912"/>
  <c r="T35" i="912"/>
  <c r="S35" i="912"/>
  <c r="R35" i="912"/>
  <c r="M35" i="912"/>
  <c r="L35" i="912"/>
  <c r="K35" i="912"/>
  <c r="Z34" i="912"/>
  <c r="Y34" i="912"/>
  <c r="X34" i="912"/>
  <c r="W34" i="912"/>
  <c r="V34" i="912"/>
  <c r="U34" i="912"/>
  <c r="T34" i="912"/>
  <c r="S34" i="912"/>
  <c r="R34" i="912"/>
  <c r="M34" i="912"/>
  <c r="L34" i="912"/>
  <c r="K34" i="912"/>
  <c r="Z33" i="912"/>
  <c r="Y33" i="912"/>
  <c r="X33" i="912"/>
  <c r="W33" i="912"/>
  <c r="V33" i="912"/>
  <c r="U33" i="912"/>
  <c r="T33" i="912"/>
  <c r="S33" i="912"/>
  <c r="R33" i="912"/>
  <c r="Z32" i="912"/>
  <c r="Y32" i="912"/>
  <c r="X32" i="912"/>
  <c r="W32" i="912"/>
  <c r="V32" i="912"/>
  <c r="U32" i="912"/>
  <c r="T32" i="912"/>
  <c r="S32" i="912"/>
  <c r="R32" i="912"/>
  <c r="M32" i="912"/>
  <c r="L32" i="912"/>
  <c r="K32" i="912"/>
  <c r="Z31" i="912"/>
  <c r="Y31" i="912"/>
  <c r="X31" i="912"/>
  <c r="W31" i="912"/>
  <c r="V31" i="912"/>
  <c r="U31" i="912"/>
  <c r="T31" i="912"/>
  <c r="S31" i="912"/>
  <c r="R31" i="912"/>
  <c r="Z30" i="912"/>
  <c r="Y30" i="912"/>
  <c r="X30" i="912"/>
  <c r="W30" i="912"/>
  <c r="V30" i="912"/>
  <c r="U30" i="912"/>
  <c r="T30" i="912"/>
  <c r="S30" i="912"/>
  <c r="R30" i="912"/>
  <c r="M30" i="912"/>
  <c r="L30" i="912"/>
  <c r="K30" i="912"/>
  <c r="Z29" i="912"/>
  <c r="Y29" i="912"/>
  <c r="X29" i="912"/>
  <c r="W29" i="912"/>
  <c r="V29" i="912"/>
  <c r="U29" i="912"/>
  <c r="T29" i="912"/>
  <c r="S29" i="912"/>
  <c r="R29" i="912"/>
  <c r="Z28" i="912"/>
  <c r="Y28" i="912"/>
  <c r="X28" i="912"/>
  <c r="W28" i="912"/>
  <c r="V28" i="912"/>
  <c r="U28" i="912"/>
  <c r="T28" i="912"/>
  <c r="S28" i="912"/>
  <c r="R28" i="912"/>
  <c r="Z27" i="912"/>
  <c r="Y27" i="912"/>
  <c r="X27" i="912"/>
  <c r="W27" i="912"/>
  <c r="V27" i="912"/>
  <c r="U27" i="912"/>
  <c r="T27" i="912"/>
  <c r="S27" i="912"/>
  <c r="R27" i="912"/>
  <c r="Z26" i="912"/>
  <c r="Y26" i="912"/>
  <c r="X26" i="912"/>
  <c r="W26" i="912"/>
  <c r="V26" i="912"/>
  <c r="U26" i="912"/>
  <c r="T26" i="912"/>
  <c r="S26" i="912"/>
  <c r="R26" i="912"/>
  <c r="Z25" i="912"/>
  <c r="Y25" i="912"/>
  <c r="X25" i="912"/>
  <c r="W25" i="912"/>
  <c r="V25" i="912"/>
  <c r="U25" i="912"/>
  <c r="T25" i="912"/>
  <c r="S25" i="912"/>
  <c r="R25" i="912"/>
  <c r="N11" i="911"/>
  <c r="N12" i="911"/>
  <c r="N13" i="911"/>
  <c r="N14" i="911"/>
  <c r="N15" i="911"/>
  <c r="N16" i="911"/>
  <c r="N10" i="911"/>
  <c r="N19" i="910"/>
  <c r="N17" i="910"/>
  <c r="N13" i="907"/>
  <c r="L46" i="913" l="1"/>
  <c r="M46" i="913" s="1"/>
  <c r="L44" i="912"/>
  <c r="M44" i="912" s="1"/>
  <c r="N18" i="904"/>
  <c r="M27" i="911" l="1"/>
  <c r="L27" i="911"/>
  <c r="K27" i="911"/>
  <c r="R17" i="911"/>
  <c r="S17" i="911"/>
  <c r="T17" i="911"/>
  <c r="U17" i="911"/>
  <c r="V17" i="911"/>
  <c r="W17" i="911"/>
  <c r="X17" i="911"/>
  <c r="Y17" i="911"/>
  <c r="Z17" i="911"/>
  <c r="R18" i="911"/>
  <c r="S18" i="911"/>
  <c r="T18" i="911"/>
  <c r="U18" i="911"/>
  <c r="V18" i="911"/>
  <c r="W18" i="911"/>
  <c r="X18" i="911"/>
  <c r="Y18" i="911"/>
  <c r="Z18" i="911"/>
  <c r="R19" i="911"/>
  <c r="S19" i="911"/>
  <c r="T19" i="911"/>
  <c r="U19" i="911"/>
  <c r="V19" i="911"/>
  <c r="W19" i="911"/>
  <c r="X19" i="911"/>
  <c r="Y19" i="911"/>
  <c r="Z19" i="911"/>
  <c r="R20" i="911"/>
  <c r="S20" i="911"/>
  <c r="T20" i="911"/>
  <c r="U20" i="911"/>
  <c r="V20" i="911"/>
  <c r="W20" i="911"/>
  <c r="X20" i="911"/>
  <c r="Y20" i="911"/>
  <c r="Z20" i="911"/>
  <c r="R21" i="911"/>
  <c r="S21" i="911"/>
  <c r="T21" i="911"/>
  <c r="U21" i="911"/>
  <c r="V21" i="911"/>
  <c r="W21" i="911"/>
  <c r="X21" i="911"/>
  <c r="Y21" i="911"/>
  <c r="Z21" i="911"/>
  <c r="R22" i="911"/>
  <c r="S22" i="911"/>
  <c r="T22" i="911"/>
  <c r="U22" i="911"/>
  <c r="V22" i="911"/>
  <c r="W22" i="911"/>
  <c r="X22" i="911"/>
  <c r="Y22" i="911"/>
  <c r="Z22" i="911"/>
  <c r="R23" i="911"/>
  <c r="S23" i="911"/>
  <c r="T23" i="911"/>
  <c r="U23" i="911"/>
  <c r="V23" i="911"/>
  <c r="W23" i="911"/>
  <c r="X23" i="911"/>
  <c r="Y23" i="911"/>
  <c r="Z23" i="911"/>
  <c r="R24" i="911"/>
  <c r="S24" i="911"/>
  <c r="T24" i="911"/>
  <c r="U24" i="911"/>
  <c r="V24" i="911"/>
  <c r="W24" i="911"/>
  <c r="X24" i="911"/>
  <c r="Y24" i="911"/>
  <c r="Z24" i="911"/>
  <c r="R25" i="911"/>
  <c r="S25" i="911"/>
  <c r="T25" i="911"/>
  <c r="U25" i="911"/>
  <c r="V25" i="911"/>
  <c r="W25" i="911"/>
  <c r="X25" i="911"/>
  <c r="Y25" i="911"/>
  <c r="Z25" i="911"/>
  <c r="R26" i="911"/>
  <c r="S26" i="911"/>
  <c r="T26" i="911"/>
  <c r="U26" i="911"/>
  <c r="V26" i="911"/>
  <c r="W26" i="911"/>
  <c r="X26" i="911"/>
  <c r="Y26" i="911"/>
  <c r="Z26" i="911"/>
  <c r="R27" i="911"/>
  <c r="S27" i="911"/>
  <c r="T27" i="911"/>
  <c r="U27" i="911"/>
  <c r="V27" i="911"/>
  <c r="W27" i="911"/>
  <c r="X27" i="911"/>
  <c r="Y27" i="911"/>
  <c r="Z27" i="911"/>
  <c r="R28" i="911"/>
  <c r="S28" i="911"/>
  <c r="T28" i="911"/>
  <c r="U28" i="911"/>
  <c r="V28" i="911"/>
  <c r="W28" i="911"/>
  <c r="X28" i="911"/>
  <c r="Y28" i="911"/>
  <c r="Z28" i="911"/>
  <c r="R29" i="911"/>
  <c r="S29" i="911"/>
  <c r="T29" i="911"/>
  <c r="U29" i="911"/>
  <c r="V29" i="911"/>
  <c r="W29" i="911"/>
  <c r="X29" i="911"/>
  <c r="Y29" i="911"/>
  <c r="Z29" i="911"/>
  <c r="R30" i="911"/>
  <c r="S30" i="911"/>
  <c r="T30" i="911"/>
  <c r="U30" i="911"/>
  <c r="V30" i="911"/>
  <c r="W30" i="911"/>
  <c r="X30" i="911"/>
  <c r="Y30" i="911"/>
  <c r="Z30" i="911"/>
  <c r="R31" i="911"/>
  <c r="S31" i="911"/>
  <c r="T31" i="911"/>
  <c r="U31" i="911"/>
  <c r="V31" i="911"/>
  <c r="W31" i="911"/>
  <c r="X31" i="911"/>
  <c r="Y31" i="911"/>
  <c r="Z31" i="911"/>
  <c r="R32" i="911"/>
  <c r="S32" i="911"/>
  <c r="T32" i="911"/>
  <c r="U32" i="911"/>
  <c r="V32" i="911"/>
  <c r="W32" i="911"/>
  <c r="X32" i="911"/>
  <c r="Y32" i="911"/>
  <c r="Z32" i="911"/>
  <c r="D18" i="911"/>
  <c r="E18" i="911"/>
  <c r="F18" i="911"/>
  <c r="G18" i="911"/>
  <c r="M18" i="911"/>
  <c r="O18" i="911"/>
  <c r="D19" i="911"/>
  <c r="E19" i="911"/>
  <c r="F19" i="911"/>
  <c r="G19" i="911"/>
  <c r="M19" i="911"/>
  <c r="O19" i="911"/>
  <c r="D20" i="911"/>
  <c r="E20" i="911"/>
  <c r="F20" i="911"/>
  <c r="G20" i="911"/>
  <c r="M20" i="911"/>
  <c r="O20" i="911"/>
  <c r="I11" i="911"/>
  <c r="J11" i="911"/>
  <c r="L11" i="911"/>
  <c r="M11" i="911"/>
  <c r="O11" i="911"/>
  <c r="I12" i="911"/>
  <c r="J12" i="911"/>
  <c r="L12" i="911"/>
  <c r="M12" i="911"/>
  <c r="O12" i="911"/>
  <c r="I13" i="911"/>
  <c r="J13" i="911"/>
  <c r="L13" i="911"/>
  <c r="M13" i="911"/>
  <c r="O13" i="911"/>
  <c r="I14" i="911"/>
  <c r="J14" i="911"/>
  <c r="L14" i="911"/>
  <c r="M14" i="911"/>
  <c r="O14" i="911"/>
  <c r="I15" i="911"/>
  <c r="J15" i="911"/>
  <c r="L15" i="911"/>
  <c r="M15" i="911"/>
  <c r="O15" i="911"/>
  <c r="I16" i="911"/>
  <c r="J16" i="911"/>
  <c r="L16" i="911"/>
  <c r="M16" i="911"/>
  <c r="O16" i="911"/>
  <c r="C11" i="911"/>
  <c r="D11" i="911"/>
  <c r="E11" i="911"/>
  <c r="F11" i="911"/>
  <c r="G11" i="911"/>
  <c r="C12" i="911"/>
  <c r="D12" i="911"/>
  <c r="E12" i="911"/>
  <c r="F12" i="911"/>
  <c r="G12" i="911"/>
  <c r="C13" i="911"/>
  <c r="D13" i="911"/>
  <c r="E13" i="911"/>
  <c r="F13" i="911"/>
  <c r="G13" i="911"/>
  <c r="C14" i="911"/>
  <c r="D14" i="911"/>
  <c r="E14" i="911"/>
  <c r="F14" i="911"/>
  <c r="G14" i="911"/>
  <c r="C15" i="911"/>
  <c r="D15" i="911"/>
  <c r="E15" i="911"/>
  <c r="F15" i="911"/>
  <c r="G15" i="911"/>
  <c r="C16" i="911"/>
  <c r="D16" i="911"/>
  <c r="E16" i="911"/>
  <c r="F16" i="911"/>
  <c r="G16" i="911"/>
  <c r="F71" i="911"/>
  <c r="AX55" i="911"/>
  <c r="AW55" i="911"/>
  <c r="AV55" i="911"/>
  <c r="AU55" i="911"/>
  <c r="AT55" i="911"/>
  <c r="AS55" i="911"/>
  <c r="AR55" i="911"/>
  <c r="AQ55" i="911"/>
  <c r="AP55" i="911"/>
  <c r="AO55" i="911"/>
  <c r="AN55" i="911"/>
  <c r="AM55" i="911"/>
  <c r="AL55" i="911"/>
  <c r="AK55" i="911"/>
  <c r="AJ55" i="911"/>
  <c r="AI55" i="911"/>
  <c r="AH55" i="911"/>
  <c r="AG55" i="911"/>
  <c r="AF55" i="911"/>
  <c r="AE55" i="911"/>
  <c r="AD55" i="911"/>
  <c r="AC55" i="911"/>
  <c r="AB55" i="911"/>
  <c r="K50" i="911"/>
  <c r="L41" i="911" s="1"/>
  <c r="M41" i="911" s="1"/>
  <c r="Z37" i="911"/>
  <c r="Y37" i="911"/>
  <c r="X37" i="911"/>
  <c r="W37" i="911"/>
  <c r="V37" i="911"/>
  <c r="U37" i="911"/>
  <c r="T37" i="911"/>
  <c r="S37" i="911"/>
  <c r="R37" i="911"/>
  <c r="Z36" i="911"/>
  <c r="Y36" i="911"/>
  <c r="X36" i="911"/>
  <c r="W36" i="911"/>
  <c r="V36" i="911"/>
  <c r="U36" i="911"/>
  <c r="T36" i="911"/>
  <c r="S36" i="911"/>
  <c r="R36" i="911"/>
  <c r="Z35" i="911"/>
  <c r="Y35" i="911"/>
  <c r="X35" i="911"/>
  <c r="W35" i="911"/>
  <c r="V35" i="911"/>
  <c r="U35" i="911"/>
  <c r="T35" i="911"/>
  <c r="S35" i="911"/>
  <c r="R35" i="911"/>
  <c r="Z34" i="911"/>
  <c r="Y34" i="911"/>
  <c r="X34" i="911"/>
  <c r="W34" i="911"/>
  <c r="V34" i="911"/>
  <c r="U34" i="911"/>
  <c r="T34" i="911"/>
  <c r="S34" i="911"/>
  <c r="R34" i="911"/>
  <c r="Z33" i="911"/>
  <c r="Y33" i="911"/>
  <c r="X33" i="911"/>
  <c r="W33" i="911"/>
  <c r="V33" i="911"/>
  <c r="U33" i="911"/>
  <c r="T33" i="911"/>
  <c r="S33" i="911"/>
  <c r="R33" i="911"/>
  <c r="M32" i="911"/>
  <c r="L32" i="911"/>
  <c r="K32" i="911"/>
  <c r="M31" i="911"/>
  <c r="L31" i="911"/>
  <c r="K31" i="911"/>
  <c r="M29" i="911"/>
  <c r="L29" i="911"/>
  <c r="K29" i="911"/>
  <c r="Z16" i="911"/>
  <c r="Y16" i="911"/>
  <c r="X16" i="911"/>
  <c r="W16" i="911"/>
  <c r="V16" i="911"/>
  <c r="U16" i="911"/>
  <c r="T16" i="911"/>
  <c r="S16" i="911"/>
  <c r="R16" i="911"/>
  <c r="Z15" i="911"/>
  <c r="Y15" i="911"/>
  <c r="X15" i="911"/>
  <c r="W15" i="911"/>
  <c r="V15" i="911"/>
  <c r="U15" i="911"/>
  <c r="T15" i="911"/>
  <c r="S15" i="911"/>
  <c r="R15" i="911"/>
  <c r="Z14" i="911"/>
  <c r="Y14" i="911"/>
  <c r="X14" i="911"/>
  <c r="W14" i="911"/>
  <c r="V14" i="911"/>
  <c r="U14" i="911"/>
  <c r="T14" i="911"/>
  <c r="S14" i="911"/>
  <c r="R14" i="911"/>
  <c r="Z13" i="911"/>
  <c r="Y13" i="911"/>
  <c r="X13" i="911"/>
  <c r="W13" i="911"/>
  <c r="V13" i="911"/>
  <c r="U13" i="911"/>
  <c r="T13" i="911"/>
  <c r="S13" i="911"/>
  <c r="R13" i="911"/>
  <c r="Z12" i="911"/>
  <c r="Y12" i="911"/>
  <c r="X12" i="911"/>
  <c r="W12" i="911"/>
  <c r="V12" i="911"/>
  <c r="U12" i="911"/>
  <c r="T12" i="911"/>
  <c r="S12" i="911"/>
  <c r="R12" i="911"/>
  <c r="Z11" i="911"/>
  <c r="Y11" i="911"/>
  <c r="X11" i="911"/>
  <c r="W11" i="911"/>
  <c r="V11" i="911"/>
  <c r="U11" i="911"/>
  <c r="T11" i="911"/>
  <c r="S11" i="911"/>
  <c r="R11" i="911"/>
  <c r="Z10" i="911"/>
  <c r="Y10" i="911"/>
  <c r="X10" i="911"/>
  <c r="W10" i="911"/>
  <c r="V10" i="911"/>
  <c r="U10" i="911"/>
  <c r="T10" i="911"/>
  <c r="S10" i="911"/>
  <c r="R10" i="911"/>
  <c r="O10" i="911"/>
  <c r="M10" i="911"/>
  <c r="L10" i="911"/>
  <c r="J10" i="911"/>
  <c r="I10" i="911"/>
  <c r="G10" i="911"/>
  <c r="F10" i="911"/>
  <c r="E10" i="911"/>
  <c r="D10" i="911"/>
  <c r="C10" i="911"/>
  <c r="E60" i="910"/>
  <c r="J27" i="911" l="1"/>
  <c r="B60" i="910"/>
  <c r="B29" i="910"/>
  <c r="B41" i="910"/>
  <c r="C41" i="910" a="1"/>
  <c r="C41" i="910" s="1"/>
  <c r="C29" i="910" a="1"/>
  <c r="C29" i="910" s="1"/>
  <c r="M30" i="910" l="1"/>
  <c r="L30" i="910"/>
  <c r="K30" i="910"/>
  <c r="R15" i="910"/>
  <c r="S15" i="910"/>
  <c r="T15" i="910"/>
  <c r="U15" i="910"/>
  <c r="V15" i="910"/>
  <c r="W15" i="910"/>
  <c r="X15" i="910"/>
  <c r="Y15" i="910"/>
  <c r="Z15" i="910"/>
  <c r="R16" i="910"/>
  <c r="S16" i="910"/>
  <c r="T16" i="910"/>
  <c r="U16" i="910"/>
  <c r="V16" i="910"/>
  <c r="W16" i="910"/>
  <c r="X16" i="910"/>
  <c r="Y16" i="910"/>
  <c r="Z16" i="910"/>
  <c r="R17" i="910"/>
  <c r="S17" i="910"/>
  <c r="T17" i="910"/>
  <c r="U17" i="910"/>
  <c r="V17" i="910"/>
  <c r="W17" i="910"/>
  <c r="X17" i="910"/>
  <c r="Y17" i="910"/>
  <c r="Z17" i="910"/>
  <c r="R19" i="910"/>
  <c r="S19" i="910"/>
  <c r="T19" i="910"/>
  <c r="U19" i="910"/>
  <c r="V19" i="910"/>
  <c r="W19" i="910"/>
  <c r="X19" i="910"/>
  <c r="Y19" i="910"/>
  <c r="Z19" i="910"/>
  <c r="R20" i="910"/>
  <c r="S20" i="910"/>
  <c r="T20" i="910"/>
  <c r="U20" i="910"/>
  <c r="V20" i="910"/>
  <c r="W20" i="910"/>
  <c r="X20" i="910"/>
  <c r="Y20" i="910"/>
  <c r="Z20" i="910"/>
  <c r="R21" i="910"/>
  <c r="S21" i="910"/>
  <c r="T21" i="910"/>
  <c r="U21" i="910"/>
  <c r="V21" i="910"/>
  <c r="W21" i="910"/>
  <c r="X21" i="910"/>
  <c r="Y21" i="910"/>
  <c r="Z21" i="910"/>
  <c r="R22" i="910"/>
  <c r="S22" i="910"/>
  <c r="T22" i="910"/>
  <c r="U22" i="910"/>
  <c r="V22" i="910"/>
  <c r="W22" i="910"/>
  <c r="X22" i="910"/>
  <c r="Y22" i="910"/>
  <c r="Z22" i="910"/>
  <c r="R23" i="910"/>
  <c r="S23" i="910"/>
  <c r="T23" i="910"/>
  <c r="U23" i="910"/>
  <c r="V23" i="910"/>
  <c r="W23" i="910"/>
  <c r="X23" i="910"/>
  <c r="Y23" i="910"/>
  <c r="Z23" i="910"/>
  <c r="I17" i="910"/>
  <c r="J17" i="910"/>
  <c r="L17" i="910"/>
  <c r="M17" i="910"/>
  <c r="O17" i="910"/>
  <c r="I19" i="910"/>
  <c r="J19" i="910"/>
  <c r="L19" i="910"/>
  <c r="M19" i="910"/>
  <c r="O19" i="910"/>
  <c r="C17" i="910"/>
  <c r="D17" i="910"/>
  <c r="E17" i="910"/>
  <c r="F17" i="910"/>
  <c r="G17" i="910"/>
  <c r="C19" i="910"/>
  <c r="D19" i="910"/>
  <c r="E19" i="910"/>
  <c r="F19" i="910"/>
  <c r="G19" i="910"/>
  <c r="R11" i="910"/>
  <c r="S11" i="910"/>
  <c r="T11" i="910"/>
  <c r="U11" i="910"/>
  <c r="V11" i="910"/>
  <c r="W11" i="910"/>
  <c r="X11" i="910"/>
  <c r="Y11" i="910"/>
  <c r="Z11" i="910"/>
  <c r="R12" i="910"/>
  <c r="S12" i="910"/>
  <c r="T12" i="910"/>
  <c r="U12" i="910"/>
  <c r="V12" i="910"/>
  <c r="W12" i="910"/>
  <c r="X12" i="910"/>
  <c r="Y12" i="910"/>
  <c r="Z12" i="910"/>
  <c r="R13" i="910"/>
  <c r="S13" i="910"/>
  <c r="T13" i="910"/>
  <c r="U13" i="910"/>
  <c r="V13" i="910"/>
  <c r="W13" i="910"/>
  <c r="X13" i="910"/>
  <c r="Y13" i="910"/>
  <c r="Z13" i="910"/>
  <c r="R14" i="910"/>
  <c r="S14" i="910"/>
  <c r="T14" i="910"/>
  <c r="U14" i="910"/>
  <c r="V14" i="910"/>
  <c r="W14" i="910"/>
  <c r="X14" i="910"/>
  <c r="Y14" i="910"/>
  <c r="Z14" i="910"/>
  <c r="R24" i="910"/>
  <c r="S24" i="910"/>
  <c r="T24" i="910"/>
  <c r="U24" i="910"/>
  <c r="V24" i="910"/>
  <c r="W24" i="910"/>
  <c r="X24" i="910"/>
  <c r="Y24" i="910"/>
  <c r="Z24" i="910"/>
  <c r="R25" i="910"/>
  <c r="S25" i="910"/>
  <c r="T25" i="910"/>
  <c r="U25" i="910"/>
  <c r="V25" i="910"/>
  <c r="W25" i="910"/>
  <c r="X25" i="910"/>
  <c r="Y25" i="910"/>
  <c r="Z25" i="910"/>
  <c r="R26" i="910"/>
  <c r="S26" i="910"/>
  <c r="T26" i="910"/>
  <c r="U26" i="910"/>
  <c r="V26" i="910"/>
  <c r="W26" i="910"/>
  <c r="X26" i="910"/>
  <c r="Y26" i="910"/>
  <c r="Z26" i="910"/>
  <c r="R27" i="910"/>
  <c r="S27" i="910"/>
  <c r="T27" i="910"/>
  <c r="U27" i="910"/>
  <c r="V27" i="910"/>
  <c r="W27" i="910"/>
  <c r="X27" i="910"/>
  <c r="Y27" i="910"/>
  <c r="Z27" i="910"/>
  <c r="R28" i="910"/>
  <c r="S28" i="910"/>
  <c r="T28" i="910"/>
  <c r="U28" i="910"/>
  <c r="V28" i="910"/>
  <c r="W28" i="910"/>
  <c r="X28" i="910"/>
  <c r="Y28" i="910"/>
  <c r="Z28" i="910"/>
  <c r="R29" i="910"/>
  <c r="S29" i="910"/>
  <c r="T29" i="910"/>
  <c r="U29" i="910"/>
  <c r="V29" i="910"/>
  <c r="W29" i="910"/>
  <c r="X29" i="910"/>
  <c r="Y29" i="910"/>
  <c r="Z29" i="910"/>
  <c r="R30" i="910"/>
  <c r="S30" i="910"/>
  <c r="T30" i="910"/>
  <c r="U30" i="910"/>
  <c r="V30" i="910"/>
  <c r="W30" i="910"/>
  <c r="X30" i="910"/>
  <c r="Y30" i="910"/>
  <c r="Z30" i="910"/>
  <c r="R31" i="910"/>
  <c r="S31" i="910"/>
  <c r="T31" i="910"/>
  <c r="U31" i="910"/>
  <c r="V31" i="910"/>
  <c r="W31" i="910"/>
  <c r="X31" i="910"/>
  <c r="Y31" i="910"/>
  <c r="Z31" i="910"/>
  <c r="J30" i="910" l="1"/>
  <c r="B58" i="910"/>
  <c r="M10" i="910"/>
  <c r="O10" i="910"/>
  <c r="M11" i="910"/>
  <c r="O11" i="910"/>
  <c r="M12" i="910"/>
  <c r="O12" i="910"/>
  <c r="M13" i="910"/>
  <c r="O13" i="910"/>
  <c r="M14" i="910"/>
  <c r="O14" i="910"/>
  <c r="M15" i="910"/>
  <c r="O15" i="910"/>
  <c r="D10" i="910"/>
  <c r="E10" i="910"/>
  <c r="F10" i="910"/>
  <c r="G10" i="910"/>
  <c r="D11" i="910"/>
  <c r="E11" i="910"/>
  <c r="F11" i="910"/>
  <c r="G11" i="910"/>
  <c r="D12" i="910"/>
  <c r="E12" i="910"/>
  <c r="F12" i="910"/>
  <c r="G12" i="910"/>
  <c r="D13" i="910"/>
  <c r="E13" i="910"/>
  <c r="F13" i="910"/>
  <c r="G13" i="910"/>
  <c r="D14" i="910"/>
  <c r="E14" i="910"/>
  <c r="F14" i="910"/>
  <c r="G14" i="910"/>
  <c r="D15" i="910"/>
  <c r="E15" i="910"/>
  <c r="F15" i="910"/>
  <c r="G15" i="910"/>
  <c r="F74" i="910"/>
  <c r="AX58" i="910"/>
  <c r="AW58" i="910"/>
  <c r="AV58" i="910"/>
  <c r="AU58" i="910"/>
  <c r="AT58" i="910"/>
  <c r="AS58" i="910"/>
  <c r="AR58" i="910"/>
  <c r="AQ58" i="910"/>
  <c r="AP58" i="910"/>
  <c r="AO58" i="910"/>
  <c r="AN58" i="910"/>
  <c r="AM58" i="910"/>
  <c r="AL58" i="910"/>
  <c r="AK58" i="910"/>
  <c r="AJ58" i="910"/>
  <c r="AI58" i="910"/>
  <c r="AH58" i="910"/>
  <c r="AG58" i="910"/>
  <c r="AF58" i="910"/>
  <c r="AE58" i="910"/>
  <c r="AD58" i="910"/>
  <c r="AC58" i="910"/>
  <c r="AB58" i="910"/>
  <c r="K53" i="910"/>
  <c r="L44" i="910" s="1"/>
  <c r="M44" i="910" s="1"/>
  <c r="Z40" i="910"/>
  <c r="Y40" i="910"/>
  <c r="X40" i="910"/>
  <c r="W40" i="910"/>
  <c r="V40" i="910"/>
  <c r="U40" i="910"/>
  <c r="T40" i="910"/>
  <c r="S40" i="910"/>
  <c r="R40" i="910"/>
  <c r="Z39" i="910"/>
  <c r="Y39" i="910"/>
  <c r="X39" i="910"/>
  <c r="W39" i="910"/>
  <c r="V39" i="910"/>
  <c r="U39" i="910"/>
  <c r="T39" i="910"/>
  <c r="S39" i="910"/>
  <c r="R39" i="910"/>
  <c r="Z38" i="910"/>
  <c r="Y38" i="910"/>
  <c r="X38" i="910"/>
  <c r="W38" i="910"/>
  <c r="V38" i="910"/>
  <c r="U38" i="910"/>
  <c r="T38" i="910"/>
  <c r="S38" i="910"/>
  <c r="R38" i="910"/>
  <c r="Z37" i="910"/>
  <c r="Y37" i="910"/>
  <c r="X37" i="910"/>
  <c r="W37" i="910"/>
  <c r="V37" i="910"/>
  <c r="U37" i="910"/>
  <c r="T37" i="910"/>
  <c r="S37" i="910"/>
  <c r="R37" i="910"/>
  <c r="Z36" i="910"/>
  <c r="Y36" i="910"/>
  <c r="X36" i="910"/>
  <c r="W36" i="910"/>
  <c r="V36" i="910"/>
  <c r="U36" i="910"/>
  <c r="T36" i="910"/>
  <c r="S36" i="910"/>
  <c r="R36" i="910"/>
  <c r="Z35" i="910"/>
  <c r="Y35" i="910"/>
  <c r="X35" i="910"/>
  <c r="W35" i="910"/>
  <c r="V35" i="910"/>
  <c r="U35" i="910"/>
  <c r="T35" i="910"/>
  <c r="S35" i="910"/>
  <c r="R35" i="910"/>
  <c r="M35" i="910"/>
  <c r="L35" i="910"/>
  <c r="K35" i="910"/>
  <c r="Z34" i="910"/>
  <c r="Y34" i="910"/>
  <c r="X34" i="910"/>
  <c r="W34" i="910"/>
  <c r="V34" i="910"/>
  <c r="U34" i="910"/>
  <c r="T34" i="910"/>
  <c r="S34" i="910"/>
  <c r="R34" i="910"/>
  <c r="M34" i="910"/>
  <c r="L34" i="910"/>
  <c r="K34" i="910"/>
  <c r="Z33" i="910"/>
  <c r="Y33" i="910"/>
  <c r="X33" i="910"/>
  <c r="W33" i="910"/>
  <c r="V33" i="910"/>
  <c r="U33" i="910"/>
  <c r="T33" i="910"/>
  <c r="S33" i="910"/>
  <c r="R33" i="910"/>
  <c r="Z32" i="910"/>
  <c r="Y32" i="910"/>
  <c r="X32" i="910"/>
  <c r="W32" i="910"/>
  <c r="V32" i="910"/>
  <c r="U32" i="910"/>
  <c r="T32" i="910"/>
  <c r="S32" i="910"/>
  <c r="R32" i="910"/>
  <c r="M32" i="910"/>
  <c r="L32" i="910"/>
  <c r="K32" i="910"/>
  <c r="Z10" i="910"/>
  <c r="Y10" i="910"/>
  <c r="X10" i="910"/>
  <c r="W10" i="910"/>
  <c r="V10" i="910"/>
  <c r="U10" i="910"/>
  <c r="T10" i="910"/>
  <c r="S10" i="910"/>
  <c r="R10" i="910"/>
  <c r="M10" i="909"/>
  <c r="O10" i="909"/>
  <c r="B50" i="909"/>
  <c r="D10" i="909"/>
  <c r="E10" i="909"/>
  <c r="F10" i="909"/>
  <c r="G10" i="909"/>
  <c r="F66" i="909"/>
  <c r="AX50" i="909"/>
  <c r="AW50" i="909"/>
  <c r="AV50" i="909"/>
  <c r="AU50" i="909"/>
  <c r="AT50" i="909"/>
  <c r="AS50" i="909"/>
  <c r="AR50" i="909"/>
  <c r="AQ50" i="909"/>
  <c r="AP50" i="909"/>
  <c r="AO50" i="909"/>
  <c r="AN50" i="909"/>
  <c r="AM50" i="909"/>
  <c r="AL50" i="909"/>
  <c r="AK50" i="909"/>
  <c r="AJ50" i="909"/>
  <c r="AI50" i="909"/>
  <c r="AH50" i="909"/>
  <c r="AG50" i="909"/>
  <c r="AF50" i="909"/>
  <c r="AE50" i="909"/>
  <c r="AD50" i="909"/>
  <c r="AC50" i="909"/>
  <c r="AB50" i="909"/>
  <c r="K45" i="909"/>
  <c r="L36" i="909" s="1"/>
  <c r="M36" i="909" s="1"/>
  <c r="Z32" i="909"/>
  <c r="Y32" i="909"/>
  <c r="X32" i="909"/>
  <c r="W32" i="909"/>
  <c r="V32" i="909"/>
  <c r="U32" i="909"/>
  <c r="T32" i="909"/>
  <c r="S32" i="909"/>
  <c r="R32" i="909"/>
  <c r="Z31" i="909"/>
  <c r="Y31" i="909"/>
  <c r="X31" i="909"/>
  <c r="W31" i="909"/>
  <c r="V31" i="909"/>
  <c r="U31" i="909"/>
  <c r="T31" i="909"/>
  <c r="S31" i="909"/>
  <c r="R31" i="909"/>
  <c r="Z30" i="909"/>
  <c r="Y30" i="909"/>
  <c r="X30" i="909"/>
  <c r="W30" i="909"/>
  <c r="V30" i="909"/>
  <c r="U30" i="909"/>
  <c r="T30" i="909"/>
  <c r="S30" i="909"/>
  <c r="R30" i="909"/>
  <c r="Z29" i="909"/>
  <c r="Y29" i="909"/>
  <c r="X29" i="909"/>
  <c r="W29" i="909"/>
  <c r="V29" i="909"/>
  <c r="U29" i="909"/>
  <c r="T29" i="909"/>
  <c r="S29" i="909"/>
  <c r="R29" i="909"/>
  <c r="Z28" i="909"/>
  <c r="Y28" i="909"/>
  <c r="X28" i="909"/>
  <c r="W28" i="909"/>
  <c r="V28" i="909"/>
  <c r="U28" i="909"/>
  <c r="T28" i="909"/>
  <c r="S28" i="909"/>
  <c r="R28" i="909"/>
  <c r="Z27" i="909"/>
  <c r="Y27" i="909"/>
  <c r="X27" i="909"/>
  <c r="W27" i="909"/>
  <c r="V27" i="909"/>
  <c r="U27" i="909"/>
  <c r="T27" i="909"/>
  <c r="S27" i="909"/>
  <c r="R27" i="909"/>
  <c r="M27" i="909"/>
  <c r="L27" i="909"/>
  <c r="K27" i="909"/>
  <c r="Z26" i="909"/>
  <c r="Y26" i="909"/>
  <c r="X26" i="909"/>
  <c r="W26" i="909"/>
  <c r="V26" i="909"/>
  <c r="U26" i="909"/>
  <c r="T26" i="909"/>
  <c r="S26" i="909"/>
  <c r="R26" i="909"/>
  <c r="M26" i="909"/>
  <c r="L26" i="909"/>
  <c r="K26" i="909"/>
  <c r="Z25" i="909"/>
  <c r="Y25" i="909"/>
  <c r="X25" i="909"/>
  <c r="W25" i="909"/>
  <c r="V25" i="909"/>
  <c r="U25" i="909"/>
  <c r="T25" i="909"/>
  <c r="S25" i="909"/>
  <c r="R25" i="909"/>
  <c r="Z24" i="909"/>
  <c r="Y24" i="909"/>
  <c r="X24" i="909"/>
  <c r="W24" i="909"/>
  <c r="V24" i="909"/>
  <c r="U24" i="909"/>
  <c r="T24" i="909"/>
  <c r="S24" i="909"/>
  <c r="R24" i="909"/>
  <c r="M24" i="909"/>
  <c r="L24" i="909"/>
  <c r="K24" i="909"/>
  <c r="Z23" i="909"/>
  <c r="Y23" i="909"/>
  <c r="X23" i="909"/>
  <c r="W23" i="909"/>
  <c r="V23" i="909"/>
  <c r="U23" i="909"/>
  <c r="T23" i="909"/>
  <c r="S23" i="909"/>
  <c r="R23" i="909"/>
  <c r="Z22" i="909"/>
  <c r="Y22" i="909"/>
  <c r="X22" i="909"/>
  <c r="W22" i="909"/>
  <c r="V22" i="909"/>
  <c r="U22" i="909"/>
  <c r="T22" i="909"/>
  <c r="S22" i="909"/>
  <c r="R22" i="909"/>
  <c r="M22" i="909"/>
  <c r="L22" i="909"/>
  <c r="K22" i="909"/>
  <c r="Z21" i="909"/>
  <c r="Y21" i="909"/>
  <c r="X21" i="909"/>
  <c r="W21" i="909"/>
  <c r="V21" i="909"/>
  <c r="U21" i="909"/>
  <c r="T21" i="909"/>
  <c r="S21" i="909"/>
  <c r="R21" i="909"/>
  <c r="Z20" i="909"/>
  <c r="Y20" i="909"/>
  <c r="X20" i="909"/>
  <c r="W20" i="909"/>
  <c r="V20" i="909"/>
  <c r="U20" i="909"/>
  <c r="T20" i="909"/>
  <c r="S20" i="909"/>
  <c r="R20" i="909"/>
  <c r="Z19" i="909"/>
  <c r="Y19" i="909"/>
  <c r="X19" i="909"/>
  <c r="W19" i="909"/>
  <c r="V19" i="909"/>
  <c r="U19" i="909"/>
  <c r="T19" i="909"/>
  <c r="S19" i="909"/>
  <c r="R19" i="909"/>
  <c r="Z18" i="909"/>
  <c r="Y18" i="909"/>
  <c r="X18" i="909"/>
  <c r="W18" i="909"/>
  <c r="V18" i="909"/>
  <c r="U18" i="909"/>
  <c r="T18" i="909"/>
  <c r="S18" i="909"/>
  <c r="R18" i="909"/>
  <c r="Z17" i="909"/>
  <c r="Y17" i="909"/>
  <c r="X17" i="909"/>
  <c r="W17" i="909"/>
  <c r="V17" i="909"/>
  <c r="U17" i="909"/>
  <c r="T17" i="909"/>
  <c r="S17" i="909"/>
  <c r="R17" i="909"/>
  <c r="Z16" i="909"/>
  <c r="Y16" i="909"/>
  <c r="X16" i="909"/>
  <c r="W16" i="909"/>
  <c r="V16" i="909"/>
  <c r="U16" i="909"/>
  <c r="T16" i="909"/>
  <c r="S16" i="909"/>
  <c r="R16" i="909"/>
  <c r="Z15" i="909"/>
  <c r="Y15" i="909"/>
  <c r="X15" i="909"/>
  <c r="W15" i="909"/>
  <c r="V15" i="909"/>
  <c r="U15" i="909"/>
  <c r="T15" i="909"/>
  <c r="S15" i="909"/>
  <c r="R15" i="909"/>
  <c r="Z14" i="909"/>
  <c r="Y14" i="909"/>
  <c r="X14" i="909"/>
  <c r="W14" i="909"/>
  <c r="V14" i="909"/>
  <c r="U14" i="909"/>
  <c r="T14" i="909"/>
  <c r="S14" i="909"/>
  <c r="R14" i="909"/>
  <c r="Z13" i="909"/>
  <c r="Y13" i="909"/>
  <c r="X13" i="909"/>
  <c r="W13" i="909"/>
  <c r="V13" i="909"/>
  <c r="U13" i="909"/>
  <c r="T13" i="909"/>
  <c r="S13" i="909"/>
  <c r="R13" i="909"/>
  <c r="Z12" i="909"/>
  <c r="Y12" i="909"/>
  <c r="X12" i="909"/>
  <c r="W12" i="909"/>
  <c r="V12" i="909"/>
  <c r="U12" i="909"/>
  <c r="T12" i="909"/>
  <c r="S12" i="909"/>
  <c r="R12" i="909"/>
  <c r="Z11" i="909"/>
  <c r="Y11" i="909"/>
  <c r="X11" i="909"/>
  <c r="W11" i="909"/>
  <c r="V11" i="909"/>
  <c r="U11" i="909"/>
  <c r="T11" i="909"/>
  <c r="S11" i="909"/>
  <c r="R11" i="909"/>
  <c r="Z10" i="909"/>
  <c r="Y10" i="909"/>
  <c r="X10" i="909"/>
  <c r="W10" i="909"/>
  <c r="V10" i="909"/>
  <c r="U10" i="909"/>
  <c r="T10" i="909"/>
  <c r="S10" i="909"/>
  <c r="R10" i="909"/>
  <c r="B55" i="908" l="1"/>
  <c r="L41" i="908"/>
  <c r="R10" i="908"/>
  <c r="S10" i="908"/>
  <c r="T10" i="908"/>
  <c r="U10" i="908"/>
  <c r="V10" i="908"/>
  <c r="W10" i="908"/>
  <c r="X10" i="908"/>
  <c r="Y10" i="908"/>
  <c r="Z10" i="908"/>
  <c r="R11" i="908"/>
  <c r="S11" i="908"/>
  <c r="T11" i="908"/>
  <c r="U11" i="908"/>
  <c r="V11" i="908"/>
  <c r="W11" i="908"/>
  <c r="X11" i="908"/>
  <c r="Y11" i="908"/>
  <c r="Z11" i="908"/>
  <c r="R12" i="908"/>
  <c r="S12" i="908"/>
  <c r="T12" i="908"/>
  <c r="U12" i="908"/>
  <c r="V12" i="908"/>
  <c r="W12" i="908"/>
  <c r="X12" i="908"/>
  <c r="Y12" i="908"/>
  <c r="Z12" i="908"/>
  <c r="R13" i="908"/>
  <c r="S13" i="908"/>
  <c r="T13" i="908"/>
  <c r="U13" i="908"/>
  <c r="V13" i="908"/>
  <c r="W13" i="908"/>
  <c r="X13" i="908"/>
  <c r="Y13" i="908"/>
  <c r="Z13" i="908"/>
  <c r="R14" i="908"/>
  <c r="S14" i="908"/>
  <c r="T14" i="908"/>
  <c r="U14" i="908"/>
  <c r="V14" i="908"/>
  <c r="W14" i="908"/>
  <c r="X14" i="908"/>
  <c r="Y14" i="908"/>
  <c r="Z14" i="908"/>
  <c r="R15" i="908"/>
  <c r="S15" i="908"/>
  <c r="T15" i="908"/>
  <c r="U15" i="908"/>
  <c r="V15" i="908"/>
  <c r="W15" i="908"/>
  <c r="X15" i="908"/>
  <c r="Y15" i="908"/>
  <c r="Z15" i="908"/>
  <c r="R16" i="908"/>
  <c r="S16" i="908"/>
  <c r="T16" i="908"/>
  <c r="U16" i="908"/>
  <c r="V16" i="908"/>
  <c r="W16" i="908"/>
  <c r="X16" i="908"/>
  <c r="Y16" i="908"/>
  <c r="Z16" i="908"/>
  <c r="R17" i="908"/>
  <c r="S17" i="908"/>
  <c r="T17" i="908"/>
  <c r="U17" i="908"/>
  <c r="V17" i="908"/>
  <c r="W17" i="908"/>
  <c r="X17" i="908"/>
  <c r="Y17" i="908"/>
  <c r="Z17" i="908"/>
  <c r="R18" i="908"/>
  <c r="S18" i="908"/>
  <c r="T18" i="908"/>
  <c r="U18" i="908"/>
  <c r="V18" i="908"/>
  <c r="W18" i="908"/>
  <c r="X18" i="908"/>
  <c r="Y18" i="908"/>
  <c r="Z18" i="908"/>
  <c r="R19" i="908"/>
  <c r="S19" i="908"/>
  <c r="T19" i="908"/>
  <c r="U19" i="908"/>
  <c r="V19" i="908"/>
  <c r="W19" i="908"/>
  <c r="X19" i="908"/>
  <c r="Y19" i="908"/>
  <c r="Z19" i="908"/>
  <c r="R20" i="908"/>
  <c r="S20" i="908"/>
  <c r="T20" i="908"/>
  <c r="U20" i="908"/>
  <c r="V20" i="908"/>
  <c r="W20" i="908"/>
  <c r="X20" i="908"/>
  <c r="Y20" i="908"/>
  <c r="Z20" i="908"/>
  <c r="R21" i="908"/>
  <c r="S21" i="908"/>
  <c r="T21" i="908"/>
  <c r="U21" i="908"/>
  <c r="V21" i="908"/>
  <c r="W21" i="908"/>
  <c r="X21" i="908"/>
  <c r="Y21" i="908"/>
  <c r="Z21" i="908"/>
  <c r="R22" i="908"/>
  <c r="S22" i="908"/>
  <c r="T22" i="908"/>
  <c r="U22" i="908"/>
  <c r="V22" i="908"/>
  <c r="W22" i="908"/>
  <c r="X22" i="908"/>
  <c r="Y22" i="908"/>
  <c r="Z22" i="908"/>
  <c r="M10" i="908"/>
  <c r="O10" i="908"/>
  <c r="M11" i="908"/>
  <c r="O11" i="908"/>
  <c r="M12" i="908"/>
  <c r="O12" i="908"/>
  <c r="M13" i="908"/>
  <c r="O13" i="908"/>
  <c r="M14" i="908"/>
  <c r="O14" i="908"/>
  <c r="D10" i="908"/>
  <c r="E10" i="908"/>
  <c r="F10" i="908"/>
  <c r="G10" i="908"/>
  <c r="D11" i="908"/>
  <c r="E11" i="908"/>
  <c r="F11" i="908"/>
  <c r="G11" i="908"/>
  <c r="D12" i="908"/>
  <c r="E12" i="908"/>
  <c r="F12" i="908"/>
  <c r="G12" i="908"/>
  <c r="D13" i="908"/>
  <c r="E13" i="908"/>
  <c r="F13" i="908"/>
  <c r="G13" i="908"/>
  <c r="D14" i="908"/>
  <c r="E14" i="908"/>
  <c r="F14" i="908"/>
  <c r="G14" i="908"/>
  <c r="F71" i="908" l="1"/>
  <c r="AX55" i="908"/>
  <c r="AW55" i="908"/>
  <c r="AV55" i="908"/>
  <c r="AU55" i="908"/>
  <c r="AT55" i="908"/>
  <c r="AS55" i="908"/>
  <c r="AR55" i="908"/>
  <c r="AQ55" i="908"/>
  <c r="AP55" i="908"/>
  <c r="AO55" i="908"/>
  <c r="AN55" i="908"/>
  <c r="AM55" i="908"/>
  <c r="AL55" i="908"/>
  <c r="AK55" i="908"/>
  <c r="AJ55" i="908"/>
  <c r="AI55" i="908"/>
  <c r="AH55" i="908"/>
  <c r="AG55" i="908"/>
  <c r="AF55" i="908"/>
  <c r="AE55" i="908"/>
  <c r="AD55" i="908"/>
  <c r="AC55" i="908"/>
  <c r="AB55" i="908"/>
  <c r="K50" i="908"/>
  <c r="M41" i="908"/>
  <c r="Z37" i="908"/>
  <c r="Y37" i="908"/>
  <c r="X37" i="908"/>
  <c r="W37" i="908"/>
  <c r="V37" i="908"/>
  <c r="U37" i="908"/>
  <c r="T37" i="908"/>
  <c r="S37" i="908"/>
  <c r="R37" i="908"/>
  <c r="Z36" i="908"/>
  <c r="Y36" i="908"/>
  <c r="X36" i="908"/>
  <c r="W36" i="908"/>
  <c r="V36" i="908"/>
  <c r="U36" i="908"/>
  <c r="T36" i="908"/>
  <c r="S36" i="908"/>
  <c r="R36" i="908"/>
  <c r="Z35" i="908"/>
  <c r="Y35" i="908"/>
  <c r="X35" i="908"/>
  <c r="W35" i="908"/>
  <c r="V35" i="908"/>
  <c r="U35" i="908"/>
  <c r="T35" i="908"/>
  <c r="S35" i="908"/>
  <c r="R35" i="908"/>
  <c r="Z34" i="908"/>
  <c r="Y34" i="908"/>
  <c r="X34" i="908"/>
  <c r="W34" i="908"/>
  <c r="V34" i="908"/>
  <c r="U34" i="908"/>
  <c r="T34" i="908"/>
  <c r="S34" i="908"/>
  <c r="R34" i="908"/>
  <c r="Z33" i="908"/>
  <c r="Y33" i="908"/>
  <c r="X33" i="908"/>
  <c r="W33" i="908"/>
  <c r="V33" i="908"/>
  <c r="U33" i="908"/>
  <c r="T33" i="908"/>
  <c r="S33" i="908"/>
  <c r="R33" i="908"/>
  <c r="Z32" i="908"/>
  <c r="Y32" i="908"/>
  <c r="X32" i="908"/>
  <c r="W32" i="908"/>
  <c r="V32" i="908"/>
  <c r="U32" i="908"/>
  <c r="T32" i="908"/>
  <c r="S32" i="908"/>
  <c r="R32" i="908"/>
  <c r="M32" i="908"/>
  <c r="L32" i="908"/>
  <c r="K32" i="908"/>
  <c r="Z31" i="908"/>
  <c r="Y31" i="908"/>
  <c r="X31" i="908"/>
  <c r="W31" i="908"/>
  <c r="V31" i="908"/>
  <c r="U31" i="908"/>
  <c r="T31" i="908"/>
  <c r="S31" i="908"/>
  <c r="R31" i="908"/>
  <c r="M31" i="908"/>
  <c r="L31" i="908"/>
  <c r="K31" i="908"/>
  <c r="Z30" i="908"/>
  <c r="Y30" i="908"/>
  <c r="X30" i="908"/>
  <c r="W30" i="908"/>
  <c r="V30" i="908"/>
  <c r="U30" i="908"/>
  <c r="T30" i="908"/>
  <c r="S30" i="908"/>
  <c r="R30" i="908"/>
  <c r="Z29" i="908"/>
  <c r="Y29" i="908"/>
  <c r="X29" i="908"/>
  <c r="W29" i="908"/>
  <c r="V29" i="908"/>
  <c r="U29" i="908"/>
  <c r="T29" i="908"/>
  <c r="S29" i="908"/>
  <c r="R29" i="908"/>
  <c r="M29" i="908"/>
  <c r="L29" i="908"/>
  <c r="K29" i="908"/>
  <c r="Z28" i="908"/>
  <c r="Y28" i="908"/>
  <c r="X28" i="908"/>
  <c r="W28" i="908"/>
  <c r="V28" i="908"/>
  <c r="U28" i="908"/>
  <c r="T28" i="908"/>
  <c r="S28" i="908"/>
  <c r="R28" i="908"/>
  <c r="Z27" i="908"/>
  <c r="Y27" i="908"/>
  <c r="X27" i="908"/>
  <c r="W27" i="908"/>
  <c r="V27" i="908"/>
  <c r="U27" i="908"/>
  <c r="T27" i="908"/>
  <c r="S27" i="908"/>
  <c r="R27" i="908"/>
  <c r="M27" i="908"/>
  <c r="L27" i="908"/>
  <c r="K27" i="908"/>
  <c r="Z26" i="908"/>
  <c r="Y26" i="908"/>
  <c r="X26" i="908"/>
  <c r="W26" i="908"/>
  <c r="V26" i="908"/>
  <c r="U26" i="908"/>
  <c r="T26" i="908"/>
  <c r="S26" i="908"/>
  <c r="R26" i="908"/>
  <c r="Z25" i="908"/>
  <c r="Y25" i="908"/>
  <c r="X25" i="908"/>
  <c r="W25" i="908"/>
  <c r="V25" i="908"/>
  <c r="U25" i="908"/>
  <c r="T25" i="908"/>
  <c r="S25" i="908"/>
  <c r="R25" i="908"/>
  <c r="Z24" i="908"/>
  <c r="Y24" i="908"/>
  <c r="X24" i="908"/>
  <c r="W24" i="908"/>
  <c r="V24" i="908"/>
  <c r="U24" i="908"/>
  <c r="T24" i="908"/>
  <c r="S24" i="908"/>
  <c r="R24" i="908"/>
  <c r="Z23" i="908"/>
  <c r="Y23" i="908"/>
  <c r="X23" i="908"/>
  <c r="W23" i="908"/>
  <c r="V23" i="908"/>
  <c r="U23" i="908"/>
  <c r="T23" i="908"/>
  <c r="S23" i="908"/>
  <c r="R23" i="908"/>
  <c r="B65" i="907"/>
  <c r="B63" i="907"/>
  <c r="E67" i="907"/>
  <c r="B67" i="907"/>
  <c r="L49" i="907" l="1"/>
  <c r="J58" i="907"/>
  <c r="M35" i="907"/>
  <c r="L35" i="907"/>
  <c r="K35" i="907"/>
  <c r="M37" i="907"/>
  <c r="L37" i="907"/>
  <c r="K37" i="907"/>
  <c r="R12" i="907"/>
  <c r="S12" i="907"/>
  <c r="T12" i="907"/>
  <c r="U12" i="907"/>
  <c r="V12" i="907"/>
  <c r="W12" i="907"/>
  <c r="X12" i="907"/>
  <c r="Y12" i="907"/>
  <c r="Z12" i="907"/>
  <c r="R13" i="907"/>
  <c r="S13" i="907"/>
  <c r="T13" i="907"/>
  <c r="U13" i="907"/>
  <c r="V13" i="907"/>
  <c r="W13" i="907"/>
  <c r="X13" i="907"/>
  <c r="Y13" i="907"/>
  <c r="Z13" i="907"/>
  <c r="R14" i="907"/>
  <c r="S14" i="907"/>
  <c r="T14" i="907"/>
  <c r="U14" i="907"/>
  <c r="V14" i="907"/>
  <c r="W14" i="907"/>
  <c r="X14" i="907"/>
  <c r="Y14" i="907"/>
  <c r="Z14" i="907"/>
  <c r="R15" i="907"/>
  <c r="S15" i="907"/>
  <c r="T15" i="907"/>
  <c r="U15" i="907"/>
  <c r="V15" i="907"/>
  <c r="W15" i="907"/>
  <c r="X15" i="907"/>
  <c r="Y15" i="907"/>
  <c r="Z15" i="907"/>
  <c r="R16" i="907"/>
  <c r="S16" i="907"/>
  <c r="T16" i="907"/>
  <c r="U16" i="907"/>
  <c r="V16" i="907"/>
  <c r="W16" i="907"/>
  <c r="X16" i="907"/>
  <c r="Y16" i="907"/>
  <c r="Z16" i="907"/>
  <c r="R17" i="907"/>
  <c r="S17" i="907"/>
  <c r="T17" i="907"/>
  <c r="U17" i="907"/>
  <c r="V17" i="907"/>
  <c r="W17" i="907"/>
  <c r="X17" i="907"/>
  <c r="Y17" i="907"/>
  <c r="Z17" i="907"/>
  <c r="R18" i="907"/>
  <c r="S18" i="907"/>
  <c r="T18" i="907"/>
  <c r="U18" i="907"/>
  <c r="V18" i="907"/>
  <c r="W18" i="907"/>
  <c r="X18" i="907"/>
  <c r="Y18" i="907"/>
  <c r="Z18" i="907"/>
  <c r="R19" i="907"/>
  <c r="S19" i="907"/>
  <c r="T19" i="907"/>
  <c r="U19" i="907"/>
  <c r="V19" i="907"/>
  <c r="W19" i="907"/>
  <c r="X19" i="907"/>
  <c r="Y19" i="907"/>
  <c r="Z19" i="907"/>
  <c r="R20" i="907"/>
  <c r="S20" i="907"/>
  <c r="T20" i="907"/>
  <c r="U20" i="907"/>
  <c r="V20" i="907"/>
  <c r="W20" i="907"/>
  <c r="X20" i="907"/>
  <c r="Y20" i="907"/>
  <c r="Z20" i="907"/>
  <c r="R21" i="907"/>
  <c r="S21" i="907"/>
  <c r="T21" i="907"/>
  <c r="U21" i="907"/>
  <c r="V21" i="907"/>
  <c r="W21" i="907"/>
  <c r="X21" i="907"/>
  <c r="Y21" i="907"/>
  <c r="Z21" i="907"/>
  <c r="R22" i="907"/>
  <c r="S22" i="907"/>
  <c r="T22" i="907"/>
  <c r="U22" i="907"/>
  <c r="V22" i="907"/>
  <c r="W22" i="907"/>
  <c r="X22" i="907"/>
  <c r="Y22" i="907"/>
  <c r="Z22" i="907"/>
  <c r="R23" i="907"/>
  <c r="S23" i="907"/>
  <c r="T23" i="907"/>
  <c r="U23" i="907"/>
  <c r="V23" i="907"/>
  <c r="W23" i="907"/>
  <c r="X23" i="907"/>
  <c r="Y23" i="907"/>
  <c r="Z23" i="907"/>
  <c r="R24" i="907"/>
  <c r="S24" i="907"/>
  <c r="T24" i="907"/>
  <c r="U24" i="907"/>
  <c r="V24" i="907"/>
  <c r="W24" i="907"/>
  <c r="X24" i="907"/>
  <c r="Y24" i="907"/>
  <c r="Z24" i="907"/>
  <c r="R25" i="907"/>
  <c r="S25" i="907"/>
  <c r="T25" i="907"/>
  <c r="U25" i="907"/>
  <c r="V25" i="907"/>
  <c r="W25" i="907"/>
  <c r="X25" i="907"/>
  <c r="Y25" i="907"/>
  <c r="Z25" i="907"/>
  <c r="M21" i="907"/>
  <c r="O21" i="907"/>
  <c r="M22" i="907"/>
  <c r="O22" i="907"/>
  <c r="M23" i="907"/>
  <c r="O23" i="907"/>
  <c r="M24" i="907"/>
  <c r="O24" i="907"/>
  <c r="D21" i="907"/>
  <c r="E21" i="907"/>
  <c r="F21" i="907"/>
  <c r="G21" i="907"/>
  <c r="D22" i="907"/>
  <c r="E22" i="907"/>
  <c r="F22" i="907"/>
  <c r="G22" i="907"/>
  <c r="D23" i="907"/>
  <c r="E23" i="907"/>
  <c r="F23" i="907"/>
  <c r="G23" i="907"/>
  <c r="D24" i="907"/>
  <c r="E24" i="907"/>
  <c r="F24" i="907"/>
  <c r="G24" i="907"/>
  <c r="I16" i="907"/>
  <c r="J16" i="907"/>
  <c r="L16" i="907"/>
  <c r="M16" i="907"/>
  <c r="N16" i="907"/>
  <c r="O16" i="907"/>
  <c r="I17" i="907"/>
  <c r="J17" i="907"/>
  <c r="L17" i="907"/>
  <c r="M17" i="907"/>
  <c r="N17" i="907"/>
  <c r="O17" i="907"/>
  <c r="I18" i="907"/>
  <c r="J18" i="907"/>
  <c r="L18" i="907"/>
  <c r="M18" i="907"/>
  <c r="N18" i="907"/>
  <c r="O18" i="907"/>
  <c r="C16" i="907"/>
  <c r="D16" i="907"/>
  <c r="E16" i="907"/>
  <c r="F16" i="907"/>
  <c r="G16" i="907"/>
  <c r="C17" i="907"/>
  <c r="D17" i="907"/>
  <c r="E17" i="907"/>
  <c r="F17" i="907"/>
  <c r="G17" i="907"/>
  <c r="C18" i="907"/>
  <c r="D18" i="907"/>
  <c r="E18" i="907"/>
  <c r="F18" i="907"/>
  <c r="G18" i="907"/>
  <c r="O15" i="907"/>
  <c r="N15" i="907"/>
  <c r="M15" i="907"/>
  <c r="L15" i="907"/>
  <c r="J15" i="907"/>
  <c r="I15" i="907"/>
  <c r="G15" i="907"/>
  <c r="F15" i="907"/>
  <c r="E15" i="907"/>
  <c r="D15" i="907"/>
  <c r="C15" i="907"/>
  <c r="J37" i="907" l="1"/>
  <c r="R10" i="907"/>
  <c r="S10" i="907"/>
  <c r="T10" i="907"/>
  <c r="U10" i="907"/>
  <c r="V10" i="907"/>
  <c r="W10" i="907"/>
  <c r="X10" i="907"/>
  <c r="Y10" i="907"/>
  <c r="Z10" i="907"/>
  <c r="R11" i="907"/>
  <c r="S11" i="907"/>
  <c r="T11" i="907"/>
  <c r="U11" i="907"/>
  <c r="V11" i="907"/>
  <c r="W11" i="907"/>
  <c r="X11" i="907"/>
  <c r="Y11" i="907"/>
  <c r="Z11" i="907"/>
  <c r="R26" i="907"/>
  <c r="S26" i="907"/>
  <c r="T26" i="907"/>
  <c r="U26" i="907"/>
  <c r="V26" i="907"/>
  <c r="W26" i="907"/>
  <c r="X26" i="907"/>
  <c r="Y26" i="907"/>
  <c r="Z26" i="907"/>
  <c r="R27" i="907"/>
  <c r="S27" i="907"/>
  <c r="T27" i="907"/>
  <c r="U27" i="907"/>
  <c r="V27" i="907"/>
  <c r="W27" i="907"/>
  <c r="X27" i="907"/>
  <c r="Y27" i="907"/>
  <c r="Z27" i="907"/>
  <c r="R28" i="907"/>
  <c r="S28" i="907"/>
  <c r="T28" i="907"/>
  <c r="U28" i="907"/>
  <c r="V28" i="907"/>
  <c r="W28" i="907"/>
  <c r="X28" i="907"/>
  <c r="Y28" i="907"/>
  <c r="Z28" i="907"/>
  <c r="R29" i="907"/>
  <c r="S29" i="907"/>
  <c r="T29" i="907"/>
  <c r="U29" i="907"/>
  <c r="V29" i="907"/>
  <c r="W29" i="907"/>
  <c r="X29" i="907"/>
  <c r="Y29" i="907"/>
  <c r="Z29" i="907"/>
  <c r="O13" i="907"/>
  <c r="M13" i="907"/>
  <c r="L13" i="907"/>
  <c r="J13" i="907"/>
  <c r="I13" i="907"/>
  <c r="J35" i="907" s="1"/>
  <c r="G13" i="907"/>
  <c r="F13" i="907"/>
  <c r="E13" i="907"/>
  <c r="D13" i="907"/>
  <c r="C13" i="907"/>
  <c r="M10" i="907"/>
  <c r="O10" i="907"/>
  <c r="M11" i="907"/>
  <c r="O11" i="907"/>
  <c r="D11" i="907"/>
  <c r="E11" i="907"/>
  <c r="F11" i="907"/>
  <c r="G11" i="907"/>
  <c r="D10" i="907"/>
  <c r="E10" i="907"/>
  <c r="F10" i="907"/>
  <c r="G10" i="907"/>
  <c r="F79" i="907"/>
  <c r="AX63" i="907"/>
  <c r="AW63" i="907"/>
  <c r="AV63" i="907"/>
  <c r="AU63" i="907"/>
  <c r="AT63" i="907"/>
  <c r="AS63" i="907"/>
  <c r="AR63" i="907"/>
  <c r="AQ63" i="907"/>
  <c r="AP63" i="907"/>
  <c r="AO63" i="907"/>
  <c r="AN63" i="907"/>
  <c r="AM63" i="907"/>
  <c r="AL63" i="907"/>
  <c r="AK63" i="907"/>
  <c r="AJ63" i="907"/>
  <c r="AI63" i="907"/>
  <c r="AH63" i="907"/>
  <c r="AG63" i="907"/>
  <c r="AF63" i="907"/>
  <c r="AE63" i="907"/>
  <c r="AD63" i="907"/>
  <c r="AC63" i="907"/>
  <c r="AB63" i="907"/>
  <c r="K58" i="907"/>
  <c r="M49" i="907" s="1"/>
  <c r="Z45" i="907"/>
  <c r="Y45" i="907"/>
  <c r="X45" i="907"/>
  <c r="W45" i="907"/>
  <c r="V45" i="907"/>
  <c r="U45" i="907"/>
  <c r="T45" i="907"/>
  <c r="S45" i="907"/>
  <c r="R45" i="907"/>
  <c r="Z44" i="907"/>
  <c r="Y44" i="907"/>
  <c r="X44" i="907"/>
  <c r="W44" i="907"/>
  <c r="V44" i="907"/>
  <c r="U44" i="907"/>
  <c r="T44" i="907"/>
  <c r="S44" i="907"/>
  <c r="R44" i="907"/>
  <c r="Z43" i="907"/>
  <c r="Y43" i="907"/>
  <c r="X43" i="907"/>
  <c r="W43" i="907"/>
  <c r="V43" i="907"/>
  <c r="U43" i="907"/>
  <c r="T43" i="907"/>
  <c r="S43" i="907"/>
  <c r="R43" i="907"/>
  <c r="Z42" i="907"/>
  <c r="Y42" i="907"/>
  <c r="X42" i="907"/>
  <c r="W42" i="907"/>
  <c r="V42" i="907"/>
  <c r="U42" i="907"/>
  <c r="T42" i="907"/>
  <c r="S42" i="907"/>
  <c r="R42" i="907"/>
  <c r="Z41" i="907"/>
  <c r="Y41" i="907"/>
  <c r="X41" i="907"/>
  <c r="W41" i="907"/>
  <c r="V41" i="907"/>
  <c r="U41" i="907"/>
  <c r="T41" i="907"/>
  <c r="S41" i="907"/>
  <c r="R41" i="907"/>
  <c r="Z40" i="907"/>
  <c r="Y40" i="907"/>
  <c r="X40" i="907"/>
  <c r="W40" i="907"/>
  <c r="V40" i="907"/>
  <c r="U40" i="907"/>
  <c r="T40" i="907"/>
  <c r="S40" i="907"/>
  <c r="R40" i="907"/>
  <c r="M40" i="907"/>
  <c r="L40" i="907"/>
  <c r="K40" i="907"/>
  <c r="Z39" i="907"/>
  <c r="Y39" i="907"/>
  <c r="X39" i="907"/>
  <c r="W39" i="907"/>
  <c r="V39" i="907"/>
  <c r="U39" i="907"/>
  <c r="T39" i="907"/>
  <c r="S39" i="907"/>
  <c r="R39" i="907"/>
  <c r="M39" i="907"/>
  <c r="L39" i="907"/>
  <c r="K39" i="907"/>
  <c r="Z38" i="907"/>
  <c r="Y38" i="907"/>
  <c r="X38" i="907"/>
  <c r="W38" i="907"/>
  <c r="V38" i="907"/>
  <c r="U38" i="907"/>
  <c r="T38" i="907"/>
  <c r="S38" i="907"/>
  <c r="R38" i="907"/>
  <c r="Z37" i="907"/>
  <c r="Y37" i="907"/>
  <c r="X37" i="907"/>
  <c r="W37" i="907"/>
  <c r="V37" i="907"/>
  <c r="U37" i="907"/>
  <c r="T37" i="907"/>
  <c r="S37" i="907"/>
  <c r="R37" i="907"/>
  <c r="Z36" i="907"/>
  <c r="Y36" i="907"/>
  <c r="X36" i="907"/>
  <c r="W36" i="907"/>
  <c r="V36" i="907"/>
  <c r="U36" i="907"/>
  <c r="T36" i="907"/>
  <c r="S36" i="907"/>
  <c r="R36" i="907"/>
  <c r="Z35" i="907"/>
  <c r="Y35" i="907"/>
  <c r="X35" i="907"/>
  <c r="W35" i="907"/>
  <c r="V35" i="907"/>
  <c r="U35" i="907"/>
  <c r="T35" i="907"/>
  <c r="S35" i="907"/>
  <c r="R35" i="907"/>
  <c r="Z34" i="907"/>
  <c r="Y34" i="907"/>
  <c r="X34" i="907"/>
  <c r="W34" i="907"/>
  <c r="V34" i="907"/>
  <c r="U34" i="907"/>
  <c r="T34" i="907"/>
  <c r="S34" i="907"/>
  <c r="R34" i="907"/>
  <c r="Z33" i="907"/>
  <c r="Y33" i="907"/>
  <c r="X33" i="907"/>
  <c r="W33" i="907"/>
  <c r="V33" i="907"/>
  <c r="U33" i="907"/>
  <c r="T33" i="907"/>
  <c r="S33" i="907"/>
  <c r="R33" i="907"/>
  <c r="Z32" i="907"/>
  <c r="Y32" i="907"/>
  <c r="X32" i="907"/>
  <c r="W32" i="907"/>
  <c r="V32" i="907"/>
  <c r="U32" i="907"/>
  <c r="T32" i="907"/>
  <c r="S32" i="907"/>
  <c r="R32" i="907"/>
  <c r="Z31" i="907"/>
  <c r="Y31" i="907"/>
  <c r="X31" i="907"/>
  <c r="W31" i="907"/>
  <c r="V31" i="907"/>
  <c r="U31" i="907"/>
  <c r="T31" i="907"/>
  <c r="S31" i="907"/>
  <c r="R31" i="907"/>
  <c r="Z30" i="907"/>
  <c r="Y30" i="907"/>
  <c r="X30" i="907"/>
  <c r="W30" i="907"/>
  <c r="V30" i="907"/>
  <c r="U30" i="907"/>
  <c r="T30" i="907"/>
  <c r="S30" i="907"/>
  <c r="R30" i="907"/>
  <c r="L35" i="906"/>
  <c r="D10" i="906"/>
  <c r="E10" i="906"/>
  <c r="F10" i="906"/>
  <c r="G10" i="906"/>
  <c r="M10" i="906"/>
  <c r="O10" i="906"/>
  <c r="D11" i="906"/>
  <c r="E11" i="906"/>
  <c r="F11" i="906"/>
  <c r="G11" i="906"/>
  <c r="M11" i="906"/>
  <c r="O11" i="906"/>
  <c r="D12" i="906"/>
  <c r="E12" i="906"/>
  <c r="F12" i="906"/>
  <c r="G12" i="906"/>
  <c r="M12" i="906"/>
  <c r="O12" i="906"/>
  <c r="D13" i="906"/>
  <c r="E13" i="906"/>
  <c r="F13" i="906"/>
  <c r="G13" i="906"/>
  <c r="M13" i="906"/>
  <c r="O13" i="906"/>
  <c r="D14" i="906"/>
  <c r="E14" i="906"/>
  <c r="F14" i="906"/>
  <c r="G14" i="906"/>
  <c r="M14" i="906"/>
  <c r="O14" i="906"/>
  <c r="D15" i="906"/>
  <c r="E15" i="906"/>
  <c r="F15" i="906"/>
  <c r="G15" i="906"/>
  <c r="M15" i="906"/>
  <c r="O15" i="906"/>
  <c r="F65" i="906"/>
  <c r="AX49" i="906"/>
  <c r="AW49" i="906"/>
  <c r="AV49" i="906"/>
  <c r="AU49" i="906"/>
  <c r="AT49" i="906"/>
  <c r="AS49" i="906"/>
  <c r="AR49" i="906"/>
  <c r="AQ49" i="906"/>
  <c r="AP49" i="906"/>
  <c r="AO49" i="906"/>
  <c r="AN49" i="906"/>
  <c r="AM49" i="906"/>
  <c r="AL49" i="906"/>
  <c r="AK49" i="906"/>
  <c r="AJ49" i="906"/>
  <c r="AI49" i="906"/>
  <c r="AH49" i="906"/>
  <c r="AG49" i="906"/>
  <c r="AF49" i="906"/>
  <c r="AE49" i="906"/>
  <c r="AD49" i="906"/>
  <c r="AC49" i="906"/>
  <c r="AB49" i="906"/>
  <c r="K44" i="906"/>
  <c r="M35" i="906" s="1"/>
  <c r="Z31" i="906"/>
  <c r="Y31" i="906"/>
  <c r="X31" i="906"/>
  <c r="W31" i="906"/>
  <c r="V31" i="906"/>
  <c r="U31" i="906"/>
  <c r="T31" i="906"/>
  <c r="S31" i="906"/>
  <c r="R31" i="906"/>
  <c r="Z30" i="906"/>
  <c r="Y30" i="906"/>
  <c r="X30" i="906"/>
  <c r="W30" i="906"/>
  <c r="V30" i="906"/>
  <c r="U30" i="906"/>
  <c r="T30" i="906"/>
  <c r="S30" i="906"/>
  <c r="R30" i="906"/>
  <c r="Z29" i="906"/>
  <c r="Y29" i="906"/>
  <c r="X29" i="906"/>
  <c r="W29" i="906"/>
  <c r="V29" i="906"/>
  <c r="U29" i="906"/>
  <c r="T29" i="906"/>
  <c r="S29" i="906"/>
  <c r="R29" i="906"/>
  <c r="Z28" i="906"/>
  <c r="Y28" i="906"/>
  <c r="X28" i="906"/>
  <c r="W28" i="906"/>
  <c r="V28" i="906"/>
  <c r="U28" i="906"/>
  <c r="T28" i="906"/>
  <c r="S28" i="906"/>
  <c r="R28" i="906"/>
  <c r="Z27" i="906"/>
  <c r="Y27" i="906"/>
  <c r="X27" i="906"/>
  <c r="W27" i="906"/>
  <c r="V27" i="906"/>
  <c r="U27" i="906"/>
  <c r="T27" i="906"/>
  <c r="S27" i="906"/>
  <c r="R27" i="906"/>
  <c r="Z26" i="906"/>
  <c r="Y26" i="906"/>
  <c r="X26" i="906"/>
  <c r="W26" i="906"/>
  <c r="V26" i="906"/>
  <c r="U26" i="906"/>
  <c r="T26" i="906"/>
  <c r="S26" i="906"/>
  <c r="R26" i="906"/>
  <c r="M26" i="906"/>
  <c r="L26" i="906"/>
  <c r="K26" i="906"/>
  <c r="Z25" i="906"/>
  <c r="Y25" i="906"/>
  <c r="X25" i="906"/>
  <c r="W25" i="906"/>
  <c r="V25" i="906"/>
  <c r="U25" i="906"/>
  <c r="T25" i="906"/>
  <c r="S25" i="906"/>
  <c r="R25" i="906"/>
  <c r="M25" i="906"/>
  <c r="L25" i="906"/>
  <c r="K25" i="906"/>
  <c r="Z24" i="906"/>
  <c r="Y24" i="906"/>
  <c r="X24" i="906"/>
  <c r="W24" i="906"/>
  <c r="V24" i="906"/>
  <c r="U24" i="906"/>
  <c r="T24" i="906"/>
  <c r="S24" i="906"/>
  <c r="R24" i="906"/>
  <c r="Z23" i="906"/>
  <c r="Y23" i="906"/>
  <c r="X23" i="906"/>
  <c r="W23" i="906"/>
  <c r="V23" i="906"/>
  <c r="U23" i="906"/>
  <c r="T23" i="906"/>
  <c r="S23" i="906"/>
  <c r="R23" i="906"/>
  <c r="Z22" i="906"/>
  <c r="Y22" i="906"/>
  <c r="X22" i="906"/>
  <c r="W22" i="906"/>
  <c r="V22" i="906"/>
  <c r="U22" i="906"/>
  <c r="T22" i="906"/>
  <c r="S22" i="906"/>
  <c r="R22" i="906"/>
  <c r="Z21" i="906"/>
  <c r="Y21" i="906"/>
  <c r="X21" i="906"/>
  <c r="W21" i="906"/>
  <c r="V21" i="906"/>
  <c r="U21" i="906"/>
  <c r="T21" i="906"/>
  <c r="S21" i="906"/>
  <c r="R21" i="906"/>
  <c r="M21" i="906"/>
  <c r="L21" i="906"/>
  <c r="K21" i="906"/>
  <c r="Z20" i="906"/>
  <c r="Y20" i="906"/>
  <c r="X20" i="906"/>
  <c r="W20" i="906"/>
  <c r="V20" i="906"/>
  <c r="U20" i="906"/>
  <c r="T20" i="906"/>
  <c r="S20" i="906"/>
  <c r="R20" i="906"/>
  <c r="Z19" i="906"/>
  <c r="Y19" i="906"/>
  <c r="X19" i="906"/>
  <c r="W19" i="906"/>
  <c r="V19" i="906"/>
  <c r="U19" i="906"/>
  <c r="T19" i="906"/>
  <c r="S19" i="906"/>
  <c r="R19" i="906"/>
  <c r="Z18" i="906"/>
  <c r="Y18" i="906"/>
  <c r="X18" i="906"/>
  <c r="W18" i="906"/>
  <c r="V18" i="906"/>
  <c r="U18" i="906"/>
  <c r="T18" i="906"/>
  <c r="S18" i="906"/>
  <c r="R18" i="906"/>
  <c r="Z17" i="906"/>
  <c r="Y17" i="906"/>
  <c r="X17" i="906"/>
  <c r="W17" i="906"/>
  <c r="V17" i="906"/>
  <c r="U17" i="906"/>
  <c r="T17" i="906"/>
  <c r="S17" i="906"/>
  <c r="R17" i="906"/>
  <c r="Z16" i="906"/>
  <c r="Y16" i="906"/>
  <c r="X16" i="906"/>
  <c r="W16" i="906"/>
  <c r="V16" i="906"/>
  <c r="U16" i="906"/>
  <c r="T16" i="906"/>
  <c r="S16" i="906"/>
  <c r="R16" i="906"/>
  <c r="Z15" i="906"/>
  <c r="Y15" i="906"/>
  <c r="X15" i="906"/>
  <c r="W15" i="906"/>
  <c r="V15" i="906"/>
  <c r="U15" i="906"/>
  <c r="T15" i="906"/>
  <c r="S15" i="906"/>
  <c r="R15" i="906"/>
  <c r="Z14" i="906"/>
  <c r="Y14" i="906"/>
  <c r="X14" i="906"/>
  <c r="W14" i="906"/>
  <c r="V14" i="906"/>
  <c r="U14" i="906"/>
  <c r="T14" i="906"/>
  <c r="S14" i="906"/>
  <c r="R14" i="906"/>
  <c r="Z13" i="906"/>
  <c r="Y13" i="906"/>
  <c r="X13" i="906"/>
  <c r="W13" i="906"/>
  <c r="V13" i="906"/>
  <c r="U13" i="906"/>
  <c r="T13" i="906"/>
  <c r="S13" i="906"/>
  <c r="R13" i="906"/>
  <c r="Z12" i="906"/>
  <c r="Y12" i="906"/>
  <c r="X12" i="906"/>
  <c r="W12" i="906"/>
  <c r="V12" i="906"/>
  <c r="U12" i="906"/>
  <c r="T12" i="906"/>
  <c r="S12" i="906"/>
  <c r="R12" i="906"/>
  <c r="Z11" i="906"/>
  <c r="Y11" i="906"/>
  <c r="X11" i="906"/>
  <c r="W11" i="906"/>
  <c r="V11" i="906"/>
  <c r="U11" i="906"/>
  <c r="T11" i="906"/>
  <c r="S11" i="906"/>
  <c r="R11" i="906"/>
  <c r="Z10" i="906"/>
  <c r="Y10" i="906"/>
  <c r="X10" i="906"/>
  <c r="W10" i="906"/>
  <c r="V10" i="906"/>
  <c r="U10" i="906"/>
  <c r="T10" i="906"/>
  <c r="S10" i="906"/>
  <c r="R10" i="906"/>
  <c r="L40" i="905"/>
  <c r="J30" i="905" l="1"/>
  <c r="F70" i="905"/>
  <c r="AX54" i="905"/>
  <c r="AW54" i="905"/>
  <c r="AV54" i="905"/>
  <c r="AU54" i="905"/>
  <c r="AT54" i="905"/>
  <c r="AS54" i="905"/>
  <c r="AR54" i="905"/>
  <c r="AQ54" i="905"/>
  <c r="AP54" i="905"/>
  <c r="AO54" i="905"/>
  <c r="AN54" i="905"/>
  <c r="AM54" i="905"/>
  <c r="AL54" i="905"/>
  <c r="AK54" i="905"/>
  <c r="AJ54" i="905"/>
  <c r="AI54" i="905"/>
  <c r="AH54" i="905"/>
  <c r="AG54" i="905"/>
  <c r="AF54" i="905"/>
  <c r="AE54" i="905"/>
  <c r="AD54" i="905"/>
  <c r="AC54" i="905"/>
  <c r="AB54" i="905"/>
  <c r="K49" i="905"/>
  <c r="M40" i="905"/>
  <c r="Z36" i="905"/>
  <c r="Y36" i="905"/>
  <c r="X36" i="905"/>
  <c r="W36" i="905"/>
  <c r="V36" i="905"/>
  <c r="U36" i="905"/>
  <c r="T36" i="905"/>
  <c r="S36" i="905"/>
  <c r="R36" i="905"/>
  <c r="Z35" i="905"/>
  <c r="Y35" i="905"/>
  <c r="X35" i="905"/>
  <c r="W35" i="905"/>
  <c r="V35" i="905"/>
  <c r="U35" i="905"/>
  <c r="T35" i="905"/>
  <c r="S35" i="905"/>
  <c r="R35" i="905"/>
  <c r="Z34" i="905"/>
  <c r="Y34" i="905"/>
  <c r="X34" i="905"/>
  <c r="W34" i="905"/>
  <c r="V34" i="905"/>
  <c r="U34" i="905"/>
  <c r="T34" i="905"/>
  <c r="S34" i="905"/>
  <c r="R34" i="905"/>
  <c r="Z33" i="905"/>
  <c r="Y33" i="905"/>
  <c r="X33" i="905"/>
  <c r="W33" i="905"/>
  <c r="V33" i="905"/>
  <c r="U33" i="905"/>
  <c r="T33" i="905"/>
  <c r="S33" i="905"/>
  <c r="R33" i="905"/>
  <c r="Z32" i="905"/>
  <c r="Y32" i="905"/>
  <c r="X32" i="905"/>
  <c r="W32" i="905"/>
  <c r="V32" i="905"/>
  <c r="U32" i="905"/>
  <c r="T32" i="905"/>
  <c r="S32" i="905"/>
  <c r="R32" i="905"/>
  <c r="Z31" i="905"/>
  <c r="Y31" i="905"/>
  <c r="X31" i="905"/>
  <c r="W31" i="905"/>
  <c r="V31" i="905"/>
  <c r="U31" i="905"/>
  <c r="T31" i="905"/>
  <c r="S31" i="905"/>
  <c r="R31" i="905"/>
  <c r="M31" i="905"/>
  <c r="L31" i="905"/>
  <c r="K31" i="905"/>
  <c r="Z30" i="905"/>
  <c r="Y30" i="905"/>
  <c r="X30" i="905"/>
  <c r="W30" i="905"/>
  <c r="V30" i="905"/>
  <c r="U30" i="905"/>
  <c r="T30" i="905"/>
  <c r="S30" i="905"/>
  <c r="R30" i="905"/>
  <c r="Z29" i="905"/>
  <c r="Y29" i="905"/>
  <c r="X29" i="905"/>
  <c r="W29" i="905"/>
  <c r="V29" i="905"/>
  <c r="U29" i="905"/>
  <c r="T29" i="905"/>
  <c r="S29" i="905"/>
  <c r="R29" i="905"/>
  <c r="Z28" i="905"/>
  <c r="Y28" i="905"/>
  <c r="X28" i="905"/>
  <c r="W28" i="905"/>
  <c r="V28" i="905"/>
  <c r="U28" i="905"/>
  <c r="T28" i="905"/>
  <c r="S28" i="905"/>
  <c r="R28" i="905"/>
  <c r="Z27" i="905"/>
  <c r="Y27" i="905"/>
  <c r="X27" i="905"/>
  <c r="W27" i="905"/>
  <c r="V27" i="905"/>
  <c r="U27" i="905"/>
  <c r="T27" i="905"/>
  <c r="S27" i="905"/>
  <c r="R27" i="905"/>
  <c r="Z26" i="905"/>
  <c r="Y26" i="905"/>
  <c r="X26" i="905"/>
  <c r="W26" i="905"/>
  <c r="V26" i="905"/>
  <c r="U26" i="905"/>
  <c r="T26" i="905"/>
  <c r="S26" i="905"/>
  <c r="R26" i="905"/>
  <c r="M26" i="905"/>
  <c r="L26" i="905"/>
  <c r="K26" i="905"/>
  <c r="Z25" i="905"/>
  <c r="Y25" i="905"/>
  <c r="X25" i="905"/>
  <c r="W25" i="905"/>
  <c r="V25" i="905"/>
  <c r="U25" i="905"/>
  <c r="T25" i="905"/>
  <c r="S25" i="905"/>
  <c r="R25" i="905"/>
  <c r="Z24" i="905"/>
  <c r="Y24" i="905"/>
  <c r="X24" i="905"/>
  <c r="W24" i="905"/>
  <c r="V24" i="905"/>
  <c r="U24" i="905"/>
  <c r="T24" i="905"/>
  <c r="S24" i="905"/>
  <c r="R24" i="905"/>
  <c r="Z23" i="905"/>
  <c r="Y23" i="905"/>
  <c r="X23" i="905"/>
  <c r="W23" i="905"/>
  <c r="V23" i="905"/>
  <c r="U23" i="905"/>
  <c r="T23" i="905"/>
  <c r="S23" i="905"/>
  <c r="R23" i="905"/>
  <c r="Z22" i="905"/>
  <c r="Y22" i="905"/>
  <c r="X22" i="905"/>
  <c r="W22" i="905"/>
  <c r="V22" i="905"/>
  <c r="U22" i="905"/>
  <c r="T22" i="905"/>
  <c r="S22" i="905"/>
  <c r="R22" i="905"/>
  <c r="Z21" i="905"/>
  <c r="Y21" i="905"/>
  <c r="X21" i="905"/>
  <c r="W21" i="905"/>
  <c r="V21" i="905"/>
  <c r="U21" i="905"/>
  <c r="T21" i="905"/>
  <c r="S21" i="905"/>
  <c r="R21" i="905"/>
  <c r="Z20" i="905"/>
  <c r="Y20" i="905"/>
  <c r="X20" i="905"/>
  <c r="W20" i="905"/>
  <c r="V20" i="905"/>
  <c r="U20" i="905"/>
  <c r="T20" i="905"/>
  <c r="S20" i="905"/>
  <c r="R20" i="905"/>
  <c r="Z19" i="905"/>
  <c r="Y19" i="905"/>
  <c r="X19" i="905"/>
  <c r="W19" i="905"/>
  <c r="V19" i="905"/>
  <c r="U19" i="905"/>
  <c r="T19" i="905"/>
  <c r="S19" i="905"/>
  <c r="R19" i="905"/>
  <c r="Z18" i="905"/>
  <c r="Y18" i="905"/>
  <c r="X18" i="905"/>
  <c r="W18" i="905"/>
  <c r="V18" i="905"/>
  <c r="U18" i="905"/>
  <c r="T18" i="905"/>
  <c r="S18" i="905"/>
  <c r="R18" i="905"/>
  <c r="Z17" i="905"/>
  <c r="Y17" i="905"/>
  <c r="X17" i="905"/>
  <c r="W17" i="905"/>
  <c r="V17" i="905"/>
  <c r="U17" i="905"/>
  <c r="T17" i="905"/>
  <c r="S17" i="905"/>
  <c r="R17" i="905"/>
  <c r="Z16" i="905"/>
  <c r="Y16" i="905"/>
  <c r="X16" i="905"/>
  <c r="W16" i="905"/>
  <c r="V16" i="905"/>
  <c r="U16" i="905"/>
  <c r="T16" i="905"/>
  <c r="S16" i="905"/>
  <c r="R16" i="905"/>
  <c r="Z15" i="905"/>
  <c r="Y15" i="905"/>
  <c r="X15" i="905"/>
  <c r="W15" i="905"/>
  <c r="V15" i="905"/>
  <c r="U15" i="905"/>
  <c r="T15" i="905"/>
  <c r="S15" i="905"/>
  <c r="R15" i="905"/>
  <c r="Z14" i="905"/>
  <c r="Y14" i="905"/>
  <c r="X14" i="905"/>
  <c r="W14" i="905"/>
  <c r="V14" i="905"/>
  <c r="U14" i="905"/>
  <c r="T14" i="905"/>
  <c r="S14" i="905"/>
  <c r="R14" i="905"/>
  <c r="Z13" i="905"/>
  <c r="Y13" i="905"/>
  <c r="X13" i="905"/>
  <c r="W13" i="905"/>
  <c r="V13" i="905"/>
  <c r="U13" i="905"/>
  <c r="T13" i="905"/>
  <c r="S13" i="905"/>
  <c r="R13" i="905"/>
  <c r="Z12" i="905"/>
  <c r="Y12" i="905"/>
  <c r="X12" i="905"/>
  <c r="W12" i="905"/>
  <c r="V12" i="905"/>
  <c r="U12" i="905"/>
  <c r="T12" i="905"/>
  <c r="S12" i="905"/>
  <c r="R12" i="905"/>
  <c r="Z11" i="905"/>
  <c r="Y11" i="905"/>
  <c r="X11" i="905"/>
  <c r="W11" i="905"/>
  <c r="V11" i="905"/>
  <c r="U11" i="905"/>
  <c r="T11" i="905"/>
  <c r="S11" i="905"/>
  <c r="R11" i="905"/>
  <c r="Z10" i="905"/>
  <c r="Y10" i="905"/>
  <c r="X10" i="905"/>
  <c r="W10" i="905"/>
  <c r="V10" i="905"/>
  <c r="U10" i="905"/>
  <c r="T10" i="905"/>
  <c r="S10" i="905"/>
  <c r="R10" i="905"/>
  <c r="M26" i="904"/>
  <c r="L26" i="904"/>
  <c r="K26" i="904"/>
  <c r="L40" i="904"/>
  <c r="M18" i="904"/>
  <c r="O18" i="904"/>
  <c r="L18" i="904"/>
  <c r="J18" i="904"/>
  <c r="I18" i="904"/>
  <c r="J26" i="904" s="1"/>
  <c r="G18" i="904"/>
  <c r="F18" i="904"/>
  <c r="E18" i="904"/>
  <c r="D18" i="904"/>
  <c r="C18" i="904"/>
  <c r="R10" i="904"/>
  <c r="S10" i="904"/>
  <c r="T10" i="904"/>
  <c r="U10" i="904"/>
  <c r="V10" i="904"/>
  <c r="W10" i="904"/>
  <c r="X10" i="904"/>
  <c r="Y10" i="904"/>
  <c r="Z10" i="904"/>
  <c r="R11" i="904"/>
  <c r="S11" i="904"/>
  <c r="T11" i="904"/>
  <c r="U11" i="904"/>
  <c r="V11" i="904"/>
  <c r="W11" i="904"/>
  <c r="X11" i="904"/>
  <c r="Y11" i="904"/>
  <c r="Z11" i="904"/>
  <c r="R12" i="904"/>
  <c r="S12" i="904"/>
  <c r="T12" i="904"/>
  <c r="U12" i="904"/>
  <c r="V12" i="904"/>
  <c r="W12" i="904"/>
  <c r="X12" i="904"/>
  <c r="Y12" i="904"/>
  <c r="Z12" i="904"/>
  <c r="R13" i="904"/>
  <c r="S13" i="904"/>
  <c r="T13" i="904"/>
  <c r="U13" i="904"/>
  <c r="V13" i="904"/>
  <c r="W13" i="904"/>
  <c r="X13" i="904"/>
  <c r="Y13" i="904"/>
  <c r="Z13" i="904"/>
  <c r="R14" i="904"/>
  <c r="S14" i="904"/>
  <c r="T14" i="904"/>
  <c r="U14" i="904"/>
  <c r="V14" i="904"/>
  <c r="W14" i="904"/>
  <c r="X14" i="904"/>
  <c r="Y14" i="904"/>
  <c r="Z14" i="904"/>
  <c r="R15" i="904"/>
  <c r="S15" i="904"/>
  <c r="T15" i="904"/>
  <c r="U15" i="904"/>
  <c r="V15" i="904"/>
  <c r="W15" i="904"/>
  <c r="X15" i="904"/>
  <c r="Y15" i="904"/>
  <c r="Z15" i="904"/>
  <c r="R16" i="904"/>
  <c r="S16" i="904"/>
  <c r="T16" i="904"/>
  <c r="U16" i="904"/>
  <c r="V16" i="904"/>
  <c r="W16" i="904"/>
  <c r="X16" i="904"/>
  <c r="Y16" i="904"/>
  <c r="Z16" i="904"/>
  <c r="R17" i="904"/>
  <c r="S17" i="904"/>
  <c r="T17" i="904"/>
  <c r="U17" i="904"/>
  <c r="V17" i="904"/>
  <c r="W17" i="904"/>
  <c r="X17" i="904"/>
  <c r="Y17" i="904"/>
  <c r="Z17" i="904"/>
  <c r="R18" i="904"/>
  <c r="S18" i="904"/>
  <c r="T18" i="904"/>
  <c r="U18" i="904"/>
  <c r="V18" i="904"/>
  <c r="W18" i="904"/>
  <c r="X18" i="904"/>
  <c r="Y18" i="904"/>
  <c r="Z18" i="904"/>
  <c r="R19" i="904"/>
  <c r="S19" i="904"/>
  <c r="T19" i="904"/>
  <c r="U19" i="904"/>
  <c r="V19" i="904"/>
  <c r="W19" i="904"/>
  <c r="X19" i="904"/>
  <c r="Y19" i="904"/>
  <c r="Z19" i="904"/>
  <c r="R20" i="904"/>
  <c r="S20" i="904"/>
  <c r="T20" i="904"/>
  <c r="U20" i="904"/>
  <c r="V20" i="904"/>
  <c r="W20" i="904"/>
  <c r="X20" i="904"/>
  <c r="Y20" i="904"/>
  <c r="Z20" i="904"/>
  <c r="R21" i="904"/>
  <c r="S21" i="904"/>
  <c r="T21" i="904"/>
  <c r="U21" i="904"/>
  <c r="V21" i="904"/>
  <c r="W21" i="904"/>
  <c r="X21" i="904"/>
  <c r="Y21" i="904"/>
  <c r="Z21" i="904"/>
  <c r="I10" i="904"/>
  <c r="J10" i="904"/>
  <c r="L10" i="904"/>
  <c r="M10" i="904"/>
  <c r="N10" i="904"/>
  <c r="O10" i="904"/>
  <c r="I11" i="904"/>
  <c r="J11" i="904"/>
  <c r="L11" i="904"/>
  <c r="M11" i="904"/>
  <c r="N11" i="904"/>
  <c r="O11" i="904"/>
  <c r="I12" i="904"/>
  <c r="J12" i="904"/>
  <c r="L12" i="904"/>
  <c r="M12" i="904"/>
  <c r="N12" i="904"/>
  <c r="O12" i="904"/>
  <c r="I13" i="904"/>
  <c r="J13" i="904"/>
  <c r="L13" i="904"/>
  <c r="M13" i="904"/>
  <c r="N13" i="904"/>
  <c r="O13" i="904"/>
  <c r="I14" i="904"/>
  <c r="J14" i="904"/>
  <c r="L14" i="904"/>
  <c r="M14" i="904"/>
  <c r="N14" i="904"/>
  <c r="O14" i="904"/>
  <c r="I15" i="904"/>
  <c r="J15" i="904"/>
  <c r="L15" i="904"/>
  <c r="M15" i="904"/>
  <c r="N15" i="904"/>
  <c r="O15" i="904"/>
  <c r="I16" i="904"/>
  <c r="J16" i="904"/>
  <c r="L16" i="904"/>
  <c r="M16" i="904"/>
  <c r="N16" i="904"/>
  <c r="O16" i="904"/>
  <c r="C10" i="904"/>
  <c r="D10" i="904"/>
  <c r="E10" i="904"/>
  <c r="F10" i="904"/>
  <c r="G10" i="904"/>
  <c r="C11" i="904"/>
  <c r="D11" i="904"/>
  <c r="E11" i="904"/>
  <c r="F11" i="904"/>
  <c r="G11" i="904"/>
  <c r="C12" i="904"/>
  <c r="D12" i="904"/>
  <c r="E12" i="904"/>
  <c r="F12" i="904"/>
  <c r="G12" i="904"/>
  <c r="C13" i="904"/>
  <c r="D13" i="904"/>
  <c r="E13" i="904"/>
  <c r="F13" i="904"/>
  <c r="G13" i="904"/>
  <c r="C14" i="904"/>
  <c r="D14" i="904"/>
  <c r="E14" i="904"/>
  <c r="F14" i="904"/>
  <c r="G14" i="904"/>
  <c r="C15" i="904"/>
  <c r="D15" i="904"/>
  <c r="E15" i="904"/>
  <c r="F15" i="904"/>
  <c r="G15" i="904"/>
  <c r="C16" i="904"/>
  <c r="D16" i="904"/>
  <c r="E16" i="904"/>
  <c r="F16" i="904"/>
  <c r="G16" i="904"/>
  <c r="F70" i="904"/>
  <c r="AX54" i="904"/>
  <c r="AW54" i="904"/>
  <c r="AV54" i="904"/>
  <c r="AU54" i="904"/>
  <c r="AT54" i="904"/>
  <c r="AS54" i="904"/>
  <c r="AR54" i="904"/>
  <c r="AQ54" i="904"/>
  <c r="AP54" i="904"/>
  <c r="AO54" i="904"/>
  <c r="AN54" i="904"/>
  <c r="AM54" i="904"/>
  <c r="AL54" i="904"/>
  <c r="AK54" i="904"/>
  <c r="AJ54" i="904"/>
  <c r="AI54" i="904"/>
  <c r="AH54" i="904"/>
  <c r="AG54" i="904"/>
  <c r="AF54" i="904"/>
  <c r="AE54" i="904"/>
  <c r="AD54" i="904"/>
  <c r="AC54" i="904"/>
  <c r="AB54" i="904"/>
  <c r="K49" i="904"/>
  <c r="M40" i="904"/>
  <c r="Z36" i="904"/>
  <c r="Y36" i="904"/>
  <c r="X36" i="904"/>
  <c r="W36" i="904"/>
  <c r="V36" i="904"/>
  <c r="U36" i="904"/>
  <c r="T36" i="904"/>
  <c r="S36" i="904"/>
  <c r="R36" i="904"/>
  <c r="Z35" i="904"/>
  <c r="Y35" i="904"/>
  <c r="X35" i="904"/>
  <c r="W35" i="904"/>
  <c r="V35" i="904"/>
  <c r="U35" i="904"/>
  <c r="T35" i="904"/>
  <c r="S35" i="904"/>
  <c r="R35" i="904"/>
  <c r="Z34" i="904"/>
  <c r="Y34" i="904"/>
  <c r="X34" i="904"/>
  <c r="W34" i="904"/>
  <c r="V34" i="904"/>
  <c r="U34" i="904"/>
  <c r="T34" i="904"/>
  <c r="S34" i="904"/>
  <c r="R34" i="904"/>
  <c r="Z33" i="904"/>
  <c r="Y33" i="904"/>
  <c r="X33" i="904"/>
  <c r="W33" i="904"/>
  <c r="V33" i="904"/>
  <c r="U33" i="904"/>
  <c r="T33" i="904"/>
  <c r="S33" i="904"/>
  <c r="R33" i="904"/>
  <c r="Z32" i="904"/>
  <c r="Y32" i="904"/>
  <c r="X32" i="904"/>
  <c r="W32" i="904"/>
  <c r="V32" i="904"/>
  <c r="U32" i="904"/>
  <c r="T32" i="904"/>
  <c r="S32" i="904"/>
  <c r="R32" i="904"/>
  <c r="Z31" i="904"/>
  <c r="Y31" i="904"/>
  <c r="X31" i="904"/>
  <c r="W31" i="904"/>
  <c r="V31" i="904"/>
  <c r="U31" i="904"/>
  <c r="T31" i="904"/>
  <c r="S31" i="904"/>
  <c r="R31" i="904"/>
  <c r="M31" i="904"/>
  <c r="L31" i="904"/>
  <c r="K31" i="904"/>
  <c r="Z30" i="904"/>
  <c r="Y30" i="904"/>
  <c r="X30" i="904"/>
  <c r="W30" i="904"/>
  <c r="V30" i="904"/>
  <c r="U30" i="904"/>
  <c r="T30" i="904"/>
  <c r="S30" i="904"/>
  <c r="R30" i="904"/>
  <c r="Z29" i="904"/>
  <c r="Y29" i="904"/>
  <c r="X29" i="904"/>
  <c r="W29" i="904"/>
  <c r="V29" i="904"/>
  <c r="U29" i="904"/>
  <c r="T29" i="904"/>
  <c r="S29" i="904"/>
  <c r="R29" i="904"/>
  <c r="Z28" i="904"/>
  <c r="Y28" i="904"/>
  <c r="X28" i="904"/>
  <c r="W28" i="904"/>
  <c r="V28" i="904"/>
  <c r="U28" i="904"/>
  <c r="T28" i="904"/>
  <c r="S28" i="904"/>
  <c r="R28" i="904"/>
  <c r="Z27" i="904"/>
  <c r="Y27" i="904"/>
  <c r="X27" i="904"/>
  <c r="W27" i="904"/>
  <c r="V27" i="904"/>
  <c r="U27" i="904"/>
  <c r="T27" i="904"/>
  <c r="S27" i="904"/>
  <c r="R27" i="904"/>
  <c r="Z26" i="904"/>
  <c r="Y26" i="904"/>
  <c r="X26" i="904"/>
  <c r="W26" i="904"/>
  <c r="V26" i="904"/>
  <c r="U26" i="904"/>
  <c r="T26" i="904"/>
  <c r="S26" i="904"/>
  <c r="R26" i="904"/>
  <c r="V25" i="904"/>
  <c r="U25" i="904"/>
  <c r="W25" i="904"/>
  <c r="Z24" i="904"/>
  <c r="Y24" i="904"/>
  <c r="X24" i="904"/>
  <c r="W24" i="904"/>
  <c r="V24" i="904"/>
  <c r="U24" i="904"/>
  <c r="T24" i="904"/>
  <c r="S24" i="904"/>
  <c r="R24" i="904"/>
  <c r="Z23" i="904"/>
  <c r="Y23" i="904"/>
  <c r="X23" i="904"/>
  <c r="W23" i="904"/>
  <c r="V23" i="904"/>
  <c r="U23" i="904"/>
  <c r="T23" i="904"/>
  <c r="S23" i="904"/>
  <c r="R23" i="904"/>
  <c r="Z22" i="904"/>
  <c r="Y22" i="904"/>
  <c r="X22" i="904"/>
  <c r="W22" i="904"/>
  <c r="V22" i="904"/>
  <c r="U22" i="904"/>
  <c r="T22" i="904"/>
  <c r="S22" i="904"/>
  <c r="R22" i="904"/>
  <c r="J60" i="19"/>
  <c r="J60" i="18"/>
  <c r="J31" i="904" l="1"/>
  <c r="X25" i="904"/>
  <c r="Y25" i="904"/>
  <c r="Z25" i="904"/>
  <c r="R25" i="904"/>
  <c r="T25" i="904"/>
  <c r="S25" i="904"/>
  <c r="M27" i="903"/>
  <c r="L27" i="903"/>
  <c r="K27" i="903"/>
  <c r="C13" i="903"/>
  <c r="D13" i="903"/>
  <c r="E13" i="903"/>
  <c r="F13" i="903"/>
  <c r="G13" i="903"/>
  <c r="C14" i="903"/>
  <c r="D14" i="903"/>
  <c r="E14" i="903"/>
  <c r="F14" i="903"/>
  <c r="G14" i="903"/>
  <c r="I13" i="903"/>
  <c r="I14" i="903"/>
  <c r="J13" i="903"/>
  <c r="L13" i="903"/>
  <c r="J14" i="903"/>
  <c r="L14" i="903"/>
  <c r="M13" i="903"/>
  <c r="M14" i="903"/>
  <c r="N13" i="903"/>
  <c r="N14" i="903"/>
  <c r="O13" i="903"/>
  <c r="O14" i="903"/>
  <c r="O12" i="903"/>
  <c r="N12" i="903"/>
  <c r="M12" i="903"/>
  <c r="L12" i="903"/>
  <c r="J12" i="903"/>
  <c r="I12" i="903"/>
  <c r="G12" i="903"/>
  <c r="F12" i="903"/>
  <c r="E12" i="903"/>
  <c r="D12" i="903"/>
  <c r="C12" i="903"/>
  <c r="C10" i="903"/>
  <c r="L36" i="903"/>
  <c r="K61" i="902"/>
  <c r="F66" i="903"/>
  <c r="AX50" i="903"/>
  <c r="AW50" i="903"/>
  <c r="AV50" i="903"/>
  <c r="AU50" i="903"/>
  <c r="AT50" i="903"/>
  <c r="AS50" i="903"/>
  <c r="AR50" i="903"/>
  <c r="AQ50" i="903"/>
  <c r="AP50" i="903"/>
  <c r="AO50" i="903"/>
  <c r="AN50" i="903"/>
  <c r="AM50" i="903"/>
  <c r="AL50" i="903"/>
  <c r="AK50" i="903"/>
  <c r="AJ50" i="903"/>
  <c r="AI50" i="903"/>
  <c r="AH50" i="903"/>
  <c r="AG50" i="903"/>
  <c r="AF50" i="903"/>
  <c r="AE50" i="903"/>
  <c r="AD50" i="903"/>
  <c r="AC50" i="903"/>
  <c r="AB50" i="903"/>
  <c r="B50" i="903"/>
  <c r="K45" i="903"/>
  <c r="M36" i="903"/>
  <c r="Z32" i="903"/>
  <c r="Y32" i="903"/>
  <c r="X32" i="903"/>
  <c r="W32" i="903"/>
  <c r="V32" i="903"/>
  <c r="U32" i="903"/>
  <c r="T32" i="903"/>
  <c r="S32" i="903"/>
  <c r="R32" i="903"/>
  <c r="Z31" i="903"/>
  <c r="Y31" i="903"/>
  <c r="X31" i="903"/>
  <c r="W31" i="903"/>
  <c r="V31" i="903"/>
  <c r="U31" i="903"/>
  <c r="T31" i="903"/>
  <c r="S31" i="903"/>
  <c r="R31" i="903"/>
  <c r="Z30" i="903"/>
  <c r="Y30" i="903"/>
  <c r="X30" i="903"/>
  <c r="W30" i="903"/>
  <c r="V30" i="903"/>
  <c r="U30" i="903"/>
  <c r="T30" i="903"/>
  <c r="S30" i="903"/>
  <c r="R30" i="903"/>
  <c r="Z29" i="903"/>
  <c r="Y29" i="903"/>
  <c r="X29" i="903"/>
  <c r="W29" i="903"/>
  <c r="V29" i="903"/>
  <c r="U29" i="903"/>
  <c r="T29" i="903"/>
  <c r="S29" i="903"/>
  <c r="R29" i="903"/>
  <c r="Z28" i="903"/>
  <c r="Y28" i="903"/>
  <c r="X28" i="903"/>
  <c r="W28" i="903"/>
  <c r="V28" i="903"/>
  <c r="U28" i="903"/>
  <c r="T28" i="903"/>
  <c r="S28" i="903"/>
  <c r="R28" i="903"/>
  <c r="Z27" i="903"/>
  <c r="Y27" i="903"/>
  <c r="X27" i="903"/>
  <c r="W27" i="903"/>
  <c r="V27" i="903"/>
  <c r="U27" i="903"/>
  <c r="T27" i="903"/>
  <c r="S27" i="903"/>
  <c r="R27" i="903"/>
  <c r="Z26" i="903"/>
  <c r="Y26" i="903"/>
  <c r="X26" i="903"/>
  <c r="W26" i="903"/>
  <c r="V26" i="903"/>
  <c r="U26" i="903"/>
  <c r="T26" i="903"/>
  <c r="S26" i="903"/>
  <c r="R26" i="903"/>
  <c r="Z25" i="903"/>
  <c r="Y25" i="903"/>
  <c r="X25" i="903"/>
  <c r="W25" i="903"/>
  <c r="V25" i="903"/>
  <c r="U25" i="903"/>
  <c r="T25" i="903"/>
  <c r="S25" i="903"/>
  <c r="R25" i="903"/>
  <c r="Z24" i="903"/>
  <c r="Y24" i="903"/>
  <c r="X24" i="903"/>
  <c r="W24" i="903"/>
  <c r="V24" i="903"/>
  <c r="U24" i="903"/>
  <c r="T24" i="903"/>
  <c r="S24" i="903"/>
  <c r="R24" i="903"/>
  <c r="Z23" i="903"/>
  <c r="Y23" i="903"/>
  <c r="X23" i="903"/>
  <c r="W23" i="903"/>
  <c r="V23" i="903"/>
  <c r="U23" i="903"/>
  <c r="T23" i="903"/>
  <c r="S23" i="903"/>
  <c r="R23" i="903"/>
  <c r="Z22" i="903"/>
  <c r="Y22" i="903"/>
  <c r="X22" i="903"/>
  <c r="W22" i="903"/>
  <c r="V22" i="903"/>
  <c r="U22" i="903"/>
  <c r="T22" i="903"/>
  <c r="S22" i="903"/>
  <c r="R22" i="903"/>
  <c r="Z21" i="903"/>
  <c r="Y21" i="903"/>
  <c r="X21" i="903"/>
  <c r="W21" i="903"/>
  <c r="V21" i="903"/>
  <c r="U21" i="903"/>
  <c r="T21" i="903"/>
  <c r="S21" i="903"/>
  <c r="R21" i="903"/>
  <c r="B21" i="903"/>
  <c r="Z20" i="903"/>
  <c r="Y20" i="903"/>
  <c r="X20" i="903"/>
  <c r="W20" i="903"/>
  <c r="V20" i="903"/>
  <c r="U20" i="903"/>
  <c r="T20" i="903"/>
  <c r="S20" i="903"/>
  <c r="R20" i="903"/>
  <c r="Z19" i="903"/>
  <c r="Y19" i="903"/>
  <c r="X19" i="903"/>
  <c r="W19" i="903"/>
  <c r="V19" i="903"/>
  <c r="U19" i="903"/>
  <c r="T19" i="903"/>
  <c r="S19" i="903"/>
  <c r="R19" i="903"/>
  <c r="Z18" i="903"/>
  <c r="Y18" i="903"/>
  <c r="X18" i="903"/>
  <c r="W18" i="903"/>
  <c r="V18" i="903"/>
  <c r="U18" i="903"/>
  <c r="T18" i="903"/>
  <c r="S18" i="903"/>
  <c r="R18" i="903"/>
  <c r="Z17" i="903"/>
  <c r="Y17" i="903"/>
  <c r="X17" i="903"/>
  <c r="W17" i="903"/>
  <c r="V17" i="903"/>
  <c r="U17" i="903"/>
  <c r="T17" i="903"/>
  <c r="S17" i="903"/>
  <c r="R17" i="903"/>
  <c r="Z16" i="903"/>
  <c r="Y16" i="903"/>
  <c r="X16" i="903"/>
  <c r="W16" i="903"/>
  <c r="V16" i="903"/>
  <c r="U16" i="903"/>
  <c r="T16" i="903"/>
  <c r="S16" i="903"/>
  <c r="R16" i="903"/>
  <c r="Z15" i="903"/>
  <c r="Y15" i="903"/>
  <c r="X15" i="903"/>
  <c r="W15" i="903"/>
  <c r="V15" i="903"/>
  <c r="U15" i="903"/>
  <c r="T15" i="903"/>
  <c r="S15" i="903"/>
  <c r="R15" i="903"/>
  <c r="Z14" i="903"/>
  <c r="Y14" i="903"/>
  <c r="X14" i="903"/>
  <c r="W14" i="903"/>
  <c r="V14" i="903"/>
  <c r="U14" i="903"/>
  <c r="T14" i="903"/>
  <c r="S14" i="903"/>
  <c r="R14" i="903"/>
  <c r="Z13" i="903"/>
  <c r="Y13" i="903"/>
  <c r="X13" i="903"/>
  <c r="W13" i="903"/>
  <c r="V13" i="903"/>
  <c r="U13" i="903"/>
  <c r="T13" i="903"/>
  <c r="S13" i="903"/>
  <c r="R13" i="903"/>
  <c r="Z12" i="903"/>
  <c r="Y12" i="903"/>
  <c r="X12" i="903"/>
  <c r="W12" i="903"/>
  <c r="V12" i="903"/>
  <c r="U12" i="903"/>
  <c r="T12" i="903"/>
  <c r="S12" i="903"/>
  <c r="R12" i="903"/>
  <c r="Z11" i="903"/>
  <c r="Y11" i="903"/>
  <c r="X11" i="903"/>
  <c r="W11" i="903"/>
  <c r="V11" i="903"/>
  <c r="U11" i="903"/>
  <c r="T11" i="903"/>
  <c r="S11" i="903"/>
  <c r="R11" i="903"/>
  <c r="Z10" i="903"/>
  <c r="Y10" i="903"/>
  <c r="X10" i="903"/>
  <c r="W10" i="903"/>
  <c r="V10" i="903"/>
  <c r="U10" i="903"/>
  <c r="T10" i="903"/>
  <c r="S10" i="903"/>
  <c r="R10" i="903"/>
  <c r="J27" i="903" l="1"/>
  <c r="K45" i="902"/>
  <c r="D11" i="902"/>
  <c r="E11" i="902"/>
  <c r="F11" i="902"/>
  <c r="G11" i="902"/>
  <c r="D12" i="902"/>
  <c r="E12" i="902"/>
  <c r="F12" i="902"/>
  <c r="G12" i="902"/>
  <c r="D13" i="902"/>
  <c r="E13" i="902"/>
  <c r="F13" i="902"/>
  <c r="G13" i="902"/>
  <c r="M11" i="902"/>
  <c r="O11" i="902"/>
  <c r="M12" i="902"/>
  <c r="O12" i="902"/>
  <c r="M13" i="902"/>
  <c r="O13" i="902"/>
  <c r="O10" i="902"/>
  <c r="M10" i="902"/>
  <c r="G10" i="902"/>
  <c r="F10" i="902"/>
  <c r="E10" i="902"/>
  <c r="D10" i="902"/>
  <c r="D60" i="19" l="1"/>
  <c r="D63" i="19"/>
  <c r="D64" i="19"/>
  <c r="D60" i="18"/>
  <c r="D63" i="18"/>
  <c r="D64" i="18"/>
  <c r="L36" i="902" l="1"/>
  <c r="M36" i="902" s="1"/>
  <c r="R14" i="902" l="1"/>
  <c r="S14" i="902"/>
  <c r="T14" i="902"/>
  <c r="U14" i="902"/>
  <c r="V14" i="902"/>
  <c r="W14" i="902"/>
  <c r="X14" i="902"/>
  <c r="Y14" i="902"/>
  <c r="Z14" i="902"/>
  <c r="R15" i="902"/>
  <c r="S15" i="902"/>
  <c r="T15" i="902"/>
  <c r="U15" i="902"/>
  <c r="V15" i="902"/>
  <c r="W15" i="902"/>
  <c r="X15" i="902"/>
  <c r="Y15" i="902"/>
  <c r="Z15" i="902"/>
  <c r="R16" i="902"/>
  <c r="S16" i="902"/>
  <c r="T16" i="902"/>
  <c r="U16" i="902"/>
  <c r="V16" i="902"/>
  <c r="W16" i="902"/>
  <c r="X16" i="902"/>
  <c r="Y16" i="902"/>
  <c r="Z16" i="902"/>
  <c r="R17" i="902"/>
  <c r="S17" i="902"/>
  <c r="T17" i="902"/>
  <c r="U17" i="902"/>
  <c r="V17" i="902"/>
  <c r="W17" i="902"/>
  <c r="X17" i="902"/>
  <c r="Y17" i="902"/>
  <c r="Z17" i="902"/>
  <c r="R18" i="902"/>
  <c r="S18" i="902"/>
  <c r="T18" i="902"/>
  <c r="U18" i="902"/>
  <c r="V18" i="902"/>
  <c r="W18" i="902"/>
  <c r="X18" i="902"/>
  <c r="Y18" i="902"/>
  <c r="Z18" i="902"/>
  <c r="R19" i="902"/>
  <c r="S19" i="902"/>
  <c r="T19" i="902"/>
  <c r="U19" i="902"/>
  <c r="V19" i="902"/>
  <c r="W19" i="902"/>
  <c r="X19" i="902"/>
  <c r="Y19" i="902"/>
  <c r="Z19" i="902"/>
  <c r="R20" i="902"/>
  <c r="S20" i="902"/>
  <c r="T20" i="902"/>
  <c r="U20" i="902"/>
  <c r="V20" i="902"/>
  <c r="W20" i="902"/>
  <c r="X20" i="902"/>
  <c r="Y20" i="902"/>
  <c r="Z20" i="902"/>
  <c r="B50" i="902"/>
  <c r="B21" i="902"/>
  <c r="S21" i="902" s="1"/>
  <c r="F66" i="902"/>
  <c r="AX50" i="902"/>
  <c r="AW50" i="902"/>
  <c r="AV50" i="902"/>
  <c r="AU50" i="902"/>
  <c r="AT50" i="902"/>
  <c r="AS50" i="902"/>
  <c r="AR50" i="902"/>
  <c r="AQ50" i="902"/>
  <c r="AP50" i="902"/>
  <c r="AO50" i="902"/>
  <c r="AN50" i="902"/>
  <c r="AM50" i="902"/>
  <c r="AL50" i="902"/>
  <c r="AK50" i="902"/>
  <c r="AJ50" i="902"/>
  <c r="AI50" i="902"/>
  <c r="AH50" i="902"/>
  <c r="AG50" i="902"/>
  <c r="AF50" i="902"/>
  <c r="AE50" i="902"/>
  <c r="AD50" i="902"/>
  <c r="AC50" i="902"/>
  <c r="AB50" i="902"/>
  <c r="Z32" i="902"/>
  <c r="Y32" i="902"/>
  <c r="X32" i="902"/>
  <c r="W32" i="902"/>
  <c r="V32" i="902"/>
  <c r="U32" i="902"/>
  <c r="T32" i="902"/>
  <c r="S32" i="902"/>
  <c r="R32" i="902"/>
  <c r="Z31" i="902"/>
  <c r="Y31" i="902"/>
  <c r="X31" i="902"/>
  <c r="W31" i="902"/>
  <c r="V31" i="902"/>
  <c r="U31" i="902"/>
  <c r="T31" i="902"/>
  <c r="S31" i="902"/>
  <c r="R31" i="902"/>
  <c r="Z30" i="902"/>
  <c r="Y30" i="902"/>
  <c r="X30" i="902"/>
  <c r="W30" i="902"/>
  <c r="V30" i="902"/>
  <c r="U30" i="902"/>
  <c r="T30" i="902"/>
  <c r="S30" i="902"/>
  <c r="R30" i="902"/>
  <c r="Z29" i="902"/>
  <c r="Y29" i="902"/>
  <c r="X29" i="902"/>
  <c r="W29" i="902"/>
  <c r="V29" i="902"/>
  <c r="U29" i="902"/>
  <c r="T29" i="902"/>
  <c r="S29" i="902"/>
  <c r="R29" i="902"/>
  <c r="Z28" i="902"/>
  <c r="Y28" i="902"/>
  <c r="X28" i="902"/>
  <c r="W28" i="902"/>
  <c r="V28" i="902"/>
  <c r="U28" i="902"/>
  <c r="T28" i="902"/>
  <c r="S28" i="902"/>
  <c r="R28" i="902"/>
  <c r="Z27" i="902"/>
  <c r="Y27" i="902"/>
  <c r="X27" i="902"/>
  <c r="W27" i="902"/>
  <c r="V27" i="902"/>
  <c r="U27" i="902"/>
  <c r="T27" i="902"/>
  <c r="S27" i="902"/>
  <c r="R27" i="902"/>
  <c r="Z26" i="902"/>
  <c r="Y26" i="902"/>
  <c r="X26" i="902"/>
  <c r="W26" i="902"/>
  <c r="V26" i="902"/>
  <c r="U26" i="902"/>
  <c r="T26" i="902"/>
  <c r="S26" i="902"/>
  <c r="R26" i="902"/>
  <c r="Z25" i="902"/>
  <c r="Y25" i="902"/>
  <c r="X25" i="902"/>
  <c r="W25" i="902"/>
  <c r="V25" i="902"/>
  <c r="U25" i="902"/>
  <c r="T25" i="902"/>
  <c r="S25" i="902"/>
  <c r="R25" i="902"/>
  <c r="Z24" i="902"/>
  <c r="Y24" i="902"/>
  <c r="X24" i="902"/>
  <c r="W24" i="902"/>
  <c r="V24" i="902"/>
  <c r="U24" i="902"/>
  <c r="T24" i="902"/>
  <c r="S24" i="902"/>
  <c r="R24" i="902"/>
  <c r="Z23" i="902"/>
  <c r="Y23" i="902"/>
  <c r="X23" i="902"/>
  <c r="W23" i="902"/>
  <c r="V23" i="902"/>
  <c r="U23" i="902"/>
  <c r="T23" i="902"/>
  <c r="S23" i="902"/>
  <c r="R23" i="902"/>
  <c r="Z22" i="902"/>
  <c r="Y22" i="902"/>
  <c r="X22" i="902"/>
  <c r="W22" i="902"/>
  <c r="V22" i="902"/>
  <c r="U22" i="902"/>
  <c r="T22" i="902"/>
  <c r="S22" i="902"/>
  <c r="R22" i="902"/>
  <c r="Z13" i="902"/>
  <c r="Y13" i="902"/>
  <c r="X13" i="902"/>
  <c r="W13" i="902"/>
  <c r="V13" i="902"/>
  <c r="U13" i="902"/>
  <c r="T13" i="902"/>
  <c r="S13" i="902"/>
  <c r="R13" i="902"/>
  <c r="Z12" i="902"/>
  <c r="Y12" i="902"/>
  <c r="X12" i="902"/>
  <c r="W12" i="902"/>
  <c r="V12" i="902"/>
  <c r="U12" i="902"/>
  <c r="T12" i="902"/>
  <c r="S12" i="902"/>
  <c r="R12" i="902"/>
  <c r="Z11" i="902"/>
  <c r="Y11" i="902"/>
  <c r="X11" i="902"/>
  <c r="W11" i="902"/>
  <c r="V11" i="902"/>
  <c r="U11" i="902"/>
  <c r="T11" i="902"/>
  <c r="S11" i="902"/>
  <c r="R11" i="902"/>
  <c r="Z10" i="902"/>
  <c r="Y10" i="902"/>
  <c r="X10" i="902"/>
  <c r="W10" i="902"/>
  <c r="V10" i="902"/>
  <c r="U10" i="902"/>
  <c r="T10" i="902"/>
  <c r="S10" i="902"/>
  <c r="R10" i="902"/>
  <c r="X21" i="902" l="1"/>
  <c r="T21" i="902"/>
  <c r="R21" i="902"/>
  <c r="W21" i="902"/>
  <c r="Y21" i="902"/>
  <c r="V21" i="902"/>
  <c r="Z21" i="902"/>
  <c r="U21" i="902"/>
  <c r="O47" i="21" l="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G60" i="18" l="1"/>
  <c r="G64" i="19" l="1"/>
  <c r="G60" i="19"/>
  <c r="G63" i="19"/>
  <c r="G63" i="18"/>
  <c r="G64" i="18"/>
  <c r="D56" i="18" l="1"/>
  <c r="D56" i="19"/>
  <c r="N15" i="910" l="1"/>
  <c r="J10" i="912" l="1"/>
  <c r="N19" i="911"/>
  <c r="N20" i="911"/>
  <c r="N10" i="912"/>
  <c r="L18" i="911"/>
  <c r="L19" i="911"/>
  <c r="L20" i="911"/>
  <c r="I20" i="911"/>
  <c r="C20" i="911"/>
  <c r="I10" i="912" l="1"/>
  <c r="J29" i="912" s="1"/>
  <c r="C12" i="912"/>
  <c r="J20" i="911"/>
  <c r="C11" i="912"/>
  <c r="C10" i="912"/>
  <c r="N10" i="910"/>
  <c r="N11" i="910"/>
  <c r="N12" i="910"/>
  <c r="N13" i="910"/>
  <c r="N14" i="910"/>
  <c r="N18" i="911"/>
  <c r="L10" i="910"/>
  <c r="L11" i="910"/>
  <c r="L12" i="910"/>
  <c r="L13" i="910"/>
  <c r="L14" i="910"/>
  <c r="L15" i="910"/>
  <c r="C15" i="910" l="1"/>
  <c r="C18" i="911"/>
  <c r="C19" i="911"/>
  <c r="J15" i="910" l="1"/>
  <c r="J19" i="911"/>
  <c r="J18" i="911"/>
  <c r="I15" i="910" l="1"/>
  <c r="I19" i="911"/>
  <c r="I18" i="911"/>
  <c r="J26" i="911" s="1"/>
  <c r="N10" i="909"/>
  <c r="L10" i="909"/>
  <c r="N14" i="908" l="1"/>
  <c r="L12" i="908"/>
  <c r="L13" i="908"/>
  <c r="L14" i="908"/>
  <c r="L11" i="908"/>
  <c r="L10" i="908"/>
  <c r="N12" i="908"/>
  <c r="N13" i="908"/>
  <c r="C13" i="908"/>
  <c r="C14" i="908"/>
  <c r="C10" i="909"/>
  <c r="C10" i="910"/>
  <c r="C11" i="910"/>
  <c r="C12" i="910"/>
  <c r="C13" i="910"/>
  <c r="C14" i="910"/>
  <c r="I14" i="908" l="1"/>
  <c r="I13" i="908"/>
  <c r="J14" i="908"/>
  <c r="J13" i="908"/>
  <c r="I23" i="907"/>
  <c r="L24" i="907"/>
  <c r="L23" i="907"/>
  <c r="L22" i="907"/>
  <c r="L21" i="907"/>
  <c r="N22" i="907"/>
  <c r="N23" i="907"/>
  <c r="N24" i="907"/>
  <c r="N10" i="908"/>
  <c r="N11" i="908"/>
  <c r="C21" i="907"/>
  <c r="C22" i="907"/>
  <c r="C23" i="907"/>
  <c r="C24" i="907"/>
  <c r="C10" i="908"/>
  <c r="N10" i="907"/>
  <c r="N11" i="907"/>
  <c r="N21" i="907"/>
  <c r="L10" i="907"/>
  <c r="L11" i="907"/>
  <c r="I24" i="907" l="1"/>
  <c r="I22" i="907"/>
  <c r="J13" i="910"/>
  <c r="J11" i="910"/>
  <c r="J12" i="910"/>
  <c r="J23" i="907"/>
  <c r="J10" i="910"/>
  <c r="C11" i="908"/>
  <c r="J11" i="908"/>
  <c r="C12" i="908"/>
  <c r="J10" i="908"/>
  <c r="J14" i="910"/>
  <c r="I21" i="907"/>
  <c r="J24" i="907"/>
  <c r="J22" i="907"/>
  <c r="J12" i="908"/>
  <c r="J10" i="909"/>
  <c r="J21" i="907"/>
  <c r="N15" i="906"/>
  <c r="L10" i="906"/>
  <c r="L11" i="906"/>
  <c r="L12" i="906"/>
  <c r="L13" i="906"/>
  <c r="L14" i="906"/>
  <c r="L15" i="906"/>
  <c r="N10" i="906"/>
  <c r="N11" i="906"/>
  <c r="N12" i="906"/>
  <c r="N13" i="906"/>
  <c r="N14" i="906"/>
  <c r="C11" i="907" l="1"/>
  <c r="J11" i="907"/>
  <c r="I10" i="910"/>
  <c r="C14" i="906"/>
  <c r="I11" i="910"/>
  <c r="C15" i="906"/>
  <c r="C13" i="906"/>
  <c r="I14" i="910"/>
  <c r="C10" i="907"/>
  <c r="C11" i="906"/>
  <c r="I11" i="908"/>
  <c r="I12" i="910"/>
  <c r="I10" i="907"/>
  <c r="J14" i="906"/>
  <c r="I13" i="910"/>
  <c r="I10" i="908"/>
  <c r="C12" i="906"/>
  <c r="C10" i="906"/>
  <c r="I12" i="908"/>
  <c r="I10" i="909"/>
  <c r="J21" i="909" s="1"/>
  <c r="J10" i="907"/>
  <c r="J15" i="906"/>
  <c r="J11" i="906"/>
  <c r="J10" i="906"/>
  <c r="I10" i="906"/>
  <c r="I15" i="906"/>
  <c r="I14" i="906"/>
  <c r="I13" i="906"/>
  <c r="J12" i="906"/>
  <c r="J13" i="906"/>
  <c r="I11" i="906"/>
  <c r="J26" i="908" l="1"/>
  <c r="I11" i="907"/>
  <c r="J29" i="910"/>
  <c r="J34" i="907"/>
  <c r="I12" i="906"/>
  <c r="J20" i="906" s="1"/>
  <c r="L13" i="902" l="1"/>
  <c r="L12" i="902"/>
  <c r="L11" i="902"/>
  <c r="L10" i="902"/>
  <c r="N13" i="902" l="1"/>
  <c r="N12" i="902"/>
  <c r="N11" i="902"/>
  <c r="N10" i="902"/>
  <c r="C11" i="902" l="1"/>
  <c r="C12" i="902"/>
  <c r="C13" i="902"/>
  <c r="J10" i="902" l="1"/>
  <c r="J13" i="902"/>
  <c r="K39" i="912"/>
  <c r="K26" i="911"/>
  <c r="K36" i="911" s="1"/>
  <c r="K29" i="910"/>
  <c r="K39" i="910" s="1"/>
  <c r="K21" i="909"/>
  <c r="K31" i="909" s="1"/>
  <c r="K26" i="908"/>
  <c r="K36" i="908" s="1"/>
  <c r="K34" i="907"/>
  <c r="K44" i="907" s="1"/>
  <c r="K20" i="906"/>
  <c r="K30" i="906" s="1"/>
  <c r="K25" i="904"/>
  <c r="K35" i="904" s="1"/>
  <c r="K25" i="905"/>
  <c r="K35" i="905" s="1"/>
  <c r="K21" i="903"/>
  <c r="K31" i="903" s="1"/>
  <c r="K21" i="902"/>
  <c r="K31" i="902" s="1"/>
  <c r="C10" i="902"/>
  <c r="J11" i="902"/>
  <c r="J12" i="902"/>
  <c r="I12" i="902" l="1"/>
  <c r="I13" i="902"/>
  <c r="I11" i="902"/>
  <c r="L39" i="912" l="1"/>
  <c r="M39" i="912" s="1"/>
  <c r="M26" i="911"/>
  <c r="L26" i="911"/>
  <c r="L36" i="911" s="1"/>
  <c r="M36" i="911" s="1"/>
  <c r="M29" i="910"/>
  <c r="L29" i="910"/>
  <c r="L39" i="910" s="1"/>
  <c r="M39" i="910" s="1"/>
  <c r="L21" i="909"/>
  <c r="L31" i="909" s="1"/>
  <c r="M31" i="909" s="1"/>
  <c r="M21" i="909"/>
  <c r="M26" i="908"/>
  <c r="L26" i="908"/>
  <c r="L36" i="908" s="1"/>
  <c r="M36" i="908" s="1"/>
  <c r="M34" i="907"/>
  <c r="L34" i="907"/>
  <c r="L44" i="907" s="1"/>
  <c r="M44" i="907" s="1"/>
  <c r="L20" i="906"/>
  <c r="L30" i="906" s="1"/>
  <c r="M30" i="906" s="1"/>
  <c r="M20" i="906"/>
  <c r="M25" i="905"/>
  <c r="L25" i="904"/>
  <c r="L35" i="904" s="1"/>
  <c r="M35" i="904" s="1"/>
  <c r="L25" i="905"/>
  <c r="L35" i="905" s="1"/>
  <c r="M35" i="905" s="1"/>
  <c r="M25" i="904"/>
  <c r="L21" i="903"/>
  <c r="L31" i="903" s="1"/>
  <c r="M31" i="903" s="1"/>
  <c r="M21" i="903"/>
  <c r="L21" i="902"/>
  <c r="L31" i="902" s="1"/>
  <c r="M31" i="902" s="1"/>
  <c r="M21" i="902"/>
  <c r="I10" i="902"/>
  <c r="J21" i="902" s="1"/>
  <c r="K14" i="915"/>
  <c r="K15" i="915"/>
  <c r="K16" i="915"/>
  <c r="K12" i="911" l="1"/>
  <c r="K13" i="911"/>
  <c r="K14" i="911"/>
  <c r="K15" i="911"/>
  <c r="K16" i="911"/>
  <c r="K13" i="915"/>
  <c r="K17" i="910"/>
  <c r="K11" i="911"/>
  <c r="K13" i="907"/>
  <c r="K18" i="904"/>
  <c r="K10" i="911" l="1"/>
  <c r="K19" i="910"/>
  <c r="I14" i="920" l="1"/>
  <c r="J14" i="920"/>
  <c r="N10" i="920"/>
  <c r="N11" i="920"/>
  <c r="N12" i="920"/>
  <c r="N13" i="920"/>
  <c r="N14" i="920"/>
  <c r="J12" i="920" l="1"/>
  <c r="I12" i="920"/>
  <c r="I11" i="920"/>
  <c r="I13" i="920"/>
  <c r="J11" i="920"/>
  <c r="J13" i="920"/>
  <c r="J10" i="920" l="1"/>
  <c r="I10" i="920" l="1"/>
  <c r="J28" i="920" s="1"/>
  <c r="M29" i="919"/>
  <c r="J14" i="921" l="1"/>
  <c r="J13" i="921" l="1"/>
  <c r="J12" i="921"/>
  <c r="J11" i="921"/>
  <c r="J10" i="921" l="1"/>
  <c r="N12" i="922"/>
  <c r="N13" i="922"/>
  <c r="N14" i="922"/>
  <c r="N15" i="922"/>
  <c r="N18" i="922"/>
  <c r="N19" i="922"/>
  <c r="N20" i="922"/>
  <c r="N21" i="922"/>
  <c r="N22" i="922"/>
  <c r="N23" i="922"/>
  <c r="N24" i="922"/>
  <c r="N25" i="922"/>
  <c r="N26" i="922"/>
  <c r="N10" i="922" l="1"/>
  <c r="N11" i="922"/>
  <c r="J64" i="18" l="1"/>
  <c r="J63" i="18" l="1"/>
  <c r="J63" i="19"/>
  <c r="J64" i="19"/>
  <c r="F60" i="910" l="1"/>
  <c r="D59" i="18" l="1"/>
  <c r="D57" i="19"/>
  <c r="D59" i="19"/>
  <c r="D57" i="18"/>
  <c r="G52" i="921" l="1"/>
  <c r="G54" i="921"/>
  <c r="D54" i="921"/>
  <c r="G56" i="920"/>
  <c r="G55" i="917"/>
  <c r="G54" i="918"/>
  <c r="G64" i="913"/>
  <c r="G62" i="913"/>
  <c r="G60" i="913"/>
  <c r="G60" i="912"/>
  <c r="G58" i="912"/>
  <c r="G60" i="910"/>
  <c r="I60" i="910" s="1"/>
  <c r="G58" i="910"/>
  <c r="G50" i="909"/>
  <c r="G55" i="908"/>
  <c r="G63" i="907"/>
  <c r="G65" i="907"/>
  <c r="G67" i="907"/>
  <c r="G50" i="903"/>
  <c r="D55" i="917"/>
  <c r="D60" i="913"/>
  <c r="D62" i="913"/>
  <c r="D58" i="912"/>
  <c r="D50" i="909"/>
  <c r="D60" i="912"/>
  <c r="D54" i="918"/>
  <c r="D50" i="903"/>
  <c r="D50" i="902"/>
  <c r="D63" i="907"/>
  <c r="D58" i="910"/>
  <c r="D55" i="908"/>
  <c r="D56" i="920"/>
  <c r="D65" i="907"/>
  <c r="D60" i="910"/>
  <c r="D67" i="907"/>
  <c r="D64" i="913"/>
  <c r="L54" i="921" l="1"/>
  <c r="C65" i="921" s="1"/>
  <c r="L61" i="922"/>
  <c r="C75" i="922" s="1"/>
  <c r="L60" i="912"/>
  <c r="L62" i="913"/>
  <c r="L63" i="907"/>
  <c r="G50" i="902"/>
  <c r="L50" i="902" s="1"/>
  <c r="C61" i="902" s="1"/>
  <c r="L60" i="913"/>
  <c r="G74" i="913"/>
  <c r="L64" i="913"/>
  <c r="C74" i="913" s="1"/>
  <c r="G67" i="908"/>
  <c r="L56" i="920"/>
  <c r="C72" i="920" s="1"/>
  <c r="L58" i="910"/>
  <c r="C70" i="910" s="1"/>
  <c r="L50" i="909"/>
  <c r="C61" i="909" s="1"/>
  <c r="L50" i="903"/>
  <c r="C61" i="903" s="1"/>
  <c r="L55" i="908"/>
  <c r="C67" i="908" s="1"/>
  <c r="L58" i="912"/>
  <c r="L54" i="918"/>
  <c r="C67" i="918" s="1"/>
  <c r="G70" i="910"/>
  <c r="L55" i="917"/>
  <c r="C68" i="917" s="1"/>
  <c r="L67" i="907"/>
  <c r="C77" i="907" s="1"/>
  <c r="L60" i="910"/>
  <c r="C74" i="910" s="1"/>
  <c r="H60" i="910"/>
  <c r="L65" i="907"/>
  <c r="C73" i="913" l="1"/>
  <c r="C80" i="907"/>
  <c r="G68" i="917"/>
  <c r="G61" i="909"/>
  <c r="G69" i="912"/>
  <c r="C69" i="912"/>
  <c r="G61" i="18"/>
  <c r="G74" i="910"/>
  <c r="G61" i="19"/>
  <c r="G72" i="920"/>
  <c r="G75" i="922"/>
  <c r="G67" i="918"/>
  <c r="G80" i="907"/>
  <c r="G73" i="913"/>
  <c r="G77" i="907"/>
  <c r="G61" i="903"/>
  <c r="G61" i="902"/>
  <c r="G57" i="18" l="1"/>
  <c r="G59" i="18"/>
  <c r="G56" i="18"/>
  <c r="G62" i="18"/>
  <c r="G57" i="19" l="1"/>
  <c r="G62" i="19"/>
  <c r="G59" i="19"/>
  <c r="G56" i="19" l="1"/>
  <c r="K10" i="922"/>
  <c r="K11" i="922"/>
  <c r="K12" i="922"/>
  <c r="K13" i="922"/>
  <c r="K14" i="922"/>
  <c r="K15" i="922"/>
  <c r="K18" i="922"/>
  <c r="K19" i="922"/>
  <c r="K20" i="922"/>
  <c r="K21" i="922"/>
  <c r="K22" i="922"/>
  <c r="K23" i="922"/>
  <c r="K24" i="922"/>
  <c r="K25" i="922"/>
  <c r="K26" i="922"/>
  <c r="K10" i="912" l="1"/>
  <c r="K11" i="912"/>
  <c r="K12" i="912"/>
  <c r="K13" i="912"/>
  <c r="K15" i="912"/>
  <c r="K16" i="912"/>
  <c r="K17" i="912"/>
  <c r="K18" i="912"/>
  <c r="K19" i="912"/>
  <c r="K20" i="912"/>
  <c r="K22" i="912"/>
  <c r="K23" i="912"/>
  <c r="K24" i="912"/>
  <c r="K25" i="912"/>
  <c r="K10" i="913"/>
  <c r="K13" i="914"/>
  <c r="K14" i="914"/>
  <c r="K15" i="914"/>
  <c r="K16" i="914"/>
  <c r="K17" i="914"/>
  <c r="K18" i="914"/>
  <c r="K10" i="915"/>
  <c r="K11" i="915"/>
  <c r="K10" i="916"/>
  <c r="K11" i="916"/>
  <c r="K12" i="916"/>
  <c r="K13" i="916"/>
  <c r="K10" i="917"/>
  <c r="K11" i="917"/>
  <c r="K12" i="917"/>
  <c r="K13" i="917"/>
  <c r="K10" i="921"/>
  <c r="K11" i="921"/>
  <c r="K12" i="921"/>
  <c r="K13" i="921"/>
  <c r="K14" i="921"/>
  <c r="K19" i="911" l="1"/>
  <c r="K20" i="911"/>
  <c r="K10" i="910" l="1"/>
  <c r="K11" i="910"/>
  <c r="K12" i="910"/>
  <c r="K13" i="910"/>
  <c r="K14" i="910"/>
  <c r="K15" i="910"/>
  <c r="K18" i="911"/>
  <c r="K14" i="908" l="1"/>
  <c r="K10" i="909"/>
  <c r="K10" i="908"/>
  <c r="K11" i="908"/>
  <c r="K12" i="908"/>
  <c r="K13" i="908"/>
  <c r="K21" i="907" l="1"/>
  <c r="K22" i="907"/>
  <c r="K23" i="907"/>
  <c r="K24" i="907"/>
  <c r="K11" i="907"/>
  <c r="K11" i="906" l="1"/>
  <c r="K12" i="906"/>
  <c r="K13" i="906"/>
  <c r="K14" i="906"/>
  <c r="K15" i="906"/>
  <c r="K10" i="907"/>
  <c r="K10" i="906" l="1"/>
  <c r="K12" i="902"/>
  <c r="K11" i="902"/>
  <c r="K10" i="902"/>
  <c r="D62" i="18" l="1"/>
  <c r="D62" i="19"/>
  <c r="D61" i="19" l="1"/>
  <c r="D61" i="18"/>
  <c r="I25" i="922" l="1"/>
  <c r="I24" i="922"/>
  <c r="I22" i="922"/>
  <c r="I23" i="922"/>
  <c r="I26" i="922" l="1"/>
  <c r="I11" i="922" l="1"/>
  <c r="I18" i="922" l="1"/>
  <c r="I20" i="922"/>
  <c r="I12" i="922"/>
  <c r="I21" i="922"/>
  <c r="I14" i="922"/>
  <c r="I15" i="922"/>
  <c r="I10" i="922"/>
  <c r="I13" i="922"/>
  <c r="I19" i="922"/>
  <c r="I14" i="921"/>
  <c r="J32" i="922" l="1"/>
  <c r="I13" i="921"/>
  <c r="I11" i="921"/>
  <c r="I12" i="921"/>
  <c r="M32" i="922" l="1"/>
  <c r="L32" i="922"/>
  <c r="L42" i="922" s="1"/>
  <c r="L23" i="921"/>
  <c r="L33" i="921" s="1"/>
  <c r="M33" i="921" s="1"/>
  <c r="M23" i="921"/>
  <c r="I10" i="921"/>
  <c r="J23" i="921" s="1"/>
  <c r="M42" i="922" l="1"/>
  <c r="K11" i="904"/>
  <c r="K12" i="904"/>
  <c r="K13" i="904"/>
  <c r="K14" i="904"/>
  <c r="K15" i="904"/>
  <c r="K16" i="904"/>
  <c r="K13" i="903"/>
  <c r="K14" i="903"/>
  <c r="K10" i="904"/>
  <c r="K12" i="903"/>
  <c r="K15" i="907"/>
  <c r="K16" i="907"/>
  <c r="K17" i="907"/>
  <c r="K18" i="907"/>
  <c r="K10" i="918"/>
  <c r="K11" i="918"/>
  <c r="K12" i="918"/>
  <c r="K13" i="918"/>
  <c r="K14" i="918"/>
  <c r="K15" i="918"/>
  <c r="K16" i="918"/>
  <c r="D58" i="18" l="1"/>
  <c r="D58" i="19"/>
  <c r="D52" i="921" l="1"/>
  <c r="L52" i="921" s="1"/>
  <c r="D65" i="18" l="1"/>
  <c r="G58" i="18" l="1"/>
  <c r="D65" i="19"/>
  <c r="K11" i="914" l="1"/>
  <c r="K10" i="914"/>
  <c r="K17" i="913"/>
  <c r="K16" i="913"/>
  <c r="K15" i="913"/>
  <c r="K14" i="913"/>
  <c r="K13" i="913"/>
  <c r="K12" i="913"/>
  <c r="G65" i="18" l="1"/>
  <c r="G58" i="19"/>
  <c r="G65" i="19" l="1"/>
  <c r="K64" i="913" l="1"/>
  <c r="K74" i="913" s="1"/>
  <c r="K56" i="920" l="1"/>
  <c r="K72" i="920" s="1"/>
  <c r="K60" i="910"/>
  <c r="K74" i="910" s="1"/>
  <c r="K67" i="907"/>
  <c r="K77" i="907" s="1"/>
  <c r="K60" i="912"/>
  <c r="K55" i="917"/>
  <c r="K68" i="917" s="1"/>
  <c r="K55" i="908"/>
  <c r="K67" i="908" s="1"/>
  <c r="K50" i="903"/>
  <c r="K61" i="903" s="1"/>
  <c r="K61" i="922"/>
  <c r="K75" i="922" s="1"/>
  <c r="K62" i="913"/>
  <c r="K50" i="909"/>
  <c r="K61" i="909" s="1"/>
  <c r="K60" i="913"/>
  <c r="K73" i="913" s="1"/>
  <c r="K54" i="918"/>
  <c r="K67" i="918" s="1"/>
  <c r="K58" i="910"/>
  <c r="K70" i="910" s="1"/>
  <c r="J58" i="18" l="1"/>
  <c r="J59" i="18"/>
  <c r="K58" i="912"/>
  <c r="K69" i="912" s="1"/>
  <c r="J61" i="18"/>
  <c r="J57" i="18"/>
  <c r="K65" i="907"/>
  <c r="J59" i="19" l="1"/>
  <c r="J57" i="19"/>
  <c r="K63" i="907"/>
  <c r="K80" i="907" s="1"/>
  <c r="J56" i="18"/>
  <c r="J61" i="19"/>
  <c r="J58" i="19"/>
  <c r="J62" i="18" l="1"/>
  <c r="J56" i="19"/>
  <c r="J65" i="19" l="1"/>
  <c r="J65" i="18"/>
  <c r="J6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975500F-8E40-49F5-9014-1FABAE0100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56D7C4A-66EF-40AF-867A-F3B63145A50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442FD5F-A3C7-41E4-9F1A-FE55BFD616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A409E69-6497-4345-94BE-BCCEAFC45FB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6B733BC-0908-426B-826B-E3CF038483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6A12E92-66E2-4903-B13F-6E579FBFE4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B172908-0B3B-4520-873E-17BD29294B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A223179-5E9D-44B9-9398-83485CE1FC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2975A46-C0BB-4A40-BCCE-3A7284767D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68F48E45-D26A-45AF-AF78-3A73EBB6421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9F1B5C7-BBAF-4357-B912-66FFA68776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4E1664B-D624-4603-918C-D841ECC3A5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B2B7325-8C55-4DB3-9D1C-F37AA776BE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30E58A0-5B62-4B02-AD38-380D5B2A76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E133F07-F874-44DB-B2C2-92975FE3DE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4C3CAA9-AD01-4AD1-B075-C9132ED5D1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07D3658-DB2F-4640-8332-9362844A6A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2BE8299-69FB-40F1-ABE5-ECE204E33E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F967641-9BD4-4FB7-8F44-B415B24042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EAB283A-F396-47FC-9448-BA137DC702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1C14A77-3B02-4F7E-9CFE-474600EEBF3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AF9EE0A-9D76-4486-8956-F683C52006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4357AEA-17F9-4CCD-B319-A5E5AE90CE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03EA1B8-CD5A-46C0-8475-B5F214CB9F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871DD30-5BF1-43DE-9934-9320BCF565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E4E5010-75A9-4DE5-B733-245228763D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3954067-72F7-45D4-BDA3-E8DCE45212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374E483-D54C-4E2C-BE6B-B1081CA2FB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41EE0FF-E5FF-4ABF-80B1-9A886B7353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F32D167-766B-4A25-8742-634C230525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CEADAE1-2C00-4663-9D84-8B295E4A15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AE2700E-2DA0-4700-8E0E-E91B9987186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FA4B532-9CC5-4607-886A-6AD0BE5560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E2B87623-EFB6-4EC8-85E3-D79F76369BF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8AC245D-F1BE-43E0-8B15-4731D22BDC4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A48ACE4-AE3D-4DC1-BC4E-596193D8B7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11195A9-DBA9-4603-9089-787CE623BD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F4F131D-D452-4574-AAB1-F0BAC102C4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FD8C5B5-CE8B-40FB-9A7B-34F7CA3A03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F9D2063-12B5-45DD-B3D6-26E3655676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7CA14B7-C1FD-4B37-933C-B4A51EC915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FA59D5D-D63D-498A-AF8A-6639A5CAF8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715CADA-E3B9-4E92-A2BA-BDFDFC05E5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6EB664B-D68A-474E-9630-6169321DF27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80A8F11D-154A-4459-A56A-854C90C723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A7344568-F3E8-4C5B-AF84-197953452DD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3E4FC6B-5E13-492A-9535-B9591A6979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4133AC1-110C-4DEB-8339-B3551E04FDA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CFB5D38-9849-4AB3-820F-61CA61C4D7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4A5481D-2EA0-4604-96C8-0C59CB277E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E728BBE-29A7-450B-A432-8F825DD636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67006BC-C81B-466B-AFBA-1ED3526D5A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C448C1D-FDD9-44A0-9868-3035BC7640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87E71F7-335B-4C74-AC10-0E46E4C232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B1172BCF-09B4-4B69-B39E-AB50F64C07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F176C70-DB92-43E0-932F-2E256B6706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E885BC6-4E5E-4046-B0DE-EB44C2DD19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1" authorId="1" shapeId="0" xr:uid="{5DECDAC5-52B0-4A3D-96AA-952C563E493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FCB1730-5E79-47A5-ABFE-314B9EA43A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7E0CE26-BB5F-4FE2-A529-C2839831C0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50EC551-75FD-41E9-AE6D-4E57649DBE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C71B197-0B83-498D-9B1A-11B1E12891E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6F106A-456F-4195-9441-52D8C011BA3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D2C9418-ACD8-4D1A-A339-9C5159276E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CBD05DA-ACE8-446F-A6CD-C9439EFCD7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FBBF2EC-9248-450E-ADE1-ADCF405AEC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D89FB6F-B932-492A-AC54-E89D887E54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4687642-891C-4331-897B-0DB43152C45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26CFA27-E57B-4746-A568-59D688C4C7C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5" authorId="1" shapeId="0" xr:uid="{A8210E23-FE66-4534-AE8A-8BA3EEDFC2D6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284E36D-68F0-4CA7-84BE-867218E948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5B0CBB1-E303-4A64-B25D-E6F7480316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A5866BF-BED5-457D-805B-A9ABC2656E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E99BA31-B25B-40D9-9283-5B35DC7849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7F87166-2812-4266-9524-C0D2D0AA3D6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99327A1-FE7F-459D-AF39-698A7C1AE3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0FCFD3B-05C7-4337-AB8C-8F1068C736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B48FD43-A784-43EC-8C4D-8BE9B3D2B8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8411618C-FB2F-46EA-9B4F-3011790630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87CC5D4-F399-4754-923D-756BCA81F23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78575681-5724-4031-89CB-EC176FE0E4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7" authorId="1" shapeId="0" xr:uid="{80CD3781-9CE7-4980-8E3A-836E0EED41D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C2F0CCEB-9D20-4DC2-B56B-793EAF40D0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EBE65F0-6735-479B-9D7E-FD7A9C2FD9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9C12A93-F7EB-4200-90D0-70E7AD0DB4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92FDF97-4E59-43B3-B673-6EC0683991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D6A588D-84AE-4F18-86BB-09487093C5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2152F12-1FA2-4980-A268-8AFE70A83F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281FA30-ADD9-4ED7-8EBF-0E0807DCCB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E7171D8-C379-495B-B121-BFF7F9FF74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96D43FE0-CE1C-45D2-B9B1-1A1D308A0F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BC81EBFE-6ABB-444D-80BF-44D4B7D48F8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03B1A1C-1482-4607-91EB-0BE06FA943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2" authorId="1" shapeId="0" xr:uid="{26EC6076-59F0-4666-8BE4-9C335BD3A31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41E3924F-DAAB-404D-8C7F-6A9E6E7FFC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82CE7D7-6DD0-4D78-A568-5B01115385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D4CB5E5-F6D5-4BA8-B7B3-DDC349041C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5565AC9-DB85-4507-86AB-F517EC94DD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3168FB7-07DF-4008-AEBB-471FD6C7BC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8B91FEE-7675-432F-8D73-1564CA1846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A883682-F922-4FB3-A9C9-31A1DDBEAA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EF65867-CA90-4B77-B901-87925DB89F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5AAB8744-5CD5-47DF-96BC-4801FC911D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CA7F7949-01C5-4EE7-9717-2D20D84EF67F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7149D17-A0ED-4BD3-9D0C-5E60197450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0" authorId="1" shapeId="0" xr:uid="{555E72DE-F19D-4A72-9C30-A8E037532C4C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5878BEDD-0BC1-4D46-98AB-4B1754F86F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104D1DAF-2F20-45BA-8CC9-0A0C897AD6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62E5BA0-32E2-4C83-9EE5-0A41DD6B4E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85FD82B-6C8B-48B4-BBDA-B8D7188C3D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CDEE818-19F3-48A5-8957-203A0B7840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FF7B092-EA06-48B1-9086-F583465B8F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5FF2051-EC80-43DE-A9C7-01C28C6FF3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BD04240-1A87-41C9-953B-95C5C20685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BF2EDBE-7335-42FE-8826-5D9D9BB20F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4FA8B63-10EB-474D-B144-43B3694924F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B86DF13-7D70-4A84-8E77-C656B88D62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7" authorId="1" shapeId="0" xr:uid="{6C7F5086-197D-4446-807E-81429FC7546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F93180F-CC9A-41CB-842A-3A0A4230A3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9119415-48FC-4203-8CAB-1CCEB83B98B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9629AD3-F52F-4E9F-B643-AAB9D883C0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DECF9EF-BABC-41F3-A0EE-0248EB8269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47F54E5-6DC6-4257-A117-223E7C2E19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711D5F0-F6E6-4A1A-B5EA-D028A0DF016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49B80A9-D3B0-4F70-ADE1-6CAC2E613F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8CED01B-9A04-4313-A887-DE8C238265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17703CD-C93C-479F-980C-08AA8E78D9C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719C4554-8F8D-4060-92F0-63E3993411D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12F62EE6-0522-4B14-9F7A-3F9FCD7CDE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0" authorId="1" shapeId="0" xr:uid="{DECCF612-90EA-4A31-934F-3EF617F4952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538A080-8A0C-469C-9597-30094A9697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2D6498D-8351-473C-9921-5052875142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607531E-D607-4599-BECE-0A2F0B5E4D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64687ED-A1F9-44F2-B686-1C49DDB9E9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10A1367-9FC2-44D3-8E5B-5636747508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6C912F7-3D66-43DD-BB89-B700C164EA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C0623BF-13D8-44D2-8672-BDA84172D1C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F979010-56C2-450F-987D-257A4E0AC1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4664DE6-20DC-43E3-B773-1C000527F5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E41254A-A1E5-4CB3-A266-8A1EF2DE99E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5D22394-8722-4339-BD8A-069362EDF4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2" authorId="1" shapeId="0" xr:uid="{39FEB166-A272-403B-89E0-D17A9D7C026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3F556F1-B8D4-4782-B5DE-6989B6FB4C1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A164404-712C-4982-829A-9ECF37C922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8DB13B7-4F60-4115-8E80-277B56CF437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7F51E05-7974-459B-B369-97A18CA3F8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F036001-4B80-4952-A43E-F7859FFEDF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83D4FFF-C944-4EE2-9655-73EE7173C9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23874AB-706E-46B9-964D-38C2C7FC37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C4229A1E-EC6B-4108-9A92-19FC367C1E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45F31B3E-4BF3-41A4-9FFA-DB6CC79C66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AB5733B-9A94-4763-8B2C-3A1387C9DEA3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5E75E050-8701-4D80-AAEB-A5704F2DADD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4" authorId="1" shapeId="0" xr:uid="{766C4F12-1129-4134-98F7-EE2C62D4A8B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93A286A-E94D-43BA-9A93-1546A07F92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AAEB173-E539-4B62-BD60-41029AFDD4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6649970-5B02-4211-9DF1-A830B4BBCB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496BE18-A7A8-461D-B030-D11DC8E8F7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0E8E906-47F2-4899-85E1-18DE848CC8E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E036639-C940-4A6D-967E-4985C31E06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50AB05A-2996-4885-9D81-ACD802FEE5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15A0A32-498D-414E-A545-25E12A28DE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2F6BF9A-E744-4D63-A6B0-BB94B27F3B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9322FA7C-1566-4688-8351-417106583DE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CF78D5E4-BFC5-4BE0-8406-47F98D26DA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7" authorId="1" shapeId="0" xr:uid="{04FE8196-1018-4269-BE7A-04E6771E658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F9DDD2B2-438E-43BE-BE5E-8015AEA17A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5A3E5DA-669A-41A4-BA1F-64F8435993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11B4E7BD-B706-42B0-B27E-13C3FF6A187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1BDD182-C75D-4972-ADCE-512025C18B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5FDE31E-8A3A-4855-BC50-3EB0022EF4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95C0CC2-144B-466D-A9FD-EB936980F2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3854D0D-E2F2-4962-9755-DE7443E78F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737EEAE-439C-4BAF-93D7-BBACE51A20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CB980F16-7C16-492C-8D0D-8DEA04A2CA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6764D36-486B-4ED4-A2C6-694C6BF5C49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BC847FF4-C1F4-4AF0-8AE0-3C07B82F97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5" authorId="1" shapeId="0" xr:uid="{B413B77E-8D48-4E3F-8736-95AA23EEFE8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5256B76-8D9F-495C-82F0-4097E35E06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04FC6CF-45F5-4B88-B8EE-E8E2762961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F3E2AAA-AC6A-4DF5-8AAA-B648DFE523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2C368F3-5F91-493F-839F-8CF9249F10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404685D-6F43-4989-9971-6CA821044DF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631506C-301B-4CE8-B440-4C9F9991B3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37EB39C-1152-45C2-81D2-878BE1EB82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22936E2-C84F-46F6-8FBE-9C4985C5B6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371F442A-D7E6-4545-BD37-C2DF9DBAAB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1B7D0326-1BA8-427E-928A-0202A614448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00EA2FB6-2183-40A4-A517-61471015BC5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7" authorId="1" shapeId="0" xr:uid="{83786570-D7E1-4EF1-8B89-91EF32213848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2DC4A10-9764-47B2-9BFF-BFC8ACA4D3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3B72247-8465-481F-8610-E55B7357E2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71C1DC84-FBB2-484D-A472-68BD33494E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B73C553-72A3-4A88-88A9-B99BBCE234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39BD77A-A867-4C6D-807C-647486573F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CEACCB0-3819-48DC-83AF-E237BC779F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33B616-FA92-4573-BB9D-B5DC9CE66F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F0A0D20-0DA6-44C2-8B98-DC723EA6F6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AFCD5BE6-8ECC-4A50-993F-0A6B66EBBA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F691144-6D9D-4F45-877E-C7396DBF747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6CE5C7FE-BBD6-492A-B8EB-90050D8540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6" authorId="1" shapeId="0" xr:uid="{67A57D8E-B5EA-434C-81F8-54036C606E7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ED77833C-501B-43B8-BBB4-05CCBEBDE0A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1D763BF-B173-45DE-A7DB-B0D3EBE0EE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0E29B53E-BD52-4E6D-AA06-4AE69E7092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61F353A-D723-47FE-8205-D047514373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E259934-F7E3-45E5-9C8D-E435B1B0B4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3D092F0-684E-4D3E-81AA-D1C9039AD3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283CBED-AF97-4419-818B-750E5DC0196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C21E2EA-FE6B-4B41-8159-3848161334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10D3742A-742B-4463-96CD-B8F5F4C157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2560FD8C-D7F2-477C-A172-288BD30DFF6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22A410AF-2B15-4BF6-A3DB-9E68D47A64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9" authorId="1" shapeId="0" xr:uid="{FE321347-DC33-4E12-B8A5-2D08BE82D43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BC9D6FC4-2E6E-49B8-BFA1-E73F499E49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6940C9B-55EF-42EA-BAF6-26D8007912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DEB4FC-13D2-401B-B149-9AE6C8A701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8C30528-9469-41CD-A6E4-75D1A794DC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1D246B4-1930-4054-AB43-24A42BEAB7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B7B2B51-DC71-43E7-99EF-EBF1A10CE22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6E4E0D7-8A7D-48B0-86AE-1354A676A7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ECFD2F5-A124-4721-BD7C-866876F835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F159733E-1459-4D81-973B-282EB0459F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E6AEE1C8-5911-4F8D-B515-3B5268A93120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E2D3B81E-5C5E-495B-987E-DAEDDDE66A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8" authorId="1" shapeId="0" xr:uid="{E5918144-11FF-4355-B3EA-1AF43F3ABD4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436EEFC-191E-4F4A-BC60-58597759CE2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6D3E112-1624-4A61-A252-F8DC048823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D8E06B7-398C-4699-9C57-E7499950A1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ACEACE4-73D4-4686-870D-7C133539DA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0BED055-924F-4098-9D78-82F7D623B5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7B86A86-C655-41C9-A7B2-3DA5E0A992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CD2B662-045A-4BDC-A8F2-EBE3FEC4AE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83069C2-9635-4E6D-94D1-2E718004FC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BCB7C1B-A0CE-4FEE-AD42-CF973C9BAD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33BB7C69-4605-4789-97E8-4037F8CE0A92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9EF32B01-D362-478D-8BE7-9F1247FB0ED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24" authorId="1" shapeId="0" xr:uid="{84BB87F4-1384-4A85-B01E-44CECB135F79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7A57BBF-A8C1-42A3-A1EC-6AEE01D1AD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3BC39BA-BA9C-43AF-9916-5997FCF74F1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8C5F604-C8D8-48AE-AFBA-2359B82045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36EF52E-F6A4-421C-A015-3F0CCFD2AB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A5EA452-6B98-46F2-805A-6B298E8174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3CC9124-FE0C-4EF3-AFED-5EAF36AB39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C128037-CCDB-4CE9-A23A-53DD0977A1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5C54D94-BD11-49B0-B69D-D4A50B912A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7" authorId="0" shapeId="0" xr:uid="{E1DE85A3-CD2A-41F2-8346-0B4B427B50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S9" authorId="1" shapeId="0" xr:uid="{F1A12074-E28D-42E8-A231-ADE9A4563E8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Spec changed in August 2025- DP &amp; AW</t>
        </r>
      </text>
    </comment>
    <comment ref="U9" authorId="0" shapeId="0" xr:uid="{A15E4124-0F4E-465E-8EC6-584BD78D8A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3" authorId="1" shapeId="0" xr:uid="{1C748685-A490-4019-BDA4-6FF9C08DD7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1brew dumped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<sst xmlns="http://schemas.openxmlformats.org/spreadsheetml/2006/main" count="3242" uniqueCount="219">
  <si>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</si>
  <si>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</si>
  <si>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</si>
  <si>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</si>
  <si>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</si>
  <si>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</si>
  <si>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</si>
  <si>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</si>
  <si>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</si>
  <si>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</si>
  <si>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</si>
  <si>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</si>
  <si>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</si>
  <si>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</si>
  <si>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</si>
  <si>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</si>
  <si>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</si>
  <si>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</si>
  <si>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</si>
  <si>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</si>
  <si>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</si>
  <si>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</si>
  <si>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</si>
  <si>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</si>
  <si>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</si>
  <si>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</si>
  <si>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</si>
  <si>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</si>
  <si>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</si>
  <si>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</si>
  <si>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</si>
  <si>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</si>
  <si>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</si>
  <si>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</si>
  <si>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</si>
  <si>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</si>
  <si>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</si>
  <si>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</si>
  <si>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</si>
  <si>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</si>
  <si>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</si>
  <si>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</si>
  <si>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</si>
  <si>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</si>
  <si>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</si>
  <si>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</si>
  <si>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</si>
  <si>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</si>
  <si>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</si>
  <si>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</si>
  <si>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</si>
  <si>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</si>
  <si>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</si>
  <si>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</si>
  <si>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</si>
  <si>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</si>
  <si>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</si>
  <si>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</si>
  <si>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</si>
  <si>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</si>
  <si>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</si>
  <si>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</si>
  <si>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</si>
  <si>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</si>
  <si>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</si>
  <si>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</si>
  <si>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</si>
  <si>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</si>
  <si>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</si>
  <si>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</si>
  <si>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</si>
  <si>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</si>
  <si>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</si>
  <si>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</si>
  <si>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</si>
  <si>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</si>
  <si>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</si>
  <si>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</si>
  <si>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</si>
  <si>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</si>
  <si>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</si>
  <si>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</si>
  <si>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</si>
  <si>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</si>
  <si>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</si>
  <si>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</si>
  <si>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</si>
  <si>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</si>
  <si>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</si>
  <si>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</si>
  <si>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</si>
  <si>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</si>
  <si>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</si>
  <si>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</si>
  <si>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</si>
  <si>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</si>
  <si>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</si>
  <si>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</si>
  <si>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</si>
  <si>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</si>
  <si>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</si>
  <si>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</si>
  <si>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</si>
  <si>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</si>
  <si>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</si>
  <si>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</si>
  <si>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</si>
  <si>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</si>
  <si>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</si>
  <si>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</si>
  <si>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</si>
  <si>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</si>
  <si>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</si>
  <si>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</si>
  <si>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</si>
  <si>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</si>
  <si>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</si>
  <si>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</si>
  <si>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</si>
  <si>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</si>
  <si>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</si>
  <si>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</si>
  <si>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</si>
  <si>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</si>
  <si>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</si>
  <si>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</si>
  <si>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</si>
  <si>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</si>
  <si>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</si>
  <si>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</si>
  <si>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</si>
  <si>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</si>
  <si>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</si>
  <si>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</si>
  <si>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</si>
  <si>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</si>
  <si>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</si>
  <si>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</si>
  <si>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</si>
  <si>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</si>
  <si>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</si>
  <si>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</si>
  <si>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</si>
  <si>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</si>
  <si>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</si>
  <si>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</si>
  <si>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</si>
  <si>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</si>
  <si>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</si>
  <si>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</si>
  <si>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</si>
  <si>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</si>
  <si>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</si>
  <si>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</si>
  <si>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</si>
  <si>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</si>
  <si>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</si>
  <si>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</si>
  <si>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</si>
  <si>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</si>
  <si>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</si>
  <si>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</si>
  <si>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 xml:space="preserve">BRAND </t>
  </si>
  <si>
    <t>IPA</t>
  </si>
  <si>
    <t>APA</t>
  </si>
  <si>
    <t>Extr. Rec (77.9%)</t>
  </si>
  <si>
    <t xml:space="preserve">  </t>
  </si>
  <si>
    <t xml:space="preserve"> MALT LOT: Lot #8</t>
  </si>
  <si>
    <t xml:space="preserve">LOT WORT COLOUR: </t>
  </si>
  <si>
    <t>4 SBF</t>
  </si>
  <si>
    <t>2 SBF (BMF) 2 BREAKS (P&amp;F)</t>
  </si>
  <si>
    <t>R. Regis</t>
  </si>
  <si>
    <t>DUMPED</t>
  </si>
  <si>
    <t>Extra boil to verify final gravity</t>
  </si>
  <si>
    <t>Extra boil</t>
  </si>
  <si>
    <t>Copper up in pre-run tank</t>
  </si>
  <si>
    <t xml:space="preserve"> MALT LOT: Lot #10</t>
  </si>
  <si>
    <t>Copper up in pre run tank</t>
  </si>
  <si>
    <t>Brews Achieved (9th)</t>
  </si>
  <si>
    <t>Brews Achieved (10th)</t>
  </si>
  <si>
    <t>NO SBF</t>
  </si>
  <si>
    <t>J.Nelson</t>
  </si>
  <si>
    <t>G.Mason</t>
  </si>
  <si>
    <t>T. Charles</t>
  </si>
  <si>
    <t>2 SBF</t>
  </si>
  <si>
    <t xml:space="preserve">Wort cooling was bad from 4:30pm to 6:24pm due to low glycol level </t>
  </si>
  <si>
    <t>3 SBF</t>
  </si>
  <si>
    <t xml:space="preserve">          </t>
  </si>
  <si>
    <t xml:space="preserve">slow heat up </t>
  </si>
  <si>
    <r>
      <t>cooling over 20 degress C</t>
    </r>
    <r>
      <rPr>
        <b/>
        <sz val="11"/>
        <rFont val="Aptos Narrow"/>
        <family val="2"/>
      </rPr>
      <t>    </t>
    </r>
  </si>
  <si>
    <t>held back due to cooling issues</t>
  </si>
  <si>
    <t xml:space="preserve">K. Hosten </t>
  </si>
  <si>
    <t>5 SBF</t>
  </si>
  <si>
    <t>Copper up in pre run</t>
  </si>
  <si>
    <t xml:space="preserve">Extra boil to verify gravity </t>
  </si>
  <si>
    <t>Brew back in WK due to problematic valve on whirpool/ wort cooler</t>
  </si>
  <si>
    <t>Brew kettle up in pre-run tank</t>
  </si>
  <si>
    <t>copper up in pre-run</t>
  </si>
  <si>
    <t>Brews Achieved (17th)</t>
  </si>
  <si>
    <t>Brews Achieved (18th)</t>
  </si>
  <si>
    <t>D. Emery</t>
  </si>
  <si>
    <t>K. Hosten</t>
  </si>
  <si>
    <t>3SBF</t>
  </si>
  <si>
    <t>2 BREAKS</t>
  </si>
  <si>
    <t>brew copper up in pre-run tank</t>
  </si>
  <si>
    <t>low steam pressure and extra boil</t>
  </si>
  <si>
    <t>extra boil</t>
  </si>
  <si>
    <t>K.Hosten</t>
  </si>
  <si>
    <t>G. Mason</t>
  </si>
  <si>
    <t>1SBF</t>
  </si>
  <si>
    <t>Brew kettle up in pre run and slow heat up</t>
  </si>
  <si>
    <t>Lautering issues</t>
  </si>
  <si>
    <t>heat up issues WK door not opening</t>
  </si>
  <si>
    <t xml:space="preserve">K.Neptune </t>
  </si>
  <si>
    <t>D.Emery</t>
  </si>
  <si>
    <t>1 BREAK</t>
  </si>
  <si>
    <t>Brews Achieved (31st)</t>
  </si>
  <si>
    <t>3 BREAKS</t>
  </si>
  <si>
    <t>J.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</si>
</sst>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theme="5"/>
      <name val="Arial"/>
      <family val="2"/>
    </font>
    <font>
      <b/>
      <sz val="11"/>
      <name val="Aptos Narrow"/>
      <family val="2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44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9" fillId="0" borderId="81" xfId="3" applyFont="1" applyBorder="1" applyAlignment="1">
      <alignment vertical="center" wrapText="1"/>
    </xf>
    <xf numFmtId="165" fontId="9" fillId="0" borderId="40" xfId="3" applyFont="1" applyBorder="1" applyAlignment="1">
      <alignment horizontal="center" vertical="center" wrapText="1"/>
    </xf>
    <xf numFmtId="16" fontId="8" fillId="0" borderId="39" xfId="3" applyNumberFormat="1" applyFont="1" applyBorder="1" applyAlignment="1">
      <alignment horizontal="center" vertical="center"/>
    </xf>
    <xf numFmtId="4" fontId="8" fillId="0" borderId="39" xfId="3" applyNumberFormat="1" applyFont="1" applyBorder="1" applyAlignment="1">
      <alignment horizontal="center" vertical="center"/>
    </xf>
    <xf numFmtId="171" fontId="8" fillId="0" borderId="39" xfId="3" applyNumberFormat="1" applyFont="1" applyBorder="1" applyAlignment="1">
      <alignment horizontal="center" vertical="center"/>
    </xf>
    <xf numFmtId="2" fontId="8" fillId="0" borderId="39" xfId="3" applyNumberFormat="1" applyFont="1" applyBorder="1" applyAlignment="1">
      <alignment horizontal="center" vertical="center"/>
    </xf>
    <xf numFmtId="4" fontId="8" fillId="0" borderId="62" xfId="3" applyNumberFormat="1" applyFont="1" applyBorder="1" applyAlignment="1">
      <alignment horizontal="center" vertical="center"/>
    </xf>
    <xf numFmtId="2" fontId="31" fillId="0" borderId="39" xfId="4" applyNumberFormat="1" applyFont="1" applyFill="1" applyBorder="1" applyAlignment="1">
      <alignment horizontal="center" vertical="center"/>
    </xf>
    <xf numFmtId="170" fontId="8" fillId="0" borderId="79" xfId="4" applyNumberFormat="1" applyFont="1" applyFill="1" applyBorder="1" applyAlignment="1">
      <alignment horizontal="center" vertical="center"/>
    </xf>
    <xf numFmtId="16" fontId="9" fillId="0" borderId="76" xfId="3" applyNumberFormat="1" applyFont="1" applyBorder="1" applyAlignment="1">
      <alignment horizontal="center" vertical="center"/>
    </xf>
    <xf numFmtId="4" fontId="8" fillId="0" borderId="76" xfId="3" applyNumberFormat="1" applyFont="1" applyBorder="1" applyAlignment="1">
      <alignment horizontal="center" vertical="center"/>
    </xf>
    <xf numFmtId="171" fontId="8" fillId="0" borderId="76" xfId="3" applyNumberFormat="1" applyFont="1" applyBorder="1" applyAlignment="1">
      <alignment horizontal="center" vertical="center"/>
    </xf>
    <xf numFmtId="2" fontId="8" fillId="0" borderId="76" xfId="3" applyNumberFormat="1" applyFont="1" applyBorder="1" applyAlignment="1">
      <alignment horizontal="center" vertical="center"/>
    </xf>
    <xf numFmtId="4" fontId="8" fillId="0" borderId="80" xfId="3" applyNumberFormat="1" applyFont="1" applyBorder="1" applyAlignment="1">
      <alignment horizontal="center" vertical="center"/>
    </xf>
    <xf numFmtId="2" fontId="31" fillId="0" borderId="76" xfId="4" applyNumberFormat="1" applyFont="1" applyFill="1" applyBorder="1" applyAlignment="1">
      <alignment horizontal="center" vertical="center"/>
    </xf>
    <xf numFmtId="170" fontId="8" fillId="0" borderId="9" xfId="4" applyNumberFormat="1" applyFont="1" applyFill="1" applyBorder="1" applyAlignment="1">
      <alignment horizontal="center" vertical="center"/>
    </xf>
    <xf numFmtId="165" fontId="85" fillId="0" borderId="38" xfId="3" applyFont="1" applyBorder="1" applyAlignment="1">
      <alignment horizontal="center" vertical="center"/>
    </xf>
    <xf numFmtId="2" fontId="31" fillId="0" borderId="62" xfId="4" applyNumberFormat="1" applyFont="1" applyFill="1" applyBorder="1" applyAlignment="1">
      <alignment horizontal="center" vertical="center"/>
    </xf>
    <xf numFmtId="2" fontId="9" fillId="0" borderId="39" xfId="3" applyNumberFormat="1" applyFont="1" applyBorder="1" applyAlignment="1">
      <alignment horizontal="center" vertical="center"/>
    </xf>
    <xf numFmtId="2" fontId="79" fillId="0" borderId="39" xfId="3" applyNumberFormat="1" applyFont="1" applyBorder="1" applyAlignment="1">
      <alignment horizontal="center" vertical="center"/>
    </xf>
    <xf numFmtId="16" fontId="9" fillId="0" borderId="84" xfId="3" applyNumberFormat="1" applyFont="1" applyBorder="1" applyAlignment="1">
      <alignment horizontal="center" vertical="center"/>
    </xf>
    <xf numFmtId="4" fontId="8" fillId="0" borderId="84" xfId="3" applyNumberFormat="1" applyFont="1" applyBorder="1" applyAlignment="1">
      <alignment horizontal="center" vertical="center"/>
    </xf>
    <xf numFmtId="171" fontId="8" fillId="0" borderId="84" xfId="3" applyNumberFormat="1" applyFont="1" applyBorder="1" applyAlignment="1">
      <alignment horizontal="center" vertical="center"/>
    </xf>
    <xf numFmtId="2" fontId="8" fillId="0" borderId="84" xfId="3" applyNumberFormat="1" applyFont="1" applyBorder="1" applyAlignment="1">
      <alignment horizontal="center" vertical="center"/>
    </xf>
    <xf numFmtId="4" fontId="8" fillId="0" borderId="85" xfId="3" applyNumberFormat="1" applyFont="1" applyBorder="1" applyAlignment="1">
      <alignment horizontal="center" vertical="center"/>
    </xf>
    <xf numFmtId="2" fontId="31" fillId="0" borderId="84" xfId="4" applyNumberFormat="1" applyFont="1" applyFill="1" applyBorder="1" applyAlignment="1">
      <alignment horizontal="center" vertical="center"/>
    </xf>
    <xf numFmtId="2" fontId="31" fillId="0" borderId="85" xfId="4" applyNumberFormat="1" applyFont="1" applyFill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70" fontId="8" fillId="0" borderId="86" xfId="4" applyNumberFormat="1" applyFont="1" applyFill="1" applyBorder="1" applyAlignment="1">
      <alignment horizontal="center" vertical="center"/>
    </xf>
    <xf numFmtId="2" fontId="31" fillId="0" borderId="80" xfId="4" applyNumberFormat="1" applyFont="1" applyFill="1" applyBorder="1" applyAlignment="1">
      <alignment horizontal="center" vertical="center"/>
    </xf>
    <xf numFmtId="2" fontId="9" fillId="0" borderId="76" xfId="3" applyNumberFormat="1" applyFont="1" applyBorder="1" applyAlignment="1">
      <alignment horizontal="center" vertical="center"/>
    </xf>
    <xf numFmtId="2" fontId="79" fillId="0" borderId="76" xfId="3" applyNumberFormat="1" applyFont="1" applyBorder="1" applyAlignment="1">
      <alignment horizontal="center" vertical="center"/>
    </xf>
    <xf numFmtId="165" fontId="86" fillId="0" borderId="88" xfId="3" applyFont="1" applyBorder="1" applyAlignment="1">
      <alignment horizontal="center" vertical="center"/>
    </xf>
    <xf numFmtId="165" fontId="9" fillId="0" borderId="87" xfId="3" applyFont="1" applyBorder="1" applyAlignment="1">
      <alignment horizontal="center" vertical="center" wrapText="1"/>
    </xf>
    <xf numFmtId="165" fontId="9" fillId="0" borderId="18" xfId="3" applyFont="1" applyBorder="1" applyAlignment="1">
      <alignment horizontal="center" vertical="center" wrapText="1"/>
    </xf>
    <xf numFmtId="165" fontId="20" fillId="0" borderId="13" xfId="3" applyFont="1" applyBorder="1" applyAlignment="1">
      <alignment horizontal="center" vertical="center"/>
    </xf>
    <xf numFmtId="2" fontId="79" fillId="0" borderId="84" xfId="3" applyNumberFormat="1" applyFont="1" applyBorder="1" applyAlignment="1">
      <alignment horizontal="center" vertical="center"/>
    </xf>
    <xf numFmtId="2" fontId="31" fillId="0" borderId="84" xfId="4" applyNumberFormat="1" applyFont="1" applyBorder="1" applyAlignment="1">
      <alignment horizontal="center" vertical="center"/>
    </xf>
    <xf numFmtId="165" fontId="27" fillId="0" borderId="13" xfId="3" applyFont="1" applyBorder="1" applyAlignment="1">
      <alignment horizontal="center" vertical="center"/>
    </xf>
    <xf numFmtId="170" fontId="9" fillId="0" borderId="86" xfId="4" applyNumberFormat="1" applyFont="1" applyFill="1" applyBorder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1" fontId="8" fillId="0" borderId="0" xfId="3" applyNumberFormat="1" applyFont="1" applyAlignment="1">
      <alignment horizontal="center" vertical="center"/>
    </xf>
    <xf numFmtId="2" fontId="8" fillId="0" borderId="0" xfId="3" applyNumberFormat="1" applyFont="1" applyAlignment="1">
      <alignment horizontal="center" vertical="center"/>
    </xf>
    <xf numFmtId="2" fontId="31" fillId="0" borderId="0" xfId="4" applyNumberFormat="1" applyFont="1" applyFill="1" applyBorder="1" applyAlignment="1">
      <alignment horizontal="center" vertical="center"/>
    </xf>
    <xf numFmtId="170" fontId="8" fillId="0" borderId="0" xfId="4" applyNumberFormat="1" applyFont="1" applyFill="1" applyBorder="1" applyAlignment="1">
      <alignment horizontal="center" vertical="center"/>
    </xf>
    <xf numFmtId="2" fontId="79" fillId="0" borderId="0" xfId="3" applyNumberFormat="1" applyFont="1" applyAlignment="1">
      <alignment horizontal="center" vertical="center"/>
    </xf>
    <xf numFmtId="165" fontId="27" fillId="0" borderId="0" xfId="3" applyFont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10" fillId="3" borderId="1" xfId="3" applyFont="1" applyFill="1" applyBorder="1"/>
    <xf numFmtId="166" fontId="10" fillId="3" borderId="1" xfId="3" applyNumberFormat="1" applyFont="1" applyFill="1" applyBorder="1"/>
    <xf numFmtId="166" fontId="10" fillId="3" borderId="2" xfId="3" applyNumberFormat="1" applyFont="1" applyFill="1" applyBorder="1"/>
    <xf numFmtId="1" fontId="10" fillId="3" borderId="1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/>
    <xf numFmtId="166" fontId="10" fillId="0" borderId="0" xfId="3" applyNumberFormat="1" applyFont="1" applyAlignment="1">
      <alignment vertical="center"/>
    </xf>
    <xf numFmtId="20" fontId="9" fillId="4" borderId="17" xfId="3" applyNumberFormat="1" applyFont="1" applyFill="1" applyBorder="1" applyAlignment="1">
      <alignment horizontal="center" vertical="center" wrapText="1"/>
    </xf>
    <xf numFmtId="20" fontId="9" fillId="4" borderId="18" xfId="3" applyNumberFormat="1" applyFont="1" applyFill="1" applyBorder="1" applyAlignment="1">
      <alignment horizontal="center" vertical="center" wrapText="1"/>
    </xf>
    <xf numFmtId="169" fontId="34" fillId="0" borderId="41" xfId="3" applyNumberFormat="1" applyFont="1" applyBorder="1" applyAlignment="1">
      <alignment horizontal="center" vertical="center"/>
    </xf>
    <xf numFmtId="2" fontId="9" fillId="0" borderId="84" xfId="3" applyNumberFormat="1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2" fontId="40" fillId="0" borderId="1" xfId="3" applyNumberFormat="1" applyFont="1" applyBorder="1" applyAlignment="1">
      <alignment horizontal="right"/>
    </xf>
    <xf numFmtId="165" fontId="27" fillId="28" borderId="13" xfId="3" applyFont="1" applyFill="1" applyBorder="1"/>
    <xf numFmtId="16" fontId="8" fillId="28" borderId="1" xfId="3" applyNumberFormat="1" applyFont="1" applyFill="1" applyBorder="1" applyAlignment="1">
      <alignment horizontal="center" vertical="center"/>
    </xf>
    <xf numFmtId="0" fontId="22" fillId="28" borderId="1" xfId="3" applyNumberFormat="1" applyFont="1" applyFill="1" applyBorder="1" applyAlignment="1">
      <alignment vertical="top" wrapText="1"/>
    </xf>
    <xf numFmtId="165" fontId="8" fillId="28" borderId="0" xfId="3" applyFont="1" applyFill="1"/>
    <xf numFmtId="165" fontId="8" fillId="28" borderId="0" xfId="3" applyFont="1" applyFill="1" applyAlignment="1">
      <alignment vertical="center"/>
    </xf>
    <xf numFmtId="166" fontId="10" fillId="28" borderId="0" xfId="3" applyNumberFormat="1" applyFont="1" applyFill="1" applyAlignment="1">
      <alignment vertical="center"/>
    </xf>
    <xf numFmtId="167" fontId="9" fillId="28" borderId="0" xfId="3" applyNumberFormat="1" applyFont="1" applyFill="1" applyAlignment="1">
      <alignment horizontal="right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87" fillId="0" borderId="13" xfId="3" applyFont="1" applyBorder="1" applyAlignment="1">
      <alignment horizontal="center" vertical="center"/>
    </xf>
    <xf numFmtId="165" fontId="85" fillId="0" borderId="13" xfId="3" applyFont="1" applyBorder="1" applyAlignment="1">
      <alignment horizontal="center" vertical="center"/>
    </xf>
    <xf numFmtId="166" fontId="79" fillId="7" borderId="1" xfId="3" applyNumberFormat="1" applyFont="1" applyFill="1" applyBorder="1" applyAlignment="1">
      <alignment horizontal="center" vertical="center"/>
    </xf>
    <xf numFmtId="165" fontId="79" fillId="0" borderId="13" xfId="3" applyFont="1" applyBorder="1" applyAlignment="1">
      <alignment horizontal="center" vertical="center"/>
    </xf>
    <xf numFmtId="165" fontId="9" fillId="0" borderId="27" xfId="3" applyFont="1" applyBorder="1" applyAlignment="1">
      <alignment vertical="center" wrapText="1"/>
    </xf>
    <xf numFmtId="16" fontId="9" fillId="0" borderId="86" xfId="3" applyNumberFormat="1" applyFont="1" applyBorder="1" applyAlignment="1">
      <alignment horizontal="center" vertical="center"/>
    </xf>
    <xf numFmtId="165" fontId="20" fillId="0" borderId="18" xfId="3" applyFont="1" applyBorder="1" applyAlignment="1">
      <alignment horizontal="center" vertical="center"/>
    </xf>
    <xf numFmtId="165" fontId="80" fillId="0" borderId="18" xfId="3" applyFont="1" applyBorder="1" applyAlignment="1">
      <alignment horizontal="center" vertical="center"/>
    </xf>
    <xf numFmtId="166" fontId="79" fillId="0" borderId="1" xfId="3" applyNumberFormat="1" applyFont="1" applyBorder="1" applyAlignment="1">
      <alignment horizontal="center" vertical="center"/>
    </xf>
    <xf numFmtId="2" fontId="31" fillId="0" borderId="84" xfId="3" applyNumberFormat="1" applyFont="1" applyBorder="1" applyAlignment="1">
      <alignment horizontal="center" vertical="center"/>
    </xf>
    <xf numFmtId="165" fontId="87" fillId="0" borderId="18" xfId="3" applyFont="1" applyBorder="1" applyAlignment="1">
      <alignment horizontal="center" vertical="center"/>
    </xf>
    <xf numFmtId="165" fontId="79" fillId="0" borderId="18" xfId="3" applyFont="1" applyBorder="1" applyAlignment="1">
      <alignment horizontal="center" vertical="center"/>
    </xf>
    <xf numFmtId="165" fontId="9" fillId="4" borderId="18" xfId="3" applyFont="1" applyFill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27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27" borderId="83" xfId="3" applyNumberFormat="1" applyFont="1" applyFill="1" applyBorder="1" applyAlignment="1">
      <alignment horizontal="center" vertical="center"/>
    </xf>
    <xf numFmtId="166" fontId="9" fillId="27" borderId="19" xfId="3" applyNumberFormat="1" applyFont="1" applyFill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79" fillId="0" borderId="23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9" fillId="0" borderId="4" xfId="3" applyFont="1" applyBorder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4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5" fontId="9" fillId="0" borderId="14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9" fillId="0" borderId="5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3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80" fillId="0" borderId="35" xfId="3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4" xfId="3" applyFont="1" applyBorder="1" applyAlignment="1">
      <alignment horizontal="center" vertical="center"/>
    </xf>
    <xf numFmtId="166" fontId="79" fillId="28" borderId="2" xfId="3" applyNumberFormat="1" applyFont="1" applyFill="1" applyBorder="1" applyAlignment="1">
      <alignment horizontal="center" vertical="center"/>
    </xf>
    <xf numFmtId="166" fontId="79" fillId="28" borderId="65" xfId="3" applyNumberFormat="1" applyFont="1" applyFill="1" applyBorder="1" applyAlignment="1">
      <alignment horizontal="center" vertical="center"/>
    </xf>
    <xf numFmtId="166" fontId="79" fillId="28" borderId="3" xfId="3" applyNumberFormat="1" applyFont="1" applyFill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4198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FF0000"/>
      <color rgb="FFFF66FF"/>
      <color rgb="FFFF0066"/>
      <color rgb="FFFF9999"/>
      <color rgb="FFCC3300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37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67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GuinnLog2026.xls" TargetMode="External"/><Relationship Id="rId2" Type="http://schemas.openxmlformats.org/officeDocument/2006/relationships/externalLinkPath" Target="file:///F:\Operations\Brewing\Logbooks\Logbooks%202026\NewGuinnLog2026.xls" TargetMode="External"/><Relationship Id="rId1" Type="http://schemas.openxmlformats.org/officeDocument/2006/relationships/externalLinkPath" Target="/Operations/Brewing/Logbooks/Logbooks%202026/NewGuinnLog2026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CaribLog2026.xlsx" TargetMode="External"/><Relationship Id="rId2" Type="http://schemas.openxmlformats.org/officeDocument/2006/relationships/externalLinkPath" Target="file:///F:\Operations\Brewing\Logbooks\Logbooks%202026\NewCaribLog2026.xlsx" TargetMode="External"/><Relationship Id="rId1" Type="http://schemas.openxmlformats.org/officeDocument/2006/relationships/externalLinkPath" Target="/Operations/Brewing/Logbooks/Logbooks%202026/NewCaribLog202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tagLog2026.xls" TargetMode="External"/><Relationship Id="rId2" Type="http://schemas.openxmlformats.org/officeDocument/2006/relationships/externalLinkPath" Target="file:///F:\Operations\Brewing\Logbooks\Logbooks%202026\NewStagLog2026.xls" TargetMode="External"/><Relationship Id="rId1" Type="http://schemas.openxmlformats.org/officeDocument/2006/relationships/externalLinkPath" Target="/Operations/Brewing/Logbooks/Logbooks%202026/NewStagLog2026.xls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VMaltLog2026.xls" TargetMode="External"/><Relationship Id="rId2" Type="http://schemas.openxmlformats.org/officeDocument/2006/relationships/externalLinkPath" Target="file:///F:\Operations\Brewing\Logbooks\Logbooks%202026\NewVMaltLog2026.xls" TargetMode="External"/><Relationship Id="rId1" Type="http://schemas.openxmlformats.org/officeDocument/2006/relationships/externalLinkPath" Target="/Operations/Brewing/Logbooks/Logbooks%202026/NewVMaltLog2026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MackLog2026.xls" TargetMode="External"/><Relationship Id="rId2" Type="http://schemas.openxmlformats.org/officeDocument/2006/relationships/externalLinkPath" Target="file:///F:\Operations\Brewing\Logbooks\Logbooks%202026\NewMackLog2026.xls" TargetMode="External"/><Relationship Id="rId1" Type="http://schemas.openxmlformats.org/officeDocument/2006/relationships/externalLinkPath" Target="/Operations/Brewing/Logbooks/Logbooks%202026/NewMackLog2026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6/NewSMaltLog2026.xls" TargetMode="External"/><Relationship Id="rId2" Type="http://schemas.openxmlformats.org/officeDocument/2006/relationships/externalLinkPath" Target="file:///F:\Operations\Brewing\Logbooks\Logbooks%202026\NewSMaltLog2026.xls" TargetMode="External"/><Relationship Id="rId1" Type="http://schemas.openxmlformats.org/officeDocument/2006/relationships/externalLinkPath" Target="/Operations/Brewing/Logbooks/Logbooks%202026/NewSMaltLog2026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Filtration_Throughput/Filtration_Throughput_2019.xlsx" TargetMode="External"/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Royd/Brewing/Daily_Brewhouse_Efficiency/Daily_Brewhouse_Efficiency_2022.xls" TargetMode="External"/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CaribLog2022.xlsx" TargetMode="External"/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tagLog2022.xls" TargetMode="External"/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GuinnLog2022.xls" TargetMode="External"/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VMaltLog2022.xls" TargetMode="External"/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MackLog2022.xls" TargetMode="External"/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SMaltLog2022.xls" TargetMode="External"/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Logbooks%202022/NewHRLog2022.xls" TargetMode="External"/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an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9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Februar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March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3%20Daily%20Process%20Report/April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2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ne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23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July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August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3%20Daily%20Process%20Report/October%20'23%20Daily%20Process%20Report%202023.xlsx" TargetMode="External"/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3.xls" TargetMode="External"/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3.xlsx" TargetMode="External"/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Daily_Brewhouse_Efficiency/Daily_Brewhouse_Efficiency_2026.xls" TargetMode="External"/><Relationship Id="rId2" Type="http://schemas.openxmlformats.org/officeDocument/2006/relationships/externalLinkPath" Target="file:///F:\Operations\Reshelle\Brewing\Daily_Brewhouse_Efficiency\Daily_Brewhouse_Efficiency_2026.xls" TargetMode="External"/><Relationship Id="rId1" Type="http://schemas.openxmlformats.org/officeDocument/2006/relationships/externalLinkPath" Target="/Operations/Reshelle/Brewing/Daily_Brewhouse_Efficiency/Daily_Brewhouse_Efficiency_2026.xls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shelle/Brewing/Filtration_Throughput/Filtration_Throughput_2026.xlsx" TargetMode="External"/><Relationship Id="rId2" Type="http://schemas.openxmlformats.org/officeDocument/2006/relationships/externalLinkPath" Target="file:///F:\Operations\Reshelle\Brewing\Filtration_Throughput\Filtration_Throughput_2026.xlsx" TargetMode="External"/><Relationship Id="rId1" Type="http://schemas.openxmlformats.org/officeDocument/2006/relationships/externalLinkPath" Target="/Operations/Reshelle/Brewing/Filtration_Throughput/Filtration_Throughput_2026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osses%202026/January_2026.xls" TargetMode="External"/><Relationship Id="rId2" Type="http://schemas.openxmlformats.org/officeDocument/2006/relationships/externalLinkPath" Target="file:///F:\Operations\Brewing\Reports%20Local\Losses%202026\January_2026.xls" TargetMode="External"/><Relationship Id="rId1" Type="http://schemas.openxmlformats.org/officeDocument/2006/relationships/externalLinkPath" Target="/Operations/Brewing/Reports%20Local/Losses%202026/January_202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ogbooks/NewVMaltLog.xls" TargetMode="External"/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ogbooks/NewMMaltLog.xls" TargetMode="External"/><Relationship Id="rId1" Type="http://schemas.openxmlformats.org/officeDocument/2006/relationships/externalLinkPath" Target="/Operations/Brewing/Logbooks/NewMMaltLog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Jan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Februar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2%20Daily%20Process%20Report/May%20'22%20Daily%20Process%20Report%202022.xlsx" TargetMode="External"/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Summary April '26"/>
      <sheetName val="Summary March '26"/>
      <sheetName val="Summary February '26"/>
      <sheetName val="Summary January '26"/>
      <sheetName val="Summary December '25"/>
      <sheetName val="Guinnbottling"/>
    </sheetNames>
    <sheetDataSet>
      <sheetData sheetId="0"/>
      <sheetData sheetId="1">
        <row r="16">
          <cell r="A16" t="str">
            <v>GU001</v>
          </cell>
          <cell r="O16">
            <v>55</v>
          </cell>
          <cell r="R16">
            <v>3.5294117647058769</v>
          </cell>
          <cell r="T16">
            <v>0.44166666666666665</v>
          </cell>
          <cell r="U16">
            <v>0.5625</v>
          </cell>
          <cell r="V16">
            <v>61</v>
          </cell>
          <cell r="Z16">
            <v>0.28125</v>
          </cell>
          <cell r="AF16">
            <v>55.2</v>
          </cell>
          <cell r="AG16">
            <v>17</v>
          </cell>
          <cell r="AI16">
            <v>51.4</v>
          </cell>
          <cell r="AU16">
            <v>96.003306141833193</v>
          </cell>
          <cell r="AV16">
            <v>95.719892266256238</v>
          </cell>
          <cell r="AW16" t="str">
            <v>R. Sookram</v>
          </cell>
        </row>
        <row r="17">
          <cell r="A17" t="str">
            <v>GU002</v>
          </cell>
          <cell r="O17">
            <v>60</v>
          </cell>
          <cell r="R17">
            <v>4.5989304812834186</v>
          </cell>
          <cell r="T17">
            <v>0.62152777777777779</v>
          </cell>
          <cell r="U17">
            <v>0.74027777777777781</v>
          </cell>
          <cell r="V17">
            <v>58</v>
          </cell>
          <cell r="Z17">
            <v>0.35486111111111113</v>
          </cell>
          <cell r="AF17">
            <v>54.6</v>
          </cell>
          <cell r="AG17">
            <v>17.3</v>
          </cell>
          <cell r="AI17">
            <v>51</v>
          </cell>
          <cell r="AU17">
            <v>97.325117100528743</v>
          </cell>
          <cell r="AV17">
            <v>97.037951249614324</v>
          </cell>
          <cell r="AW17" t="str">
            <v>R. Sookram</v>
          </cell>
        </row>
        <row r="18">
          <cell r="A18" t="str">
            <v>GU003</v>
          </cell>
          <cell r="O18">
            <v>60</v>
          </cell>
          <cell r="R18">
            <v>2.6428571428571375</v>
          </cell>
          <cell r="T18">
            <v>0.72986111111111107</v>
          </cell>
          <cell r="U18">
            <v>0.8569444444444444</v>
          </cell>
          <cell r="V18">
            <v>59</v>
          </cell>
          <cell r="Z18">
            <v>0.29166666666666663</v>
          </cell>
          <cell r="AF18">
            <v>55.6</v>
          </cell>
          <cell r="AG18">
            <v>17.3</v>
          </cell>
          <cell r="AI18">
            <v>51.9</v>
          </cell>
          <cell r="AU18">
            <v>99.121575646105413</v>
          </cell>
          <cell r="AV18">
            <v>98.829160340701463</v>
          </cell>
          <cell r="AW18" t="str">
            <v>K. Benjamin</v>
          </cell>
        </row>
        <row r="19">
          <cell r="A19" t="str">
            <v>GU004</v>
          </cell>
          <cell r="O19">
            <v>58</v>
          </cell>
          <cell r="R19">
            <v>-0.96296296296296879</v>
          </cell>
          <cell r="T19">
            <v>0.82916666666666672</v>
          </cell>
          <cell r="U19">
            <v>0.97847222222222219</v>
          </cell>
          <cell r="V19">
            <v>59</v>
          </cell>
          <cell r="Z19">
            <v>0.30138888888888882</v>
          </cell>
          <cell r="AF19">
            <v>55.6</v>
          </cell>
          <cell r="AG19">
            <v>17.100000000000001</v>
          </cell>
          <cell r="AI19">
            <v>52</v>
          </cell>
          <cell r="AU19">
            <v>98.312989092995309</v>
          </cell>
          <cell r="AV19">
            <v>98.023111844820463</v>
          </cell>
          <cell r="AW19" t="str">
            <v>K. Benjamin</v>
          </cell>
        </row>
        <row r="20">
          <cell r="A20" t="str">
            <v>GU005</v>
          </cell>
          <cell r="O20">
            <v>58</v>
          </cell>
          <cell r="R20">
            <v>-0.96296296296296879</v>
          </cell>
          <cell r="T20">
            <v>0.96458333333333335</v>
          </cell>
          <cell r="U20">
            <v>1.0965277777777778</v>
          </cell>
          <cell r="V20">
            <v>61</v>
          </cell>
          <cell r="Z20">
            <v>0.31527777777777777</v>
          </cell>
          <cell r="AF20">
            <v>55.6</v>
          </cell>
          <cell r="AG20">
            <v>17</v>
          </cell>
          <cell r="AI20">
            <v>52.1</v>
          </cell>
          <cell r="AU20">
            <v>97.776942468215154</v>
          </cell>
          <cell r="AV20">
            <v>97.488595066883164</v>
          </cell>
          <cell r="AW20" t="str">
            <v>K. Benjamin</v>
          </cell>
        </row>
        <row r="21">
          <cell r="A21" t="str">
            <v>GU006</v>
          </cell>
          <cell r="O21">
            <v>59</v>
          </cell>
          <cell r="R21">
            <v>-3.7407407407407467</v>
          </cell>
          <cell r="T21">
            <v>1.0874999999999999</v>
          </cell>
          <cell r="U21">
            <v>1.2270833333333333</v>
          </cell>
          <cell r="V21">
            <v>68</v>
          </cell>
          <cell r="Z21">
            <v>0.34166666666666667</v>
          </cell>
          <cell r="AF21">
            <v>57.1</v>
          </cell>
          <cell r="AG21">
            <v>17</v>
          </cell>
          <cell r="AI21">
            <v>53.6</v>
          </cell>
          <cell r="AU21">
            <v>100.27176158202545</v>
          </cell>
          <cell r="AV21">
            <v>99.975849754643775</v>
          </cell>
          <cell r="AW21" t="str">
            <v>R. Regis</v>
          </cell>
        </row>
        <row r="22">
          <cell r="A22" t="str">
            <v>GU007</v>
          </cell>
          <cell r="O22">
            <v>60</v>
          </cell>
          <cell r="R22">
            <v>-3.925925925925934</v>
          </cell>
          <cell r="T22">
            <v>0.2388888888888889</v>
          </cell>
          <cell r="U22">
            <v>0.37986111111111109</v>
          </cell>
          <cell r="V22">
            <v>66</v>
          </cell>
          <cell r="Z22">
            <v>0.29652777777777778</v>
          </cell>
          <cell r="AF22">
            <v>57.2</v>
          </cell>
          <cell r="AG22">
            <v>17</v>
          </cell>
          <cell r="AI22">
            <v>53.5</v>
          </cell>
          <cell r="AU22">
            <v>99.294375681877099</v>
          </cell>
          <cell r="AV22">
            <v>99.000841128641696</v>
          </cell>
          <cell r="AW22" t="str">
            <v>R. Regis</v>
          </cell>
        </row>
        <row r="23">
          <cell r="A23" t="str">
            <v>GU008</v>
          </cell>
          <cell r="O23">
            <v>55</v>
          </cell>
          <cell r="R23">
            <v>-4.0733944954128418</v>
          </cell>
          <cell r="T23">
            <v>0.37777777777777777</v>
          </cell>
          <cell r="U23">
            <v>0.51875000000000004</v>
          </cell>
          <cell r="V23">
            <v>74</v>
          </cell>
          <cell r="Z23">
            <v>0.30347222222222225</v>
          </cell>
          <cell r="AF23">
            <v>57.8</v>
          </cell>
          <cell r="AG23">
            <v>16.399999999999999</v>
          </cell>
          <cell r="AI23">
            <v>54.9</v>
          </cell>
          <cell r="AU23">
            <v>94.0155703648322</v>
          </cell>
          <cell r="AV23">
            <v>93.751667847804299</v>
          </cell>
          <cell r="AW23" t="str">
            <v>R. Sookram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ackaging"/>
      <sheetName val="Process"/>
      <sheetName val="Summary April '26"/>
      <sheetName val="Summary March '26"/>
      <sheetName val="Summary February '26"/>
      <sheetName val="Summary January '26"/>
    </sheetNames>
    <sheetDataSet>
      <sheetData sheetId="0"/>
      <sheetData sheetId="1"/>
      <sheetData sheetId="2"/>
      <sheetData sheetId="3"/>
      <sheetData sheetId="4"/>
      <sheetData sheetId="5">
        <row r="42">
          <cell r="A42" t="str">
            <v>CA001</v>
          </cell>
          <cell r="P42">
            <v>57</v>
          </cell>
          <cell r="Q42">
            <v>5.4990583804143158</v>
          </cell>
          <cell r="T42">
            <v>0.47013888888888888</v>
          </cell>
          <cell r="U42">
            <v>0.58263888888888893</v>
          </cell>
          <cell r="V42">
            <v>60</v>
          </cell>
          <cell r="Z42">
            <v>0.24236111111111114</v>
          </cell>
          <cell r="AF42">
            <v>50.9</v>
          </cell>
          <cell r="AG42">
            <v>11.8</v>
          </cell>
          <cell r="AI42">
            <v>50.8</v>
          </cell>
          <cell r="AU42">
            <v>98.774703764205327</v>
          </cell>
          <cell r="AV42">
            <v>99.531679435108074</v>
          </cell>
          <cell r="AX42" t="str">
            <v>R.Sookram</v>
          </cell>
        </row>
        <row r="43">
          <cell r="A43" t="str">
            <v>CA002</v>
          </cell>
          <cell r="P43">
            <v>57</v>
          </cell>
          <cell r="Q43">
            <v>3.80414312617703</v>
          </cell>
          <cell r="T43">
            <v>0.5625</v>
          </cell>
          <cell r="U43">
            <v>0.67569444444444449</v>
          </cell>
          <cell r="V43">
            <v>57</v>
          </cell>
          <cell r="Z43">
            <v>0.25208333333333338</v>
          </cell>
          <cell r="AF43">
            <v>52.6</v>
          </cell>
          <cell r="AG43">
            <v>11.8</v>
          </cell>
          <cell r="AI43">
            <v>51.3</v>
          </cell>
          <cell r="AU43">
            <v>99.746895730388445</v>
          </cell>
          <cell r="AV43">
            <v>100.51132194923315</v>
          </cell>
          <cell r="AX43" t="str">
            <v>R.Sookram</v>
          </cell>
        </row>
        <row r="44">
          <cell r="A44" t="str">
            <v>CA003</v>
          </cell>
          <cell r="P44">
            <v>59</v>
          </cell>
          <cell r="Q44">
            <v>4.5660377358490596</v>
          </cell>
          <cell r="T44">
            <v>0.66319444444444442</v>
          </cell>
          <cell r="U44">
            <v>0.77986111111111112</v>
          </cell>
          <cell r="V44">
            <v>59</v>
          </cell>
          <cell r="Z44">
            <v>0.2729166666666667</v>
          </cell>
          <cell r="AF44">
            <v>52.6</v>
          </cell>
          <cell r="AG44">
            <v>11.8</v>
          </cell>
          <cell r="AI44">
            <v>51.1</v>
          </cell>
          <cell r="AU44">
            <v>99.480491014553465</v>
          </cell>
          <cell r="AV44">
            <v>100.24281444949392</v>
          </cell>
          <cell r="AX44" t="str">
            <v>R.Sookram</v>
          </cell>
        </row>
        <row r="45">
          <cell r="A45" t="str">
            <v>CA004</v>
          </cell>
          <cell r="P45">
            <v>60</v>
          </cell>
          <cell r="T45">
            <v>0.75694444444444442</v>
          </cell>
          <cell r="U45">
            <v>0.87569444444444444</v>
          </cell>
          <cell r="V45">
            <v>46</v>
          </cell>
          <cell r="Z45">
            <v>0.27847222222222223</v>
          </cell>
          <cell r="AG45">
            <v>12</v>
          </cell>
          <cell r="AI45">
            <v>50.7</v>
          </cell>
          <cell r="AU45">
            <v>99.359192252045119</v>
          </cell>
          <cell r="AV45">
            <v>100.12113048037692</v>
          </cell>
          <cell r="AX45" t="str">
            <v>K. Benjamin</v>
          </cell>
        </row>
        <row r="46">
          <cell r="A46" t="str">
            <v>CA005</v>
          </cell>
          <cell r="P46">
            <v>60</v>
          </cell>
          <cell r="Q46">
            <v>6.8173258003766435</v>
          </cell>
          <cell r="T46">
            <v>0.61736111111111114</v>
          </cell>
          <cell r="U46">
            <v>0.72638888888888886</v>
          </cell>
          <cell r="V46">
            <v>51</v>
          </cell>
          <cell r="Z46">
            <v>0.23680555555555555</v>
          </cell>
          <cell r="AF46">
            <v>50.2</v>
          </cell>
          <cell r="AG46">
            <v>11.9</v>
          </cell>
          <cell r="AI46">
            <v>48.1</v>
          </cell>
          <cell r="AU46">
            <v>94.942986581581494</v>
          </cell>
          <cell r="AV46">
            <v>95.670304033482836</v>
          </cell>
          <cell r="AX46" t="str">
            <v>D. Gomaz</v>
          </cell>
        </row>
        <row r="47">
          <cell r="A47" t="str">
            <v>CA006</v>
          </cell>
          <cell r="P47">
            <v>57</v>
          </cell>
          <cell r="Q47">
            <v>3.4274952919020718</v>
          </cell>
          <cell r="T47">
            <v>0.71527777777777779</v>
          </cell>
          <cell r="U47">
            <v>0.82638888888888884</v>
          </cell>
          <cell r="V47">
            <v>60</v>
          </cell>
          <cell r="Z47">
            <v>0.25347222222222221</v>
          </cell>
          <cell r="AF47">
            <v>52.8</v>
          </cell>
          <cell r="AG47">
            <v>12</v>
          </cell>
          <cell r="AI47">
            <v>50.4</v>
          </cell>
          <cell r="AU47">
            <v>99.744059513955506</v>
          </cell>
          <cell r="AV47">
            <v>100.50846399700394</v>
          </cell>
          <cell r="AX47" t="str">
            <v>R.Sookram</v>
          </cell>
        </row>
        <row r="48">
          <cell r="A48" t="str">
            <v>CA007</v>
          </cell>
          <cell r="P48">
            <v>60</v>
          </cell>
          <cell r="Q48">
            <v>4.5660377358490596</v>
          </cell>
          <cell r="T48">
            <v>0.80555555555555558</v>
          </cell>
          <cell r="U48">
            <v>0.92500000000000004</v>
          </cell>
          <cell r="V48">
            <v>59</v>
          </cell>
          <cell r="Z48">
            <v>0.26875000000000004</v>
          </cell>
          <cell r="AF48">
            <v>53</v>
          </cell>
          <cell r="AG48">
            <v>11.9</v>
          </cell>
          <cell r="AI48">
            <v>51.8</v>
          </cell>
          <cell r="AU48">
            <v>100.99522335236702</v>
          </cell>
          <cell r="AV48">
            <v>101.76952445115279</v>
          </cell>
          <cell r="AX48" t="str">
            <v>R.Sookram</v>
          </cell>
        </row>
        <row r="49">
          <cell r="A49" t="str">
            <v>CA008</v>
          </cell>
          <cell r="P49">
            <v>58</v>
          </cell>
          <cell r="Q49">
            <v>3.992467043314496</v>
          </cell>
          <cell r="T49">
            <v>0.91041666666666665</v>
          </cell>
          <cell r="U49">
            <v>1.0222222222222221</v>
          </cell>
          <cell r="V49">
            <v>60</v>
          </cell>
          <cell r="Z49">
            <v>0.27222222222222214</v>
          </cell>
          <cell r="AF49">
            <v>51.7</v>
          </cell>
          <cell r="AG49">
            <v>11.8</v>
          </cell>
          <cell r="AI49">
            <v>49.51</v>
          </cell>
          <cell r="AU49">
            <v>96.38510978729046</v>
          </cell>
          <cell r="AV49">
            <v>97.123713177973471</v>
          </cell>
          <cell r="AX49" t="str">
            <v>R.Sookram</v>
          </cell>
        </row>
        <row r="50">
          <cell r="A50" t="str">
            <v>CA009</v>
          </cell>
          <cell r="P50">
            <v>60</v>
          </cell>
          <cell r="Q50">
            <v>2.8679245283018791</v>
          </cell>
          <cell r="T50">
            <v>1.0173611111111112</v>
          </cell>
          <cell r="U50">
            <v>1.1388888888888888</v>
          </cell>
          <cell r="V50">
            <v>60</v>
          </cell>
          <cell r="Z50">
            <v>0.28472222222222221</v>
          </cell>
          <cell r="AF50">
            <v>52.2</v>
          </cell>
          <cell r="AG50">
            <v>11.8</v>
          </cell>
          <cell r="AI50">
            <v>49.69</v>
          </cell>
          <cell r="AU50">
            <v>96.854916965661218</v>
          </cell>
          <cell r="AV50">
            <v>97.597060827758213</v>
          </cell>
          <cell r="AX50" t="str">
            <v>K. Benjamin</v>
          </cell>
        </row>
        <row r="51">
          <cell r="A51" t="str">
            <v>CA010</v>
          </cell>
          <cell r="P51">
            <v>60</v>
          </cell>
          <cell r="Q51">
            <v>4.3773584905660385</v>
          </cell>
          <cell r="T51">
            <v>1.1895833333333334</v>
          </cell>
          <cell r="U51">
            <v>1.3125</v>
          </cell>
          <cell r="V51">
            <v>65</v>
          </cell>
          <cell r="Z51">
            <v>0.36111111111111116</v>
          </cell>
          <cell r="AF51">
            <v>51.8</v>
          </cell>
          <cell r="AG51">
            <v>12</v>
          </cell>
          <cell r="AI51">
            <v>49.7</v>
          </cell>
          <cell r="AU51">
            <v>97.756974250197359</v>
          </cell>
          <cell r="AV51">
            <v>98.506448631889739</v>
          </cell>
          <cell r="AX51" t="str">
            <v>K. Benjamin</v>
          </cell>
        </row>
        <row r="52">
          <cell r="A52" t="str">
            <v>CA011</v>
          </cell>
          <cell r="P52">
            <v>62</v>
          </cell>
          <cell r="Q52">
            <v>1.1698113207547121</v>
          </cell>
          <cell r="T52">
            <v>0.3298611111111111</v>
          </cell>
          <cell r="U52">
            <v>0.45277777777777778</v>
          </cell>
          <cell r="V52">
            <v>70</v>
          </cell>
          <cell r="Z52">
            <v>0.3520833333333333</v>
          </cell>
          <cell r="AF52">
            <v>53.1</v>
          </cell>
          <cell r="AG52">
            <v>11.6</v>
          </cell>
          <cell r="AI52">
            <v>51.4</v>
          </cell>
          <cell r="AU52">
            <v>98.280554742749217</v>
          </cell>
          <cell r="AV52">
            <v>99.033683012576361</v>
          </cell>
          <cell r="AX52" t="str">
            <v>D. Gomaz</v>
          </cell>
        </row>
        <row r="53">
          <cell r="A53" t="str">
            <v>CA012</v>
          </cell>
          <cell r="P53">
            <v>60</v>
          </cell>
          <cell r="Q53">
            <v>2.8679245283018791</v>
          </cell>
          <cell r="T53">
            <v>0.43611111111111112</v>
          </cell>
          <cell r="U53">
            <v>0.59305555555555556</v>
          </cell>
          <cell r="V53">
            <v>74</v>
          </cell>
          <cell r="Z53">
            <v>0.35</v>
          </cell>
          <cell r="AF53">
            <v>52.2</v>
          </cell>
          <cell r="AG53">
            <v>11.5</v>
          </cell>
          <cell r="AI53">
            <v>50.8</v>
          </cell>
          <cell r="AU53">
            <v>96.13324085965202</v>
          </cell>
          <cell r="AV53">
            <v>96.86997325896661</v>
          </cell>
          <cell r="AX53" t="str">
            <v>D. Gomaz</v>
          </cell>
        </row>
        <row r="54">
          <cell r="A54" t="str">
            <v>CA013</v>
          </cell>
          <cell r="P54">
            <v>58</v>
          </cell>
          <cell r="Q54">
            <v>4.9340866290018788</v>
          </cell>
          <cell r="T54">
            <v>0.45555555555555555</v>
          </cell>
          <cell r="U54">
            <v>0.58611111111111114</v>
          </cell>
          <cell r="V54">
            <v>75</v>
          </cell>
          <cell r="Z54">
            <v>0.26319444444444445</v>
          </cell>
          <cell r="AF54">
            <v>51.2</v>
          </cell>
          <cell r="AG54">
            <v>11.8</v>
          </cell>
          <cell r="AI54">
            <v>48.52</v>
          </cell>
          <cell r="AU54">
            <v>93.879203465211987</v>
          </cell>
          <cell r="AV54">
            <v>94.598891100544293</v>
          </cell>
          <cell r="AX54" t="str">
            <v>D. Gomaz</v>
          </cell>
        </row>
        <row r="55">
          <cell r="A55" t="str">
            <v>CA014</v>
          </cell>
          <cell r="P55">
            <v>59</v>
          </cell>
          <cell r="Q55">
            <v>3.992467043314496</v>
          </cell>
          <cell r="T55">
            <v>0.55555555555555558</v>
          </cell>
          <cell r="U55">
            <v>0.67847222222222225</v>
          </cell>
          <cell r="V55">
            <v>73</v>
          </cell>
          <cell r="Z55">
            <v>0.26527777777777783</v>
          </cell>
          <cell r="AF55">
            <v>51.7</v>
          </cell>
          <cell r="AG55">
            <v>11.8</v>
          </cell>
          <cell r="AI55">
            <v>49.22</v>
          </cell>
          <cell r="AU55">
            <v>95.350414753836105</v>
          </cell>
          <cell r="AV55">
            <v>96.081322809141369</v>
          </cell>
          <cell r="AX55" t="str">
            <v>D. Gomaz</v>
          </cell>
        </row>
        <row r="56">
          <cell r="A56" t="str">
            <v>CA015</v>
          </cell>
          <cell r="P56">
            <v>61</v>
          </cell>
          <cell r="Q56">
            <v>4.5574387947269335</v>
          </cell>
          <cell r="T56">
            <v>0.64583333333333337</v>
          </cell>
          <cell r="U56">
            <v>0.7680555555555556</v>
          </cell>
          <cell r="V56">
            <v>74</v>
          </cell>
          <cell r="Z56">
            <v>0.27152777777777781</v>
          </cell>
          <cell r="AF56">
            <v>51.4</v>
          </cell>
          <cell r="AG56">
            <v>12</v>
          </cell>
          <cell r="AI56">
            <v>48.5</v>
          </cell>
          <cell r="AU56">
            <v>96.220784779412256</v>
          </cell>
          <cell r="AV56">
            <v>96.958069649064385</v>
          </cell>
          <cell r="AX56" t="str">
            <v>D. Gomaz</v>
          </cell>
        </row>
        <row r="57">
          <cell r="A57" t="str">
            <v>CA016</v>
          </cell>
          <cell r="P57">
            <v>61</v>
          </cell>
          <cell r="Q57">
            <v>3.992467043314496</v>
          </cell>
          <cell r="T57">
            <v>0.74097222222222225</v>
          </cell>
          <cell r="U57">
            <v>0.85833333333333328</v>
          </cell>
          <cell r="V57">
            <v>65</v>
          </cell>
          <cell r="Z57">
            <v>0.26805555555555549</v>
          </cell>
          <cell r="AF57">
            <v>51.7</v>
          </cell>
          <cell r="AG57">
            <v>11.9</v>
          </cell>
          <cell r="AI57">
            <v>50.2</v>
          </cell>
          <cell r="AU57">
            <v>98.599549107933044</v>
          </cell>
          <cell r="AV57">
            <v>99.355121845793221</v>
          </cell>
          <cell r="AX57" t="str">
            <v>D. Gomaz</v>
          </cell>
        </row>
        <row r="58">
          <cell r="A58" t="str">
            <v>CA017</v>
          </cell>
          <cell r="P58">
            <v>60</v>
          </cell>
          <cell r="Q58">
            <v>5.5094339622641542</v>
          </cell>
          <cell r="T58">
            <v>0.3298611111111111</v>
          </cell>
          <cell r="U58">
            <v>0.44236111111111109</v>
          </cell>
          <cell r="V58">
            <v>60</v>
          </cell>
          <cell r="Z58">
            <v>0.2673611111111111</v>
          </cell>
          <cell r="AF58">
            <v>50.8</v>
          </cell>
          <cell r="AG58">
            <v>11.9</v>
          </cell>
          <cell r="AI58">
            <v>49.5</v>
          </cell>
          <cell r="AU58">
            <v>97.224654996866249</v>
          </cell>
          <cell r="AV58">
            <v>97.96969185989569</v>
          </cell>
          <cell r="AX58" t="str">
            <v>K. Benjamin</v>
          </cell>
        </row>
        <row r="59">
          <cell r="A59" t="str">
            <v>CA018</v>
          </cell>
          <cell r="P59">
            <v>60</v>
          </cell>
          <cell r="Q59">
            <v>3.2452830188679229</v>
          </cell>
          <cell r="T59">
            <v>0.42499999999999999</v>
          </cell>
          <cell r="U59">
            <v>0.54374999999999996</v>
          </cell>
          <cell r="V59">
            <v>61</v>
          </cell>
          <cell r="Z59">
            <v>0.27291666666666664</v>
          </cell>
          <cell r="AF59">
            <v>52</v>
          </cell>
          <cell r="AG59">
            <v>11.9</v>
          </cell>
          <cell r="AI59">
            <v>49.8</v>
          </cell>
          <cell r="AU59">
            <v>97.214744342532583</v>
          </cell>
          <cell r="AV59">
            <v>97.960002577507268</v>
          </cell>
          <cell r="AX59" t="str">
            <v>K. Benjamin</v>
          </cell>
        </row>
        <row r="60">
          <cell r="A60" t="str">
            <v>CA019</v>
          </cell>
          <cell r="P60">
            <v>60</v>
          </cell>
          <cell r="Q60">
            <v>1.735849056603777</v>
          </cell>
          <cell r="T60">
            <v>0.51458333333333328</v>
          </cell>
          <cell r="U60">
            <v>0.63194444444444442</v>
          </cell>
          <cell r="V60">
            <v>64</v>
          </cell>
          <cell r="Z60">
            <v>0.2673611111111111</v>
          </cell>
          <cell r="AF60">
            <v>52.8</v>
          </cell>
          <cell r="AG60">
            <v>12</v>
          </cell>
          <cell r="AI60">
            <v>51</v>
          </cell>
          <cell r="AU60">
            <v>99.947116466554263</v>
          </cell>
          <cell r="AV60">
            <v>100.71356320511289</v>
          </cell>
          <cell r="AX60" t="str">
            <v>K. Benjamin</v>
          </cell>
        </row>
        <row r="61">
          <cell r="A61" t="str">
            <v>CA020</v>
          </cell>
          <cell r="P61">
            <v>64</v>
          </cell>
          <cell r="Q61">
            <v>2.8679245283018791</v>
          </cell>
          <cell r="T61">
            <v>0.60069444444444442</v>
          </cell>
          <cell r="U61">
            <v>0.80763888888888891</v>
          </cell>
          <cell r="V61">
            <v>77</v>
          </cell>
          <cell r="Z61">
            <v>0.34930555555555559</v>
          </cell>
          <cell r="AF61">
            <v>52.2</v>
          </cell>
          <cell r="AG61">
            <v>11.8</v>
          </cell>
          <cell r="AI61">
            <v>50.8</v>
          </cell>
          <cell r="AU61">
            <v>98.532094795334359</v>
          </cell>
          <cell r="AV61">
            <v>99.2873318796685</v>
          </cell>
          <cell r="AX61" t="str">
            <v>K. Benjamin</v>
          </cell>
        </row>
        <row r="62">
          <cell r="A62" t="str">
            <v>CA021</v>
          </cell>
          <cell r="P62">
            <v>54</v>
          </cell>
          <cell r="Q62">
            <v>10.018832391713747</v>
          </cell>
          <cell r="T62">
            <v>1.0138888888888888</v>
          </cell>
          <cell r="U62">
            <v>1.1340277777777779</v>
          </cell>
          <cell r="V62">
            <v>56</v>
          </cell>
          <cell r="Z62">
            <v>0.52986111111111123</v>
          </cell>
          <cell r="AF62">
            <v>50.9</v>
          </cell>
          <cell r="AG62">
            <v>11.8</v>
          </cell>
          <cell r="AI62">
            <v>48.1</v>
          </cell>
          <cell r="AU62">
            <v>93.409868719251207</v>
          </cell>
          <cell r="AV62">
            <v>94.12578739881026</v>
          </cell>
          <cell r="AX62" t="str">
            <v>D. Gomaz</v>
          </cell>
        </row>
        <row r="63">
          <cell r="A63" t="str">
            <v>CA022</v>
          </cell>
          <cell r="P63">
            <v>44</v>
          </cell>
          <cell r="Q63">
            <v>8.323917137476462</v>
          </cell>
          <cell r="T63">
            <v>1.1138888888888889</v>
          </cell>
          <cell r="U63">
            <v>1.3006944444444444</v>
          </cell>
          <cell r="V63">
            <v>62</v>
          </cell>
          <cell r="Z63">
            <v>0.34236111111111101</v>
          </cell>
          <cell r="AF63">
            <v>49.4</v>
          </cell>
          <cell r="AG63">
            <v>12.3</v>
          </cell>
          <cell r="AI63">
            <v>49</v>
          </cell>
          <cell r="AU63">
            <v>99.155044731309943</v>
          </cell>
          <cell r="AV63">
            <v>99.915117155801951</v>
          </cell>
          <cell r="AX63" t="str">
            <v>R.Sookram</v>
          </cell>
        </row>
        <row r="64">
          <cell r="A64" t="str">
            <v>CA023</v>
          </cell>
          <cell r="P64">
            <v>60</v>
          </cell>
          <cell r="Q64">
            <v>3.992467043314496</v>
          </cell>
          <cell r="T64">
            <v>0.31041666666666667</v>
          </cell>
          <cell r="U64">
            <v>0.42708333333333331</v>
          </cell>
          <cell r="V64">
            <v>61</v>
          </cell>
          <cell r="Z64">
            <v>0.35902777777777778</v>
          </cell>
          <cell r="AF64">
            <v>51.7</v>
          </cell>
          <cell r="AG64">
            <v>11.9</v>
          </cell>
          <cell r="AI64">
            <v>49.6</v>
          </cell>
          <cell r="AU64">
            <v>97.421068441304371</v>
          </cell>
          <cell r="AV64">
            <v>98.167610429309633</v>
          </cell>
          <cell r="AX64" t="str">
            <v>R.Sookram</v>
          </cell>
        </row>
        <row r="65">
          <cell r="A65" t="str">
            <v>CA024</v>
          </cell>
          <cell r="P65">
            <v>60</v>
          </cell>
          <cell r="Q65">
            <v>3.4339622641509435</v>
          </cell>
          <cell r="T65">
            <v>0.41388888888888886</v>
          </cell>
          <cell r="U65">
            <v>0.53194444444444444</v>
          </cell>
          <cell r="V65">
            <v>61</v>
          </cell>
          <cell r="Z65">
            <v>0.27500000000000002</v>
          </cell>
          <cell r="AF65">
            <v>51.9</v>
          </cell>
          <cell r="AG65">
            <v>11.7</v>
          </cell>
          <cell r="AI65">
            <v>49.9</v>
          </cell>
          <cell r="AU65">
            <v>96.397222195852265</v>
          </cell>
          <cell r="AV65">
            <v>97.135859004567067</v>
          </cell>
          <cell r="AX65" t="str">
            <v>R.Sookram</v>
          </cell>
        </row>
        <row r="66">
          <cell r="A66" t="str">
            <v>CA025</v>
          </cell>
          <cell r="P66">
            <v>58</v>
          </cell>
          <cell r="Q66">
            <v>2.1132075471698064</v>
          </cell>
          <cell r="T66">
            <v>0.51458333333333328</v>
          </cell>
          <cell r="U66">
            <v>0.65138888888888891</v>
          </cell>
          <cell r="V66">
            <v>93</v>
          </cell>
          <cell r="Z66">
            <v>0.2902777777777778</v>
          </cell>
          <cell r="AF66">
            <v>52.6</v>
          </cell>
          <cell r="AG66">
            <v>12</v>
          </cell>
          <cell r="AI66">
            <v>50.7</v>
          </cell>
          <cell r="AU66">
            <v>100.46145390412471</v>
          </cell>
          <cell r="AV66">
            <v>101.23129450139419</v>
          </cell>
          <cell r="AX66" t="str">
            <v>K. Benjamin</v>
          </cell>
        </row>
        <row r="67">
          <cell r="A67" t="str">
            <v>CA026</v>
          </cell>
          <cell r="P67">
            <v>61</v>
          </cell>
          <cell r="Q67">
            <v>2.3018867924528279</v>
          </cell>
          <cell r="T67">
            <v>0.60972222222222228</v>
          </cell>
          <cell r="U67">
            <v>0.73888888888888893</v>
          </cell>
          <cell r="V67">
            <v>82</v>
          </cell>
          <cell r="Z67">
            <v>0.28055555555555561</v>
          </cell>
          <cell r="AF67">
            <v>52.5</v>
          </cell>
          <cell r="AG67">
            <v>11.9</v>
          </cell>
          <cell r="AI67">
            <v>50.9</v>
          </cell>
          <cell r="AU67">
            <v>98.998214709308328</v>
          </cell>
          <cell r="AV67">
            <v>99.757325101963858</v>
          </cell>
          <cell r="AX67" t="str">
            <v>K. Benjamin</v>
          </cell>
        </row>
        <row r="68">
          <cell r="A68" t="str">
            <v>CA027</v>
          </cell>
          <cell r="P68">
            <v>46</v>
          </cell>
          <cell r="Q68">
            <v>1.9245283018867849</v>
          </cell>
          <cell r="T68">
            <v>0.71875</v>
          </cell>
          <cell r="U68">
            <v>0.88472222222222219</v>
          </cell>
          <cell r="V68">
            <v>113</v>
          </cell>
          <cell r="Z68">
            <v>0.32916666666666661</v>
          </cell>
          <cell r="AF68">
            <v>52.7</v>
          </cell>
          <cell r="AG68">
            <v>11.8</v>
          </cell>
          <cell r="AI68">
            <v>50.7</v>
          </cell>
          <cell r="AU68">
            <v>97.857422068578444</v>
          </cell>
          <cell r="AV68">
            <v>98.607725826851222</v>
          </cell>
          <cell r="AX68" t="str">
            <v>K. Benjamin</v>
          </cell>
        </row>
        <row r="69">
          <cell r="A69" t="str">
            <v>CA028</v>
          </cell>
          <cell r="P69">
            <v>60</v>
          </cell>
          <cell r="Q69">
            <v>1.5442561205273075</v>
          </cell>
          <cell r="T69">
            <v>0.81597222222222221</v>
          </cell>
          <cell r="U69">
            <v>0.96527777777777779</v>
          </cell>
          <cell r="V69">
            <v>76</v>
          </cell>
          <cell r="Z69">
            <v>0.3125</v>
          </cell>
          <cell r="AF69">
            <v>53</v>
          </cell>
          <cell r="AG69">
            <v>11.8</v>
          </cell>
          <cell r="AI69">
            <v>50.42</v>
          </cell>
          <cell r="AU69">
            <v>97.436062166815688</v>
          </cell>
          <cell r="AV69">
            <v>98.183076208597654</v>
          </cell>
          <cell r="AX69" t="str">
            <v>D. Gomaz</v>
          </cell>
        </row>
        <row r="70">
          <cell r="A70" t="str">
            <v>CA029</v>
          </cell>
          <cell r="P70">
            <v>60</v>
          </cell>
          <cell r="Q70">
            <v>3.80414312617703</v>
          </cell>
          <cell r="T70">
            <v>0.89930555555555558</v>
          </cell>
          <cell r="U70">
            <v>1.0229166666666667</v>
          </cell>
          <cell r="V70">
            <v>66</v>
          </cell>
          <cell r="Z70">
            <v>0.27500000000000002</v>
          </cell>
          <cell r="AF70">
            <v>51.8</v>
          </cell>
          <cell r="AG70">
            <v>11.9</v>
          </cell>
          <cell r="AI70">
            <v>49.1</v>
          </cell>
          <cell r="AU70">
            <v>96.910477582354332</v>
          </cell>
          <cell r="AV70">
            <v>96.583054750112595</v>
          </cell>
          <cell r="AX70" t="str">
            <v>D. Gomaz</v>
          </cell>
        </row>
        <row r="71">
          <cell r="A71" t="str">
            <v>CA030</v>
          </cell>
          <cell r="P71">
            <v>44</v>
          </cell>
          <cell r="Q71">
            <v>3.0508474576271141</v>
          </cell>
          <cell r="T71">
            <v>1</v>
          </cell>
          <cell r="U71">
            <v>1.1104166666666666</v>
          </cell>
          <cell r="V71">
            <v>63</v>
          </cell>
          <cell r="Z71">
            <v>0.26666666666666661</v>
          </cell>
          <cell r="AF71">
            <v>52.2</v>
          </cell>
          <cell r="AG71">
            <v>11.9</v>
          </cell>
          <cell r="AI71">
            <v>50.2</v>
          </cell>
          <cell r="AU71">
            <v>98.960439575055489</v>
          </cell>
          <cell r="AV71">
            <v>98.626064236445359</v>
          </cell>
          <cell r="AX71" t="str">
            <v>R.Sookram</v>
          </cell>
        </row>
        <row r="72">
          <cell r="A72" t="str">
            <v>CA031</v>
          </cell>
          <cell r="P72">
            <v>57</v>
          </cell>
          <cell r="Q72">
            <v>12.090395480225991</v>
          </cell>
          <cell r="T72">
            <v>1.1298611111111112</v>
          </cell>
          <cell r="U72">
            <v>1.2895833333333333</v>
          </cell>
          <cell r="V72">
            <v>57</v>
          </cell>
          <cell r="Z72">
            <v>0.3520833333333333</v>
          </cell>
          <cell r="AF72">
            <v>53.9</v>
          </cell>
          <cell r="AG72">
            <v>12</v>
          </cell>
          <cell r="AI72">
            <v>51.5</v>
          </cell>
          <cell r="AU72">
            <v>102.29507421858402</v>
          </cell>
          <cell r="AV72">
            <v>101.94940424629009</v>
          </cell>
          <cell r="AX72" t="str">
            <v>R.Sookram</v>
          </cell>
        </row>
        <row r="73">
          <cell r="A73" t="str">
            <v>CA032</v>
          </cell>
          <cell r="P73">
            <v>59</v>
          </cell>
          <cell r="Q73">
            <v>3.80414312617703</v>
          </cell>
          <cell r="T73">
            <v>0.27708333333333335</v>
          </cell>
          <cell r="U73">
            <v>0.42638888888888887</v>
          </cell>
          <cell r="V73">
            <v>58</v>
          </cell>
          <cell r="Z73">
            <v>0.38472222222222219</v>
          </cell>
          <cell r="AF73">
            <v>51.8</v>
          </cell>
          <cell r="AG73">
            <v>12.2</v>
          </cell>
          <cell r="AI73">
            <v>49.3</v>
          </cell>
          <cell r="AU73">
            <v>99.640437653385277</v>
          </cell>
          <cell r="AV73">
            <v>99.303738085140154</v>
          </cell>
          <cell r="AX73" t="str">
            <v>R.Sookram</v>
          </cell>
        </row>
        <row r="74">
          <cell r="A74" t="str">
            <v>CA033</v>
          </cell>
          <cell r="P74">
            <v>59</v>
          </cell>
          <cell r="Q74">
            <v>-0.52830188679245493</v>
          </cell>
          <cell r="T74">
            <v>0.44583333333333336</v>
          </cell>
          <cell r="U74">
            <v>0.90069444444444446</v>
          </cell>
          <cell r="V74">
            <v>48</v>
          </cell>
          <cell r="Z74">
            <v>0.76180555555555562</v>
          </cell>
          <cell r="AF74">
            <v>54.9</v>
          </cell>
          <cell r="AG74">
            <v>11.6</v>
          </cell>
          <cell r="AI74">
            <v>42.9</v>
          </cell>
          <cell r="AU74">
            <v>82.328169468585017</v>
          </cell>
          <cell r="AV74">
            <v>82.049992556058967</v>
          </cell>
          <cell r="AX74" t="str">
            <v>K. Benjamin</v>
          </cell>
        </row>
        <row r="75">
          <cell r="A75" t="str">
            <v>CA034</v>
          </cell>
          <cell r="P75">
            <v>62</v>
          </cell>
          <cell r="Q75">
            <v>1.3584905660377338</v>
          </cell>
          <cell r="T75">
            <v>0.90694444444444444</v>
          </cell>
          <cell r="U75">
            <v>1.0333333333333334</v>
          </cell>
          <cell r="V75">
            <v>68</v>
          </cell>
          <cell r="Z75">
            <v>0.6479166666666667</v>
          </cell>
          <cell r="AF75">
            <v>53</v>
          </cell>
          <cell r="AG75">
            <v>11.5</v>
          </cell>
          <cell r="AI75">
            <v>51.3</v>
          </cell>
          <cell r="AU75">
            <v>97.674289949528585</v>
          </cell>
          <cell r="AV75">
            <v>97.344286492210998</v>
          </cell>
          <cell r="AX75" t="str">
            <v>K. Benjamin</v>
          </cell>
        </row>
        <row r="76">
          <cell r="A76" t="str">
            <v>CA035</v>
          </cell>
          <cell r="P76">
            <v>60</v>
          </cell>
          <cell r="Q76">
            <v>-1.660377358490571</v>
          </cell>
          <cell r="T76">
            <v>1.0298611111111111</v>
          </cell>
          <cell r="U76">
            <v>1.1555555555555554</v>
          </cell>
          <cell r="V76">
            <v>63</v>
          </cell>
          <cell r="Z76">
            <v>0.65555555555555545</v>
          </cell>
          <cell r="AF76">
            <v>54.6</v>
          </cell>
          <cell r="AG76">
            <v>12</v>
          </cell>
          <cell r="AI76">
            <v>52.7</v>
          </cell>
          <cell r="AU76">
            <v>107.03141163467369</v>
          </cell>
          <cell r="AV76">
            <v>106.67026209357451</v>
          </cell>
          <cell r="AX76" t="str">
            <v>R. Regis</v>
          </cell>
        </row>
        <row r="77">
          <cell r="A77" t="str">
            <v>CA036</v>
          </cell>
          <cell r="P77">
            <v>60</v>
          </cell>
          <cell r="Q77">
            <v>4.7457627118644128</v>
          </cell>
          <cell r="T77">
            <v>0.48194444444444445</v>
          </cell>
          <cell r="U77">
            <v>0.61111111111111116</v>
          </cell>
          <cell r="V77">
            <v>77</v>
          </cell>
          <cell r="Z77">
            <v>0.26736111111111116</v>
          </cell>
          <cell r="AF77">
            <v>51.3</v>
          </cell>
          <cell r="AG77">
            <v>11.7</v>
          </cell>
          <cell r="AI77">
            <v>49.3</v>
          </cell>
          <cell r="AU77">
            <v>95.236008152799599</v>
          </cell>
          <cell r="AV77">
            <v>94.914166433360933</v>
          </cell>
          <cell r="AX77" t="str">
            <v>D. Gomaz</v>
          </cell>
        </row>
        <row r="78">
          <cell r="A78" t="str">
            <v>CA037</v>
          </cell>
          <cell r="P78">
            <v>61</v>
          </cell>
          <cell r="Q78">
            <v>3.80414312617703</v>
          </cell>
          <cell r="T78">
            <v>0.58125000000000004</v>
          </cell>
          <cell r="U78">
            <v>0.70416666666666672</v>
          </cell>
          <cell r="V78">
            <v>77</v>
          </cell>
          <cell r="Z78">
            <v>0.26666666666666672</v>
          </cell>
          <cell r="AF78">
            <v>51.8</v>
          </cell>
          <cell r="AG78">
            <v>11.9</v>
          </cell>
          <cell r="AI78">
            <v>48.12</v>
          </cell>
          <cell r="AU78">
            <v>93.827567679359049</v>
          </cell>
          <cell r="AV78">
            <v>93.510312453626767</v>
          </cell>
          <cell r="AX78" t="str">
            <v>D. Gomaz</v>
          </cell>
        </row>
        <row r="79">
          <cell r="A79" t="str">
            <v>CA038</v>
          </cell>
          <cell r="P79">
            <v>62</v>
          </cell>
          <cell r="Q79">
            <v>3.4274952919020718</v>
          </cell>
          <cell r="T79">
            <v>0.6791666666666667</v>
          </cell>
          <cell r="U79">
            <v>0.80902777777777779</v>
          </cell>
          <cell r="V79">
            <v>80</v>
          </cell>
          <cell r="Z79">
            <v>0.27777777777777779</v>
          </cell>
          <cell r="AF79">
            <v>52</v>
          </cell>
          <cell r="AG79">
            <v>11.9</v>
          </cell>
          <cell r="AI79">
            <v>48.17</v>
          </cell>
          <cell r="AU79">
            <v>95.896687100312732</v>
          </cell>
          <cell r="AV79">
            <v>95.572870879564817</v>
          </cell>
          <cell r="AX79" t="str">
            <v>D. Gomaz</v>
          </cell>
        </row>
        <row r="80">
          <cell r="A80" t="str">
            <v>CA039</v>
          </cell>
          <cell r="P80">
            <v>62</v>
          </cell>
          <cell r="Q80">
            <v>3.6158192090395511</v>
          </cell>
          <cell r="T80">
            <v>0.77708333333333335</v>
          </cell>
          <cell r="U80">
            <v>0.89236111111111116</v>
          </cell>
          <cell r="V80">
            <v>61</v>
          </cell>
          <cell r="Z80">
            <v>0.26736111111111116</v>
          </cell>
          <cell r="AF80">
            <v>51.9</v>
          </cell>
          <cell r="AG80">
            <v>11.9</v>
          </cell>
          <cell r="AI80">
            <v>50.1</v>
          </cell>
          <cell r="AU80">
            <v>99.738925134433643</v>
          </cell>
          <cell r="AV80">
            <v>99.402134753294533</v>
          </cell>
          <cell r="AX80" t="str">
            <v>D. Gomaz</v>
          </cell>
        </row>
        <row r="81">
          <cell r="A81" t="str">
            <v>CA040</v>
          </cell>
          <cell r="P81">
            <v>58</v>
          </cell>
          <cell r="Q81">
            <v>2.6741996233521688</v>
          </cell>
          <cell r="T81">
            <v>0.87708333333333333</v>
          </cell>
          <cell r="U81">
            <v>0.98819444444444449</v>
          </cell>
          <cell r="V81">
            <v>63</v>
          </cell>
          <cell r="Z81">
            <v>0.26597222222222228</v>
          </cell>
          <cell r="AF81">
            <v>52</v>
          </cell>
          <cell r="AG81">
            <v>11.8</v>
          </cell>
          <cell r="AI81">
            <v>50.7</v>
          </cell>
          <cell r="AU81">
            <v>100.16530562302518</v>
          </cell>
          <cell r="AV81">
            <v>99.827102811254065</v>
          </cell>
          <cell r="AX81" t="str">
            <v>R.Sookram</v>
          </cell>
        </row>
        <row r="82">
          <cell r="A82" t="str">
            <v>CA041</v>
          </cell>
          <cell r="P82">
            <v>58</v>
          </cell>
          <cell r="Q82">
            <v>1.5442561205273075</v>
          </cell>
          <cell r="T82">
            <v>0.97986111111111107</v>
          </cell>
          <cell r="U82">
            <v>1.09375</v>
          </cell>
          <cell r="V82">
            <v>63</v>
          </cell>
          <cell r="Z82">
            <v>0.26736111111111116</v>
          </cell>
          <cell r="AF82">
            <v>53</v>
          </cell>
          <cell r="AG82">
            <v>11.7</v>
          </cell>
          <cell r="AI82">
            <v>51</v>
          </cell>
          <cell r="AU82">
            <v>99.736526583941028</v>
          </cell>
          <cell r="AV82">
            <v>99.399744302034321</v>
          </cell>
          <cell r="AX82" t="str">
            <v>R.Sookram</v>
          </cell>
        </row>
        <row r="83">
          <cell r="A83" t="str">
            <v>CA042</v>
          </cell>
          <cell r="P83">
            <v>58</v>
          </cell>
          <cell r="Q83">
            <v>2.1092278719397317</v>
          </cell>
          <cell r="T83">
            <v>1.0840277777777778</v>
          </cell>
          <cell r="U83">
            <v>1.2131944444444445</v>
          </cell>
          <cell r="V83">
            <v>60</v>
          </cell>
          <cell r="Z83">
            <v>0.29305555555555562</v>
          </cell>
          <cell r="AF83">
            <v>52.7</v>
          </cell>
          <cell r="AG83">
            <v>11.7</v>
          </cell>
          <cell r="AI83">
            <v>50.9</v>
          </cell>
          <cell r="AU83">
            <v>99.664029210937514</v>
          </cell>
          <cell r="AV83">
            <v>99.327518932234511</v>
          </cell>
          <cell r="AX83" t="str">
            <v>R.Sookram</v>
          </cell>
        </row>
        <row r="84">
          <cell r="A84" t="str">
            <v>CA043</v>
          </cell>
          <cell r="P84">
            <v>72</v>
          </cell>
          <cell r="Q84">
            <v>2.4858757062146899</v>
          </cell>
          <cell r="T84">
            <v>1.2027777777777777</v>
          </cell>
          <cell r="U84">
            <v>1.34375</v>
          </cell>
          <cell r="V84">
            <v>61</v>
          </cell>
          <cell r="Z84">
            <v>0.32291666666666674</v>
          </cell>
          <cell r="AF84">
            <v>52.5</v>
          </cell>
          <cell r="AG84">
            <v>11.8</v>
          </cell>
          <cell r="AI84">
            <v>50.5</v>
          </cell>
          <cell r="AU84">
            <v>100.01748335846912</v>
          </cell>
          <cell r="AV84">
            <v>99.679834456455382</v>
          </cell>
          <cell r="AX84" t="str">
            <v>R.Sookram</v>
          </cell>
        </row>
        <row r="85">
          <cell r="A85" t="str">
            <v>CA044</v>
          </cell>
          <cell r="P85">
            <v>57</v>
          </cell>
          <cell r="Q85">
            <v>3.7664783427501181E-2</v>
          </cell>
          <cell r="T85">
            <v>0.33958333333333335</v>
          </cell>
          <cell r="U85">
            <v>0.45833333333333331</v>
          </cell>
          <cell r="V85">
            <v>63</v>
          </cell>
          <cell r="Z85">
            <v>0.34375</v>
          </cell>
          <cell r="AF85">
            <v>53.8</v>
          </cell>
          <cell r="AG85">
            <v>11.8</v>
          </cell>
          <cell r="AI85">
            <v>51.8</v>
          </cell>
          <cell r="AU85">
            <v>102.59219085086538</v>
          </cell>
          <cell r="AV85">
            <v>102.24584999691859</v>
          </cell>
          <cell r="AX85" t="str">
            <v>R.Sookram</v>
          </cell>
        </row>
        <row r="86">
          <cell r="A86" t="str">
            <v>CA045</v>
          </cell>
          <cell r="P86">
            <v>58</v>
          </cell>
          <cell r="Q86">
            <v>-0.90395480225988112</v>
          </cell>
          <cell r="T86">
            <v>0.45763888888888887</v>
          </cell>
          <cell r="U86">
            <v>0.56944444444444442</v>
          </cell>
          <cell r="V86">
            <v>65</v>
          </cell>
          <cell r="Z86">
            <v>0.35416666666666663</v>
          </cell>
          <cell r="AF86">
            <v>54.3</v>
          </cell>
          <cell r="AG86">
            <v>11.7</v>
          </cell>
          <cell r="AI86">
            <v>52.5</v>
          </cell>
          <cell r="AU86">
            <v>102.5433340471773</v>
          </cell>
          <cell r="AV86">
            <v>102.1970460468892</v>
          </cell>
          <cell r="AX86" t="str">
            <v>R.Sookram</v>
          </cell>
        </row>
        <row r="87">
          <cell r="A87" t="str">
            <v>CA046</v>
          </cell>
          <cell r="P87">
            <v>73</v>
          </cell>
          <cell r="Q87">
            <v>6.8173258003766435</v>
          </cell>
          <cell r="T87">
            <v>0.28958333333333336</v>
          </cell>
          <cell r="U87">
            <v>0.41805555555555557</v>
          </cell>
          <cell r="V87">
            <v>50</v>
          </cell>
          <cell r="Z87">
            <v>0.32777777777777778</v>
          </cell>
          <cell r="AF87">
            <v>50.2</v>
          </cell>
          <cell r="AG87">
            <v>12.1</v>
          </cell>
          <cell r="AI87">
            <v>47.9</v>
          </cell>
          <cell r="AU87">
            <v>96.805164931106077</v>
          </cell>
          <cell r="AV87">
            <v>96.47822839142863</v>
          </cell>
          <cell r="AX87" t="str">
            <v>R. Regis</v>
          </cell>
        </row>
        <row r="88">
          <cell r="A88" t="str">
            <v>CA047</v>
          </cell>
          <cell r="P88">
            <v>52</v>
          </cell>
          <cell r="Q88">
            <v>3.80414312617703</v>
          </cell>
          <cell r="T88">
            <v>0.55694444444444446</v>
          </cell>
          <cell r="U88">
            <v>0.67083333333333328</v>
          </cell>
          <cell r="V88">
            <v>51</v>
          </cell>
          <cell r="Z88">
            <v>0.25069444444444439</v>
          </cell>
          <cell r="AF88">
            <v>51.8</v>
          </cell>
          <cell r="AG88">
            <v>11.8</v>
          </cell>
          <cell r="AI88">
            <v>48.8</v>
          </cell>
          <cell r="AU88">
            <v>95.467350978288906</v>
          </cell>
          <cell r="AV88">
            <v>95.144803909863171</v>
          </cell>
          <cell r="AX88" t="str">
            <v>R.Sookram</v>
          </cell>
        </row>
        <row r="89">
          <cell r="A89" t="str">
            <v>CA048</v>
          </cell>
          <cell r="P89">
            <v>60</v>
          </cell>
          <cell r="Q89">
            <v>2.1132075471698064</v>
          </cell>
          <cell r="T89">
            <v>0.65833333333333333</v>
          </cell>
          <cell r="U89">
            <v>0.77152777777777781</v>
          </cell>
          <cell r="V89">
            <v>57</v>
          </cell>
          <cell r="Z89">
            <v>0.2680555555555556</v>
          </cell>
          <cell r="AF89">
            <v>53</v>
          </cell>
          <cell r="AG89">
            <v>11.9</v>
          </cell>
          <cell r="AI89">
            <v>51</v>
          </cell>
          <cell r="AU89">
            <v>101.53064235241746</v>
          </cell>
          <cell r="AV89">
            <v>101.18780184467107</v>
          </cell>
          <cell r="AX89" t="str">
            <v>K. Benjamin</v>
          </cell>
        </row>
        <row r="90">
          <cell r="A90" t="str">
            <v>CA049</v>
          </cell>
          <cell r="P90">
            <v>62</v>
          </cell>
          <cell r="Q90">
            <v>2.8679245283018791</v>
          </cell>
          <cell r="T90">
            <v>0.74652777777777779</v>
          </cell>
          <cell r="U90">
            <v>0.86875000000000002</v>
          </cell>
          <cell r="V90">
            <v>52</v>
          </cell>
          <cell r="Z90">
            <v>0.27152777777777781</v>
          </cell>
          <cell r="AF90">
            <v>52.2</v>
          </cell>
          <cell r="AG90">
            <v>11.9</v>
          </cell>
          <cell r="AI90">
            <v>50.4</v>
          </cell>
          <cell r="AU90">
            <v>99.843022353876989</v>
          </cell>
          <cell r="AV90">
            <v>99.505772140370468</v>
          </cell>
          <cell r="AX90" t="str">
            <v>K. Benjamin</v>
          </cell>
        </row>
        <row r="91">
          <cell r="A91" t="str">
            <v>CA050</v>
          </cell>
          <cell r="P91">
            <v>60</v>
          </cell>
          <cell r="Q91">
            <v>3.4339622641509435</v>
          </cell>
          <cell r="T91">
            <v>0.84444444444444444</v>
          </cell>
          <cell r="U91">
            <v>0.97638888888888886</v>
          </cell>
          <cell r="V91">
            <v>59</v>
          </cell>
          <cell r="Z91">
            <v>0.28541666666666665</v>
          </cell>
          <cell r="AF91">
            <v>51.9</v>
          </cell>
          <cell r="AG91">
            <v>11.8</v>
          </cell>
          <cell r="AI91">
            <v>51.24</v>
          </cell>
          <cell r="AU91">
            <v>101.2321550320278</v>
          </cell>
          <cell r="AV91">
            <v>100.89035006013131</v>
          </cell>
          <cell r="AX91" t="str">
            <v>K. Benjamin</v>
          </cell>
        </row>
        <row r="92">
          <cell r="A92" t="str">
            <v>CA051</v>
          </cell>
          <cell r="P92">
            <v>59</v>
          </cell>
          <cell r="Q92">
            <v>0.22641509433961779</v>
          </cell>
          <cell r="T92">
            <v>0.95347222222222228</v>
          </cell>
          <cell r="U92">
            <v>1.0687500000000001</v>
          </cell>
          <cell r="V92">
            <v>65</v>
          </cell>
          <cell r="Z92">
            <v>0.28402777777777788</v>
          </cell>
          <cell r="AF92">
            <v>53.6</v>
          </cell>
          <cell r="AG92">
            <v>11.7</v>
          </cell>
          <cell r="AI92">
            <v>51.8</v>
          </cell>
          <cell r="AU92">
            <v>101.42626155454937</v>
          </cell>
          <cell r="AV92">
            <v>101.08380119233296</v>
          </cell>
          <cell r="AX92" t="str">
            <v>K. Benjamin</v>
          </cell>
        </row>
        <row r="93">
          <cell r="A93" t="str">
            <v>CA052</v>
          </cell>
          <cell r="P93">
            <v>60</v>
          </cell>
          <cell r="Q93">
            <v>2.3018867924528279</v>
          </cell>
          <cell r="T93">
            <v>1.0569444444444445</v>
          </cell>
          <cell r="U93">
            <v>1.1833333333333333</v>
          </cell>
          <cell r="V93">
            <v>62</v>
          </cell>
          <cell r="Z93">
            <v>0.29444444444444451</v>
          </cell>
          <cell r="AF93">
            <v>52.5</v>
          </cell>
          <cell r="AG93">
            <v>11.7</v>
          </cell>
          <cell r="AI93">
            <v>51.3</v>
          </cell>
          <cell r="AU93">
            <v>100.44724358587611</v>
          </cell>
          <cell r="AV93">
            <v>100.1080888256116</v>
          </cell>
          <cell r="AX93" t="str">
            <v>R. Regis</v>
          </cell>
        </row>
        <row r="94">
          <cell r="A94" t="str">
            <v>CA053</v>
          </cell>
          <cell r="P94">
            <v>60</v>
          </cell>
          <cell r="Q94">
            <v>-1.6572504708097977</v>
          </cell>
          <cell r="T94">
            <v>0.19375000000000001</v>
          </cell>
          <cell r="U94">
            <v>0.32222222222222224</v>
          </cell>
          <cell r="V94">
            <v>69</v>
          </cell>
          <cell r="Z94">
            <v>0.28055555555555556</v>
          </cell>
          <cell r="AF94">
            <v>54.7</v>
          </cell>
          <cell r="AG94">
            <v>11.7</v>
          </cell>
          <cell r="AI94">
            <v>52.7</v>
          </cell>
          <cell r="AU94">
            <v>102.05296320797829</v>
          </cell>
          <cell r="AV94">
            <v>101.70813860659852</v>
          </cell>
          <cell r="AX94" t="str">
            <v>R. Regis</v>
          </cell>
        </row>
        <row r="95">
          <cell r="A95" t="str">
            <v>CA054</v>
          </cell>
          <cell r="P95">
            <v>60</v>
          </cell>
          <cell r="Q95">
            <v>-2.1599999999999966</v>
          </cell>
          <cell r="T95">
            <v>0.33680555555555558</v>
          </cell>
          <cell r="U95">
            <v>0.47013888888888888</v>
          </cell>
          <cell r="V95">
            <v>84</v>
          </cell>
          <cell r="Z95">
            <v>0.2895833333333333</v>
          </cell>
          <cell r="AF95">
            <v>51.8</v>
          </cell>
          <cell r="AG95">
            <v>11.6</v>
          </cell>
          <cell r="AI95">
            <v>49.43</v>
          </cell>
          <cell r="AU95">
            <v>95.560767955537841</v>
          </cell>
          <cell r="AV95">
            <v>95.238034072211093</v>
          </cell>
          <cell r="AX95" t="str">
            <v>R.Sookram</v>
          </cell>
        </row>
        <row r="96">
          <cell r="A96" t="str">
            <v>CA055</v>
          </cell>
          <cell r="P96">
            <v>361</v>
          </cell>
          <cell r="Q96">
            <v>1.735849056603777</v>
          </cell>
          <cell r="T96">
            <v>1.0625</v>
          </cell>
          <cell r="U96">
            <v>1.3944444444444444</v>
          </cell>
          <cell r="V96">
            <v>51</v>
          </cell>
          <cell r="Z96">
            <v>0.49861111111111101</v>
          </cell>
          <cell r="AF96">
            <v>52.8</v>
          </cell>
          <cell r="AG96">
            <v>11.8</v>
          </cell>
          <cell r="AI96">
            <v>48.7</v>
          </cell>
          <cell r="AU96">
            <v>95.858476381615304</v>
          </cell>
          <cell r="AV96">
            <v>95.534737058519667</v>
          </cell>
          <cell r="AX96" t="str">
            <v>R. Regis</v>
          </cell>
        </row>
        <row r="97">
          <cell r="A97" t="str">
            <v>CA056</v>
          </cell>
          <cell r="P97">
            <v>58</v>
          </cell>
          <cell r="Q97">
            <v>10.840000000000003</v>
          </cell>
          <cell r="T97">
            <v>1.5013888888888889</v>
          </cell>
          <cell r="U97">
            <v>1.6222222222222222</v>
          </cell>
          <cell r="V97">
            <v>58</v>
          </cell>
          <cell r="Z97">
            <v>0.60833333333333339</v>
          </cell>
          <cell r="AF97">
            <v>49.4</v>
          </cell>
          <cell r="AG97">
            <v>11.8</v>
          </cell>
          <cell r="AI97">
            <v>47.4</v>
          </cell>
          <cell r="AU97">
            <v>93.414689526206047</v>
          </cell>
          <cell r="AV97">
            <v>93.099228883794311</v>
          </cell>
          <cell r="AX97" t="str">
            <v>R.Sookram</v>
          </cell>
        </row>
        <row r="98">
          <cell r="A98" t="str">
            <v>CA057</v>
          </cell>
          <cell r="P98">
            <v>58</v>
          </cell>
          <cell r="Q98">
            <v>5.6981132075471628</v>
          </cell>
          <cell r="T98">
            <v>0.63263888888888886</v>
          </cell>
          <cell r="U98">
            <v>0.74375000000000002</v>
          </cell>
          <cell r="V98">
            <v>54</v>
          </cell>
          <cell r="Z98">
            <v>0.39652777777777781</v>
          </cell>
          <cell r="AF98">
            <v>51.5</v>
          </cell>
          <cell r="AG98">
            <v>12</v>
          </cell>
          <cell r="AI98">
            <v>49.6</v>
          </cell>
          <cell r="AU98">
            <v>99.986346763685134</v>
          </cell>
          <cell r="AV98">
            <v>99.648802975664353</v>
          </cell>
          <cell r="AX98" t="str">
            <v>K. Benjamin</v>
          </cell>
        </row>
        <row r="99">
          <cell r="A99" t="str">
            <v>CA058</v>
          </cell>
          <cell r="P99">
            <v>60</v>
          </cell>
          <cell r="Q99">
            <v>3.0566037735849005</v>
          </cell>
          <cell r="T99">
            <v>0.74652777777777779</v>
          </cell>
          <cell r="U99">
            <v>0.85972222222222228</v>
          </cell>
          <cell r="V99">
            <v>55</v>
          </cell>
          <cell r="Z99">
            <v>0.29722222222222228</v>
          </cell>
          <cell r="AF99">
            <v>52.1</v>
          </cell>
          <cell r="AG99">
            <v>11.8</v>
          </cell>
          <cell r="AI99">
            <v>50.2</v>
          </cell>
          <cell r="AU99">
            <v>99.177482096170877</v>
          </cell>
          <cell r="AV99">
            <v>98.842614617849193</v>
          </cell>
          <cell r="AX99" t="str">
            <v>K. Benjamin</v>
          </cell>
        </row>
        <row r="100">
          <cell r="A100" t="str">
            <v>CA059</v>
          </cell>
          <cell r="P100">
            <v>60</v>
          </cell>
          <cell r="Q100">
            <v>4.2692307692307665</v>
          </cell>
          <cell r="T100">
            <v>0.3840277777777778</v>
          </cell>
          <cell r="U100">
            <v>0.5</v>
          </cell>
          <cell r="V100">
            <v>62</v>
          </cell>
          <cell r="Z100">
            <v>0.27083333333333337</v>
          </cell>
          <cell r="AF100">
            <v>52.1</v>
          </cell>
          <cell r="AG100">
            <v>11.8</v>
          </cell>
          <cell r="AI100">
            <v>49.6</v>
          </cell>
          <cell r="AU100">
            <v>97.509880366294198</v>
          </cell>
          <cell r="AV100">
            <v>97.180537401207886</v>
          </cell>
          <cell r="AX100" t="str">
            <v>R.Sookram</v>
          </cell>
        </row>
        <row r="101">
          <cell r="A101" t="str">
            <v>CA060</v>
          </cell>
          <cell r="P101">
            <v>198</v>
          </cell>
          <cell r="Q101">
            <v>2.5384615384615392</v>
          </cell>
          <cell r="T101">
            <v>0.48541666666666666</v>
          </cell>
          <cell r="U101">
            <v>0.59791666666666665</v>
          </cell>
          <cell r="V101">
            <v>58</v>
          </cell>
          <cell r="Z101">
            <v>0.27499999999999997</v>
          </cell>
          <cell r="AF101">
            <v>53.1</v>
          </cell>
          <cell r="AG101">
            <v>11.9</v>
          </cell>
          <cell r="AI101">
            <v>51.3</v>
          </cell>
          <cell r="AU101">
            <v>101.75095732104258</v>
          </cell>
          <cell r="AV101">
            <v>101.40728997309179</v>
          </cell>
          <cell r="AX101" t="str">
            <v>R.Sookram</v>
          </cell>
        </row>
        <row r="102">
          <cell r="A102" t="str">
            <v>CA061</v>
          </cell>
          <cell r="P102">
            <v>60</v>
          </cell>
          <cell r="Q102">
            <v>3.6571428571428601</v>
          </cell>
          <cell r="T102">
            <v>0.5854166666666667</v>
          </cell>
          <cell r="U102">
            <v>0.7006944444444444</v>
          </cell>
          <cell r="V102">
            <v>59</v>
          </cell>
          <cell r="Z102">
            <v>0.27361111111111108</v>
          </cell>
          <cell r="AF102">
            <v>51.3</v>
          </cell>
          <cell r="AG102">
            <v>12</v>
          </cell>
          <cell r="AI102">
            <v>49.5</v>
          </cell>
          <cell r="AU102">
            <v>99.415120817930529</v>
          </cell>
          <cell r="AV102">
            <v>99.079423833166246</v>
          </cell>
          <cell r="AX102" t="str">
            <v>R.Sookram</v>
          </cell>
        </row>
        <row r="103">
          <cell r="A103" t="str">
            <v>CA062</v>
          </cell>
          <cell r="P103">
            <v>62</v>
          </cell>
          <cell r="Q103">
            <v>3.622641509433965</v>
          </cell>
          <cell r="T103">
            <v>0.68958333333333333</v>
          </cell>
          <cell r="U103">
            <v>0.8041666666666667</v>
          </cell>
          <cell r="V103">
            <v>57</v>
          </cell>
          <cell r="Z103">
            <v>0.2729166666666667</v>
          </cell>
          <cell r="AF103">
            <v>51.8</v>
          </cell>
          <cell r="AG103">
            <v>11.9</v>
          </cell>
          <cell r="AI103">
            <v>50</v>
          </cell>
          <cell r="AU103">
            <v>99.662908503532648</v>
          </cell>
          <cell r="AV103">
            <v>99.326402008838414</v>
          </cell>
          <cell r="AX103" t="str">
            <v>K. Benjamin</v>
          </cell>
        </row>
        <row r="104">
          <cell r="A104" t="str">
            <v>CA063</v>
          </cell>
          <cell r="P104">
            <v>60</v>
          </cell>
          <cell r="Q104">
            <v>7.5706214689265598</v>
          </cell>
          <cell r="T104">
            <v>0.5708333333333333</v>
          </cell>
          <cell r="U104">
            <v>0.6958333333333333</v>
          </cell>
          <cell r="V104">
            <v>62</v>
          </cell>
          <cell r="Z104">
            <v>0.2722222222222222</v>
          </cell>
          <cell r="AF104">
            <v>49.8</v>
          </cell>
          <cell r="AG104">
            <v>12.3</v>
          </cell>
          <cell r="AI104">
            <v>47.7</v>
          </cell>
          <cell r="AU104">
            <v>96.575602446302355</v>
          </cell>
          <cell r="AV104">
            <v>97.985075246242317</v>
          </cell>
          <cell r="AX104" t="str">
            <v>R. Regis</v>
          </cell>
        </row>
        <row r="105">
          <cell r="A105" t="str">
            <v>CA064</v>
          </cell>
          <cell r="P105">
            <v>57</v>
          </cell>
          <cell r="Q105">
            <v>5.4990583804143158</v>
          </cell>
          <cell r="T105">
            <v>0.69861111111111107</v>
          </cell>
          <cell r="U105">
            <v>0.80763888888888891</v>
          </cell>
          <cell r="V105">
            <v>56</v>
          </cell>
          <cell r="Z105">
            <v>0.26250000000000007</v>
          </cell>
          <cell r="AF105">
            <v>50.9</v>
          </cell>
          <cell r="AG105">
            <v>11.9</v>
          </cell>
          <cell r="AI105">
            <v>48.9</v>
          </cell>
          <cell r="AU105">
            <v>95.507567677953077</v>
          </cell>
          <cell r="AV105">
            <v>96.901565422382689</v>
          </cell>
          <cell r="AX105" t="str">
            <v>R.Sookram</v>
          </cell>
        </row>
        <row r="106">
          <cell r="A106" t="str">
            <v>CA065</v>
          </cell>
          <cell r="P106">
            <v>59</v>
          </cell>
          <cell r="Q106">
            <v>3.6158192090395511</v>
          </cell>
          <cell r="T106">
            <v>0.79513888888888884</v>
          </cell>
          <cell r="U106">
            <v>0.92361111111111116</v>
          </cell>
          <cell r="V106">
            <v>70</v>
          </cell>
          <cell r="Z106">
            <v>0.27430555555555558</v>
          </cell>
          <cell r="AF106">
            <v>54.5</v>
          </cell>
          <cell r="AG106">
            <v>12</v>
          </cell>
          <cell r="AI106">
            <v>49.4</v>
          </cell>
          <cell r="AU106">
            <v>97.819710364525065</v>
          </cell>
          <cell r="AV106">
            <v>99.246993286246351</v>
          </cell>
          <cell r="AX106" t="str">
            <v>R.Sookram</v>
          </cell>
        </row>
        <row r="107">
          <cell r="A107" t="str">
            <v>CA066</v>
          </cell>
          <cell r="P107">
            <v>57</v>
          </cell>
          <cell r="Q107">
            <v>101.35593220338983</v>
          </cell>
          <cell r="T107">
            <v>0.89861111111111114</v>
          </cell>
          <cell r="U107">
            <v>1.0194444444444444</v>
          </cell>
          <cell r="V107">
            <v>61</v>
          </cell>
          <cell r="Z107">
            <v>0.26944444444444438</v>
          </cell>
          <cell r="AG107">
            <v>11.7</v>
          </cell>
          <cell r="AI107">
            <v>49.4</v>
          </cell>
          <cell r="AU107">
            <v>93.737546450558312</v>
          </cell>
          <cell r="AV107">
            <v>95.106690097525984</v>
          </cell>
          <cell r="AX107" t="str">
            <v>R.Sookram</v>
          </cell>
        </row>
        <row r="108">
          <cell r="A108" t="str">
            <v>CA067</v>
          </cell>
          <cell r="P108">
            <v>61</v>
          </cell>
          <cell r="Q108">
            <v>4.7547169811320682</v>
          </cell>
          <cell r="T108">
            <v>1.1041666666666667</v>
          </cell>
          <cell r="U108">
            <v>1.23125</v>
          </cell>
          <cell r="V108">
            <v>57</v>
          </cell>
          <cell r="Z108">
            <v>0.2763888888888888</v>
          </cell>
          <cell r="AF108">
            <v>52</v>
          </cell>
          <cell r="AG108">
            <v>11.9</v>
          </cell>
          <cell r="AI108">
            <v>49.5</v>
          </cell>
          <cell r="AU108">
            <v>96.679439674001571</v>
          </cell>
          <cell r="AV108">
            <v>98.090541685234015</v>
          </cell>
          <cell r="AX108" t="str">
            <v>K. Benjamin</v>
          </cell>
        </row>
        <row r="109">
          <cell r="A109" t="str">
            <v>CA068</v>
          </cell>
          <cell r="P109">
            <v>61</v>
          </cell>
          <cell r="Q109">
            <v>5.8867924528301838</v>
          </cell>
          <cell r="T109">
            <v>0.25</v>
          </cell>
          <cell r="U109">
            <v>0.37361111111111112</v>
          </cell>
          <cell r="V109">
            <v>58</v>
          </cell>
          <cell r="Z109">
            <v>0.26944444444444443</v>
          </cell>
          <cell r="AF109">
            <v>51.4</v>
          </cell>
          <cell r="AG109">
            <v>12</v>
          </cell>
          <cell r="AI109">
            <v>49.5</v>
          </cell>
          <cell r="AU109">
            <v>96.344074013646235</v>
          </cell>
          <cell r="AV109">
            <v>97.751399581433091</v>
          </cell>
          <cell r="AX109" t="str">
            <v>K. Benjamin</v>
          </cell>
        </row>
        <row r="110">
          <cell r="A110" t="str">
            <v>CA069</v>
          </cell>
          <cell r="P110">
            <v>60</v>
          </cell>
          <cell r="Q110">
            <v>3.4274952919020718</v>
          </cell>
          <cell r="T110">
            <v>0.3576388888888889</v>
          </cell>
          <cell r="U110">
            <v>0.47222222222222221</v>
          </cell>
          <cell r="V110">
            <v>61</v>
          </cell>
          <cell r="Z110">
            <v>0.27083333333333331</v>
          </cell>
          <cell r="AF110">
            <v>52</v>
          </cell>
          <cell r="AG110">
            <v>11.9</v>
          </cell>
          <cell r="AI110">
            <v>50.2</v>
          </cell>
          <cell r="AU110">
            <v>96.969073122994232</v>
          </cell>
          <cell r="AV110">
            <v>98.385416898204056</v>
          </cell>
          <cell r="AX110" t="str">
            <v>R. Regis</v>
          </cell>
        </row>
        <row r="111">
          <cell r="A111" t="str">
            <v>CA070</v>
          </cell>
          <cell r="P111">
            <v>60</v>
          </cell>
          <cell r="Q111">
            <v>6.0640301318267396</v>
          </cell>
          <cell r="T111">
            <v>0.47638888888888886</v>
          </cell>
          <cell r="U111">
            <v>0.6118055555555556</v>
          </cell>
          <cell r="V111">
            <v>62</v>
          </cell>
          <cell r="Z111">
            <v>0.27847222222222229</v>
          </cell>
          <cell r="AF111">
            <v>52.7</v>
          </cell>
          <cell r="AG111">
            <v>12</v>
          </cell>
          <cell r="AI111">
            <v>49.7</v>
          </cell>
          <cell r="AU111">
            <v>98.413757188601139</v>
          </cell>
          <cell r="AV111">
            <v>99.849707820373368</v>
          </cell>
          <cell r="AX111" t="str">
            <v>R. Regis</v>
          </cell>
        </row>
        <row r="112">
          <cell r="A112" t="str">
            <v>CA071</v>
          </cell>
          <cell r="P112">
            <v>57</v>
          </cell>
          <cell r="Q112">
            <v>5.8757062146892611</v>
          </cell>
          <cell r="T112">
            <v>0.82916666666666672</v>
          </cell>
          <cell r="U112">
            <v>0.9458333333333333</v>
          </cell>
          <cell r="V112">
            <v>58</v>
          </cell>
          <cell r="Z112">
            <v>0.42499999999999993</v>
          </cell>
          <cell r="AF112">
            <v>50.7</v>
          </cell>
          <cell r="AG112">
            <v>11.8</v>
          </cell>
          <cell r="AI112">
            <v>49.9</v>
          </cell>
          <cell r="AU112">
            <v>96.361633561905379</v>
          </cell>
          <cell r="AV112">
            <v>97.768322909682936</v>
          </cell>
          <cell r="AX112" t="str">
            <v>R.Sookram</v>
          </cell>
        </row>
        <row r="113">
          <cell r="A113" t="str">
            <v>CA072</v>
          </cell>
          <cell r="P113">
            <v>58</v>
          </cell>
          <cell r="Q113">
            <v>4.9340866290018788</v>
          </cell>
          <cell r="T113">
            <v>0.96736111111111112</v>
          </cell>
          <cell r="U113">
            <v>1.0833333333333333</v>
          </cell>
          <cell r="V113">
            <v>60</v>
          </cell>
          <cell r="Z113">
            <v>0.26597222222222217</v>
          </cell>
          <cell r="AF113">
            <v>52.4</v>
          </cell>
          <cell r="AG113">
            <v>11.8</v>
          </cell>
          <cell r="AI113">
            <v>50.5</v>
          </cell>
          <cell r="AU113">
            <v>97.5202904784814</v>
          </cell>
          <cell r="AV113">
            <v>98.943893926633024</v>
          </cell>
          <cell r="AX113" t="str">
            <v>R.Sookram</v>
          </cell>
        </row>
        <row r="114">
          <cell r="A114" t="str">
            <v>CA073</v>
          </cell>
          <cell r="P114">
            <v>57</v>
          </cell>
          <cell r="Q114">
            <v>4.7457627118644128</v>
          </cell>
          <cell r="T114">
            <v>1.0631944444444446</v>
          </cell>
          <cell r="U114">
            <v>1.1736111111111112</v>
          </cell>
          <cell r="V114">
            <v>62</v>
          </cell>
          <cell r="Z114">
            <v>0.26736111111111116</v>
          </cell>
          <cell r="AF114">
            <v>51.3</v>
          </cell>
          <cell r="AG114">
            <v>12</v>
          </cell>
          <cell r="AI114">
            <v>49.6</v>
          </cell>
          <cell r="AU114">
            <v>97.851490534465384</v>
          </cell>
          <cell r="AV114">
            <v>99.279584285354446</v>
          </cell>
          <cell r="AX114" t="str">
            <v>R.Sookram</v>
          </cell>
        </row>
        <row r="115">
          <cell r="A115" t="str">
            <v>CA074</v>
          </cell>
          <cell r="P115">
            <v>57</v>
          </cell>
          <cell r="Q115">
            <v>3.992467043314496</v>
          </cell>
          <cell r="T115">
            <v>1.1576388888888889</v>
          </cell>
          <cell r="U115">
            <v>1.2756944444444445</v>
          </cell>
          <cell r="V115">
            <v>59</v>
          </cell>
          <cell r="Z115">
            <v>0.2729166666666667</v>
          </cell>
          <cell r="AF115">
            <v>51.7</v>
          </cell>
          <cell r="AG115">
            <v>11.8</v>
          </cell>
          <cell r="AI115">
            <v>50.2</v>
          </cell>
          <cell r="AU115">
            <v>96.702752232561977</v>
          </cell>
          <cell r="AV115">
            <v>98.114646857467719</v>
          </cell>
          <cell r="AX115" t="str">
            <v>R.Sookram</v>
          </cell>
        </row>
        <row r="116">
          <cell r="A116" t="str">
            <v>CA075</v>
          </cell>
          <cell r="P116">
            <v>62</v>
          </cell>
          <cell r="Q116">
            <v>3.2391713747645925</v>
          </cell>
          <cell r="T116">
            <v>0.36249999999999999</v>
          </cell>
          <cell r="U116">
            <v>0.47847222222222224</v>
          </cell>
          <cell r="V116">
            <v>61</v>
          </cell>
          <cell r="Z116">
            <v>0.26319444444444445</v>
          </cell>
          <cell r="AF116">
            <v>52.1</v>
          </cell>
          <cell r="AG116">
            <v>11.9</v>
          </cell>
          <cell r="AI116">
            <v>49.1</v>
          </cell>
          <cell r="AU116">
            <v>96.254729187993746</v>
          </cell>
          <cell r="AV116">
            <v>97.65929164332654</v>
          </cell>
          <cell r="AX116" t="str">
            <v>D. Gomaz</v>
          </cell>
        </row>
        <row r="117">
          <cell r="A117" t="str">
            <v>CA076</v>
          </cell>
          <cell r="P117">
            <v>60</v>
          </cell>
          <cell r="Q117">
            <v>4.1807909604519748</v>
          </cell>
          <cell r="T117">
            <v>0.45277777777777778</v>
          </cell>
          <cell r="U117">
            <v>0.56458333333333333</v>
          </cell>
          <cell r="V117">
            <v>63</v>
          </cell>
          <cell r="Z117">
            <v>0.25902777777777775</v>
          </cell>
          <cell r="AF117">
            <v>51.6</v>
          </cell>
          <cell r="AG117">
            <v>11.9</v>
          </cell>
          <cell r="AI117">
            <v>50.1</v>
          </cell>
          <cell r="AU117">
            <v>98.215110637851069</v>
          </cell>
          <cell r="AV117">
            <v>99.648279253170273</v>
          </cell>
          <cell r="AX117" t="str">
            <v>D. Gomaz</v>
          </cell>
        </row>
        <row r="118">
          <cell r="A118" t="str">
            <v>CA077</v>
          </cell>
          <cell r="P118">
            <v>60</v>
          </cell>
          <cell r="Q118">
            <v>4.5574387947269335</v>
          </cell>
          <cell r="T118">
            <v>0.54513888888888884</v>
          </cell>
          <cell r="U118">
            <v>0.66111111111111109</v>
          </cell>
          <cell r="V118">
            <v>66</v>
          </cell>
          <cell r="Z118">
            <v>0.2583333333333333</v>
          </cell>
          <cell r="AF118">
            <v>51.4</v>
          </cell>
          <cell r="AG118">
            <v>11.7</v>
          </cell>
          <cell r="AI118">
            <v>49.8</v>
          </cell>
          <cell r="AU118">
            <v>95.664747463751866</v>
          </cell>
          <cell r="AV118">
            <v>97.060926789045283</v>
          </cell>
          <cell r="AX118" t="str">
            <v>D. Gomaz</v>
          </cell>
        </row>
        <row r="119">
          <cell r="A119" t="str">
            <v>CA078</v>
          </cell>
          <cell r="P119">
            <v>59</v>
          </cell>
          <cell r="Q119">
            <v>4.7457627118644128</v>
          </cell>
          <cell r="T119">
            <v>0.64583333333333337</v>
          </cell>
          <cell r="U119">
            <v>0.75486111111111109</v>
          </cell>
          <cell r="V119">
            <v>61</v>
          </cell>
          <cell r="Z119">
            <v>0.25486111111111109</v>
          </cell>
          <cell r="AF119">
            <v>51.3</v>
          </cell>
          <cell r="AG119">
            <v>11.7</v>
          </cell>
          <cell r="AI119">
            <v>49.7</v>
          </cell>
          <cell r="AU119">
            <v>95.472649577278474</v>
          </cell>
          <cell r="AV119">
            <v>96.866025329629522</v>
          </cell>
          <cell r="AX119" t="str">
            <v>D. Gomaz</v>
          </cell>
        </row>
        <row r="120">
          <cell r="A120" t="str">
            <v>CA079</v>
          </cell>
          <cell r="P120">
            <v>57</v>
          </cell>
          <cell r="Q120">
            <v>7.7589453860640258</v>
          </cell>
          <cell r="T120">
            <v>0.80625000000000002</v>
          </cell>
          <cell r="U120">
            <v>0.9375</v>
          </cell>
          <cell r="V120">
            <v>65</v>
          </cell>
          <cell r="Z120">
            <v>0.27083333333333337</v>
          </cell>
          <cell r="AF120">
            <v>49.7</v>
          </cell>
          <cell r="AG120">
            <v>11.8</v>
          </cell>
          <cell r="AI120">
            <v>47.9</v>
          </cell>
          <cell r="AU120">
            <v>92.499443839985332</v>
          </cell>
          <cell r="AV120">
            <v>93.849752853182622</v>
          </cell>
          <cell r="AX120" t="str">
            <v>G.Mason</v>
          </cell>
        </row>
        <row r="121">
          <cell r="A121" t="str">
            <v>CA080</v>
          </cell>
          <cell r="P121">
            <v>57</v>
          </cell>
          <cell r="Q121">
            <v>4.7457627118644128</v>
          </cell>
          <cell r="T121">
            <v>0.90972222222222221</v>
          </cell>
          <cell r="U121">
            <v>1.0256944444444445</v>
          </cell>
          <cell r="V121">
            <v>62</v>
          </cell>
          <cell r="Z121">
            <v>0.26875000000000004</v>
          </cell>
          <cell r="AF121">
            <v>53</v>
          </cell>
          <cell r="AG121">
            <v>12</v>
          </cell>
          <cell r="AI121">
            <v>51.1</v>
          </cell>
          <cell r="AU121">
            <v>101.81766752472274</v>
          </cell>
          <cell r="AV121">
            <v>103.30267645572633</v>
          </cell>
          <cell r="AX121" t="str">
            <v>G.Mason</v>
          </cell>
        </row>
        <row r="122">
          <cell r="A122" t="str">
            <v>CA081</v>
          </cell>
          <cell r="P122">
            <v>57</v>
          </cell>
          <cell r="Q122">
            <v>4.5574387947269335</v>
          </cell>
          <cell r="T122">
            <v>1.0062500000000001</v>
          </cell>
          <cell r="U122">
            <v>1.117361111111111</v>
          </cell>
          <cell r="V122">
            <v>58</v>
          </cell>
          <cell r="Z122">
            <v>0.27013888888888882</v>
          </cell>
          <cell r="AF122">
            <v>52.3</v>
          </cell>
          <cell r="AG122">
            <v>12</v>
          </cell>
          <cell r="AI122">
            <v>50.5</v>
          </cell>
          <cell r="AU122">
            <v>99.504012001826652</v>
          </cell>
          <cell r="AV122">
            <v>100.95634056242785</v>
          </cell>
          <cell r="AX122" t="str">
            <v>G.Mason</v>
          </cell>
        </row>
        <row r="123">
          <cell r="A123" t="str">
            <v>CA082</v>
          </cell>
          <cell r="P123">
            <v>57</v>
          </cell>
          <cell r="Q123">
            <v>4.3773584905660385</v>
          </cell>
          <cell r="T123">
            <v>1.1000000000000001</v>
          </cell>
          <cell r="U123">
            <v>1.2131944444444445</v>
          </cell>
          <cell r="V123">
            <v>59</v>
          </cell>
          <cell r="Z123">
            <v>0.27569444444444446</v>
          </cell>
          <cell r="AF123">
            <v>52.7</v>
          </cell>
          <cell r="AG123">
            <v>11.9</v>
          </cell>
          <cell r="AI123">
            <v>50.9</v>
          </cell>
          <cell r="AU123">
            <v>99.783415797736893</v>
          </cell>
          <cell r="AV123">
            <v>101.23946934104522</v>
          </cell>
          <cell r="AX123" t="str">
            <v>G.Mason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Summary April '26"/>
      <sheetName val="Summary March '26"/>
      <sheetName val="Summary February '26"/>
      <sheetName val="Summary January '26"/>
      <sheetName val="Packaging"/>
    </sheetNames>
    <sheetDataSet>
      <sheetData sheetId="0"/>
      <sheetData sheetId="1"/>
      <sheetData sheetId="2"/>
      <sheetData sheetId="3"/>
      <sheetData sheetId="5"/>
      <sheetData sheetId="6">
        <row r="51">
          <cell r="A51" t="str">
            <v>ST001</v>
          </cell>
        </row>
        <row r="52">
          <cell r="A52" t="str">
            <v>ST002</v>
          </cell>
          <cell r="P52">
            <v>60</v>
          </cell>
          <cell r="Q52">
            <v>3.7980769230769256</v>
          </cell>
          <cell r="T52">
            <v>1.0152777777777777</v>
          </cell>
          <cell r="U52">
            <v>1.1694444444444445</v>
          </cell>
          <cell r="V52">
            <v>59</v>
          </cell>
          <cell r="AB52">
            <v>52</v>
          </cell>
          <cell r="AE52">
            <v>11.7</v>
          </cell>
          <cell r="AG52">
            <v>49.83</v>
          </cell>
          <cell r="AS52">
            <v>104.87426366689108</v>
          </cell>
          <cell r="AT52">
            <v>105.53949753838513</v>
          </cell>
          <cell r="AV52" t="str">
            <v>K. Benjamin</v>
          </cell>
          <cell r="AW52">
            <v>0.27361111111111114</v>
          </cell>
        </row>
        <row r="53">
          <cell r="A53" t="str">
            <v>ST003</v>
          </cell>
          <cell r="P53">
            <v>58</v>
          </cell>
          <cell r="Q53">
            <v>4.030612244897962</v>
          </cell>
          <cell r="T53">
            <v>0.67222222222222228</v>
          </cell>
          <cell r="U53">
            <v>0.81597222222222221</v>
          </cell>
          <cell r="V53">
            <v>55</v>
          </cell>
          <cell r="AB53">
            <v>49</v>
          </cell>
          <cell r="AE53">
            <v>11.6</v>
          </cell>
          <cell r="AG53">
            <v>46.1</v>
          </cell>
          <cell r="AS53">
            <v>101.76112094286238</v>
          </cell>
          <cell r="AT53">
            <v>102.39582614019567</v>
          </cell>
          <cell r="AV53" t="str">
            <v>D. Gomaz</v>
          </cell>
          <cell r="AW53">
            <v>0.3576388888888889</v>
          </cell>
        </row>
        <row r="54">
          <cell r="A54" t="str">
            <v>ST004</v>
          </cell>
          <cell r="P54">
            <v>59</v>
          </cell>
          <cell r="Q54">
            <v>4.5585412667946255</v>
          </cell>
          <cell r="T54">
            <v>1.0562499999999999</v>
          </cell>
          <cell r="U54">
            <v>1.1791666666666667</v>
          </cell>
          <cell r="V54">
            <v>56</v>
          </cell>
          <cell r="AB54">
            <v>52.1</v>
          </cell>
          <cell r="AE54">
            <v>12</v>
          </cell>
          <cell r="AG54">
            <v>47.5</v>
          </cell>
          <cell r="AS54">
            <v>95.359527283738572</v>
          </cell>
          <cell r="AT54">
            <v>95.97673752965207</v>
          </cell>
          <cell r="AV54" t="str">
            <v>R.Sookram</v>
          </cell>
          <cell r="AW54">
            <v>0.2729166666666667</v>
          </cell>
        </row>
        <row r="55">
          <cell r="A55" t="str">
            <v>ST005</v>
          </cell>
          <cell r="P55">
            <v>58</v>
          </cell>
          <cell r="Q55">
            <v>2.4472168905950067</v>
          </cell>
          <cell r="T55">
            <v>1.1618055555555555</v>
          </cell>
          <cell r="U55">
            <v>1.273611111111111</v>
          </cell>
          <cell r="V55">
            <v>59</v>
          </cell>
          <cell r="AB55">
            <v>52.1</v>
          </cell>
          <cell r="AE55">
            <v>11.9</v>
          </cell>
          <cell r="AG55">
            <v>47.5</v>
          </cell>
          <cell r="AS55">
            <v>95.527344703430927</v>
          </cell>
          <cell r="AT55">
            <v>95.254937407096733</v>
          </cell>
          <cell r="AV55" t="str">
            <v>R.Sookram</v>
          </cell>
          <cell r="AW55">
            <v>0.26319444444444429</v>
          </cell>
        </row>
        <row r="56">
          <cell r="A56" t="str">
            <v>ST006</v>
          </cell>
          <cell r="P56">
            <v>58</v>
          </cell>
          <cell r="Q56">
            <v>2.2552783109404935</v>
          </cell>
          <cell r="T56">
            <v>0.25763888888888886</v>
          </cell>
          <cell r="U56">
            <v>0.36944444444444446</v>
          </cell>
          <cell r="V56">
            <v>57</v>
          </cell>
          <cell r="AB56">
            <v>52.1</v>
          </cell>
          <cell r="AE56">
            <v>11.9</v>
          </cell>
          <cell r="AG56">
            <v>49.7</v>
          </cell>
          <cell r="AS56">
            <v>100.07660336606865</v>
          </cell>
          <cell r="AT56">
            <v>99.791316619309868</v>
          </cell>
          <cell r="AV56" t="str">
            <v>R.Sookram</v>
          </cell>
          <cell r="AW56">
            <v>0.25833333333333336</v>
          </cell>
        </row>
        <row r="57">
          <cell r="A57" t="str">
            <v>ST007</v>
          </cell>
          <cell r="P57">
            <v>60</v>
          </cell>
          <cell r="Q57">
            <v>1.6826923076923077</v>
          </cell>
          <cell r="T57">
            <v>0.35555555555555557</v>
          </cell>
          <cell r="U57">
            <v>0.47361111111111109</v>
          </cell>
          <cell r="V57">
            <v>60</v>
          </cell>
          <cell r="AB57">
            <v>52</v>
          </cell>
          <cell r="AE57">
            <v>11.8</v>
          </cell>
          <cell r="AG57">
            <v>49.9</v>
          </cell>
          <cell r="AS57">
            <v>99.467327733929991</v>
          </cell>
          <cell r="AT57">
            <v>99.183685119286963</v>
          </cell>
          <cell r="AV57" t="str">
            <v>K. Benjamin</v>
          </cell>
          <cell r="AW57">
            <v>0.2722222222222222</v>
          </cell>
        </row>
        <row r="58">
          <cell r="A58" t="str">
            <v>ST008</v>
          </cell>
          <cell r="P58">
            <v>60</v>
          </cell>
          <cell r="Q58">
            <v>1.8750000000000027</v>
          </cell>
          <cell r="T58">
            <v>0.45416666666666666</v>
          </cell>
          <cell r="U58">
            <v>0.56874999999999998</v>
          </cell>
          <cell r="V58">
            <v>58</v>
          </cell>
          <cell r="AB58">
            <v>52</v>
          </cell>
          <cell r="AE58">
            <v>11.9</v>
          </cell>
          <cell r="AG58">
            <v>49.7</v>
          </cell>
          <cell r="AS58">
            <v>99.703032511968686</v>
          </cell>
          <cell r="AT58">
            <v>99.418532572722469</v>
          </cell>
          <cell r="AV58" t="str">
            <v>K. Benjamin</v>
          </cell>
          <cell r="AW58">
            <v>0.2631944444444444</v>
          </cell>
        </row>
        <row r="59">
          <cell r="A59" t="str">
            <v>ST009</v>
          </cell>
          <cell r="P59">
            <v>59</v>
          </cell>
          <cell r="Q59">
            <v>2.0673076923076841</v>
          </cell>
          <cell r="T59">
            <v>0.5444444444444444</v>
          </cell>
          <cell r="U59">
            <v>0.68263888888888891</v>
          </cell>
          <cell r="V59">
            <v>73</v>
          </cell>
          <cell r="AB59">
            <v>52</v>
          </cell>
          <cell r="AE59">
            <v>11.7</v>
          </cell>
          <cell r="AG59">
            <v>49.6</v>
          </cell>
          <cell r="AS59">
            <v>97.74414704454891</v>
          </cell>
          <cell r="AT59">
            <v>97.465236732643319</v>
          </cell>
          <cell r="AV59" t="str">
            <v>K. Benjamin</v>
          </cell>
          <cell r="AW59">
            <v>0.28680555555555559</v>
          </cell>
        </row>
        <row r="60">
          <cell r="A60" t="str">
            <v>ST010</v>
          </cell>
          <cell r="P60">
            <v>60</v>
          </cell>
          <cell r="Q60">
            <v>1.1057692307692224</v>
          </cell>
          <cell r="T60">
            <v>0.65555555555555556</v>
          </cell>
          <cell r="U60">
            <v>0.77916666666666667</v>
          </cell>
          <cell r="V60">
            <v>75</v>
          </cell>
          <cell r="AB60">
            <v>52</v>
          </cell>
          <cell r="AE60">
            <v>11.7</v>
          </cell>
          <cell r="AG60">
            <v>49.8</v>
          </cell>
          <cell r="AS60">
            <v>98.138276669728526</v>
          </cell>
          <cell r="AT60">
            <v>97.858241719468481</v>
          </cell>
          <cell r="AV60" t="str">
            <v>D. Gomaz</v>
          </cell>
          <cell r="AW60">
            <v>0.29305555555555557</v>
          </cell>
        </row>
        <row r="61">
          <cell r="A61" t="str">
            <v>ST011</v>
          </cell>
          <cell r="P61">
            <v>61</v>
          </cell>
          <cell r="Q61">
            <v>-4.8076923076920339E-2</v>
          </cell>
          <cell r="T61">
            <v>0.75277777777777777</v>
          </cell>
          <cell r="U61">
            <v>0.875</v>
          </cell>
          <cell r="V61">
            <v>77</v>
          </cell>
          <cell r="AB61">
            <v>52</v>
          </cell>
          <cell r="AE61">
            <v>11.6</v>
          </cell>
          <cell r="AG61">
            <v>51.3</v>
          </cell>
          <cell r="AS61">
            <v>100.18497924496634</v>
          </cell>
          <cell r="AT61">
            <v>99.899104083594949</v>
          </cell>
          <cell r="AV61" t="str">
            <v>D. Gomaz</v>
          </cell>
          <cell r="AW61">
            <v>0.29513888888888884</v>
          </cell>
        </row>
        <row r="62">
          <cell r="A62" t="str">
            <v>ST012</v>
          </cell>
          <cell r="P62">
            <v>57</v>
          </cell>
          <cell r="Q62">
            <v>3.9500000000000028</v>
          </cell>
          <cell r="T62">
            <v>0.54861111111111116</v>
          </cell>
          <cell r="U62">
            <v>0.66666666666666663</v>
          </cell>
          <cell r="V62">
            <v>51</v>
          </cell>
          <cell r="AB62">
            <v>50</v>
          </cell>
          <cell r="AE62">
            <v>12</v>
          </cell>
          <cell r="AG62">
            <v>48.3</v>
          </cell>
          <cell r="AS62">
            <v>98.239543519521192</v>
          </cell>
          <cell r="AT62">
            <v>97.959585454142868</v>
          </cell>
          <cell r="AV62" t="str">
            <v>R.Sookram</v>
          </cell>
          <cell r="AW62">
            <v>0.27430555555555552</v>
          </cell>
        </row>
        <row r="63">
          <cell r="A63" t="str">
            <v>ST013</v>
          </cell>
          <cell r="P63">
            <v>60</v>
          </cell>
          <cell r="Q63">
            <v>3.6057692307692304</v>
          </cell>
          <cell r="T63">
            <v>0.65069444444444446</v>
          </cell>
          <cell r="U63">
            <v>0.77638888888888891</v>
          </cell>
          <cell r="V63">
            <v>51</v>
          </cell>
          <cell r="AB63">
            <v>52</v>
          </cell>
          <cell r="AE63">
            <v>11.8</v>
          </cell>
          <cell r="AG63">
            <v>49</v>
          </cell>
          <cell r="AS63">
            <v>98.533695545018929</v>
          </cell>
          <cell r="AT63">
            <v>98.253363096955866</v>
          </cell>
          <cell r="AV63" t="str">
            <v>K. Benjamin</v>
          </cell>
          <cell r="AW63">
            <v>0.26944444444444449</v>
          </cell>
        </row>
        <row r="64">
          <cell r="A64" t="str">
            <v>ST014</v>
          </cell>
          <cell r="P64">
            <v>60</v>
          </cell>
          <cell r="Q64">
            <v>0.33653846153845607</v>
          </cell>
          <cell r="T64">
            <v>0.74791666666666667</v>
          </cell>
          <cell r="U64">
            <v>0.87847222222222221</v>
          </cell>
          <cell r="V64">
            <v>56</v>
          </cell>
          <cell r="AB64">
            <v>52</v>
          </cell>
          <cell r="AE64">
            <v>12</v>
          </cell>
          <cell r="AG64">
            <v>52.1</v>
          </cell>
          <cell r="AS64">
            <v>106.23422780270799</v>
          </cell>
          <cell r="AT64">
            <v>105.9316861906054</v>
          </cell>
          <cell r="AV64" t="str">
            <v>K. Benjamin</v>
          </cell>
          <cell r="AW64">
            <v>0.28125</v>
          </cell>
        </row>
        <row r="65">
          <cell r="A65" t="str">
            <v>ST015</v>
          </cell>
          <cell r="P65">
            <v>63</v>
          </cell>
          <cell r="Q65">
            <v>1.1057692307692224</v>
          </cell>
          <cell r="T65">
            <v>0.86319444444444449</v>
          </cell>
          <cell r="U65">
            <v>0.98055555555555551</v>
          </cell>
          <cell r="V65">
            <v>61</v>
          </cell>
          <cell r="AB65">
            <v>52</v>
          </cell>
          <cell r="AE65">
            <v>12</v>
          </cell>
          <cell r="AG65">
            <v>49.75</v>
          </cell>
          <cell r="AS65">
            <v>101.82543081774969</v>
          </cell>
          <cell r="AT65">
            <v>101.53573324639275</v>
          </cell>
          <cell r="AV65" t="str">
            <v>K. Benjamin</v>
          </cell>
          <cell r="AW65">
            <v>0.28611111111111109</v>
          </cell>
        </row>
        <row r="66">
          <cell r="A66" t="str">
            <v>ST016</v>
          </cell>
          <cell r="P66">
            <v>61</v>
          </cell>
          <cell r="Q66">
            <v>3.9903846153846074</v>
          </cell>
          <cell r="T66">
            <v>0.28680555555555554</v>
          </cell>
          <cell r="U66">
            <v>0.41111111111111109</v>
          </cell>
          <cell r="V66">
            <v>56</v>
          </cell>
          <cell r="AB66">
            <v>52</v>
          </cell>
          <cell r="AE66">
            <v>11.6</v>
          </cell>
          <cell r="AG66">
            <v>48.6</v>
          </cell>
          <cell r="AS66">
            <v>95.866364717151924</v>
          </cell>
          <cell r="AT66">
            <v>95.593530217826483</v>
          </cell>
          <cell r="AV66" t="str">
            <v>K. Benjamin</v>
          </cell>
          <cell r="AW66">
            <v>0.2722222222222222</v>
          </cell>
        </row>
        <row r="67">
          <cell r="A67" t="str">
            <v>ST017</v>
          </cell>
          <cell r="P67">
            <v>61</v>
          </cell>
          <cell r="Q67">
            <v>3.7907869481765859</v>
          </cell>
          <cell r="T67">
            <v>0.40416666666666667</v>
          </cell>
          <cell r="U67">
            <v>0.53125</v>
          </cell>
          <cell r="V67">
            <v>58</v>
          </cell>
          <cell r="AB67">
            <v>52.1</v>
          </cell>
          <cell r="AE67">
            <v>12</v>
          </cell>
          <cell r="AG67">
            <v>50.9</v>
          </cell>
          <cell r="AS67">
            <v>103.14086541165727</v>
          </cell>
          <cell r="AT67">
            <v>102.84665137387978</v>
          </cell>
          <cell r="AV67" t="str">
            <v>R. Regis</v>
          </cell>
          <cell r="AW67">
            <v>0.29166666666666663</v>
          </cell>
        </row>
        <row r="68">
          <cell r="A68" t="str">
            <v>ST018</v>
          </cell>
          <cell r="P68">
            <v>60</v>
          </cell>
          <cell r="Q68">
            <v>3.2149712092130458</v>
          </cell>
          <cell r="T68">
            <v>0.52083333333333337</v>
          </cell>
          <cell r="U68">
            <v>0.64097222222222228</v>
          </cell>
          <cell r="V68">
            <v>59</v>
          </cell>
          <cell r="AB68">
            <v>52.1</v>
          </cell>
          <cell r="AE68">
            <v>11.7</v>
          </cell>
          <cell r="AG68">
            <v>49.8</v>
          </cell>
          <cell r="AS68">
            <v>98.629167060203699</v>
          </cell>
          <cell r="AT68">
            <v>98.348098665432886</v>
          </cell>
          <cell r="AV68" t="str">
            <v>R. Regis</v>
          </cell>
          <cell r="AW68">
            <v>0.26597222222222228</v>
          </cell>
        </row>
        <row r="69">
          <cell r="A69" t="str">
            <v>ST019</v>
          </cell>
          <cell r="P69">
            <v>57</v>
          </cell>
          <cell r="T69">
            <v>0.6333333333333333</v>
          </cell>
          <cell r="U69">
            <v>0.74652777777777779</v>
          </cell>
          <cell r="V69">
            <v>59</v>
          </cell>
          <cell r="AE69">
            <v>11.8</v>
          </cell>
          <cell r="AG69">
            <v>49.1</v>
          </cell>
          <cell r="AS69">
            <v>98.859186647542359</v>
          </cell>
          <cell r="AT69">
            <v>98.578021949844754</v>
          </cell>
          <cell r="AV69" t="str">
            <v>R.Sookram</v>
          </cell>
          <cell r="AW69">
            <v>0.25694444444444448</v>
          </cell>
        </row>
        <row r="70">
          <cell r="A70" t="str">
            <v>ST020</v>
          </cell>
          <cell r="P70">
            <v>57</v>
          </cell>
          <cell r="Q70">
            <v>4.3666026871401122</v>
          </cell>
          <cell r="T70">
            <v>0.82708333333333328</v>
          </cell>
          <cell r="U70">
            <v>0.95694444444444449</v>
          </cell>
          <cell r="V70">
            <v>59</v>
          </cell>
          <cell r="AB70">
            <v>52.1</v>
          </cell>
          <cell r="AE70">
            <v>11.7</v>
          </cell>
          <cell r="AG70">
            <v>48.7</v>
          </cell>
          <cell r="AS70">
            <v>96.813810190504412</v>
          </cell>
          <cell r="AT70">
            <v>96.538187888542865</v>
          </cell>
          <cell r="AV70" t="str">
            <v>R.Sookram</v>
          </cell>
          <cell r="AW70">
            <v>0.26944444444444449</v>
          </cell>
        </row>
        <row r="71">
          <cell r="A71" t="str">
            <v>ST021</v>
          </cell>
          <cell r="P71">
            <v>60</v>
          </cell>
          <cell r="Q71">
            <v>3.5988483685220727</v>
          </cell>
          <cell r="T71">
            <v>0.93888888888888888</v>
          </cell>
          <cell r="U71">
            <v>1.0527777777777778</v>
          </cell>
          <cell r="V71">
            <v>53</v>
          </cell>
          <cell r="AB71">
            <v>52.1</v>
          </cell>
          <cell r="AE71">
            <v>11.8</v>
          </cell>
          <cell r="AG71">
            <v>49.3</v>
          </cell>
          <cell r="AS71">
            <v>99.638493421142599</v>
          </cell>
          <cell r="AT71">
            <v>99.355397314453782</v>
          </cell>
          <cell r="AV71" t="str">
            <v>R.Sookram</v>
          </cell>
          <cell r="AW71">
            <v>0.27777777777777779</v>
          </cell>
        </row>
        <row r="72">
          <cell r="A72" t="str">
            <v>ST022</v>
          </cell>
          <cell r="P72">
            <v>63</v>
          </cell>
          <cell r="Q72">
            <v>2.0673076923076841</v>
          </cell>
          <cell r="T72">
            <v>1.0291666666666666</v>
          </cell>
          <cell r="U72">
            <v>1.1451388888888889</v>
          </cell>
          <cell r="V72">
            <v>52</v>
          </cell>
          <cell r="AB72">
            <v>52</v>
          </cell>
          <cell r="AE72">
            <v>11.8</v>
          </cell>
          <cell r="AG72">
            <v>50.1</v>
          </cell>
          <cell r="AS72">
            <v>99.741578008131555</v>
          </cell>
          <cell r="AT72">
            <v>99.457060593206364</v>
          </cell>
          <cell r="AV72" t="str">
            <v>K. Benjamin</v>
          </cell>
          <cell r="AW72">
            <v>0.27361111111111114</v>
          </cell>
        </row>
        <row r="73">
          <cell r="A73" t="str">
            <v>ST023</v>
          </cell>
          <cell r="P73">
            <v>60</v>
          </cell>
          <cell r="Q73">
            <v>1.1057692307692224</v>
          </cell>
          <cell r="T73">
            <v>1.1263888888888889</v>
          </cell>
          <cell r="U73">
            <v>1.2402777777777778</v>
          </cell>
          <cell r="V73">
            <v>53</v>
          </cell>
          <cell r="AB73">
            <v>52</v>
          </cell>
          <cell r="AE73">
            <v>11.8</v>
          </cell>
          <cell r="AG73">
            <v>50.4</v>
          </cell>
          <cell r="AS73">
            <v>100.21398306039248</v>
          </cell>
          <cell r="AT73">
            <v>99.928025137408738</v>
          </cell>
          <cell r="AV73" t="str">
            <v>K. Benjamin</v>
          </cell>
          <cell r="AW73">
            <v>0.2680555555555556</v>
          </cell>
        </row>
        <row r="74">
          <cell r="A74" t="str">
            <v>ST024</v>
          </cell>
          <cell r="P74">
            <v>58</v>
          </cell>
          <cell r="Q74">
            <v>3.0288461538461453</v>
          </cell>
          <cell r="T74">
            <v>0.27083333333333331</v>
          </cell>
          <cell r="U74">
            <v>0.39444444444444443</v>
          </cell>
          <cell r="V74">
            <v>56</v>
          </cell>
          <cell r="AB74">
            <v>52</v>
          </cell>
          <cell r="AE74">
            <v>11.6</v>
          </cell>
          <cell r="AG74">
            <v>49.6</v>
          </cell>
          <cell r="AS74">
            <v>95.650862133364953</v>
          </cell>
          <cell r="AT74">
            <v>96.829754609428889</v>
          </cell>
          <cell r="AV74" t="str">
            <v>K. Benjamin</v>
          </cell>
          <cell r="AW74">
            <v>0.26944444444444443</v>
          </cell>
        </row>
        <row r="75">
          <cell r="A75" t="str">
            <v>ST025</v>
          </cell>
          <cell r="P75">
            <v>60</v>
          </cell>
          <cell r="Q75">
            <v>3.7907869481765859</v>
          </cell>
          <cell r="T75">
            <v>0.37569444444444444</v>
          </cell>
          <cell r="U75">
            <v>0.4909722222222222</v>
          </cell>
          <cell r="V75">
            <v>56</v>
          </cell>
          <cell r="AB75">
            <v>52.1</v>
          </cell>
          <cell r="AE75">
            <v>11.9</v>
          </cell>
          <cell r="AG75">
            <v>49.1</v>
          </cell>
          <cell r="AS75">
            <v>98.001099487384138</v>
          </cell>
          <cell r="AT75">
            <v>99.206574608011522</v>
          </cell>
          <cell r="AV75" t="str">
            <v>R. Regis</v>
          </cell>
          <cell r="AW75">
            <v>0.26874999999999999</v>
          </cell>
        </row>
        <row r="76">
          <cell r="A76" t="str">
            <v>ST026</v>
          </cell>
          <cell r="P76">
            <v>60</v>
          </cell>
          <cell r="Q76">
            <v>5.1442307692307638</v>
          </cell>
          <cell r="T76">
            <v>0.50555555555555554</v>
          </cell>
          <cell r="U76">
            <v>0.62430555555555556</v>
          </cell>
          <cell r="V76">
            <v>56</v>
          </cell>
          <cell r="AB76">
            <v>52</v>
          </cell>
          <cell r="AE76">
            <v>11.8</v>
          </cell>
          <cell r="AG76">
            <v>49.7</v>
          </cell>
          <cell r="AS76">
            <v>97.461393370976353</v>
          </cell>
          <cell r="AT76">
            <v>98.662992245156801</v>
          </cell>
          <cell r="AV76" t="str">
            <v>R. Regis</v>
          </cell>
          <cell r="AW76">
            <v>0.27013888888888887</v>
          </cell>
        </row>
        <row r="77">
          <cell r="A77" t="str">
            <v>ST027</v>
          </cell>
          <cell r="P77">
            <v>63</v>
          </cell>
          <cell r="Q77">
            <v>2.8310940499040331</v>
          </cell>
          <cell r="T77">
            <v>0.62361111111111112</v>
          </cell>
          <cell r="U77">
            <v>0.7416666666666667</v>
          </cell>
          <cell r="V77">
            <v>60</v>
          </cell>
          <cell r="AB77">
            <v>52.1</v>
          </cell>
          <cell r="AE77">
            <v>11.9</v>
          </cell>
          <cell r="AG77">
            <v>49.6</v>
          </cell>
          <cell r="AS77">
            <v>98.255217290461545</v>
          </cell>
          <cell r="AT77">
            <v>99.466208324042057</v>
          </cell>
          <cell r="AV77" t="str">
            <v>R. Regis</v>
          </cell>
          <cell r="AW77">
            <v>0.26250000000000001</v>
          </cell>
        </row>
        <row r="78">
          <cell r="A78" t="str">
            <v>ST028</v>
          </cell>
          <cell r="P78">
            <v>57</v>
          </cell>
          <cell r="Q78">
            <v>5.326295585412665</v>
          </cell>
          <cell r="T78">
            <v>0.83194444444444449</v>
          </cell>
          <cell r="U78">
            <v>0.96458333333333335</v>
          </cell>
          <cell r="V78">
            <v>60</v>
          </cell>
          <cell r="AB78">
            <v>52.1</v>
          </cell>
          <cell r="AE78">
            <v>11.9</v>
          </cell>
          <cell r="AG78">
            <v>50</v>
          </cell>
          <cell r="AS78">
            <v>99.546243435804755</v>
          </cell>
          <cell r="AT78">
            <v>100.77153601851514</v>
          </cell>
          <cell r="AV78" t="str">
            <v>R.Sookram</v>
          </cell>
          <cell r="AW78">
            <v>0.28749999999999998</v>
          </cell>
        </row>
        <row r="79">
          <cell r="A79" t="str">
            <v>ST029</v>
          </cell>
          <cell r="P79">
            <v>59</v>
          </cell>
          <cell r="Q79">
            <v>3.5988483685220727</v>
          </cell>
          <cell r="T79">
            <v>0.92500000000000004</v>
          </cell>
          <cell r="U79">
            <v>1.0402777777777779</v>
          </cell>
          <cell r="V79">
            <v>58</v>
          </cell>
          <cell r="AB79">
            <v>52.1</v>
          </cell>
          <cell r="AE79">
            <v>11.9</v>
          </cell>
          <cell r="AG79">
            <v>49.7</v>
          </cell>
          <cell r="AS79">
            <v>98.33017402501261</v>
          </cell>
          <cell r="AT79">
            <v>99.542484072301647</v>
          </cell>
          <cell r="AV79" t="str">
            <v>R.Sookram</v>
          </cell>
          <cell r="AW79">
            <v>0.2729166666666667</v>
          </cell>
        </row>
        <row r="80">
          <cell r="A80" t="str">
            <v>ST030</v>
          </cell>
          <cell r="P80">
            <v>46</v>
          </cell>
          <cell r="Q80">
            <v>3.9903846153846074</v>
          </cell>
          <cell r="T80">
            <v>1.0180555555555555</v>
          </cell>
          <cell r="U80">
            <v>1.1375</v>
          </cell>
          <cell r="V80">
            <v>53</v>
          </cell>
          <cell r="AB80">
            <v>52</v>
          </cell>
          <cell r="AE80">
            <v>12.1</v>
          </cell>
          <cell r="AG80">
            <v>48.9</v>
          </cell>
          <cell r="AS80">
            <v>98.333997846966298</v>
          </cell>
          <cell r="AT80">
            <v>99.546749244630277</v>
          </cell>
          <cell r="AV80" t="str">
            <v>K. Benjamin</v>
          </cell>
          <cell r="AW80">
            <v>0.26597222222222217</v>
          </cell>
        </row>
        <row r="81">
          <cell r="A81" t="str">
            <v>ST031</v>
          </cell>
          <cell r="P81">
            <v>61</v>
          </cell>
          <cell r="Q81">
            <v>2.6442307692307692</v>
          </cell>
          <cell r="T81">
            <v>1.125</v>
          </cell>
          <cell r="U81">
            <v>1.2375</v>
          </cell>
          <cell r="V81">
            <v>52</v>
          </cell>
          <cell r="AB81">
            <v>52</v>
          </cell>
          <cell r="AE81">
            <v>11.9</v>
          </cell>
          <cell r="AG81">
            <v>49.6</v>
          </cell>
          <cell r="AS81">
            <v>94.60432549058099</v>
          </cell>
          <cell r="AT81">
            <v>95.767243319910293</v>
          </cell>
          <cell r="AV81" t="str">
            <v>K. Benjamin</v>
          </cell>
          <cell r="AW81">
            <v>0.26527777777777783</v>
          </cell>
        </row>
        <row r="82">
          <cell r="AS82">
            <v>99.025209415013663</v>
          </cell>
        </row>
        <row r="83">
          <cell r="AS83">
            <v>94.60432549058099</v>
          </cell>
        </row>
        <row r="84">
          <cell r="AS84">
            <v>99.47104784488721</v>
          </cell>
        </row>
        <row r="85">
          <cell r="AS85">
            <v>99.198378090715636</v>
          </cell>
        </row>
        <row r="86">
          <cell r="AS86">
            <v>98.651407682761771</v>
          </cell>
        </row>
        <row r="87">
          <cell r="AS87">
            <v>95.500399540574435</v>
          </cell>
        </row>
        <row r="88">
          <cell r="AS88">
            <v>97.387098904762667</v>
          </cell>
        </row>
        <row r="89">
          <cell r="AS89">
            <v>93.977530506802793</v>
          </cell>
        </row>
        <row r="90">
          <cell r="AS90">
            <v>103.98288970906668</v>
          </cell>
        </row>
        <row r="91">
          <cell r="AS91">
            <v>95.88635207026536</v>
          </cell>
        </row>
        <row r="92">
          <cell r="AS92">
            <v>97.555318567088662</v>
          </cell>
        </row>
        <row r="93">
          <cell r="AS93">
            <v>98.651407682761771</v>
          </cell>
        </row>
        <row r="94">
          <cell r="AS94">
            <v>98.885347309806249</v>
          </cell>
        </row>
        <row r="95">
          <cell r="AS95">
            <v>97.116026980207323</v>
          </cell>
        </row>
        <row r="96">
          <cell r="AS96">
            <v>98.047046969958473</v>
          </cell>
        </row>
        <row r="97">
          <cell r="AS97">
            <v>98.368823692109089</v>
          </cell>
        </row>
        <row r="98">
          <cell r="AS98">
            <v>96.689071563521296</v>
          </cell>
        </row>
        <row r="99">
          <cell r="AS99">
            <v>99.344647215577908</v>
          </cell>
        </row>
        <row r="100">
          <cell r="AS100">
            <v>99.146354506564776</v>
          </cell>
        </row>
        <row r="101">
          <cell r="AS101">
            <v>96.667077258035434</v>
          </cell>
        </row>
        <row r="102">
          <cell r="AS102">
            <v>97.440413876099711</v>
          </cell>
        </row>
        <row r="103">
          <cell r="AS103">
            <v>98.7497690885385</v>
          </cell>
        </row>
        <row r="104">
          <cell r="AS104">
            <v>99.321694799161747</v>
          </cell>
        </row>
        <row r="105">
          <cell r="AS105">
            <v>100.46208508570412</v>
          </cell>
        </row>
        <row r="106">
          <cell r="AS106">
            <v>100.43231059698405</v>
          </cell>
        </row>
        <row r="107">
          <cell r="AS107">
            <v>95.835506022405141</v>
          </cell>
        </row>
        <row r="108">
          <cell r="AS108">
            <v>96.762123724352961</v>
          </cell>
        </row>
        <row r="109">
          <cell r="AS109">
            <v>99.760146592752164</v>
          </cell>
        </row>
        <row r="110">
          <cell r="AS110">
            <v>111.40726919026143</v>
          </cell>
        </row>
        <row r="111">
          <cell r="AS111">
            <v>93.624091427861956</v>
          </cell>
        </row>
        <row r="112">
          <cell r="AS112">
            <v>99.584274797583333</v>
          </cell>
        </row>
        <row r="113">
          <cell r="AS113">
            <v>99.70978306370283</v>
          </cell>
        </row>
        <row r="114">
          <cell r="AS114">
            <v>97.110300140907029</v>
          </cell>
        </row>
        <row r="115">
          <cell r="AS115">
            <v>92.705086039935708</v>
          </cell>
        </row>
        <row r="116">
          <cell r="AS116">
            <v>97.080519007256299</v>
          </cell>
        </row>
        <row r="117">
          <cell r="AS117">
            <v>97.541311782322396</v>
          </cell>
        </row>
        <row r="118">
          <cell r="AS118">
            <v>97.594273454571933</v>
          </cell>
        </row>
        <row r="119">
          <cell r="AS119">
            <v>92.293331261823425</v>
          </cell>
        </row>
        <row r="120">
          <cell r="AS120">
            <v>97.343784830508056</v>
          </cell>
        </row>
        <row r="121">
          <cell r="AS121">
            <v>96.622655969201077</v>
          </cell>
        </row>
        <row r="122">
          <cell r="AS122">
            <v>99.627850959740556</v>
          </cell>
        </row>
        <row r="123">
          <cell r="AS123">
            <v>95.822053579237433</v>
          </cell>
        </row>
        <row r="124">
          <cell r="AS124">
            <v>92.078533418077527</v>
          </cell>
        </row>
        <row r="125">
          <cell r="AS125">
            <v>91.706323721321553</v>
          </cell>
        </row>
        <row r="126">
          <cell r="AS126">
            <v>97.990435086817186</v>
          </cell>
        </row>
        <row r="127">
          <cell r="AS127">
            <v>98.099792913221961</v>
          </cell>
        </row>
        <row r="128">
          <cell r="AS128">
            <v>97.016230942599037</v>
          </cell>
        </row>
        <row r="129">
          <cell r="AS129">
            <v>97.224790380282329</v>
          </cell>
        </row>
        <row r="130">
          <cell r="AS130">
            <v>100.12446085425042</v>
          </cell>
        </row>
        <row r="131">
          <cell r="AS131">
            <v>97.065060568710209</v>
          </cell>
        </row>
        <row r="132">
          <cell r="AS132">
            <v>99.975893759521298</v>
          </cell>
        </row>
        <row r="133">
          <cell r="AS133">
            <v>97.744854170435261</v>
          </cell>
        </row>
        <row r="134">
          <cell r="AS134">
            <v>97.537234970496229</v>
          </cell>
        </row>
        <row r="135">
          <cell r="AS135">
            <v>100.40321390300859</v>
          </cell>
        </row>
        <row r="136">
          <cell r="AS136">
            <v>96.434077770876058</v>
          </cell>
        </row>
        <row r="137">
          <cell r="AS137">
            <v>98.484252856431482</v>
          </cell>
        </row>
        <row r="138">
          <cell r="AS138">
            <v>95.389217922687735</v>
          </cell>
        </row>
        <row r="139">
          <cell r="AS139">
            <v>99.224351098396042</v>
          </cell>
        </row>
        <row r="140">
          <cell r="AS140">
            <v>99.32353232094539</v>
          </cell>
        </row>
        <row r="141">
          <cell r="AS141">
            <v>98.997632648360266</v>
          </cell>
        </row>
        <row r="142">
          <cell r="AS142">
            <v>97.463760265996399</v>
          </cell>
        </row>
        <row r="143">
          <cell r="AS143">
            <v>98.264063319970077</v>
          </cell>
        </row>
        <row r="144">
          <cell r="AS144">
            <v>98.548192719950322</v>
          </cell>
        </row>
        <row r="145">
          <cell r="AS145">
            <v>98.823429599635432</v>
          </cell>
        </row>
        <row r="146">
          <cell r="AS146">
            <v>100.44128447905582</v>
          </cell>
        </row>
        <row r="147">
          <cell r="AS147">
            <v>99.541673683507312</v>
          </cell>
        </row>
        <row r="148">
          <cell r="AS148">
            <v>98.983156674800313</v>
          </cell>
        </row>
        <row r="149">
          <cell r="AS149">
            <v>98.87270268473425</v>
          </cell>
        </row>
        <row r="150">
          <cell r="AS150">
            <v>93.677898473705298</v>
          </cell>
        </row>
        <row r="151">
          <cell r="AS151">
            <v>96.09626744823305</v>
          </cell>
        </row>
        <row r="152">
          <cell r="AS152">
            <v>97.393225185801398</v>
          </cell>
        </row>
        <row r="153">
          <cell r="AS153">
            <v>99.51827092226965</v>
          </cell>
        </row>
        <row r="154">
          <cell r="AS154">
            <v>98.297037775048096</v>
          </cell>
        </row>
        <row r="155">
          <cell r="AS155">
            <v>98.699180649962642</v>
          </cell>
        </row>
        <row r="156">
          <cell r="AS156">
            <v>99.709379094868325</v>
          </cell>
        </row>
        <row r="157">
          <cell r="AS157">
            <v>99.20510217019843</v>
          </cell>
        </row>
        <row r="158">
          <cell r="AS158">
            <v>95.967564626079536</v>
          </cell>
        </row>
        <row r="159">
          <cell r="AS159">
            <v>99.038293072120226</v>
          </cell>
        </row>
        <row r="160">
          <cell r="AS160">
            <v>100.88509268187487</v>
          </cell>
        </row>
        <row r="161">
          <cell r="AS161">
            <v>100.27544662459104</v>
          </cell>
        </row>
        <row r="162">
          <cell r="AS162">
            <v>97.783409002966863</v>
          </cell>
        </row>
        <row r="163">
          <cell r="AS163">
            <v>99.181519714228756</v>
          </cell>
        </row>
        <row r="164">
          <cell r="AS164">
            <v>99.254628474405266</v>
          </cell>
        </row>
        <row r="165">
          <cell r="AS165">
            <v>99.821646060237796</v>
          </cell>
        </row>
        <row r="166">
          <cell r="AS166">
            <v>100.23336840295755</v>
          </cell>
        </row>
        <row r="167">
          <cell r="AS167">
            <v>99.224984415000222</v>
          </cell>
        </row>
        <row r="168">
          <cell r="AS168">
            <v>97.991392065284458</v>
          </cell>
        </row>
        <row r="169">
          <cell r="AS169">
            <v>98.754567210015793</v>
          </cell>
        </row>
        <row r="170">
          <cell r="AS170">
            <v>95.102929375307482</v>
          </cell>
        </row>
        <row r="171">
          <cell r="AS171">
            <v>99.584274797583333</v>
          </cell>
        </row>
        <row r="172">
          <cell r="AS172">
            <v>99.459082097726125</v>
          </cell>
        </row>
        <row r="173">
          <cell r="AS173">
            <v>99.987853202533756</v>
          </cell>
        </row>
        <row r="174">
          <cell r="AS174">
            <v>99.844431138440441</v>
          </cell>
        </row>
        <row r="175">
          <cell r="AS175">
            <v>99.739560847146265</v>
          </cell>
        </row>
        <row r="176">
          <cell r="AS176">
            <v>99.897261798186378</v>
          </cell>
        </row>
        <row r="177">
          <cell r="AS177">
            <v>97.867313690154518</v>
          </cell>
        </row>
        <row r="178">
          <cell r="AS178">
            <v>98.618699043994994</v>
          </cell>
        </row>
        <row r="179">
          <cell r="AS179">
            <v>95.736023506245473</v>
          </cell>
        </row>
        <row r="180">
          <cell r="AS180">
            <v>100.19206739033324</v>
          </cell>
        </row>
        <row r="181">
          <cell r="AS181">
            <v>99.586066982730401</v>
          </cell>
        </row>
        <row r="182">
          <cell r="AS182">
            <v>98.561767031560422</v>
          </cell>
        </row>
        <row r="183">
          <cell r="AS183">
            <v>101.12796978064378</v>
          </cell>
        </row>
        <row r="184">
          <cell r="AS184">
            <v>99.627882297480085</v>
          </cell>
        </row>
        <row r="185">
          <cell r="AS185">
            <v>100.02480613133456</v>
          </cell>
        </row>
        <row r="186">
          <cell r="AS186">
            <v>99.841325706523776</v>
          </cell>
        </row>
        <row r="187">
          <cell r="AS187">
            <v>100.1514729514243</v>
          </cell>
        </row>
        <row r="188">
          <cell r="AS188">
            <v>99.841325706523776</v>
          </cell>
        </row>
        <row r="189">
          <cell r="AS189">
            <v>95.909461222197507</v>
          </cell>
        </row>
        <row r="190">
          <cell r="AS190">
            <v>100.38900800837614</v>
          </cell>
        </row>
        <row r="191">
          <cell r="AS191">
            <v>100.11551319871461</v>
          </cell>
        </row>
        <row r="192">
          <cell r="AS192">
            <v>99.841325706523776</v>
          </cell>
        </row>
        <row r="193">
          <cell r="AS193">
            <v>95.710430617971156</v>
          </cell>
        </row>
        <row r="194">
          <cell r="AS194">
            <v>95.142063993643049</v>
          </cell>
        </row>
        <row r="195">
          <cell r="AS195">
            <v>98.778066439259973</v>
          </cell>
        </row>
        <row r="196">
          <cell r="AS196">
            <v>103.1035390938454</v>
          </cell>
        </row>
        <row r="197">
          <cell r="AS197">
            <v>94.932222480540901</v>
          </cell>
        </row>
        <row r="198">
          <cell r="AS198">
            <v>97.990481101055011</v>
          </cell>
        </row>
        <row r="199">
          <cell r="AS199">
            <v>98.889572525993941</v>
          </cell>
        </row>
        <row r="200">
          <cell r="AS200">
            <v>100.44232879054731</v>
          </cell>
        </row>
        <row r="201">
          <cell r="AS201">
            <v>99.86462564786504</v>
          </cell>
        </row>
        <row r="202">
          <cell r="AS202">
            <v>98.857439973339439</v>
          </cell>
        </row>
        <row r="203">
          <cell r="AS203">
            <v>98.783926292156664</v>
          </cell>
        </row>
        <row r="204">
          <cell r="AS204">
            <v>98.526088754367564</v>
          </cell>
        </row>
        <row r="205">
          <cell r="AS205">
            <v>96.544079383440874</v>
          </cell>
        </row>
        <row r="206">
          <cell r="AS206">
            <v>96.962529497843647</v>
          </cell>
        </row>
        <row r="207">
          <cell r="AS207">
            <v>99.877234793370022</v>
          </cell>
        </row>
        <row r="208">
          <cell r="AS208">
            <v>97.646475195902809</v>
          </cell>
        </row>
        <row r="209">
          <cell r="AS209">
            <v>98.038629714761868</v>
          </cell>
        </row>
        <row r="210">
          <cell r="AS210">
            <v>99.402993964757954</v>
          </cell>
        </row>
        <row r="211">
          <cell r="AS211">
            <v>99.243678265310521</v>
          </cell>
        </row>
        <row r="212">
          <cell r="AS212">
            <v>94.436451575054136</v>
          </cell>
        </row>
        <row r="213">
          <cell r="AS213">
            <v>98.650555109459972</v>
          </cell>
        </row>
        <row r="214">
          <cell r="AS214">
            <v>94.642949948026541</v>
          </cell>
        </row>
        <row r="215">
          <cell r="AS215">
            <v>97.740620302660346</v>
          </cell>
        </row>
        <row r="216">
          <cell r="AS216">
            <v>97.156843184212079</v>
          </cell>
        </row>
        <row r="217">
          <cell r="AS217">
            <v>98.378206632279046</v>
          </cell>
        </row>
        <row r="218">
          <cell r="AS218">
            <v>98.866051801226916</v>
          </cell>
        </row>
        <row r="219">
          <cell r="AS219">
            <v>98.986375596522507</v>
          </cell>
        </row>
        <row r="220">
          <cell r="AS220">
            <v>98.588839951556579</v>
          </cell>
        </row>
        <row r="221">
          <cell r="AS221">
            <v>98.140556826659378</v>
          </cell>
        </row>
        <row r="222">
          <cell r="AS222">
            <v>94.541913901166239</v>
          </cell>
        </row>
        <row r="223">
          <cell r="AS223">
            <v>99.065882725515735</v>
          </cell>
        </row>
        <row r="224">
          <cell r="AS224">
            <v>95.607322614311911</v>
          </cell>
        </row>
        <row r="225">
          <cell r="AS225">
            <v>98.852784636210828</v>
          </cell>
        </row>
        <row r="226">
          <cell r="AS226">
            <v>98.991001256161667</v>
          </cell>
        </row>
        <row r="227">
          <cell r="AS227">
            <v>98.91245808939847</v>
          </cell>
        </row>
        <row r="228">
          <cell r="AS228">
            <v>98.030742498650199</v>
          </cell>
        </row>
        <row r="229">
          <cell r="AS229">
            <v>98.227987453375846</v>
          </cell>
        </row>
        <row r="230">
          <cell r="AS230" t="e">
            <v>#DIV/0!</v>
          </cell>
        </row>
        <row r="231">
          <cell r="AS231" t="e">
            <v>#DIV/0!</v>
          </cell>
        </row>
        <row r="232">
          <cell r="AS232" t="e">
            <v>#DIV/0!</v>
          </cell>
        </row>
        <row r="233">
          <cell r="AS233" t="e">
            <v>#DIV/0!</v>
          </cell>
        </row>
        <row r="234">
          <cell r="AS234" t="e">
            <v>#DIV/0!</v>
          </cell>
        </row>
        <row r="235">
          <cell r="AS235" t="e">
            <v>#DIV/0!</v>
          </cell>
        </row>
      </sheetData>
      <sheetData sheetId="7">
        <row r="34">
          <cell r="D34">
            <v>12</v>
          </cell>
        </row>
        <row r="35">
          <cell r="D35">
            <v>11.9</v>
          </cell>
        </row>
        <row r="36">
          <cell r="D36">
            <v>11.8</v>
          </cell>
        </row>
        <row r="37">
          <cell r="D37">
            <v>11.9</v>
          </cell>
        </row>
        <row r="38">
          <cell r="D38">
            <v>11.8</v>
          </cell>
        </row>
        <row r="39">
          <cell r="D39">
            <v>11.7</v>
          </cell>
        </row>
        <row r="40">
          <cell r="D40">
            <v>12</v>
          </cell>
        </row>
        <row r="41">
          <cell r="D41">
            <v>11.9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itaMalt - Operator Performance"/>
      <sheetName val="BrewMaterials"/>
      <sheetName val="Brewhouse"/>
      <sheetName val="Process"/>
      <sheetName val="Summary April '26"/>
      <sheetName val="Summary March '26"/>
      <sheetName val="Summary February '26"/>
      <sheetName val="Packaging"/>
      <sheetName val="Summary January '26 "/>
      <sheetName val="Summary December '25"/>
      <sheetName val="Summary November '25"/>
      <sheetName val="Summary October '25"/>
      <sheetName val="Summary September '25"/>
      <sheetName val="Summary August '25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  <sheetName val="Summary January '25 "/>
    </sheetNames>
    <sheetDataSet>
      <sheetData sheetId="0"/>
      <sheetData sheetId="1"/>
      <sheetData sheetId="2">
        <row r="23">
          <cell r="A23" t="str">
            <v>VM001</v>
          </cell>
          <cell r="R23">
            <v>59</v>
          </cell>
          <cell r="S23">
            <v>6.1030927835051418</v>
          </cell>
          <cell r="V23">
            <v>0.80694444444444446</v>
          </cell>
          <cell r="W23">
            <v>0.95486111111111116</v>
          </cell>
          <cell r="X23">
            <v>78</v>
          </cell>
          <cell r="AB23">
            <v>0.28819444444444453</v>
          </cell>
          <cell r="AE23">
            <v>48.5</v>
          </cell>
          <cell r="AH23">
            <v>14.3</v>
          </cell>
          <cell r="AJ23">
            <v>47.9</v>
          </cell>
          <cell r="AV23">
            <v>97.339468430709204</v>
          </cell>
          <cell r="AW23">
            <v>97.49717556226588</v>
          </cell>
          <cell r="AZ23" t="str">
            <v>R.Sookram</v>
          </cell>
        </row>
        <row r="24">
          <cell r="A24" t="str">
            <v>VM002</v>
          </cell>
          <cell r="R24">
            <v>60</v>
          </cell>
          <cell r="S24">
            <v>13.132075471698101</v>
          </cell>
          <cell r="V24">
            <v>0.93402777777777779</v>
          </cell>
          <cell r="W24">
            <v>1.0895833333333333</v>
          </cell>
          <cell r="X24">
            <v>89</v>
          </cell>
          <cell r="AB24">
            <v>0.29097222222222219</v>
          </cell>
          <cell r="AE24">
            <v>53</v>
          </cell>
          <cell r="AH24">
            <v>14.1</v>
          </cell>
          <cell r="AJ24">
            <v>51.8</v>
          </cell>
          <cell r="AV24">
            <v>103.731151868401</v>
          </cell>
          <cell r="AW24">
            <v>103.8992146560654</v>
          </cell>
          <cell r="AZ24" t="str">
            <v>R.Sookram</v>
          </cell>
        </row>
        <row r="25">
          <cell r="A25" t="str">
            <v>VM003</v>
          </cell>
          <cell r="R25">
            <v>62</v>
          </cell>
          <cell r="S25">
            <v>19.72</v>
          </cell>
          <cell r="V25">
            <v>1.0868055555555556</v>
          </cell>
          <cell r="W25">
            <v>1.2340277777777777</v>
          </cell>
          <cell r="X25">
            <v>87</v>
          </cell>
          <cell r="AB25">
            <v>0.2895833333333333</v>
          </cell>
          <cell r="AE25">
            <v>50</v>
          </cell>
          <cell r="AH25">
            <v>14.6</v>
          </cell>
          <cell r="AJ25">
            <v>45.7</v>
          </cell>
          <cell r="AV25">
            <v>94.959846867032411</v>
          </cell>
          <cell r="AW25">
            <v>95.113698591352446</v>
          </cell>
          <cell r="AZ25" t="str">
            <v>K. Benjamin</v>
          </cell>
        </row>
        <row r="26">
          <cell r="A26" t="str">
            <v>VM004</v>
          </cell>
          <cell r="R26">
            <v>60</v>
          </cell>
          <cell r="S26">
            <v>9.3199999999999932</v>
          </cell>
          <cell r="V26">
            <v>0.23958333333333334</v>
          </cell>
          <cell r="W26">
            <v>0.3840277777777778</v>
          </cell>
          <cell r="X26">
            <v>88</v>
          </cell>
          <cell r="AB26">
            <v>0.3354166666666667</v>
          </cell>
          <cell r="AE26">
            <v>50</v>
          </cell>
          <cell r="AH26">
            <v>14.3</v>
          </cell>
          <cell r="AJ26">
            <v>47.9</v>
          </cell>
          <cell r="AV26">
            <v>97.339468430709204</v>
          </cell>
          <cell r="AW26">
            <v>97.49717556226588</v>
          </cell>
          <cell r="AZ26" t="str">
            <v>K. Benjamin</v>
          </cell>
        </row>
        <row r="27">
          <cell r="A27" t="str">
            <v>VM005</v>
          </cell>
          <cell r="R27">
            <v>59</v>
          </cell>
          <cell r="S27">
            <v>10.120000000000005</v>
          </cell>
          <cell r="V27">
            <v>0.22708333333333333</v>
          </cell>
          <cell r="W27">
            <v>0.39097222222222222</v>
          </cell>
          <cell r="X27">
            <v>85</v>
          </cell>
          <cell r="AB27">
            <v>0.31805555555555554</v>
          </cell>
          <cell r="AE27">
            <v>50</v>
          </cell>
          <cell r="AH27">
            <v>14.2</v>
          </cell>
          <cell r="AJ27">
            <v>48</v>
          </cell>
          <cell r="AV27">
            <v>97.058295684709279</v>
          </cell>
          <cell r="AW27">
            <v>96.988991636219978</v>
          </cell>
          <cell r="AZ27" t="str">
            <v>K. Benjamin</v>
          </cell>
        </row>
        <row r="28">
          <cell r="A28" t="str">
            <v>VM006</v>
          </cell>
          <cell r="R28">
            <v>61</v>
          </cell>
          <cell r="S28">
            <v>5.5200000000000102</v>
          </cell>
          <cell r="V28">
            <v>0.34930555555555554</v>
          </cell>
          <cell r="W28">
            <v>0.49861111111111112</v>
          </cell>
          <cell r="X28">
            <v>86</v>
          </cell>
          <cell r="AB28">
            <v>0.32152777777777775</v>
          </cell>
          <cell r="AE28">
            <v>50</v>
          </cell>
          <cell r="AH28">
            <v>14.2</v>
          </cell>
          <cell r="AJ28">
            <v>48.4</v>
          </cell>
          <cell r="AV28">
            <v>97.867114815415192</v>
          </cell>
          <cell r="AW28">
            <v>97.797233233188479</v>
          </cell>
          <cell r="AZ28" t="str">
            <v>R. Regis</v>
          </cell>
        </row>
        <row r="29">
          <cell r="A29" t="str">
            <v>VM007</v>
          </cell>
          <cell r="R29">
            <v>59</v>
          </cell>
          <cell r="S29">
            <v>5.1200000000000045</v>
          </cell>
          <cell r="V29">
            <v>0.45763888888888887</v>
          </cell>
          <cell r="W29">
            <v>0.60416666666666663</v>
          </cell>
          <cell r="X29">
            <v>85</v>
          </cell>
          <cell r="AB29">
            <v>0.32291666666666663</v>
          </cell>
          <cell r="AE29">
            <v>50</v>
          </cell>
          <cell r="AH29">
            <v>14.6</v>
          </cell>
          <cell r="AJ29">
            <v>47</v>
          </cell>
          <cell r="AV29">
            <v>98.093597805251179</v>
          </cell>
          <cell r="AW29">
            <v>98.024146694048667</v>
          </cell>
          <cell r="AZ29" t="str">
            <v>R. Regis</v>
          </cell>
        </row>
        <row r="30">
          <cell r="A30" t="str">
            <v>VM008</v>
          </cell>
          <cell r="R30">
            <v>60</v>
          </cell>
          <cell r="S30">
            <v>10.120000000000005</v>
          </cell>
          <cell r="V30">
            <v>0.57708333333333328</v>
          </cell>
          <cell r="W30">
            <v>0.73541666666666672</v>
          </cell>
          <cell r="X30">
            <v>85</v>
          </cell>
          <cell r="AB30">
            <v>0.31875000000000003</v>
          </cell>
          <cell r="AE30">
            <v>50</v>
          </cell>
          <cell r="AH30">
            <v>14.6</v>
          </cell>
          <cell r="AJ30">
            <v>49.4</v>
          </cell>
          <cell r="AV30">
            <v>102.88783663744221</v>
          </cell>
          <cell r="AW30">
            <v>102.81437003091489</v>
          </cell>
          <cell r="AZ30" t="str">
            <v>R. Regis</v>
          </cell>
        </row>
        <row r="31">
          <cell r="A31" t="str">
            <v>VM009</v>
          </cell>
          <cell r="R31">
            <v>57</v>
          </cell>
          <cell r="S31">
            <v>4.1200000000000045</v>
          </cell>
          <cell r="V31">
            <v>0.78125</v>
          </cell>
          <cell r="W31">
            <v>0.9375</v>
          </cell>
          <cell r="X31">
            <v>88</v>
          </cell>
          <cell r="AB31">
            <v>0.3125</v>
          </cell>
          <cell r="AE31">
            <v>50</v>
          </cell>
          <cell r="AH31">
            <v>13.9</v>
          </cell>
          <cell r="AJ31">
            <v>49</v>
          </cell>
          <cell r="AV31">
            <v>96.899121806418265</v>
          </cell>
          <cell r="AW31">
            <v>96.829931415335594</v>
          </cell>
          <cell r="AZ31" t="str">
            <v>R.Sookram</v>
          </cell>
        </row>
        <row r="32">
          <cell r="A32" t="str">
            <v>VM010</v>
          </cell>
          <cell r="R32">
            <v>58</v>
          </cell>
          <cell r="S32">
            <v>3.3199999999999932</v>
          </cell>
          <cell r="V32">
            <v>0.8979166666666667</v>
          </cell>
          <cell r="W32">
            <v>1.0277777777777777</v>
          </cell>
          <cell r="X32">
            <v>64</v>
          </cell>
          <cell r="AB32">
            <v>0.29861111111111105</v>
          </cell>
          <cell r="AE32">
            <v>50</v>
          </cell>
          <cell r="AH32">
            <v>14.1</v>
          </cell>
          <cell r="AJ32">
            <v>49</v>
          </cell>
          <cell r="AV32">
            <v>98.250925468415389</v>
          </cell>
          <cell r="AW32">
            <v>98.180474186374965</v>
          </cell>
          <cell r="AZ32" t="str">
            <v>R.Sookram</v>
          </cell>
        </row>
        <row r="33">
          <cell r="A33" t="str">
            <v>VM011</v>
          </cell>
          <cell r="R33">
            <v>60</v>
          </cell>
          <cell r="S33">
            <v>3.5200000000000098</v>
          </cell>
          <cell r="V33">
            <v>1</v>
          </cell>
          <cell r="W33">
            <v>1.148611111111111</v>
          </cell>
          <cell r="X33">
            <v>73</v>
          </cell>
          <cell r="AB33">
            <v>0.31527777777777766</v>
          </cell>
          <cell r="AE33">
            <v>50</v>
          </cell>
          <cell r="AH33">
            <v>14.3</v>
          </cell>
          <cell r="AJ33">
            <v>47.57</v>
          </cell>
          <cell r="AV33">
            <v>96.894670333550806</v>
          </cell>
          <cell r="AW33">
            <v>96.825483121022714</v>
          </cell>
          <cell r="AZ33" t="str">
            <v>K. Benjamin</v>
          </cell>
        </row>
        <row r="34">
          <cell r="A34" t="str">
            <v>VM012</v>
          </cell>
          <cell r="R34">
            <v>61</v>
          </cell>
          <cell r="V34">
            <v>1.1020833333333333</v>
          </cell>
          <cell r="W34">
            <v>1.2444444444444445</v>
          </cell>
          <cell r="X34">
            <v>60</v>
          </cell>
          <cell r="AB34">
            <v>0.2895833333333333</v>
          </cell>
          <cell r="AH34">
            <v>14.4</v>
          </cell>
          <cell r="AJ34">
            <v>48</v>
          </cell>
          <cell r="AV34">
            <v>98.444969429182507</v>
          </cell>
          <cell r="AW34">
            <v>98.37437900701957</v>
          </cell>
          <cell r="AZ34" t="str">
            <v>K. Benjamin</v>
          </cell>
        </row>
      </sheetData>
      <sheetData sheetId="3">
        <row r="23">
          <cell r="C23" t="str">
            <v>SV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January'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4" t="str">
            <v>MK001</v>
          </cell>
          <cell r="R4">
            <v>75</v>
          </cell>
          <cell r="S4">
            <v>5.5657142857142814</v>
          </cell>
          <cell r="V4">
            <v>0.19791666666666666</v>
          </cell>
          <cell r="W4">
            <v>0.33333333333333331</v>
          </cell>
          <cell r="X4">
            <v>59</v>
          </cell>
          <cell r="AA4">
            <v>0.29166666666666663</v>
          </cell>
          <cell r="AF4">
            <v>53.2</v>
          </cell>
          <cell r="AG4">
            <v>13.3</v>
          </cell>
          <cell r="AI4">
            <v>51</v>
          </cell>
          <cell r="AT4">
            <v>95.757584041187528</v>
          </cell>
          <cell r="AU4">
            <v>96.414075814551566</v>
          </cell>
          <cell r="AX4" t="str">
            <v>K.Benjamin</v>
          </cell>
        </row>
        <row r="5">
          <cell r="A5" t="str">
            <v>MK002</v>
          </cell>
          <cell r="R5">
            <v>75</v>
          </cell>
          <cell r="V5">
            <v>0.32083333333333336</v>
          </cell>
          <cell r="W5">
            <v>0.47361111111111109</v>
          </cell>
          <cell r="X5">
            <v>60</v>
          </cell>
          <cell r="AA5">
            <v>0.31041666666666667</v>
          </cell>
          <cell r="AF5">
            <v>53.5</v>
          </cell>
          <cell r="AG5">
            <v>13</v>
          </cell>
          <cell r="AI5">
            <v>51</v>
          </cell>
          <cell r="AT5">
            <v>95.858102632741591</v>
          </cell>
          <cell r="AU5">
            <v>96.515152212006797</v>
          </cell>
          <cell r="AX5" t="str">
            <v>R.Regis</v>
          </cell>
        </row>
        <row r="6">
          <cell r="A6" t="str">
            <v>MK003</v>
          </cell>
          <cell r="R6">
            <v>77</v>
          </cell>
          <cell r="S6">
            <v>0.40905660377358338</v>
          </cell>
          <cell r="V6">
            <v>0.45277777777777778</v>
          </cell>
          <cell r="W6">
            <v>0.57638888888888884</v>
          </cell>
          <cell r="X6">
            <v>59</v>
          </cell>
          <cell r="AA6">
            <v>0.29861111111111105</v>
          </cell>
          <cell r="AF6">
            <v>53.1</v>
          </cell>
          <cell r="AG6">
            <v>12.8</v>
          </cell>
          <cell r="AI6">
            <v>50.4</v>
          </cell>
          <cell r="AT6">
            <v>91.101781537342561</v>
          </cell>
          <cell r="AU6">
            <v>91.726104327177225</v>
          </cell>
          <cell r="AX6" t="str">
            <v>R.Regis</v>
          </cell>
        </row>
        <row r="7">
          <cell r="A7" t="str">
            <v>MK004</v>
          </cell>
          <cell r="R7">
            <v>72</v>
          </cell>
          <cell r="S7">
            <v>1.6015686274509815</v>
          </cell>
          <cell r="V7">
            <v>0.57708333333333328</v>
          </cell>
          <cell r="W7">
            <v>0.7</v>
          </cell>
          <cell r="X7">
            <v>60</v>
          </cell>
          <cell r="AA7">
            <v>0.27986111111111106</v>
          </cell>
          <cell r="AF7">
            <v>51.2</v>
          </cell>
          <cell r="AG7">
            <v>13.5</v>
          </cell>
          <cell r="AI7">
            <v>50.4</v>
          </cell>
          <cell r="AT7">
            <v>96.220044255599106</v>
          </cell>
          <cell r="AU7">
            <v>96.87957472677104</v>
          </cell>
          <cell r="AX7" t="str">
            <v>R.Sookram</v>
          </cell>
        </row>
        <row r="8">
          <cell r="A8" t="str">
            <v>MK005</v>
          </cell>
          <cell r="R8">
            <v>74</v>
          </cell>
          <cell r="S8">
            <v>-0.91169811320754057</v>
          </cell>
          <cell r="V8">
            <v>0.71388888888888891</v>
          </cell>
          <cell r="W8">
            <v>0.84930555555555554</v>
          </cell>
          <cell r="X8">
            <v>57</v>
          </cell>
          <cell r="AA8">
            <v>0.30763888888888891</v>
          </cell>
          <cell r="AF8">
            <v>53.8</v>
          </cell>
          <cell r="AG8">
            <v>13.3</v>
          </cell>
          <cell r="AI8">
            <v>48.5</v>
          </cell>
          <cell r="AT8">
            <v>91.159176033097395</v>
          </cell>
          <cell r="AU8">
            <v>91.784017299653513</v>
          </cell>
          <cell r="AX8" t="str">
            <v>R.Sookram</v>
          </cell>
        </row>
        <row r="9">
          <cell r="A9" t="str">
            <v>MK006</v>
          </cell>
          <cell r="R9">
            <v>72</v>
          </cell>
          <cell r="S9">
            <v>1.3784615384615369</v>
          </cell>
          <cell r="V9">
            <v>0.84722222222222221</v>
          </cell>
          <cell r="W9">
            <v>0.99444444444444446</v>
          </cell>
          <cell r="X9">
            <v>52</v>
          </cell>
          <cell r="AA9">
            <v>0.33819444444444446</v>
          </cell>
          <cell r="AG9">
            <v>12.6</v>
          </cell>
          <cell r="AI9">
            <v>48.7</v>
          </cell>
          <cell r="AT9">
            <v>86.497061610388243</v>
          </cell>
          <cell r="AU9">
            <v>87.089946889544279</v>
          </cell>
          <cell r="AX9" t="str">
            <v>R.Sookram</v>
          </cell>
        </row>
        <row r="10">
          <cell r="A10" t="str">
            <v>MK007</v>
          </cell>
          <cell r="R10">
            <v>75</v>
          </cell>
          <cell r="S10">
            <v>7.8871428571428606</v>
          </cell>
          <cell r="V10">
            <v>0.98263888888888884</v>
          </cell>
          <cell r="W10">
            <v>1.2486111111111111</v>
          </cell>
          <cell r="X10">
            <v>53</v>
          </cell>
          <cell r="AA10">
            <v>0.47777777777777775</v>
          </cell>
          <cell r="AF10">
            <v>51.9</v>
          </cell>
          <cell r="AG10">
            <v>13.2</v>
          </cell>
          <cell r="AI10">
            <v>48.6</v>
          </cell>
          <cell r="AT10">
            <v>90.533857449292626</v>
          </cell>
          <cell r="AU10">
            <v>91.154536565432494</v>
          </cell>
          <cell r="AX10" t="str">
            <v>K.Benjamin</v>
          </cell>
        </row>
        <row r="11">
          <cell r="A11" t="str">
            <v>MK008</v>
          </cell>
          <cell r="R11">
            <v>75</v>
          </cell>
          <cell r="S11">
            <v>7.9599999999999964</v>
          </cell>
          <cell r="V11">
            <v>1.2680555555555555</v>
          </cell>
          <cell r="W11">
            <v>1.5444444444444445</v>
          </cell>
          <cell r="X11">
            <v>78</v>
          </cell>
          <cell r="AA11">
            <v>0.64861111111111114</v>
          </cell>
          <cell r="AF11">
            <v>53.7</v>
          </cell>
          <cell r="AG11">
            <v>13</v>
          </cell>
          <cell r="AI11">
            <v>50.8</v>
          </cell>
          <cell r="AT11">
            <v>95.482188504770065</v>
          </cell>
          <cell r="AU11">
            <v>96.136661419018537</v>
          </cell>
          <cell r="AX11" t="str">
            <v>K.Benjamin</v>
          </cell>
        </row>
        <row r="13">
          <cell r="A13" t="str">
            <v>MK009</v>
          </cell>
          <cell r="AT13">
            <v>90.128375863432225</v>
          </cell>
        </row>
        <row r="14">
          <cell r="A14" t="str">
            <v>MK010</v>
          </cell>
          <cell r="AT14">
            <v>88.195975747735361</v>
          </cell>
        </row>
        <row r="15">
          <cell r="A15" t="str">
            <v>MK011</v>
          </cell>
          <cell r="AT15">
            <v>88.458193469652173</v>
          </cell>
        </row>
        <row r="16">
          <cell r="A16" t="str">
            <v>MK012</v>
          </cell>
          <cell r="AT16">
            <v>89.068163344426111</v>
          </cell>
        </row>
        <row r="17">
          <cell r="A17">
            <v>0</v>
          </cell>
          <cell r="AT17" t="e">
            <v>#DIV/0!</v>
          </cell>
        </row>
        <row r="18">
          <cell r="A18">
            <v>0</v>
          </cell>
          <cell r="AT18" t="e">
            <v>#DIV/0!</v>
          </cell>
        </row>
        <row r="19">
          <cell r="A19">
            <v>0</v>
          </cell>
          <cell r="AT19" t="e">
            <v>#DIV/0!</v>
          </cell>
        </row>
        <row r="20">
          <cell r="A20">
            <v>0</v>
          </cell>
          <cell r="AT20" t="e">
            <v>#DIV/0!</v>
          </cell>
        </row>
      </sheetData>
      <sheetData sheetId="8">
        <row r="4">
          <cell r="D4">
            <v>13.3</v>
          </cell>
        </row>
        <row r="5">
          <cell r="D5">
            <v>13</v>
          </cell>
        </row>
        <row r="6">
          <cell r="D6">
            <v>12.8</v>
          </cell>
        </row>
        <row r="7">
          <cell r="D7">
            <v>13.5</v>
          </cell>
        </row>
        <row r="8">
          <cell r="D8">
            <v>13.3</v>
          </cell>
        </row>
        <row r="9">
          <cell r="D9">
            <v>12.6</v>
          </cell>
        </row>
        <row r="10">
          <cell r="D10">
            <v>13.2</v>
          </cell>
        </row>
        <row r="11">
          <cell r="D11">
            <v>13</v>
          </cell>
        </row>
      </sheetData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Summary March ' 26"/>
      <sheetName val="Summary February ' 26"/>
      <sheetName val="Summary January ' 26"/>
      <sheetName val="Summary December ' 25"/>
      <sheetName val="Packaging"/>
      <sheetName val="Summary April ' 26"/>
    </sheetNames>
    <sheetDataSet>
      <sheetData sheetId="0"/>
      <sheetData sheetId="1"/>
      <sheetData sheetId="2"/>
      <sheetData sheetId="3">
        <row r="5">
          <cell r="A5" t="str">
            <v>SM001</v>
          </cell>
          <cell r="T5">
            <v>59</v>
          </cell>
          <cell r="U5">
            <v>4.8587570621469025</v>
          </cell>
          <cell r="X5">
            <v>0.88611111111111107</v>
          </cell>
          <cell r="Y5">
            <v>1.0270833333333333</v>
          </cell>
          <cell r="Z5">
            <v>66</v>
          </cell>
          <cell r="AD5">
            <v>0.30486111111111114</v>
          </cell>
          <cell r="AH5">
            <v>53.1</v>
          </cell>
          <cell r="AK5">
            <v>17.100000000000001</v>
          </cell>
          <cell r="AM5">
            <v>52</v>
          </cell>
          <cell r="AY5">
            <v>97.569471586586559</v>
          </cell>
          <cell r="AZ5">
            <v>97.939158220543092</v>
          </cell>
          <cell r="BC5" t="str">
            <v>R. Regis</v>
          </cell>
        </row>
        <row r="6">
          <cell r="A6" t="str">
            <v>SM002</v>
          </cell>
          <cell r="T6">
            <v>60</v>
          </cell>
          <cell r="U6">
            <v>2.4150943396226436</v>
          </cell>
          <cell r="X6">
            <v>1</v>
          </cell>
          <cell r="Y6">
            <v>1.1513888888888888</v>
          </cell>
          <cell r="Z6">
            <v>73</v>
          </cell>
          <cell r="AD6">
            <v>0.32847222222222217</v>
          </cell>
          <cell r="AH6">
            <v>53</v>
          </cell>
          <cell r="AK6">
            <v>17.100000000000001</v>
          </cell>
          <cell r="AM6">
            <v>52.6</v>
          </cell>
          <cell r="AY6">
            <v>98.85391885240027</v>
          </cell>
          <cell r="AZ6">
            <v>99.227780251296664</v>
          </cell>
          <cell r="BC6" t="str">
            <v>K. Benjamin</v>
          </cell>
        </row>
        <row r="7">
          <cell r="A7" t="str">
            <v>SM003</v>
          </cell>
          <cell r="T7">
            <v>60</v>
          </cell>
          <cell r="U7">
            <v>1.2830188679245278</v>
          </cell>
          <cell r="X7">
            <v>1.1041666666666667</v>
          </cell>
          <cell r="Y7">
            <v>1.242361111111111</v>
          </cell>
          <cell r="Z7">
            <v>70</v>
          </cell>
          <cell r="AD7">
            <v>0.31180555555555545</v>
          </cell>
          <cell r="AH7">
            <v>53</v>
          </cell>
          <cell r="AK7">
            <v>17.100000000000001</v>
          </cell>
          <cell r="AM7">
            <v>52</v>
          </cell>
          <cell r="AY7">
            <v>97.962509317492206</v>
          </cell>
          <cell r="AZ7">
            <v>98.331966749048121</v>
          </cell>
          <cell r="BC7" t="str">
            <v>K. Benjamin</v>
          </cell>
        </row>
        <row r="8">
          <cell r="A8" t="str">
            <v>SM004</v>
          </cell>
          <cell r="T8">
            <v>61</v>
          </cell>
          <cell r="U8">
            <v>0.90566037735849803</v>
          </cell>
          <cell r="X8">
            <v>0.20833333333333334</v>
          </cell>
          <cell r="Y8">
            <v>0.35208333333333336</v>
          </cell>
          <cell r="Z8">
            <v>70</v>
          </cell>
          <cell r="AD8">
            <v>0.31041666666666667</v>
          </cell>
          <cell r="AH8">
            <v>53</v>
          </cell>
          <cell r="AK8">
            <v>17.2</v>
          </cell>
          <cell r="AM8">
            <v>52.2</v>
          </cell>
          <cell r="AY8">
            <v>98.851728693915732</v>
          </cell>
          <cell r="AZ8">
            <v>99.224887654835271</v>
          </cell>
          <cell r="BC8" t="str">
            <v>K. Benjamin</v>
          </cell>
        </row>
        <row r="9">
          <cell r="A9" t="str">
            <v>SM005</v>
          </cell>
          <cell r="T9">
            <v>61</v>
          </cell>
          <cell r="U9">
            <v>2.4105461393597007</v>
          </cell>
          <cell r="X9">
            <v>0.32291666666666669</v>
          </cell>
          <cell r="Y9">
            <v>0.4548611111111111</v>
          </cell>
          <cell r="Z9">
            <v>60</v>
          </cell>
          <cell r="AD9">
            <v>0.30208333333333331</v>
          </cell>
          <cell r="AH9">
            <v>53.1</v>
          </cell>
          <cell r="AK9">
            <v>17.100000000000001</v>
          </cell>
          <cell r="AM9">
            <v>51.3</v>
          </cell>
          <cell r="AY9">
            <v>96.643783230525969</v>
          </cell>
          <cell r="AZ9">
            <v>97.008267196657101</v>
          </cell>
          <cell r="BC9" t="str">
            <v>R.Sookram</v>
          </cell>
        </row>
        <row r="10">
          <cell r="A10" t="str">
            <v>SM006</v>
          </cell>
          <cell r="T10">
            <v>60</v>
          </cell>
          <cell r="U10">
            <v>3.1638418079096176</v>
          </cell>
          <cell r="X10">
            <v>0.42638888888888887</v>
          </cell>
          <cell r="Y10">
            <v>0.57222222222222219</v>
          </cell>
          <cell r="Z10">
            <v>78</v>
          </cell>
          <cell r="AD10">
            <v>0.30833333333333329</v>
          </cell>
          <cell r="AH10">
            <v>53.1</v>
          </cell>
          <cell r="AK10">
            <v>17</v>
          </cell>
          <cell r="AM10">
            <v>50.4</v>
          </cell>
          <cell r="AY10">
            <v>94.324644249999125</v>
          </cell>
          <cell r="AZ10">
            <v>94.680381776934937</v>
          </cell>
          <cell r="BC10" t="str">
            <v>R.Sookram</v>
          </cell>
        </row>
        <row r="11">
          <cell r="A11" t="str">
            <v>SM007</v>
          </cell>
          <cell r="T11">
            <v>59</v>
          </cell>
          <cell r="U11">
            <v>5.2354048964218478</v>
          </cell>
          <cell r="X11">
            <v>0.53472222222222221</v>
          </cell>
          <cell r="Y11">
            <v>0.69166666666666665</v>
          </cell>
          <cell r="Z11">
            <v>91</v>
          </cell>
          <cell r="AD11">
            <v>0.33055555555555555</v>
          </cell>
          <cell r="AH11">
            <v>53.1</v>
          </cell>
          <cell r="AK11">
            <v>17</v>
          </cell>
          <cell r="AM11">
            <v>49.3</v>
          </cell>
          <cell r="AY11">
            <v>92.117541140378776</v>
          </cell>
          <cell r="AZ11">
            <v>92.465602665603512</v>
          </cell>
          <cell r="BC11" t="str">
            <v>R.Sookram</v>
          </cell>
        </row>
        <row r="12">
          <cell r="A12" t="str">
            <v>SM008</v>
          </cell>
          <cell r="T12">
            <v>60</v>
          </cell>
          <cell r="U12">
            <v>1.4689265536723184</v>
          </cell>
          <cell r="X12">
            <v>0.65208333333333335</v>
          </cell>
          <cell r="Y12">
            <v>0.77777777777777779</v>
          </cell>
          <cell r="Z12">
            <v>66</v>
          </cell>
          <cell r="AD12">
            <v>0.30555555555555558</v>
          </cell>
          <cell r="AH12">
            <v>53.1</v>
          </cell>
          <cell r="AK12">
            <v>17.100000000000001</v>
          </cell>
          <cell r="AM12">
            <v>51.6</v>
          </cell>
          <cell r="AY12">
            <v>97.208951553511497</v>
          </cell>
          <cell r="AZ12">
            <v>97.575567004824677</v>
          </cell>
          <cell r="BC12" t="str">
            <v>R.Sookram</v>
          </cell>
        </row>
        <row r="13">
          <cell r="A13" t="str">
            <v>SM009</v>
          </cell>
          <cell r="T13">
            <v>59</v>
          </cell>
          <cell r="U13">
            <v>1.6572504708097977</v>
          </cell>
          <cell r="X13">
            <v>0.75069444444444444</v>
          </cell>
          <cell r="Y13">
            <v>0.90138888888888891</v>
          </cell>
          <cell r="Z13">
            <v>81</v>
          </cell>
          <cell r="AD13">
            <v>0.31458333333333333</v>
          </cell>
          <cell r="AH13">
            <v>53.1</v>
          </cell>
          <cell r="AK13">
            <v>17.3</v>
          </cell>
          <cell r="AM13">
            <v>51.6</v>
          </cell>
          <cell r="AY13">
            <v>98.512076526938472</v>
          </cell>
          <cell r="AZ13">
            <v>98.883259331447235</v>
          </cell>
          <cell r="BC13" t="str">
            <v>R.Sookram</v>
          </cell>
        </row>
        <row r="14">
          <cell r="A14" t="str">
            <v>SM010</v>
          </cell>
          <cell r="T14">
            <v>60</v>
          </cell>
          <cell r="U14">
            <v>2.9755178907721382</v>
          </cell>
          <cell r="X14">
            <v>0.8666666666666667</v>
          </cell>
          <cell r="Y14">
            <v>1.0180555555555555</v>
          </cell>
          <cell r="Z14">
            <v>77</v>
          </cell>
          <cell r="AD14">
            <v>0.31666666666666665</v>
          </cell>
          <cell r="AH14">
            <v>53.1</v>
          </cell>
          <cell r="AK14">
            <v>17.2</v>
          </cell>
          <cell r="AM14">
            <v>50.3</v>
          </cell>
          <cell r="AY14">
            <v>95.253677266359389</v>
          </cell>
          <cell r="AZ14">
            <v>95.613253812992596</v>
          </cell>
          <cell r="BC14" t="str">
            <v>R.Sookram</v>
          </cell>
        </row>
      </sheetData>
      <sheetData sheetId="4">
        <row r="5">
          <cell r="B5">
            <v>46027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>
        <row r="3">
          <cell r="E3">
            <v>262.3</v>
          </cell>
          <cell r="H3">
            <v>308.8</v>
          </cell>
          <cell r="P3">
            <v>354.7</v>
          </cell>
          <cell r="R3">
            <v>191.10000000000002</v>
          </cell>
          <cell r="S3">
            <v>298.2</v>
          </cell>
          <cell r="V3">
            <v>107.5</v>
          </cell>
          <cell r="W3">
            <v>203.89999999999998</v>
          </cell>
          <cell r="Z3">
            <v>203.51</v>
          </cell>
          <cell r="AC3">
            <v>197.89</v>
          </cell>
          <cell r="AF3">
            <v>201.10000000000002</v>
          </cell>
          <cell r="AN3" t="e">
            <v>#REF!</v>
          </cell>
          <cell r="AQ3" t="e">
            <v>#REF!</v>
          </cell>
        </row>
        <row r="4">
          <cell r="AN4" t="e">
            <v>#REF!</v>
          </cell>
          <cell r="AQ4" t="e">
            <v>#REF!</v>
          </cell>
        </row>
        <row r="5">
          <cell r="AN5">
            <v>11.382808901098844</v>
          </cell>
          <cell r="AQ5">
            <v>11.382808901098844</v>
          </cell>
        </row>
        <row r="6">
          <cell r="AN6">
            <v>4.6359882890480018</v>
          </cell>
          <cell r="AQ6">
            <v>4.6359882890480018</v>
          </cell>
        </row>
        <row r="7">
          <cell r="E7" t="e">
            <v>#REF!</v>
          </cell>
          <cell r="H7" t="e">
            <v>#REF!</v>
          </cell>
          <cell r="P7" t="e">
            <v>#REF!</v>
          </cell>
          <cell r="R7" t="e">
            <v>#REF!</v>
          </cell>
          <cell r="S7" t="e">
            <v>#REF!</v>
          </cell>
          <cell r="V7">
            <v>77</v>
          </cell>
          <cell r="W7" t="e">
            <v>#REF!</v>
          </cell>
          <cell r="Z7">
            <v>195</v>
          </cell>
          <cell r="AC7">
            <v>184.1</v>
          </cell>
          <cell r="AF7" t="e">
            <v>#REF!</v>
          </cell>
          <cell r="AN7" t="e">
            <v>#DIV/0!</v>
          </cell>
          <cell r="AQ7" t="e">
            <v>#DIV/0!</v>
          </cell>
        </row>
        <row r="8">
          <cell r="AN8">
            <v>7.9131369535794072</v>
          </cell>
          <cell r="AQ8">
            <v>7.9131369535794072</v>
          </cell>
        </row>
        <row r="9">
          <cell r="AN9" t="e">
            <v>#REF!</v>
          </cell>
          <cell r="AQ9" t="e">
            <v>#REF!</v>
          </cell>
        </row>
        <row r="10">
          <cell r="AN10" t="e">
            <v>#DIV/0!</v>
          </cell>
          <cell r="AQ10" t="e">
            <v>#DIV/0!</v>
          </cell>
        </row>
        <row r="11">
          <cell r="E11" t="e">
            <v>#REF!</v>
          </cell>
          <cell r="H11" t="e">
            <v>#REF!</v>
          </cell>
          <cell r="P11" t="e">
            <v>#REF!</v>
          </cell>
          <cell r="R11" t="e">
            <v>#REF!</v>
          </cell>
          <cell r="S11" t="e">
            <v>#REF!</v>
          </cell>
          <cell r="V11">
            <v>27.083610641008587</v>
          </cell>
          <cell r="W11" t="e">
            <v>#REF!</v>
          </cell>
          <cell r="Z11">
            <v>4.6516947280862624</v>
          </cell>
          <cell r="AC11">
            <v>9.2793960255049761</v>
          </cell>
          <cell r="AN11" t="e">
            <v>#DIV/0!</v>
          </cell>
          <cell r="AQ11" t="e">
            <v>#DIV/0!</v>
          </cell>
        </row>
        <row r="12">
          <cell r="AN12" t="e">
            <v>#REF!</v>
          </cell>
          <cell r="AQ12" t="e">
            <v>#REF!</v>
          </cell>
        </row>
        <row r="13">
          <cell r="O13">
            <v>394.29999999999995</v>
          </cell>
          <cell r="Q13">
            <v>393</v>
          </cell>
          <cell r="V13">
            <v>394.19000000000005</v>
          </cell>
          <cell r="AG13">
            <v>500.93</v>
          </cell>
        </row>
        <row r="17">
          <cell r="O17" t="e">
            <v>#REF!</v>
          </cell>
          <cell r="Q17" t="e">
            <v>#REF!</v>
          </cell>
          <cell r="V17" t="e">
            <v>#REF!</v>
          </cell>
          <cell r="AG17" t="e">
            <v>#REF!</v>
          </cell>
        </row>
        <row r="21">
          <cell r="O21" t="e">
            <v>#REF!</v>
          </cell>
          <cell r="Q21" t="e">
            <v>#REF!</v>
          </cell>
          <cell r="V21" t="e">
            <v>#REF!</v>
          </cell>
        </row>
        <row r="23">
          <cell r="AF23">
            <v>214.1</v>
          </cell>
        </row>
        <row r="28">
          <cell r="AF28">
            <v>195.5</v>
          </cell>
        </row>
        <row r="34">
          <cell r="Q34">
            <v>399.40000000000003</v>
          </cell>
        </row>
        <row r="39">
          <cell r="Q39">
            <v>386.2</v>
          </cell>
        </row>
        <row r="43">
          <cell r="Q43">
            <v>7.9131369535794072</v>
          </cell>
        </row>
        <row r="55">
          <cell r="K55">
            <v>310.5</v>
          </cell>
          <cell r="L55">
            <v>204.3</v>
          </cell>
        </row>
        <row r="59">
          <cell r="K59" t="e">
            <v>#REF!</v>
          </cell>
          <cell r="L59" t="e">
            <v>#REF!</v>
          </cell>
        </row>
        <row r="63">
          <cell r="K63" t="e">
            <v>#REF!</v>
          </cell>
          <cell r="L63" t="e">
            <v>#REF!</v>
          </cell>
        </row>
        <row r="65">
          <cell r="M65">
            <v>193.29999999999998</v>
          </cell>
          <cell r="AE65">
            <v>386.37</v>
          </cell>
        </row>
        <row r="70">
          <cell r="M70">
            <v>188.3</v>
          </cell>
          <cell r="AE70">
            <v>385.3</v>
          </cell>
        </row>
        <row r="74">
          <cell r="M74">
            <v>5.2086766183151161</v>
          </cell>
          <cell r="AE74">
            <v>4.3487153015779345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anuary_2026"/>
      <sheetName val="February_2026"/>
      <sheetName val="March_2026"/>
      <sheetName val="April_2026"/>
      <sheetName val="May_2026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>
        <row r="13">
          <cell r="AN13" t="e">
            <v>#REF!</v>
          </cell>
          <cell r="AQ13" t="e">
            <v>#REF!</v>
          </cell>
        </row>
        <row r="14">
          <cell r="AN14" t="e">
            <v>#REF!</v>
          </cell>
          <cell r="AQ14" t="e">
            <v>#REF!</v>
          </cell>
        </row>
        <row r="15">
          <cell r="AN15">
            <v>0.68596491228070178</v>
          </cell>
          <cell r="AQ15">
            <v>0.68596491228070178</v>
          </cell>
        </row>
        <row r="16">
          <cell r="AN16">
            <v>0.66833333333333345</v>
          </cell>
          <cell r="AQ16">
            <v>0.66833333333333345</v>
          </cell>
        </row>
        <row r="17">
          <cell r="AN17" t="e">
            <v>#DIV/0!</v>
          </cell>
          <cell r="AQ17" t="e">
            <v>#DIV/0!</v>
          </cell>
        </row>
        <row r="18">
          <cell r="H18" t="e">
            <v>#REF!</v>
          </cell>
          <cell r="P18" t="e">
            <v>#REF!</v>
          </cell>
          <cell r="R18" t="e">
            <v>#REF!</v>
          </cell>
          <cell r="S18" t="e">
            <v>#REF!</v>
          </cell>
          <cell r="U18">
            <v>0.13508771929824562</v>
          </cell>
          <cell r="V18" t="e">
            <v>#REF!</v>
          </cell>
          <cell r="Z18">
            <v>0.68421052631578949</v>
          </cell>
          <cell r="AC18">
            <v>0.64596491228070174</v>
          </cell>
          <cell r="AN18">
            <v>1.3550877192982456</v>
          </cell>
          <cell r="AQ18">
            <v>1.3550877192982456</v>
          </cell>
        </row>
        <row r="19">
          <cell r="AN19" t="e">
            <v>#REF!</v>
          </cell>
          <cell r="AQ19" t="e">
            <v>#REF!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 t="e">
            <v>#DIV/0!</v>
          </cell>
        </row>
        <row r="22">
          <cell r="AN22" t="e">
            <v>#REF!</v>
          </cell>
          <cell r="AQ22" t="e">
            <v>#REF!</v>
          </cell>
        </row>
        <row r="25">
          <cell r="O25" t="e">
            <v>#REF!</v>
          </cell>
          <cell r="Q25" t="e">
            <v>#REF!</v>
          </cell>
          <cell r="V25" t="e">
            <v>#REF!</v>
          </cell>
          <cell r="AG25" t="e">
            <v>#REF!</v>
          </cell>
        </row>
        <row r="39">
          <cell r="Q39">
            <v>1.3550877192982456</v>
          </cell>
        </row>
        <row r="53">
          <cell r="K53" t="e">
            <v>#REF!</v>
          </cell>
          <cell r="L53" t="e">
            <v>#REF!</v>
          </cell>
        </row>
        <row r="60">
          <cell r="M60">
            <v>0.6607017543859649</v>
          </cell>
          <cell r="AE60">
            <v>0.67596491228070177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IPA"/>
      <sheetName val="APA"/>
      <sheetName val="CARIBE"/>
      <sheetName val="MTD"/>
      <sheetName val="YTD 2026"/>
      <sheetName val="YTD 2025"/>
    </sheetNames>
    <sheetDataSet>
      <sheetData sheetId="0" refreshError="1"/>
      <sheetData sheetId="1">
        <row r="10">
          <cell r="J10">
            <v>52.1</v>
          </cell>
          <cell r="S10">
            <v>4.5999999999999996</v>
          </cell>
        </row>
      </sheetData>
      <sheetData sheetId="2" refreshError="1"/>
      <sheetData sheetId="3">
        <row r="6">
          <cell r="I6">
            <v>47.9</v>
          </cell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2">
          <cell r="J12">
            <v>4.0999999999999996</v>
          </cell>
        </row>
        <row r="14">
          <cell r="J14">
            <v>4.0999999999999996</v>
          </cell>
        </row>
        <row r="16">
          <cell r="J16">
            <v>4.0999999999999996</v>
          </cell>
        </row>
      </sheetData>
      <sheetData sheetId="4" refreshError="1"/>
      <sheetData sheetId="5">
        <row r="7">
          <cell r="J7">
            <v>51</v>
          </cell>
          <cell r="L7">
            <v>100</v>
          </cell>
          <cell r="S7">
            <v>1.9</v>
          </cell>
        </row>
        <row r="8">
          <cell r="L8">
            <v>0</v>
          </cell>
        </row>
        <row r="9">
          <cell r="L9">
            <v>100</v>
          </cell>
          <cell r="S9">
            <v>1.9</v>
          </cell>
        </row>
        <row r="10">
          <cell r="L10">
            <v>0</v>
          </cell>
        </row>
        <row r="11">
          <cell r="L11">
            <v>91.1</v>
          </cell>
          <cell r="S11">
            <v>1.9</v>
          </cell>
        </row>
        <row r="12">
          <cell r="L12">
            <v>0</v>
          </cell>
        </row>
        <row r="13">
          <cell r="L13">
            <v>100</v>
          </cell>
          <cell r="S13">
            <v>1.9</v>
          </cell>
        </row>
        <row r="14">
          <cell r="L14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>
        <row r="5">
          <cell r="C5">
            <v>2530.44</v>
          </cell>
          <cell r="E5">
            <v>8.9604969886660122</v>
          </cell>
        </row>
        <row r="6">
          <cell r="E6">
            <v>6.0460527097870944</v>
          </cell>
        </row>
        <row r="7">
          <cell r="E7">
            <v>10.608139003200726</v>
          </cell>
        </row>
        <row r="8">
          <cell r="E8">
            <v>5.0755456997699637</v>
          </cell>
        </row>
        <row r="9">
          <cell r="E9" t="e">
            <v>#DIV/0!</v>
          </cell>
        </row>
        <row r="10">
          <cell r="E10">
            <v>5.1105651105651271</v>
          </cell>
        </row>
        <row r="11">
          <cell r="E11">
            <v>2.0590520590520631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6.9445400268227537</v>
          </cell>
        </row>
      </sheetData>
      <sheetData sheetId="11"/>
      <sheetData sheetId="12">
        <row r="5">
          <cell r="E5">
            <v>8.9604969886660122</v>
          </cell>
        </row>
        <row r="6">
          <cell r="E6">
            <v>6.0460527097870944</v>
          </cell>
        </row>
        <row r="7">
          <cell r="E7">
            <v>10.608139003200726</v>
          </cell>
        </row>
        <row r="8">
          <cell r="E8">
            <v>5.0755456997699637</v>
          </cell>
        </row>
        <row r="9">
          <cell r="E9" t="e">
            <v>#DIV/0!</v>
          </cell>
        </row>
        <row r="10">
          <cell r="E10">
            <v>5.1105651105651271</v>
          </cell>
        </row>
        <row r="11">
          <cell r="E11">
            <v>2.0590520590520631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6.9445400268227537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2578125" defaultRowHeight="14.25"/>
  <cols>
    <col min="1" max="1" width="3.42578125" style="275" customWidth="1"/>
    <col min="2" max="2" width="20.7109375" style="275" customWidth="1"/>
    <col min="3" max="3" width="13.42578125" style="275" customWidth="1"/>
    <col min="4" max="4" width="11.5703125" style="275" customWidth="1"/>
    <col min="5" max="5" width="12.42578125" style="275" customWidth="1"/>
    <col min="6" max="6" width="11.42578125" style="275" customWidth="1"/>
    <col min="7" max="7" width="13.42578125" style="275" customWidth="1"/>
    <col min="8" max="8" width="12.42578125" style="275" customWidth="1"/>
    <col min="9" max="9" width="17.5703125" style="275" customWidth="1"/>
    <col min="10" max="10" width="25.28515625" style="275" customWidth="1"/>
    <col min="11" max="11" width="18.5703125" style="275" customWidth="1"/>
    <col min="12" max="12" width="15.7109375" style="275" customWidth="1"/>
    <col min="13" max="13" width="27.5703125" style="275" customWidth="1"/>
    <col min="14" max="14" width="13.28515625" style="275" customWidth="1"/>
    <col min="15" max="15" width="19.42578125" style="275" customWidth="1"/>
    <col min="16" max="16" width="36.5703125" style="6" customWidth="1"/>
    <col min="17" max="17" width="14" style="275" hidden="1" customWidth="1"/>
    <col min="18" max="18" width="16.5703125" style="275" customWidth="1"/>
    <col min="19" max="19" width="15.7109375" style="275" bestFit="1" customWidth="1"/>
    <col min="20" max="20" width="12.42578125" style="275" customWidth="1"/>
    <col min="21" max="21" width="15" style="275" customWidth="1"/>
    <col min="22" max="22" width="12" style="275" customWidth="1"/>
    <col min="23" max="23" width="10.42578125" style="275" customWidth="1"/>
    <col min="24" max="24" width="11.42578125" style="275" customWidth="1"/>
    <col min="25" max="25" width="10.42578125" style="275" customWidth="1"/>
    <col min="26" max="26" width="8.42578125" style="275" customWidth="1"/>
    <col min="27" max="27" width="9.5703125" style="275" customWidth="1"/>
    <col min="28" max="28" width="8.42578125" style="275" customWidth="1"/>
    <col min="29" max="30" width="7.5703125" style="275" customWidth="1"/>
    <col min="31" max="52" width="9.42578125" style="275"/>
    <col min="53" max="53" width="1.5703125" style="275" customWidth="1"/>
    <col min="54" max="55" width="9.42578125" style="275"/>
    <col min="56" max="57" width="15.42578125" style="275" customWidth="1"/>
    <col min="58" max="16384" width="9.42578125" style="275"/>
  </cols>
  <sheetData>
    <row r="1" spans="2:30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587" t="s">
        <v>0</v>
      </c>
      <c r="U1" s="587"/>
      <c r="V1" s="587" t="s">
        <v>1</v>
      </c>
      <c r="W1" s="587"/>
      <c r="X1" s="587" t="s">
        <v>2</v>
      </c>
      <c r="Y1" s="587"/>
      <c r="Z1" s="587" t="s">
        <v>124</v>
      </c>
      <c r="AA1" s="587"/>
    </row>
    <row r="2" spans="2:30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51">
        <v>45278</v>
      </c>
      <c r="D4" s="551"/>
      <c r="J4" s="593" t="s">
        <v>153</v>
      </c>
      <c r="K4" s="593"/>
      <c r="L4" s="11"/>
      <c r="M4" s="562" t="s">
        <v>8</v>
      </c>
      <c r="N4" s="563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94"/>
      <c r="K5" s="594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588" t="s">
        <v>151</v>
      </c>
      <c r="K6" s="589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590"/>
      <c r="K7" s="591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152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24"/>
      <c r="P8" s="515" t="s">
        <v>28</v>
      </c>
      <c r="Q8" s="5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50"/>
      <c r="P9" s="592"/>
      <c r="Q9" s="5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5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5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5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5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5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5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5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5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5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5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5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5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5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5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5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5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5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5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5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5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5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5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5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540" t="s">
        <v>34</v>
      </c>
      <c r="J48" s="540"/>
      <c r="K48" s="540"/>
      <c r="L48" s="540"/>
      <c r="M48" s="540"/>
      <c r="N48" s="540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30.75" thickBot="1">
      <c r="B49" s="388" t="s">
        <v>145</v>
      </c>
      <c r="C49" s="388"/>
      <c r="D49" s="541" t="s">
        <v>35</v>
      </c>
      <c r="E49" s="542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543" t="s">
        <v>9</v>
      </c>
      <c r="C50" s="362">
        <v>11.8</v>
      </c>
      <c r="D50" s="546">
        <v>11.73</v>
      </c>
      <c r="E50" s="547"/>
      <c r="F50" s="294"/>
      <c r="G50" s="294"/>
      <c r="H50" s="294"/>
      <c r="I50" s="29" t="s">
        <v>6</v>
      </c>
      <c r="J50" s="323"/>
      <c r="K50" s="284">
        <f>COUNTA([11]Brewhouse!$A$1596:$A$1619)</f>
        <v>24</v>
      </c>
      <c r="L50" s="302">
        <f>AVERAGE([11]Brewhouse!$AU$1529,[11]Brewhouse!$AU$1531:$AU$1594,[11]Brewhouse!$AU$1596:$AU$1619)</f>
        <v>98.205761326291494</v>
      </c>
      <c r="M50" s="302">
        <f>AVERAGE([11]Brewhouse!$AU$849:$AU$924,[11]Brewhouse!$AU$926:$AU$971,[11]Brewhouse!$AU$973:$AU$1066,[11]Brewhouse!$AU$1068:$AU$1111,[11]Brewhouse!$AU$1113:$AU$1132,[11]Brewhouse!$AU$1134:$AU$1167,[11]Brewhouse!$AU$1169:$AU$1230,[11]Brewhouse!$AU$1232:$AU$1299,[11]Brewhouse!$AU$1301:$AU$1363,[11]Brewhouse!$AU$1365:$AU$1444,[11]Brewhouse!$AU$1446:$AU$1527,[11]Brewhouse!$AU$1529,[11]Brewhouse!$AU$1531:$AU$1594,[11]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544"/>
      <c r="C51" s="349">
        <v>11.9</v>
      </c>
      <c r="D51" s="548"/>
      <c r="E51" s="532"/>
      <c r="F51" s="294"/>
      <c r="G51" s="294"/>
      <c r="H51" s="32"/>
      <c r="I51" s="33" t="s">
        <v>9</v>
      </c>
      <c r="J51" s="323"/>
      <c r="K51" s="284">
        <f>COUNTA([12]Brewhouse!$A$976:$A$1007)</f>
        <v>32</v>
      </c>
      <c r="L51" s="302">
        <f>AVERAGE([12]Brewhouse!$AS$976:$AS$979,[12]Brewhouse!$AS$981:$AS$1007)</f>
        <v>98.538566771868645</v>
      </c>
      <c r="M51" s="302">
        <f>AVERAGE([12]Brewhouse!$AS$577:$AS$618,[12]Brewhouse!$AS$620:$AS$651,[12]Brewhouse!$AS$653:$AS$696,[12]Brewhouse!$AS$698:$AS$708,[12]Brewhouse!$AS$710:$AS$733,[12]Brewhouse!$AS$735:$AS$777,[12]Brewhouse!$AS$779:$AS$822,[12]Brewhouse!$AS$824:$AS$863,[12]Brewhouse!$AS$865:$AS$974,[12]Brewhouse!$AS$976:$AS$979,[12]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65" customHeight="1">
      <c r="A52" s="28"/>
      <c r="B52" s="544"/>
      <c r="C52" s="349"/>
      <c r="D52" s="546"/>
      <c r="E52" s="547"/>
      <c r="F52" s="294"/>
      <c r="G52" s="294"/>
      <c r="H52" s="32"/>
      <c r="I52" s="34" t="s">
        <v>12</v>
      </c>
      <c r="J52" s="280"/>
      <c r="K52" s="284">
        <f>COUNTA([13]Brewhouse!$A$282:$A$289)</f>
        <v>8</v>
      </c>
      <c r="L52" s="302">
        <f>AVERAGE([13]Brewhouse!$AU$269:$AU$279,[13]Brewhouse!$AU$282:$AU$289)</f>
        <v>96.1861768599382</v>
      </c>
      <c r="M52" s="302">
        <f>AVERAGE([13]Brewhouse!$AU$161:$AU$176,[13]Brewhouse!$AU$178:$AU$195,[13]Brewhouse!$AU$197:$AU$208,[13]Brewhouse!$AU$210:$AU$221,[13]Brewhouse!$AU$223:$AU$232,[13]Brewhouse!$AU$234:$AU$279,[13]Brewhouse!$AU$282:$AU$289)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65" customHeight="1">
      <c r="A53" s="28"/>
      <c r="B53" s="544"/>
      <c r="C53" s="349"/>
      <c r="D53" s="548"/>
      <c r="E53" s="532"/>
      <c r="F53" s="294"/>
      <c r="G53" s="294"/>
      <c r="H53" s="32"/>
      <c r="I53" s="22" t="s">
        <v>33</v>
      </c>
      <c r="J53" s="280"/>
      <c r="K53" s="284">
        <f>COUNTA([14]Brewhouse!$A$158:$A$163)</f>
        <v>6</v>
      </c>
      <c r="L53" s="302">
        <f>AVERAGE([14]Brewhouse!$AU$158:$AU$163)</f>
        <v>94.603050114691541</v>
      </c>
      <c r="M53" s="302">
        <f>AVERAGE([14]Brewhouse!$AU$91:$AU$101,[14]Brewhouse!$AU$103:$AU$112,[14]Brewhouse!$AU$114:$AU$123,[14]Brewhouse!$AU$125:$AU$134,[14]Brewhouse!$AU$136:$AU$145,[14]Brewhouse!$AU$147:$AU$156,[14]Brewhouse!$AU$158:$AU$163)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65" customHeight="1">
      <c r="A54" s="28"/>
      <c r="B54" s="544"/>
      <c r="C54" s="349"/>
      <c r="D54" s="546"/>
      <c r="E54" s="547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65" customHeight="1">
      <c r="A55" s="28"/>
      <c r="B55" s="544"/>
      <c r="C55" s="349"/>
      <c r="D55" s="548"/>
      <c r="E55" s="532"/>
      <c r="F55" s="294"/>
      <c r="G55" s="294"/>
      <c r="H55" s="32"/>
      <c r="I55" s="36" t="s">
        <v>15</v>
      </c>
      <c r="J55" s="323"/>
      <c r="K55" s="284"/>
      <c r="L55" s="302"/>
      <c r="M55" s="302">
        <f>AVERAGE([15]Brewhouse!$AT$74:$AT$79)</f>
        <v>93.95983649860375</v>
      </c>
      <c r="N55" s="30">
        <v>98</v>
      </c>
      <c r="O55" s="11"/>
      <c r="P55" s="31"/>
      <c r="S55" s="23"/>
    </row>
    <row r="56" spans="1:27" ht="14.65" customHeight="1">
      <c r="A56" s="28"/>
      <c r="B56" s="544"/>
      <c r="C56" s="349"/>
      <c r="D56" s="546"/>
      <c r="E56" s="547"/>
      <c r="F56" s="294"/>
      <c r="G56" s="294"/>
      <c r="H56" s="32"/>
      <c r="I56" s="37" t="s">
        <v>16</v>
      </c>
      <c r="J56" s="323"/>
      <c r="K56" s="284">
        <f>COUNTA([16]Brewhouse!$A$249:$A$254)</f>
        <v>6</v>
      </c>
      <c r="L56" s="302">
        <f>AVERAGE([16]Brewhouse!$AY$249:$AY$254)</f>
        <v>99.681996476494263</v>
      </c>
      <c r="M56" s="302">
        <f>AVERAGE([16]Brewhouse!$AY$138:$AY$143,[16]Brewhouse!$AY$145:$AY$153,[16]Brewhouse!$AY$155,[16]Brewhouse!$AY$156:$AY$174,[16]Brewhouse!$AY$176:$AY$185,[16]Brewhouse!$AY$187:$AY$198,[16]Brewhouse!$AY$200:$AY$247,[16]Brewhouse!$AY$249:$AY$254)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65" customHeight="1">
      <c r="A57" s="28"/>
      <c r="B57" s="544"/>
      <c r="C57" s="349"/>
      <c r="D57" s="548"/>
      <c r="E57" s="532"/>
      <c r="F57" s="294"/>
      <c r="G57" s="294"/>
      <c r="H57" s="32"/>
      <c r="I57" s="306" t="s">
        <v>137</v>
      </c>
      <c r="J57" s="326"/>
      <c r="K57" s="284"/>
      <c r="L57" s="305"/>
      <c r="M57" s="305">
        <f>AVERAGE([17]Brewhouse!$AW$13:$AW$14,[17]Brewhouse!$AW$16:$AW$17)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544"/>
      <c r="C58" s="349"/>
      <c r="D58" s="582"/>
      <c r="E58" s="576"/>
      <c r="F58" s="294"/>
      <c r="G58" s="294"/>
      <c r="H58" s="32"/>
      <c r="I58" s="38" t="s">
        <v>125</v>
      </c>
      <c r="J58" s="327"/>
      <c r="K58" s="284"/>
      <c r="L58" s="328"/>
      <c r="M58" s="328">
        <f>AVERAGE([17]Brewhouse!$AW$13:$AW$14)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544"/>
      <c r="C59" s="349"/>
      <c r="D59" s="583"/>
      <c r="E59" s="584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AVERAGE('[18]Closing- January 2023'!$L$42,'[19]Feb. 28th'!$L$42,'[20]March 31st'!$L$75,'[21]Apri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544"/>
      <c r="C60" s="349"/>
      <c r="D60" s="582"/>
      <c r="E60" s="576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81"/>
      <c r="C61" s="350"/>
      <c r="D61" s="585"/>
      <c r="E61" s="586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.75" thickBot="1">
      <c r="B62" s="570"/>
      <c r="C62" s="362"/>
      <c r="D62" s="529"/>
      <c r="E62" s="530"/>
      <c r="F62" s="43"/>
      <c r="G62" s="41"/>
      <c r="H62" s="41"/>
      <c r="I62" s="42"/>
      <c r="J62" s="573" t="s">
        <v>129</v>
      </c>
      <c r="K62" s="573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71"/>
      <c r="C63" s="349"/>
      <c r="D63" s="531"/>
      <c r="E63" s="532"/>
      <c r="F63" s="43"/>
      <c r="G63" s="41"/>
      <c r="H63" s="41"/>
      <c r="I63" s="42"/>
      <c r="J63" s="292" t="s">
        <v>17</v>
      </c>
      <c r="K63" s="293" t="s">
        <v>147</v>
      </c>
      <c r="L63" s="534" t="s">
        <v>136</v>
      </c>
      <c r="M63" s="534"/>
      <c r="N63" s="535"/>
      <c r="O63" s="294"/>
      <c r="P63" s="12"/>
      <c r="S63" s="23"/>
    </row>
    <row r="64" spans="1:27" ht="15" customHeight="1" thickBot="1">
      <c r="B64" s="571"/>
      <c r="C64" s="349"/>
      <c r="D64" s="574"/>
      <c r="E64" s="547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71"/>
      <c r="C65" s="349"/>
      <c r="D65" s="531"/>
      <c r="E65" s="532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AVERAGE(6,6,'[20]March 31st'!$L$80,'[22]June 30th  '!$L$71,6,L65,'[23]July 31st'!$L$108,'[24]Aug 30th'!$L$124,7,[25]Oct.31st!$L$51)</f>
        <v>#REF!</v>
      </c>
      <c r="N65" s="308">
        <v>9</v>
      </c>
      <c r="O65" s="294"/>
      <c r="P65" s="12"/>
      <c r="S65" s="23"/>
    </row>
    <row r="66" spans="2:58" ht="15" customHeight="1">
      <c r="B66" s="571"/>
      <c r="C66" s="349"/>
      <c r="D66" s="574"/>
      <c r="E66" s="547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71"/>
      <c r="C67" s="349"/>
      <c r="D67" s="531"/>
      <c r="E67" s="532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5">
      <c r="B68" s="571"/>
      <c r="C68" s="349"/>
      <c r="D68" s="574"/>
      <c r="E68" s="547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5">
      <c r="B69" s="571"/>
      <c r="C69" s="349"/>
      <c r="D69" s="531"/>
      <c r="E69" s="532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5">
      <c r="B70" s="571"/>
      <c r="C70" s="349"/>
      <c r="D70" s="575"/>
      <c r="E70" s="576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.75" thickBot="1">
      <c r="B71" s="572"/>
      <c r="C71" s="350"/>
      <c r="D71" s="577"/>
      <c r="E71" s="578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649999999999999" customHeight="1" thickBot="1">
      <c r="B72" s="312" t="s">
        <v>139</v>
      </c>
      <c r="C72" s="313"/>
      <c r="D72" s="568">
        <f>AVERAGE(D50:E71)</f>
        <v>11.73</v>
      </c>
      <c r="E72" s="569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649999999999999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11" t="s">
        <v>17</v>
      </c>
      <c r="C77" s="511" t="s">
        <v>44</v>
      </c>
      <c r="D77" s="522" t="s">
        <v>45</v>
      </c>
      <c r="E77" s="524" t="s">
        <v>46</v>
      </c>
      <c r="F77" s="517" t="s">
        <v>47</v>
      </c>
      <c r="G77" s="509" t="s">
        <v>48</v>
      </c>
      <c r="H77" s="511" t="s">
        <v>49</v>
      </c>
      <c r="I77" s="566" t="s">
        <v>50</v>
      </c>
      <c r="J77" s="503" t="s">
        <v>28</v>
      </c>
      <c r="K77" s="513" t="s">
        <v>51</v>
      </c>
      <c r="L77" s="515" t="s">
        <v>52</v>
      </c>
      <c r="M77" s="503" t="s">
        <v>53</v>
      </c>
      <c r="N77" s="77"/>
      <c r="O77" s="13"/>
      <c r="P77" s="50"/>
    </row>
    <row r="78" spans="2:58" ht="28.5" customHeight="1" thickTop="1" thickBot="1">
      <c r="B78" s="521"/>
      <c r="C78" s="521"/>
      <c r="D78" s="523"/>
      <c r="E78" s="525"/>
      <c r="F78" s="518"/>
      <c r="G78" s="510"/>
      <c r="H78" s="521"/>
      <c r="I78" s="567"/>
      <c r="J78" s="504"/>
      <c r="K78" s="514"/>
      <c r="L78" s="516"/>
      <c r="M78" s="504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[26]December_2023!$U$13</f>
        <v>150.4</v>
      </c>
      <c r="E79" s="378"/>
      <c r="F79" s="379"/>
      <c r="G79" s="303">
        <f>[26]December_2023!$U$17</f>
        <v>120.8</v>
      </c>
      <c r="H79" s="381"/>
      <c r="I79" s="382"/>
      <c r="J79" s="360" t="s">
        <v>150</v>
      </c>
      <c r="K79" s="380">
        <f>[27]December_2023!$U$25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[9]January_2019!D8</f>
        <v>#DIV/0!</v>
      </c>
      <c r="V80" s="57">
        <f>[9]January_2019!E8</f>
        <v>1.0319298245614037</v>
      </c>
      <c r="W80" s="57">
        <f>[9]January_2019!F8</f>
        <v>1.7789473684210526</v>
      </c>
      <c r="X80" s="57">
        <f>[9]January_2019!G8</f>
        <v>0.51929824561403504</v>
      </c>
      <c r="Y80" s="57" t="e">
        <f>[9]January_2019!H8</f>
        <v>#DIV/0!</v>
      </c>
      <c r="Z80" s="57" t="e">
        <f>[9]January_2019!I8</f>
        <v>#DIV/0!</v>
      </c>
      <c r="AA80" s="57">
        <f>[9]January_2019!J8</f>
        <v>1.365263157894737</v>
      </c>
      <c r="AB80" s="57" t="e">
        <f>[9]January_2019!K8</f>
        <v>#DIV/0!</v>
      </c>
      <c r="AC80" s="57">
        <f>[9]January_2019!L8</f>
        <v>1.0028070175438597</v>
      </c>
      <c r="AD80" s="57">
        <f>[9]January_2019!M8</f>
        <v>1.7828070175438597</v>
      </c>
      <c r="AE80" s="57" t="e">
        <f>[9]January_2019!N8</f>
        <v>#DIV/0!</v>
      </c>
      <c r="AF80" s="57" t="e">
        <f>[9]January_2019!O8</f>
        <v>#DIV/0!</v>
      </c>
      <c r="AG80" s="57">
        <f>[9]January_2019!P8</f>
        <v>0.19222222222222221</v>
      </c>
      <c r="AH80" s="57">
        <f>[9]January_2019!Q8</f>
        <v>0.52219298245614032</v>
      </c>
      <c r="AI80" s="57">
        <f>[9]January_2019!R8</f>
        <v>0.42912280701754385</v>
      </c>
      <c r="AJ80" s="57" t="e">
        <f>[9]January_2019!S8</f>
        <v>#DIV/0!</v>
      </c>
      <c r="AK80" s="57">
        <f>[9]January_2019!T8</f>
        <v>1.0340350877192983</v>
      </c>
      <c r="AL80" s="57">
        <f>[9]January_2019!U8</f>
        <v>0.98421052631578942</v>
      </c>
      <c r="AM80" s="57" t="e">
        <f>[9]January_2019!V8</f>
        <v>#DIV/0!</v>
      </c>
      <c r="AN80" s="57" t="e">
        <f>[9]January_2019!W8</f>
        <v>#DIV/0!</v>
      </c>
      <c r="AO80" s="57">
        <f>[9]January_2019!X8</f>
        <v>0.66052631578947374</v>
      </c>
      <c r="AP80" s="57">
        <f>[9]January_2019!Y8</f>
        <v>1.0375438596491227</v>
      </c>
      <c r="AQ80" s="57">
        <f>[9]January_2019!Z8</f>
        <v>0.90456140350877201</v>
      </c>
      <c r="AR80" s="57">
        <f>[9]January_2019!AA8</f>
        <v>1.0217543859649123</v>
      </c>
      <c r="AS80" s="57">
        <f>[9]January_2019!AB8</f>
        <v>0.65614035087719302</v>
      </c>
      <c r="AT80" s="57" t="e">
        <f>[9]January_2019!AC8</f>
        <v>#DIV/0!</v>
      </c>
      <c r="AU80" s="57" t="e">
        <f>[9]January_2019!AD8</f>
        <v>#DIV/0!</v>
      </c>
      <c r="AV80" s="57">
        <f>[9]January_2019!AE8</f>
        <v>1.7021052631578948</v>
      </c>
      <c r="AW80" s="57">
        <f>[9]January_2019!AF8</f>
        <v>0.60192982456140354</v>
      </c>
      <c r="AX80" s="57">
        <f>[9]January_2019!AG8</f>
        <v>1.4870175438596491</v>
      </c>
      <c r="AY80" s="277" t="e">
        <f>[9]January_2019!AH8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5.75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5.75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5.75" thickBot="1">
      <c r="B87" s="505" t="s">
        <v>55</v>
      </c>
      <c r="C87" s="506"/>
      <c r="D87" s="506"/>
      <c r="E87" s="506"/>
      <c r="F87" s="507"/>
      <c r="G87" s="505" t="s">
        <v>56</v>
      </c>
      <c r="H87" s="506"/>
      <c r="I87" s="506"/>
      <c r="J87" s="507"/>
      <c r="K87" s="505" t="s">
        <v>51</v>
      </c>
      <c r="L87" s="506"/>
      <c r="M87" s="506"/>
      <c r="N87" s="508"/>
      <c r="O87" s="56"/>
      <c r="P87" s="50"/>
    </row>
    <row r="88" spans="2:58" ht="15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 ht="15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 ht="15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[26]December_2023!$U$21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 ht="15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 ht="15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 ht="15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 ht="15">
      <c r="B94" s="36" t="s">
        <v>15</v>
      </c>
      <c r="C94" s="282"/>
      <c r="D94" s="76"/>
      <c r="E94" s="76">
        <v>6.4174306465055304</v>
      </c>
      <c r="F94" s="70">
        <f>[10]May_2022!$M$43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 ht="15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5.75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 ht="15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4197" priority="157" operator="notBetween">
      <formula>#REF!</formula>
      <formula>#REF!</formula>
    </cfRule>
  </conditionalFormatting>
  <conditionalFormatting sqref="C76">
    <cfRule type="cellIs" dxfId="4196" priority="190" stopIfTrue="1" operator="greaterThan">
      <formula>100</formula>
    </cfRule>
    <cfRule type="cellIs" dxfId="4195" priority="189" stopIfTrue="1" operator="lessThan">
      <formula>96</formula>
    </cfRule>
  </conditionalFormatting>
  <conditionalFormatting sqref="C90">
    <cfRule type="cellIs" dxfId="4194" priority="212" stopIfTrue="1" operator="greaterThan">
      <formula>$F89</formula>
    </cfRule>
    <cfRule type="cellIs" dxfId="4193" priority="106" stopIfTrue="1" operator="lessThanOrEqual">
      <formula>0</formula>
    </cfRule>
  </conditionalFormatting>
  <conditionalFormatting sqref="C91:C93">
    <cfRule type="cellIs" dxfId="4192" priority="105" stopIfTrue="1" operator="greaterThan">
      <formula>$F91</formula>
    </cfRule>
  </conditionalFormatting>
  <conditionalFormatting sqref="C91:C94">
    <cfRule type="cellIs" dxfId="4191" priority="129" stopIfTrue="1" operator="lessThanOrEqual">
      <formula>0</formula>
    </cfRule>
  </conditionalFormatting>
  <conditionalFormatting sqref="C94">
    <cfRule type="cellIs" dxfId="4190" priority="128" stopIfTrue="1" operator="greaterThan">
      <formula>$J94</formula>
    </cfRule>
  </conditionalFormatting>
  <conditionalFormatting sqref="C95:C97">
    <cfRule type="cellIs" dxfId="4189" priority="145" stopIfTrue="1" operator="greaterThan">
      <formula>$F95</formula>
    </cfRule>
    <cfRule type="cellIs" dxfId="4188" priority="146" stopIfTrue="1" operator="lessThanOrEqual">
      <formula>0</formula>
    </cfRule>
  </conditionalFormatting>
  <conditionalFormatting sqref="C100:C104">
    <cfRule type="cellIs" dxfId="4187" priority="181" stopIfTrue="1" operator="lessThanOrEqual">
      <formula>0</formula>
    </cfRule>
  </conditionalFormatting>
  <conditionalFormatting sqref="C101:C104">
    <cfRule type="cellIs" dxfId="4186" priority="180" stopIfTrue="1" operator="greaterThan">
      <formula>$F$100</formula>
    </cfRule>
  </conditionalFormatting>
  <conditionalFormatting sqref="C106">
    <cfRule type="cellIs" dxfId="4185" priority="183" stopIfTrue="1" operator="lessThanOrEqual">
      <formula>0</formula>
    </cfRule>
    <cfRule type="cellIs" dxfId="4184" priority="182" stopIfTrue="1" operator="greaterThan">
      <formula>$F$100</formula>
    </cfRule>
  </conditionalFormatting>
  <conditionalFormatting sqref="C100:D100 D102:D108">
    <cfRule type="cellIs" dxfId="4183" priority="175" stopIfTrue="1" operator="greaterThan">
      <formula>4.5</formula>
    </cfRule>
  </conditionalFormatting>
  <conditionalFormatting sqref="D72:D73">
    <cfRule type="cellIs" dxfId="4182" priority="158" operator="notBetween">
      <formula>#REF!</formula>
      <formula>#REF!</formula>
    </cfRule>
  </conditionalFormatting>
  <conditionalFormatting sqref="D89:D96">
    <cfRule type="cellIs" dxfId="4181" priority="144" stopIfTrue="1" operator="lessThanOrEqual">
      <formula>0</formula>
    </cfRule>
  </conditionalFormatting>
  <conditionalFormatting sqref="D97">
    <cfRule type="cellIs" dxfId="4180" priority="143" stopIfTrue="1" operator="lessThanOrEqual">
      <formula>0</formula>
    </cfRule>
  </conditionalFormatting>
  <conditionalFormatting sqref="D100 D102:D108">
    <cfRule type="cellIs" dxfId="4179" priority="176" stopIfTrue="1" operator="lessThanOrEqual">
      <formula>0</formula>
    </cfRule>
  </conditionalFormatting>
  <conditionalFormatting sqref="D101">
    <cfRule type="cellIs" dxfId="4178" priority="167" stopIfTrue="1" operator="greaterThan">
      <formula>$F$100</formula>
    </cfRule>
    <cfRule type="cellIs" dxfId="4177" priority="168" stopIfTrue="1" operator="lessThanOrEqual">
      <formula>0</formula>
    </cfRule>
  </conditionalFormatting>
  <conditionalFormatting sqref="D89:E97">
    <cfRule type="cellIs" dxfId="4176" priority="135" stopIfTrue="1" operator="greaterThan">
      <formula>$F89</formula>
    </cfRule>
  </conditionalFormatting>
  <conditionalFormatting sqref="E10:E14">
    <cfRule type="cellIs" dxfId="4175" priority="52" operator="lessThan">
      <formula>48</formula>
    </cfRule>
  </conditionalFormatting>
  <conditionalFormatting sqref="E33:E46">
    <cfRule type="cellIs" dxfId="4174" priority="25" operator="lessThan">
      <formula>48</formula>
    </cfRule>
  </conditionalFormatting>
  <conditionalFormatting sqref="E76">
    <cfRule type="cellIs" dxfId="4173" priority="169" stopIfTrue="1" operator="lessThan">
      <formula>96.8</formula>
    </cfRule>
    <cfRule type="cellIs" dxfId="4172" priority="170" stopIfTrue="1" operator="greaterThan">
      <formula>100</formula>
    </cfRule>
  </conditionalFormatting>
  <conditionalFormatting sqref="E89:E97">
    <cfRule type="cellIs" dxfId="4171" priority="136" stopIfTrue="1" operator="lessThanOrEqual">
      <formula>0</formula>
    </cfRule>
  </conditionalFormatting>
  <conditionalFormatting sqref="E100:E108">
    <cfRule type="cellIs" dxfId="4170" priority="161" stopIfTrue="1" operator="greaterThan">
      <formula>4.5</formula>
    </cfRule>
    <cfRule type="cellIs" dxfId="4169" priority="162" stopIfTrue="1" operator="lessThanOrEqual">
      <formula>0</formula>
    </cfRule>
  </conditionalFormatting>
  <conditionalFormatting sqref="E75:F76">
    <cfRule type="cellIs" dxfId="4168" priority="171" stopIfTrue="1" operator="lessThan">
      <formula>96.5</formula>
    </cfRule>
    <cfRule type="cellIs" dxfId="4167" priority="172" stopIfTrue="1" operator="greaterThan">
      <formula>100</formula>
    </cfRule>
  </conditionalFormatting>
  <conditionalFormatting sqref="F10:F12">
    <cfRule type="cellIs" dxfId="4166" priority="62" operator="greaterThan">
      <formula>#REF!</formula>
    </cfRule>
  </conditionalFormatting>
  <conditionalFormatting sqref="F10:F47">
    <cfRule type="cellIs" dxfId="4165" priority="15" operator="greaterThan">
      <formula>$AA10</formula>
    </cfRule>
  </conditionalFormatting>
  <conditionalFormatting sqref="F13">
    <cfRule type="cellIs" dxfId="4164" priority="53" operator="greaterThan">
      <formula>$AA47</formula>
    </cfRule>
  </conditionalFormatting>
  <conditionalFormatting sqref="F14">
    <cfRule type="cellIs" dxfId="4163" priority="196" operator="greaterThan">
      <formula>#REF!</formula>
    </cfRule>
  </conditionalFormatting>
  <conditionalFormatting sqref="F33:F46">
    <cfRule type="cellIs" dxfId="4162" priority="26" operator="greaterThan">
      <formula>$AA48</formula>
    </cfRule>
  </conditionalFormatting>
  <conditionalFormatting sqref="F76">
    <cfRule type="cellIs" dxfId="4161" priority="188" stopIfTrue="1" operator="greaterThan">
      <formula>100</formula>
    </cfRule>
    <cfRule type="cellIs" dxfId="4160" priority="187" stopIfTrue="1" operator="lessThan">
      <formula>96.8</formula>
    </cfRule>
  </conditionalFormatting>
  <conditionalFormatting sqref="F97">
    <cfRule type="cellIs" dxfId="4159" priority="137" stopIfTrue="1" operator="greaterThan">
      <formula>$F97</formula>
    </cfRule>
    <cfRule type="cellIs" dxfId="4158" priority="138" stopIfTrue="1" operator="lessThanOrEqual">
      <formula>0</formula>
    </cfRule>
  </conditionalFormatting>
  <conditionalFormatting sqref="G10:G14">
    <cfRule type="expression" dxfId="4157" priority="54">
      <formula>IF(+(IF(G10&lt;#REF!,0,IF(G10&gt;#REF!,0,1)))=0,1)</formula>
    </cfRule>
  </conditionalFormatting>
  <conditionalFormatting sqref="G33:G46">
    <cfRule type="expression" dxfId="4156" priority="27">
      <formula>IF(+(IF(G33&lt;#REF!,0,IF(G33&gt;#REF!,0,1)))=0,1)</formula>
    </cfRule>
  </conditionalFormatting>
  <conditionalFormatting sqref="G90">
    <cfRule type="cellIs" dxfId="4155" priority="71" stopIfTrue="1" operator="lessThanOrEqual">
      <formula>0</formula>
    </cfRule>
    <cfRule type="cellIs" dxfId="4154" priority="70" stopIfTrue="1" operator="greaterThan">
      <formula>$F89</formula>
    </cfRule>
  </conditionalFormatting>
  <conditionalFormatting sqref="G90:G91">
    <cfRule type="cellIs" dxfId="4153" priority="192" stopIfTrue="1" operator="lessThanOrEqual">
      <formula>0</formula>
    </cfRule>
    <cfRule type="cellIs" dxfId="4152" priority="191" stopIfTrue="1" operator="greaterThan">
      <formula>$F89</formula>
    </cfRule>
  </conditionalFormatting>
  <conditionalFormatting sqref="G92">
    <cfRule type="cellIs" dxfId="4151" priority="140" stopIfTrue="1" operator="lessThanOrEqual">
      <formula>0</formula>
    </cfRule>
    <cfRule type="cellIs" dxfId="4150" priority="139" stopIfTrue="1" operator="greaterThan">
      <formula>$F92</formula>
    </cfRule>
  </conditionalFormatting>
  <conditionalFormatting sqref="G93:G96">
    <cfRule type="cellIs" dxfId="4149" priority="149" stopIfTrue="1" operator="lessThanOrEqual">
      <formula>0</formula>
    </cfRule>
    <cfRule type="cellIs" dxfId="4148" priority="148" stopIfTrue="1" operator="greaterThan">
      <formula>$J93</formula>
    </cfRule>
  </conditionalFormatting>
  <conditionalFormatting sqref="G97">
    <cfRule type="cellIs" dxfId="4147" priority="147" operator="greaterThan">
      <formula>4.5</formula>
    </cfRule>
  </conditionalFormatting>
  <conditionalFormatting sqref="G102:G107 C105 C107">
    <cfRule type="cellIs" dxfId="4146" priority="184" stopIfTrue="1" operator="greaterThan">
      <formula>4.5</formula>
    </cfRule>
    <cfRule type="cellIs" dxfId="4145" priority="185" stopIfTrue="1" operator="lessThanOrEqual">
      <formula>0</formula>
    </cfRule>
  </conditionalFormatting>
  <conditionalFormatting sqref="G62:H62 G63:G73 H63:H74">
    <cfRule type="cellIs" dxfId="4144" priority="163" stopIfTrue="1" operator="greaterThan">
      <formula>0</formula>
    </cfRule>
  </conditionalFormatting>
  <conditionalFormatting sqref="G101:H101">
    <cfRule type="cellIs" dxfId="4143" priority="166" stopIfTrue="1" operator="lessThanOrEqual">
      <formula>0</formula>
    </cfRule>
    <cfRule type="cellIs" dxfId="4142" priority="165" stopIfTrue="1" operator="greaterThan">
      <formula>$F$100</formula>
    </cfRule>
  </conditionalFormatting>
  <conditionalFormatting sqref="H10">
    <cfRule type="expression" dxfId="4141" priority="63">
      <formula>IF(+(IF(H10&lt;T27,0,IF(H10&gt;U27,0,1)))=0,1)</formula>
    </cfRule>
  </conditionalFormatting>
  <conditionalFormatting sqref="H10:H12">
    <cfRule type="expression" dxfId="4140" priority="64">
      <formula>IF(+(IF(H10&lt;#REF!,0,IF(H10&gt;#REF!,0,1)))=0,1)</formula>
    </cfRule>
  </conditionalFormatting>
  <conditionalFormatting sqref="H11:H12">
    <cfRule type="expression" dxfId="4139" priority="207">
      <formula>IF(+(IF(H11&lt;T47,0,IF(H11&gt;U47,0,1)))=0,1)</formula>
    </cfRule>
  </conditionalFormatting>
  <conditionalFormatting sqref="H13">
    <cfRule type="expression" dxfId="4138" priority="55">
      <formula>IF(+(IF(H13&lt;T56,0,IF(H13&gt;U56,0,1)))=0,1)</formula>
    </cfRule>
    <cfRule type="expression" dxfId="4137" priority="56">
      <formula>IF(+(IF(H13&lt;T47,0,IF(H13&gt;U47,0,1)))=0,1)</formula>
    </cfRule>
  </conditionalFormatting>
  <conditionalFormatting sqref="H14">
    <cfRule type="expression" dxfId="4136" priority="197">
      <formula>IF(+(IF(H14&lt;T50,0,IF(H14&gt;U50,0,1)))=0,1)</formula>
    </cfRule>
    <cfRule type="expression" dxfId="4135" priority="198">
      <formula>IF(+(IF(H14&lt;#REF!,0,IF(H14&gt;#REF!,0,1)))=0,1)</formula>
    </cfRule>
  </conditionalFormatting>
  <conditionalFormatting sqref="H15:H32">
    <cfRule type="expression" dxfId="4134" priority="209">
      <formula>IF(+(IF(H15&lt;T66,0,IF(H15&gt;U66,0,1)))=0,1)</formula>
    </cfRule>
  </conditionalFormatting>
  <conditionalFormatting sqref="H33:H46">
    <cfRule type="expression" dxfId="4133" priority="29">
      <formula>IF(+(IF(H33&lt;T48,0,IF(H33&gt;U48,0,1)))=0,1)</formula>
    </cfRule>
    <cfRule type="expression" dxfId="4132" priority="28">
      <formula>IF(+(IF(H33&lt;T57,0,IF(H33&gt;U57,0,1)))=0,1)</formula>
    </cfRule>
  </conditionalFormatting>
  <conditionalFormatting sqref="H47">
    <cfRule type="expression" dxfId="4131" priority="193">
      <formula>IF(+(IF(H47&lt;#REF!,0,IF(H47&gt;#REF!,0,1)))=0,1)</formula>
    </cfRule>
  </conditionalFormatting>
  <conditionalFormatting sqref="H51:H61">
    <cfRule type="cellIs" dxfId="4130" priority="159" stopIfTrue="1" operator="greaterThan">
      <formula>0</formula>
    </cfRule>
  </conditionalFormatting>
  <conditionalFormatting sqref="H79">
    <cfRule type="cellIs" dxfId="4129" priority="12" stopIfTrue="1" operator="lessThanOrEqual">
      <formula>0</formula>
    </cfRule>
    <cfRule type="cellIs" dxfId="4128" priority="14" stopIfTrue="1" operator="lessThanOrEqual">
      <formula>0</formula>
    </cfRule>
    <cfRule type="cellIs" dxfId="4127" priority="13" stopIfTrue="1" operator="greaterThan">
      <formula>$F$54</formula>
    </cfRule>
    <cfRule type="cellIs" dxfId="4126" priority="11" stopIfTrue="1" operator="greaterThan">
      <formula>$F$56</formula>
    </cfRule>
    <cfRule type="cellIs" dxfId="4125" priority="2" stopIfTrue="1" operator="lessThanOrEqual">
      <formula>0</formula>
    </cfRule>
    <cfRule type="cellIs" dxfId="4124" priority="3" stopIfTrue="1" operator="greaterThan">
      <formula>$F$53</formula>
    </cfRule>
  </conditionalFormatting>
  <conditionalFormatting sqref="H80">
    <cfRule type="cellIs" dxfId="4123" priority="92" stopIfTrue="1" operator="lessThanOrEqual">
      <formula>0</formula>
    </cfRule>
    <cfRule type="cellIs" dxfId="4122" priority="93" stopIfTrue="1" operator="greaterThan">
      <formula>$F$88</formula>
    </cfRule>
    <cfRule type="cellIs" dxfId="4121" priority="104" stopIfTrue="1" operator="lessThanOrEqual">
      <formula>0</formula>
    </cfRule>
    <cfRule type="cellIs" dxfId="4120" priority="101" stopIfTrue="1" operator="greaterThan">
      <formula>$F$91</formula>
    </cfRule>
    <cfRule type="cellIs" dxfId="4119" priority="102" stopIfTrue="1" operator="lessThanOrEqual">
      <formula>0</formula>
    </cfRule>
    <cfRule type="cellIs" dxfId="4118" priority="103" stopIfTrue="1" operator="greaterThan">
      <formula>$F$89</formula>
    </cfRule>
  </conditionalFormatting>
  <conditionalFormatting sqref="H81">
    <cfRule type="cellIs" dxfId="4117" priority="45" stopIfTrue="1" operator="lessThanOrEqual">
      <formula>0</formula>
    </cfRule>
    <cfRule type="cellIs" dxfId="4116" priority="36" stopIfTrue="1" operator="greaterThan">
      <formula>$F$72</formula>
    </cfRule>
    <cfRule type="cellIs" dxfId="4115" priority="35" stopIfTrue="1" operator="lessThanOrEqual">
      <formula>0</formula>
    </cfRule>
    <cfRule type="cellIs" dxfId="4114" priority="44" stopIfTrue="1" operator="greaterThan">
      <formula>$F$75</formula>
    </cfRule>
    <cfRule type="cellIs" dxfId="4113" priority="47" stopIfTrue="1" operator="lessThanOrEqual">
      <formula>0</formula>
    </cfRule>
    <cfRule type="cellIs" dxfId="4112" priority="46" stopIfTrue="1" operator="greaterThan">
      <formula>$F$73</formula>
    </cfRule>
  </conditionalFormatting>
  <conditionalFormatting sqref="H82">
    <cfRule type="cellIs" dxfId="4111" priority="84" stopIfTrue="1" operator="greaterThan">
      <formula>#REF!</formula>
    </cfRule>
    <cfRule type="cellIs" dxfId="4110" priority="75" stopIfTrue="1" operator="lessThanOrEqual">
      <formula>0</formula>
    </cfRule>
    <cfRule type="cellIs" dxfId="4109" priority="76" stopIfTrue="1" operator="greaterThan">
      <formula>#REF!</formula>
    </cfRule>
  </conditionalFormatting>
  <conditionalFormatting sqref="H82:H84">
    <cfRule type="cellIs" dxfId="4108" priority="85" stopIfTrue="1" operator="lessThanOrEqual">
      <formula>0</formula>
    </cfRule>
  </conditionalFormatting>
  <conditionalFormatting sqref="H83:H84">
    <cfRule type="cellIs" dxfId="4107" priority="125" stopIfTrue="1" operator="lessThanOrEqual">
      <formula>0</formula>
    </cfRule>
    <cfRule type="cellIs" dxfId="4106" priority="124" stopIfTrue="1" operator="greaterThan">
      <formula>$F$90</formula>
    </cfRule>
    <cfRule type="cellIs" dxfId="4105" priority="122" stopIfTrue="1" operator="greaterThan">
      <formula>$F$92</formula>
    </cfRule>
    <cfRule type="cellIs" dxfId="4104" priority="114" stopIfTrue="1" operator="greaterThan">
      <formula>$F$89</formula>
    </cfRule>
    <cfRule type="cellIs" dxfId="4103" priority="123" stopIfTrue="1" operator="lessThanOrEqual">
      <formula>0</formula>
    </cfRule>
  </conditionalFormatting>
  <conditionalFormatting sqref="H85">
    <cfRule type="cellIs" dxfId="4102" priority="155" stopIfTrue="1" operator="greaterThan">
      <formula>$F$82</formula>
    </cfRule>
    <cfRule type="cellIs" dxfId="4101" priority="156" stopIfTrue="1" operator="lessThanOrEqual">
      <formula>0</formula>
    </cfRule>
    <cfRule type="cellIs" dxfId="4100" priority="153" stopIfTrue="1" operator="greaterThan">
      <formula>$F$86</formula>
    </cfRule>
    <cfRule type="cellIs" dxfId="4099" priority="154" stopIfTrue="1" operator="lessThanOrEqual">
      <formula>0</formula>
    </cfRule>
  </conditionalFormatting>
  <conditionalFormatting sqref="H89:H96">
    <cfRule type="cellIs" dxfId="4098" priority="127" stopIfTrue="1" operator="lessThanOrEqual">
      <formula>0</formula>
    </cfRule>
    <cfRule type="cellIs" dxfId="4097" priority="126" stopIfTrue="1" operator="greaterThan">
      <formula>$J89</formula>
    </cfRule>
  </conditionalFormatting>
  <conditionalFormatting sqref="H97">
    <cfRule type="cellIs" dxfId="4096" priority="132" operator="greaterThan">
      <formula>5.3</formula>
    </cfRule>
  </conditionalFormatting>
  <conditionalFormatting sqref="H100 H102:H108">
    <cfRule type="cellIs" dxfId="4095" priority="177" stopIfTrue="1" operator="greaterThan">
      <formula>4.5</formula>
    </cfRule>
    <cfRule type="cellIs" dxfId="4094" priority="178" stopIfTrue="1" operator="lessThanOrEqual">
      <formula>0</formula>
    </cfRule>
  </conditionalFormatting>
  <conditionalFormatting sqref="H79:I79">
    <cfRule type="cellIs" dxfId="4093" priority="4" stopIfTrue="1" operator="lessThanOrEqual">
      <formula>0</formula>
    </cfRule>
    <cfRule type="cellIs" dxfId="4092" priority="1" stopIfTrue="1" operator="greaterThan">
      <formula>$F$55</formula>
    </cfRule>
  </conditionalFormatting>
  <conditionalFormatting sqref="H80:I80">
    <cfRule type="cellIs" dxfId="4091" priority="94" stopIfTrue="1" operator="lessThanOrEqual">
      <formula>0</formula>
    </cfRule>
    <cfRule type="cellIs" dxfId="4090" priority="91" stopIfTrue="1" operator="greaterThan">
      <formula>$F$90</formula>
    </cfRule>
  </conditionalFormatting>
  <conditionalFormatting sqref="H81:I81">
    <cfRule type="cellIs" dxfId="4089" priority="37" stopIfTrue="1" operator="lessThanOrEqual">
      <formula>0</formula>
    </cfRule>
    <cfRule type="cellIs" dxfId="4088" priority="34" stopIfTrue="1" operator="greaterThan">
      <formula>$F$74</formula>
    </cfRule>
  </conditionalFormatting>
  <conditionalFormatting sqref="H82:I82">
    <cfRule type="cellIs" dxfId="4087" priority="83" stopIfTrue="1" operator="lessThanOrEqual">
      <formula>0</formula>
    </cfRule>
    <cfRule type="cellIs" dxfId="4086" priority="82" stopIfTrue="1" operator="greaterThan">
      <formula>#REF!</formula>
    </cfRule>
    <cfRule type="cellIs" dxfId="4085" priority="74" stopIfTrue="1" operator="greaterThan">
      <formula>#REF!</formula>
    </cfRule>
    <cfRule type="cellIs" dxfId="4084" priority="77" stopIfTrue="1" operator="lessThanOrEqual">
      <formula>0</formula>
    </cfRule>
  </conditionalFormatting>
  <conditionalFormatting sqref="H83:I83">
    <cfRule type="cellIs" dxfId="4083" priority="115" stopIfTrue="1" operator="lessThanOrEqual">
      <formula>0</formula>
    </cfRule>
  </conditionalFormatting>
  <conditionalFormatting sqref="H83:I84">
    <cfRule type="cellIs" dxfId="4082" priority="72" stopIfTrue="1" operator="greaterThan">
      <formula>$F$91</formula>
    </cfRule>
  </conditionalFormatting>
  <conditionalFormatting sqref="H84:I84">
    <cfRule type="cellIs" dxfId="4081" priority="73" stopIfTrue="1" operator="lessThanOrEqual">
      <formula>0</formula>
    </cfRule>
  </conditionalFormatting>
  <conditionalFormatting sqref="I10:I14">
    <cfRule type="cellIs" dxfId="4080" priority="49" operator="lessThan">
      <formula>97.8</formula>
    </cfRule>
  </conditionalFormatting>
  <conditionalFormatting sqref="I10:I47">
    <cfRule type="cellIs" dxfId="4079" priority="21" operator="lessThan">
      <formula>98</formula>
    </cfRule>
  </conditionalFormatting>
  <conditionalFormatting sqref="I33:I46">
    <cfRule type="cellIs" dxfId="4078" priority="22" operator="lessThan">
      <formula>97.8</formula>
    </cfRule>
  </conditionalFormatting>
  <conditionalFormatting sqref="I79">
    <cfRule type="cellIs" dxfId="4077" priority="5" stopIfTrue="1" operator="greaterThan">
      <formula>$F$53</formula>
    </cfRule>
    <cfRule type="cellIs" dxfId="4076" priority="6" stopIfTrue="1" operator="lessThanOrEqual">
      <formula>0</formula>
    </cfRule>
    <cfRule type="cellIs" dxfId="4075" priority="7" stopIfTrue="1" operator="greaterThan">
      <formula>$F$55</formula>
    </cfRule>
    <cfRule type="cellIs" dxfId="4074" priority="8" stopIfTrue="1" operator="lessThanOrEqual">
      <formula>0</formula>
    </cfRule>
    <cfRule type="cellIs" dxfId="4073" priority="9" stopIfTrue="1" operator="greaterThan">
      <formula>$F$53</formula>
    </cfRule>
    <cfRule type="cellIs" dxfId="4072" priority="10" stopIfTrue="1" operator="lessThanOrEqual">
      <formula>0</formula>
    </cfRule>
  </conditionalFormatting>
  <conditionalFormatting sqref="I80">
    <cfRule type="cellIs" dxfId="4071" priority="99" stopIfTrue="1" operator="greaterThan">
      <formula>$F$88</formula>
    </cfRule>
    <cfRule type="cellIs" dxfId="4070" priority="97" stopIfTrue="1" operator="greaterThan">
      <formula>$F$90</formula>
    </cfRule>
    <cfRule type="cellIs" dxfId="4069" priority="96" stopIfTrue="1" operator="lessThanOrEqual">
      <formula>0</formula>
    </cfRule>
    <cfRule type="cellIs" dxfId="4068" priority="95" stopIfTrue="1" operator="greaterThan">
      <formula>$F$88</formula>
    </cfRule>
    <cfRule type="cellIs" dxfId="4067" priority="100" stopIfTrue="1" operator="lessThanOrEqual">
      <formula>0</formula>
    </cfRule>
    <cfRule type="cellIs" dxfId="4066" priority="98" stopIfTrue="1" operator="lessThanOrEqual">
      <formula>0</formula>
    </cfRule>
  </conditionalFormatting>
  <conditionalFormatting sqref="I81">
    <cfRule type="cellIs" dxfId="4065" priority="43" stopIfTrue="1" operator="lessThanOrEqual">
      <formula>0</formula>
    </cfRule>
    <cfRule type="cellIs" dxfId="4064" priority="42" stopIfTrue="1" operator="greaterThan">
      <formula>$F$72</formula>
    </cfRule>
    <cfRule type="cellIs" dxfId="4063" priority="41" stopIfTrue="1" operator="lessThanOrEqual">
      <formula>0</formula>
    </cfRule>
    <cfRule type="cellIs" dxfId="4062" priority="40" stopIfTrue="1" operator="greaterThan">
      <formula>$F$74</formula>
    </cfRule>
    <cfRule type="cellIs" dxfId="4061" priority="39" stopIfTrue="1" operator="lessThanOrEqual">
      <formula>0</formula>
    </cfRule>
    <cfRule type="cellIs" dxfId="4060" priority="38" stopIfTrue="1" operator="greaterThan">
      <formula>$F$72</formula>
    </cfRule>
  </conditionalFormatting>
  <conditionalFormatting sqref="I82">
    <cfRule type="cellIs" dxfId="4059" priority="80" stopIfTrue="1" operator="greaterThan">
      <formula>#REF!</formula>
    </cfRule>
    <cfRule type="cellIs" dxfId="4058" priority="79" stopIfTrue="1" operator="lessThanOrEqual">
      <formula>0</formula>
    </cfRule>
    <cfRule type="cellIs" dxfId="4057" priority="78" stopIfTrue="1" operator="greaterThan">
      <formula>#REF!</formula>
    </cfRule>
    <cfRule type="cellIs" dxfId="4056" priority="81" stopIfTrue="1" operator="lessThanOrEqual">
      <formula>0</formula>
    </cfRule>
  </conditionalFormatting>
  <conditionalFormatting sqref="I83:I84">
    <cfRule type="cellIs" dxfId="4055" priority="118" stopIfTrue="1" operator="greaterThan">
      <formula>$F$91</formula>
    </cfRule>
    <cfRule type="cellIs" dxfId="4054" priority="116" stopIfTrue="1" operator="greaterThan">
      <formula>$F$89</formula>
    </cfRule>
    <cfRule type="cellIs" dxfId="4053" priority="117" stopIfTrue="1" operator="lessThanOrEqual">
      <formula>0</formula>
    </cfRule>
    <cfRule type="cellIs" dxfId="4052" priority="119" stopIfTrue="1" operator="lessThanOrEqual">
      <formula>0</formula>
    </cfRule>
    <cfRule type="cellIs" dxfId="4051" priority="120" stopIfTrue="1" operator="greaterThan">
      <formula>$F$89</formula>
    </cfRule>
    <cfRule type="cellIs" dxfId="4050" priority="121" stopIfTrue="1" operator="lessThanOrEqual">
      <formula>0</formula>
    </cfRule>
  </conditionalFormatting>
  <conditionalFormatting sqref="I89:I97">
    <cfRule type="cellIs" dxfId="4049" priority="133" stopIfTrue="1" operator="greaterThan">
      <formula>$J89</formula>
    </cfRule>
    <cfRule type="cellIs" dxfId="4048" priority="134" stopIfTrue="1" operator="lessThanOrEqual">
      <formula>0</formula>
    </cfRule>
  </conditionalFormatting>
  <conditionalFormatting sqref="I100:I108">
    <cfRule type="cellIs" dxfId="4047" priority="173" stopIfTrue="1" operator="greaterThan">
      <formula>4.5</formula>
    </cfRule>
    <cfRule type="cellIs" dxfId="4046" priority="174" stopIfTrue="1" operator="lessThanOrEqual">
      <formula>0</formula>
    </cfRule>
  </conditionalFormatting>
  <conditionalFormatting sqref="J10:J14">
    <cfRule type="cellIs" dxfId="4045" priority="51" operator="notBetween">
      <formula>98</formula>
      <formula>99.9</formula>
    </cfRule>
  </conditionalFormatting>
  <conditionalFormatting sqref="J10:J47">
    <cfRule type="cellIs" dxfId="4044" priority="20" operator="lessThan">
      <formula>97.4</formula>
    </cfRule>
  </conditionalFormatting>
  <conditionalFormatting sqref="J33:J46">
    <cfRule type="cellIs" dxfId="4043" priority="24" operator="notBetween">
      <formula>98</formula>
      <formula>99.9</formula>
    </cfRule>
  </conditionalFormatting>
  <conditionalFormatting sqref="J50:J52">
    <cfRule type="cellIs" dxfId="4042" priority="108" stopIfTrue="1" operator="greaterThan">
      <formula>100</formula>
    </cfRule>
    <cfRule type="cellIs" dxfId="4041" priority="109" operator="lessThan">
      <formula>98</formula>
    </cfRule>
    <cfRule type="cellIs" dxfId="4040" priority="107" stopIfTrue="1" operator="lessThan">
      <formula>96.8</formula>
    </cfRule>
  </conditionalFormatting>
  <conditionalFormatting sqref="J50:J54">
    <cfRule type="cellIs" dxfId="4039" priority="48" operator="lessThan">
      <formula>97.4</formula>
    </cfRule>
  </conditionalFormatting>
  <conditionalFormatting sqref="J55 L59:M59 L61:M61">
    <cfRule type="cellIs" dxfId="4038" priority="110" operator="lessThan">
      <formula>98</formula>
    </cfRule>
  </conditionalFormatting>
  <conditionalFormatting sqref="J56:J57">
    <cfRule type="cellIs" dxfId="4037" priority="111" stopIfTrue="1" operator="lessThan">
      <formula>96.8</formula>
    </cfRule>
    <cfRule type="cellIs" dxfId="4036" priority="112" stopIfTrue="1" operator="greaterThan">
      <formula>100</formula>
    </cfRule>
  </conditionalFormatting>
  <conditionalFormatting sqref="J56:J58">
    <cfRule type="cellIs" dxfId="4035" priority="113" operator="lessThan">
      <formula>98</formula>
    </cfRule>
  </conditionalFormatting>
  <conditionalFormatting sqref="K10:K14">
    <cfRule type="cellIs" dxfId="4034" priority="50" operator="greaterThan">
      <formula>6.4</formula>
    </cfRule>
  </conditionalFormatting>
  <conditionalFormatting sqref="K10:K47">
    <cfRule type="cellIs" dxfId="4033" priority="17" operator="lessThan">
      <formula>4</formula>
    </cfRule>
    <cfRule type="cellIs" dxfId="4032" priority="16" operator="greaterThan">
      <formula>6</formula>
    </cfRule>
  </conditionalFormatting>
  <conditionalFormatting sqref="K33:K46">
    <cfRule type="cellIs" dxfId="4031" priority="23" operator="greaterThan">
      <formula>6.4</formula>
    </cfRule>
  </conditionalFormatting>
  <conditionalFormatting sqref="K64:K73">
    <cfRule type="cellIs" dxfId="4030" priority="141" operator="notEqual">
      <formula>#REF!</formula>
    </cfRule>
  </conditionalFormatting>
  <conditionalFormatting sqref="K79:K84 J85:K85 L89:N89 K90:N97">
    <cfRule type="cellIs" dxfId="4029" priority="152" stopIfTrue="1" operator="lessThan">
      <formula>100%</formula>
    </cfRule>
  </conditionalFormatting>
  <conditionalFormatting sqref="K100:K105">
    <cfRule type="cellIs" dxfId="4028" priority="179" stopIfTrue="1" operator="lessThan">
      <formula>100%</formula>
    </cfRule>
  </conditionalFormatting>
  <conditionalFormatting sqref="K107:K108">
    <cfRule type="cellIs" dxfId="4027" priority="186" stopIfTrue="1" operator="lessThan">
      <formula>100%</formula>
    </cfRule>
  </conditionalFormatting>
  <conditionalFormatting sqref="L10:L47">
    <cfRule type="cellIs" dxfId="4026" priority="19" operator="greaterThan">
      <formula>65</formula>
    </cfRule>
    <cfRule type="cellIs" dxfId="4025" priority="18" operator="between">
      <formula>61</formula>
      <formula>65</formula>
    </cfRule>
  </conditionalFormatting>
  <conditionalFormatting sqref="L52:L58">
    <cfRule type="cellIs" dxfId="4024" priority="88" operator="lessThan">
      <formula>98</formula>
    </cfRule>
  </conditionalFormatting>
  <conditionalFormatting sqref="L65:N65">
    <cfRule type="cellIs" dxfId="4023" priority="87" operator="notEqual">
      <formula>#REF!</formula>
    </cfRule>
  </conditionalFormatting>
  <conditionalFormatting sqref="L100:N108">
    <cfRule type="cellIs" dxfId="4022" priority="164" stopIfTrue="1" operator="lessThan">
      <formula>100%</formula>
    </cfRule>
  </conditionalFormatting>
  <conditionalFormatting sqref="M10:M11">
    <cfRule type="expression" dxfId="4021" priority="65">
      <formula>IF(+(IF(M10&lt;V23,0,IF(M10&gt;W23,0,1)))=0,1)</formula>
    </cfRule>
  </conditionalFormatting>
  <conditionalFormatting sqref="M13">
    <cfRule type="expression" dxfId="4020" priority="58">
      <formula>IF(+(IF(M13&lt;V47,0,IF(M13&gt;W47,0,1)))=0,1)</formula>
    </cfRule>
    <cfRule type="expression" dxfId="4019" priority="57">
      <formula>IF(+(IF(M13&lt;V52,0,IF(M13&gt;W52,0,1)))=0,1)</formula>
    </cfRule>
  </conditionalFormatting>
  <conditionalFormatting sqref="M14">
    <cfRule type="expression" dxfId="4018" priority="199">
      <formula>IF(+(IF(M14&lt;V27,0,IF(M14&gt;W27,0,1)))=0,1)</formula>
    </cfRule>
  </conditionalFormatting>
  <conditionalFormatting sqref="M15:M32">
    <cfRule type="expression" dxfId="4017" priority="210">
      <formula>IF(+(IF(M15&lt;V62,0,IF(M15&gt;W62,0,1)))=0,1)</formula>
    </cfRule>
  </conditionalFormatting>
  <conditionalFormatting sqref="M33:M46">
    <cfRule type="expression" dxfId="4016" priority="31">
      <formula>IF(+(IF(M33&lt;V48,0,IF(M33&gt;W48,0,1)))=0,1)</formula>
    </cfRule>
    <cfRule type="expression" dxfId="4015" priority="30">
      <formula>IF(+(IF(M33&lt;V53,0,IF(M33&gt;W53,0,1)))=0,1)</formula>
    </cfRule>
  </conditionalFormatting>
  <conditionalFormatting sqref="M50:M58">
    <cfRule type="cellIs" dxfId="4014" priority="86" operator="lessThan">
      <formula>98</formula>
    </cfRule>
  </conditionalFormatting>
  <conditionalFormatting sqref="M10:N12">
    <cfRule type="expression" dxfId="4013" priority="66">
      <formula>IF(+(IF(M10&lt;#REF!,0,IF(M10&gt;#REF!,0,1)))=0,1)</formula>
    </cfRule>
  </conditionalFormatting>
  <conditionalFormatting sqref="M14:N14">
    <cfRule type="expression" dxfId="4012" priority="200">
      <formula>IF(+(IF(M14&lt;#REF!,0,IF(M14&gt;#REF!,0,1)))=0,1)</formula>
    </cfRule>
  </conditionalFormatting>
  <conditionalFormatting sqref="M47:N47">
    <cfRule type="expression" dxfId="4011" priority="194">
      <formula>IF(+(IF(M47&lt;#REF!,0,IF(M47&gt;#REF!,0,1)))=0,1)</formula>
    </cfRule>
  </conditionalFormatting>
  <conditionalFormatting sqref="N10:N11">
    <cfRule type="expression" dxfId="4010" priority="67">
      <formula>IF(+(IF(N10&lt;X23,0,IF(N10&gt;Y23,0,1)))=0,1)</formula>
    </cfRule>
  </conditionalFormatting>
  <conditionalFormatting sqref="N13">
    <cfRule type="expression" dxfId="4009" priority="60">
      <formula>IF(+(IF(N13&lt;X47,0,IF(N13&gt;Y47,0,1)))=0,1)</formula>
    </cfRule>
    <cfRule type="expression" dxfId="4008" priority="59">
      <formula>IF(+(IF(N13&lt;X52,0,IF(N13&gt;Y52,0,1)))=0,1)</formula>
    </cfRule>
  </conditionalFormatting>
  <conditionalFormatting sqref="N14">
    <cfRule type="expression" dxfId="4007" priority="203">
      <formula>IF(+(IF(N14&lt;X27,0,IF(N14&gt;Y27,0,1)))=0,1)</formula>
    </cfRule>
  </conditionalFormatting>
  <conditionalFormatting sqref="N15:N32">
    <cfRule type="expression" dxfId="4006" priority="211">
      <formula>IF(+(IF(N15&lt;X62,0,IF(N15&gt;Y62,0,1)))=0,1)</formula>
    </cfRule>
  </conditionalFormatting>
  <conditionalFormatting sqref="N33:N46">
    <cfRule type="expression" dxfId="4005" priority="33">
      <formula>IF(+(IF(N33&lt;X48,0,IF(N33&gt;Y48,0,1)))=0,1)</formula>
    </cfRule>
    <cfRule type="expression" dxfId="4004" priority="32">
      <formula>IF(+(IF(N33&lt;X53,0,IF(N33&gt;Y53,0,1)))=0,1)</formula>
    </cfRule>
  </conditionalFormatting>
  <conditionalFormatting sqref="P6">
    <cfRule type="cellIs" dxfId="4003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46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24FF-5403-4C2A-A8A0-D01B85C1A9F7}">
  <sheetPr codeName="Sheet2">
    <pageSetUpPr fitToPage="1"/>
  </sheetPr>
  <dimension ref="A1:BE70"/>
  <sheetViews>
    <sheetView topLeftCell="A31" zoomScale="90" zoomScaleNormal="90" workbookViewId="0">
      <selection activeCell="K12" sqref="K12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46024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[4]Brewhouse!$A42</f>
        <v>CA001</v>
      </c>
      <c r="D10" s="279">
        <f>[4]Brewhouse!$AF42</f>
        <v>50.9</v>
      </c>
      <c r="E10" s="279">
        <f>[4]Brewhouse!$AI42</f>
        <v>50.8</v>
      </c>
      <c r="F10" s="278">
        <f>[4]Brewhouse!$V42</f>
        <v>60</v>
      </c>
      <c r="G10" s="279">
        <f>[4]Brewhouse!AG42</f>
        <v>11.8</v>
      </c>
      <c r="H10" s="396">
        <v>11.8</v>
      </c>
      <c r="I10" s="368">
        <f>[4]Brewhouse!$AU42</f>
        <v>98.774703764205327</v>
      </c>
      <c r="J10" s="368">
        <f>[4]Brewhouse!$AV42</f>
        <v>99.531679435108074</v>
      </c>
      <c r="K10" s="281">
        <f>[4]Brewhouse!$Q42</f>
        <v>5.4990583804143158</v>
      </c>
      <c r="L10" s="276">
        <f>[4]Brewhouse!$P42</f>
        <v>57</v>
      </c>
      <c r="M10" s="397">
        <f>[4]Brewhouse!$U42-[4]Brewhouse!$T42</f>
        <v>0.11250000000000004</v>
      </c>
      <c r="N10" s="370">
        <f>[4]Brewhouse!$Z42</f>
        <v>0.24236111111111114</v>
      </c>
      <c r="O10" s="420" t="str">
        <f>[4]Brewhouse!$AX42</f>
        <v>R.Sookram</v>
      </c>
      <c r="P10" s="418"/>
      <c r="R10" s="277" t="str">
        <f t="shared" ref="R10:R32" si="0">B10</f>
        <v>CARIB</v>
      </c>
      <c r="S10" s="474">
        <f t="shared" ref="S10:S32" si="1">VLOOKUP($B10,$R$3:$X$9,2,FALSE)</f>
        <v>11.6</v>
      </c>
      <c r="T10" s="474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4">
        <f t="shared" ref="Z10:Z32" si="8">VLOOKUP($B10,$R$3:$Z$9,9,FALSE)</f>
        <v>60</v>
      </c>
    </row>
    <row r="11" spans="2:29" ht="16.5" customHeight="1">
      <c r="B11" s="29" t="s">
        <v>6</v>
      </c>
      <c r="C11" s="366" t="str">
        <f>[4]Brewhouse!$A43</f>
        <v>CA002</v>
      </c>
      <c r="D11" s="279">
        <f>[4]Brewhouse!$AF43</f>
        <v>52.6</v>
      </c>
      <c r="E11" s="279">
        <f>[4]Brewhouse!$AI43</f>
        <v>51.3</v>
      </c>
      <c r="F11" s="278">
        <f>[4]Brewhouse!$V43</f>
        <v>57</v>
      </c>
      <c r="G11" s="279">
        <f>[4]Brewhouse!AG43</f>
        <v>11.8</v>
      </c>
      <c r="H11" s="396">
        <v>11.8</v>
      </c>
      <c r="I11" s="368">
        <f>[4]Brewhouse!$AU43</f>
        <v>99.746895730388445</v>
      </c>
      <c r="J11" s="368">
        <f>[4]Brewhouse!$AV43</f>
        <v>100.51132194923315</v>
      </c>
      <c r="K11" s="281">
        <f>[4]Brewhouse!$Q43</f>
        <v>3.80414312617703</v>
      </c>
      <c r="L11" s="276">
        <f>[4]Brewhouse!$P43</f>
        <v>57</v>
      </c>
      <c r="M11" s="397">
        <f>[4]Brewhouse!$U43-[4]Brewhouse!$T43</f>
        <v>0.11319444444444449</v>
      </c>
      <c r="N11" s="370">
        <f>[4]Brewhouse!$Z43</f>
        <v>0.25208333333333338</v>
      </c>
      <c r="O11" s="420" t="str">
        <f>[4]Brewhouse!$AX43</f>
        <v>R.Sookram</v>
      </c>
      <c r="P11" s="418"/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[4]Brewhouse!$A44</f>
        <v>CA003</v>
      </c>
      <c r="D12" s="279">
        <f>[4]Brewhouse!$AF44</f>
        <v>52.6</v>
      </c>
      <c r="E12" s="279">
        <f>[4]Brewhouse!$AI44</f>
        <v>51.1</v>
      </c>
      <c r="F12" s="278">
        <f>[4]Brewhouse!$V44</f>
        <v>59</v>
      </c>
      <c r="G12" s="279">
        <f>[4]Brewhouse!AG44</f>
        <v>11.8</v>
      </c>
      <c r="H12" s="396">
        <v>11.9</v>
      </c>
      <c r="I12" s="368">
        <f>[4]Brewhouse!$AU44</f>
        <v>99.480491014553465</v>
      </c>
      <c r="J12" s="368">
        <f>[4]Brewhouse!$AV44</f>
        <v>100.24281444949392</v>
      </c>
      <c r="K12" s="281">
        <f>[4]Brewhouse!$Q44</f>
        <v>4.5660377358490596</v>
      </c>
      <c r="L12" s="276">
        <f>[4]Brewhouse!$P44</f>
        <v>59</v>
      </c>
      <c r="M12" s="397">
        <f>[4]Brewhouse!$U44-[4]Brewhouse!$T44</f>
        <v>0.1166666666666667</v>
      </c>
      <c r="N12" s="370">
        <f>[4]Brewhouse!$Z44</f>
        <v>0.2729166666666667</v>
      </c>
      <c r="O12" s="420" t="str">
        <f>[4]Brewhouse!$AX44</f>
        <v>R.Sookram</v>
      </c>
      <c r="P12" s="418"/>
      <c r="R12" s="277" t="str">
        <f t="shared" si="0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[4]Brewhouse!$A45</f>
        <v>CA004</v>
      </c>
      <c r="D13" s="279">
        <f>[4]Brewhouse!$AF45</f>
        <v>0</v>
      </c>
      <c r="E13" s="279">
        <f>[4]Brewhouse!$AI45</f>
        <v>50.7</v>
      </c>
      <c r="F13" s="278">
        <f>[4]Brewhouse!$V45</f>
        <v>46</v>
      </c>
      <c r="G13" s="279">
        <f>[4]Brewhouse!AG45</f>
        <v>12</v>
      </c>
      <c r="H13" s="396">
        <v>12</v>
      </c>
      <c r="I13" s="368">
        <f>[4]Brewhouse!$AU45</f>
        <v>99.359192252045119</v>
      </c>
      <c r="J13" s="368">
        <f>[4]Brewhouse!$AV45</f>
        <v>100.12113048037692</v>
      </c>
      <c r="K13" s="392"/>
      <c r="L13" s="276">
        <f>[4]Brewhouse!$P45</f>
        <v>60</v>
      </c>
      <c r="M13" s="397">
        <f>[4]Brewhouse!$U45-[4]Brewhouse!$T45</f>
        <v>0.11875000000000002</v>
      </c>
      <c r="N13" s="370">
        <f>[4]Brewhouse!$Z45</f>
        <v>0.27847222222222223</v>
      </c>
      <c r="O13" s="420" t="str">
        <f>[4]Brewhouse!$AX45</f>
        <v>K. Benjamin</v>
      </c>
      <c r="P13" s="418"/>
      <c r="R13" s="277" t="str">
        <f t="shared" si="0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33"/>
      <c r="C14" s="366"/>
      <c r="D14" s="279"/>
      <c r="E14" s="279"/>
      <c r="F14" s="278"/>
      <c r="G14" s="279"/>
      <c r="H14" s="396"/>
      <c r="I14" s="479"/>
      <c r="J14" s="479"/>
      <c r="K14" s="281"/>
      <c r="L14" s="276"/>
      <c r="M14" s="374"/>
      <c r="N14" s="370"/>
      <c r="O14" s="420"/>
      <c r="P14" s="418"/>
      <c r="R14" s="277">
        <f t="shared" ref="R14:R21" si="9">B14</f>
        <v>0</v>
      </c>
      <c r="S14" s="474" t="e">
        <f t="shared" si="1"/>
        <v>#N/A</v>
      </c>
      <c r="T14" s="474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4" t="e">
        <f t="shared" si="8"/>
        <v>#N/A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479"/>
      <c r="J15" s="479"/>
      <c r="K15" s="281"/>
      <c r="L15" s="276"/>
      <c r="M15" s="374"/>
      <c r="N15" s="370"/>
      <c r="O15" s="420"/>
      <c r="P15" s="418"/>
      <c r="R15" s="277">
        <f t="shared" si="9"/>
        <v>0</v>
      </c>
      <c r="S15" s="474" t="e">
        <f t="shared" si="1"/>
        <v>#N/A</v>
      </c>
      <c r="T15" s="474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4" t="e">
        <f t="shared" si="8"/>
        <v>#N/A</v>
      </c>
    </row>
    <row r="16" spans="2:29" ht="16.5" hidden="1" customHeight="1">
      <c r="B16" s="33"/>
      <c r="C16" s="366"/>
      <c r="D16" s="279"/>
      <c r="E16" s="279"/>
      <c r="F16" s="278"/>
      <c r="G16" s="279"/>
      <c r="H16" s="396"/>
      <c r="I16" s="479"/>
      <c r="J16" s="479"/>
      <c r="K16" s="281"/>
      <c r="L16" s="276"/>
      <c r="M16" s="374"/>
      <c r="N16" s="370"/>
      <c r="O16" s="420"/>
      <c r="P16" s="418"/>
      <c r="R16" s="277">
        <f t="shared" si="9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hidden="1" customHeight="1">
      <c r="B17" s="33"/>
      <c r="C17" s="366"/>
      <c r="D17" s="279"/>
      <c r="E17" s="279"/>
      <c r="F17" s="278"/>
      <c r="G17" s="279"/>
      <c r="H17" s="396"/>
      <c r="I17" s="479"/>
      <c r="J17" s="479"/>
      <c r="K17" s="281"/>
      <c r="L17" s="276"/>
      <c r="M17" s="374"/>
      <c r="N17" s="370"/>
      <c r="O17" s="420"/>
      <c r="P17" s="418"/>
      <c r="R17" s="277">
        <f t="shared" si="9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hidden="1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9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540"/>
      <c r="J19" s="540"/>
      <c r="K19" s="540"/>
      <c r="L19" s="540"/>
      <c r="M19" s="540"/>
      <c r="N19" s="540"/>
      <c r="O19" s="1"/>
      <c r="P19" s="12"/>
      <c r="R19" s="277">
        <f t="shared" si="9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5.75" customHeight="1" thickBot="1">
      <c r="B20" s="388" t="s">
        <v>162</v>
      </c>
      <c r="C20" s="388"/>
      <c r="D20" s="541" t="s">
        <v>35</v>
      </c>
      <c r="E20" s="542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9"/>
        <v xml:space="preserve">BRAND 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5" customHeight="1">
      <c r="A21" s="28"/>
      <c r="B21" s="595" t="str">
        <f>I21</f>
        <v>CARIB</v>
      </c>
      <c r="C21" s="362"/>
      <c r="D21" s="546"/>
      <c r="E21" s="547"/>
      <c r="F21" s="294"/>
      <c r="G21" s="294"/>
      <c r="H21" s="348"/>
      <c r="I21" s="29" t="s">
        <v>6</v>
      </c>
      <c r="J21" s="280">
        <f>AVERAGE(I10:I13)</f>
        <v>99.340320690298086</v>
      </c>
      <c r="K21" s="284">
        <f>COUNTA([4]Brewhouse!$A$42:$A$45)</f>
        <v>4</v>
      </c>
      <c r="L21" s="305">
        <f>AVERAGE([4]Brewhouse!$AU$42:$AU$45)</f>
        <v>99.340320690298086</v>
      </c>
      <c r="M21" s="305">
        <f>AVERAGE([4]Brewhouse!$AU$42:$AU$45)</f>
        <v>99.340320690298086</v>
      </c>
      <c r="N21" s="30">
        <v>98</v>
      </c>
      <c r="O21" s="11"/>
      <c r="P21" s="31"/>
      <c r="R21" s="277" t="str">
        <f t="shared" si="9"/>
        <v>CARIB</v>
      </c>
      <c r="S21" s="474">
        <f t="shared" si="1"/>
        <v>11.6</v>
      </c>
      <c r="T21" s="474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4">
        <f t="shared" si="8"/>
        <v>60</v>
      </c>
    </row>
    <row r="22" spans="1:27" ht="15" customHeight="1">
      <c r="A22" s="28"/>
      <c r="B22" s="596"/>
      <c r="C22" s="362"/>
      <c r="D22" s="548"/>
      <c r="E22" s="532"/>
      <c r="F22" s="294"/>
      <c r="G22" s="294"/>
      <c r="H22" s="348"/>
      <c r="I22" s="33" t="s">
        <v>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4.65" customHeight="1">
      <c r="A23" s="28"/>
      <c r="B23" s="596"/>
      <c r="C23" s="362"/>
      <c r="D23" s="536"/>
      <c r="E23" s="537"/>
      <c r="F23" s="294"/>
      <c r="G23" s="294"/>
      <c r="H23" s="348"/>
      <c r="I23" s="34" t="s">
        <v>12</v>
      </c>
      <c r="J23" s="280"/>
      <c r="K23" s="284"/>
      <c r="L23" s="302"/>
      <c r="M23" s="302"/>
      <c r="N23" s="30">
        <v>98</v>
      </c>
      <c r="O23" s="11"/>
      <c r="P23" s="31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4.65" customHeight="1">
      <c r="A24" s="28"/>
      <c r="B24" s="596"/>
      <c r="C24" s="362"/>
      <c r="D24" s="531"/>
      <c r="E24" s="532"/>
      <c r="F24" s="294"/>
      <c r="G24" s="294"/>
      <c r="H24" s="348"/>
      <c r="I24" s="22" t="s">
        <v>33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4.65" customHeight="1">
      <c r="A25" s="28"/>
      <c r="B25" s="596"/>
      <c r="C25" s="362"/>
      <c r="D25" s="536"/>
      <c r="E25" s="537"/>
      <c r="F25" s="417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4.65" customHeight="1">
      <c r="A26" s="28"/>
      <c r="B26" s="596"/>
      <c r="C26" s="362"/>
      <c r="D26" s="531"/>
      <c r="E26" s="532"/>
      <c r="F26" s="417"/>
      <c r="G26" s="294"/>
      <c r="H26" s="348"/>
      <c r="I26" s="36" t="s">
        <v>15</v>
      </c>
      <c r="J26" s="323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  <c r="AA26" s="474"/>
    </row>
    <row r="27" spans="1:27" ht="14.65" customHeight="1">
      <c r="A27" s="28"/>
      <c r="B27" s="596"/>
      <c r="C27" s="362"/>
      <c r="D27" s="536"/>
      <c r="E27" s="537"/>
      <c r="F27" s="417"/>
      <c r="G27" s="294"/>
      <c r="H27" s="348"/>
      <c r="I27" s="37" t="s">
        <v>16</v>
      </c>
      <c r="J27" s="323"/>
      <c r="K27" s="284"/>
      <c r="L27" s="302"/>
      <c r="M27" s="302"/>
      <c r="N27" s="30">
        <v>98</v>
      </c>
      <c r="O27" s="11"/>
      <c r="P27" s="31" t="s">
        <v>41</v>
      </c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  <c r="AA27" s="474"/>
    </row>
    <row r="28" spans="1:27" ht="14.65" customHeight="1">
      <c r="A28" s="28"/>
      <c r="B28" s="596"/>
      <c r="C28" s="362"/>
      <c r="D28" s="531"/>
      <c r="E28" s="532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  <c r="AA28" s="474"/>
    </row>
    <row r="29" spans="1:27" ht="14.65" customHeight="1">
      <c r="A29" s="28"/>
      <c r="B29" s="596"/>
      <c r="C29" s="349"/>
      <c r="D29" s="536"/>
      <c r="E29" s="537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  <c r="AA29" s="474"/>
    </row>
    <row r="30" spans="1:27" ht="15" customHeight="1" thickBot="1">
      <c r="A30" s="28"/>
      <c r="B30" s="596"/>
      <c r="C30" s="349"/>
      <c r="D30" s="531"/>
      <c r="E30" s="532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5" customHeight="1" thickBot="1">
      <c r="A31" s="28"/>
      <c r="B31" s="596"/>
      <c r="C31" s="349"/>
      <c r="D31" s="546"/>
      <c r="E31" s="547"/>
      <c r="F31" s="294"/>
      <c r="G31" s="294"/>
      <c r="H31" s="348"/>
      <c r="I31" s="1"/>
      <c r="J31" s="39"/>
      <c r="K31" s="404">
        <f>SUM(K21:K30)</f>
        <v>4</v>
      </c>
      <c r="L31" s="405">
        <f>((L21*K21)+(L22*K22)+(L23*K23)+(L24*K24)+(L25*K25)+(K28*L28)+(L26*K26)+(L27*K27)+(L30*K30))/(K31)</f>
        <v>99.340320690298086</v>
      </c>
      <c r="M31" s="405">
        <f>L31</f>
        <v>99.340320690298086</v>
      </c>
      <c r="N31" s="4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5.75" thickBot="1">
      <c r="B32" s="597"/>
      <c r="C32" s="350"/>
      <c r="D32" s="548"/>
      <c r="E32" s="532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2:56" ht="15.75" thickBot="1">
      <c r="B33" s="526"/>
      <c r="C33" s="362"/>
      <c r="D33" s="529"/>
      <c r="E33" s="530"/>
      <c r="F33" s="294"/>
      <c r="G33" s="42"/>
      <c r="H33" s="41"/>
      <c r="I33" s="42"/>
      <c r="J33" s="533" t="s">
        <v>129</v>
      </c>
      <c r="K33" s="533"/>
      <c r="L33" s="294"/>
      <c r="M33" s="294"/>
      <c r="N33" s="294"/>
      <c r="O33" s="294"/>
      <c r="P33" s="12"/>
    </row>
    <row r="34" spans="2:56" ht="15.75" thickBot="1">
      <c r="B34" s="527"/>
      <c r="C34" s="362"/>
      <c r="D34" s="531"/>
      <c r="E34" s="532"/>
      <c r="F34" s="294"/>
      <c r="G34" s="42"/>
      <c r="H34" s="42"/>
      <c r="I34" s="42"/>
      <c r="J34" s="292" t="s">
        <v>17</v>
      </c>
      <c r="K34" s="293" t="s">
        <v>147</v>
      </c>
      <c r="L34" s="534" t="s">
        <v>136</v>
      </c>
      <c r="M34" s="534"/>
      <c r="N34" s="535"/>
      <c r="O34" s="294"/>
      <c r="P34" s="12"/>
    </row>
    <row r="35" spans="2:56" ht="15" customHeight="1" thickBot="1">
      <c r="B35" s="527"/>
      <c r="C35" s="349"/>
      <c r="D35" s="536"/>
      <c r="E35" s="537"/>
      <c r="F35" s="294"/>
      <c r="G35" s="42"/>
      <c r="H35" s="42"/>
      <c r="I35" s="42"/>
      <c r="J35" s="287" t="s">
        <v>6</v>
      </c>
      <c r="K35" s="324">
        <v>4</v>
      </c>
      <c r="L35" s="475" t="s">
        <v>37</v>
      </c>
      <c r="M35" s="476" t="s">
        <v>38</v>
      </c>
      <c r="N35" s="476" t="s">
        <v>84</v>
      </c>
      <c r="O35" s="294"/>
      <c r="P35" s="12"/>
    </row>
    <row r="36" spans="2:56" ht="15.75" customHeight="1" thickBot="1">
      <c r="B36" s="527"/>
      <c r="C36" s="349"/>
      <c r="D36" s="531"/>
      <c r="E36" s="532"/>
      <c r="F36" s="294"/>
      <c r="G36" s="42"/>
      <c r="H36" s="42"/>
      <c r="I36" s="42"/>
      <c r="J36" s="345" t="s">
        <v>9</v>
      </c>
      <c r="K36" s="324"/>
      <c r="L36" s="344">
        <f>AVERAGE('Jan 2nd'!K45)</f>
        <v>4</v>
      </c>
      <c r="M36" s="325">
        <f>AVERAGE(L36)</f>
        <v>4</v>
      </c>
      <c r="N36" s="416">
        <v>9.1999999999999993</v>
      </c>
      <c r="O36" s="294"/>
      <c r="P36" s="12"/>
    </row>
    <row r="37" spans="2:56" ht="15" customHeight="1">
      <c r="B37" s="527"/>
      <c r="C37" s="349"/>
      <c r="D37" s="536"/>
      <c r="E37" s="537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7"/>
      <c r="C38" s="349"/>
      <c r="D38" s="531"/>
      <c r="E38" s="532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7"/>
      <c r="C39" s="349"/>
      <c r="D39" s="536"/>
      <c r="E39" s="537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7"/>
      <c r="C40" s="349"/>
      <c r="D40" s="531"/>
      <c r="E40" s="532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7"/>
      <c r="C41" s="349"/>
      <c r="D41" s="536"/>
      <c r="E41" s="537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8"/>
      <c r="C42" s="350"/>
      <c r="D42" s="538"/>
      <c r="E42" s="539"/>
      <c r="F42" s="294" t="s">
        <v>166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9"/>
      <c r="E43" s="520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4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J46" s="42"/>
      <c r="L46" s="294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11" t="s">
        <v>17</v>
      </c>
      <c r="C48" s="511" t="s">
        <v>44</v>
      </c>
      <c r="D48" s="522" t="s">
        <v>45</v>
      </c>
      <c r="E48" s="524" t="s">
        <v>46</v>
      </c>
      <c r="F48" s="517" t="s">
        <v>47</v>
      </c>
      <c r="G48" s="509" t="s">
        <v>48</v>
      </c>
      <c r="H48" s="511" t="s">
        <v>49</v>
      </c>
      <c r="I48" s="511" t="s">
        <v>50</v>
      </c>
      <c r="J48" s="503" t="s">
        <v>28</v>
      </c>
      <c r="K48" s="513" t="s">
        <v>51</v>
      </c>
      <c r="L48" s="515" t="s">
        <v>52</v>
      </c>
      <c r="M48" s="503" t="s">
        <v>53</v>
      </c>
      <c r="N48" s="13"/>
      <c r="O48" s="13"/>
      <c r="P48" s="50"/>
    </row>
    <row r="49" spans="2:57" ht="28.5" customHeight="1" thickTop="1" thickBot="1">
      <c r="B49" s="521"/>
      <c r="C49" s="521"/>
      <c r="D49" s="523"/>
      <c r="E49" s="525"/>
      <c r="F49" s="518"/>
      <c r="G49" s="510"/>
      <c r="H49" s="512"/>
      <c r="I49" s="512"/>
      <c r="J49" s="504"/>
      <c r="K49" s="514"/>
      <c r="L49" s="516"/>
      <c r="M49" s="504"/>
      <c r="N49" s="13"/>
      <c r="O49" s="13"/>
      <c r="P49" s="50"/>
      <c r="Q49" s="355"/>
      <c r="AB49" s="477">
        <v>43474</v>
      </c>
      <c r="AC49" s="477">
        <v>43475</v>
      </c>
      <c r="AD49" s="477">
        <v>43476</v>
      </c>
      <c r="AE49" s="477">
        <v>43477</v>
      </c>
      <c r="AF49" s="477">
        <v>43478</v>
      </c>
      <c r="AG49" s="477">
        <v>43479</v>
      </c>
      <c r="AH49" s="477">
        <v>43480</v>
      </c>
      <c r="AI49" s="477">
        <v>43481</v>
      </c>
      <c r="AJ49" s="477">
        <v>43482</v>
      </c>
      <c r="AK49" s="477">
        <v>43483</v>
      </c>
      <c r="AL49" s="477">
        <v>43484</v>
      </c>
      <c r="AM49" s="477">
        <v>43485</v>
      </c>
      <c r="AN49" s="477">
        <v>43486</v>
      </c>
      <c r="AO49" s="477">
        <v>43487</v>
      </c>
      <c r="AP49" s="477">
        <v>43488</v>
      </c>
      <c r="AQ49" s="477">
        <v>43489</v>
      </c>
      <c r="AR49" s="477">
        <v>43490</v>
      </c>
      <c r="AS49" s="477">
        <v>43491</v>
      </c>
      <c r="AT49" s="477">
        <v>43492</v>
      </c>
      <c r="AU49" s="477">
        <v>43493</v>
      </c>
      <c r="AV49" s="477">
        <v>43494</v>
      </c>
      <c r="AW49" s="477">
        <v>43495</v>
      </c>
      <c r="AX49" s="477">
        <v>43496</v>
      </c>
    </row>
    <row r="50" spans="2:57" s="54" customFormat="1" ht="43.15" customHeight="1" thickBot="1">
      <c r="B50" s="456" t="str">
        <f>J35</f>
        <v>CARIB</v>
      </c>
      <c r="C50" s="441">
        <v>46024</v>
      </c>
      <c r="D50" s="442">
        <f>[28]January_2026!$E$3</f>
        <v>262.3</v>
      </c>
      <c r="E50" s="443"/>
      <c r="F50" s="444"/>
      <c r="G50" s="444" t="e">
        <f>[28]January_2026!$E$7</f>
        <v>#REF!</v>
      </c>
      <c r="H50" s="458"/>
      <c r="I50" s="458"/>
      <c r="J50" s="448" t="s">
        <v>169</v>
      </c>
      <c r="K50" s="449"/>
      <c r="L50" s="457" t="e">
        <f>(((D50+E50)-G50)/(D50+E50))*100</f>
        <v>#REF!</v>
      </c>
      <c r="M50" s="455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[9]January_2019!L7</f>
        <v>285.8</v>
      </c>
      <c r="AC50" s="57">
        <f>[9]January_2019!M7</f>
        <v>508.1</v>
      </c>
      <c r="AD50" s="57">
        <f>[9]January_2019!N7</f>
        <v>0</v>
      </c>
      <c r="AE50" s="57">
        <f>[9]January_2019!O7</f>
        <v>0</v>
      </c>
      <c r="AF50" s="57">
        <f>[9]January_2019!P7</f>
        <v>109.56666666666666</v>
      </c>
      <c r="AG50" s="57">
        <f>[9]January_2019!Q7</f>
        <v>297.64999999999998</v>
      </c>
      <c r="AH50" s="57">
        <f>[9]January_2019!R7</f>
        <v>122.3</v>
      </c>
      <c r="AI50" s="57">
        <f>[9]January_2019!S7</f>
        <v>0</v>
      </c>
      <c r="AJ50" s="57">
        <f>[9]January_2019!T7</f>
        <v>294.7</v>
      </c>
      <c r="AK50" s="57">
        <f>[9]January_2019!U7</f>
        <v>280.5</v>
      </c>
      <c r="AL50" s="57">
        <f>[9]January_2019!V7</f>
        <v>0</v>
      </c>
      <c r="AM50" s="57">
        <f>[9]January_2019!W7</f>
        <v>0</v>
      </c>
      <c r="AN50" s="57">
        <f>[9]January_2019!X7</f>
        <v>188.25</v>
      </c>
      <c r="AO50" s="57">
        <f>[9]January_2019!Y7</f>
        <v>295.7</v>
      </c>
      <c r="AP50" s="57">
        <f>[9]January_2019!Z7</f>
        <v>257.8</v>
      </c>
      <c r="AQ50" s="57">
        <f>[9]January_2019!AA7</f>
        <v>291.2</v>
      </c>
      <c r="AR50" s="57">
        <f>[9]January_2019!AB7</f>
        <v>187</v>
      </c>
      <c r="AS50" s="57">
        <f>[9]January_2019!AC7</f>
        <v>0</v>
      </c>
      <c r="AT50" s="57">
        <f>[9]January_2019!AD7</f>
        <v>0</v>
      </c>
      <c r="AU50" s="57">
        <f>[9]January_2019!AE7</f>
        <v>485.1</v>
      </c>
      <c r="AV50" s="57">
        <f>[9]January_2019!AF7</f>
        <v>171.55</v>
      </c>
      <c r="AW50" s="57">
        <f>[9]January_2019!AG7</f>
        <v>423.8</v>
      </c>
      <c r="AX50" s="277">
        <f>[9]January_2019!AH7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9.5" hidden="1" customHeight="1" thickBot="1">
      <c r="B51" s="468"/>
      <c r="C51" s="430"/>
      <c r="D51" s="431"/>
      <c r="E51" s="432"/>
      <c r="F51" s="433"/>
      <c r="G51" s="434"/>
      <c r="H51" s="428"/>
      <c r="I51" s="428"/>
      <c r="J51" s="451"/>
      <c r="K51" s="436"/>
      <c r="L51" s="452"/>
      <c r="M51" s="421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38.450000000000003" hidden="1" customHeight="1" thickBot="1">
      <c r="B52" s="456"/>
      <c r="C52" s="441"/>
      <c r="D52" s="442"/>
      <c r="E52" s="443"/>
      <c r="F52" s="444"/>
      <c r="G52" s="445"/>
      <c r="H52" s="458"/>
      <c r="I52" s="458"/>
      <c r="J52" s="448"/>
      <c r="K52" s="460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15" hidden="1">
      <c r="B53" s="453"/>
      <c r="C53" s="430"/>
      <c r="D53" s="431"/>
      <c r="E53" s="432"/>
      <c r="F53" s="433"/>
      <c r="G53" s="434"/>
      <c r="H53" s="435"/>
      <c r="I53" s="450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7.15" hidden="1" customHeight="1" thickBot="1">
      <c r="B54" s="459"/>
      <c r="C54" s="441"/>
      <c r="D54" s="442"/>
      <c r="E54" s="443"/>
      <c r="F54" s="444"/>
      <c r="G54" s="445"/>
      <c r="H54" s="446"/>
      <c r="I54" s="447"/>
      <c r="J54" s="448"/>
      <c r="K54" s="449"/>
      <c r="L54" s="457"/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6.5" hidden="1" customHeight="1" thickBot="1">
      <c r="B55" s="437"/>
      <c r="C55" s="423"/>
      <c r="D55" s="424"/>
      <c r="E55" s="425"/>
      <c r="F55" s="426"/>
      <c r="G55" s="427"/>
      <c r="H55" s="428"/>
      <c r="I55" s="438"/>
      <c r="J55" s="439"/>
      <c r="K55" s="429"/>
      <c r="L55" s="440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5"/>
      <c r="AC55" s="415"/>
      <c r="AD55" s="415"/>
      <c r="AE55" s="415"/>
      <c r="AF55" s="415"/>
      <c r="AG55" s="415"/>
      <c r="AH55" s="415"/>
      <c r="AI55" s="415"/>
      <c r="AJ55" s="415"/>
      <c r="AK55" s="415"/>
      <c r="AL55" s="415"/>
      <c r="AM55" s="415"/>
      <c r="AN55" s="415"/>
      <c r="AO55" s="415"/>
      <c r="AP55" s="415"/>
      <c r="AQ55" s="415"/>
      <c r="AR55" s="415"/>
      <c r="AS55" s="415"/>
      <c r="AT55" s="415"/>
      <c r="AU55" s="415"/>
      <c r="AV55" s="415"/>
      <c r="AW55" s="415"/>
    </row>
    <row r="56" spans="2:57" s="54" customFormat="1" ht="37.15" hidden="1" customHeight="1" thickBot="1">
      <c r="B56" s="456"/>
      <c r="C56" s="441"/>
      <c r="D56" s="442"/>
      <c r="E56" s="443"/>
      <c r="F56" s="444"/>
      <c r="G56" s="445"/>
      <c r="H56" s="446"/>
      <c r="I56" s="447"/>
      <c r="J56" s="448"/>
      <c r="K56" s="449"/>
      <c r="L56" s="457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customHeight="1">
      <c r="B57" s="467"/>
      <c r="C57" s="430"/>
      <c r="D57" s="461"/>
      <c r="E57" s="462"/>
      <c r="F57" s="463"/>
      <c r="G57" s="461"/>
      <c r="H57" s="464"/>
      <c r="I57" s="464"/>
      <c r="J57" s="464"/>
      <c r="K57" s="465"/>
      <c r="L57" s="466"/>
      <c r="M57" s="50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 t="s">
        <v>41</v>
      </c>
      <c r="O58" s="56"/>
      <c r="P58" s="60"/>
    </row>
    <row r="59" spans="2:57" ht="15.75" thickBot="1">
      <c r="B59" s="505" t="s">
        <v>55</v>
      </c>
      <c r="C59" s="506"/>
      <c r="D59" s="506"/>
      <c r="E59" s="506"/>
      <c r="F59" s="507"/>
      <c r="G59" s="505" t="s">
        <v>56</v>
      </c>
      <c r="H59" s="506"/>
      <c r="I59" s="506"/>
      <c r="J59" s="507"/>
      <c r="K59" s="505" t="s">
        <v>51</v>
      </c>
      <c r="L59" s="506"/>
      <c r="M59" s="506"/>
      <c r="N59" s="508"/>
      <c r="O59" s="56"/>
      <c r="P59" s="50"/>
    </row>
    <row r="60" spans="2:57" ht="15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 t="s">
        <v>36</v>
      </c>
      <c r="L60" s="62" t="s">
        <v>37</v>
      </c>
      <c r="M60" s="62" t="s">
        <v>38</v>
      </c>
      <c r="N60" s="63" t="s">
        <v>39</v>
      </c>
      <c r="O60" s="56"/>
      <c r="P60" s="64"/>
    </row>
    <row r="61" spans="2:57" ht="15">
      <c r="B61" s="29" t="s">
        <v>6</v>
      </c>
      <c r="C61" s="282" t="e">
        <f>L50</f>
        <v>#REF!</v>
      </c>
      <c r="D61" s="76"/>
      <c r="E61" s="76"/>
      <c r="F61" s="66">
        <v>4.8</v>
      </c>
      <c r="G61" s="65" t="e">
        <f>[28]January_2026!$E$11</f>
        <v>#REF!</v>
      </c>
      <c r="H61" s="480"/>
      <c r="I61" s="76"/>
      <c r="J61" s="66">
        <v>4.8</v>
      </c>
      <c r="K61" s="67">
        <f>K50</f>
        <v>0</v>
      </c>
      <c r="L61" s="194"/>
      <c r="M61" s="194"/>
      <c r="N61" s="68">
        <v>1</v>
      </c>
      <c r="O61" s="56"/>
      <c r="P61" s="69"/>
    </row>
    <row r="62" spans="2:57" ht="15">
      <c r="B62" s="33" t="s">
        <v>9</v>
      </c>
      <c r="C62" s="65"/>
      <c r="D62" s="76"/>
      <c r="E62" s="76"/>
      <c r="F62" s="66">
        <v>4.8</v>
      </c>
      <c r="G62" s="65"/>
      <c r="H62" s="76"/>
      <c r="I62" s="76"/>
      <c r="J62" s="66">
        <v>4.8</v>
      </c>
      <c r="K62" s="67"/>
      <c r="L62" s="194"/>
      <c r="M62" s="194"/>
      <c r="N62" s="68">
        <v>1</v>
      </c>
      <c r="P62" s="69"/>
    </row>
    <row r="63" spans="2:57" ht="15">
      <c r="B63" s="34" t="s">
        <v>40</v>
      </c>
      <c r="C63" s="65"/>
      <c r="D63" s="76"/>
      <c r="E63" s="76"/>
      <c r="F63" s="66">
        <v>5.5</v>
      </c>
      <c r="G63" s="65"/>
      <c r="H63" s="76"/>
      <c r="I63" s="76"/>
      <c r="J63" s="66">
        <v>5.5</v>
      </c>
      <c r="K63" s="67"/>
      <c r="L63" s="194"/>
      <c r="M63" s="194"/>
      <c r="N63" s="68">
        <v>1</v>
      </c>
      <c r="P63" s="69"/>
    </row>
    <row r="64" spans="2:57" ht="15">
      <c r="B64" s="22" t="s">
        <v>33</v>
      </c>
      <c r="C64" s="65"/>
      <c r="D64" s="76"/>
      <c r="E64" s="76"/>
      <c r="F64" s="66">
        <v>3.3</v>
      </c>
      <c r="G64" s="65"/>
      <c r="H64" s="76"/>
      <c r="I64" s="76"/>
      <c r="J64" s="66">
        <v>3.3</v>
      </c>
      <c r="K64" s="67"/>
      <c r="L64" s="194"/>
      <c r="M64" s="194"/>
      <c r="N64" s="68">
        <v>1</v>
      </c>
      <c r="P64" s="69"/>
    </row>
    <row r="65" spans="2:16" ht="15">
      <c r="B65" s="35" t="s">
        <v>164</v>
      </c>
      <c r="C65" s="65"/>
      <c r="D65" s="76"/>
      <c r="E65" s="76"/>
      <c r="F65" s="66">
        <v>3.3</v>
      </c>
      <c r="G65" s="282"/>
      <c r="H65" s="76"/>
      <c r="I65" s="76"/>
      <c r="J65" s="66">
        <v>3</v>
      </c>
      <c r="K65" s="67"/>
      <c r="L65" s="194"/>
      <c r="M65" s="194"/>
      <c r="N65" s="68">
        <v>1</v>
      </c>
      <c r="P65" s="69"/>
    </row>
    <row r="66" spans="2:16" ht="15">
      <c r="B66" s="36" t="s">
        <v>15</v>
      </c>
      <c r="C66" s="65"/>
      <c r="D66" s="76"/>
      <c r="E66" s="76"/>
      <c r="F66" s="70">
        <f>[10]May_2022!$M$43</f>
        <v>3.4878406700073312</v>
      </c>
      <c r="G66" s="282"/>
      <c r="H66" s="76"/>
      <c r="I66" s="76"/>
      <c r="J66" s="66">
        <v>5.5</v>
      </c>
      <c r="K66" s="67"/>
      <c r="L66" s="194"/>
      <c r="M66" s="194"/>
      <c r="N66" s="68">
        <v>1</v>
      </c>
      <c r="P66" s="69"/>
    </row>
    <row r="67" spans="2:16" ht="15">
      <c r="B67" s="37" t="s">
        <v>16</v>
      </c>
      <c r="C67" s="65"/>
      <c r="D67" s="76"/>
      <c r="E67" s="76"/>
      <c r="F67" s="66">
        <v>3.3</v>
      </c>
      <c r="G67" s="282"/>
      <c r="H67" s="76"/>
      <c r="I67" s="76"/>
      <c r="J67" s="66">
        <v>3.3</v>
      </c>
      <c r="K67" s="67"/>
      <c r="L67" s="194"/>
      <c r="M67" s="194"/>
      <c r="N67" s="71">
        <v>1</v>
      </c>
      <c r="P67" s="69"/>
    </row>
    <row r="68" spans="2:16" ht="15.75" thickBot="1">
      <c r="B68" s="38" t="s">
        <v>163</v>
      </c>
      <c r="C68" s="65"/>
      <c r="D68" s="76"/>
      <c r="E68" s="76"/>
      <c r="F68" s="66">
        <v>7.5</v>
      </c>
      <c r="G68" s="282"/>
      <c r="H68" s="76"/>
      <c r="I68" s="76"/>
      <c r="J68" s="66">
        <v>7.5</v>
      </c>
      <c r="K68" s="67"/>
      <c r="M68" s="194"/>
      <c r="N68" s="71">
        <v>1</v>
      </c>
      <c r="P68" s="69"/>
    </row>
    <row r="69" spans="2:16" ht="15.75" thickBot="1">
      <c r="B69" s="414" t="s">
        <v>161</v>
      </c>
      <c r="C69" s="65"/>
      <c r="D69" s="76"/>
      <c r="E69" s="76"/>
      <c r="F69" s="66">
        <v>4.8</v>
      </c>
      <c r="G69" s="282"/>
      <c r="H69" s="76"/>
      <c r="I69" s="76"/>
      <c r="J69" s="66">
        <v>4.8</v>
      </c>
      <c r="K69" s="67"/>
      <c r="L69" s="194"/>
      <c r="M69" s="194"/>
      <c r="N69" s="71">
        <v>1</v>
      </c>
      <c r="O69" s="74"/>
      <c r="P69" s="75"/>
    </row>
    <row r="70" spans="2:16" ht="15">
      <c r="D70" s="76"/>
      <c r="E70" s="76"/>
      <c r="F70" s="341">
        <v>5.5</v>
      </c>
      <c r="H70" s="76"/>
      <c r="I70" s="76"/>
      <c r="J70" s="341">
        <v>5.5</v>
      </c>
      <c r="L70" s="194"/>
      <c r="M70" s="194"/>
      <c r="N70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59:F59"/>
    <mergeCell ref="G59:J59"/>
    <mergeCell ref="K59:N59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4002" priority="47" operator="notBetween">
      <formula>#REF!</formula>
      <formula>#REF!</formula>
    </cfRule>
  </conditionalFormatting>
  <conditionalFormatting sqref="C47">
    <cfRule type="cellIs" dxfId="4001" priority="193" stopIfTrue="1" operator="greaterThan">
      <formula>100</formula>
    </cfRule>
    <cfRule type="cellIs" dxfId="4000" priority="192" stopIfTrue="1" operator="lessThan">
      <formula>96</formula>
    </cfRule>
  </conditionalFormatting>
  <conditionalFormatting sqref="C61:C65">
    <cfRule type="cellIs" dxfId="3999" priority="146" stopIfTrue="1" operator="lessThanOrEqual">
      <formula>0</formula>
    </cfRule>
  </conditionalFormatting>
  <conditionalFormatting sqref="C61:C69">
    <cfRule type="cellIs" dxfId="3998" priority="145" stopIfTrue="1" operator="greaterThan">
      <formula>$F61</formula>
    </cfRule>
  </conditionalFormatting>
  <conditionalFormatting sqref="C62">
    <cfRule type="cellIs" dxfId="3997" priority="196" stopIfTrue="1" operator="greaterThan">
      <formula>$F61</formula>
    </cfRule>
  </conditionalFormatting>
  <conditionalFormatting sqref="C66">
    <cfRule type="cellIs" dxfId="3996" priority="85" stopIfTrue="1" operator="lessThanOrEqual">
      <formula>0</formula>
    </cfRule>
    <cfRule type="cellIs" dxfId="3995" priority="86" stopIfTrue="1" operator="greaterThan">
      <formula>$F65</formula>
    </cfRule>
  </conditionalFormatting>
  <conditionalFormatting sqref="C72:C76">
    <cfRule type="cellIs" dxfId="3994" priority="184" stopIfTrue="1" operator="lessThanOrEqual">
      <formula>0</formula>
    </cfRule>
  </conditionalFormatting>
  <conditionalFormatting sqref="C73:C76">
    <cfRule type="cellIs" dxfId="3993" priority="183" stopIfTrue="1" operator="greaterThan">
      <formula>$F$72</formula>
    </cfRule>
  </conditionalFormatting>
  <conditionalFormatting sqref="C78">
    <cfRule type="cellIs" dxfId="3992" priority="186" stopIfTrue="1" operator="lessThanOrEqual">
      <formula>0</formula>
    </cfRule>
    <cfRule type="cellIs" dxfId="3991" priority="185" stopIfTrue="1" operator="greaterThan">
      <formula>$F$72</formula>
    </cfRule>
  </conditionalFormatting>
  <conditionalFormatting sqref="C72:D72 D74:D80">
    <cfRule type="cellIs" dxfId="3990" priority="178" stopIfTrue="1" operator="greaterThan">
      <formula>4.5</formula>
    </cfRule>
  </conditionalFormatting>
  <conditionalFormatting sqref="D43:D44">
    <cfRule type="cellIs" dxfId="3989" priority="48" operator="notBetween">
      <formula>#REF!</formula>
      <formula>#REF!</formula>
    </cfRule>
  </conditionalFormatting>
  <conditionalFormatting sqref="D61:D68">
    <cfRule type="cellIs" dxfId="3988" priority="158" stopIfTrue="1" operator="lessThanOrEqual">
      <formula>0</formula>
    </cfRule>
  </conditionalFormatting>
  <conditionalFormatting sqref="D69">
    <cfRule type="cellIs" dxfId="3987" priority="157" stopIfTrue="1" operator="lessThanOrEqual">
      <formula>0</formula>
    </cfRule>
  </conditionalFormatting>
  <conditionalFormatting sqref="D72 D74:D80">
    <cfRule type="cellIs" dxfId="3986" priority="179" stopIfTrue="1" operator="lessThanOrEqual">
      <formula>0</formula>
    </cfRule>
  </conditionalFormatting>
  <conditionalFormatting sqref="D73">
    <cfRule type="cellIs" dxfId="3985" priority="170" stopIfTrue="1" operator="greaterThan">
      <formula>$F$72</formula>
    </cfRule>
    <cfRule type="cellIs" dxfId="3984" priority="171" stopIfTrue="1" operator="lessThanOrEqual">
      <formula>0</formula>
    </cfRule>
  </conditionalFormatting>
  <conditionalFormatting sqref="D61:E70">
    <cfRule type="cellIs" dxfId="3983" priority="143" stopIfTrue="1" operator="greaterThan">
      <formula>$F61</formula>
    </cfRule>
  </conditionalFormatting>
  <conditionalFormatting sqref="D70:E70">
    <cfRule type="cellIs" dxfId="3982" priority="144" stopIfTrue="1" operator="lessThanOrEqual">
      <formula>0</formula>
    </cfRule>
  </conditionalFormatting>
  <conditionalFormatting sqref="E10:E18">
    <cfRule type="cellIs" dxfId="3981" priority="10" operator="lessThan">
      <formula>48</formula>
    </cfRule>
  </conditionalFormatting>
  <conditionalFormatting sqref="E46 E47:F47">
    <cfRule type="cellIs" dxfId="3980" priority="175" stopIfTrue="1" operator="greaterThan">
      <formula>100</formula>
    </cfRule>
  </conditionalFormatting>
  <conditionalFormatting sqref="E47">
    <cfRule type="cellIs" dxfId="3979" priority="173" stopIfTrue="1" operator="greaterThan">
      <formula>100</formula>
    </cfRule>
    <cfRule type="cellIs" dxfId="3978" priority="172" stopIfTrue="1" operator="lessThan">
      <formula>96.8</formula>
    </cfRule>
  </conditionalFormatting>
  <conditionalFormatting sqref="E61:E69">
    <cfRule type="cellIs" dxfId="3977" priority="154" stopIfTrue="1" operator="lessThanOrEqual">
      <formula>0</formula>
    </cfRule>
  </conditionalFormatting>
  <conditionalFormatting sqref="E72:E80">
    <cfRule type="cellIs" dxfId="3976" priority="165" stopIfTrue="1" operator="lessThanOrEqual">
      <formula>0</formula>
    </cfRule>
    <cfRule type="cellIs" dxfId="3975" priority="164" stopIfTrue="1" operator="greaterThan">
      <formula>4.5</formula>
    </cfRule>
  </conditionalFormatting>
  <conditionalFormatting sqref="E47:F47 E46">
    <cfRule type="cellIs" dxfId="3974" priority="174" stopIfTrue="1" operator="lessThan">
      <formula>96.5</formula>
    </cfRule>
  </conditionalFormatting>
  <conditionalFormatting sqref="F10:F18">
    <cfRule type="cellIs" dxfId="3973" priority="11" operator="greaterThan">
      <formula>60</formula>
    </cfRule>
  </conditionalFormatting>
  <conditionalFormatting sqref="F47">
    <cfRule type="cellIs" dxfId="3972" priority="190" stopIfTrue="1" operator="lessThan">
      <formula>96.8</formula>
    </cfRule>
    <cfRule type="cellIs" dxfId="3971" priority="191" stopIfTrue="1" operator="greaterThan">
      <formula>100</formula>
    </cfRule>
  </conditionalFormatting>
  <conditionalFormatting sqref="F70">
    <cfRule type="cellIs" dxfId="3970" priority="155" stopIfTrue="1" operator="greaterThan">
      <formula>$F70</formula>
    </cfRule>
    <cfRule type="cellIs" dxfId="3969" priority="156" stopIfTrue="1" operator="lessThanOrEqual">
      <formula>0</formula>
    </cfRule>
  </conditionalFormatting>
  <conditionalFormatting sqref="G10:G13">
    <cfRule type="expression" dxfId="3968" priority="2">
      <formula>IF(+(IF(G10&lt;S10,0,IF(G10&gt;T10,0,1)))=0,1)</formula>
    </cfRule>
  </conditionalFormatting>
  <conditionalFormatting sqref="G61:G62 C67:C69">
    <cfRule type="cellIs" dxfId="3967" priority="160" stopIfTrue="1" operator="lessThanOrEqual">
      <formula>0</formula>
    </cfRule>
  </conditionalFormatting>
  <conditionalFormatting sqref="G61:G62">
    <cfRule type="cellIs" dxfId="3966" priority="148" stopIfTrue="1" operator="lessThanOrEqual">
      <formula>0</formula>
    </cfRule>
    <cfRule type="cellIs" dxfId="3965" priority="147" stopIfTrue="1" operator="greaterThan">
      <formula>$F61</formula>
    </cfRule>
    <cfRule type="cellIs" dxfId="3964" priority="159" stopIfTrue="1" operator="greaterThan">
      <formula>$F61</formula>
    </cfRule>
  </conditionalFormatting>
  <conditionalFormatting sqref="G63">
    <cfRule type="cellIs" dxfId="3963" priority="194" stopIfTrue="1" operator="greaterThan">
      <formula>$F62</formula>
    </cfRule>
    <cfRule type="cellIs" dxfId="3962" priority="195" stopIfTrue="1" operator="lessThanOrEqual">
      <formula>0</formula>
    </cfRule>
  </conditionalFormatting>
  <conditionalFormatting sqref="G64">
    <cfRule type="cellIs" dxfId="3961" priority="43" stopIfTrue="1" operator="greaterThan">
      <formula>$F64</formula>
    </cfRule>
    <cfRule type="cellIs" dxfId="3960" priority="44" stopIfTrue="1" operator="lessThanOrEqual">
      <formula>0</formula>
    </cfRule>
    <cfRule type="cellIs" dxfId="3959" priority="46" stopIfTrue="1" operator="lessThanOrEqual">
      <formula>0</formula>
    </cfRule>
    <cfRule type="cellIs" dxfId="3958" priority="45" stopIfTrue="1" operator="greaterThan">
      <formula>$F64</formula>
    </cfRule>
  </conditionalFormatting>
  <conditionalFormatting sqref="G65:G69">
    <cfRule type="cellIs" dxfId="3957" priority="161" stopIfTrue="1" operator="greaterThan">
      <formula>$J65</formula>
    </cfRule>
    <cfRule type="cellIs" dxfId="3956" priority="162" stopIfTrue="1" operator="lessThanOrEqual">
      <formula>0</formula>
    </cfRule>
  </conditionalFormatting>
  <conditionalFormatting sqref="G74:G79 C77 C79">
    <cfRule type="cellIs" dxfId="3955" priority="188" stopIfTrue="1" operator="lessThanOrEqual">
      <formula>0</formula>
    </cfRule>
    <cfRule type="cellIs" dxfId="3954" priority="187" stopIfTrue="1" operator="greaterThan">
      <formula>4.5</formula>
    </cfRule>
  </conditionalFormatting>
  <conditionalFormatting sqref="G73:H73">
    <cfRule type="cellIs" dxfId="3953" priority="168" stopIfTrue="1" operator="greaterThan">
      <formula>$F$72</formula>
    </cfRule>
    <cfRule type="cellIs" dxfId="3952" priority="169" stopIfTrue="1" operator="lessThanOrEqual">
      <formula>0</formula>
    </cfRule>
  </conditionalFormatting>
  <conditionalFormatting sqref="H32:H33 H46">
    <cfRule type="cellIs" dxfId="3951" priority="166" stopIfTrue="1" operator="greaterThan">
      <formula>0</formula>
    </cfRule>
  </conditionalFormatting>
  <conditionalFormatting sqref="H50">
    <cfRule type="cellIs" dxfId="3950" priority="40" stopIfTrue="1" operator="greaterThan">
      <formula>$F$66</formula>
    </cfRule>
    <cfRule type="cellIs" dxfId="3949" priority="41" stopIfTrue="1" operator="lessThanOrEqual">
      <formula>0</formula>
    </cfRule>
    <cfRule type="cellIs" dxfId="3948" priority="39" stopIfTrue="1" operator="lessThanOrEqual">
      <formula>0</formula>
    </cfRule>
    <cfRule type="cellIs" dxfId="3947" priority="38" stopIfTrue="1" operator="greaterThan">
      <formula>$F$68</formula>
    </cfRule>
    <cfRule type="cellIs" dxfId="3946" priority="30" stopIfTrue="1" operator="greaterThan">
      <formula>$F$65</formula>
    </cfRule>
    <cfRule type="cellIs" dxfId="3945" priority="29" stopIfTrue="1" operator="lessThanOrEqual">
      <formula>0</formula>
    </cfRule>
  </conditionalFormatting>
  <conditionalFormatting sqref="H51">
    <cfRule type="cellIs" dxfId="3944" priority="113" stopIfTrue="1" operator="greaterThan">
      <formula>#REF!</formula>
    </cfRule>
    <cfRule type="cellIs" dxfId="3943" priority="102" stopIfTrue="1" operator="lessThanOrEqual">
      <formula>0</formula>
    </cfRule>
    <cfRule type="cellIs" dxfId="3942" priority="103" stopIfTrue="1" operator="greaterThan">
      <formula>#REF!</formula>
    </cfRule>
    <cfRule type="cellIs" dxfId="3941" priority="111" stopIfTrue="1" operator="greaterThan">
      <formula>$F$19</formula>
    </cfRule>
    <cfRule type="cellIs" dxfId="3940" priority="114" stopIfTrue="1" operator="lessThanOrEqual">
      <formula>0</formula>
    </cfRule>
    <cfRule type="cellIs" dxfId="3939" priority="112" stopIfTrue="1" operator="lessThanOrEqual">
      <formula>0</formula>
    </cfRule>
  </conditionalFormatting>
  <conditionalFormatting sqref="H52">
    <cfRule type="cellIs" dxfId="3938" priority="84" stopIfTrue="1" operator="lessThanOrEqual">
      <formula>0</formula>
    </cfRule>
    <cfRule type="cellIs" dxfId="3937" priority="83" stopIfTrue="1" operator="greaterThan">
      <formula>$F$63</formula>
    </cfRule>
    <cfRule type="cellIs" dxfId="3936" priority="82" stopIfTrue="1" operator="lessThanOrEqual">
      <formula>0</formula>
    </cfRule>
    <cfRule type="cellIs" dxfId="3935" priority="81" stopIfTrue="1" operator="greaterThan">
      <formula>$F$65</formula>
    </cfRule>
    <cfRule type="cellIs" dxfId="3934" priority="72" stopIfTrue="1" operator="lessThanOrEqual">
      <formula>0</formula>
    </cfRule>
    <cfRule type="cellIs" dxfId="3933" priority="73" stopIfTrue="1" operator="greaterThan">
      <formula>$F$62</formula>
    </cfRule>
  </conditionalFormatting>
  <conditionalFormatting sqref="H53:H54">
    <cfRule type="cellIs" dxfId="3932" priority="89" stopIfTrue="1" operator="greaterThan">
      <formula>#REF!</formula>
    </cfRule>
    <cfRule type="cellIs" dxfId="3931" priority="100" stopIfTrue="1" operator="lessThanOrEqual">
      <formula>0</formula>
    </cfRule>
    <cfRule type="cellIs" dxfId="3930" priority="88" stopIfTrue="1" operator="lessThanOrEqual">
      <formula>0</formula>
    </cfRule>
    <cfRule type="cellIs" dxfId="3929" priority="97" stopIfTrue="1" operator="greaterThan">
      <formula>$F$18</formula>
    </cfRule>
    <cfRule type="cellIs" dxfId="3928" priority="98" stopIfTrue="1" operator="lessThanOrEqual">
      <formula>0</formula>
    </cfRule>
    <cfRule type="cellIs" dxfId="3927" priority="99" stopIfTrue="1" operator="greaterThan">
      <formula>#REF!</formula>
    </cfRule>
  </conditionalFormatting>
  <conditionalFormatting sqref="H55">
    <cfRule type="cellIs" dxfId="3926" priority="129" stopIfTrue="1" operator="lessThanOrEqual">
      <formula>0</formula>
    </cfRule>
    <cfRule type="cellIs" dxfId="3925" priority="126" stopIfTrue="1" operator="greaterThan">
      <formula>$F$34</formula>
    </cfRule>
    <cfRule type="cellIs" dxfId="3924" priority="118" stopIfTrue="1" operator="greaterThan">
      <formula>$F$31</formula>
    </cfRule>
    <cfRule type="cellIs" dxfId="3923" priority="117" stopIfTrue="1" operator="lessThanOrEqual">
      <formula>0</formula>
    </cfRule>
    <cfRule type="cellIs" dxfId="3922" priority="127" stopIfTrue="1" operator="lessThanOrEqual">
      <formula>0</formula>
    </cfRule>
    <cfRule type="cellIs" dxfId="3921" priority="128" stopIfTrue="1" operator="greaterThan">
      <formula>$F$32</formula>
    </cfRule>
  </conditionalFormatting>
  <conditionalFormatting sqref="H56:H57">
    <cfRule type="cellIs" dxfId="3920" priority="70" stopIfTrue="1" operator="lessThanOrEqual">
      <formula>0</formula>
    </cfRule>
    <cfRule type="cellIs" dxfId="3919" priority="59" stopIfTrue="1" operator="greaterThan">
      <formula>#REF!</formula>
    </cfRule>
    <cfRule type="cellIs" dxfId="3918" priority="69" stopIfTrue="1" operator="greaterThan">
      <formula>#REF!</formula>
    </cfRule>
    <cfRule type="cellIs" dxfId="3917" priority="58" stopIfTrue="1" operator="lessThanOrEqual">
      <formula>0</formula>
    </cfRule>
    <cfRule type="cellIs" dxfId="3916" priority="68" stopIfTrue="1" operator="lessThanOrEqual">
      <formula>0</formula>
    </cfRule>
    <cfRule type="cellIs" dxfId="3915" priority="67" stopIfTrue="1" operator="greaterThan">
      <formula>$F$18</formula>
    </cfRule>
  </conditionalFormatting>
  <conditionalFormatting sqref="H61:H68">
    <cfRule type="cellIs" dxfId="3914" priority="150" stopIfTrue="1" operator="lessThanOrEqual">
      <formula>0</formula>
    </cfRule>
    <cfRule type="cellIs" dxfId="3913" priority="149" stopIfTrue="1" operator="greaterThan">
      <formula>$J61</formula>
    </cfRule>
  </conditionalFormatting>
  <conditionalFormatting sqref="H69">
    <cfRule type="cellIs" dxfId="3912" priority="151" operator="greaterThan">
      <formula>5.3</formula>
    </cfRule>
  </conditionalFormatting>
  <conditionalFormatting sqref="H72 H74:H80">
    <cfRule type="cellIs" dxfId="3911" priority="181" stopIfTrue="1" operator="lessThanOrEqual">
      <formula>0</formula>
    </cfRule>
    <cfRule type="cellIs" dxfId="3910" priority="180" stopIfTrue="1" operator="greaterThan">
      <formula>4.5</formula>
    </cfRule>
  </conditionalFormatting>
  <conditionalFormatting sqref="H50:I50">
    <cfRule type="cellIs" dxfId="3909" priority="28" stopIfTrue="1" operator="greaterThan">
      <formula>$F$67</formula>
    </cfRule>
    <cfRule type="cellIs" dxfId="3908" priority="31" stopIfTrue="1" operator="lessThanOrEqual">
      <formula>0</formula>
    </cfRule>
  </conditionalFormatting>
  <conditionalFormatting sqref="H51:I51">
    <cfRule type="cellIs" dxfId="3907" priority="104" stopIfTrue="1" operator="lessThanOrEqual">
      <formula>0</formula>
    </cfRule>
    <cfRule type="cellIs" dxfId="3906" priority="101" stopIfTrue="1" operator="greaterThan">
      <formula>$F$18</formula>
    </cfRule>
  </conditionalFormatting>
  <conditionalFormatting sqref="H52:I52">
    <cfRule type="cellIs" dxfId="3905" priority="74" stopIfTrue="1" operator="lessThanOrEqual">
      <formula>0</formula>
    </cfRule>
    <cfRule type="cellIs" dxfId="3904" priority="71" stopIfTrue="1" operator="greaterThan">
      <formula>$F$64</formula>
    </cfRule>
  </conditionalFormatting>
  <conditionalFormatting sqref="H53:I54">
    <cfRule type="cellIs" dxfId="3903" priority="90" stopIfTrue="1" operator="lessThanOrEqual">
      <formula>0</formula>
    </cfRule>
    <cfRule type="cellIs" dxfId="3902" priority="87" stopIfTrue="1" operator="greaterThan">
      <formula>#REF!</formula>
    </cfRule>
  </conditionalFormatting>
  <conditionalFormatting sqref="H55:I55">
    <cfRule type="cellIs" dxfId="3901" priority="116" stopIfTrue="1" operator="greaterThan">
      <formula>$F$33</formula>
    </cfRule>
    <cfRule type="cellIs" dxfId="3900" priority="119" stopIfTrue="1" operator="lessThanOrEqual">
      <formula>0</formula>
    </cfRule>
  </conditionalFormatting>
  <conditionalFormatting sqref="H56:I57">
    <cfRule type="cellIs" dxfId="3899" priority="57" stopIfTrue="1" operator="greaterThan">
      <formula>#REF!</formula>
    </cfRule>
    <cfRule type="cellIs" dxfId="3898" priority="60" stopIfTrue="1" operator="lessThanOrEqual">
      <formula>0</formula>
    </cfRule>
  </conditionalFormatting>
  <conditionalFormatting sqref="H70:I70">
    <cfRule type="cellIs" dxfId="3897" priority="142" stopIfTrue="1" operator="lessThanOrEqual">
      <formula>0</formula>
    </cfRule>
    <cfRule type="cellIs" dxfId="3896" priority="141" stopIfTrue="1" operator="greaterThan">
      <formula>$J70</formula>
    </cfRule>
  </conditionalFormatting>
  <conditionalFormatting sqref="I50">
    <cfRule type="cellIs" dxfId="3895" priority="37" stopIfTrue="1" operator="lessThanOrEqual">
      <formula>0</formula>
    </cfRule>
    <cfRule type="cellIs" dxfId="3894" priority="33" stopIfTrue="1" operator="lessThanOrEqual">
      <formula>0</formula>
    </cfRule>
    <cfRule type="cellIs" dxfId="3893" priority="32" stopIfTrue="1" operator="greaterThan">
      <formula>$F$65</formula>
    </cfRule>
    <cfRule type="cellIs" dxfId="3892" priority="34" stopIfTrue="1" operator="greaterThan">
      <formula>$F$67</formula>
    </cfRule>
    <cfRule type="cellIs" dxfId="3891" priority="35" stopIfTrue="1" operator="lessThanOrEqual">
      <formula>0</formula>
    </cfRule>
    <cfRule type="cellIs" dxfId="3890" priority="36" stopIfTrue="1" operator="greaterThan">
      <formula>$F$65</formula>
    </cfRule>
  </conditionalFormatting>
  <conditionalFormatting sqref="I51">
    <cfRule type="cellIs" dxfId="3889" priority="109" stopIfTrue="1" operator="greaterThan">
      <formula>#REF!</formula>
    </cfRule>
    <cfRule type="cellIs" dxfId="3888" priority="110" stopIfTrue="1" operator="lessThanOrEqual">
      <formula>0</formula>
    </cfRule>
    <cfRule type="cellIs" dxfId="3887" priority="105" stopIfTrue="1" operator="greaterThan">
      <formula>#REF!</formula>
    </cfRule>
    <cfRule type="cellIs" dxfId="3886" priority="106" stopIfTrue="1" operator="lessThanOrEqual">
      <formula>0</formula>
    </cfRule>
    <cfRule type="cellIs" dxfId="3885" priority="107" stopIfTrue="1" operator="greaterThan">
      <formula>$F$18</formula>
    </cfRule>
    <cfRule type="cellIs" dxfId="3884" priority="108" stopIfTrue="1" operator="lessThanOrEqual">
      <formula>0</formula>
    </cfRule>
  </conditionalFormatting>
  <conditionalFormatting sqref="I52">
    <cfRule type="cellIs" dxfId="3883" priority="75" stopIfTrue="1" operator="greaterThan">
      <formula>$F$62</formula>
    </cfRule>
    <cfRule type="cellIs" dxfId="3882" priority="76" stopIfTrue="1" operator="lessThanOrEqual">
      <formula>0</formula>
    </cfRule>
    <cfRule type="cellIs" dxfId="3881" priority="80" stopIfTrue="1" operator="lessThanOrEqual">
      <formula>0</formula>
    </cfRule>
    <cfRule type="cellIs" dxfId="3880" priority="79" stopIfTrue="1" operator="greaterThan">
      <formula>$F$62</formula>
    </cfRule>
    <cfRule type="cellIs" dxfId="3879" priority="78" stopIfTrue="1" operator="lessThanOrEqual">
      <formula>0</formula>
    </cfRule>
    <cfRule type="cellIs" dxfId="3878" priority="77" stopIfTrue="1" operator="greaterThan">
      <formula>$F$64</formula>
    </cfRule>
  </conditionalFormatting>
  <conditionalFormatting sqref="I53:I54">
    <cfRule type="cellIs" dxfId="3877" priority="92" stopIfTrue="1" operator="lessThanOrEqual">
      <formula>0</formula>
    </cfRule>
    <cfRule type="cellIs" dxfId="3876" priority="96" stopIfTrue="1" operator="lessThanOrEqual">
      <formula>0</formula>
    </cfRule>
    <cfRule type="cellIs" dxfId="3875" priority="95" stopIfTrue="1" operator="greaterThan">
      <formula>#REF!</formula>
    </cfRule>
    <cfRule type="cellIs" dxfId="3874" priority="94" stopIfTrue="1" operator="lessThanOrEqual">
      <formula>0</formula>
    </cfRule>
    <cfRule type="cellIs" dxfId="3873" priority="91" stopIfTrue="1" operator="greaterThan">
      <formula>#REF!</formula>
    </cfRule>
    <cfRule type="cellIs" dxfId="3872" priority="93" stopIfTrue="1" operator="greaterThan">
      <formula>#REF!</formula>
    </cfRule>
  </conditionalFormatting>
  <conditionalFormatting sqref="I55">
    <cfRule type="cellIs" dxfId="3871" priority="120" stopIfTrue="1" operator="greaterThan">
      <formula>$F$31</formula>
    </cfRule>
    <cfRule type="cellIs" dxfId="3870" priority="121" stopIfTrue="1" operator="lessThanOrEqual">
      <formula>0</formula>
    </cfRule>
    <cfRule type="cellIs" dxfId="3869" priority="122" stopIfTrue="1" operator="greaterThan">
      <formula>$F$33</formula>
    </cfRule>
    <cfRule type="cellIs" dxfId="3868" priority="123" stopIfTrue="1" operator="lessThanOrEqual">
      <formula>0</formula>
    </cfRule>
    <cfRule type="cellIs" dxfId="3867" priority="124" stopIfTrue="1" operator="greaterThan">
      <formula>$F$31</formula>
    </cfRule>
    <cfRule type="cellIs" dxfId="3866" priority="125" stopIfTrue="1" operator="lessThanOrEqual">
      <formula>0</formula>
    </cfRule>
  </conditionalFormatting>
  <conditionalFormatting sqref="I56:I57">
    <cfRule type="cellIs" dxfId="3865" priority="65" stopIfTrue="1" operator="greaterThan">
      <formula>#REF!</formula>
    </cfRule>
    <cfRule type="cellIs" dxfId="3864" priority="63" stopIfTrue="1" operator="greaterThan">
      <formula>#REF!</formula>
    </cfRule>
    <cfRule type="cellIs" dxfId="3863" priority="62" stopIfTrue="1" operator="lessThanOrEqual">
      <formula>0</formula>
    </cfRule>
    <cfRule type="cellIs" dxfId="3862" priority="61" stopIfTrue="1" operator="greaterThan">
      <formula>#REF!</formula>
    </cfRule>
    <cfRule type="cellIs" dxfId="3861" priority="66" stopIfTrue="1" operator="lessThanOrEqual">
      <formula>0</formula>
    </cfRule>
    <cfRule type="cellIs" dxfId="3860" priority="64" stopIfTrue="1" operator="lessThanOrEqual">
      <formula>0</formula>
    </cfRule>
  </conditionalFormatting>
  <conditionalFormatting sqref="I61:I69">
    <cfRule type="cellIs" dxfId="3859" priority="152" stopIfTrue="1" operator="greaterThan">
      <formula>$J61</formula>
    </cfRule>
    <cfRule type="cellIs" dxfId="3858" priority="153" stopIfTrue="1" operator="lessThanOrEqual">
      <formula>0</formula>
    </cfRule>
  </conditionalFormatting>
  <conditionalFormatting sqref="I72:I80">
    <cfRule type="cellIs" dxfId="3857" priority="176" stopIfTrue="1" operator="greaterThan">
      <formula>4.5</formula>
    </cfRule>
    <cfRule type="cellIs" dxfId="3856" priority="177" stopIfTrue="1" operator="lessThanOrEqual">
      <formula>0</formula>
    </cfRule>
  </conditionalFormatting>
  <conditionalFormatting sqref="I10:J18">
    <cfRule type="cellIs" dxfId="3855" priority="4" operator="lessThan">
      <formula>97.9</formula>
    </cfRule>
  </conditionalFormatting>
  <conditionalFormatting sqref="J22:J23">
    <cfRule type="cellIs" dxfId="3854" priority="132" stopIfTrue="1" operator="greaterThan">
      <formula>100</formula>
    </cfRule>
    <cfRule type="cellIs" dxfId="3853" priority="133" operator="lessThan">
      <formula>98</formula>
    </cfRule>
    <cfRule type="cellIs" dxfId="3852" priority="131" stopIfTrue="1" operator="lessThan">
      <formula>96.8</formula>
    </cfRule>
  </conditionalFormatting>
  <conditionalFormatting sqref="J22:J25">
    <cfRule type="cellIs" dxfId="3851" priority="130" operator="lessThan">
      <formula>97.4</formula>
    </cfRule>
  </conditionalFormatting>
  <conditionalFormatting sqref="J26:J27">
    <cfRule type="cellIs" dxfId="3850" priority="134" operator="lessThan">
      <formula>98</formula>
    </cfRule>
  </conditionalFormatting>
  <conditionalFormatting sqref="J28:J29">
    <cfRule type="cellIs" dxfId="3849" priority="136" stopIfTrue="1" operator="greaterThan">
      <formula>100</formula>
    </cfRule>
    <cfRule type="cellIs" dxfId="3848" priority="135" stopIfTrue="1" operator="lessThan">
      <formula>96.8</formula>
    </cfRule>
  </conditionalFormatting>
  <conditionalFormatting sqref="J28:J30">
    <cfRule type="cellIs" dxfId="3847" priority="137" operator="lessThan">
      <formula>98</formula>
    </cfRule>
  </conditionalFormatting>
  <conditionalFormatting sqref="J57">
    <cfRule type="cellIs" dxfId="3846" priority="52" stopIfTrue="1" operator="lessThanOrEqual">
      <formula>0</formula>
    </cfRule>
    <cfRule type="cellIs" dxfId="3845" priority="51" stopIfTrue="1" operator="greaterThan">
      <formula>#REF!</formula>
    </cfRule>
    <cfRule type="cellIs" dxfId="3844" priority="50" stopIfTrue="1" operator="lessThanOrEqual">
      <formula>0</formula>
    </cfRule>
    <cfRule type="cellIs" dxfId="3843" priority="49" stopIfTrue="1" operator="greaterThan">
      <formula>#REF!</formula>
    </cfRule>
    <cfRule type="cellIs" dxfId="3842" priority="55" stopIfTrue="1" operator="greaterThan">
      <formula>#REF!</formula>
    </cfRule>
    <cfRule type="cellIs" dxfId="3841" priority="56" stopIfTrue="1" operator="lessThanOrEqual">
      <formula>0</formula>
    </cfRule>
    <cfRule type="cellIs" dxfId="3840" priority="54" stopIfTrue="1" operator="lessThanOrEqual">
      <formula>0</formula>
    </cfRule>
    <cfRule type="cellIs" dxfId="3839" priority="53" stopIfTrue="1" operator="greaterThan">
      <formula>#REF!</formula>
    </cfRule>
  </conditionalFormatting>
  <conditionalFormatting sqref="J70">
    <cfRule type="cellIs" dxfId="3838" priority="139" stopIfTrue="1" operator="lessThanOrEqual">
      <formula>0</formula>
    </cfRule>
    <cfRule type="cellIs" dxfId="3837" priority="138" stopIfTrue="1" operator="greaterThan">
      <formula>$F70</formula>
    </cfRule>
  </conditionalFormatting>
  <conditionalFormatting sqref="K10:K18">
    <cfRule type="cellIs" dxfId="3836" priority="7" operator="greaterThan">
      <formula>6.4</formula>
    </cfRule>
    <cfRule type="cellIs" dxfId="3835" priority="6" operator="lessThan">
      <formula>4</formula>
    </cfRule>
    <cfRule type="cellIs" dxfId="3834" priority="5" operator="greaterThan">
      <formula>6</formula>
    </cfRule>
  </conditionalFormatting>
  <conditionalFormatting sqref="K50:K57 K61:N67 K68 M68:N68 K69:N69">
    <cfRule type="cellIs" dxfId="3833" priority="115" stopIfTrue="1" operator="lessThan">
      <formula>100%</formula>
    </cfRule>
  </conditionalFormatting>
  <conditionalFormatting sqref="K72:K77">
    <cfRule type="cellIs" dxfId="3832" priority="182" stopIfTrue="1" operator="lessThan">
      <formula>100%</formula>
    </cfRule>
  </conditionalFormatting>
  <conditionalFormatting sqref="K79:K80">
    <cfRule type="cellIs" dxfId="3831" priority="189" stopIfTrue="1" operator="lessThan">
      <formula>100%</formula>
    </cfRule>
  </conditionalFormatting>
  <conditionalFormatting sqref="L10:L13">
    <cfRule type="cellIs" dxfId="3830" priority="9" operator="greaterThan">
      <formula>65</formula>
    </cfRule>
    <cfRule type="cellIs" dxfId="3829" priority="8" operator="between">
      <formula>61</formula>
      <formula>65</formula>
    </cfRule>
  </conditionalFormatting>
  <conditionalFormatting sqref="L18">
    <cfRule type="cellIs" dxfId="3828" priority="23" operator="greaterThan">
      <formula>65</formula>
    </cfRule>
    <cfRule type="cellIs" dxfId="3827" priority="22" operator="between">
      <formula>61</formula>
      <formula>65</formula>
    </cfRule>
  </conditionalFormatting>
  <conditionalFormatting sqref="L14:M17">
    <cfRule type="cellIs" dxfId="3826" priority="13" operator="between">
      <formula>61</formula>
      <formula>65</formula>
    </cfRule>
    <cfRule type="cellIs" dxfId="3825" priority="12" operator="greaterThan">
      <formula>65</formula>
    </cfRule>
  </conditionalFormatting>
  <conditionalFormatting sqref="L21:M32">
    <cfRule type="cellIs" dxfId="3824" priority="26" operator="lessThan">
      <formula>97.95</formula>
    </cfRule>
  </conditionalFormatting>
  <conditionalFormatting sqref="L36:N36">
    <cfRule type="cellIs" dxfId="3823" priority="27" operator="notEqual">
      <formula>#REF!</formula>
    </cfRule>
  </conditionalFormatting>
  <conditionalFormatting sqref="L70:N70">
    <cfRule type="cellIs" dxfId="3822" priority="140" stopIfTrue="1" operator="lessThan">
      <formula>100%</formula>
    </cfRule>
  </conditionalFormatting>
  <conditionalFormatting sqref="L72:N80">
    <cfRule type="cellIs" dxfId="3821" priority="167" stopIfTrue="1" operator="lessThan">
      <formula>100%</formula>
    </cfRule>
  </conditionalFormatting>
  <conditionalFormatting sqref="M10:M13">
    <cfRule type="expression" dxfId="3820" priority="1">
      <formula>IF(+(IF(M10&lt;U10,0,IF(M10&gt;V10,0,1)))=0,1)</formula>
    </cfRule>
  </conditionalFormatting>
  <conditionalFormatting sqref="M14:M17 H11:H13 G14:H18">
    <cfRule type="expression" dxfId="3819" priority="14">
      <formula>IF(+(IF(G11&lt;#REF!,0,IF(G11&gt;#REF!,0,1)))=0,1)</formula>
    </cfRule>
  </conditionalFormatting>
  <conditionalFormatting sqref="M18:N18">
    <cfRule type="expression" dxfId="3818" priority="197">
      <formula>IF(+(IF(M18&lt;#REF!,0,IF(M18&gt;#REF!,0,1)))=0,1)</formula>
    </cfRule>
  </conditionalFormatting>
  <conditionalFormatting sqref="N10:N17">
    <cfRule type="expression" dxfId="3817" priority="3">
      <formula>IF(+(IF(N10&lt;W10,0,IF(N10&gt;X10,0,1)))=0,1)</formula>
    </cfRule>
  </conditionalFormatting>
  <conditionalFormatting sqref="P6">
    <cfRule type="cellIs" dxfId="3816" priority="163" operator="greaterThanOrEqual">
      <formula>19</formula>
    </cfRule>
  </conditionalFormatting>
  <dataValidations count="1">
    <dataValidation type="list" allowBlank="1" showInputMessage="1" showErrorMessage="1" sqref="R8" xr:uid="{9776E682-34C4-4D1D-9BE6-3A243353C53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9E8D-E4C1-4F1E-BA90-C3496883FE16}">
  <sheetPr codeName="Sheet3">
    <pageSetUpPr fitToPage="1"/>
  </sheetPr>
  <dimension ref="A1:BE70"/>
  <sheetViews>
    <sheetView topLeftCell="B42" zoomScale="90" zoomScaleNormal="90" workbookViewId="0">
      <selection activeCell="J50" sqref="J5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46028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s="484" customFormat="1" ht="16.5" customHeight="1">
      <c r="B10" s="481" t="s">
        <v>9</v>
      </c>
      <c r="C10" s="482" t="str">
        <f>[5]Brewhouse!$A51</f>
        <v>ST001</v>
      </c>
      <c r="D10" s="598" t="s">
        <v>172</v>
      </c>
      <c r="E10" s="599"/>
      <c r="F10" s="599"/>
      <c r="G10" s="599"/>
      <c r="H10" s="599"/>
      <c r="I10" s="599"/>
      <c r="J10" s="599"/>
      <c r="K10" s="599"/>
      <c r="L10" s="599"/>
      <c r="M10" s="599"/>
      <c r="N10" s="599"/>
      <c r="O10" s="600"/>
      <c r="P10" s="483"/>
      <c r="R10" s="485" t="str">
        <f t="shared" ref="R10:R32" si="0">B10</f>
        <v>STAG</v>
      </c>
      <c r="S10" s="486">
        <f t="shared" ref="S10:S32" si="1">VLOOKUP($B10,$R$3:$X$9,2,FALSE)</f>
        <v>11.6</v>
      </c>
      <c r="T10" s="486">
        <f t="shared" ref="T10:T32" si="2">VLOOKUP($B10,$R$3:$X$9,3,FALSE)</f>
        <v>12</v>
      </c>
      <c r="U10" s="487">
        <f t="shared" ref="U10:U32" si="3">VLOOKUP($B10,$R$3:$X$9,4,FALSE)</f>
        <v>0</v>
      </c>
      <c r="V10" s="487">
        <f t="shared" ref="V10:V32" si="4">VLOOKUP($B10,$R$3:$X$9,5,FALSE)</f>
        <v>0.118055555555556</v>
      </c>
      <c r="W10" s="487">
        <f t="shared" ref="W10:W32" si="5">VLOOKUP($B10,$R$3:$X$9,6,FALSE)</f>
        <v>0.22569444444444445</v>
      </c>
      <c r="X10" s="487">
        <f t="shared" ref="X10:X32" si="6">VLOOKUP($B10,$R$3:$X$9,7,FALSE)</f>
        <v>0.2638888888888889</v>
      </c>
      <c r="Y10" s="487">
        <f t="shared" ref="Y10:Y32" si="7">VLOOKUP($B10,$R$3:$Z$9,8,FALSE)</f>
        <v>0</v>
      </c>
      <c r="Z10" s="486">
        <f t="shared" ref="Z10:Z32" si="8">VLOOKUP($B10,$R$3:$Z$9,9,FALSE)</f>
        <v>60</v>
      </c>
    </row>
    <row r="11" spans="2:29" ht="16.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418"/>
      <c r="R11" s="277">
        <f t="shared" si="0"/>
        <v>0</v>
      </c>
      <c r="S11" s="474" t="e">
        <f t="shared" si="1"/>
        <v>#N/A</v>
      </c>
      <c r="T11" s="474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4" t="e">
        <f t="shared" si="8"/>
        <v>#N/A</v>
      </c>
    </row>
    <row r="12" spans="2:29" ht="16.5" customHeight="1">
      <c r="B12" s="37" t="s">
        <v>16</v>
      </c>
      <c r="C12" s="366" t="str">
        <f>[8]Brewhouse!$A5</f>
        <v>SM001</v>
      </c>
      <c r="D12" s="279">
        <f>[8]Brewhouse!$AH5</f>
        <v>53.1</v>
      </c>
      <c r="E12" s="279">
        <f>[8]Brewhouse!$AM5</f>
        <v>52</v>
      </c>
      <c r="F12" s="278">
        <f>[8]Brewhouse!$Z5</f>
        <v>66</v>
      </c>
      <c r="G12" s="279">
        <f>[8]Brewhouse!$AK5</f>
        <v>17.100000000000001</v>
      </c>
      <c r="H12" s="396">
        <v>17</v>
      </c>
      <c r="I12" s="368">
        <f>[8]Brewhouse!$AY5</f>
        <v>97.569471586586559</v>
      </c>
      <c r="J12" s="368">
        <f>[8]Brewhouse!$AZ5</f>
        <v>97.939158220543092</v>
      </c>
      <c r="K12" s="281">
        <f>[8]Brewhouse!$U5</f>
        <v>4.8587570621469025</v>
      </c>
      <c r="L12" s="276">
        <f>[8]Brewhouse!$T5</f>
        <v>59</v>
      </c>
      <c r="M12" s="374">
        <f>[8]Brewhouse!$Y5-[8]Brewhouse!$X5</f>
        <v>0.14097222222222228</v>
      </c>
      <c r="N12" s="370">
        <f>[8]Brewhouse!$AD5</f>
        <v>0.30486111111111114</v>
      </c>
      <c r="O12" s="371" t="str">
        <f>[8]Brewhouse!$BC5</f>
        <v>R. Regis</v>
      </c>
      <c r="P12" s="418"/>
      <c r="R12" s="277" t="str">
        <f t="shared" si="0"/>
        <v>STARMALT</v>
      </c>
      <c r="S12" s="474">
        <f t="shared" si="1"/>
        <v>17</v>
      </c>
      <c r="T12" s="474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4">
        <f t="shared" si="8"/>
        <v>85</v>
      </c>
    </row>
    <row r="13" spans="2:29" ht="16.5" customHeight="1">
      <c r="B13" s="37" t="s">
        <v>16</v>
      </c>
      <c r="C13" s="366" t="str">
        <f>[8]Brewhouse!$A6</f>
        <v>SM002</v>
      </c>
      <c r="D13" s="279">
        <f>[8]Brewhouse!$AH6</f>
        <v>53</v>
      </c>
      <c r="E13" s="279">
        <f>[8]Brewhouse!$AM6</f>
        <v>52.6</v>
      </c>
      <c r="F13" s="278">
        <f>[8]Brewhouse!$Z6</f>
        <v>73</v>
      </c>
      <c r="G13" s="279">
        <f>[8]Brewhouse!$AK6</f>
        <v>17.100000000000001</v>
      </c>
      <c r="H13" s="396">
        <v>17.100000000000001</v>
      </c>
      <c r="I13" s="368">
        <f>[8]Brewhouse!$AY6</f>
        <v>98.85391885240027</v>
      </c>
      <c r="J13" s="368">
        <f>[8]Brewhouse!$AZ6</f>
        <v>99.227780251296664</v>
      </c>
      <c r="K13" s="281">
        <f>[8]Brewhouse!$U6</f>
        <v>2.4150943396226436</v>
      </c>
      <c r="L13" s="276">
        <f>[8]Brewhouse!$T6</f>
        <v>60</v>
      </c>
      <c r="M13" s="374">
        <f>[8]Brewhouse!$Y6-[8]Brewhouse!$X6</f>
        <v>0.1513888888888888</v>
      </c>
      <c r="N13" s="370">
        <f>[8]Brewhouse!$AD6</f>
        <v>0.32847222222222217</v>
      </c>
      <c r="O13" s="371" t="str">
        <f>[8]Brewhouse!$BC6</f>
        <v>K. Benjamin</v>
      </c>
      <c r="P13" s="418"/>
      <c r="R13" s="277" t="str">
        <f t="shared" si="0"/>
        <v>STARMALT</v>
      </c>
      <c r="S13" s="474">
        <f t="shared" si="1"/>
        <v>17</v>
      </c>
      <c r="T13" s="474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4">
        <f t="shared" si="8"/>
        <v>85</v>
      </c>
    </row>
    <row r="14" spans="2:29" ht="16.5" customHeight="1">
      <c r="B14" s="37" t="s">
        <v>16</v>
      </c>
      <c r="C14" s="366" t="str">
        <f>[8]Brewhouse!$A7</f>
        <v>SM003</v>
      </c>
      <c r="D14" s="279">
        <f>[8]Brewhouse!$AH7</f>
        <v>53</v>
      </c>
      <c r="E14" s="279">
        <f>[8]Brewhouse!$AM7</f>
        <v>52</v>
      </c>
      <c r="F14" s="278">
        <f>[8]Brewhouse!$Z7</f>
        <v>70</v>
      </c>
      <c r="G14" s="279">
        <f>[8]Brewhouse!$AK7</f>
        <v>17.100000000000001</v>
      </c>
      <c r="H14" s="396">
        <v>17.2</v>
      </c>
      <c r="I14" s="368">
        <f>[8]Brewhouse!$AY7</f>
        <v>97.962509317492206</v>
      </c>
      <c r="J14" s="368">
        <f>[8]Brewhouse!$AZ7</f>
        <v>98.331966749048121</v>
      </c>
      <c r="K14" s="281">
        <f>[8]Brewhouse!$U7</f>
        <v>1.2830188679245278</v>
      </c>
      <c r="L14" s="276">
        <f>[8]Brewhouse!$T7</f>
        <v>60</v>
      </c>
      <c r="M14" s="374">
        <f>[8]Brewhouse!$Y7-[8]Brewhouse!$X7</f>
        <v>0.13819444444444429</v>
      </c>
      <c r="N14" s="370">
        <f>[8]Brewhouse!$AD7</f>
        <v>0.31180555555555545</v>
      </c>
      <c r="O14" s="371" t="str">
        <f>[8]Brewhouse!$BC7</f>
        <v>K. Benjamin</v>
      </c>
      <c r="P14" s="418"/>
      <c r="R14" s="277" t="str">
        <f t="shared" si="0"/>
        <v>STARMALT</v>
      </c>
      <c r="S14" s="474">
        <f t="shared" si="1"/>
        <v>17</v>
      </c>
      <c r="T14" s="474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4">
        <f t="shared" si="8"/>
        <v>85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479"/>
      <c r="J15" s="479"/>
      <c r="K15" s="281"/>
      <c r="L15" s="276"/>
      <c r="M15" s="374"/>
      <c r="N15" s="370"/>
      <c r="O15" s="420"/>
      <c r="P15" s="418"/>
      <c r="R15" s="277">
        <f t="shared" si="0"/>
        <v>0</v>
      </c>
      <c r="S15" s="474" t="e">
        <f t="shared" si="1"/>
        <v>#N/A</v>
      </c>
      <c r="T15" s="474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4" t="e">
        <f t="shared" si="8"/>
        <v>#N/A</v>
      </c>
    </row>
    <row r="16" spans="2:29" ht="16.5" hidden="1" customHeight="1">
      <c r="B16" s="33"/>
      <c r="C16" s="366"/>
      <c r="D16" s="279"/>
      <c r="E16" s="279"/>
      <c r="F16" s="278"/>
      <c r="G16" s="279"/>
      <c r="H16" s="396"/>
      <c r="I16" s="479"/>
      <c r="J16" s="479"/>
      <c r="K16" s="281"/>
      <c r="L16" s="276"/>
      <c r="M16" s="374"/>
      <c r="N16" s="370"/>
      <c r="O16" s="420"/>
      <c r="P16" s="418"/>
      <c r="R16" s="277">
        <f t="shared" si="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hidden="1" customHeight="1">
      <c r="B17" s="33"/>
      <c r="C17" s="366"/>
      <c r="D17" s="279"/>
      <c r="E17" s="279"/>
      <c r="F17" s="278"/>
      <c r="G17" s="279"/>
      <c r="H17" s="396"/>
      <c r="I17" s="479"/>
      <c r="J17" s="479"/>
      <c r="K17" s="281"/>
      <c r="L17" s="276"/>
      <c r="M17" s="374"/>
      <c r="N17" s="370"/>
      <c r="O17" s="420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hidden="1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540"/>
      <c r="J19" s="540"/>
      <c r="K19" s="540"/>
      <c r="L19" s="540"/>
      <c r="M19" s="540"/>
      <c r="N19" s="540"/>
      <c r="O19" s="1"/>
      <c r="P19" s="12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5.75" customHeight="1" thickBot="1">
      <c r="B20" s="388" t="s">
        <v>162</v>
      </c>
      <c r="C20" s="388"/>
      <c r="D20" s="541" t="s">
        <v>35</v>
      </c>
      <c r="E20" s="542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0"/>
        <v xml:space="preserve">BRAND 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5" customHeight="1">
      <c r="A21" s="28"/>
      <c r="B21" s="595" t="str">
        <f>I21</f>
        <v>CARIB</v>
      </c>
      <c r="C21" s="362"/>
      <c r="D21" s="546"/>
      <c r="E21" s="547"/>
      <c r="F21" s="294"/>
      <c r="G21" s="294"/>
      <c r="H21" s="348"/>
      <c r="I21" s="29" t="s">
        <v>6</v>
      </c>
      <c r="J21" s="280"/>
      <c r="K21" s="284">
        <f>COUNTA([4]Brewhouse!$A$42:$A$45)</f>
        <v>4</v>
      </c>
      <c r="L21" s="305">
        <f>AVERAGE([4]Brewhouse!$AU$42:$AU$45)</f>
        <v>99.340320690298086</v>
      </c>
      <c r="M21" s="305">
        <f>AVERAGE([4]Brewhouse!$AU$42:$AU$45)</f>
        <v>99.340320690298086</v>
      </c>
      <c r="N21" s="30">
        <v>98</v>
      </c>
      <c r="O21" s="11"/>
      <c r="P21" s="31"/>
      <c r="R21" s="277" t="str">
        <f t="shared" si="0"/>
        <v>CARIB</v>
      </c>
      <c r="S21" s="474">
        <f t="shared" si="1"/>
        <v>11.6</v>
      </c>
      <c r="T21" s="474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4">
        <f t="shared" si="8"/>
        <v>60</v>
      </c>
    </row>
    <row r="22" spans="1:27" ht="15" customHeight="1">
      <c r="A22" s="28"/>
      <c r="B22" s="596"/>
      <c r="C22" s="362"/>
      <c r="D22" s="548"/>
      <c r="E22" s="532"/>
      <c r="F22" s="294"/>
      <c r="G22" s="294"/>
      <c r="H22" s="348"/>
      <c r="I22" s="33" t="s">
        <v>9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4.65" customHeight="1">
      <c r="A23" s="28"/>
      <c r="B23" s="596"/>
      <c r="C23" s="362"/>
      <c r="D23" s="536"/>
      <c r="E23" s="537"/>
      <c r="F23" s="294"/>
      <c r="G23" s="294"/>
      <c r="H23" s="348"/>
      <c r="I23" s="34" t="s">
        <v>12</v>
      </c>
      <c r="J23" s="280"/>
      <c r="K23" s="284"/>
      <c r="L23" s="302"/>
      <c r="M23" s="302"/>
      <c r="N23" s="30">
        <v>98</v>
      </c>
      <c r="O23" s="11"/>
      <c r="P23" s="31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4.65" customHeight="1">
      <c r="A24" s="28"/>
      <c r="B24" s="596"/>
      <c r="C24" s="362"/>
      <c r="D24" s="531"/>
      <c r="E24" s="532"/>
      <c r="F24" s="294"/>
      <c r="G24" s="294"/>
      <c r="H24" s="348"/>
      <c r="I24" s="22" t="s">
        <v>33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4.65" customHeight="1">
      <c r="A25" s="28"/>
      <c r="B25" s="596"/>
      <c r="C25" s="362"/>
      <c r="D25" s="536"/>
      <c r="E25" s="537"/>
      <c r="F25" s="417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4.65" customHeight="1">
      <c r="A26" s="28"/>
      <c r="B26" s="596"/>
      <c r="C26" s="362"/>
      <c r="D26" s="531"/>
      <c r="E26" s="532"/>
      <c r="F26" s="417"/>
      <c r="G26" s="294"/>
      <c r="H26" s="348"/>
      <c r="I26" s="36" t="s">
        <v>15</v>
      </c>
      <c r="J26" s="323"/>
      <c r="K26" s="284"/>
      <c r="L26" s="302"/>
      <c r="M26" s="302"/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  <c r="AA26" s="474"/>
    </row>
    <row r="27" spans="1:27" ht="14.65" customHeight="1">
      <c r="A27" s="28"/>
      <c r="B27" s="596"/>
      <c r="C27" s="362"/>
      <c r="D27" s="536"/>
      <c r="E27" s="537"/>
      <c r="F27" s="417"/>
      <c r="G27" s="294"/>
      <c r="H27" s="348"/>
      <c r="I27" s="37" t="s">
        <v>16</v>
      </c>
      <c r="J27" s="323">
        <f>AVERAGE(I12:I14)</f>
        <v>98.128633252159673</v>
      </c>
      <c r="K27" s="284">
        <f>COUNTA([8]Brewhouse!$A$5:$A$7)</f>
        <v>3</v>
      </c>
      <c r="L27" s="302">
        <f>AVERAGE([8]Brewhouse!$AY$5:$AY$7)</f>
        <v>98.128633252159673</v>
      </c>
      <c r="M27" s="302">
        <f>AVERAGE([8]Brewhouse!$AY$5:$AY$7)</f>
        <v>98.128633252159673</v>
      </c>
      <c r="N27" s="30">
        <v>98</v>
      </c>
      <c r="O27" s="11"/>
      <c r="P27" s="31" t="s">
        <v>41</v>
      </c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  <c r="AA27" s="474"/>
    </row>
    <row r="28" spans="1:27" ht="14.65" customHeight="1">
      <c r="A28" s="28"/>
      <c r="B28" s="596"/>
      <c r="C28" s="362"/>
      <c r="D28" s="531"/>
      <c r="E28" s="532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  <c r="AA28" s="474"/>
    </row>
    <row r="29" spans="1:27" ht="14.65" customHeight="1">
      <c r="A29" s="28"/>
      <c r="B29" s="596"/>
      <c r="C29" s="349"/>
      <c r="D29" s="536"/>
      <c r="E29" s="537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  <c r="AA29" s="474"/>
    </row>
    <row r="30" spans="1:27" ht="15" customHeight="1" thickBot="1">
      <c r="A30" s="28"/>
      <c r="B30" s="596"/>
      <c r="C30" s="349"/>
      <c r="D30" s="531"/>
      <c r="E30" s="532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5" customHeight="1" thickBot="1">
      <c r="A31" s="28"/>
      <c r="B31" s="596"/>
      <c r="C31" s="349"/>
      <c r="D31" s="546"/>
      <c r="E31" s="547"/>
      <c r="F31" s="294"/>
      <c r="G31" s="294"/>
      <c r="H31" s="348"/>
      <c r="I31" s="1"/>
      <c r="J31" s="39"/>
      <c r="K31" s="404">
        <f>SUM(K21:K30)</f>
        <v>7</v>
      </c>
      <c r="L31" s="405">
        <f>((L21*K21)+(L22*K22)+(L23*K23)+(L24*K24)+(L25*K25)+(K28*L28)+(L26*K26)+(L27*K27)+(L30*K30))/(K31)</f>
        <v>98.82102607395305</v>
      </c>
      <c r="M31" s="405">
        <f>L31</f>
        <v>98.82102607395305</v>
      </c>
      <c r="N31" s="4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5.75" thickBot="1">
      <c r="B32" s="597"/>
      <c r="C32" s="350"/>
      <c r="D32" s="548"/>
      <c r="E32" s="532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2:56" ht="15.75" thickBot="1">
      <c r="B33" s="526"/>
      <c r="C33" s="362"/>
      <c r="D33" s="529"/>
      <c r="E33" s="530"/>
      <c r="F33" s="294"/>
      <c r="G33" s="42"/>
      <c r="H33" s="41"/>
      <c r="I33" s="42"/>
      <c r="J33" s="533" t="s">
        <v>129</v>
      </c>
      <c r="K33" s="533"/>
      <c r="L33" s="294"/>
      <c r="M33" s="294"/>
      <c r="N33" s="294"/>
      <c r="O33" s="294"/>
      <c r="P33" s="12"/>
    </row>
    <row r="34" spans="2:56" ht="15.75" thickBot="1">
      <c r="B34" s="527"/>
      <c r="C34" s="362"/>
      <c r="D34" s="531"/>
      <c r="E34" s="532"/>
      <c r="F34" s="294"/>
      <c r="G34" s="42"/>
      <c r="H34" s="42"/>
      <c r="I34" s="42"/>
      <c r="J34" s="292" t="s">
        <v>17</v>
      </c>
      <c r="K34" s="293" t="s">
        <v>147</v>
      </c>
      <c r="L34" s="534" t="s">
        <v>136</v>
      </c>
      <c r="M34" s="534"/>
      <c r="N34" s="535"/>
      <c r="O34" s="294"/>
      <c r="P34" s="12"/>
    </row>
    <row r="35" spans="2:56" ht="15" customHeight="1" thickBot="1">
      <c r="B35" s="527"/>
      <c r="C35" s="349"/>
      <c r="D35" s="536"/>
      <c r="E35" s="537"/>
      <c r="F35" s="294"/>
      <c r="G35" s="42"/>
      <c r="H35" s="42"/>
      <c r="I35" s="42"/>
      <c r="J35" s="287" t="s">
        <v>6</v>
      </c>
      <c r="K35" s="324"/>
      <c r="L35" s="475" t="s">
        <v>37</v>
      </c>
      <c r="M35" s="476" t="s">
        <v>38</v>
      </c>
      <c r="N35" s="476" t="s">
        <v>84</v>
      </c>
      <c r="O35" s="294"/>
      <c r="P35" s="12"/>
    </row>
    <row r="36" spans="2:56" ht="15.75" customHeight="1" thickBot="1">
      <c r="B36" s="527"/>
      <c r="C36" s="349"/>
      <c r="D36" s="531"/>
      <c r="E36" s="532"/>
      <c r="F36" s="294"/>
      <c r="G36" s="42"/>
      <c r="H36" s="42"/>
      <c r="I36" s="42"/>
      <c r="J36" s="345" t="s">
        <v>9</v>
      </c>
      <c r="K36" s="324"/>
      <c r="L36" s="344">
        <f>AVERAGE('Jan 2nd'!K45,'Jan 5th'!K45)</f>
        <v>3.5</v>
      </c>
      <c r="M36" s="325">
        <f>AVERAGE(L36)</f>
        <v>3.5</v>
      </c>
      <c r="N36" s="416">
        <v>9.1999999999999993</v>
      </c>
      <c r="O36" s="294"/>
      <c r="P36" s="12"/>
    </row>
    <row r="37" spans="2:56" ht="15" customHeight="1">
      <c r="B37" s="527"/>
      <c r="C37" s="349"/>
      <c r="D37" s="536"/>
      <c r="E37" s="537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7"/>
      <c r="C38" s="349"/>
      <c r="D38" s="531"/>
      <c r="E38" s="532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7"/>
      <c r="C39" s="349"/>
      <c r="D39" s="536"/>
      <c r="E39" s="537"/>
      <c r="F39" s="294"/>
      <c r="G39" s="42"/>
      <c r="H39" s="42"/>
      <c r="I39" s="42"/>
      <c r="J39" s="290" t="s">
        <v>16</v>
      </c>
      <c r="K39" s="324">
        <v>3</v>
      </c>
      <c r="L39" s="294"/>
      <c r="M39" s="294"/>
      <c r="N39" s="294"/>
      <c r="O39" s="294"/>
      <c r="P39" s="12"/>
      <c r="BC39" s="44"/>
      <c r="BD39" s="44"/>
    </row>
    <row r="40" spans="2:56" ht="15">
      <c r="B40" s="527"/>
      <c r="C40" s="349"/>
      <c r="D40" s="531"/>
      <c r="E40" s="532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7"/>
      <c r="C41" s="349"/>
      <c r="D41" s="536"/>
      <c r="E41" s="537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8"/>
      <c r="C42" s="350"/>
      <c r="D42" s="538"/>
      <c r="E42" s="539"/>
      <c r="F42" s="294" t="s">
        <v>166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9"/>
      <c r="E43" s="520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3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J46" s="42"/>
      <c r="L46" s="294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11" t="s">
        <v>17</v>
      </c>
      <c r="C48" s="511" t="s">
        <v>44</v>
      </c>
      <c r="D48" s="522" t="s">
        <v>45</v>
      </c>
      <c r="E48" s="524" t="s">
        <v>46</v>
      </c>
      <c r="F48" s="517" t="s">
        <v>47</v>
      </c>
      <c r="G48" s="509" t="s">
        <v>48</v>
      </c>
      <c r="H48" s="511" t="s">
        <v>49</v>
      </c>
      <c r="I48" s="511" t="s">
        <v>50</v>
      </c>
      <c r="J48" s="503" t="s">
        <v>28</v>
      </c>
      <c r="K48" s="513" t="s">
        <v>51</v>
      </c>
      <c r="L48" s="515" t="s">
        <v>52</v>
      </c>
      <c r="M48" s="503" t="s">
        <v>53</v>
      </c>
      <c r="N48" s="13"/>
      <c r="O48" s="13"/>
      <c r="P48" s="50"/>
    </row>
    <row r="49" spans="2:57" ht="28.5" customHeight="1" thickTop="1" thickBot="1">
      <c r="B49" s="521"/>
      <c r="C49" s="521"/>
      <c r="D49" s="523"/>
      <c r="E49" s="525"/>
      <c r="F49" s="518"/>
      <c r="G49" s="510"/>
      <c r="H49" s="512"/>
      <c r="I49" s="512"/>
      <c r="J49" s="504"/>
      <c r="K49" s="514"/>
      <c r="L49" s="516"/>
      <c r="M49" s="504"/>
      <c r="N49" s="13"/>
      <c r="O49" s="13"/>
      <c r="P49" s="50"/>
      <c r="Q49" s="355"/>
      <c r="AB49" s="477">
        <v>43474</v>
      </c>
      <c r="AC49" s="477">
        <v>43475</v>
      </c>
      <c r="AD49" s="477">
        <v>43476</v>
      </c>
      <c r="AE49" s="477">
        <v>43477</v>
      </c>
      <c r="AF49" s="477">
        <v>43478</v>
      </c>
      <c r="AG49" s="477">
        <v>43479</v>
      </c>
      <c r="AH49" s="477">
        <v>43480</v>
      </c>
      <c r="AI49" s="477">
        <v>43481</v>
      </c>
      <c r="AJ49" s="477">
        <v>43482</v>
      </c>
      <c r="AK49" s="477">
        <v>43483</v>
      </c>
      <c r="AL49" s="477">
        <v>43484</v>
      </c>
      <c r="AM49" s="477">
        <v>43485</v>
      </c>
      <c r="AN49" s="477">
        <v>43486</v>
      </c>
      <c r="AO49" s="477">
        <v>43487</v>
      </c>
      <c r="AP49" s="477">
        <v>43488</v>
      </c>
      <c r="AQ49" s="477">
        <v>43489</v>
      </c>
      <c r="AR49" s="477">
        <v>43490</v>
      </c>
      <c r="AS49" s="477">
        <v>43491</v>
      </c>
      <c r="AT49" s="477">
        <v>43492</v>
      </c>
      <c r="AU49" s="477">
        <v>43493</v>
      </c>
      <c r="AV49" s="477">
        <v>43494</v>
      </c>
      <c r="AW49" s="477">
        <v>43495</v>
      </c>
      <c r="AX49" s="477">
        <v>43496</v>
      </c>
    </row>
    <row r="50" spans="2:57" s="54" customFormat="1" ht="43.15" customHeight="1" thickBot="1">
      <c r="B50" s="456" t="str">
        <f>J35</f>
        <v>CARIB</v>
      </c>
      <c r="C50" s="441">
        <v>46027</v>
      </c>
      <c r="D50" s="442">
        <f>[28]January_2026!$H$3</f>
        <v>308.8</v>
      </c>
      <c r="E50" s="443"/>
      <c r="F50" s="444"/>
      <c r="G50" s="444" t="e">
        <f>[28]January_2026!$H$7</f>
        <v>#REF!</v>
      </c>
      <c r="H50" s="458"/>
      <c r="I50" s="458"/>
      <c r="J50" s="448" t="s">
        <v>170</v>
      </c>
      <c r="K50" s="449" t="e">
        <f>[29]January_2026!$H$18</f>
        <v>#REF!</v>
      </c>
      <c r="L50" s="478" t="e">
        <f>(((D50+E50)-G50)/(D50+E50))*100</f>
        <v>#REF!</v>
      </c>
      <c r="M50" s="455" t="s">
        <v>171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[9]January_2019!L7</f>
        <v>285.8</v>
      </c>
      <c r="AC50" s="57">
        <f>[9]January_2019!M7</f>
        <v>508.1</v>
      </c>
      <c r="AD50" s="57">
        <f>[9]January_2019!N7</f>
        <v>0</v>
      </c>
      <c r="AE50" s="57">
        <f>[9]January_2019!O7</f>
        <v>0</v>
      </c>
      <c r="AF50" s="57">
        <f>[9]January_2019!P7</f>
        <v>109.56666666666666</v>
      </c>
      <c r="AG50" s="57">
        <f>[9]January_2019!Q7</f>
        <v>297.64999999999998</v>
      </c>
      <c r="AH50" s="57">
        <f>[9]January_2019!R7</f>
        <v>122.3</v>
      </c>
      <c r="AI50" s="57">
        <f>[9]January_2019!S7</f>
        <v>0</v>
      </c>
      <c r="AJ50" s="57">
        <f>[9]January_2019!T7</f>
        <v>294.7</v>
      </c>
      <c r="AK50" s="57">
        <f>[9]January_2019!U7</f>
        <v>280.5</v>
      </c>
      <c r="AL50" s="57">
        <f>[9]January_2019!V7</f>
        <v>0</v>
      </c>
      <c r="AM50" s="57">
        <f>[9]January_2019!W7</f>
        <v>0</v>
      </c>
      <c r="AN50" s="57">
        <f>[9]January_2019!X7</f>
        <v>188.25</v>
      </c>
      <c r="AO50" s="57">
        <f>[9]January_2019!Y7</f>
        <v>295.7</v>
      </c>
      <c r="AP50" s="57">
        <f>[9]January_2019!Z7</f>
        <v>257.8</v>
      </c>
      <c r="AQ50" s="57">
        <f>[9]January_2019!AA7</f>
        <v>291.2</v>
      </c>
      <c r="AR50" s="57">
        <f>[9]January_2019!AB7</f>
        <v>187</v>
      </c>
      <c r="AS50" s="57">
        <f>[9]January_2019!AC7</f>
        <v>0</v>
      </c>
      <c r="AT50" s="57">
        <f>[9]January_2019!AD7</f>
        <v>0</v>
      </c>
      <c r="AU50" s="57">
        <f>[9]January_2019!AE7</f>
        <v>485.1</v>
      </c>
      <c r="AV50" s="57">
        <f>[9]January_2019!AF7</f>
        <v>171.55</v>
      </c>
      <c r="AW50" s="57">
        <f>[9]January_2019!AG7</f>
        <v>423.8</v>
      </c>
      <c r="AX50" s="277">
        <f>[9]January_2019!AH7</f>
        <v>0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9.5" hidden="1" customHeight="1" thickBot="1">
      <c r="B51" s="468"/>
      <c r="C51" s="430"/>
      <c r="D51" s="431"/>
      <c r="E51" s="432"/>
      <c r="F51" s="433"/>
      <c r="G51" s="434"/>
      <c r="H51" s="428"/>
      <c r="I51" s="428"/>
      <c r="J51" s="451"/>
      <c r="K51" s="436"/>
      <c r="L51" s="452"/>
      <c r="M51" s="421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38.450000000000003" hidden="1" customHeight="1" thickBot="1">
      <c r="B52" s="456"/>
      <c r="C52" s="441"/>
      <c r="D52" s="442"/>
      <c r="E52" s="443"/>
      <c r="F52" s="444"/>
      <c r="G52" s="445"/>
      <c r="H52" s="458"/>
      <c r="I52" s="458"/>
      <c r="J52" s="448"/>
      <c r="K52" s="460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15" hidden="1">
      <c r="B53" s="453"/>
      <c r="C53" s="430"/>
      <c r="D53" s="431"/>
      <c r="E53" s="432"/>
      <c r="F53" s="433"/>
      <c r="G53" s="434"/>
      <c r="H53" s="435"/>
      <c r="I53" s="450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37.15" hidden="1" customHeight="1" thickBot="1">
      <c r="B54" s="459"/>
      <c r="C54" s="441"/>
      <c r="D54" s="442"/>
      <c r="E54" s="443"/>
      <c r="F54" s="444"/>
      <c r="G54" s="445"/>
      <c r="H54" s="446"/>
      <c r="I54" s="447"/>
      <c r="J54" s="448"/>
      <c r="K54" s="449"/>
      <c r="L54" s="457"/>
      <c r="M54" s="454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2:57" s="54" customFormat="1" ht="16.5" hidden="1" customHeight="1" thickBot="1">
      <c r="B55" s="437"/>
      <c r="C55" s="423"/>
      <c r="D55" s="424"/>
      <c r="E55" s="425"/>
      <c r="F55" s="426"/>
      <c r="G55" s="427"/>
      <c r="H55" s="428"/>
      <c r="I55" s="438"/>
      <c r="J55" s="439"/>
      <c r="K55" s="429"/>
      <c r="L55" s="440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5"/>
      <c r="AC55" s="415"/>
      <c r="AD55" s="415"/>
      <c r="AE55" s="415"/>
      <c r="AF55" s="415"/>
      <c r="AG55" s="415"/>
      <c r="AH55" s="415"/>
      <c r="AI55" s="415"/>
      <c r="AJ55" s="415"/>
      <c r="AK55" s="415"/>
      <c r="AL55" s="415"/>
      <c r="AM55" s="415"/>
      <c r="AN55" s="415"/>
      <c r="AO55" s="415"/>
      <c r="AP55" s="415"/>
      <c r="AQ55" s="415"/>
      <c r="AR55" s="415"/>
      <c r="AS55" s="415"/>
      <c r="AT55" s="415"/>
      <c r="AU55" s="415"/>
      <c r="AV55" s="415"/>
      <c r="AW55" s="415"/>
    </row>
    <row r="56" spans="2:57" s="54" customFormat="1" ht="37.15" hidden="1" customHeight="1" thickBot="1">
      <c r="B56" s="456"/>
      <c r="C56" s="441"/>
      <c r="D56" s="442"/>
      <c r="E56" s="443"/>
      <c r="F56" s="444"/>
      <c r="G56" s="445"/>
      <c r="H56" s="446"/>
      <c r="I56" s="447"/>
      <c r="J56" s="448"/>
      <c r="K56" s="449"/>
      <c r="L56" s="457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7.15" customHeight="1">
      <c r="B57" s="467"/>
      <c r="C57" s="430"/>
      <c r="D57" s="461"/>
      <c r="E57" s="462"/>
      <c r="F57" s="463"/>
      <c r="G57" s="461"/>
      <c r="H57" s="464"/>
      <c r="I57" s="464"/>
      <c r="J57" s="464"/>
      <c r="K57" s="465"/>
      <c r="L57" s="466"/>
      <c r="M57" s="50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 t="s">
        <v>41</v>
      </c>
      <c r="O58" s="56"/>
      <c r="P58" s="60"/>
    </row>
    <row r="59" spans="2:57" ht="15.75" thickBot="1">
      <c r="B59" s="505" t="s">
        <v>55</v>
      </c>
      <c r="C59" s="506"/>
      <c r="D59" s="506"/>
      <c r="E59" s="506"/>
      <c r="F59" s="507"/>
      <c r="G59" s="505" t="s">
        <v>56</v>
      </c>
      <c r="H59" s="506"/>
      <c r="I59" s="506"/>
      <c r="J59" s="507"/>
      <c r="K59" s="505" t="s">
        <v>51</v>
      </c>
      <c r="L59" s="506"/>
      <c r="M59" s="506"/>
      <c r="N59" s="508"/>
      <c r="O59" s="56"/>
      <c r="P59" s="50"/>
    </row>
    <row r="60" spans="2:57" ht="15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 t="s">
        <v>36</v>
      </c>
      <c r="L60" s="62" t="s">
        <v>37</v>
      </c>
      <c r="M60" s="62" t="s">
        <v>38</v>
      </c>
      <c r="N60" s="63" t="s">
        <v>39</v>
      </c>
      <c r="O60" s="56"/>
      <c r="P60" s="64"/>
    </row>
    <row r="61" spans="2:57" ht="15">
      <c r="B61" s="29" t="s">
        <v>6</v>
      </c>
      <c r="C61" s="282" t="e">
        <f>L50</f>
        <v>#REF!</v>
      </c>
      <c r="D61" s="76">
        <v>13.605323060759916</v>
      </c>
      <c r="E61" s="76">
        <v>13.605323060759916</v>
      </c>
      <c r="F61" s="66">
        <v>4.8</v>
      </c>
      <c r="G61" s="65" t="e">
        <f>[28]January_2026!$H$11</f>
        <v>#REF!</v>
      </c>
      <c r="H61" s="480">
        <v>15.657242114346415</v>
      </c>
      <c r="I61" s="76">
        <v>15.657242114346415</v>
      </c>
      <c r="J61" s="66">
        <v>4.8</v>
      </c>
      <c r="K61" s="67" t="e">
        <f>K50</f>
        <v>#REF!</v>
      </c>
      <c r="L61" s="194">
        <v>0.19106140350877193</v>
      </c>
      <c r="M61" s="194">
        <v>0.19106140350877193</v>
      </c>
      <c r="N61" s="68">
        <v>1</v>
      </c>
      <c r="O61" s="56"/>
      <c r="P61" s="69"/>
    </row>
    <row r="62" spans="2:57" ht="15">
      <c r="B62" s="33" t="s">
        <v>9</v>
      </c>
      <c r="C62" s="65"/>
      <c r="D62" s="76"/>
      <c r="E62" s="76"/>
      <c r="F62" s="66">
        <v>4.8</v>
      </c>
      <c r="G62" s="65"/>
      <c r="H62" s="76"/>
      <c r="I62" s="76"/>
      <c r="J62" s="66">
        <v>4.8</v>
      </c>
      <c r="K62" s="67"/>
      <c r="L62" s="194"/>
      <c r="M62" s="194"/>
      <c r="N62" s="68">
        <v>1</v>
      </c>
      <c r="P62" s="69"/>
    </row>
    <row r="63" spans="2:57" ht="15">
      <c r="B63" s="34" t="s">
        <v>40</v>
      </c>
      <c r="C63" s="65"/>
      <c r="D63" s="76"/>
      <c r="E63" s="76"/>
      <c r="F63" s="66">
        <v>5.5</v>
      </c>
      <c r="G63" s="65"/>
      <c r="H63" s="76"/>
      <c r="I63" s="76"/>
      <c r="J63" s="66">
        <v>5.5</v>
      </c>
      <c r="K63" s="67"/>
      <c r="L63" s="194"/>
      <c r="M63" s="194"/>
      <c r="N63" s="68">
        <v>1</v>
      </c>
      <c r="P63" s="69"/>
    </row>
    <row r="64" spans="2:57" ht="15">
      <c r="B64" s="22" t="s">
        <v>33</v>
      </c>
      <c r="C64" s="65"/>
      <c r="D64" s="76"/>
      <c r="E64" s="76"/>
      <c r="F64" s="66">
        <v>3.3</v>
      </c>
      <c r="G64" s="65"/>
      <c r="H64" s="76"/>
      <c r="I64" s="76"/>
      <c r="J64" s="66">
        <v>3.3</v>
      </c>
      <c r="K64" s="67"/>
      <c r="L64" s="194"/>
      <c r="M64" s="194"/>
      <c r="N64" s="68">
        <v>1</v>
      </c>
      <c r="P64" s="69"/>
    </row>
    <row r="65" spans="2:16" ht="15">
      <c r="B65" s="35" t="s">
        <v>164</v>
      </c>
      <c r="C65" s="65"/>
      <c r="D65" s="76"/>
      <c r="E65" s="76"/>
      <c r="F65" s="66">
        <v>3.3</v>
      </c>
      <c r="G65" s="282"/>
      <c r="H65" s="76"/>
      <c r="I65" s="76"/>
      <c r="J65" s="66">
        <v>3</v>
      </c>
      <c r="K65" s="67"/>
      <c r="L65" s="194"/>
      <c r="M65" s="194"/>
      <c r="N65" s="68">
        <v>1</v>
      </c>
      <c r="P65" s="69"/>
    </row>
    <row r="66" spans="2:16" ht="15">
      <c r="B66" s="36" t="s">
        <v>15</v>
      </c>
      <c r="C66" s="65"/>
      <c r="D66" s="76"/>
      <c r="E66" s="76"/>
      <c r="F66" s="70">
        <f>[10]May_2022!$M$43</f>
        <v>3.4878406700073312</v>
      </c>
      <c r="G66" s="282"/>
      <c r="H66" s="76"/>
      <c r="I66" s="76"/>
      <c r="J66" s="66">
        <v>5.5</v>
      </c>
      <c r="K66" s="67"/>
      <c r="L66" s="194"/>
      <c r="M66" s="194"/>
      <c r="N66" s="68">
        <v>1</v>
      </c>
      <c r="P66" s="69"/>
    </row>
    <row r="67" spans="2:16" ht="15">
      <c r="B67" s="37" t="s">
        <v>16</v>
      </c>
      <c r="C67" s="65"/>
      <c r="D67" s="76"/>
      <c r="E67" s="76"/>
      <c r="F67" s="66">
        <v>3.3</v>
      </c>
      <c r="G67" s="282"/>
      <c r="H67" s="76"/>
      <c r="I67" s="76"/>
      <c r="J67" s="66">
        <v>3.3</v>
      </c>
      <c r="K67" s="67"/>
      <c r="L67" s="194"/>
      <c r="M67" s="194"/>
      <c r="N67" s="71">
        <v>1</v>
      </c>
      <c r="P67" s="69"/>
    </row>
    <row r="68" spans="2:16" ht="15.75" thickBot="1">
      <c r="B68" s="38" t="s">
        <v>163</v>
      </c>
      <c r="C68" s="65"/>
      <c r="D68" s="76"/>
      <c r="E68" s="76"/>
      <c r="F68" s="66">
        <v>7.5</v>
      </c>
      <c r="G68" s="282"/>
      <c r="H68" s="76"/>
      <c r="I68" s="76"/>
      <c r="J68" s="66">
        <v>7.5</v>
      </c>
      <c r="K68" s="67"/>
      <c r="M68" s="194"/>
      <c r="N68" s="71">
        <v>1</v>
      </c>
      <c r="P68" s="69"/>
    </row>
    <row r="69" spans="2:16" ht="15.75" thickBot="1">
      <c r="B69" s="414" t="s">
        <v>161</v>
      </c>
      <c r="C69" s="65"/>
      <c r="D69" s="76"/>
      <c r="E69" s="76"/>
      <c r="F69" s="66">
        <v>4.8</v>
      </c>
      <c r="G69" s="282"/>
      <c r="H69" s="76"/>
      <c r="I69" s="76"/>
      <c r="J69" s="66">
        <v>4.8</v>
      </c>
      <c r="K69" s="67"/>
      <c r="L69" s="194"/>
      <c r="M69" s="194"/>
      <c r="N69" s="71">
        <v>1</v>
      </c>
      <c r="O69" s="74"/>
      <c r="P69" s="75"/>
    </row>
    <row r="70" spans="2:16" ht="15">
      <c r="D70" s="76">
        <v>13.605323060759916</v>
      </c>
      <c r="E70" s="76">
        <v>13.605323060759916</v>
      </c>
      <c r="F70" s="341">
        <v>5.5</v>
      </c>
      <c r="H70" s="76">
        <v>15.657242114346415</v>
      </c>
      <c r="I70" s="76">
        <v>15.657242114346415</v>
      </c>
      <c r="J70" s="341">
        <v>5.5</v>
      </c>
      <c r="L70" s="194">
        <v>0.19106140350877193</v>
      </c>
      <c r="M70" s="194">
        <v>0.19106140350877193</v>
      </c>
      <c r="N70" s="386">
        <v>1</v>
      </c>
    </row>
  </sheetData>
  <mergeCells count="52">
    <mergeCell ref="D10:O10"/>
    <mergeCell ref="G48:G49"/>
    <mergeCell ref="H48:H49"/>
    <mergeCell ref="I48:I49"/>
    <mergeCell ref="J48:J49"/>
    <mergeCell ref="K48:K49"/>
    <mergeCell ref="L48:L49"/>
    <mergeCell ref="D43:E43"/>
    <mergeCell ref="D48:D49"/>
    <mergeCell ref="E48:E49"/>
    <mergeCell ref="F48:F49"/>
    <mergeCell ref="D39:E40"/>
    <mergeCell ref="D41:E42"/>
    <mergeCell ref="I19:N19"/>
    <mergeCell ref="D20:E20"/>
    <mergeCell ref="B59:F59"/>
    <mergeCell ref="G59:J59"/>
    <mergeCell ref="K59:N59"/>
    <mergeCell ref="B48:B49"/>
    <mergeCell ref="C48:C49"/>
    <mergeCell ref="M48:M49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3815" priority="66" operator="notBetween">
      <formula>#REF!</formula>
      <formula>#REF!</formula>
    </cfRule>
  </conditionalFormatting>
  <conditionalFormatting sqref="C47">
    <cfRule type="cellIs" dxfId="3814" priority="212" stopIfTrue="1" operator="greaterThan">
      <formula>100</formula>
    </cfRule>
    <cfRule type="cellIs" dxfId="3813" priority="211" stopIfTrue="1" operator="lessThan">
      <formula>96</formula>
    </cfRule>
  </conditionalFormatting>
  <conditionalFormatting sqref="C61:C65">
    <cfRule type="cellIs" dxfId="3812" priority="165" stopIfTrue="1" operator="lessThanOrEqual">
      <formula>0</formula>
    </cfRule>
  </conditionalFormatting>
  <conditionalFormatting sqref="C61:C69">
    <cfRule type="cellIs" dxfId="3811" priority="164" stopIfTrue="1" operator="greaterThan">
      <formula>$F61</formula>
    </cfRule>
  </conditionalFormatting>
  <conditionalFormatting sqref="C62">
    <cfRule type="cellIs" dxfId="3810" priority="215" stopIfTrue="1" operator="greaterThan">
      <formula>$F61</formula>
    </cfRule>
  </conditionalFormatting>
  <conditionalFormatting sqref="C66">
    <cfRule type="cellIs" dxfId="3809" priority="105" stopIfTrue="1" operator="greaterThan">
      <formula>$F65</formula>
    </cfRule>
    <cfRule type="cellIs" dxfId="3808" priority="104" stopIfTrue="1" operator="lessThanOrEqual">
      <formula>0</formula>
    </cfRule>
  </conditionalFormatting>
  <conditionalFormatting sqref="C72:C76">
    <cfRule type="cellIs" dxfId="3807" priority="203" stopIfTrue="1" operator="lessThanOrEqual">
      <formula>0</formula>
    </cfRule>
  </conditionalFormatting>
  <conditionalFormatting sqref="C73:C76">
    <cfRule type="cellIs" dxfId="3806" priority="202" stopIfTrue="1" operator="greaterThan">
      <formula>$F$72</formula>
    </cfRule>
  </conditionalFormatting>
  <conditionalFormatting sqref="C78">
    <cfRule type="cellIs" dxfId="3805" priority="204" stopIfTrue="1" operator="greaterThan">
      <formula>$F$72</formula>
    </cfRule>
    <cfRule type="cellIs" dxfId="3804" priority="205" stopIfTrue="1" operator="lessThanOrEqual">
      <formula>0</formula>
    </cfRule>
  </conditionalFormatting>
  <conditionalFormatting sqref="C72:D72 D74:D80">
    <cfRule type="cellIs" dxfId="3803" priority="197" stopIfTrue="1" operator="greaterThan">
      <formula>4.5</formula>
    </cfRule>
  </conditionalFormatting>
  <conditionalFormatting sqref="D43:D44">
    <cfRule type="cellIs" dxfId="3802" priority="67" operator="notBetween">
      <formula>#REF!</formula>
      <formula>#REF!</formula>
    </cfRule>
  </conditionalFormatting>
  <conditionalFormatting sqref="D61:D68">
    <cfRule type="cellIs" dxfId="3801" priority="177" stopIfTrue="1" operator="lessThanOrEqual">
      <formula>0</formula>
    </cfRule>
  </conditionalFormatting>
  <conditionalFormatting sqref="D69">
    <cfRule type="cellIs" dxfId="3800" priority="176" stopIfTrue="1" operator="lessThanOrEqual">
      <formula>0</formula>
    </cfRule>
  </conditionalFormatting>
  <conditionalFormatting sqref="D72 D74:D80">
    <cfRule type="cellIs" dxfId="3799" priority="198" stopIfTrue="1" operator="lessThanOrEqual">
      <formula>0</formula>
    </cfRule>
  </conditionalFormatting>
  <conditionalFormatting sqref="D73">
    <cfRule type="cellIs" dxfId="3798" priority="190" stopIfTrue="1" operator="lessThanOrEqual">
      <formula>0</formula>
    </cfRule>
    <cfRule type="cellIs" dxfId="3797" priority="189" stopIfTrue="1" operator="greaterThan">
      <formula>$F$72</formula>
    </cfRule>
  </conditionalFormatting>
  <conditionalFormatting sqref="D61:E70">
    <cfRule type="cellIs" dxfId="3796" priority="162" stopIfTrue="1" operator="greaterThan">
      <formula>$F61</formula>
    </cfRule>
  </conditionalFormatting>
  <conditionalFormatting sqref="D70:E70">
    <cfRule type="cellIs" dxfId="3795" priority="163" stopIfTrue="1" operator="lessThanOrEqual">
      <formula>0</formula>
    </cfRule>
  </conditionalFormatting>
  <conditionalFormatting sqref="E11:E18">
    <cfRule type="cellIs" dxfId="3794" priority="11" operator="lessThan">
      <formula>48</formula>
    </cfRule>
  </conditionalFormatting>
  <conditionalFormatting sqref="E46 E47:F47">
    <cfRule type="cellIs" dxfId="3793" priority="194" stopIfTrue="1" operator="greaterThan">
      <formula>100</formula>
    </cfRule>
  </conditionalFormatting>
  <conditionalFormatting sqref="E47">
    <cfRule type="cellIs" dxfId="3792" priority="191" stopIfTrue="1" operator="lessThan">
      <formula>96.8</formula>
    </cfRule>
    <cfRule type="cellIs" dxfId="3791" priority="192" stopIfTrue="1" operator="greaterThan">
      <formula>100</formula>
    </cfRule>
  </conditionalFormatting>
  <conditionalFormatting sqref="E61:E69">
    <cfRule type="cellIs" dxfId="3790" priority="173" stopIfTrue="1" operator="lessThanOrEqual">
      <formula>0</formula>
    </cfRule>
  </conditionalFormatting>
  <conditionalFormatting sqref="E72:E80">
    <cfRule type="cellIs" dxfId="3789" priority="184" stopIfTrue="1" operator="lessThanOrEqual">
      <formula>0</formula>
    </cfRule>
    <cfRule type="cellIs" dxfId="3788" priority="183" stopIfTrue="1" operator="greaterThan">
      <formula>4.5</formula>
    </cfRule>
  </conditionalFormatting>
  <conditionalFormatting sqref="E47:F47 E46">
    <cfRule type="cellIs" dxfId="3787" priority="193" stopIfTrue="1" operator="lessThan">
      <formula>96.5</formula>
    </cfRule>
  </conditionalFormatting>
  <conditionalFormatting sqref="F11">
    <cfRule type="cellIs" dxfId="3786" priority="32" operator="greaterThan">
      <formula>60</formula>
    </cfRule>
  </conditionalFormatting>
  <conditionalFormatting sqref="F15:F18">
    <cfRule type="cellIs" dxfId="3785" priority="44" operator="greaterThan">
      <formula>60</formula>
    </cfRule>
  </conditionalFormatting>
  <conditionalFormatting sqref="F47">
    <cfRule type="cellIs" dxfId="3784" priority="210" stopIfTrue="1" operator="greaterThan">
      <formula>100</formula>
    </cfRule>
    <cfRule type="cellIs" dxfId="3783" priority="209" stopIfTrue="1" operator="lessThan">
      <formula>96.8</formula>
    </cfRule>
  </conditionalFormatting>
  <conditionalFormatting sqref="F70">
    <cfRule type="cellIs" dxfId="3782" priority="174" stopIfTrue="1" operator="greaterThan">
      <formula>$F70</formula>
    </cfRule>
    <cfRule type="cellIs" dxfId="3781" priority="175" stopIfTrue="1" operator="lessThanOrEqual">
      <formula>0</formula>
    </cfRule>
  </conditionalFormatting>
  <conditionalFormatting sqref="G11:G14">
    <cfRule type="expression" dxfId="3780" priority="3">
      <formula>IF(+(IF(G11&lt;S11,0,IF(G11&gt;T11,0,1)))=0,1)</formula>
    </cfRule>
  </conditionalFormatting>
  <conditionalFormatting sqref="G61:G62 C67:C69">
    <cfRule type="cellIs" dxfId="3779" priority="179" stopIfTrue="1" operator="lessThanOrEqual">
      <formula>0</formula>
    </cfRule>
  </conditionalFormatting>
  <conditionalFormatting sqref="G61:G62">
    <cfRule type="cellIs" dxfId="3778" priority="166" stopIfTrue="1" operator="greaterThan">
      <formula>$F61</formula>
    </cfRule>
    <cfRule type="cellIs" dxfId="3777" priority="167" stopIfTrue="1" operator="lessThanOrEqual">
      <formula>0</formula>
    </cfRule>
    <cfRule type="cellIs" dxfId="3776" priority="178" stopIfTrue="1" operator="greaterThan">
      <formula>$F61</formula>
    </cfRule>
  </conditionalFormatting>
  <conditionalFormatting sqref="G63">
    <cfRule type="cellIs" dxfId="3775" priority="214" stopIfTrue="1" operator="lessThanOrEqual">
      <formula>0</formula>
    </cfRule>
    <cfRule type="cellIs" dxfId="3774" priority="213" stopIfTrue="1" operator="greaterThan">
      <formula>$F62</formula>
    </cfRule>
  </conditionalFormatting>
  <conditionalFormatting sqref="G64">
    <cfRule type="cellIs" dxfId="3773" priority="62" stopIfTrue="1" operator="greaterThan">
      <formula>$F64</formula>
    </cfRule>
    <cfRule type="cellIs" dxfId="3772" priority="63" stopIfTrue="1" operator="lessThanOrEqual">
      <formula>0</formula>
    </cfRule>
    <cfRule type="cellIs" dxfId="3771" priority="64" stopIfTrue="1" operator="greaterThan">
      <formula>$F64</formula>
    </cfRule>
    <cfRule type="cellIs" dxfId="3770" priority="65" stopIfTrue="1" operator="lessThanOrEqual">
      <formula>0</formula>
    </cfRule>
  </conditionalFormatting>
  <conditionalFormatting sqref="G65:G69">
    <cfRule type="cellIs" dxfId="3769" priority="180" stopIfTrue="1" operator="greaterThan">
      <formula>$J65</formula>
    </cfRule>
    <cfRule type="cellIs" dxfId="3768" priority="181" stopIfTrue="1" operator="lessThanOrEqual">
      <formula>0</formula>
    </cfRule>
  </conditionalFormatting>
  <conditionalFormatting sqref="G74:G79 C77 C79">
    <cfRule type="cellIs" dxfId="3767" priority="207" stopIfTrue="1" operator="lessThanOrEqual">
      <formula>0</formula>
    </cfRule>
    <cfRule type="cellIs" dxfId="3766" priority="206" stopIfTrue="1" operator="greaterThan">
      <formula>4.5</formula>
    </cfRule>
  </conditionalFormatting>
  <conditionalFormatting sqref="G73:H73">
    <cfRule type="cellIs" dxfId="3765" priority="188" stopIfTrue="1" operator="lessThanOrEqual">
      <formula>0</formula>
    </cfRule>
    <cfRule type="cellIs" dxfId="3764" priority="187" stopIfTrue="1" operator="greaterThan">
      <formula>$F$72</formula>
    </cfRule>
  </conditionalFormatting>
  <conditionalFormatting sqref="H11:H14">
    <cfRule type="expression" dxfId="3763" priority="1">
      <formula>IF(+(IF(H11&lt;#REF!,0,IF(H11&gt;#REF!,0,1)))=0,1)</formula>
    </cfRule>
  </conditionalFormatting>
  <conditionalFormatting sqref="H32:H33 H46">
    <cfRule type="cellIs" dxfId="3762" priority="185" stopIfTrue="1" operator="greaterThan">
      <formula>0</formula>
    </cfRule>
  </conditionalFormatting>
  <conditionalFormatting sqref="H50">
    <cfRule type="cellIs" dxfId="3761" priority="57" stopIfTrue="1" operator="greaterThan">
      <formula>$F$68</formula>
    </cfRule>
    <cfRule type="cellIs" dxfId="3760" priority="49" stopIfTrue="1" operator="greaterThan">
      <formula>$F$65</formula>
    </cfRule>
    <cfRule type="cellIs" dxfId="3759" priority="48" stopIfTrue="1" operator="lessThanOrEqual">
      <formula>0</formula>
    </cfRule>
    <cfRule type="cellIs" dxfId="3758" priority="60" stopIfTrue="1" operator="lessThanOrEqual">
      <formula>0</formula>
    </cfRule>
    <cfRule type="cellIs" dxfId="3757" priority="58" stopIfTrue="1" operator="lessThanOrEqual">
      <formula>0</formula>
    </cfRule>
    <cfRule type="cellIs" dxfId="3756" priority="59" stopIfTrue="1" operator="greaterThan">
      <formula>$F$66</formula>
    </cfRule>
  </conditionalFormatting>
  <conditionalFormatting sqref="H51">
    <cfRule type="cellIs" dxfId="3755" priority="130" stopIfTrue="1" operator="greaterThan">
      <formula>$F$19</formula>
    </cfRule>
    <cfRule type="cellIs" dxfId="3754" priority="131" stopIfTrue="1" operator="lessThanOrEqual">
      <formula>0</formula>
    </cfRule>
    <cfRule type="cellIs" dxfId="3753" priority="132" stopIfTrue="1" operator="greaterThan">
      <formula>#REF!</formula>
    </cfRule>
    <cfRule type="cellIs" dxfId="3752" priority="133" stopIfTrue="1" operator="lessThanOrEqual">
      <formula>0</formula>
    </cfRule>
    <cfRule type="cellIs" dxfId="3751" priority="122" stopIfTrue="1" operator="greaterThan">
      <formula>#REF!</formula>
    </cfRule>
    <cfRule type="cellIs" dxfId="3750" priority="121" stopIfTrue="1" operator="lessThanOrEqual">
      <formula>0</formula>
    </cfRule>
  </conditionalFormatting>
  <conditionalFormatting sqref="H52">
    <cfRule type="cellIs" dxfId="3749" priority="100" stopIfTrue="1" operator="greaterThan">
      <formula>$F$65</formula>
    </cfRule>
    <cfRule type="cellIs" dxfId="3748" priority="101" stopIfTrue="1" operator="lessThanOrEqual">
      <formula>0</formula>
    </cfRule>
    <cfRule type="cellIs" dxfId="3747" priority="102" stopIfTrue="1" operator="greaterThan">
      <formula>$F$63</formula>
    </cfRule>
    <cfRule type="cellIs" dxfId="3746" priority="103" stopIfTrue="1" operator="lessThanOrEqual">
      <formula>0</formula>
    </cfRule>
    <cfRule type="cellIs" dxfId="3745" priority="91" stopIfTrue="1" operator="lessThanOrEqual">
      <formula>0</formula>
    </cfRule>
    <cfRule type="cellIs" dxfId="3744" priority="92" stopIfTrue="1" operator="greaterThan">
      <formula>$F$62</formula>
    </cfRule>
  </conditionalFormatting>
  <conditionalFormatting sqref="H53:H54">
    <cfRule type="cellIs" dxfId="3743" priority="107" stopIfTrue="1" operator="lessThanOrEqual">
      <formula>0</formula>
    </cfRule>
    <cfRule type="cellIs" dxfId="3742" priority="108" stopIfTrue="1" operator="greaterThan">
      <formula>#REF!</formula>
    </cfRule>
    <cfRule type="cellIs" dxfId="3741" priority="116" stopIfTrue="1" operator="greaterThan">
      <formula>$F$18</formula>
    </cfRule>
    <cfRule type="cellIs" dxfId="3740" priority="117" stopIfTrue="1" operator="lessThanOrEqual">
      <formula>0</formula>
    </cfRule>
    <cfRule type="cellIs" dxfId="3739" priority="118" stopIfTrue="1" operator="greaterThan">
      <formula>#REF!</formula>
    </cfRule>
    <cfRule type="cellIs" dxfId="3738" priority="119" stopIfTrue="1" operator="lessThanOrEqual">
      <formula>0</formula>
    </cfRule>
  </conditionalFormatting>
  <conditionalFormatting sqref="H55">
    <cfRule type="cellIs" dxfId="3737" priority="145" stopIfTrue="1" operator="greaterThan">
      <formula>$F$34</formula>
    </cfRule>
    <cfRule type="cellIs" dxfId="3736" priority="148" stopIfTrue="1" operator="lessThanOrEqual">
      <formula>0</formula>
    </cfRule>
    <cfRule type="cellIs" dxfId="3735" priority="147" stopIfTrue="1" operator="greaterThan">
      <formula>$F$32</formula>
    </cfRule>
    <cfRule type="cellIs" dxfId="3734" priority="146" stopIfTrue="1" operator="lessThanOrEqual">
      <formula>0</formula>
    </cfRule>
    <cfRule type="cellIs" dxfId="3733" priority="137" stopIfTrue="1" operator="greaterThan">
      <formula>$F$31</formula>
    </cfRule>
    <cfRule type="cellIs" dxfId="3732" priority="136" stopIfTrue="1" operator="lessThanOrEqual">
      <formula>0</formula>
    </cfRule>
  </conditionalFormatting>
  <conditionalFormatting sqref="H56:H57">
    <cfRule type="cellIs" dxfId="3731" priority="86" stopIfTrue="1" operator="greaterThan">
      <formula>$F$18</formula>
    </cfRule>
    <cfRule type="cellIs" dxfId="3730" priority="87" stopIfTrue="1" operator="lessThanOrEqual">
      <formula>0</formula>
    </cfRule>
    <cfRule type="cellIs" dxfId="3729" priority="78" stopIfTrue="1" operator="greaterThan">
      <formula>#REF!</formula>
    </cfRule>
    <cfRule type="cellIs" dxfId="3728" priority="77" stopIfTrue="1" operator="lessThanOrEqual">
      <formula>0</formula>
    </cfRule>
    <cfRule type="cellIs" dxfId="3727" priority="89" stopIfTrue="1" operator="lessThanOrEqual">
      <formula>0</formula>
    </cfRule>
    <cfRule type="cellIs" dxfId="3726" priority="88" stopIfTrue="1" operator="greaterThan">
      <formula>#REF!</formula>
    </cfRule>
  </conditionalFormatting>
  <conditionalFormatting sqref="H61:H68">
    <cfRule type="cellIs" dxfId="3725" priority="169" stopIfTrue="1" operator="lessThanOrEqual">
      <formula>0</formula>
    </cfRule>
    <cfRule type="cellIs" dxfId="3724" priority="168" stopIfTrue="1" operator="greaterThan">
      <formula>$J61</formula>
    </cfRule>
  </conditionalFormatting>
  <conditionalFormatting sqref="H69">
    <cfRule type="cellIs" dxfId="3723" priority="170" operator="greaterThan">
      <formula>5.3</formula>
    </cfRule>
  </conditionalFormatting>
  <conditionalFormatting sqref="H72 H74:H80">
    <cfRule type="cellIs" dxfId="3722" priority="200" stopIfTrue="1" operator="lessThanOrEqual">
      <formula>0</formula>
    </cfRule>
    <cfRule type="cellIs" dxfId="3721" priority="199" stopIfTrue="1" operator="greaterThan">
      <formula>4.5</formula>
    </cfRule>
  </conditionalFormatting>
  <conditionalFormatting sqref="H50:I50">
    <cfRule type="cellIs" dxfId="3720" priority="50" stopIfTrue="1" operator="lessThanOrEqual">
      <formula>0</formula>
    </cfRule>
    <cfRule type="cellIs" dxfId="3719" priority="47" stopIfTrue="1" operator="greaterThan">
      <formula>$F$67</formula>
    </cfRule>
  </conditionalFormatting>
  <conditionalFormatting sqref="H51:I51">
    <cfRule type="cellIs" dxfId="3718" priority="123" stopIfTrue="1" operator="lessThanOrEqual">
      <formula>0</formula>
    </cfRule>
    <cfRule type="cellIs" dxfId="3717" priority="120" stopIfTrue="1" operator="greaterThan">
      <formula>$F$18</formula>
    </cfRule>
  </conditionalFormatting>
  <conditionalFormatting sqref="H52:I52">
    <cfRule type="cellIs" dxfId="3716" priority="90" stopIfTrue="1" operator="greaterThan">
      <formula>$F$64</formula>
    </cfRule>
    <cfRule type="cellIs" dxfId="3715" priority="93" stopIfTrue="1" operator="lessThanOrEqual">
      <formula>0</formula>
    </cfRule>
  </conditionalFormatting>
  <conditionalFormatting sqref="H53:I54">
    <cfRule type="cellIs" dxfId="3714" priority="106" stopIfTrue="1" operator="greaterThan">
      <formula>#REF!</formula>
    </cfRule>
    <cfRule type="cellIs" dxfId="3713" priority="109" stopIfTrue="1" operator="lessThanOrEqual">
      <formula>0</formula>
    </cfRule>
  </conditionalFormatting>
  <conditionalFormatting sqref="H55:I55">
    <cfRule type="cellIs" dxfId="3712" priority="135" stopIfTrue="1" operator="greaterThan">
      <formula>$F$33</formula>
    </cfRule>
    <cfRule type="cellIs" dxfId="3711" priority="138" stopIfTrue="1" operator="lessThanOrEqual">
      <formula>0</formula>
    </cfRule>
  </conditionalFormatting>
  <conditionalFormatting sqref="H56:I57">
    <cfRule type="cellIs" dxfId="3710" priority="79" stopIfTrue="1" operator="lessThanOrEqual">
      <formula>0</formula>
    </cfRule>
    <cfRule type="cellIs" dxfId="3709" priority="76" stopIfTrue="1" operator="greaterThan">
      <formula>#REF!</formula>
    </cfRule>
  </conditionalFormatting>
  <conditionalFormatting sqref="H70:I70">
    <cfRule type="cellIs" dxfId="3708" priority="161" stopIfTrue="1" operator="lessThanOrEqual">
      <formula>0</formula>
    </cfRule>
    <cfRule type="cellIs" dxfId="3707" priority="160" stopIfTrue="1" operator="greaterThan">
      <formula>$J70</formula>
    </cfRule>
  </conditionalFormatting>
  <conditionalFormatting sqref="I50">
    <cfRule type="cellIs" dxfId="3706" priority="52" stopIfTrue="1" operator="lessThanOrEqual">
      <formula>0</formula>
    </cfRule>
    <cfRule type="cellIs" dxfId="3705" priority="54" stopIfTrue="1" operator="lessThanOrEqual">
      <formula>0</formula>
    </cfRule>
    <cfRule type="cellIs" dxfId="3704" priority="55" stopIfTrue="1" operator="greaterThan">
      <formula>$F$65</formula>
    </cfRule>
    <cfRule type="cellIs" dxfId="3703" priority="56" stopIfTrue="1" operator="lessThanOrEqual">
      <formula>0</formula>
    </cfRule>
    <cfRule type="cellIs" dxfId="3702" priority="51" stopIfTrue="1" operator="greaterThan">
      <formula>$F$65</formula>
    </cfRule>
    <cfRule type="cellIs" dxfId="3701" priority="53" stopIfTrue="1" operator="greaterThan">
      <formula>$F$67</formula>
    </cfRule>
  </conditionalFormatting>
  <conditionalFormatting sqref="I51">
    <cfRule type="cellIs" dxfId="3700" priority="128" stopIfTrue="1" operator="greaterThan">
      <formula>#REF!</formula>
    </cfRule>
    <cfRule type="cellIs" dxfId="3699" priority="126" stopIfTrue="1" operator="greaterThan">
      <formula>$F$18</formula>
    </cfRule>
    <cfRule type="cellIs" dxfId="3698" priority="129" stopIfTrue="1" operator="lessThanOrEqual">
      <formula>0</formula>
    </cfRule>
    <cfRule type="cellIs" dxfId="3697" priority="124" stopIfTrue="1" operator="greaterThan">
      <formula>#REF!</formula>
    </cfRule>
    <cfRule type="cellIs" dxfId="3696" priority="125" stopIfTrue="1" operator="lessThanOrEqual">
      <formula>0</formula>
    </cfRule>
    <cfRule type="cellIs" dxfId="3695" priority="127" stopIfTrue="1" operator="lessThanOrEqual">
      <formula>0</formula>
    </cfRule>
  </conditionalFormatting>
  <conditionalFormatting sqref="I52">
    <cfRule type="cellIs" dxfId="3694" priority="97" stopIfTrue="1" operator="lessThanOrEqual">
      <formula>0</formula>
    </cfRule>
    <cfRule type="cellIs" dxfId="3693" priority="95" stopIfTrue="1" operator="lessThanOrEqual">
      <formula>0</formula>
    </cfRule>
    <cfRule type="cellIs" dxfId="3692" priority="94" stopIfTrue="1" operator="greaterThan">
      <formula>$F$62</formula>
    </cfRule>
    <cfRule type="cellIs" dxfId="3691" priority="96" stopIfTrue="1" operator="greaterThan">
      <formula>$F$64</formula>
    </cfRule>
    <cfRule type="cellIs" dxfId="3690" priority="99" stopIfTrue="1" operator="lessThanOrEqual">
      <formula>0</formula>
    </cfRule>
    <cfRule type="cellIs" dxfId="3689" priority="98" stopIfTrue="1" operator="greaterThan">
      <formula>$F$62</formula>
    </cfRule>
  </conditionalFormatting>
  <conditionalFormatting sqref="I53:I54">
    <cfRule type="cellIs" dxfId="3688" priority="111" stopIfTrue="1" operator="lessThanOrEqual">
      <formula>0</formula>
    </cfRule>
    <cfRule type="cellIs" dxfId="3687" priority="112" stopIfTrue="1" operator="greaterThan">
      <formula>#REF!</formula>
    </cfRule>
    <cfRule type="cellIs" dxfId="3686" priority="113" stopIfTrue="1" operator="lessThanOrEqual">
      <formula>0</formula>
    </cfRule>
    <cfRule type="cellIs" dxfId="3685" priority="114" stopIfTrue="1" operator="greaterThan">
      <formula>#REF!</formula>
    </cfRule>
    <cfRule type="cellIs" dxfId="3684" priority="115" stopIfTrue="1" operator="lessThanOrEqual">
      <formula>0</formula>
    </cfRule>
    <cfRule type="cellIs" dxfId="3683" priority="110" stopIfTrue="1" operator="greaterThan">
      <formula>#REF!</formula>
    </cfRule>
  </conditionalFormatting>
  <conditionalFormatting sqref="I55">
    <cfRule type="cellIs" dxfId="3682" priority="144" stopIfTrue="1" operator="lessThanOrEqual">
      <formula>0</formula>
    </cfRule>
    <cfRule type="cellIs" dxfId="3681" priority="140" stopIfTrue="1" operator="lessThanOrEqual">
      <formula>0</formula>
    </cfRule>
    <cfRule type="cellIs" dxfId="3680" priority="139" stopIfTrue="1" operator="greaterThan">
      <formula>$F$31</formula>
    </cfRule>
    <cfRule type="cellIs" dxfId="3679" priority="143" stopIfTrue="1" operator="greaterThan">
      <formula>$F$31</formula>
    </cfRule>
    <cfRule type="cellIs" dxfId="3678" priority="142" stopIfTrue="1" operator="lessThanOrEqual">
      <formula>0</formula>
    </cfRule>
    <cfRule type="cellIs" dxfId="3677" priority="141" stopIfTrue="1" operator="greaterThan">
      <formula>$F$33</formula>
    </cfRule>
  </conditionalFormatting>
  <conditionalFormatting sqref="I56:I57">
    <cfRule type="cellIs" dxfId="3676" priority="80" stopIfTrue="1" operator="greaterThan">
      <formula>#REF!</formula>
    </cfRule>
    <cfRule type="cellIs" dxfId="3675" priority="82" stopIfTrue="1" operator="greaterThan">
      <formula>#REF!</formula>
    </cfRule>
    <cfRule type="cellIs" dxfId="3674" priority="83" stopIfTrue="1" operator="lessThanOrEqual">
      <formula>0</formula>
    </cfRule>
    <cfRule type="cellIs" dxfId="3673" priority="81" stopIfTrue="1" operator="lessThanOrEqual">
      <formula>0</formula>
    </cfRule>
    <cfRule type="cellIs" dxfId="3672" priority="85" stopIfTrue="1" operator="lessThanOrEqual">
      <formula>0</formula>
    </cfRule>
    <cfRule type="cellIs" dxfId="3671" priority="84" stopIfTrue="1" operator="greaterThan">
      <formula>#REF!</formula>
    </cfRule>
  </conditionalFormatting>
  <conditionalFormatting sqref="I61:I69">
    <cfRule type="cellIs" dxfId="3670" priority="171" stopIfTrue="1" operator="greaterThan">
      <formula>$J61</formula>
    </cfRule>
    <cfRule type="cellIs" dxfId="3669" priority="172" stopIfTrue="1" operator="lessThanOrEqual">
      <formula>0</formula>
    </cfRule>
  </conditionalFormatting>
  <conditionalFormatting sqref="I72:I80">
    <cfRule type="cellIs" dxfId="3668" priority="195" stopIfTrue="1" operator="greaterThan">
      <formula>4.5</formula>
    </cfRule>
    <cfRule type="cellIs" dxfId="3667" priority="196" stopIfTrue="1" operator="lessThanOrEqual">
      <formula>0</formula>
    </cfRule>
  </conditionalFormatting>
  <conditionalFormatting sqref="I11:J18">
    <cfRule type="cellIs" dxfId="3666" priority="5" operator="lessThan">
      <formula>97.9</formula>
    </cfRule>
  </conditionalFormatting>
  <conditionalFormatting sqref="J22:J23">
    <cfRule type="cellIs" dxfId="3665" priority="152" operator="lessThan">
      <formula>98</formula>
    </cfRule>
    <cfRule type="cellIs" dxfId="3664" priority="151" stopIfTrue="1" operator="greaterThan">
      <formula>100</formula>
    </cfRule>
    <cfRule type="cellIs" dxfId="3663" priority="150" stopIfTrue="1" operator="lessThan">
      <formula>96.8</formula>
    </cfRule>
  </conditionalFormatting>
  <conditionalFormatting sqref="J22:J25">
    <cfRule type="cellIs" dxfId="3662" priority="149" operator="lessThan">
      <formula>97.4</formula>
    </cfRule>
  </conditionalFormatting>
  <conditionalFormatting sqref="J26:J27">
    <cfRule type="cellIs" dxfId="3661" priority="153" operator="lessThan">
      <formula>98</formula>
    </cfRule>
  </conditionalFormatting>
  <conditionalFormatting sqref="J28:J29">
    <cfRule type="cellIs" dxfId="3660" priority="154" stopIfTrue="1" operator="lessThan">
      <formula>96.8</formula>
    </cfRule>
    <cfRule type="cellIs" dxfId="3659" priority="155" stopIfTrue="1" operator="greaterThan">
      <formula>100</formula>
    </cfRule>
  </conditionalFormatting>
  <conditionalFormatting sqref="J28:J30">
    <cfRule type="cellIs" dxfId="3658" priority="156" operator="lessThan">
      <formula>98</formula>
    </cfRule>
  </conditionalFormatting>
  <conditionalFormatting sqref="J57">
    <cfRule type="cellIs" dxfId="3657" priority="70" stopIfTrue="1" operator="greaterThan">
      <formula>#REF!</formula>
    </cfRule>
    <cfRule type="cellIs" dxfId="3656" priority="69" stopIfTrue="1" operator="lessThanOrEqual">
      <formula>0</formula>
    </cfRule>
    <cfRule type="cellIs" dxfId="3655" priority="68" stopIfTrue="1" operator="greaterThan">
      <formula>#REF!</formula>
    </cfRule>
    <cfRule type="cellIs" dxfId="3654" priority="73" stopIfTrue="1" operator="lessThanOrEqual">
      <formula>0</formula>
    </cfRule>
    <cfRule type="cellIs" dxfId="3653" priority="75" stopIfTrue="1" operator="lessThanOrEqual">
      <formula>0</formula>
    </cfRule>
    <cfRule type="cellIs" dxfId="3652" priority="74" stopIfTrue="1" operator="greaterThan">
      <formula>#REF!</formula>
    </cfRule>
    <cfRule type="cellIs" dxfId="3651" priority="72" stopIfTrue="1" operator="greaterThan">
      <formula>#REF!</formula>
    </cfRule>
    <cfRule type="cellIs" dxfId="3650" priority="71" stopIfTrue="1" operator="lessThanOrEqual">
      <formula>0</formula>
    </cfRule>
  </conditionalFormatting>
  <conditionalFormatting sqref="J70">
    <cfRule type="cellIs" dxfId="3649" priority="157" stopIfTrue="1" operator="greaterThan">
      <formula>$F70</formula>
    </cfRule>
    <cfRule type="cellIs" dxfId="3648" priority="158" stopIfTrue="1" operator="lessThanOrEqual">
      <formula>0</formula>
    </cfRule>
  </conditionalFormatting>
  <conditionalFormatting sqref="K11:K18">
    <cfRule type="cellIs" dxfId="3647" priority="8" operator="greaterThan">
      <formula>6.4</formula>
    </cfRule>
    <cfRule type="cellIs" dxfId="3646" priority="7" operator="lessThan">
      <formula>4</formula>
    </cfRule>
    <cfRule type="cellIs" dxfId="3645" priority="6" operator="greaterThan">
      <formula>6</formula>
    </cfRule>
  </conditionalFormatting>
  <conditionalFormatting sqref="K50:K57 K61:N67 K68 M68:N68 K69:N69">
    <cfRule type="cellIs" dxfId="3644" priority="134" stopIfTrue="1" operator="lessThan">
      <formula>100%</formula>
    </cfRule>
  </conditionalFormatting>
  <conditionalFormatting sqref="K72:K77">
    <cfRule type="cellIs" dxfId="3643" priority="201" stopIfTrue="1" operator="lessThan">
      <formula>100%</formula>
    </cfRule>
  </conditionalFormatting>
  <conditionalFormatting sqref="K79:K80">
    <cfRule type="cellIs" dxfId="3642" priority="208" stopIfTrue="1" operator="lessThan">
      <formula>100%</formula>
    </cfRule>
  </conditionalFormatting>
  <conditionalFormatting sqref="L11:L14">
    <cfRule type="cellIs" dxfId="3641" priority="10" operator="greaterThan">
      <formula>65</formula>
    </cfRule>
    <cfRule type="cellIs" dxfId="3640" priority="9" operator="between">
      <formula>61</formula>
      <formula>65</formula>
    </cfRule>
  </conditionalFormatting>
  <conditionalFormatting sqref="L18">
    <cfRule type="cellIs" dxfId="3639" priority="42" operator="greaterThan">
      <formula>65</formula>
    </cfRule>
    <cfRule type="cellIs" dxfId="3638" priority="41" operator="between">
      <formula>61</formula>
      <formula>65</formula>
    </cfRule>
  </conditionalFormatting>
  <conditionalFormatting sqref="L15:M17">
    <cfRule type="cellIs" dxfId="3637" priority="34" operator="between">
      <formula>61</formula>
      <formula>65</formula>
    </cfRule>
    <cfRule type="cellIs" dxfId="3636" priority="33" operator="greaterThan">
      <formula>65</formula>
    </cfRule>
  </conditionalFormatting>
  <conditionalFormatting sqref="L21:M32">
    <cfRule type="cellIs" dxfId="3635" priority="45" operator="lessThan">
      <formula>97.95</formula>
    </cfRule>
  </conditionalFormatting>
  <conditionalFormatting sqref="L36:N36">
    <cfRule type="cellIs" dxfId="3634" priority="46" operator="notEqual">
      <formula>#REF!</formula>
    </cfRule>
  </conditionalFormatting>
  <conditionalFormatting sqref="L70:N70">
    <cfRule type="cellIs" dxfId="3633" priority="159" stopIfTrue="1" operator="lessThan">
      <formula>100%</formula>
    </cfRule>
  </conditionalFormatting>
  <conditionalFormatting sqref="L72:N80">
    <cfRule type="cellIs" dxfId="3632" priority="186" stopIfTrue="1" operator="lessThan">
      <formula>100%</formula>
    </cfRule>
  </conditionalFormatting>
  <conditionalFormatting sqref="M11:M14">
    <cfRule type="expression" dxfId="3631" priority="2">
      <formula>IF(+(IF(M11&lt;U11,0,IF(M11&gt;V11,0,1)))=0,1)</formula>
    </cfRule>
  </conditionalFormatting>
  <conditionalFormatting sqref="M15:M17 G15:H18">
    <cfRule type="expression" dxfId="3630" priority="35">
      <formula>IF(+(IF(G15&lt;#REF!,0,IF(G15&gt;#REF!,0,1)))=0,1)</formula>
    </cfRule>
  </conditionalFormatting>
  <conditionalFormatting sqref="M18:N18">
    <cfRule type="expression" dxfId="3629" priority="216">
      <formula>IF(+(IF(M18&lt;#REF!,0,IF(M18&gt;#REF!,0,1)))=0,1)</formula>
    </cfRule>
  </conditionalFormatting>
  <conditionalFormatting sqref="N11:N17">
    <cfRule type="expression" dxfId="3628" priority="4">
      <formula>IF(+(IF(N11&lt;W11,0,IF(N11&gt;X11,0,1)))=0,1)</formula>
    </cfRule>
  </conditionalFormatting>
  <conditionalFormatting sqref="P6">
    <cfRule type="cellIs" dxfId="3627" priority="182" operator="greaterThanOrEqual">
      <formula>19</formula>
    </cfRule>
  </conditionalFormatting>
  <dataValidations count="1">
    <dataValidation type="list" allowBlank="1" showInputMessage="1" showErrorMessage="1" sqref="R8" xr:uid="{9D32D9F3-A2EE-40A2-B3A1-B245440F2BBF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0006-52E8-46BA-BFE3-0B2FDB0BEA8A}">
  <sheetPr codeName="Sheet4">
    <pageSetUpPr fitToPage="1"/>
  </sheetPr>
  <dimension ref="A1:BE74"/>
  <sheetViews>
    <sheetView topLeftCell="A4" zoomScale="90" zoomScaleNormal="90" workbookViewId="0">
      <selection activeCell="N18" sqref="N1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46029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37" t="s">
        <v>16</v>
      </c>
      <c r="C10" s="366" t="str">
        <f>[8]Brewhouse!$A8</f>
        <v>SM004</v>
      </c>
      <c r="D10" s="279">
        <f>[8]Brewhouse!$AH8</f>
        <v>53</v>
      </c>
      <c r="E10" s="279">
        <f>[8]Brewhouse!$AM8</f>
        <v>52.2</v>
      </c>
      <c r="F10" s="278">
        <f>[8]Brewhouse!$Z8</f>
        <v>70</v>
      </c>
      <c r="G10" s="279">
        <f>[8]Brewhouse!$AK8</f>
        <v>17.2</v>
      </c>
      <c r="H10" s="396">
        <v>17.2</v>
      </c>
      <c r="I10" s="368">
        <f>[8]Brewhouse!$AY8</f>
        <v>98.851728693915732</v>
      </c>
      <c r="J10" s="368">
        <f>[8]Brewhouse!$AZ8</f>
        <v>99.224887654835271</v>
      </c>
      <c r="K10" s="281">
        <f>[8]Brewhouse!$U8</f>
        <v>0.90566037735849803</v>
      </c>
      <c r="L10" s="276">
        <f>[8]Brewhouse!$T8</f>
        <v>61</v>
      </c>
      <c r="M10" s="374">
        <f>[8]Brewhouse!$Y8-[8]Brewhouse!$X8</f>
        <v>0.14375000000000002</v>
      </c>
      <c r="N10" s="370">
        <f>[8]Brewhouse!$AD8</f>
        <v>0.31041666666666667</v>
      </c>
      <c r="O10" s="371" t="str">
        <f>[8]Brewhouse!$BC8</f>
        <v>K. Benjamin</v>
      </c>
      <c r="P10" s="418"/>
      <c r="R10" s="277" t="str">
        <f t="shared" ref="R10:R21" si="0">B10</f>
        <v>STARMALT</v>
      </c>
      <c r="S10" s="474">
        <f t="shared" ref="S10:S36" si="1">VLOOKUP($B10,$R$3:$X$9,2,FALSE)</f>
        <v>17</v>
      </c>
      <c r="T10" s="474">
        <f t="shared" ref="T10:T36" si="2">VLOOKUP($B10,$R$3:$X$9,3,FALSE)</f>
        <v>17.399999999999999</v>
      </c>
      <c r="U10" s="297">
        <f t="shared" ref="U10:U36" si="3">VLOOKUP($B10,$R$3:$X$9,4,FALSE)</f>
        <v>0</v>
      </c>
      <c r="V10" s="297">
        <f t="shared" ref="V10:V36" si="4">VLOOKUP($B10,$R$3:$X$9,5,FALSE)</f>
        <v>0.13605324074074074</v>
      </c>
      <c r="W10" s="297">
        <f t="shared" ref="W10:W36" si="5">VLOOKUP($B10,$R$3:$X$9,6,FALSE)</f>
        <v>0.27430555555555552</v>
      </c>
      <c r="X10" s="297">
        <f t="shared" ref="X10:X36" si="6">VLOOKUP($B10,$R$3:$X$9,7,FALSE)</f>
        <v>0.30902777777777779</v>
      </c>
      <c r="Y10" s="297">
        <f t="shared" ref="Y10:Y36" si="7">VLOOKUP($B10,$R$3:$Z$9,8,FALSE)</f>
        <v>0</v>
      </c>
      <c r="Z10" s="474">
        <f t="shared" ref="Z10:Z36" si="8">VLOOKUP($B10,$R$3:$Z$9,9,FALSE)</f>
        <v>85</v>
      </c>
    </row>
    <row r="11" spans="2:29" ht="16.5" customHeight="1">
      <c r="B11" s="37" t="s">
        <v>16</v>
      </c>
      <c r="C11" s="366" t="str">
        <f>[8]Brewhouse!$A9</f>
        <v>SM005</v>
      </c>
      <c r="D11" s="279">
        <f>[8]Brewhouse!$AH9</f>
        <v>53.1</v>
      </c>
      <c r="E11" s="279">
        <f>[8]Brewhouse!$AM9</f>
        <v>51.3</v>
      </c>
      <c r="F11" s="278">
        <f>[8]Brewhouse!$Z9</f>
        <v>60</v>
      </c>
      <c r="G11" s="279">
        <f>[8]Brewhouse!$AK9</f>
        <v>17.100000000000001</v>
      </c>
      <c r="H11" s="396">
        <v>17.2</v>
      </c>
      <c r="I11" s="368">
        <f>[8]Brewhouse!$AY9</f>
        <v>96.643783230525969</v>
      </c>
      <c r="J11" s="368">
        <f>[8]Brewhouse!$AZ9</f>
        <v>97.008267196657101</v>
      </c>
      <c r="K11" s="281">
        <f>[8]Brewhouse!$U9</f>
        <v>2.4105461393597007</v>
      </c>
      <c r="L11" s="276">
        <f>[8]Brewhouse!$T9</f>
        <v>61</v>
      </c>
      <c r="M11" s="374">
        <f>[8]Brewhouse!$Y9-[8]Brewhouse!$X9</f>
        <v>0.13194444444444442</v>
      </c>
      <c r="N11" s="370">
        <f>[8]Brewhouse!$AD9</f>
        <v>0.30208333333333331</v>
      </c>
      <c r="O11" s="371" t="str">
        <f>[8]Brewhouse!$BC9</f>
        <v>R.Sookram</v>
      </c>
      <c r="P11" s="418"/>
      <c r="R11" s="277" t="str">
        <f t="shared" si="0"/>
        <v>STARMALT</v>
      </c>
      <c r="S11" s="474">
        <f t="shared" si="1"/>
        <v>17</v>
      </c>
      <c r="T11" s="474">
        <f t="shared" si="2"/>
        <v>17.399999999999999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474">
        <f t="shared" si="8"/>
        <v>85</v>
      </c>
    </row>
    <row r="12" spans="2:29" ht="16.5" customHeight="1">
      <c r="B12" s="37" t="s">
        <v>16</v>
      </c>
      <c r="C12" s="366" t="str">
        <f>[8]Brewhouse!$A10</f>
        <v>SM006</v>
      </c>
      <c r="D12" s="279">
        <f>[8]Brewhouse!$AH10</f>
        <v>53.1</v>
      </c>
      <c r="E12" s="279">
        <f>[8]Brewhouse!$AM10</f>
        <v>50.4</v>
      </c>
      <c r="F12" s="278">
        <f>[8]Brewhouse!$Z10</f>
        <v>78</v>
      </c>
      <c r="G12" s="279">
        <f>[8]Brewhouse!$AK10</f>
        <v>17</v>
      </c>
      <c r="H12" s="396">
        <v>17</v>
      </c>
      <c r="I12" s="368">
        <f>[8]Brewhouse!$AY10</f>
        <v>94.324644249999125</v>
      </c>
      <c r="J12" s="368">
        <f>[8]Brewhouse!$AZ10</f>
        <v>94.680381776934937</v>
      </c>
      <c r="K12" s="281">
        <f>[8]Brewhouse!$U10</f>
        <v>3.1638418079096176</v>
      </c>
      <c r="L12" s="276">
        <f>[8]Brewhouse!$T10</f>
        <v>60</v>
      </c>
      <c r="M12" s="374">
        <f>[8]Brewhouse!$Y10-[8]Brewhouse!$X10</f>
        <v>0.14583333333333331</v>
      </c>
      <c r="N12" s="370">
        <f>[8]Brewhouse!$AD10</f>
        <v>0.30833333333333329</v>
      </c>
      <c r="O12" s="371" t="str">
        <f>[8]Brewhouse!$BC10</f>
        <v>R.Sookram</v>
      </c>
      <c r="P12" s="418"/>
      <c r="R12" s="277" t="str">
        <f t="shared" si="0"/>
        <v>STARMALT</v>
      </c>
      <c r="S12" s="474">
        <f t="shared" si="1"/>
        <v>17</v>
      </c>
      <c r="T12" s="474">
        <f t="shared" si="2"/>
        <v>17.399999999999999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474">
        <f t="shared" si="8"/>
        <v>85</v>
      </c>
    </row>
    <row r="13" spans="2:29" ht="16.5" customHeight="1">
      <c r="B13" s="37" t="s">
        <v>16</v>
      </c>
      <c r="C13" s="366" t="str">
        <f>[8]Brewhouse!$A11</f>
        <v>SM007</v>
      </c>
      <c r="D13" s="279">
        <f>[8]Brewhouse!$AH11</f>
        <v>53.1</v>
      </c>
      <c r="E13" s="279">
        <f>[8]Brewhouse!$AM11</f>
        <v>49.3</v>
      </c>
      <c r="F13" s="278">
        <f>[8]Brewhouse!$Z11</f>
        <v>91</v>
      </c>
      <c r="G13" s="279">
        <f>[8]Brewhouse!$AK11</f>
        <v>17</v>
      </c>
      <c r="H13" s="396">
        <v>17</v>
      </c>
      <c r="I13" s="368">
        <f>[8]Brewhouse!$AY11</f>
        <v>92.117541140378776</v>
      </c>
      <c r="J13" s="368">
        <f>[8]Brewhouse!$AZ11</f>
        <v>92.465602665603512</v>
      </c>
      <c r="K13" s="281">
        <f>[8]Brewhouse!$U11</f>
        <v>5.2354048964218478</v>
      </c>
      <c r="L13" s="276">
        <f>[8]Brewhouse!$T11</f>
        <v>59</v>
      </c>
      <c r="M13" s="374">
        <f>[8]Brewhouse!$Y11-[8]Brewhouse!$X11</f>
        <v>0.15694444444444444</v>
      </c>
      <c r="N13" s="370">
        <f>[8]Brewhouse!$AD11</f>
        <v>0.33055555555555555</v>
      </c>
      <c r="O13" s="371" t="str">
        <f>[8]Brewhouse!$BC11</f>
        <v>R.Sookram</v>
      </c>
      <c r="P13" s="418"/>
      <c r="R13" s="277" t="str">
        <f t="shared" si="0"/>
        <v>STARMALT</v>
      </c>
      <c r="S13" s="474">
        <f t="shared" si="1"/>
        <v>17</v>
      </c>
      <c r="T13" s="474">
        <f t="shared" si="2"/>
        <v>17.399999999999999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474">
        <f t="shared" si="8"/>
        <v>85</v>
      </c>
    </row>
    <row r="14" spans="2:29" ht="16.5" customHeight="1">
      <c r="B14" s="37" t="s">
        <v>16</v>
      </c>
      <c r="C14" s="366" t="str">
        <f>[8]Brewhouse!$A12</f>
        <v>SM008</v>
      </c>
      <c r="D14" s="279">
        <f>[8]Brewhouse!$AH12</f>
        <v>53.1</v>
      </c>
      <c r="E14" s="279">
        <f>[8]Brewhouse!$AM12</f>
        <v>51.6</v>
      </c>
      <c r="F14" s="278">
        <f>[8]Brewhouse!$Z12</f>
        <v>66</v>
      </c>
      <c r="G14" s="279">
        <f>[8]Brewhouse!$AK12</f>
        <v>17.100000000000001</v>
      </c>
      <c r="H14" s="396">
        <v>17.100000000000001</v>
      </c>
      <c r="I14" s="368">
        <f>[8]Brewhouse!$AY12</f>
        <v>97.208951553511497</v>
      </c>
      <c r="J14" s="368">
        <f>[8]Brewhouse!$AZ12</f>
        <v>97.575567004824677</v>
      </c>
      <c r="K14" s="281">
        <f>[8]Brewhouse!$U12</f>
        <v>1.4689265536723184</v>
      </c>
      <c r="L14" s="276">
        <f>[8]Brewhouse!$T12</f>
        <v>60</v>
      </c>
      <c r="M14" s="374">
        <f>[8]Brewhouse!$Y12-[8]Brewhouse!$X12</f>
        <v>0.12569444444444444</v>
      </c>
      <c r="N14" s="370">
        <f>[8]Brewhouse!$AD12</f>
        <v>0.30555555555555558</v>
      </c>
      <c r="O14" s="371" t="str">
        <f>[8]Brewhouse!$BC12</f>
        <v>R.Sookram</v>
      </c>
      <c r="P14" s="418"/>
      <c r="R14" s="277" t="str">
        <f t="shared" si="0"/>
        <v>STARMALT</v>
      </c>
      <c r="S14" s="474">
        <f t="shared" si="1"/>
        <v>17</v>
      </c>
      <c r="T14" s="474">
        <f t="shared" si="2"/>
        <v>17.399999999999999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474">
        <f t="shared" si="8"/>
        <v>85</v>
      </c>
    </row>
    <row r="15" spans="2:29" ht="16.5" customHeight="1">
      <c r="B15" s="37" t="s">
        <v>16</v>
      </c>
      <c r="C15" s="366" t="str">
        <f>[8]Brewhouse!$A13</f>
        <v>SM009</v>
      </c>
      <c r="D15" s="279">
        <f>[8]Brewhouse!$AH13</f>
        <v>53.1</v>
      </c>
      <c r="E15" s="279">
        <f>[8]Brewhouse!$AM13</f>
        <v>51.6</v>
      </c>
      <c r="F15" s="278">
        <f>[8]Brewhouse!$Z13</f>
        <v>81</v>
      </c>
      <c r="G15" s="279">
        <f>[8]Brewhouse!$AK13</f>
        <v>17.3</v>
      </c>
      <c r="H15" s="367"/>
      <c r="I15" s="368">
        <f>[8]Brewhouse!$AY13</f>
        <v>98.512076526938472</v>
      </c>
      <c r="J15" s="368">
        <f>[8]Brewhouse!$AZ13</f>
        <v>98.883259331447235</v>
      </c>
      <c r="K15" s="281">
        <f>[8]Brewhouse!$U13</f>
        <v>1.6572504708097977</v>
      </c>
      <c r="L15" s="276">
        <f>[8]Brewhouse!$T13</f>
        <v>59</v>
      </c>
      <c r="M15" s="374">
        <f>[8]Brewhouse!$Y13-[8]Brewhouse!$X13</f>
        <v>0.15069444444444446</v>
      </c>
      <c r="N15" s="370">
        <f>[8]Brewhouse!$AD13</f>
        <v>0.31458333333333333</v>
      </c>
      <c r="O15" s="371" t="str">
        <f>[8]Brewhouse!$BC13</f>
        <v>R.Sookram</v>
      </c>
      <c r="P15" s="418"/>
      <c r="R15" s="277" t="str">
        <f t="shared" si="0"/>
        <v>STARMALT</v>
      </c>
      <c r="S15" s="474">
        <f t="shared" si="1"/>
        <v>17</v>
      </c>
      <c r="T15" s="474">
        <f t="shared" si="2"/>
        <v>17.399999999999999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474">
        <f t="shared" si="8"/>
        <v>85</v>
      </c>
    </row>
    <row r="16" spans="2:29" ht="16.5" customHeight="1">
      <c r="B16" s="37" t="s">
        <v>16</v>
      </c>
      <c r="C16" s="366" t="str">
        <f>[8]Brewhouse!$A14</f>
        <v>SM010</v>
      </c>
      <c r="D16" s="279">
        <f>[8]Brewhouse!$AH14</f>
        <v>53.1</v>
      </c>
      <c r="E16" s="279">
        <f>[8]Brewhouse!$AM14</f>
        <v>50.3</v>
      </c>
      <c r="F16" s="278">
        <f>[8]Brewhouse!$Z14</f>
        <v>77</v>
      </c>
      <c r="G16" s="279">
        <f>[8]Brewhouse!$AK14</f>
        <v>17.2</v>
      </c>
      <c r="H16" s="396">
        <v>17.2</v>
      </c>
      <c r="I16" s="368">
        <f>[8]Brewhouse!$AY14</f>
        <v>95.253677266359389</v>
      </c>
      <c r="J16" s="368">
        <f>[8]Brewhouse!$AZ14</f>
        <v>95.613253812992596</v>
      </c>
      <c r="K16" s="281">
        <f>[8]Brewhouse!$U14</f>
        <v>2.9755178907721382</v>
      </c>
      <c r="L16" s="276">
        <f>[8]Brewhouse!$T14</f>
        <v>60</v>
      </c>
      <c r="M16" s="374">
        <f>[8]Brewhouse!$Y14-[8]Brewhouse!$X14</f>
        <v>0.1513888888888888</v>
      </c>
      <c r="N16" s="370">
        <f>[8]Brewhouse!$AD14</f>
        <v>0.31666666666666665</v>
      </c>
      <c r="O16" s="371" t="str">
        <f>[8]Brewhouse!$BC14</f>
        <v>R.Sookram</v>
      </c>
      <c r="P16" s="418"/>
      <c r="R16" s="277" t="str">
        <f t="shared" si="0"/>
        <v>STARMALT</v>
      </c>
      <c r="S16" s="474">
        <f t="shared" si="1"/>
        <v>17</v>
      </c>
      <c r="T16" s="474">
        <f t="shared" si="2"/>
        <v>17.399999999999999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474">
        <f t="shared" si="8"/>
        <v>85</v>
      </c>
    </row>
    <row r="17" spans="1:27" ht="16.5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customHeight="1">
      <c r="B18" s="33" t="s">
        <v>9</v>
      </c>
      <c r="C18" s="366" t="str">
        <f>[5]Brewhouse!$A52</f>
        <v>ST002</v>
      </c>
      <c r="D18" s="279">
        <f>[5]Brewhouse!$AB52</f>
        <v>52</v>
      </c>
      <c r="E18" s="279">
        <f>[5]Brewhouse!$AG52</f>
        <v>49.83</v>
      </c>
      <c r="F18" s="278">
        <f>[5]Brewhouse!$V52</f>
        <v>59</v>
      </c>
      <c r="G18" s="279">
        <f>[5]Brewhouse!$AE52</f>
        <v>11.7</v>
      </c>
      <c r="H18" s="396">
        <v>11.7</v>
      </c>
      <c r="I18" s="368">
        <f>[5]Brewhouse!$AS52</f>
        <v>104.87426366689108</v>
      </c>
      <c r="J18" s="368">
        <f>[5]Brewhouse!$AT52</f>
        <v>105.53949753838513</v>
      </c>
      <c r="K18" s="281">
        <f>[5]Brewhouse!$Q52</f>
        <v>3.7980769230769256</v>
      </c>
      <c r="L18" s="276">
        <f>[5]Brewhouse!$P52</f>
        <v>60</v>
      </c>
      <c r="M18" s="374">
        <f>[5]Brewhouse!$U52-[5]Brewhouse!$T52</f>
        <v>0.15416666666666679</v>
      </c>
      <c r="N18" s="370">
        <f>[5]Brewhouse!$AW52</f>
        <v>0.27361111111111114</v>
      </c>
      <c r="O18" s="371" t="str">
        <f>[5]Brewhouse!$AV52</f>
        <v>K. Benjamin</v>
      </c>
      <c r="P18" s="418"/>
      <c r="R18" s="277" t="str">
        <f t="shared" si="0"/>
        <v>STAG</v>
      </c>
      <c r="S18" s="474">
        <f t="shared" si="1"/>
        <v>11.6</v>
      </c>
      <c r="T18" s="474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4">
        <f t="shared" si="8"/>
        <v>60</v>
      </c>
    </row>
    <row r="19" spans="1:27" ht="16.5" customHeight="1">
      <c r="B19" s="33"/>
      <c r="C19" s="366"/>
      <c r="D19" s="279"/>
      <c r="E19" s="279"/>
      <c r="F19" s="278"/>
      <c r="G19" s="279"/>
      <c r="H19" s="396"/>
      <c r="I19" s="479"/>
      <c r="J19" s="479"/>
      <c r="K19" s="281"/>
      <c r="L19" s="276"/>
      <c r="M19" s="374"/>
      <c r="N19" s="370"/>
      <c r="O19" s="420"/>
      <c r="P19" s="418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customHeight="1">
      <c r="B20" s="33"/>
      <c r="C20" s="366"/>
      <c r="D20" s="279"/>
      <c r="E20" s="279"/>
      <c r="F20" s="278"/>
      <c r="G20" s="279"/>
      <c r="H20" s="396"/>
      <c r="I20" s="479"/>
      <c r="J20" s="479"/>
      <c r="K20" s="281"/>
      <c r="L20" s="276"/>
      <c r="M20" s="374"/>
      <c r="N20" s="370"/>
      <c r="O20" s="420"/>
      <c r="P20" s="418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6.5" customHeight="1">
      <c r="B21" s="33"/>
      <c r="C21" s="366"/>
      <c r="D21" s="279"/>
      <c r="E21" s="279"/>
      <c r="F21" s="278"/>
      <c r="G21" s="279"/>
      <c r="H21" s="396"/>
      <c r="I21" s="479"/>
      <c r="J21" s="479"/>
      <c r="K21" s="281"/>
      <c r="L21" s="276"/>
      <c r="M21" s="374"/>
      <c r="N21" s="370"/>
      <c r="O21" s="420"/>
      <c r="P21" s="418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6.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ref="R22:R36" si="9">B22</f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40"/>
      <c r="J23" s="540"/>
      <c r="K23" s="540"/>
      <c r="L23" s="540"/>
      <c r="M23" s="540"/>
      <c r="N23" s="540"/>
      <c r="O23" s="1"/>
      <c r="P23" s="12"/>
      <c r="R23" s="277">
        <f t="shared" si="9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5.75" customHeight="1" thickBot="1">
      <c r="B24" s="388" t="s">
        <v>162</v>
      </c>
      <c r="C24" s="388"/>
      <c r="D24" s="541" t="s">
        <v>35</v>
      </c>
      <c r="E24" s="542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9"/>
        <v xml:space="preserve">BRAND 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5" customHeight="1">
      <c r="A25" s="28"/>
      <c r="B25" s="595"/>
      <c r="C25" s="362"/>
      <c r="D25" s="546"/>
      <c r="E25" s="547"/>
      <c r="F25" s="294"/>
      <c r="G25" s="294"/>
      <c r="H25" s="348"/>
      <c r="I25" s="29" t="s">
        <v>6</v>
      </c>
      <c r="J25" s="280"/>
      <c r="K25" s="284">
        <f>COUNTA([4]Brewhouse!$A$42:$A$45)</f>
        <v>4</v>
      </c>
      <c r="L25" s="305">
        <f>AVERAGE([4]Brewhouse!$AU$42:$AU$45)</f>
        <v>99.340320690298086</v>
      </c>
      <c r="M25" s="305">
        <f>AVERAGE([4]Brewhouse!$AU$42:$AU$45)</f>
        <v>99.340320690298086</v>
      </c>
      <c r="N25" s="30">
        <v>98</v>
      </c>
      <c r="O25" s="11"/>
      <c r="P25" s="31"/>
      <c r="R25" s="277">
        <f t="shared" si="9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5" customHeight="1">
      <c r="A26" s="28"/>
      <c r="B26" s="596"/>
      <c r="C26" s="362"/>
      <c r="D26" s="548"/>
      <c r="E26" s="532"/>
      <c r="F26" s="294"/>
      <c r="G26" s="294"/>
      <c r="H26" s="348"/>
      <c r="I26" s="33" t="s">
        <v>9</v>
      </c>
      <c r="J26" s="280">
        <f>I18</f>
        <v>104.87426366689108</v>
      </c>
      <c r="K26" s="284">
        <f>COUNTA([5]Brewhouse!$A$52)</f>
        <v>1</v>
      </c>
      <c r="L26" s="302">
        <f>[5]Brewhouse!$AS$52</f>
        <v>104.87426366689108</v>
      </c>
      <c r="M26" s="302">
        <f>[5]Brewhouse!$AS$52</f>
        <v>104.87426366689108</v>
      </c>
      <c r="N26" s="30">
        <v>98</v>
      </c>
      <c r="O26" s="11"/>
      <c r="P26" s="31"/>
      <c r="R26" s="277">
        <f t="shared" si="9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4.65" customHeight="1">
      <c r="A27" s="28"/>
      <c r="B27" s="596"/>
      <c r="C27" s="362"/>
      <c r="D27" s="536"/>
      <c r="E27" s="537"/>
      <c r="F27" s="294"/>
      <c r="G27" s="294"/>
      <c r="H27" s="348"/>
      <c r="I27" s="34" t="s">
        <v>12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9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4.65" customHeight="1">
      <c r="A28" s="28"/>
      <c r="B28" s="596"/>
      <c r="C28" s="362"/>
      <c r="D28" s="531"/>
      <c r="E28" s="532"/>
      <c r="F28" s="294"/>
      <c r="G28" s="294"/>
      <c r="H28" s="348"/>
      <c r="I28" s="22" t="s">
        <v>33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7" ht="14.65" customHeight="1">
      <c r="A29" s="28"/>
      <c r="B29" s="596"/>
      <c r="C29" s="362"/>
      <c r="D29" s="536"/>
      <c r="E29" s="53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9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7" ht="14.65" customHeight="1">
      <c r="A30" s="28"/>
      <c r="B30" s="596"/>
      <c r="C30" s="362"/>
      <c r="D30" s="531"/>
      <c r="E30" s="532"/>
      <c r="F30" s="417"/>
      <c r="G30" s="294"/>
      <c r="H30" s="348"/>
      <c r="I30" s="36" t="s">
        <v>15</v>
      </c>
      <c r="J30" s="323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4.65" customHeight="1">
      <c r="A31" s="28"/>
      <c r="B31" s="596"/>
      <c r="C31" s="362"/>
      <c r="D31" s="536"/>
      <c r="E31" s="537"/>
      <c r="F31" s="417"/>
      <c r="G31" s="294"/>
      <c r="H31" s="348"/>
      <c r="I31" s="37" t="s">
        <v>16</v>
      </c>
      <c r="J31" s="323">
        <f>AVERAGE(I10:I16)</f>
        <v>96.13034323737557</v>
      </c>
      <c r="K31" s="284">
        <f>COUNTA([8]Brewhouse!$A$5:$A$7)</f>
        <v>3</v>
      </c>
      <c r="L31" s="302">
        <f>AVERAGE([8]Brewhouse!$AY$5:$AY$7)</f>
        <v>98.128633252159673</v>
      </c>
      <c r="M31" s="302">
        <f>AVERAGE([8]Brewhouse!$AY$5:$AY$7)</f>
        <v>98.128633252159673</v>
      </c>
      <c r="N31" s="30">
        <v>98</v>
      </c>
      <c r="O31" s="11"/>
      <c r="P31" s="31" t="s">
        <v>41</v>
      </c>
      <c r="R31" s="277">
        <f t="shared" si="9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4.65" customHeight="1">
      <c r="A32" s="28"/>
      <c r="B32" s="596"/>
      <c r="C32" s="362"/>
      <c r="D32" s="531"/>
      <c r="E32" s="532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9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4.65" customHeight="1">
      <c r="A33" s="28"/>
      <c r="B33" s="596"/>
      <c r="C33" s="349"/>
      <c r="D33" s="536"/>
      <c r="E33" s="537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5" customHeight="1" thickBot="1">
      <c r="A34" s="28"/>
      <c r="B34" s="596"/>
      <c r="C34" s="349"/>
      <c r="D34" s="531"/>
      <c r="E34" s="532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9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5" customHeight="1" thickBot="1">
      <c r="A35" s="28"/>
      <c r="B35" s="596"/>
      <c r="C35" s="349"/>
      <c r="D35" s="546"/>
      <c r="E35" s="547"/>
      <c r="F35" s="294"/>
      <c r="G35" s="294"/>
      <c r="H35" s="348"/>
      <c r="I35" s="1"/>
      <c r="J35" s="39"/>
      <c r="K35" s="404">
        <f>SUM(K25:K34)</f>
        <v>8</v>
      </c>
      <c r="L35" s="405">
        <f>((L25*K25)+(L26*K26)+(L27*K27)+(L28*K28)+(L29*K29)+(K32*L32)+(L30*K30)+(L31*K31)+(L34*K34))/(K35)</f>
        <v>99.577680773070313</v>
      </c>
      <c r="M35" s="405">
        <f>L35</f>
        <v>99.577680773070313</v>
      </c>
      <c r="N35" s="40">
        <v>98</v>
      </c>
      <c r="O35" s="11"/>
      <c r="P35" s="31"/>
      <c r="R35" s="277">
        <f t="shared" si="9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5.75" thickBot="1">
      <c r="B36" s="597"/>
      <c r="C36" s="350"/>
      <c r="D36" s="548"/>
      <c r="E36" s="532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9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56" ht="15.75" thickBot="1">
      <c r="B37" s="526"/>
      <c r="C37" s="362"/>
      <c r="D37" s="529"/>
      <c r="E37" s="530"/>
      <c r="F37" s="294"/>
      <c r="G37" s="42"/>
      <c r="H37" s="41"/>
      <c r="I37" s="42"/>
      <c r="J37" s="533" t="s">
        <v>129</v>
      </c>
      <c r="K37" s="533"/>
      <c r="L37" s="294"/>
      <c r="M37" s="294"/>
      <c r="N37" s="294"/>
      <c r="O37" s="294"/>
      <c r="P37" s="12"/>
    </row>
    <row r="38" spans="1:56" ht="15.75" thickBot="1">
      <c r="B38" s="527"/>
      <c r="C38" s="362"/>
      <c r="D38" s="531"/>
      <c r="E38" s="532"/>
      <c r="F38" s="294"/>
      <c r="G38" s="42"/>
      <c r="H38" s="42"/>
      <c r="I38" s="42"/>
      <c r="J38" s="292" t="s">
        <v>17</v>
      </c>
      <c r="K38" s="293" t="s">
        <v>147</v>
      </c>
      <c r="L38" s="534" t="s">
        <v>136</v>
      </c>
      <c r="M38" s="534"/>
      <c r="N38" s="535"/>
      <c r="O38" s="294"/>
      <c r="P38" s="12"/>
    </row>
    <row r="39" spans="1:56" ht="15" customHeight="1" thickBot="1">
      <c r="B39" s="527"/>
      <c r="C39" s="349"/>
      <c r="D39" s="536"/>
      <c r="E39" s="537"/>
      <c r="F39" s="294"/>
      <c r="G39" s="42"/>
      <c r="H39" s="42"/>
      <c r="I39" s="42"/>
      <c r="J39" s="287" t="s">
        <v>6</v>
      </c>
      <c r="K39" s="324"/>
      <c r="L39" s="475" t="s">
        <v>37</v>
      </c>
      <c r="M39" s="476" t="s">
        <v>38</v>
      </c>
      <c r="N39" s="476" t="s">
        <v>84</v>
      </c>
      <c r="O39" s="294"/>
      <c r="P39" s="12"/>
    </row>
    <row r="40" spans="1:56" ht="15.75" customHeight="1" thickBot="1">
      <c r="B40" s="527"/>
      <c r="C40" s="349"/>
      <c r="D40" s="531"/>
      <c r="E40" s="532"/>
      <c r="F40" s="294"/>
      <c r="G40" s="42"/>
      <c r="H40" s="42"/>
      <c r="I40" s="42"/>
      <c r="J40" s="345" t="s">
        <v>9</v>
      </c>
      <c r="K40" s="324">
        <v>1</v>
      </c>
      <c r="L40" s="344">
        <f>AVERAGE('Jan 2nd'!K45,'Jan 5th'!K45,'Jan 6th'!K49)</f>
        <v>5</v>
      </c>
      <c r="M40" s="325">
        <f>AVERAGE(L40)</f>
        <v>5</v>
      </c>
      <c r="N40" s="416">
        <v>9.1999999999999993</v>
      </c>
      <c r="O40" s="294"/>
      <c r="P40" s="12"/>
    </row>
    <row r="41" spans="1:56" ht="15" customHeight="1">
      <c r="B41" s="527"/>
      <c r="C41" s="349"/>
      <c r="D41" s="536"/>
      <c r="E41" s="537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7"/>
      <c r="C42" s="349"/>
      <c r="D42" s="531"/>
      <c r="E42" s="532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7"/>
      <c r="C43" s="349"/>
      <c r="D43" s="536"/>
      <c r="E43" s="537"/>
      <c r="F43" s="294"/>
      <c r="G43" s="42"/>
      <c r="H43" s="42"/>
      <c r="I43" s="42"/>
      <c r="J43" s="290" t="s">
        <v>16</v>
      </c>
      <c r="K43" s="324">
        <v>7</v>
      </c>
      <c r="L43" s="294"/>
      <c r="M43" s="294"/>
      <c r="N43" s="294"/>
      <c r="O43" s="294"/>
      <c r="P43" s="12"/>
      <c r="BC43" s="44"/>
      <c r="BD43" s="44"/>
    </row>
    <row r="44" spans="1:56" ht="15">
      <c r="B44" s="527"/>
      <c r="C44" s="349"/>
      <c r="D44" s="531"/>
      <c r="E44" s="532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7"/>
      <c r="C45" s="349"/>
      <c r="D45" s="536"/>
      <c r="E45" s="537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8"/>
      <c r="C46" s="350"/>
      <c r="D46" s="538"/>
      <c r="E46" s="539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19"/>
      <c r="E47" s="520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J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11" t="s">
        <v>17</v>
      </c>
      <c r="C52" s="511" t="s">
        <v>44</v>
      </c>
      <c r="D52" s="522" t="s">
        <v>45</v>
      </c>
      <c r="E52" s="524" t="s">
        <v>46</v>
      </c>
      <c r="F52" s="517" t="s">
        <v>47</v>
      </c>
      <c r="G52" s="509" t="s">
        <v>48</v>
      </c>
      <c r="H52" s="511" t="s">
        <v>49</v>
      </c>
      <c r="I52" s="511" t="s">
        <v>50</v>
      </c>
      <c r="J52" s="503" t="s">
        <v>28</v>
      </c>
      <c r="K52" s="513" t="s">
        <v>51</v>
      </c>
      <c r="L52" s="515" t="s">
        <v>52</v>
      </c>
      <c r="M52" s="503" t="s">
        <v>53</v>
      </c>
      <c r="N52" s="13"/>
      <c r="O52" s="13"/>
      <c r="P52" s="50"/>
    </row>
    <row r="53" spans="2:57" ht="28.5" customHeight="1" thickTop="1" thickBot="1">
      <c r="B53" s="521"/>
      <c r="C53" s="521"/>
      <c r="D53" s="523"/>
      <c r="E53" s="525"/>
      <c r="F53" s="518"/>
      <c r="G53" s="510"/>
      <c r="H53" s="512"/>
      <c r="I53" s="512"/>
      <c r="J53" s="504"/>
      <c r="K53" s="514"/>
      <c r="L53" s="516"/>
      <c r="M53" s="504"/>
      <c r="N53" s="13"/>
      <c r="O53" s="13"/>
      <c r="P53" s="50"/>
      <c r="Q53" s="355"/>
      <c r="AB53" s="477">
        <v>43474</v>
      </c>
      <c r="AC53" s="477">
        <v>43475</v>
      </c>
      <c r="AD53" s="477">
        <v>43476</v>
      </c>
      <c r="AE53" s="477">
        <v>43477</v>
      </c>
      <c r="AF53" s="477">
        <v>43478</v>
      </c>
      <c r="AG53" s="477">
        <v>43479</v>
      </c>
      <c r="AH53" s="477">
        <v>43480</v>
      </c>
      <c r="AI53" s="477">
        <v>43481</v>
      </c>
      <c r="AJ53" s="477">
        <v>43482</v>
      </c>
      <c r="AK53" s="477">
        <v>43483</v>
      </c>
      <c r="AL53" s="477">
        <v>43484</v>
      </c>
      <c r="AM53" s="477">
        <v>43485</v>
      </c>
      <c r="AN53" s="477">
        <v>43486</v>
      </c>
      <c r="AO53" s="477">
        <v>43487</v>
      </c>
      <c r="AP53" s="477">
        <v>43488</v>
      </c>
      <c r="AQ53" s="477">
        <v>43489</v>
      </c>
      <c r="AR53" s="477">
        <v>43490</v>
      </c>
      <c r="AS53" s="477">
        <v>43491</v>
      </c>
      <c r="AT53" s="477">
        <v>43492</v>
      </c>
      <c r="AU53" s="477">
        <v>43493</v>
      </c>
      <c r="AV53" s="477">
        <v>43494</v>
      </c>
      <c r="AW53" s="477">
        <v>43495</v>
      </c>
      <c r="AX53" s="477">
        <v>43496</v>
      </c>
    </row>
    <row r="54" spans="2:57" s="54" customFormat="1" ht="43.15" customHeight="1" thickBot="1">
      <c r="B54" s="456"/>
      <c r="C54" s="441"/>
      <c r="D54" s="442"/>
      <c r="E54" s="443"/>
      <c r="F54" s="444"/>
      <c r="G54" s="444"/>
      <c r="H54" s="458"/>
      <c r="I54" s="458"/>
      <c r="J54" s="448"/>
      <c r="K54" s="449"/>
      <c r="L54" s="478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[9]January_2019!L7</f>
        <v>285.8</v>
      </c>
      <c r="AC54" s="57">
        <f>[9]January_2019!M7</f>
        <v>508.1</v>
      </c>
      <c r="AD54" s="57">
        <f>[9]January_2019!N7</f>
        <v>0</v>
      </c>
      <c r="AE54" s="57">
        <f>[9]January_2019!O7</f>
        <v>0</v>
      </c>
      <c r="AF54" s="57">
        <f>[9]January_2019!P7</f>
        <v>109.56666666666666</v>
      </c>
      <c r="AG54" s="57">
        <f>[9]January_2019!Q7</f>
        <v>297.64999999999998</v>
      </c>
      <c r="AH54" s="57">
        <f>[9]January_2019!R7</f>
        <v>122.3</v>
      </c>
      <c r="AI54" s="57">
        <f>[9]January_2019!S7</f>
        <v>0</v>
      </c>
      <c r="AJ54" s="57">
        <f>[9]January_2019!T7</f>
        <v>294.7</v>
      </c>
      <c r="AK54" s="57">
        <f>[9]January_2019!U7</f>
        <v>280.5</v>
      </c>
      <c r="AL54" s="57">
        <f>[9]January_2019!V7</f>
        <v>0</v>
      </c>
      <c r="AM54" s="57">
        <f>[9]January_2019!W7</f>
        <v>0</v>
      </c>
      <c r="AN54" s="57">
        <f>[9]January_2019!X7</f>
        <v>188.25</v>
      </c>
      <c r="AO54" s="57">
        <f>[9]January_2019!Y7</f>
        <v>295.7</v>
      </c>
      <c r="AP54" s="57">
        <f>[9]January_2019!Z7</f>
        <v>257.8</v>
      </c>
      <c r="AQ54" s="57">
        <f>[9]January_2019!AA7</f>
        <v>291.2</v>
      </c>
      <c r="AR54" s="57">
        <f>[9]January_2019!AB7</f>
        <v>187</v>
      </c>
      <c r="AS54" s="57">
        <f>[9]January_2019!AC7</f>
        <v>0</v>
      </c>
      <c r="AT54" s="57">
        <f>[9]January_2019!AD7</f>
        <v>0</v>
      </c>
      <c r="AU54" s="57">
        <f>[9]January_2019!AE7</f>
        <v>485.1</v>
      </c>
      <c r="AV54" s="57">
        <f>[9]January_2019!AF7</f>
        <v>171.55</v>
      </c>
      <c r="AW54" s="57">
        <f>[9]January_2019!AG7</f>
        <v>423.8</v>
      </c>
      <c r="AX54" s="277">
        <f>[9]January_2019!AH7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68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56"/>
      <c r="C56" s="441"/>
      <c r="D56" s="442"/>
      <c r="E56" s="443"/>
      <c r="F56" s="444"/>
      <c r="G56" s="445"/>
      <c r="H56" s="458"/>
      <c r="I56" s="458"/>
      <c r="J56" s="448"/>
      <c r="K56" s="460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59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05" t="s">
        <v>55</v>
      </c>
      <c r="C63" s="506"/>
      <c r="D63" s="506"/>
      <c r="E63" s="506"/>
      <c r="F63" s="507"/>
      <c r="G63" s="505" t="s">
        <v>56</v>
      </c>
      <c r="H63" s="506"/>
      <c r="I63" s="506"/>
      <c r="J63" s="507"/>
      <c r="K63" s="505" t="s">
        <v>51</v>
      </c>
      <c r="L63" s="506"/>
      <c r="M63" s="506"/>
      <c r="N63" s="508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13.605323060759916</v>
      </c>
      <c r="E65" s="76">
        <v>13.605323060759916</v>
      </c>
      <c r="F65" s="66">
        <v>4.8</v>
      </c>
      <c r="G65" s="65"/>
      <c r="H65" s="480">
        <v>15.657242114346415</v>
      </c>
      <c r="I65" s="76">
        <v>15.657242114346415</v>
      </c>
      <c r="J65" s="66">
        <v>4.8</v>
      </c>
      <c r="K65" s="67"/>
      <c r="L65" s="194">
        <v>0.19106140350877193</v>
      </c>
      <c r="M65" s="194">
        <v>0.19106140350877193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70">
        <f>[10]May_2022!$M$43</f>
        <v>3.4878406700073312</v>
      </c>
      <c r="G70" s="282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65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13.605323060759916</v>
      </c>
      <c r="E74" s="76">
        <v>13.605323060759916</v>
      </c>
      <c r="F74" s="341">
        <v>5.5</v>
      </c>
      <c r="H74" s="76">
        <v>15.657242114346415</v>
      </c>
      <c r="I74" s="76">
        <v>15.657242114346415</v>
      </c>
      <c r="J74" s="341">
        <v>5.5</v>
      </c>
      <c r="L74" s="194">
        <v>0.19106140350877193</v>
      </c>
      <c r="M74" s="194">
        <v>0.19106140350877193</v>
      </c>
      <c r="N74" s="386">
        <v>1</v>
      </c>
    </row>
  </sheetData>
  <mergeCells count="51"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3626" priority="39" operator="notBetween">
      <formula>#REF!</formula>
      <formula>#REF!</formula>
    </cfRule>
  </conditionalFormatting>
  <conditionalFormatting sqref="C51">
    <cfRule type="cellIs" dxfId="3625" priority="185" stopIfTrue="1" operator="greaterThan">
      <formula>100</formula>
    </cfRule>
    <cfRule type="cellIs" dxfId="3624" priority="184" stopIfTrue="1" operator="lessThan">
      <formula>96</formula>
    </cfRule>
  </conditionalFormatting>
  <conditionalFormatting sqref="C65:C69">
    <cfRule type="cellIs" dxfId="3623" priority="138" stopIfTrue="1" operator="lessThanOrEqual">
      <formula>0</formula>
    </cfRule>
  </conditionalFormatting>
  <conditionalFormatting sqref="C65:C73">
    <cfRule type="cellIs" dxfId="3622" priority="137" stopIfTrue="1" operator="greaterThan">
      <formula>$F65</formula>
    </cfRule>
  </conditionalFormatting>
  <conditionalFormatting sqref="C66">
    <cfRule type="cellIs" dxfId="3621" priority="188" stopIfTrue="1" operator="greaterThan">
      <formula>$F65</formula>
    </cfRule>
  </conditionalFormatting>
  <conditionalFormatting sqref="C70">
    <cfRule type="cellIs" dxfId="3620" priority="78" stopIfTrue="1" operator="greaterThan">
      <formula>$F69</formula>
    </cfRule>
    <cfRule type="cellIs" dxfId="3619" priority="77" stopIfTrue="1" operator="lessThanOrEqual">
      <formula>0</formula>
    </cfRule>
  </conditionalFormatting>
  <conditionalFormatting sqref="C76:C80">
    <cfRule type="cellIs" dxfId="3618" priority="176" stopIfTrue="1" operator="lessThanOrEqual">
      <formula>0</formula>
    </cfRule>
  </conditionalFormatting>
  <conditionalFormatting sqref="C77:C80">
    <cfRule type="cellIs" dxfId="3617" priority="175" stopIfTrue="1" operator="greaterThan">
      <formula>$F$76</formula>
    </cfRule>
  </conditionalFormatting>
  <conditionalFormatting sqref="C82">
    <cfRule type="cellIs" dxfId="3616" priority="178" stopIfTrue="1" operator="lessThanOrEqual">
      <formula>0</formula>
    </cfRule>
    <cfRule type="cellIs" dxfId="3615" priority="177" stopIfTrue="1" operator="greaterThan">
      <formula>$F$76</formula>
    </cfRule>
  </conditionalFormatting>
  <conditionalFormatting sqref="C76:D76 D78:D84">
    <cfRule type="cellIs" dxfId="3614" priority="170" stopIfTrue="1" operator="greaterThan">
      <formula>4.5</formula>
    </cfRule>
  </conditionalFormatting>
  <conditionalFormatting sqref="D47:D48">
    <cfRule type="cellIs" dxfId="3613" priority="40" operator="notBetween">
      <formula>#REF!</formula>
      <formula>#REF!</formula>
    </cfRule>
  </conditionalFormatting>
  <conditionalFormatting sqref="D65:D72">
    <cfRule type="cellIs" dxfId="3612" priority="150" stopIfTrue="1" operator="lessThanOrEqual">
      <formula>0</formula>
    </cfRule>
  </conditionalFormatting>
  <conditionalFormatting sqref="D73">
    <cfRule type="cellIs" dxfId="3611" priority="149" stopIfTrue="1" operator="lessThanOrEqual">
      <formula>0</formula>
    </cfRule>
  </conditionalFormatting>
  <conditionalFormatting sqref="D76 D78:D84">
    <cfRule type="cellIs" dxfId="3610" priority="171" stopIfTrue="1" operator="lessThanOrEqual">
      <formula>0</formula>
    </cfRule>
  </conditionalFormatting>
  <conditionalFormatting sqref="D77">
    <cfRule type="cellIs" dxfId="3609" priority="163" stopIfTrue="1" operator="lessThanOrEqual">
      <formula>0</formula>
    </cfRule>
    <cfRule type="cellIs" dxfId="3608" priority="162" stopIfTrue="1" operator="greaterThan">
      <formula>$F$76</formula>
    </cfRule>
  </conditionalFormatting>
  <conditionalFormatting sqref="D65:E74">
    <cfRule type="cellIs" dxfId="3607" priority="135" stopIfTrue="1" operator="greaterThan">
      <formula>$F65</formula>
    </cfRule>
  </conditionalFormatting>
  <conditionalFormatting sqref="D74:E74">
    <cfRule type="cellIs" dxfId="3606" priority="136" stopIfTrue="1" operator="lessThanOrEqual">
      <formula>0</formula>
    </cfRule>
  </conditionalFormatting>
  <conditionalFormatting sqref="E10:E22">
    <cfRule type="cellIs" dxfId="3605" priority="11" operator="lessThan">
      <formula>48</formula>
    </cfRule>
  </conditionalFormatting>
  <conditionalFormatting sqref="E50 E51:F51">
    <cfRule type="cellIs" dxfId="3604" priority="167" stopIfTrue="1" operator="greaterThan">
      <formula>100</formula>
    </cfRule>
  </conditionalFormatting>
  <conditionalFormatting sqref="E51">
    <cfRule type="cellIs" dxfId="3603" priority="165" stopIfTrue="1" operator="greaterThan">
      <formula>100</formula>
    </cfRule>
    <cfRule type="cellIs" dxfId="3602" priority="164" stopIfTrue="1" operator="lessThan">
      <formula>96.8</formula>
    </cfRule>
  </conditionalFormatting>
  <conditionalFormatting sqref="E65:E73">
    <cfRule type="cellIs" dxfId="3601" priority="146" stopIfTrue="1" operator="lessThanOrEqual">
      <formula>0</formula>
    </cfRule>
  </conditionalFormatting>
  <conditionalFormatting sqref="E76:E84">
    <cfRule type="cellIs" dxfId="3600" priority="157" stopIfTrue="1" operator="lessThanOrEqual">
      <formula>0</formula>
    </cfRule>
    <cfRule type="cellIs" dxfId="3599" priority="156" stopIfTrue="1" operator="greaterThan">
      <formula>4.5</formula>
    </cfRule>
  </conditionalFormatting>
  <conditionalFormatting sqref="E51:F51 E50">
    <cfRule type="cellIs" dxfId="3598" priority="166" stopIfTrue="1" operator="lessThan">
      <formula>96.5</formula>
    </cfRule>
  </conditionalFormatting>
  <conditionalFormatting sqref="F19:F22">
    <cfRule type="cellIs" dxfId="3597" priority="18" operator="greaterThan">
      <formula>60</formula>
    </cfRule>
  </conditionalFormatting>
  <conditionalFormatting sqref="F51">
    <cfRule type="cellIs" dxfId="3596" priority="183" stopIfTrue="1" operator="greaterThan">
      <formula>100</formula>
    </cfRule>
    <cfRule type="cellIs" dxfId="3595" priority="182" stopIfTrue="1" operator="lessThan">
      <formula>96.8</formula>
    </cfRule>
  </conditionalFormatting>
  <conditionalFormatting sqref="F74">
    <cfRule type="cellIs" dxfId="3594" priority="147" stopIfTrue="1" operator="greaterThan">
      <formula>$F74</formula>
    </cfRule>
    <cfRule type="cellIs" dxfId="3593" priority="148" stopIfTrue="1" operator="lessThanOrEqual">
      <formula>0</formula>
    </cfRule>
  </conditionalFormatting>
  <conditionalFormatting sqref="G10:G18">
    <cfRule type="expression" dxfId="3592" priority="3">
      <formula>IF(+(IF(G10&lt;S10,0,IF(G10&gt;T10,0,1)))=0,1)</formula>
    </cfRule>
  </conditionalFormatting>
  <conditionalFormatting sqref="G65:G66 C71:C73">
    <cfRule type="cellIs" dxfId="3591" priority="152" stopIfTrue="1" operator="lessThanOrEqual">
      <formula>0</formula>
    </cfRule>
  </conditionalFormatting>
  <conditionalFormatting sqref="G65:G66">
    <cfRule type="cellIs" dxfId="3590" priority="151" stopIfTrue="1" operator="greaterThan">
      <formula>$F65</formula>
    </cfRule>
    <cfRule type="cellIs" dxfId="3589" priority="139" stopIfTrue="1" operator="greaterThan">
      <formula>$F65</formula>
    </cfRule>
    <cfRule type="cellIs" dxfId="3588" priority="140" stopIfTrue="1" operator="lessThanOrEqual">
      <formula>0</formula>
    </cfRule>
  </conditionalFormatting>
  <conditionalFormatting sqref="G67">
    <cfRule type="cellIs" dxfId="3587" priority="187" stopIfTrue="1" operator="lessThanOrEqual">
      <formula>0</formula>
    </cfRule>
    <cfRule type="cellIs" dxfId="3586" priority="186" stopIfTrue="1" operator="greaterThan">
      <formula>$F66</formula>
    </cfRule>
  </conditionalFormatting>
  <conditionalFormatting sqref="G68">
    <cfRule type="cellIs" dxfId="3585" priority="36" stopIfTrue="1" operator="lessThanOrEqual">
      <formula>0</formula>
    </cfRule>
    <cfRule type="cellIs" dxfId="3584" priority="35" stopIfTrue="1" operator="greaterThan">
      <formula>$F68</formula>
    </cfRule>
    <cfRule type="cellIs" dxfId="3583" priority="37" stopIfTrue="1" operator="greaterThan">
      <formula>$F68</formula>
    </cfRule>
    <cfRule type="cellIs" dxfId="3582" priority="38" stopIfTrue="1" operator="lessThanOrEqual">
      <formula>0</formula>
    </cfRule>
  </conditionalFormatting>
  <conditionalFormatting sqref="G69:G73">
    <cfRule type="cellIs" dxfId="3581" priority="153" stopIfTrue="1" operator="greaterThan">
      <formula>$J69</formula>
    </cfRule>
    <cfRule type="cellIs" dxfId="3580" priority="154" stopIfTrue="1" operator="lessThanOrEqual">
      <formula>0</formula>
    </cfRule>
  </conditionalFormatting>
  <conditionalFormatting sqref="G78:G83 C81 C83">
    <cfRule type="cellIs" dxfId="3579" priority="179" stopIfTrue="1" operator="greaterThan">
      <formula>4.5</formula>
    </cfRule>
    <cfRule type="cellIs" dxfId="3578" priority="180" stopIfTrue="1" operator="lessThanOrEqual">
      <formula>0</formula>
    </cfRule>
  </conditionalFormatting>
  <conditionalFormatting sqref="G77:H77">
    <cfRule type="cellIs" dxfId="3577" priority="160" stopIfTrue="1" operator="greaterThan">
      <formula>$F$76</formula>
    </cfRule>
    <cfRule type="cellIs" dxfId="3576" priority="161" stopIfTrue="1" operator="lessThanOrEqual">
      <formula>0</formula>
    </cfRule>
  </conditionalFormatting>
  <conditionalFormatting sqref="H10:H18">
    <cfRule type="expression" dxfId="3575" priority="1">
      <formula>IF(+(IF(H10&lt;#REF!,0,IF(H10&gt;#REF!,0,1)))=0,1)</formula>
    </cfRule>
  </conditionalFormatting>
  <conditionalFormatting sqref="H36:H37 H50">
    <cfRule type="cellIs" dxfId="3574" priority="158" stopIfTrue="1" operator="greaterThan">
      <formula>0</formula>
    </cfRule>
  </conditionalFormatting>
  <conditionalFormatting sqref="H54">
    <cfRule type="cellIs" dxfId="3573" priority="31" stopIfTrue="1" operator="greaterThan">
      <formula>$F$72</formula>
    </cfRule>
    <cfRule type="cellIs" dxfId="3572" priority="34" stopIfTrue="1" operator="lessThanOrEqual">
      <formula>0</formula>
    </cfRule>
    <cfRule type="cellIs" dxfId="3571" priority="33" stopIfTrue="1" operator="greaterThan">
      <formula>$F$70</formula>
    </cfRule>
    <cfRule type="cellIs" dxfId="3570" priority="32" stopIfTrue="1" operator="lessThanOrEqual">
      <formula>0</formula>
    </cfRule>
    <cfRule type="cellIs" dxfId="3569" priority="23" stopIfTrue="1" operator="greaterThan">
      <formula>$F$69</formula>
    </cfRule>
    <cfRule type="cellIs" dxfId="3568" priority="22" stopIfTrue="1" operator="lessThanOrEqual">
      <formula>0</formula>
    </cfRule>
  </conditionalFormatting>
  <conditionalFormatting sqref="H55">
    <cfRule type="cellIs" dxfId="3567" priority="103" stopIfTrue="1" operator="greaterThan">
      <formula>$F$23</formula>
    </cfRule>
    <cfRule type="cellIs" dxfId="3566" priority="104" stopIfTrue="1" operator="lessThanOrEqual">
      <formula>0</formula>
    </cfRule>
    <cfRule type="cellIs" dxfId="3565" priority="106" stopIfTrue="1" operator="lessThanOrEqual">
      <formula>0</formula>
    </cfRule>
    <cfRule type="cellIs" dxfId="3564" priority="105" stopIfTrue="1" operator="greaterThan">
      <formula>#REF!</formula>
    </cfRule>
    <cfRule type="cellIs" dxfId="3563" priority="94" stopIfTrue="1" operator="lessThanOrEqual">
      <formula>0</formula>
    </cfRule>
    <cfRule type="cellIs" dxfId="3562" priority="95" stopIfTrue="1" operator="greaterThan">
      <formula>#REF!</formula>
    </cfRule>
  </conditionalFormatting>
  <conditionalFormatting sqref="H56">
    <cfRule type="cellIs" dxfId="3561" priority="75" stopIfTrue="1" operator="greaterThan">
      <formula>$F$67</formula>
    </cfRule>
    <cfRule type="cellIs" dxfId="3560" priority="76" stopIfTrue="1" operator="lessThanOrEqual">
      <formula>0</formula>
    </cfRule>
    <cfRule type="cellIs" dxfId="3559" priority="64" stopIfTrue="1" operator="lessThanOrEqual">
      <formula>0</formula>
    </cfRule>
    <cfRule type="cellIs" dxfId="3558" priority="65" stopIfTrue="1" operator="greaterThan">
      <formula>$F$66</formula>
    </cfRule>
    <cfRule type="cellIs" dxfId="3557" priority="73" stopIfTrue="1" operator="greaterThan">
      <formula>$F$69</formula>
    </cfRule>
    <cfRule type="cellIs" dxfId="3556" priority="74" stopIfTrue="1" operator="lessThanOrEqual">
      <formula>0</formula>
    </cfRule>
  </conditionalFormatting>
  <conditionalFormatting sqref="H57:H58">
    <cfRule type="cellIs" dxfId="3555" priority="80" stopIfTrue="1" operator="lessThanOrEqual">
      <formula>0</formula>
    </cfRule>
    <cfRule type="cellIs" dxfId="3554" priority="81" stopIfTrue="1" operator="greaterThan">
      <formula>#REF!</formula>
    </cfRule>
    <cfRule type="cellIs" dxfId="3553" priority="92" stopIfTrue="1" operator="lessThanOrEqual">
      <formula>0</formula>
    </cfRule>
    <cfRule type="cellIs" dxfId="3552" priority="89" stopIfTrue="1" operator="greaterThan">
      <formula>$F$22</formula>
    </cfRule>
    <cfRule type="cellIs" dxfId="3551" priority="90" stopIfTrue="1" operator="lessThanOrEqual">
      <formula>0</formula>
    </cfRule>
    <cfRule type="cellIs" dxfId="3550" priority="91" stopIfTrue="1" operator="greaterThan">
      <formula>#REF!</formula>
    </cfRule>
  </conditionalFormatting>
  <conditionalFormatting sqref="H59">
    <cfRule type="cellIs" dxfId="3549" priority="119" stopIfTrue="1" operator="lessThanOrEqual">
      <formula>0</formula>
    </cfRule>
    <cfRule type="cellIs" dxfId="3548" priority="121" stopIfTrue="1" operator="lessThanOrEqual">
      <formula>0</formula>
    </cfRule>
    <cfRule type="cellIs" dxfId="3547" priority="118" stopIfTrue="1" operator="greaterThan">
      <formula>$F$38</formula>
    </cfRule>
    <cfRule type="cellIs" dxfId="3546" priority="110" stopIfTrue="1" operator="greaterThan">
      <formula>$F$35</formula>
    </cfRule>
    <cfRule type="cellIs" dxfId="3545" priority="109" stopIfTrue="1" operator="lessThanOrEqual">
      <formula>0</formula>
    </cfRule>
    <cfRule type="cellIs" dxfId="3544" priority="120" stopIfTrue="1" operator="greaterThan">
      <formula>$F$36</formula>
    </cfRule>
  </conditionalFormatting>
  <conditionalFormatting sqref="H60:H61">
    <cfRule type="cellIs" dxfId="3543" priority="50" stopIfTrue="1" operator="lessThanOrEqual">
      <formula>0</formula>
    </cfRule>
    <cfRule type="cellIs" dxfId="3542" priority="51" stopIfTrue="1" operator="greaterThan">
      <formula>#REF!</formula>
    </cfRule>
    <cfRule type="cellIs" dxfId="3541" priority="62" stopIfTrue="1" operator="lessThanOrEqual">
      <formula>0</formula>
    </cfRule>
    <cfRule type="cellIs" dxfId="3540" priority="61" stopIfTrue="1" operator="greaterThan">
      <formula>#REF!</formula>
    </cfRule>
    <cfRule type="cellIs" dxfId="3539" priority="60" stopIfTrue="1" operator="lessThanOrEqual">
      <formula>0</formula>
    </cfRule>
    <cfRule type="cellIs" dxfId="3538" priority="59" stopIfTrue="1" operator="greaterThan">
      <formula>$F$22</formula>
    </cfRule>
  </conditionalFormatting>
  <conditionalFormatting sqref="H65:H72">
    <cfRule type="cellIs" dxfId="3537" priority="141" stopIfTrue="1" operator="greaterThan">
      <formula>$J65</formula>
    </cfRule>
    <cfRule type="cellIs" dxfId="3536" priority="142" stopIfTrue="1" operator="lessThanOrEqual">
      <formula>0</formula>
    </cfRule>
  </conditionalFormatting>
  <conditionalFormatting sqref="H73">
    <cfRule type="cellIs" dxfId="3535" priority="143" operator="greaterThan">
      <formula>5.3</formula>
    </cfRule>
  </conditionalFormatting>
  <conditionalFormatting sqref="H76 H78:H84">
    <cfRule type="cellIs" dxfId="3534" priority="173" stopIfTrue="1" operator="lessThanOrEqual">
      <formula>0</formula>
    </cfRule>
    <cfRule type="cellIs" dxfId="3533" priority="172" stopIfTrue="1" operator="greaterThan">
      <formula>4.5</formula>
    </cfRule>
  </conditionalFormatting>
  <conditionalFormatting sqref="H54:I54">
    <cfRule type="cellIs" dxfId="3532" priority="21" stopIfTrue="1" operator="greaterThan">
      <formula>$F$71</formula>
    </cfRule>
    <cfRule type="cellIs" dxfId="3531" priority="24" stopIfTrue="1" operator="lessThanOrEqual">
      <formula>0</formula>
    </cfRule>
  </conditionalFormatting>
  <conditionalFormatting sqref="H55:I55">
    <cfRule type="cellIs" dxfId="3530" priority="96" stopIfTrue="1" operator="lessThanOrEqual">
      <formula>0</formula>
    </cfRule>
    <cfRule type="cellIs" dxfId="3529" priority="93" stopIfTrue="1" operator="greaterThan">
      <formula>$F$22</formula>
    </cfRule>
  </conditionalFormatting>
  <conditionalFormatting sqref="H56:I56">
    <cfRule type="cellIs" dxfId="3528" priority="66" stopIfTrue="1" operator="lessThanOrEqual">
      <formula>0</formula>
    </cfRule>
    <cfRule type="cellIs" dxfId="3527" priority="63" stopIfTrue="1" operator="greaterThan">
      <formula>$F$68</formula>
    </cfRule>
  </conditionalFormatting>
  <conditionalFormatting sqref="H57:I58">
    <cfRule type="cellIs" dxfId="3526" priority="79" stopIfTrue="1" operator="greaterThan">
      <formula>#REF!</formula>
    </cfRule>
    <cfRule type="cellIs" dxfId="3525" priority="82" stopIfTrue="1" operator="lessThanOrEqual">
      <formula>0</formula>
    </cfRule>
  </conditionalFormatting>
  <conditionalFormatting sqref="H59:I59">
    <cfRule type="cellIs" dxfId="3524" priority="108" stopIfTrue="1" operator="greaterThan">
      <formula>$F$37</formula>
    </cfRule>
    <cfRule type="cellIs" dxfId="3523" priority="111" stopIfTrue="1" operator="lessThanOrEqual">
      <formula>0</formula>
    </cfRule>
  </conditionalFormatting>
  <conditionalFormatting sqref="H60:I61">
    <cfRule type="cellIs" dxfId="3522" priority="49" stopIfTrue="1" operator="greaterThan">
      <formula>#REF!</formula>
    </cfRule>
    <cfRule type="cellIs" dxfId="3521" priority="52" stopIfTrue="1" operator="lessThanOrEqual">
      <formula>0</formula>
    </cfRule>
  </conditionalFormatting>
  <conditionalFormatting sqref="H74:I74">
    <cfRule type="cellIs" dxfId="3520" priority="133" stopIfTrue="1" operator="greaterThan">
      <formula>$J74</formula>
    </cfRule>
    <cfRule type="cellIs" dxfId="3519" priority="134" stopIfTrue="1" operator="lessThanOrEqual">
      <formula>0</formula>
    </cfRule>
  </conditionalFormatting>
  <conditionalFormatting sqref="I54">
    <cfRule type="cellIs" dxfId="3518" priority="30" stopIfTrue="1" operator="lessThanOrEqual">
      <formula>0</formula>
    </cfRule>
    <cfRule type="cellIs" dxfId="3517" priority="29" stopIfTrue="1" operator="greaterThan">
      <formula>$F$69</formula>
    </cfRule>
    <cfRule type="cellIs" dxfId="3516" priority="28" stopIfTrue="1" operator="lessThanOrEqual">
      <formula>0</formula>
    </cfRule>
    <cfRule type="cellIs" dxfId="3515" priority="27" stopIfTrue="1" operator="greaterThan">
      <formula>$F$71</formula>
    </cfRule>
    <cfRule type="cellIs" dxfId="3514" priority="26" stopIfTrue="1" operator="lessThanOrEqual">
      <formula>0</formula>
    </cfRule>
    <cfRule type="cellIs" dxfId="3513" priority="25" stopIfTrue="1" operator="greaterThan">
      <formula>$F$69</formula>
    </cfRule>
  </conditionalFormatting>
  <conditionalFormatting sqref="I55">
    <cfRule type="cellIs" dxfId="3512" priority="97" stopIfTrue="1" operator="greaterThan">
      <formula>#REF!</formula>
    </cfRule>
    <cfRule type="cellIs" dxfId="3511" priority="98" stopIfTrue="1" operator="lessThanOrEqual">
      <formula>0</formula>
    </cfRule>
    <cfRule type="cellIs" dxfId="3510" priority="99" stopIfTrue="1" operator="greaterThan">
      <formula>$F$22</formula>
    </cfRule>
    <cfRule type="cellIs" dxfId="3509" priority="100" stopIfTrue="1" operator="lessThanOrEqual">
      <formula>0</formula>
    </cfRule>
    <cfRule type="cellIs" dxfId="3508" priority="101" stopIfTrue="1" operator="greaterThan">
      <formula>#REF!</formula>
    </cfRule>
    <cfRule type="cellIs" dxfId="3507" priority="102" stopIfTrue="1" operator="lessThanOrEqual">
      <formula>0</formula>
    </cfRule>
  </conditionalFormatting>
  <conditionalFormatting sqref="I56">
    <cfRule type="cellIs" dxfId="3506" priority="67" stopIfTrue="1" operator="greaterThan">
      <formula>$F$66</formula>
    </cfRule>
    <cfRule type="cellIs" dxfId="3505" priority="68" stopIfTrue="1" operator="lessThanOrEqual">
      <formula>0</formula>
    </cfRule>
    <cfRule type="cellIs" dxfId="3504" priority="69" stopIfTrue="1" operator="greaterThan">
      <formula>$F$68</formula>
    </cfRule>
    <cfRule type="cellIs" dxfId="3503" priority="70" stopIfTrue="1" operator="lessThanOrEqual">
      <formula>0</formula>
    </cfRule>
    <cfRule type="cellIs" dxfId="3502" priority="72" stopIfTrue="1" operator="lessThanOrEqual">
      <formula>0</formula>
    </cfRule>
    <cfRule type="cellIs" dxfId="3501" priority="71" stopIfTrue="1" operator="greaterThan">
      <formula>$F$66</formula>
    </cfRule>
  </conditionalFormatting>
  <conditionalFormatting sqref="I57:I58">
    <cfRule type="cellIs" dxfId="3500" priority="87" stopIfTrue="1" operator="greaterThan">
      <formula>#REF!</formula>
    </cfRule>
    <cfRule type="cellIs" dxfId="3499" priority="83" stopIfTrue="1" operator="greaterThan">
      <formula>#REF!</formula>
    </cfRule>
    <cfRule type="cellIs" dxfId="3498" priority="85" stopIfTrue="1" operator="greaterThan">
      <formula>#REF!</formula>
    </cfRule>
    <cfRule type="cellIs" dxfId="3497" priority="84" stopIfTrue="1" operator="lessThanOrEqual">
      <formula>0</formula>
    </cfRule>
    <cfRule type="cellIs" dxfId="3496" priority="86" stopIfTrue="1" operator="lessThanOrEqual">
      <formula>0</formula>
    </cfRule>
    <cfRule type="cellIs" dxfId="3495" priority="88" stopIfTrue="1" operator="lessThanOrEqual">
      <formula>0</formula>
    </cfRule>
  </conditionalFormatting>
  <conditionalFormatting sqref="I59">
    <cfRule type="cellIs" dxfId="3494" priority="117" stopIfTrue="1" operator="lessThanOrEqual">
      <formula>0</formula>
    </cfRule>
    <cfRule type="cellIs" dxfId="3493" priority="116" stopIfTrue="1" operator="greaterThan">
      <formula>$F$35</formula>
    </cfRule>
    <cfRule type="cellIs" dxfId="3492" priority="115" stopIfTrue="1" operator="lessThanOrEqual">
      <formula>0</formula>
    </cfRule>
    <cfRule type="cellIs" dxfId="3491" priority="114" stopIfTrue="1" operator="greaterThan">
      <formula>$F$37</formula>
    </cfRule>
    <cfRule type="cellIs" dxfId="3490" priority="113" stopIfTrue="1" operator="lessThanOrEqual">
      <formula>0</formula>
    </cfRule>
    <cfRule type="cellIs" dxfId="3489" priority="112" stopIfTrue="1" operator="greaterThan">
      <formula>$F$35</formula>
    </cfRule>
  </conditionalFormatting>
  <conditionalFormatting sqref="I60:I61">
    <cfRule type="cellIs" dxfId="3488" priority="54" stopIfTrue="1" operator="lessThanOrEqual">
      <formula>0</formula>
    </cfRule>
    <cfRule type="cellIs" dxfId="3487" priority="53" stopIfTrue="1" operator="greaterThan">
      <formula>#REF!</formula>
    </cfRule>
    <cfRule type="cellIs" dxfId="3486" priority="57" stopIfTrue="1" operator="greaterThan">
      <formula>#REF!</formula>
    </cfRule>
    <cfRule type="cellIs" dxfId="3485" priority="56" stopIfTrue="1" operator="lessThanOrEqual">
      <formula>0</formula>
    </cfRule>
    <cfRule type="cellIs" dxfId="3484" priority="58" stopIfTrue="1" operator="lessThanOrEqual">
      <formula>0</formula>
    </cfRule>
    <cfRule type="cellIs" dxfId="3483" priority="55" stopIfTrue="1" operator="greaterThan">
      <formula>#REF!</formula>
    </cfRule>
  </conditionalFormatting>
  <conditionalFormatting sqref="I65:I73">
    <cfRule type="cellIs" dxfId="3482" priority="145" stopIfTrue="1" operator="lessThanOrEqual">
      <formula>0</formula>
    </cfRule>
    <cfRule type="cellIs" dxfId="3481" priority="144" stopIfTrue="1" operator="greaterThan">
      <formula>$J65</formula>
    </cfRule>
  </conditionalFormatting>
  <conditionalFormatting sqref="I76:I84">
    <cfRule type="cellIs" dxfId="3480" priority="168" stopIfTrue="1" operator="greaterThan">
      <formula>4.5</formula>
    </cfRule>
    <cfRule type="cellIs" dxfId="3479" priority="169" stopIfTrue="1" operator="lessThanOrEqual">
      <formula>0</formula>
    </cfRule>
  </conditionalFormatting>
  <conditionalFormatting sqref="I10:J22">
    <cfRule type="cellIs" dxfId="3478" priority="5" operator="lessThan">
      <formula>97.9</formula>
    </cfRule>
  </conditionalFormatting>
  <conditionalFormatting sqref="J26:J27">
    <cfRule type="cellIs" dxfId="3477" priority="123" stopIfTrue="1" operator="lessThan">
      <formula>96.8</formula>
    </cfRule>
    <cfRule type="cellIs" dxfId="3476" priority="125" operator="lessThan">
      <formula>98</formula>
    </cfRule>
    <cfRule type="cellIs" dxfId="3475" priority="124" stopIfTrue="1" operator="greaterThan">
      <formula>100</formula>
    </cfRule>
  </conditionalFormatting>
  <conditionalFormatting sqref="J26:J29">
    <cfRule type="cellIs" dxfId="3474" priority="122" operator="lessThan">
      <formula>97.4</formula>
    </cfRule>
  </conditionalFormatting>
  <conditionalFormatting sqref="J30:J31">
    <cfRule type="cellIs" dxfId="3473" priority="126" operator="lessThan">
      <formula>98</formula>
    </cfRule>
  </conditionalFormatting>
  <conditionalFormatting sqref="J32:J33">
    <cfRule type="cellIs" dxfId="3472" priority="127" stopIfTrue="1" operator="lessThan">
      <formula>96.8</formula>
    </cfRule>
    <cfRule type="cellIs" dxfId="3471" priority="128" stopIfTrue="1" operator="greaterThan">
      <formula>100</formula>
    </cfRule>
  </conditionalFormatting>
  <conditionalFormatting sqref="J32:J34">
    <cfRule type="cellIs" dxfId="3470" priority="129" operator="lessThan">
      <formula>98</formula>
    </cfRule>
  </conditionalFormatting>
  <conditionalFormatting sqref="J61">
    <cfRule type="cellIs" dxfId="3469" priority="44" stopIfTrue="1" operator="lessThanOrEqual">
      <formula>0</formula>
    </cfRule>
    <cfRule type="cellIs" dxfId="3468" priority="43" stopIfTrue="1" operator="greaterThan">
      <formula>#REF!</formula>
    </cfRule>
    <cfRule type="cellIs" dxfId="3467" priority="42" stopIfTrue="1" operator="lessThanOrEqual">
      <formula>0</formula>
    </cfRule>
    <cfRule type="cellIs" dxfId="3466" priority="41" stopIfTrue="1" operator="greaterThan">
      <formula>#REF!</formula>
    </cfRule>
    <cfRule type="cellIs" dxfId="3465" priority="47" stopIfTrue="1" operator="greaterThan">
      <formula>#REF!</formula>
    </cfRule>
    <cfRule type="cellIs" dxfId="3464" priority="48" stopIfTrue="1" operator="lessThanOrEqual">
      <formula>0</formula>
    </cfRule>
    <cfRule type="cellIs" dxfId="3463" priority="46" stopIfTrue="1" operator="lessThanOrEqual">
      <formula>0</formula>
    </cfRule>
    <cfRule type="cellIs" dxfId="3462" priority="45" stopIfTrue="1" operator="greaterThan">
      <formula>#REF!</formula>
    </cfRule>
  </conditionalFormatting>
  <conditionalFormatting sqref="J74">
    <cfRule type="cellIs" dxfId="3461" priority="130" stopIfTrue="1" operator="greaterThan">
      <formula>$F74</formula>
    </cfRule>
    <cfRule type="cellIs" dxfId="3460" priority="131" stopIfTrue="1" operator="lessThanOrEqual">
      <formula>0</formula>
    </cfRule>
  </conditionalFormatting>
  <conditionalFormatting sqref="K10:K22">
    <cfRule type="cellIs" dxfId="3459" priority="8" operator="greaterThan">
      <formula>6.4</formula>
    </cfRule>
    <cfRule type="cellIs" dxfId="3458" priority="7" operator="lessThan">
      <formula>4</formula>
    </cfRule>
    <cfRule type="cellIs" dxfId="3457" priority="6" operator="greaterThan">
      <formula>6</formula>
    </cfRule>
  </conditionalFormatting>
  <conditionalFormatting sqref="K54:K61 K65:N71 K72 M72:N72 K73:N73">
    <cfRule type="cellIs" dxfId="3456" priority="107" stopIfTrue="1" operator="lessThan">
      <formula>100%</formula>
    </cfRule>
  </conditionalFormatting>
  <conditionalFormatting sqref="K76:K81">
    <cfRule type="cellIs" dxfId="3455" priority="174" stopIfTrue="1" operator="lessThan">
      <formula>100%</formula>
    </cfRule>
  </conditionalFormatting>
  <conditionalFormatting sqref="K83:K84">
    <cfRule type="cellIs" dxfId="3454" priority="181" stopIfTrue="1" operator="lessThan">
      <formula>100%</formula>
    </cfRule>
  </conditionalFormatting>
  <conditionalFormatting sqref="L10:L18">
    <cfRule type="cellIs" dxfId="3453" priority="10" operator="greaterThan">
      <formula>65</formula>
    </cfRule>
    <cfRule type="cellIs" dxfId="3452" priority="9" operator="between">
      <formula>61</formula>
      <formula>65</formula>
    </cfRule>
  </conditionalFormatting>
  <conditionalFormatting sqref="L22">
    <cfRule type="cellIs" dxfId="3451" priority="17" operator="greaterThan">
      <formula>65</formula>
    </cfRule>
    <cfRule type="cellIs" dxfId="3450" priority="16" operator="between">
      <formula>61</formula>
      <formula>65</formula>
    </cfRule>
  </conditionalFormatting>
  <conditionalFormatting sqref="L19:M21">
    <cfRule type="cellIs" dxfId="3449" priority="14" operator="between">
      <formula>61</formula>
      <formula>65</formula>
    </cfRule>
    <cfRule type="cellIs" dxfId="3448" priority="13" operator="greaterThan">
      <formula>65</formula>
    </cfRule>
  </conditionalFormatting>
  <conditionalFormatting sqref="L25:M36">
    <cfRule type="cellIs" dxfId="3447" priority="19" operator="lessThan">
      <formula>97.95</formula>
    </cfRule>
  </conditionalFormatting>
  <conditionalFormatting sqref="L40:N40">
    <cfRule type="cellIs" dxfId="3446" priority="20" operator="notEqual">
      <formula>#REF!</formula>
    </cfRule>
  </conditionalFormatting>
  <conditionalFormatting sqref="L74:N74">
    <cfRule type="cellIs" dxfId="3445" priority="132" stopIfTrue="1" operator="lessThan">
      <formula>100%</formula>
    </cfRule>
  </conditionalFormatting>
  <conditionalFormatting sqref="L76:N84">
    <cfRule type="cellIs" dxfId="3444" priority="159" stopIfTrue="1" operator="lessThan">
      <formula>100%</formula>
    </cfRule>
  </conditionalFormatting>
  <conditionalFormatting sqref="M10:M18">
    <cfRule type="expression" dxfId="3443" priority="2">
      <formula>IF(+(IF(M10&lt;U10,0,IF(M10&gt;V10,0,1)))=0,1)</formula>
    </cfRule>
  </conditionalFormatting>
  <conditionalFormatting sqref="M19:M21 G19:H22">
    <cfRule type="expression" dxfId="3442" priority="15">
      <formula>IF(+(IF(G19&lt;#REF!,0,IF(G19&gt;#REF!,0,1)))=0,1)</formula>
    </cfRule>
  </conditionalFormatting>
  <conditionalFormatting sqref="M22:N22">
    <cfRule type="expression" dxfId="3441" priority="189">
      <formula>IF(+(IF(M22&lt;#REF!,0,IF(M22&gt;#REF!,0,1)))=0,1)</formula>
    </cfRule>
  </conditionalFormatting>
  <conditionalFormatting sqref="N10:N21">
    <cfRule type="expression" dxfId="3440" priority="4">
      <formula>IF(+(IF(N10&lt;W10,0,IF(N10&gt;X10,0,1)))=0,1)</formula>
    </cfRule>
  </conditionalFormatting>
  <conditionalFormatting sqref="P6">
    <cfRule type="cellIs" dxfId="3439" priority="155" operator="greaterThanOrEqual">
      <formula>19</formula>
    </cfRule>
  </conditionalFormatting>
  <dataValidations count="1">
    <dataValidation type="list" allowBlank="1" showInputMessage="1" showErrorMessage="1" sqref="R8" xr:uid="{FA418A6E-B415-4D95-BFEC-57F2CEA65BE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3460-CC4A-468F-89B6-D851107B5E5A}">
  <sheetPr codeName="Sheet5">
    <pageSetUpPr fitToPage="1"/>
  </sheetPr>
  <dimension ref="A1:BE74"/>
  <sheetViews>
    <sheetView tabSelected="1" topLeftCell="C1" zoomScale="90" zoomScaleNormal="90" workbookViewId="0">
      <selection activeCell="B17" sqref="B17:O17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46030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167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36" t="s">
        <v>15</v>
      </c>
      <c r="C10" s="366" t="str">
        <f>[7]Brewhouse!$A4</f>
        <v>MK001</v>
      </c>
      <c r="D10" s="279">
        <f>[7]Brewhouse!$AF4</f>
        <v>53.2</v>
      </c>
      <c r="E10" s="279">
        <f>[7]Brewhouse!$AI4</f>
        <v>51</v>
      </c>
      <c r="F10" s="278">
        <f>[7]Brewhouse!$X4</f>
        <v>59</v>
      </c>
      <c r="G10" s="279">
        <f>[7]Brewhouse!$AG4</f>
        <v>13.3</v>
      </c>
      <c r="H10" s="396">
        <v>13.3</v>
      </c>
      <c r="I10" s="479">
        <f>[7]Brewhouse!$AT4</f>
        <v>95.757584041187528</v>
      </c>
      <c r="J10" s="479">
        <f>[7]Brewhouse!$AU4</f>
        <v>96.414075814551566</v>
      </c>
      <c r="K10" s="488">
        <f>[7]Brewhouse!$S4</f>
        <v>5.5657142857142814</v>
      </c>
      <c r="L10" s="276">
        <f>[7]Brewhouse!$R4</f>
        <v>75</v>
      </c>
      <c r="M10" s="374">
        <f>[7]Brewhouse!$W4-[7]Brewhouse!$V4</f>
        <v>0.13541666666666666</v>
      </c>
      <c r="N10" s="370">
        <f>[7]Brewhouse!$AA4</f>
        <v>0.29166666666666663</v>
      </c>
      <c r="O10" s="420" t="str">
        <f>[7]Brewhouse!$AX4</f>
        <v>K.Benjamin</v>
      </c>
      <c r="P10" s="418"/>
      <c r="R10" s="277" t="str">
        <f t="shared" ref="R10:R36" si="0">B10</f>
        <v>MACKESON</v>
      </c>
      <c r="S10" s="474">
        <f t="shared" ref="S10:S36" si="1">VLOOKUP($B10,$R$3:$X$9,2,FALSE)</f>
        <v>13.3</v>
      </c>
      <c r="T10" s="474">
        <f t="shared" ref="T10:T36" si="2">VLOOKUP($B10,$R$3:$X$9,3,FALSE)</f>
        <v>13.5</v>
      </c>
      <c r="U10" s="297">
        <f t="shared" ref="U10:U36" si="3">VLOOKUP($B10,$R$3:$X$9,4,FALSE)</f>
        <v>0</v>
      </c>
      <c r="V10" s="297">
        <f t="shared" ref="V10:V36" si="4">VLOOKUP($B10,$R$3:$X$9,5,FALSE)</f>
        <v>0.12905092592592593</v>
      </c>
      <c r="W10" s="297">
        <f t="shared" ref="W10:W36" si="5">VLOOKUP($B10,$R$3:$X$9,6,FALSE)</f>
        <v>0.27430555555555552</v>
      </c>
      <c r="X10" s="297">
        <f t="shared" ref="X10:X36" si="6">VLOOKUP($B10,$R$3:$X$9,7,FALSE)</f>
        <v>0.30208333333333331</v>
      </c>
      <c r="Y10" s="297">
        <f t="shared" ref="Y10:Y36" si="7">VLOOKUP($B10,$R$3:$Z$9,8,FALSE)</f>
        <v>0</v>
      </c>
      <c r="Z10" s="474">
        <f t="shared" ref="Z10:Z36" si="8">VLOOKUP($B10,$R$3:$Z$9,9,FALSE)</f>
        <v>0</v>
      </c>
    </row>
    <row r="11" spans="2:29" ht="16.5" customHeight="1">
      <c r="B11" s="36" t="s">
        <v>15</v>
      </c>
      <c r="C11" s="366" t="str">
        <f>[7]Brewhouse!$A5</f>
        <v>MK002</v>
      </c>
      <c r="D11" s="279">
        <f>[7]Brewhouse!$AF5</f>
        <v>53.5</v>
      </c>
      <c r="E11" s="279">
        <f>[7]Brewhouse!$AI5</f>
        <v>51</v>
      </c>
      <c r="F11" s="278">
        <f>[7]Brewhouse!$X5</f>
        <v>60</v>
      </c>
      <c r="G11" s="279">
        <f>[7]Brewhouse!$AG5</f>
        <v>13</v>
      </c>
      <c r="H11" s="396">
        <v>13</v>
      </c>
      <c r="I11" s="479">
        <f>[7]Brewhouse!$AT5</f>
        <v>95.858102632741591</v>
      </c>
      <c r="J11" s="479">
        <f>[7]Brewhouse!$AU5</f>
        <v>96.515152212006797</v>
      </c>
      <c r="K11" s="392"/>
      <c r="L11" s="276">
        <f>[7]Brewhouse!$R5</f>
        <v>75</v>
      </c>
      <c r="M11" s="374">
        <f>[7]Brewhouse!$W5-[7]Brewhouse!$V5</f>
        <v>0.15277777777777773</v>
      </c>
      <c r="N11" s="370">
        <f>[7]Brewhouse!$AA5</f>
        <v>0.31041666666666667</v>
      </c>
      <c r="O11" s="420" t="str">
        <f>[7]Brewhouse!$AX5</f>
        <v>R.Regis</v>
      </c>
      <c r="P11" s="418"/>
      <c r="R11" s="277" t="str">
        <f t="shared" si="0"/>
        <v>MACKESON</v>
      </c>
      <c r="S11" s="474">
        <f t="shared" si="1"/>
        <v>13.3</v>
      </c>
      <c r="T11" s="474">
        <f t="shared" si="2"/>
        <v>13.5</v>
      </c>
      <c r="U11" s="297">
        <f t="shared" si="3"/>
        <v>0</v>
      </c>
      <c r="V11" s="297">
        <f t="shared" si="4"/>
        <v>0.12905092592592593</v>
      </c>
      <c r="W11" s="297">
        <f t="shared" si="5"/>
        <v>0.27430555555555552</v>
      </c>
      <c r="X11" s="297">
        <f t="shared" si="6"/>
        <v>0.30208333333333331</v>
      </c>
      <c r="Y11" s="297">
        <f t="shared" si="7"/>
        <v>0</v>
      </c>
      <c r="Z11" s="474">
        <f t="shared" si="8"/>
        <v>0</v>
      </c>
    </row>
    <row r="12" spans="2:29" ht="16.5" customHeight="1">
      <c r="B12" s="36" t="s">
        <v>15</v>
      </c>
      <c r="C12" s="366" t="str">
        <f>[7]Brewhouse!$A6</f>
        <v>MK003</v>
      </c>
      <c r="D12" s="279">
        <f>[7]Brewhouse!$AF6</f>
        <v>53.1</v>
      </c>
      <c r="E12" s="279">
        <f>[7]Brewhouse!$AI6</f>
        <v>50.4</v>
      </c>
      <c r="F12" s="278">
        <f>[7]Brewhouse!$X6</f>
        <v>59</v>
      </c>
      <c r="G12" s="279">
        <f>[7]Brewhouse!$AG6</f>
        <v>12.8</v>
      </c>
      <c r="H12" s="396">
        <v>12.8</v>
      </c>
      <c r="I12" s="479">
        <f>[7]Brewhouse!$AT6</f>
        <v>91.101781537342561</v>
      </c>
      <c r="J12" s="479">
        <f>[7]Brewhouse!$AU6</f>
        <v>91.726104327177225</v>
      </c>
      <c r="K12" s="488">
        <f>[7]Brewhouse!$S6</f>
        <v>0.40905660377358338</v>
      </c>
      <c r="L12" s="276">
        <f>[7]Brewhouse!$R6</f>
        <v>77</v>
      </c>
      <c r="M12" s="374">
        <f>[7]Brewhouse!$W6-[7]Brewhouse!$V6</f>
        <v>0.12361111111111106</v>
      </c>
      <c r="N12" s="370">
        <f>[7]Brewhouse!$AA6</f>
        <v>0.29861111111111105</v>
      </c>
      <c r="O12" s="420" t="str">
        <f>[7]Brewhouse!$AX6</f>
        <v>R.Regis</v>
      </c>
      <c r="P12" s="418"/>
      <c r="R12" s="277" t="str">
        <f t="shared" si="0"/>
        <v>MACKESON</v>
      </c>
      <c r="S12" s="474">
        <f t="shared" si="1"/>
        <v>13.3</v>
      </c>
      <c r="T12" s="474">
        <f t="shared" si="2"/>
        <v>13.5</v>
      </c>
      <c r="U12" s="297">
        <f t="shared" si="3"/>
        <v>0</v>
      </c>
      <c r="V12" s="297">
        <f t="shared" si="4"/>
        <v>0.12905092592592593</v>
      </c>
      <c r="W12" s="297">
        <f t="shared" si="5"/>
        <v>0.27430555555555552</v>
      </c>
      <c r="X12" s="297">
        <f t="shared" si="6"/>
        <v>0.30208333333333331</v>
      </c>
      <c r="Y12" s="297">
        <f t="shared" si="7"/>
        <v>0</v>
      </c>
      <c r="Z12" s="474">
        <f t="shared" si="8"/>
        <v>0</v>
      </c>
    </row>
    <row r="13" spans="2:29" ht="16.5" customHeight="1">
      <c r="B13" s="36" t="s">
        <v>15</v>
      </c>
      <c r="C13" s="366" t="str">
        <f>[7]Brewhouse!$A7</f>
        <v>MK004</v>
      </c>
      <c r="D13" s="279">
        <f>[7]Brewhouse!$AF7</f>
        <v>51.2</v>
      </c>
      <c r="E13" s="279">
        <f>[7]Brewhouse!$AI7</f>
        <v>50.4</v>
      </c>
      <c r="F13" s="278">
        <f>[7]Brewhouse!$X7</f>
        <v>60</v>
      </c>
      <c r="G13" s="279">
        <f>[7]Brewhouse!$AG7</f>
        <v>13.5</v>
      </c>
      <c r="H13" s="396">
        <v>13.4</v>
      </c>
      <c r="I13" s="479">
        <f>[7]Brewhouse!$AT7</f>
        <v>96.220044255599106</v>
      </c>
      <c r="J13" s="479">
        <f>[7]Brewhouse!$AU7</f>
        <v>96.87957472677104</v>
      </c>
      <c r="K13" s="488">
        <f>[7]Brewhouse!$S7</f>
        <v>1.6015686274509815</v>
      </c>
      <c r="L13" s="276">
        <f>[7]Brewhouse!$R7</f>
        <v>72</v>
      </c>
      <c r="M13" s="374">
        <f>[7]Brewhouse!$W7-[7]Brewhouse!$V7</f>
        <v>0.12291666666666667</v>
      </c>
      <c r="N13" s="370">
        <f>[7]Brewhouse!$AA7</f>
        <v>0.27986111111111106</v>
      </c>
      <c r="O13" s="420" t="str">
        <f>[7]Brewhouse!$AX7</f>
        <v>R.Sookram</v>
      </c>
      <c r="P13" s="418"/>
      <c r="R13" s="277" t="str">
        <f t="shared" si="0"/>
        <v>MACKESON</v>
      </c>
      <c r="S13" s="474">
        <f t="shared" si="1"/>
        <v>13.3</v>
      </c>
      <c r="T13" s="474">
        <f t="shared" si="2"/>
        <v>13.5</v>
      </c>
      <c r="U13" s="297">
        <f t="shared" si="3"/>
        <v>0</v>
      </c>
      <c r="V13" s="297">
        <f t="shared" si="4"/>
        <v>0.12905092592592593</v>
      </c>
      <c r="W13" s="297">
        <f t="shared" si="5"/>
        <v>0.27430555555555552</v>
      </c>
      <c r="X13" s="297">
        <f t="shared" si="6"/>
        <v>0.30208333333333331</v>
      </c>
      <c r="Y13" s="297">
        <f t="shared" si="7"/>
        <v>0</v>
      </c>
      <c r="Z13" s="474">
        <f t="shared" si="8"/>
        <v>0</v>
      </c>
    </row>
    <row r="14" spans="2:29" ht="16.5" customHeight="1">
      <c r="B14" s="36" t="s">
        <v>15</v>
      </c>
      <c r="C14" s="366" t="str">
        <f>[7]Brewhouse!$A8</f>
        <v>MK005</v>
      </c>
      <c r="D14" s="279">
        <f>[7]Brewhouse!$AF8</f>
        <v>53.8</v>
      </c>
      <c r="E14" s="279">
        <f>[7]Brewhouse!$AI8</f>
        <v>48.5</v>
      </c>
      <c r="F14" s="278">
        <f>[7]Brewhouse!$X8</f>
        <v>57</v>
      </c>
      <c r="G14" s="279">
        <f>[7]Brewhouse!$AG8</f>
        <v>13.3</v>
      </c>
      <c r="H14" s="396">
        <v>13.3</v>
      </c>
      <c r="I14" s="479">
        <f>[7]Brewhouse!$AT8</f>
        <v>91.159176033097395</v>
      </c>
      <c r="J14" s="479">
        <f>[7]Brewhouse!$AU8</f>
        <v>91.784017299653513</v>
      </c>
      <c r="K14" s="488">
        <f>[7]Brewhouse!$S8</f>
        <v>-0.91169811320754057</v>
      </c>
      <c r="L14" s="276">
        <f>[7]Brewhouse!$R8</f>
        <v>74</v>
      </c>
      <c r="M14" s="374">
        <f>[7]Brewhouse!$W8-[7]Brewhouse!$V8</f>
        <v>0.13541666666666663</v>
      </c>
      <c r="N14" s="370">
        <f>[7]Brewhouse!$AA8</f>
        <v>0.30763888888888891</v>
      </c>
      <c r="O14" s="420" t="str">
        <f>[7]Brewhouse!$AX8</f>
        <v>R.Sookram</v>
      </c>
      <c r="P14" s="418"/>
      <c r="R14" s="277" t="str">
        <f t="shared" si="0"/>
        <v>MACKESON</v>
      </c>
      <c r="S14" s="474">
        <f t="shared" si="1"/>
        <v>13.3</v>
      </c>
      <c r="T14" s="474">
        <f t="shared" si="2"/>
        <v>13.5</v>
      </c>
      <c r="U14" s="297">
        <f t="shared" si="3"/>
        <v>0</v>
      </c>
      <c r="V14" s="297">
        <f t="shared" si="4"/>
        <v>0.12905092592592593</v>
      </c>
      <c r="W14" s="297">
        <f t="shared" si="5"/>
        <v>0.27430555555555552</v>
      </c>
      <c r="X14" s="297">
        <f t="shared" si="6"/>
        <v>0.30208333333333331</v>
      </c>
      <c r="Y14" s="297">
        <f t="shared" si="7"/>
        <v>0</v>
      </c>
      <c r="Z14" s="474">
        <f t="shared" si="8"/>
        <v>0</v>
      </c>
    </row>
    <row r="15" spans="2:29" ht="16.5" customHeight="1">
      <c r="B15" s="36" t="s">
        <v>15</v>
      </c>
      <c r="C15" s="366" t="str">
        <f>[7]Brewhouse!$A9</f>
        <v>MK006</v>
      </c>
      <c r="D15" s="367"/>
      <c r="E15" s="279">
        <f>[7]Brewhouse!$AI9</f>
        <v>48.7</v>
      </c>
      <c r="F15" s="278">
        <f>[7]Brewhouse!$X9</f>
        <v>52</v>
      </c>
      <c r="G15" s="279">
        <f>[7]Brewhouse!$AG9</f>
        <v>12.6</v>
      </c>
      <c r="H15" s="396">
        <v>12.6</v>
      </c>
      <c r="I15" s="479">
        <f>[7]Brewhouse!$AT9</f>
        <v>86.497061610388243</v>
      </c>
      <c r="J15" s="479">
        <f>[7]Brewhouse!$AU9</f>
        <v>87.089946889544279</v>
      </c>
      <c r="K15" s="488">
        <f>[7]Brewhouse!$S9</f>
        <v>1.3784615384615369</v>
      </c>
      <c r="L15" s="276">
        <f>[7]Brewhouse!$R9</f>
        <v>72</v>
      </c>
      <c r="M15" s="374">
        <f>[7]Brewhouse!$W9-[7]Brewhouse!$V9</f>
        <v>0.14722222222222225</v>
      </c>
      <c r="N15" s="370">
        <f>[7]Brewhouse!$AA9</f>
        <v>0.33819444444444446</v>
      </c>
      <c r="O15" s="420" t="str">
        <f>[7]Brewhouse!$AX9</f>
        <v>R.Sookram</v>
      </c>
      <c r="P15" s="418" t="s">
        <v>174</v>
      </c>
      <c r="R15" s="277" t="str">
        <f t="shared" si="0"/>
        <v>MACKESON</v>
      </c>
      <c r="S15" s="474">
        <f t="shared" si="1"/>
        <v>13.3</v>
      </c>
      <c r="T15" s="474">
        <f t="shared" si="2"/>
        <v>13.5</v>
      </c>
      <c r="U15" s="297">
        <f t="shared" si="3"/>
        <v>0</v>
      </c>
      <c r="V15" s="297">
        <f t="shared" si="4"/>
        <v>0.12905092592592593</v>
      </c>
      <c r="W15" s="297">
        <f t="shared" si="5"/>
        <v>0.27430555555555552</v>
      </c>
      <c r="X15" s="297">
        <f t="shared" si="6"/>
        <v>0.30208333333333331</v>
      </c>
      <c r="Y15" s="297">
        <f t="shared" si="7"/>
        <v>0</v>
      </c>
      <c r="Z15" s="474">
        <f t="shared" si="8"/>
        <v>0</v>
      </c>
    </row>
    <row r="16" spans="2:29" ht="16.5" customHeight="1">
      <c r="B16" s="36" t="s">
        <v>15</v>
      </c>
      <c r="C16" s="366" t="str">
        <f>[7]Brewhouse!$A10</f>
        <v>MK007</v>
      </c>
      <c r="D16" s="279">
        <f>[7]Brewhouse!$AF10</f>
        <v>51.9</v>
      </c>
      <c r="E16" s="279">
        <f>[7]Brewhouse!$AI10</f>
        <v>48.6</v>
      </c>
      <c r="F16" s="278">
        <f>[7]Brewhouse!$X10</f>
        <v>53</v>
      </c>
      <c r="G16" s="279">
        <f>[7]Brewhouse!$AG10</f>
        <v>13.2</v>
      </c>
      <c r="H16" s="396">
        <v>13.2</v>
      </c>
      <c r="I16" s="479">
        <f>[7]Brewhouse!$AT10</f>
        <v>90.533857449292626</v>
      </c>
      <c r="J16" s="479">
        <f>[7]Brewhouse!$AU10</f>
        <v>91.154536565432494</v>
      </c>
      <c r="K16" s="488">
        <f>[7]Brewhouse!$S10</f>
        <v>7.8871428571428606</v>
      </c>
      <c r="L16" s="276">
        <f>[7]Brewhouse!$R10</f>
        <v>75</v>
      </c>
      <c r="M16" s="374">
        <f>[7]Brewhouse!$W10-[7]Brewhouse!$V10</f>
        <v>0.26597222222222228</v>
      </c>
      <c r="N16" s="370">
        <f>[7]Brewhouse!$AA10</f>
        <v>0.47777777777777775</v>
      </c>
      <c r="O16" s="420" t="str">
        <f>[7]Brewhouse!$AX10</f>
        <v>K.Benjamin</v>
      </c>
      <c r="P16" s="418" t="s">
        <v>173</v>
      </c>
      <c r="R16" s="277" t="str">
        <f t="shared" si="0"/>
        <v>MACKESON</v>
      </c>
      <c r="S16" s="474">
        <f t="shared" si="1"/>
        <v>13.3</v>
      </c>
      <c r="T16" s="474">
        <f t="shared" si="2"/>
        <v>13.5</v>
      </c>
      <c r="U16" s="297">
        <f t="shared" si="3"/>
        <v>0</v>
      </c>
      <c r="V16" s="297">
        <f t="shared" si="4"/>
        <v>0.12905092592592593</v>
      </c>
      <c r="W16" s="297">
        <f t="shared" si="5"/>
        <v>0.27430555555555552</v>
      </c>
      <c r="X16" s="297">
        <f t="shared" si="6"/>
        <v>0.30208333333333331</v>
      </c>
      <c r="Y16" s="297">
        <f t="shared" si="7"/>
        <v>0</v>
      </c>
      <c r="Z16" s="474">
        <f t="shared" si="8"/>
        <v>0</v>
      </c>
    </row>
    <row r="17" spans="1:27" ht="16.5" customHeight="1">
      <c r="B17" s="36" t="s">
        <v>15</v>
      </c>
      <c r="C17" s="366" t="str">
        <f>[7]Brewhouse!$A11</f>
        <v>MK008</v>
      </c>
      <c r="D17" s="279">
        <f>[7]Brewhouse!$AF11</f>
        <v>53.7</v>
      </c>
      <c r="E17" s="279">
        <f>[7]Brewhouse!$AI11</f>
        <v>50.8</v>
      </c>
      <c r="F17" s="278">
        <f>[7]Brewhouse!$X11</f>
        <v>78</v>
      </c>
      <c r="G17" s="279">
        <f>[7]Brewhouse!$AG11</f>
        <v>13</v>
      </c>
      <c r="H17" s="396">
        <v>13</v>
      </c>
      <c r="I17" s="479">
        <f>[7]Brewhouse!$AT11</f>
        <v>95.482188504770065</v>
      </c>
      <c r="J17" s="479">
        <f>[7]Brewhouse!$AU11</f>
        <v>96.136661419018537</v>
      </c>
      <c r="K17" s="488">
        <f>[7]Brewhouse!$S11</f>
        <v>7.9599999999999964</v>
      </c>
      <c r="L17" s="276">
        <f>[7]Brewhouse!$R11</f>
        <v>75</v>
      </c>
      <c r="M17" s="374">
        <f>[7]Brewhouse!$W11-[7]Brewhouse!$V11</f>
        <v>0.27638888888888902</v>
      </c>
      <c r="N17" s="370">
        <f>[7]Brewhouse!$AA11</f>
        <v>0.64861111111111114</v>
      </c>
      <c r="O17" s="420" t="str">
        <f>[7]Brewhouse!$AX11</f>
        <v>K.Benjamin</v>
      </c>
      <c r="P17" s="418" t="s">
        <v>175</v>
      </c>
      <c r="R17" s="277" t="str">
        <f t="shared" si="0"/>
        <v>MACKESON</v>
      </c>
      <c r="S17" s="474">
        <f t="shared" si="1"/>
        <v>13.3</v>
      </c>
      <c r="T17" s="474">
        <f t="shared" si="2"/>
        <v>13.5</v>
      </c>
      <c r="U17" s="297">
        <f t="shared" si="3"/>
        <v>0</v>
      </c>
      <c r="V17" s="297">
        <f t="shared" si="4"/>
        <v>0.12905092592592593</v>
      </c>
      <c r="W17" s="297">
        <f t="shared" si="5"/>
        <v>0.27430555555555552</v>
      </c>
      <c r="X17" s="297">
        <f t="shared" si="6"/>
        <v>0.30208333333333331</v>
      </c>
      <c r="Y17" s="297">
        <f t="shared" si="7"/>
        <v>0</v>
      </c>
      <c r="Z17" s="474">
        <f t="shared" si="8"/>
        <v>0</v>
      </c>
    </row>
    <row r="18" spans="1:27" ht="16.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6.5" hidden="1" customHeight="1">
      <c r="B19" s="33"/>
      <c r="C19" s="366"/>
      <c r="D19" s="279"/>
      <c r="E19" s="279"/>
      <c r="F19" s="278"/>
      <c r="G19" s="279"/>
      <c r="H19" s="396"/>
      <c r="I19" s="479"/>
      <c r="J19" s="479"/>
      <c r="K19" s="281"/>
      <c r="L19" s="276"/>
      <c r="M19" s="374"/>
      <c r="N19" s="370"/>
      <c r="O19" s="420"/>
      <c r="P19" s="418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hidden="1" customHeight="1">
      <c r="B20" s="33"/>
      <c r="C20" s="366"/>
      <c r="D20" s="279"/>
      <c r="E20" s="279"/>
      <c r="F20" s="278"/>
      <c r="G20" s="279"/>
      <c r="H20" s="396"/>
      <c r="I20" s="479"/>
      <c r="J20" s="479"/>
      <c r="K20" s="281"/>
      <c r="L20" s="276"/>
      <c r="M20" s="374"/>
      <c r="N20" s="370"/>
      <c r="O20" s="420"/>
      <c r="P20" s="418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6.5" hidden="1" customHeight="1">
      <c r="B21" s="33"/>
      <c r="C21" s="366"/>
      <c r="D21" s="279"/>
      <c r="E21" s="279"/>
      <c r="F21" s="278"/>
      <c r="G21" s="279"/>
      <c r="H21" s="396"/>
      <c r="I21" s="479"/>
      <c r="J21" s="479"/>
      <c r="K21" s="281"/>
      <c r="L21" s="276"/>
      <c r="M21" s="374"/>
      <c r="N21" s="370"/>
      <c r="O21" s="420"/>
      <c r="P21" s="418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40"/>
      <c r="J23" s="540"/>
      <c r="K23" s="540"/>
      <c r="L23" s="540"/>
      <c r="M23" s="540"/>
      <c r="N23" s="540"/>
      <c r="O23" s="1"/>
      <c r="P23" s="12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5.75" customHeight="1" thickBot="1">
      <c r="B24" s="388" t="s">
        <v>162</v>
      </c>
      <c r="C24" s="388"/>
      <c r="D24" s="541" t="s">
        <v>35</v>
      </c>
      <c r="E24" s="542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5" customHeight="1">
      <c r="A25" s="28"/>
      <c r="B25" s="595"/>
      <c r="C25" s="362"/>
      <c r="D25" s="546"/>
      <c r="E25" s="547"/>
      <c r="F25" s="294"/>
      <c r="G25" s="294"/>
      <c r="H25" s="348"/>
      <c r="I25" s="29" t="s">
        <v>6</v>
      </c>
      <c r="J25" s="280"/>
      <c r="K25" s="284">
        <f>COUNTA([4]Brewhouse!$A$42:$A$45)</f>
        <v>4</v>
      </c>
      <c r="L25" s="305">
        <f>AVERAGE([4]Brewhouse!$AU$42:$AU$45)</f>
        <v>99.340320690298086</v>
      </c>
      <c r="M25" s="305">
        <f>AVERAGE([4]Brewhouse!$AU$42:$AU$45)</f>
        <v>99.340320690298086</v>
      </c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5" customHeight="1">
      <c r="A26" s="28"/>
      <c r="B26" s="596"/>
      <c r="C26" s="362"/>
      <c r="D26" s="548"/>
      <c r="E26" s="532"/>
      <c r="F26" s="294"/>
      <c r="G26" s="294"/>
      <c r="H26" s="348"/>
      <c r="I26" s="33" t="s">
        <v>9</v>
      </c>
      <c r="J26" s="280"/>
      <c r="K26" s="284">
        <f>COUNTA([5]Brewhouse!$A$52)</f>
        <v>1</v>
      </c>
      <c r="L26" s="302">
        <f>[5]Brewhouse!$AS$52</f>
        <v>104.87426366689108</v>
      </c>
      <c r="M26" s="302">
        <f>[5]Brewhouse!$AS$52</f>
        <v>104.87426366689108</v>
      </c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4.65" customHeight="1">
      <c r="A27" s="28"/>
      <c r="B27" s="596"/>
      <c r="C27" s="362"/>
      <c r="D27" s="536"/>
      <c r="E27" s="537"/>
      <c r="F27" s="294"/>
      <c r="G27" s="294"/>
      <c r="H27" s="348"/>
      <c r="I27" s="34" t="s">
        <v>12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4.65" customHeight="1">
      <c r="A28" s="28"/>
      <c r="B28" s="596"/>
      <c r="C28" s="362"/>
      <c r="D28" s="531"/>
      <c r="E28" s="532"/>
      <c r="F28" s="294"/>
      <c r="G28" s="294"/>
      <c r="H28" s="348"/>
      <c r="I28" s="22" t="s">
        <v>33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7" ht="14.65" customHeight="1">
      <c r="A29" s="28"/>
      <c r="B29" s="596"/>
      <c r="C29" s="362"/>
      <c r="D29" s="536"/>
      <c r="E29" s="53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7" ht="14.65" customHeight="1">
      <c r="A30" s="28"/>
      <c r="B30" s="596"/>
      <c r="C30" s="362"/>
      <c r="D30" s="531"/>
      <c r="E30" s="532"/>
      <c r="F30" s="417"/>
      <c r="G30" s="294"/>
      <c r="H30" s="348"/>
      <c r="I30" s="36" t="s">
        <v>15</v>
      </c>
      <c r="J30" s="323">
        <f>AVERAGE(I10:I17)</f>
        <v>92.826224508052405</v>
      </c>
      <c r="K30" s="284">
        <f>COUNTA([7]Brewhouse!$A$4:$A$11)</f>
        <v>8</v>
      </c>
      <c r="L30" s="302">
        <f>AVERAGE([7]Brewhouse!$AT$4:$AT$11)</f>
        <v>92.826224508052405</v>
      </c>
      <c r="M30" s="302">
        <f>AVERAGE([7]Brewhouse!$AT$4:$AT$11)</f>
        <v>92.826224508052405</v>
      </c>
      <c r="N30" s="30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4.65" customHeight="1">
      <c r="A31" s="28"/>
      <c r="B31" s="596"/>
      <c r="C31" s="362"/>
      <c r="D31" s="536"/>
      <c r="E31" s="537"/>
      <c r="F31" s="417"/>
      <c r="G31" s="294"/>
      <c r="H31" s="348"/>
      <c r="I31" s="37" t="s">
        <v>16</v>
      </c>
      <c r="J31" s="323"/>
      <c r="K31" s="284">
        <f>COUNTA([8]Brewhouse!$A$5:$A$7)</f>
        <v>3</v>
      </c>
      <c r="L31" s="302">
        <f>AVERAGE([8]Brewhouse!$AY$5:$AY$7)</f>
        <v>98.128633252159673</v>
      </c>
      <c r="M31" s="302">
        <f>AVERAGE([8]Brewhouse!$AY$5:$AY$7)</f>
        <v>98.128633252159673</v>
      </c>
      <c r="N31" s="30">
        <v>98</v>
      </c>
      <c r="O31" s="11"/>
      <c r="P31" s="31" t="s">
        <v>41</v>
      </c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4.65" customHeight="1">
      <c r="A32" s="28"/>
      <c r="B32" s="596"/>
      <c r="C32" s="362"/>
      <c r="D32" s="531"/>
      <c r="E32" s="532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4.65" customHeight="1">
      <c r="A33" s="28"/>
      <c r="B33" s="596"/>
      <c r="C33" s="349"/>
      <c r="D33" s="536"/>
      <c r="E33" s="537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5" customHeight="1" thickBot="1">
      <c r="A34" s="28"/>
      <c r="B34" s="596"/>
      <c r="C34" s="349"/>
      <c r="D34" s="531"/>
      <c r="E34" s="532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5" customHeight="1" thickBot="1">
      <c r="A35" s="28"/>
      <c r="B35" s="596"/>
      <c r="C35" s="349"/>
      <c r="D35" s="546"/>
      <c r="E35" s="547"/>
      <c r="F35" s="294"/>
      <c r="G35" s="294"/>
      <c r="H35" s="348"/>
      <c r="I35" s="1"/>
      <c r="J35" s="39"/>
      <c r="K35" s="404">
        <f>SUM(K25:K34)</f>
        <v>16</v>
      </c>
      <c r="L35" s="405">
        <f>((L25*K25)+(L26*K26)+(L27*K27)+(L28*K28)+(L29*K29)+(K32*L32)+(L30*K30)+(L31*K31)+(L34*K34))/(K35)</f>
        <v>96.201952640561359</v>
      </c>
      <c r="M35" s="405">
        <f>L35</f>
        <v>96.201952640561359</v>
      </c>
      <c r="N35" s="40">
        <v>98</v>
      </c>
      <c r="O35" s="11"/>
      <c r="P35" s="31"/>
      <c r="R35" s="277">
        <f t="shared" si="0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5.75" thickBot="1">
      <c r="B36" s="597"/>
      <c r="C36" s="350"/>
      <c r="D36" s="548"/>
      <c r="E36" s="532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56" ht="15.75" thickBot="1">
      <c r="B37" s="526"/>
      <c r="C37" s="362"/>
      <c r="D37" s="529"/>
      <c r="E37" s="530"/>
      <c r="F37" s="294"/>
      <c r="G37" s="42"/>
      <c r="H37" s="41"/>
      <c r="I37" s="42"/>
      <c r="J37" s="533" t="s">
        <v>129</v>
      </c>
      <c r="K37" s="533"/>
      <c r="L37" s="294"/>
      <c r="M37" s="294"/>
      <c r="N37" s="294"/>
      <c r="O37" s="294"/>
      <c r="P37" s="12"/>
    </row>
    <row r="38" spans="1:56" ht="15.75" thickBot="1">
      <c r="B38" s="527"/>
      <c r="C38" s="362"/>
      <c r="D38" s="531"/>
      <c r="E38" s="532"/>
      <c r="F38" s="294"/>
      <c r="G38" s="42"/>
      <c r="H38" s="42"/>
      <c r="I38" s="42"/>
      <c r="J38" s="292" t="s">
        <v>17</v>
      </c>
      <c r="K38" s="293" t="s">
        <v>147</v>
      </c>
      <c r="L38" s="534" t="s">
        <v>136</v>
      </c>
      <c r="M38" s="534"/>
      <c r="N38" s="535"/>
      <c r="O38" s="294"/>
      <c r="P38" s="12"/>
    </row>
    <row r="39" spans="1:56" ht="15" customHeight="1" thickBot="1">
      <c r="B39" s="527"/>
      <c r="C39" s="349"/>
      <c r="D39" s="536"/>
      <c r="E39" s="537"/>
      <c r="F39" s="294"/>
      <c r="G39" s="42"/>
      <c r="H39" s="42"/>
      <c r="I39" s="42"/>
      <c r="J39" s="287" t="s">
        <v>6</v>
      </c>
      <c r="K39" s="324"/>
      <c r="L39" s="475" t="s">
        <v>37</v>
      </c>
      <c r="M39" s="476" t="s">
        <v>38</v>
      </c>
      <c r="N39" s="476" t="s">
        <v>84</v>
      </c>
      <c r="O39" s="294"/>
      <c r="P39" s="12"/>
    </row>
    <row r="40" spans="1:56" ht="15.75" customHeight="1" thickBot="1">
      <c r="B40" s="527"/>
      <c r="C40" s="349"/>
      <c r="D40" s="531"/>
      <c r="E40" s="532"/>
      <c r="F40" s="294"/>
      <c r="G40" s="42"/>
      <c r="H40" s="42"/>
      <c r="I40" s="42"/>
      <c r="J40" s="345" t="s">
        <v>9</v>
      </c>
      <c r="K40" s="324"/>
      <c r="L40" s="344">
        <f>AVERAGE('Jan 2nd'!K45,'Jan 5th'!K45,'Jan 6th'!K49,'Jan 7th'!K49)</f>
        <v>5.75</v>
      </c>
      <c r="M40" s="325">
        <f>AVERAGE(L40)</f>
        <v>5.75</v>
      </c>
      <c r="N40" s="416">
        <v>9.1999999999999993</v>
      </c>
      <c r="O40" s="294"/>
      <c r="P40" s="12"/>
    </row>
    <row r="41" spans="1:56" ht="15" customHeight="1">
      <c r="B41" s="527"/>
      <c r="C41" s="349"/>
      <c r="D41" s="536"/>
      <c r="E41" s="537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7"/>
      <c r="C42" s="349"/>
      <c r="D42" s="531"/>
      <c r="E42" s="532"/>
      <c r="F42" s="294"/>
      <c r="G42" s="42"/>
      <c r="H42" s="42"/>
      <c r="I42" s="42"/>
      <c r="J42" s="289" t="s">
        <v>33</v>
      </c>
      <c r="K42" s="324"/>
      <c r="L42" s="294"/>
      <c r="M42" s="294"/>
      <c r="N42" s="294"/>
      <c r="O42" s="294"/>
      <c r="P42" s="12"/>
    </row>
    <row r="43" spans="1:56" ht="15">
      <c r="B43" s="527"/>
      <c r="C43" s="349"/>
      <c r="D43" s="536"/>
      <c r="E43" s="537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7"/>
      <c r="C44" s="349"/>
      <c r="D44" s="531"/>
      <c r="E44" s="532"/>
      <c r="F44" s="294"/>
      <c r="G44" s="42"/>
      <c r="H44" s="42"/>
      <c r="I44" s="42"/>
      <c r="J44" s="291" t="s">
        <v>15</v>
      </c>
      <c r="K44" s="324">
        <v>8</v>
      </c>
      <c r="L44" s="294"/>
      <c r="M44" s="294"/>
      <c r="N44" s="294"/>
      <c r="O44" s="294"/>
      <c r="P44" s="12"/>
      <c r="BC44" s="44"/>
      <c r="BD44" s="44"/>
    </row>
    <row r="45" spans="1:56" ht="15">
      <c r="B45" s="527"/>
      <c r="C45" s="349"/>
      <c r="D45" s="536"/>
      <c r="E45" s="537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8"/>
      <c r="C46" s="350"/>
      <c r="D46" s="538"/>
      <c r="E46" s="539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19"/>
      <c r="E47" s="520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J50" s="42"/>
      <c r="L50" s="294"/>
      <c r="N50" s="315"/>
      <c r="P50" s="334"/>
    </row>
    <row r="51" spans="2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2:57" ht="15" customHeight="1" thickBot="1">
      <c r="B52" s="511" t="s">
        <v>17</v>
      </c>
      <c r="C52" s="511" t="s">
        <v>44</v>
      </c>
      <c r="D52" s="522" t="s">
        <v>45</v>
      </c>
      <c r="E52" s="524" t="s">
        <v>46</v>
      </c>
      <c r="F52" s="517" t="s">
        <v>47</v>
      </c>
      <c r="G52" s="509" t="s">
        <v>48</v>
      </c>
      <c r="H52" s="511" t="s">
        <v>49</v>
      </c>
      <c r="I52" s="511" t="s">
        <v>50</v>
      </c>
      <c r="J52" s="503" t="s">
        <v>28</v>
      </c>
      <c r="K52" s="513" t="s">
        <v>51</v>
      </c>
      <c r="L52" s="515" t="s">
        <v>52</v>
      </c>
      <c r="M52" s="503" t="s">
        <v>53</v>
      </c>
      <c r="N52" s="13"/>
      <c r="O52" s="13"/>
      <c r="P52" s="50"/>
    </row>
    <row r="53" spans="2:57" ht="28.5" customHeight="1" thickTop="1" thickBot="1">
      <c r="B53" s="521"/>
      <c r="C53" s="521"/>
      <c r="D53" s="523"/>
      <c r="E53" s="525"/>
      <c r="F53" s="518"/>
      <c r="G53" s="510"/>
      <c r="H53" s="512"/>
      <c r="I53" s="512"/>
      <c r="J53" s="504"/>
      <c r="K53" s="514"/>
      <c r="L53" s="516"/>
      <c r="M53" s="504"/>
      <c r="N53" s="13"/>
      <c r="O53" s="13"/>
      <c r="P53" s="50"/>
      <c r="Q53" s="355"/>
      <c r="AB53" s="477">
        <v>43474</v>
      </c>
      <c r="AC53" s="477">
        <v>43475</v>
      </c>
      <c r="AD53" s="477">
        <v>43476</v>
      </c>
      <c r="AE53" s="477">
        <v>43477</v>
      </c>
      <c r="AF53" s="477">
        <v>43478</v>
      </c>
      <c r="AG53" s="477">
        <v>43479</v>
      </c>
      <c r="AH53" s="477">
        <v>43480</v>
      </c>
      <c r="AI53" s="477">
        <v>43481</v>
      </c>
      <c r="AJ53" s="477">
        <v>43482</v>
      </c>
      <c r="AK53" s="477">
        <v>43483</v>
      </c>
      <c r="AL53" s="477">
        <v>43484</v>
      </c>
      <c r="AM53" s="477">
        <v>43485</v>
      </c>
      <c r="AN53" s="477">
        <v>43486</v>
      </c>
      <c r="AO53" s="477">
        <v>43487</v>
      </c>
      <c r="AP53" s="477">
        <v>43488</v>
      </c>
      <c r="AQ53" s="477">
        <v>43489</v>
      </c>
      <c r="AR53" s="477">
        <v>43490</v>
      </c>
      <c r="AS53" s="477">
        <v>43491</v>
      </c>
      <c r="AT53" s="477">
        <v>43492</v>
      </c>
      <c r="AU53" s="477">
        <v>43493</v>
      </c>
      <c r="AV53" s="477">
        <v>43494</v>
      </c>
      <c r="AW53" s="477">
        <v>43495</v>
      </c>
      <c r="AX53" s="477">
        <v>43496</v>
      </c>
    </row>
    <row r="54" spans="2:57" s="54" customFormat="1" ht="43.15" customHeight="1" thickBot="1">
      <c r="B54" s="456"/>
      <c r="C54" s="441"/>
      <c r="D54" s="442"/>
      <c r="E54" s="443"/>
      <c r="F54" s="444"/>
      <c r="G54" s="444"/>
      <c r="H54" s="458"/>
      <c r="I54" s="458"/>
      <c r="J54" s="448"/>
      <c r="K54" s="449"/>
      <c r="L54" s="478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[9]January_2019!L7</f>
        <v>285.8</v>
      </c>
      <c r="AC54" s="57">
        <f>[9]January_2019!M7</f>
        <v>508.1</v>
      </c>
      <c r="AD54" s="57">
        <f>[9]January_2019!N7</f>
        <v>0</v>
      </c>
      <c r="AE54" s="57">
        <f>[9]January_2019!O7</f>
        <v>0</v>
      </c>
      <c r="AF54" s="57">
        <f>[9]January_2019!P7</f>
        <v>109.56666666666666</v>
      </c>
      <c r="AG54" s="57">
        <f>[9]January_2019!Q7</f>
        <v>297.64999999999998</v>
      </c>
      <c r="AH54" s="57">
        <f>[9]January_2019!R7</f>
        <v>122.3</v>
      </c>
      <c r="AI54" s="57">
        <f>[9]January_2019!S7</f>
        <v>0</v>
      </c>
      <c r="AJ54" s="57">
        <f>[9]January_2019!T7</f>
        <v>294.7</v>
      </c>
      <c r="AK54" s="57">
        <f>[9]January_2019!U7</f>
        <v>280.5</v>
      </c>
      <c r="AL54" s="57">
        <f>[9]January_2019!V7</f>
        <v>0</v>
      </c>
      <c r="AM54" s="57">
        <f>[9]January_2019!W7</f>
        <v>0</v>
      </c>
      <c r="AN54" s="57">
        <f>[9]January_2019!X7</f>
        <v>188.25</v>
      </c>
      <c r="AO54" s="57">
        <f>[9]January_2019!Y7</f>
        <v>295.7</v>
      </c>
      <c r="AP54" s="57">
        <f>[9]January_2019!Z7</f>
        <v>257.8</v>
      </c>
      <c r="AQ54" s="57">
        <f>[9]January_2019!AA7</f>
        <v>291.2</v>
      </c>
      <c r="AR54" s="57">
        <f>[9]January_2019!AB7</f>
        <v>187</v>
      </c>
      <c r="AS54" s="57">
        <f>[9]January_2019!AC7</f>
        <v>0</v>
      </c>
      <c r="AT54" s="57">
        <f>[9]January_2019!AD7</f>
        <v>0</v>
      </c>
      <c r="AU54" s="57">
        <f>[9]January_2019!AE7</f>
        <v>485.1</v>
      </c>
      <c r="AV54" s="57">
        <f>[9]January_2019!AF7</f>
        <v>171.55</v>
      </c>
      <c r="AW54" s="57">
        <f>[9]January_2019!AG7</f>
        <v>423.8</v>
      </c>
      <c r="AX54" s="277">
        <f>[9]January_2019!AH7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9.5" hidden="1" customHeight="1" thickBot="1">
      <c r="B55" s="468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8.450000000000003" hidden="1" customHeight="1" thickBot="1">
      <c r="B56" s="456"/>
      <c r="C56" s="441"/>
      <c r="D56" s="442"/>
      <c r="E56" s="443"/>
      <c r="F56" s="444"/>
      <c r="G56" s="445"/>
      <c r="H56" s="458"/>
      <c r="I56" s="458"/>
      <c r="J56" s="448"/>
      <c r="K56" s="460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37.15" hidden="1" customHeight="1" thickBot="1">
      <c r="B58" s="459"/>
      <c r="C58" s="441"/>
      <c r="D58" s="442"/>
      <c r="E58" s="443"/>
      <c r="F58" s="444"/>
      <c r="G58" s="445"/>
      <c r="H58" s="446"/>
      <c r="I58" s="447"/>
      <c r="J58" s="448"/>
      <c r="K58" s="449"/>
      <c r="L58" s="457"/>
      <c r="M58" s="454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2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2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2:57" ht="15.75" thickBot="1">
      <c r="B63" s="505" t="s">
        <v>55</v>
      </c>
      <c r="C63" s="506"/>
      <c r="D63" s="506"/>
      <c r="E63" s="506"/>
      <c r="F63" s="507"/>
      <c r="G63" s="505" t="s">
        <v>56</v>
      </c>
      <c r="H63" s="506"/>
      <c r="I63" s="506"/>
      <c r="J63" s="507"/>
      <c r="K63" s="505" t="s">
        <v>51</v>
      </c>
      <c r="L63" s="506"/>
      <c r="M63" s="506"/>
      <c r="N63" s="508"/>
      <c r="O63" s="56"/>
      <c r="P63" s="50"/>
    </row>
    <row r="64" spans="2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13.605323060759916</v>
      </c>
      <c r="E65" s="76">
        <v>13.605323060759916</v>
      </c>
      <c r="F65" s="66">
        <v>4.8</v>
      </c>
      <c r="G65" s="65"/>
      <c r="H65" s="480">
        <v>15.657242114346415</v>
      </c>
      <c r="I65" s="76">
        <v>15.657242114346415</v>
      </c>
      <c r="J65" s="66">
        <v>4.8</v>
      </c>
      <c r="K65" s="67"/>
      <c r="L65" s="194">
        <v>0.19106140350877193</v>
      </c>
      <c r="M65" s="194">
        <v>0.19106140350877193</v>
      </c>
      <c r="N65" s="68">
        <v>1</v>
      </c>
      <c r="O65" s="56"/>
      <c r="P65" s="69"/>
    </row>
    <row r="66" spans="2:16" ht="15">
      <c r="B66" s="33" t="s">
        <v>9</v>
      </c>
      <c r="C66" s="65"/>
      <c r="D66" s="76"/>
      <c r="E66" s="76"/>
      <c r="F66" s="66">
        <v>4.8</v>
      </c>
      <c r="G66" s="65"/>
      <c r="H66" s="76"/>
      <c r="I66" s="76"/>
      <c r="J66" s="66">
        <v>4.8</v>
      </c>
      <c r="K66" s="67"/>
      <c r="L66" s="194"/>
      <c r="M66" s="194"/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/>
      <c r="E68" s="76"/>
      <c r="F68" s="66">
        <v>3.3</v>
      </c>
      <c r="G68" s="65"/>
      <c r="H68" s="76"/>
      <c r="I68" s="76"/>
      <c r="J68" s="66">
        <v>3.3</v>
      </c>
      <c r="K68" s="67"/>
      <c r="L68" s="194"/>
      <c r="M68" s="194"/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/>
      <c r="E70" s="76"/>
      <c r="F70" s="70">
        <f>[10]May_2022!$M$43</f>
        <v>3.4878406700073312</v>
      </c>
      <c r="G70" s="282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37" t="s">
        <v>16</v>
      </c>
      <c r="C71" s="65"/>
      <c r="D71" s="76"/>
      <c r="E71" s="76"/>
      <c r="F71" s="66">
        <v>3.3</v>
      </c>
      <c r="G71" s="282"/>
      <c r="H71" s="76"/>
      <c r="I71" s="76"/>
      <c r="J71" s="66">
        <v>3.3</v>
      </c>
      <c r="K71" s="67"/>
      <c r="L71" s="194"/>
      <c r="M71" s="194"/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13.605323060759916</v>
      </c>
      <c r="E74" s="76">
        <v>13.605323060759916</v>
      </c>
      <c r="F74" s="341">
        <v>5.5</v>
      </c>
      <c r="H74" s="76">
        <v>15.657242114346415</v>
      </c>
      <c r="I74" s="76">
        <v>15.657242114346415</v>
      </c>
      <c r="J74" s="341">
        <v>5.5</v>
      </c>
      <c r="L74" s="194">
        <v>0.19106140350877193</v>
      </c>
      <c r="M74" s="194">
        <v>0.19106140350877193</v>
      </c>
      <c r="N74" s="386">
        <v>1</v>
      </c>
    </row>
  </sheetData>
  <mergeCells count="51">
    <mergeCell ref="M52:M53"/>
    <mergeCell ref="B63:F63"/>
    <mergeCell ref="G63:J63"/>
    <mergeCell ref="K63:N63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3438" priority="50" operator="notBetween">
      <formula>#REF!</formula>
      <formula>#REF!</formula>
    </cfRule>
  </conditionalFormatting>
  <conditionalFormatting sqref="C51">
    <cfRule type="cellIs" dxfId="3437" priority="196" stopIfTrue="1" operator="greaterThan">
      <formula>100</formula>
    </cfRule>
    <cfRule type="cellIs" dxfId="3436" priority="195" stopIfTrue="1" operator="lessThan">
      <formula>96</formula>
    </cfRule>
  </conditionalFormatting>
  <conditionalFormatting sqref="C65:C69">
    <cfRule type="cellIs" dxfId="3435" priority="149" stopIfTrue="1" operator="lessThanOrEqual">
      <formula>0</formula>
    </cfRule>
  </conditionalFormatting>
  <conditionalFormatting sqref="C65:C73">
    <cfRule type="cellIs" dxfId="3434" priority="148" stopIfTrue="1" operator="greaterThan">
      <formula>$F65</formula>
    </cfRule>
  </conditionalFormatting>
  <conditionalFormatting sqref="C66">
    <cfRule type="cellIs" dxfId="3433" priority="199" stopIfTrue="1" operator="greaterThan">
      <formula>$F65</formula>
    </cfRule>
  </conditionalFormatting>
  <conditionalFormatting sqref="C70">
    <cfRule type="cellIs" dxfId="3432" priority="89" stopIfTrue="1" operator="greaterThan">
      <formula>$F69</formula>
    </cfRule>
    <cfRule type="cellIs" dxfId="3431" priority="88" stopIfTrue="1" operator="lessThanOrEqual">
      <formula>0</formula>
    </cfRule>
  </conditionalFormatting>
  <conditionalFormatting sqref="C76:C80">
    <cfRule type="cellIs" dxfId="3430" priority="187" stopIfTrue="1" operator="lessThanOrEqual">
      <formula>0</formula>
    </cfRule>
  </conditionalFormatting>
  <conditionalFormatting sqref="C77:C80">
    <cfRule type="cellIs" dxfId="3429" priority="186" stopIfTrue="1" operator="greaterThan">
      <formula>$F$76</formula>
    </cfRule>
  </conditionalFormatting>
  <conditionalFormatting sqref="C82">
    <cfRule type="cellIs" dxfId="3428" priority="189" stopIfTrue="1" operator="lessThanOrEqual">
      <formula>0</formula>
    </cfRule>
    <cfRule type="cellIs" dxfId="3427" priority="188" stopIfTrue="1" operator="greaterThan">
      <formula>$F$76</formula>
    </cfRule>
  </conditionalFormatting>
  <conditionalFormatting sqref="C76:D76 D78:D84">
    <cfRule type="cellIs" dxfId="3426" priority="181" stopIfTrue="1" operator="greaterThan">
      <formula>4.5</formula>
    </cfRule>
  </conditionalFormatting>
  <conditionalFormatting sqref="D47:D48">
    <cfRule type="cellIs" dxfId="3425" priority="51" operator="notBetween">
      <formula>#REF!</formula>
      <formula>#REF!</formula>
    </cfRule>
  </conditionalFormatting>
  <conditionalFormatting sqref="D65:D72">
    <cfRule type="cellIs" dxfId="3424" priority="161" stopIfTrue="1" operator="lessThanOrEqual">
      <formula>0</formula>
    </cfRule>
  </conditionalFormatting>
  <conditionalFormatting sqref="D73">
    <cfRule type="cellIs" dxfId="3423" priority="160" stopIfTrue="1" operator="lessThanOrEqual">
      <formula>0</formula>
    </cfRule>
  </conditionalFormatting>
  <conditionalFormatting sqref="D76 D78:D84">
    <cfRule type="cellIs" dxfId="3422" priority="182" stopIfTrue="1" operator="lessThanOrEqual">
      <formula>0</formula>
    </cfRule>
  </conditionalFormatting>
  <conditionalFormatting sqref="D77">
    <cfRule type="cellIs" dxfId="3421" priority="174" stopIfTrue="1" operator="lessThanOrEqual">
      <formula>0</formula>
    </cfRule>
    <cfRule type="cellIs" dxfId="3420" priority="173" stopIfTrue="1" operator="greaterThan">
      <formula>$F$76</formula>
    </cfRule>
  </conditionalFormatting>
  <conditionalFormatting sqref="D65:E74">
    <cfRule type="cellIs" dxfId="3419" priority="146" stopIfTrue="1" operator="greaterThan">
      <formula>$F65</formula>
    </cfRule>
  </conditionalFormatting>
  <conditionalFormatting sqref="D74:E74">
    <cfRule type="cellIs" dxfId="3418" priority="147" stopIfTrue="1" operator="lessThanOrEqual">
      <formula>0</formula>
    </cfRule>
  </conditionalFormatting>
  <conditionalFormatting sqref="E10:E22">
    <cfRule type="cellIs" dxfId="3417" priority="1" operator="lessThan">
      <formula>48</formula>
    </cfRule>
  </conditionalFormatting>
  <conditionalFormatting sqref="E50 E51:F51">
    <cfRule type="cellIs" dxfId="3416" priority="178" stopIfTrue="1" operator="greaterThan">
      <formula>100</formula>
    </cfRule>
  </conditionalFormatting>
  <conditionalFormatting sqref="E51">
    <cfRule type="cellIs" dxfId="3415" priority="176" stopIfTrue="1" operator="greaterThan">
      <formula>100</formula>
    </cfRule>
    <cfRule type="cellIs" dxfId="3414" priority="175" stopIfTrue="1" operator="lessThan">
      <formula>96.8</formula>
    </cfRule>
  </conditionalFormatting>
  <conditionalFormatting sqref="E65:E73">
    <cfRule type="cellIs" dxfId="3413" priority="157" stopIfTrue="1" operator="lessThanOrEqual">
      <formula>0</formula>
    </cfRule>
  </conditionalFormatting>
  <conditionalFormatting sqref="E76:E84">
    <cfRule type="cellIs" dxfId="3412" priority="168" stopIfTrue="1" operator="lessThanOrEqual">
      <formula>0</formula>
    </cfRule>
    <cfRule type="cellIs" dxfId="3411" priority="167" stopIfTrue="1" operator="greaterThan">
      <formula>4.5</formula>
    </cfRule>
  </conditionalFormatting>
  <conditionalFormatting sqref="E51:F51 E50">
    <cfRule type="cellIs" dxfId="3410" priority="177" stopIfTrue="1" operator="lessThan">
      <formula>96.5</formula>
    </cfRule>
  </conditionalFormatting>
  <conditionalFormatting sqref="F10:F17">
    <cfRule type="cellIs" dxfId="3409" priority="8" operator="greaterThan">
      <formula>60</formula>
    </cfRule>
  </conditionalFormatting>
  <conditionalFormatting sqref="F19:F22">
    <cfRule type="cellIs" dxfId="3408" priority="29" operator="greaterThan">
      <formula>60</formula>
    </cfRule>
  </conditionalFormatting>
  <conditionalFormatting sqref="F51">
    <cfRule type="cellIs" dxfId="3407" priority="193" stopIfTrue="1" operator="lessThan">
      <formula>96.8</formula>
    </cfRule>
    <cfRule type="cellIs" dxfId="3406" priority="194" stopIfTrue="1" operator="greaterThan">
      <formula>100</formula>
    </cfRule>
  </conditionalFormatting>
  <conditionalFormatting sqref="F74">
    <cfRule type="cellIs" dxfId="3405" priority="158" stopIfTrue="1" operator="greaterThan">
      <formula>$F74</formula>
    </cfRule>
    <cfRule type="cellIs" dxfId="3404" priority="159" stopIfTrue="1" operator="lessThanOrEqual">
      <formula>0</formula>
    </cfRule>
  </conditionalFormatting>
  <conditionalFormatting sqref="G10:G18">
    <cfRule type="expression" dxfId="3403" priority="12">
      <formula>IF(+(IF(G10&lt;S10,0,IF(G10&gt;T10,0,1)))=0,1)</formula>
    </cfRule>
  </conditionalFormatting>
  <conditionalFormatting sqref="G65:G66 C71:C73">
    <cfRule type="cellIs" dxfId="3402" priority="163" stopIfTrue="1" operator="lessThanOrEqual">
      <formula>0</formula>
    </cfRule>
  </conditionalFormatting>
  <conditionalFormatting sqref="G65:G66">
    <cfRule type="cellIs" dxfId="3401" priority="151" stopIfTrue="1" operator="lessThanOrEqual">
      <formula>0</formula>
    </cfRule>
    <cfRule type="cellIs" dxfId="3400" priority="150" stopIfTrue="1" operator="greaterThan">
      <formula>$F65</formula>
    </cfRule>
    <cfRule type="cellIs" dxfId="3399" priority="162" stopIfTrue="1" operator="greaterThan">
      <formula>$F65</formula>
    </cfRule>
  </conditionalFormatting>
  <conditionalFormatting sqref="G67">
    <cfRule type="cellIs" dxfId="3398" priority="198" stopIfTrue="1" operator="lessThanOrEqual">
      <formula>0</formula>
    </cfRule>
    <cfRule type="cellIs" dxfId="3397" priority="197" stopIfTrue="1" operator="greaterThan">
      <formula>$F66</formula>
    </cfRule>
  </conditionalFormatting>
  <conditionalFormatting sqref="G68">
    <cfRule type="cellIs" dxfId="3396" priority="46" stopIfTrue="1" operator="greaterThan">
      <formula>$F68</formula>
    </cfRule>
    <cfRule type="cellIs" dxfId="3395" priority="48" stopIfTrue="1" operator="greaterThan">
      <formula>$F68</formula>
    </cfRule>
    <cfRule type="cellIs" dxfId="3394" priority="49" stopIfTrue="1" operator="lessThanOrEqual">
      <formula>0</formula>
    </cfRule>
    <cfRule type="cellIs" dxfId="3393" priority="47" stopIfTrue="1" operator="lessThanOrEqual">
      <formula>0</formula>
    </cfRule>
  </conditionalFormatting>
  <conditionalFormatting sqref="G69:G73">
    <cfRule type="cellIs" dxfId="3392" priority="164" stopIfTrue="1" operator="greaterThan">
      <formula>$J69</formula>
    </cfRule>
    <cfRule type="cellIs" dxfId="3391" priority="165" stopIfTrue="1" operator="lessThanOrEqual">
      <formula>0</formula>
    </cfRule>
  </conditionalFormatting>
  <conditionalFormatting sqref="G78:G83 C81 C83">
    <cfRule type="cellIs" dxfId="3390" priority="190" stopIfTrue="1" operator="greaterThan">
      <formula>4.5</formula>
    </cfRule>
    <cfRule type="cellIs" dxfId="3389" priority="191" stopIfTrue="1" operator="lessThanOrEqual">
      <formula>0</formula>
    </cfRule>
  </conditionalFormatting>
  <conditionalFormatting sqref="G77:H77">
    <cfRule type="cellIs" dxfId="3388" priority="171" stopIfTrue="1" operator="greaterThan">
      <formula>$F$76</formula>
    </cfRule>
    <cfRule type="cellIs" dxfId="3387" priority="172" stopIfTrue="1" operator="lessThanOrEqual">
      <formula>0</formula>
    </cfRule>
  </conditionalFormatting>
  <conditionalFormatting sqref="H10:H18">
    <cfRule type="expression" dxfId="3386" priority="9">
      <formula>IF(+(IF(H10&lt;#REF!,0,IF(H10&gt;#REF!,0,1)))=0,1)</formula>
    </cfRule>
  </conditionalFormatting>
  <conditionalFormatting sqref="H36:H37 H50">
    <cfRule type="cellIs" dxfId="3385" priority="169" stopIfTrue="1" operator="greaterThan">
      <formula>0</formula>
    </cfRule>
  </conditionalFormatting>
  <conditionalFormatting sqref="H54">
    <cfRule type="cellIs" dxfId="3384" priority="33" stopIfTrue="1" operator="lessThanOrEqual">
      <formula>0</formula>
    </cfRule>
    <cfRule type="cellIs" dxfId="3383" priority="45" stopIfTrue="1" operator="lessThanOrEqual">
      <formula>0</formula>
    </cfRule>
    <cfRule type="cellIs" dxfId="3382" priority="44" stopIfTrue="1" operator="greaterThan">
      <formula>$F$70</formula>
    </cfRule>
    <cfRule type="cellIs" dxfId="3381" priority="43" stopIfTrue="1" operator="lessThanOrEqual">
      <formula>0</formula>
    </cfRule>
    <cfRule type="cellIs" dxfId="3380" priority="42" stopIfTrue="1" operator="greaterThan">
      <formula>$F$72</formula>
    </cfRule>
    <cfRule type="cellIs" dxfId="3379" priority="34" stopIfTrue="1" operator="greaterThan">
      <formula>$F$69</formula>
    </cfRule>
  </conditionalFormatting>
  <conditionalFormatting sqref="H55">
    <cfRule type="cellIs" dxfId="3378" priority="114" stopIfTrue="1" operator="greaterThan">
      <formula>$F$23</formula>
    </cfRule>
    <cfRule type="cellIs" dxfId="3377" priority="116" stopIfTrue="1" operator="greaterThan">
      <formula>#REF!</formula>
    </cfRule>
    <cfRule type="cellIs" dxfId="3376" priority="117" stopIfTrue="1" operator="lessThanOrEqual">
      <formula>0</formula>
    </cfRule>
    <cfRule type="cellIs" dxfId="3375" priority="115" stopIfTrue="1" operator="lessThanOrEqual">
      <formula>0</formula>
    </cfRule>
    <cfRule type="cellIs" dxfId="3374" priority="105" stopIfTrue="1" operator="lessThanOrEqual">
      <formula>0</formula>
    </cfRule>
    <cfRule type="cellIs" dxfId="3373" priority="106" stopIfTrue="1" operator="greaterThan">
      <formula>#REF!</formula>
    </cfRule>
  </conditionalFormatting>
  <conditionalFormatting sqref="H56">
    <cfRule type="cellIs" dxfId="3372" priority="75" stopIfTrue="1" operator="lessThanOrEqual">
      <formula>0</formula>
    </cfRule>
    <cfRule type="cellIs" dxfId="3371" priority="84" stopIfTrue="1" operator="greaterThan">
      <formula>$F$69</formula>
    </cfRule>
    <cfRule type="cellIs" dxfId="3370" priority="76" stopIfTrue="1" operator="greaterThan">
      <formula>$F$66</formula>
    </cfRule>
    <cfRule type="cellIs" dxfId="3369" priority="85" stopIfTrue="1" operator="lessThanOrEqual">
      <formula>0</formula>
    </cfRule>
    <cfRule type="cellIs" dxfId="3368" priority="86" stopIfTrue="1" operator="greaterThan">
      <formula>$F$67</formula>
    </cfRule>
    <cfRule type="cellIs" dxfId="3367" priority="87" stopIfTrue="1" operator="lessThanOrEqual">
      <formula>0</formula>
    </cfRule>
  </conditionalFormatting>
  <conditionalFormatting sqref="H57:H58">
    <cfRule type="cellIs" dxfId="3366" priority="91" stopIfTrue="1" operator="lessThanOrEqual">
      <formula>0</formula>
    </cfRule>
    <cfRule type="cellIs" dxfId="3365" priority="92" stopIfTrue="1" operator="greaterThan">
      <formula>#REF!</formula>
    </cfRule>
    <cfRule type="cellIs" dxfId="3364" priority="103" stopIfTrue="1" operator="lessThanOrEqual">
      <formula>0</formula>
    </cfRule>
    <cfRule type="cellIs" dxfId="3363" priority="100" stopIfTrue="1" operator="greaterThan">
      <formula>$F$22</formula>
    </cfRule>
    <cfRule type="cellIs" dxfId="3362" priority="101" stopIfTrue="1" operator="lessThanOrEqual">
      <formula>0</formula>
    </cfRule>
    <cfRule type="cellIs" dxfId="3361" priority="102" stopIfTrue="1" operator="greaterThan">
      <formula>#REF!</formula>
    </cfRule>
  </conditionalFormatting>
  <conditionalFormatting sqref="H59">
    <cfRule type="cellIs" dxfId="3360" priority="129" stopIfTrue="1" operator="greaterThan">
      <formula>$F$38</formula>
    </cfRule>
    <cfRule type="cellIs" dxfId="3359" priority="132" stopIfTrue="1" operator="lessThanOrEqual">
      <formula>0</formula>
    </cfRule>
    <cfRule type="cellIs" dxfId="3358" priority="130" stopIfTrue="1" operator="lessThanOrEqual">
      <formula>0</formula>
    </cfRule>
    <cfRule type="cellIs" dxfId="3357" priority="121" stopIfTrue="1" operator="greaterThan">
      <formula>$F$35</formula>
    </cfRule>
    <cfRule type="cellIs" dxfId="3356" priority="120" stopIfTrue="1" operator="lessThanOrEqual">
      <formula>0</formula>
    </cfRule>
    <cfRule type="cellIs" dxfId="3355" priority="131" stopIfTrue="1" operator="greaterThan">
      <formula>$F$36</formula>
    </cfRule>
  </conditionalFormatting>
  <conditionalFormatting sqref="H60:H61">
    <cfRule type="cellIs" dxfId="3354" priority="61" stopIfTrue="1" operator="lessThanOrEqual">
      <formula>0</formula>
    </cfRule>
    <cfRule type="cellIs" dxfId="3353" priority="62" stopIfTrue="1" operator="greaterThan">
      <formula>#REF!</formula>
    </cfRule>
    <cfRule type="cellIs" dxfId="3352" priority="70" stopIfTrue="1" operator="greaterThan">
      <formula>$F$22</formula>
    </cfRule>
    <cfRule type="cellIs" dxfId="3351" priority="71" stopIfTrue="1" operator="lessThanOrEqual">
      <formula>0</formula>
    </cfRule>
    <cfRule type="cellIs" dxfId="3350" priority="72" stopIfTrue="1" operator="greaterThan">
      <formula>#REF!</formula>
    </cfRule>
    <cfRule type="cellIs" dxfId="3349" priority="73" stopIfTrue="1" operator="lessThanOrEqual">
      <formula>0</formula>
    </cfRule>
  </conditionalFormatting>
  <conditionalFormatting sqref="H65:H72">
    <cfRule type="cellIs" dxfId="3348" priority="153" stopIfTrue="1" operator="lessThanOrEqual">
      <formula>0</formula>
    </cfRule>
    <cfRule type="cellIs" dxfId="3347" priority="152" stopIfTrue="1" operator="greaterThan">
      <formula>$J65</formula>
    </cfRule>
  </conditionalFormatting>
  <conditionalFormatting sqref="H73">
    <cfRule type="cellIs" dxfId="3346" priority="154" operator="greaterThan">
      <formula>5.3</formula>
    </cfRule>
  </conditionalFormatting>
  <conditionalFormatting sqref="H76 H78:H84">
    <cfRule type="cellIs" dxfId="3345" priority="184" stopIfTrue="1" operator="lessThanOrEqual">
      <formula>0</formula>
    </cfRule>
    <cfRule type="cellIs" dxfId="3344" priority="183" stopIfTrue="1" operator="greaterThan">
      <formula>4.5</formula>
    </cfRule>
  </conditionalFormatting>
  <conditionalFormatting sqref="H54:I54">
    <cfRule type="cellIs" dxfId="3343" priority="32" stopIfTrue="1" operator="greaterThan">
      <formula>$F$71</formula>
    </cfRule>
    <cfRule type="cellIs" dxfId="3342" priority="35" stopIfTrue="1" operator="lessThanOrEqual">
      <formula>0</formula>
    </cfRule>
  </conditionalFormatting>
  <conditionalFormatting sqref="H55:I55">
    <cfRule type="cellIs" dxfId="3341" priority="107" stopIfTrue="1" operator="lessThanOrEqual">
      <formula>0</formula>
    </cfRule>
    <cfRule type="cellIs" dxfId="3340" priority="104" stopIfTrue="1" operator="greaterThan">
      <formula>$F$22</formula>
    </cfRule>
  </conditionalFormatting>
  <conditionalFormatting sqref="H56:I56">
    <cfRule type="cellIs" dxfId="3339" priority="74" stopIfTrue="1" operator="greaterThan">
      <formula>$F$68</formula>
    </cfRule>
    <cfRule type="cellIs" dxfId="3338" priority="77" stopIfTrue="1" operator="lessThanOrEqual">
      <formula>0</formula>
    </cfRule>
  </conditionalFormatting>
  <conditionalFormatting sqref="H57:I58">
    <cfRule type="cellIs" dxfId="3337" priority="93" stopIfTrue="1" operator="lessThanOrEqual">
      <formula>0</formula>
    </cfRule>
    <cfRule type="cellIs" dxfId="3336" priority="90" stopIfTrue="1" operator="greaterThan">
      <formula>#REF!</formula>
    </cfRule>
  </conditionalFormatting>
  <conditionalFormatting sqref="H59:I59">
    <cfRule type="cellIs" dxfId="3335" priority="119" stopIfTrue="1" operator="greaterThan">
      <formula>$F$37</formula>
    </cfRule>
    <cfRule type="cellIs" dxfId="3334" priority="122" stopIfTrue="1" operator="lessThanOrEqual">
      <formula>0</formula>
    </cfRule>
  </conditionalFormatting>
  <conditionalFormatting sqref="H60:I61">
    <cfRule type="cellIs" dxfId="3333" priority="60" stopIfTrue="1" operator="greaterThan">
      <formula>#REF!</formula>
    </cfRule>
    <cfRule type="cellIs" dxfId="3332" priority="63" stopIfTrue="1" operator="lessThanOrEqual">
      <formula>0</formula>
    </cfRule>
  </conditionalFormatting>
  <conditionalFormatting sqref="H74:I74">
    <cfRule type="cellIs" dxfId="3331" priority="144" stopIfTrue="1" operator="greaterThan">
      <formula>$J74</formula>
    </cfRule>
    <cfRule type="cellIs" dxfId="3330" priority="145" stopIfTrue="1" operator="lessThanOrEqual">
      <formula>0</formula>
    </cfRule>
  </conditionalFormatting>
  <conditionalFormatting sqref="I54">
    <cfRule type="cellIs" dxfId="3329" priority="38" stopIfTrue="1" operator="greaterThan">
      <formula>$F$71</formula>
    </cfRule>
    <cfRule type="cellIs" dxfId="3328" priority="36" stopIfTrue="1" operator="greaterThan">
      <formula>$F$69</formula>
    </cfRule>
    <cfRule type="cellIs" dxfId="3327" priority="37" stopIfTrue="1" operator="lessThanOrEqual">
      <formula>0</formula>
    </cfRule>
    <cfRule type="cellIs" dxfId="3326" priority="39" stopIfTrue="1" operator="lessThanOrEqual">
      <formula>0</formula>
    </cfRule>
    <cfRule type="cellIs" dxfId="3325" priority="40" stopIfTrue="1" operator="greaterThan">
      <formula>$F$69</formula>
    </cfRule>
    <cfRule type="cellIs" dxfId="3324" priority="41" stopIfTrue="1" operator="lessThanOrEqual">
      <formula>0</formula>
    </cfRule>
  </conditionalFormatting>
  <conditionalFormatting sqref="I55">
    <cfRule type="cellIs" dxfId="3323" priority="113" stopIfTrue="1" operator="lessThanOrEqual">
      <formula>0</formula>
    </cfRule>
    <cfRule type="cellIs" dxfId="3322" priority="108" stopIfTrue="1" operator="greaterThan">
      <formula>#REF!</formula>
    </cfRule>
    <cfRule type="cellIs" dxfId="3321" priority="109" stopIfTrue="1" operator="lessThanOrEqual">
      <formula>0</formula>
    </cfRule>
    <cfRule type="cellIs" dxfId="3320" priority="110" stopIfTrue="1" operator="greaterThan">
      <formula>$F$22</formula>
    </cfRule>
    <cfRule type="cellIs" dxfId="3319" priority="111" stopIfTrue="1" operator="lessThanOrEqual">
      <formula>0</formula>
    </cfRule>
    <cfRule type="cellIs" dxfId="3318" priority="112" stopIfTrue="1" operator="greaterThan">
      <formula>#REF!</formula>
    </cfRule>
  </conditionalFormatting>
  <conditionalFormatting sqref="I56">
    <cfRule type="cellIs" dxfId="3317" priority="81" stopIfTrue="1" operator="lessThanOrEqual">
      <formula>0</formula>
    </cfRule>
    <cfRule type="cellIs" dxfId="3316" priority="80" stopIfTrue="1" operator="greaterThan">
      <formula>$F$68</formula>
    </cfRule>
    <cfRule type="cellIs" dxfId="3315" priority="79" stopIfTrue="1" operator="lessThanOrEqual">
      <formula>0</formula>
    </cfRule>
    <cfRule type="cellIs" dxfId="3314" priority="78" stopIfTrue="1" operator="greaterThan">
      <formula>$F$66</formula>
    </cfRule>
    <cfRule type="cellIs" dxfId="3313" priority="83" stopIfTrue="1" operator="lessThanOrEqual">
      <formula>0</formula>
    </cfRule>
    <cfRule type="cellIs" dxfId="3312" priority="82" stopIfTrue="1" operator="greaterThan">
      <formula>$F$66</formula>
    </cfRule>
  </conditionalFormatting>
  <conditionalFormatting sqref="I57:I58">
    <cfRule type="cellIs" dxfId="3311" priority="99" stopIfTrue="1" operator="lessThanOrEqual">
      <formula>0</formula>
    </cfRule>
    <cfRule type="cellIs" dxfId="3310" priority="98" stopIfTrue="1" operator="greaterThan">
      <formula>#REF!</formula>
    </cfRule>
    <cfRule type="cellIs" dxfId="3309" priority="97" stopIfTrue="1" operator="lessThanOrEqual">
      <formula>0</formula>
    </cfRule>
    <cfRule type="cellIs" dxfId="3308" priority="94" stopIfTrue="1" operator="greaterThan">
      <formula>#REF!</formula>
    </cfRule>
    <cfRule type="cellIs" dxfId="3307" priority="95" stopIfTrue="1" operator="lessThanOrEqual">
      <formula>0</formula>
    </cfRule>
    <cfRule type="cellIs" dxfId="3306" priority="96" stopIfTrue="1" operator="greaterThan">
      <formula>#REF!</formula>
    </cfRule>
  </conditionalFormatting>
  <conditionalFormatting sqref="I59">
    <cfRule type="cellIs" dxfId="3305" priority="128" stopIfTrue="1" operator="lessThanOrEqual">
      <formula>0</formula>
    </cfRule>
    <cfRule type="cellIs" dxfId="3304" priority="127" stopIfTrue="1" operator="greaterThan">
      <formula>$F$35</formula>
    </cfRule>
    <cfRule type="cellIs" dxfId="3303" priority="126" stopIfTrue="1" operator="lessThanOrEqual">
      <formula>0</formula>
    </cfRule>
    <cfRule type="cellIs" dxfId="3302" priority="125" stopIfTrue="1" operator="greaterThan">
      <formula>$F$37</formula>
    </cfRule>
    <cfRule type="cellIs" dxfId="3301" priority="124" stopIfTrue="1" operator="lessThanOrEqual">
      <formula>0</formula>
    </cfRule>
    <cfRule type="cellIs" dxfId="3300" priority="123" stopIfTrue="1" operator="greaterThan">
      <formula>$F$35</formula>
    </cfRule>
  </conditionalFormatting>
  <conditionalFormatting sqref="I60:I61">
    <cfRule type="cellIs" dxfId="3299" priority="67" stopIfTrue="1" operator="lessThanOrEqual">
      <formula>0</formula>
    </cfRule>
    <cfRule type="cellIs" dxfId="3298" priority="68" stopIfTrue="1" operator="greaterThan">
      <formula>#REF!</formula>
    </cfRule>
    <cfRule type="cellIs" dxfId="3297" priority="69" stopIfTrue="1" operator="lessThanOrEqual">
      <formula>0</formula>
    </cfRule>
    <cfRule type="cellIs" dxfId="3296" priority="65" stopIfTrue="1" operator="lessThanOrEqual">
      <formula>0</formula>
    </cfRule>
    <cfRule type="cellIs" dxfId="3295" priority="64" stopIfTrue="1" operator="greaterThan">
      <formula>#REF!</formula>
    </cfRule>
    <cfRule type="cellIs" dxfId="3294" priority="66" stopIfTrue="1" operator="greaterThan">
      <formula>#REF!</formula>
    </cfRule>
  </conditionalFormatting>
  <conditionalFormatting sqref="I65:I73">
    <cfRule type="cellIs" dxfId="3293" priority="155" stopIfTrue="1" operator="greaterThan">
      <formula>$J65</formula>
    </cfRule>
    <cfRule type="cellIs" dxfId="3292" priority="156" stopIfTrue="1" operator="lessThanOrEqual">
      <formula>0</formula>
    </cfRule>
  </conditionalFormatting>
  <conditionalFormatting sqref="I76:I84">
    <cfRule type="cellIs" dxfId="3291" priority="179" stopIfTrue="1" operator="greaterThan">
      <formula>4.5</formula>
    </cfRule>
    <cfRule type="cellIs" dxfId="3290" priority="180" stopIfTrue="1" operator="lessThanOrEqual">
      <formula>0</formula>
    </cfRule>
  </conditionalFormatting>
  <conditionalFormatting sqref="I10:J22">
    <cfRule type="cellIs" dxfId="3289" priority="2" operator="lessThan">
      <formula>97.9</formula>
    </cfRule>
  </conditionalFormatting>
  <conditionalFormatting sqref="J26:J27">
    <cfRule type="cellIs" dxfId="3288" priority="136" operator="lessThan">
      <formula>98</formula>
    </cfRule>
    <cfRule type="cellIs" dxfId="3287" priority="135" stopIfTrue="1" operator="greaterThan">
      <formula>100</formula>
    </cfRule>
    <cfRule type="cellIs" dxfId="3286" priority="134" stopIfTrue="1" operator="lessThan">
      <formula>96.8</formula>
    </cfRule>
  </conditionalFormatting>
  <conditionalFormatting sqref="J26:J29">
    <cfRule type="cellIs" dxfId="3285" priority="133" operator="lessThan">
      <formula>97.4</formula>
    </cfRule>
  </conditionalFormatting>
  <conditionalFormatting sqref="J30:J31">
    <cfRule type="cellIs" dxfId="3284" priority="137" operator="lessThan">
      <formula>98</formula>
    </cfRule>
  </conditionalFormatting>
  <conditionalFormatting sqref="J32:J33">
    <cfRule type="cellIs" dxfId="3283" priority="138" stopIfTrue="1" operator="lessThan">
      <formula>96.8</formula>
    </cfRule>
    <cfRule type="cellIs" dxfId="3282" priority="139" stopIfTrue="1" operator="greaterThan">
      <formula>100</formula>
    </cfRule>
  </conditionalFormatting>
  <conditionalFormatting sqref="J32:J34">
    <cfRule type="cellIs" dxfId="3281" priority="140" operator="lessThan">
      <formula>98</formula>
    </cfRule>
  </conditionalFormatting>
  <conditionalFormatting sqref="J61">
    <cfRule type="cellIs" dxfId="3280" priority="55" stopIfTrue="1" operator="lessThanOrEqual">
      <formula>0</formula>
    </cfRule>
    <cfRule type="cellIs" dxfId="3279" priority="54" stopIfTrue="1" operator="greaterThan">
      <formula>#REF!</formula>
    </cfRule>
    <cfRule type="cellIs" dxfId="3278" priority="53" stopIfTrue="1" operator="lessThanOrEqual">
      <formula>0</formula>
    </cfRule>
    <cfRule type="cellIs" dxfId="3277" priority="52" stopIfTrue="1" operator="greaterThan">
      <formula>#REF!</formula>
    </cfRule>
    <cfRule type="cellIs" dxfId="3276" priority="57" stopIfTrue="1" operator="lessThanOrEqual">
      <formula>0</formula>
    </cfRule>
    <cfRule type="cellIs" dxfId="3275" priority="59" stopIfTrue="1" operator="lessThanOrEqual">
      <formula>0</formula>
    </cfRule>
    <cfRule type="cellIs" dxfId="3274" priority="58" stopIfTrue="1" operator="greaterThan">
      <formula>#REF!</formula>
    </cfRule>
    <cfRule type="cellIs" dxfId="3273" priority="56" stopIfTrue="1" operator="greaterThan">
      <formula>#REF!</formula>
    </cfRule>
  </conditionalFormatting>
  <conditionalFormatting sqref="J74">
    <cfRule type="cellIs" dxfId="3272" priority="141" stopIfTrue="1" operator="greaterThan">
      <formula>$F74</formula>
    </cfRule>
    <cfRule type="cellIs" dxfId="3271" priority="142" stopIfTrue="1" operator="lessThanOrEqual">
      <formula>0</formula>
    </cfRule>
  </conditionalFormatting>
  <conditionalFormatting sqref="K10:K22">
    <cfRule type="cellIs" dxfId="3270" priority="7" operator="greaterThan">
      <formula>6.4</formula>
    </cfRule>
    <cfRule type="cellIs" dxfId="3269" priority="6" operator="lessThan">
      <formula>4</formula>
    </cfRule>
    <cfRule type="cellIs" dxfId="3268" priority="5" operator="greaterThan">
      <formula>6</formula>
    </cfRule>
  </conditionalFormatting>
  <conditionalFormatting sqref="K54:K61 K65:N71 K72 M72:N72 K73:N73">
    <cfRule type="cellIs" dxfId="3267" priority="118" stopIfTrue="1" operator="lessThan">
      <formula>100%</formula>
    </cfRule>
  </conditionalFormatting>
  <conditionalFormatting sqref="K76:K81">
    <cfRule type="cellIs" dxfId="3266" priority="185" stopIfTrue="1" operator="lessThan">
      <formula>100%</formula>
    </cfRule>
  </conditionalFormatting>
  <conditionalFormatting sqref="K83:K84">
    <cfRule type="cellIs" dxfId="3265" priority="192" stopIfTrue="1" operator="lessThan">
      <formula>100%</formula>
    </cfRule>
  </conditionalFormatting>
  <conditionalFormatting sqref="L10:L18">
    <cfRule type="cellIs" dxfId="3264" priority="3" operator="between">
      <formula>61</formula>
      <formula>65</formula>
    </cfRule>
    <cfRule type="cellIs" dxfId="3263" priority="4" operator="greaterThan">
      <formula>65</formula>
    </cfRule>
  </conditionalFormatting>
  <conditionalFormatting sqref="L22">
    <cfRule type="cellIs" dxfId="3262" priority="28" operator="greaterThan">
      <formula>65</formula>
    </cfRule>
    <cfRule type="cellIs" dxfId="3261" priority="27" operator="between">
      <formula>61</formula>
      <formula>65</formula>
    </cfRule>
  </conditionalFormatting>
  <conditionalFormatting sqref="L19:M21">
    <cfRule type="cellIs" dxfId="3260" priority="25" operator="between">
      <formula>61</formula>
      <formula>65</formula>
    </cfRule>
    <cfRule type="cellIs" dxfId="3259" priority="24" operator="greaterThan">
      <formula>65</formula>
    </cfRule>
  </conditionalFormatting>
  <conditionalFormatting sqref="L25:M36">
    <cfRule type="cellIs" dxfId="3258" priority="30" operator="lessThan">
      <formula>97.95</formula>
    </cfRule>
  </conditionalFormatting>
  <conditionalFormatting sqref="L40:N40">
    <cfRule type="cellIs" dxfId="3257" priority="31" operator="notEqual">
      <formula>#REF!</formula>
    </cfRule>
  </conditionalFormatting>
  <conditionalFormatting sqref="L74:N74">
    <cfRule type="cellIs" dxfId="3256" priority="143" stopIfTrue="1" operator="lessThan">
      <formula>100%</formula>
    </cfRule>
  </conditionalFormatting>
  <conditionalFormatting sqref="L76:N84">
    <cfRule type="cellIs" dxfId="3255" priority="170" stopIfTrue="1" operator="lessThan">
      <formula>100%</formula>
    </cfRule>
  </conditionalFormatting>
  <conditionalFormatting sqref="M10:M18">
    <cfRule type="expression" dxfId="3254" priority="11">
      <formula>IF(+(IF(M10&lt;U10,0,IF(M10&gt;V10,0,1)))=0,1)</formula>
    </cfRule>
  </conditionalFormatting>
  <conditionalFormatting sqref="M19:M21 G19:H22">
    <cfRule type="expression" dxfId="3253" priority="26">
      <formula>IF(+(IF(G19&lt;#REF!,0,IF(G19&gt;#REF!,0,1)))=0,1)</formula>
    </cfRule>
  </conditionalFormatting>
  <conditionalFormatting sqref="M22:N22">
    <cfRule type="expression" dxfId="3252" priority="200">
      <formula>IF(+(IF(M22&lt;#REF!,0,IF(M22&gt;#REF!,0,1)))=0,1)</formula>
    </cfRule>
  </conditionalFormatting>
  <conditionalFormatting sqref="N10:N21">
    <cfRule type="expression" dxfId="3251" priority="10">
      <formula>IF(+(IF(N10&lt;W10,0,IF(N10&gt;X10,0,1)))=0,1)</formula>
    </cfRule>
  </conditionalFormatting>
  <conditionalFormatting sqref="P6">
    <cfRule type="cellIs" dxfId="3250" priority="166" operator="greaterThanOrEqual">
      <formula>19</formula>
    </cfRule>
  </conditionalFormatting>
  <dataValidations count="1">
    <dataValidation type="list" allowBlank="1" showInputMessage="1" showErrorMessage="1" sqref="R8" xr:uid="{6EDD272C-3CDE-45E4-B679-5C38594D7C0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D11C-9A93-487B-97D1-464202E1A959}">
  <sheetPr codeName="Sheet6">
    <pageSetUpPr fitToPage="1"/>
  </sheetPr>
  <dimension ref="A1:BE69"/>
  <sheetViews>
    <sheetView topLeftCell="A9" zoomScale="90" zoomScaleNormal="90" workbookViewId="0">
      <selection activeCell="E10" sqref="E10:E15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46031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[4]Brewhouse!$A46</f>
        <v>CA005</v>
      </c>
      <c r="D10" s="279">
        <f>[4]Brewhouse!$AF46</f>
        <v>50.2</v>
      </c>
      <c r="E10" s="279">
        <f>[4]Brewhouse!$AI46</f>
        <v>48.1</v>
      </c>
      <c r="F10" s="278">
        <f>[4]Brewhouse!$V46</f>
        <v>51</v>
      </c>
      <c r="G10" s="279">
        <f>[4]Brewhouse!AG46</f>
        <v>11.9</v>
      </c>
      <c r="H10" s="396">
        <v>11.9</v>
      </c>
      <c r="I10" s="368">
        <f>[4]Brewhouse!$AU46</f>
        <v>94.942986581581494</v>
      </c>
      <c r="J10" s="368">
        <f>[4]Brewhouse!$AV46</f>
        <v>95.670304033482836</v>
      </c>
      <c r="K10" s="281">
        <f>[4]Brewhouse!$Q46</f>
        <v>6.8173258003766435</v>
      </c>
      <c r="L10" s="276">
        <f>[4]Brewhouse!$P46</f>
        <v>60</v>
      </c>
      <c r="M10" s="397">
        <f>[4]Brewhouse!$U46-[4]Brewhouse!$T46</f>
        <v>0.10902777777777772</v>
      </c>
      <c r="N10" s="370">
        <f>[4]Brewhouse!$Z46</f>
        <v>0.23680555555555555</v>
      </c>
      <c r="O10" s="420" t="str">
        <f>[4]Brewhouse!$AX46</f>
        <v>D. Gomaz</v>
      </c>
      <c r="P10" s="418"/>
      <c r="R10" s="277" t="str">
        <f t="shared" ref="R10:R31" si="0">B10</f>
        <v>CARIB</v>
      </c>
      <c r="S10" s="474">
        <f t="shared" ref="S10:S31" si="1">VLOOKUP($B10,$R$3:$X$9,2,FALSE)</f>
        <v>11.6</v>
      </c>
      <c r="T10" s="474">
        <f t="shared" ref="T10:T31" si="2">VLOOKUP($B10,$R$3:$X$9,3,FALSE)</f>
        <v>12</v>
      </c>
      <c r="U10" s="297">
        <f t="shared" ref="U10:U31" si="3">VLOOKUP($B10,$R$3:$X$9,4,FALSE)</f>
        <v>0</v>
      </c>
      <c r="V10" s="297">
        <f t="shared" ref="V10:V31" si="4">VLOOKUP($B10,$R$3:$X$9,5,FALSE)</f>
        <v>0.118055555555556</v>
      </c>
      <c r="W10" s="297">
        <f t="shared" ref="W10:W31" si="5">VLOOKUP($B10,$R$3:$X$9,6,FALSE)</f>
        <v>0.22569444444444445</v>
      </c>
      <c r="X10" s="297">
        <f t="shared" ref="X10:X31" si="6">VLOOKUP($B10,$R$3:$X$9,7,FALSE)</f>
        <v>0.2638888888888889</v>
      </c>
      <c r="Y10" s="297">
        <f t="shared" ref="Y10:Y31" si="7">VLOOKUP($B10,$R$3:$Z$9,8,FALSE)</f>
        <v>0</v>
      </c>
      <c r="Z10" s="474">
        <f t="shared" ref="Z10:Z31" si="8">VLOOKUP($B10,$R$3:$Z$9,9,FALSE)</f>
        <v>60</v>
      </c>
    </row>
    <row r="11" spans="2:29" ht="16.5" customHeight="1">
      <c r="B11" s="29" t="s">
        <v>6</v>
      </c>
      <c r="C11" s="366" t="str">
        <f>[4]Brewhouse!$A47</f>
        <v>CA006</v>
      </c>
      <c r="D11" s="279">
        <f>[4]Brewhouse!$AF47</f>
        <v>52.8</v>
      </c>
      <c r="E11" s="279">
        <f>[4]Brewhouse!$AI47</f>
        <v>50.4</v>
      </c>
      <c r="F11" s="278">
        <f>[4]Brewhouse!$V47</f>
        <v>60</v>
      </c>
      <c r="G11" s="279">
        <f>[4]Brewhouse!AG47</f>
        <v>12</v>
      </c>
      <c r="H11" s="396">
        <v>11.9</v>
      </c>
      <c r="I11" s="368">
        <f>[4]Brewhouse!$AU47</f>
        <v>99.744059513955506</v>
      </c>
      <c r="J11" s="368">
        <f>[4]Brewhouse!$AV47</f>
        <v>100.50846399700394</v>
      </c>
      <c r="K11" s="281">
        <f>[4]Brewhouse!$Q47</f>
        <v>3.4274952919020718</v>
      </c>
      <c r="L11" s="276">
        <f>[4]Brewhouse!$P47</f>
        <v>57</v>
      </c>
      <c r="M11" s="397">
        <f>[4]Brewhouse!$U47-[4]Brewhouse!$T47</f>
        <v>0.11111111111111105</v>
      </c>
      <c r="N11" s="370">
        <f>[4]Brewhouse!$Z47</f>
        <v>0.25347222222222221</v>
      </c>
      <c r="O11" s="420" t="str">
        <f>[4]Brewhouse!$AX47</f>
        <v>R.Sookram</v>
      </c>
      <c r="P11" s="418"/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[4]Brewhouse!$A48</f>
        <v>CA007</v>
      </c>
      <c r="D12" s="279">
        <f>[4]Brewhouse!$AF48</f>
        <v>53</v>
      </c>
      <c r="E12" s="279">
        <f>[4]Brewhouse!$AI48</f>
        <v>51.8</v>
      </c>
      <c r="F12" s="278">
        <f>[4]Brewhouse!$V48</f>
        <v>59</v>
      </c>
      <c r="G12" s="279">
        <f>[4]Brewhouse!AG48</f>
        <v>11.9</v>
      </c>
      <c r="H12" s="396">
        <v>11.8</v>
      </c>
      <c r="I12" s="368">
        <f>[4]Brewhouse!$AU48</f>
        <v>100.99522335236702</v>
      </c>
      <c r="J12" s="368">
        <f>[4]Brewhouse!$AV48</f>
        <v>101.76952445115279</v>
      </c>
      <c r="K12" s="281">
        <f>[4]Brewhouse!$Q48</f>
        <v>4.5660377358490596</v>
      </c>
      <c r="L12" s="276">
        <f>[4]Brewhouse!$P48</f>
        <v>60</v>
      </c>
      <c r="M12" s="397">
        <f>[4]Brewhouse!$U48-[4]Brewhouse!$T48</f>
        <v>0.11944444444444446</v>
      </c>
      <c r="N12" s="370">
        <f>[4]Brewhouse!$Z48</f>
        <v>0.26875000000000004</v>
      </c>
      <c r="O12" s="420" t="str">
        <f>[4]Brewhouse!$AX48</f>
        <v>R.Sookram</v>
      </c>
      <c r="P12" s="418"/>
      <c r="R12" s="277" t="str">
        <f t="shared" si="0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[4]Brewhouse!$A49</f>
        <v>CA008</v>
      </c>
      <c r="D13" s="279">
        <f>[4]Brewhouse!$AF49</f>
        <v>51.7</v>
      </c>
      <c r="E13" s="279">
        <f>[4]Brewhouse!$AI49</f>
        <v>49.51</v>
      </c>
      <c r="F13" s="278">
        <f>[4]Brewhouse!$V49</f>
        <v>60</v>
      </c>
      <c r="G13" s="279">
        <f>[4]Brewhouse!AG49</f>
        <v>11.8</v>
      </c>
      <c r="H13" s="396">
        <v>11.9</v>
      </c>
      <c r="I13" s="368">
        <f>[4]Brewhouse!$AU49</f>
        <v>96.38510978729046</v>
      </c>
      <c r="J13" s="368">
        <f>[4]Brewhouse!$AV49</f>
        <v>97.123713177973471</v>
      </c>
      <c r="K13" s="281">
        <f>[4]Brewhouse!$Q49</f>
        <v>3.992467043314496</v>
      </c>
      <c r="L13" s="276">
        <f>[4]Brewhouse!$P49</f>
        <v>58</v>
      </c>
      <c r="M13" s="397">
        <f>[4]Brewhouse!$U49-[4]Brewhouse!$T49</f>
        <v>0.11180555555555549</v>
      </c>
      <c r="N13" s="370">
        <f>[4]Brewhouse!$Z49</f>
        <v>0.27222222222222214</v>
      </c>
      <c r="O13" s="420" t="str">
        <f>[4]Brewhouse!$AX49</f>
        <v>R.Sookram</v>
      </c>
      <c r="P13" s="418"/>
      <c r="R13" s="277" t="str">
        <f t="shared" si="0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 t="s">
        <v>6</v>
      </c>
      <c r="C14" s="366" t="str">
        <f>[4]Brewhouse!$A50</f>
        <v>CA009</v>
      </c>
      <c r="D14" s="279">
        <f>[4]Brewhouse!$AF50</f>
        <v>52.2</v>
      </c>
      <c r="E14" s="279">
        <f>[4]Brewhouse!$AI50</f>
        <v>49.69</v>
      </c>
      <c r="F14" s="278">
        <f>[4]Brewhouse!$V50</f>
        <v>60</v>
      </c>
      <c r="G14" s="279">
        <f>[4]Brewhouse!AG50</f>
        <v>11.8</v>
      </c>
      <c r="H14" s="396">
        <v>11.9</v>
      </c>
      <c r="I14" s="368">
        <f>[4]Brewhouse!$AU50</f>
        <v>96.854916965661218</v>
      </c>
      <c r="J14" s="368">
        <f>[4]Brewhouse!$AV50</f>
        <v>97.597060827758213</v>
      </c>
      <c r="K14" s="281">
        <f>[4]Brewhouse!$Q50</f>
        <v>2.8679245283018791</v>
      </c>
      <c r="L14" s="276">
        <f>[4]Brewhouse!$P50</f>
        <v>60</v>
      </c>
      <c r="M14" s="397">
        <f>[4]Brewhouse!$U50-[4]Brewhouse!$T50</f>
        <v>0.12152777777777768</v>
      </c>
      <c r="N14" s="370">
        <f>[4]Brewhouse!$Z50</f>
        <v>0.28472222222222221</v>
      </c>
      <c r="O14" s="420" t="str">
        <f>[4]Brewhouse!$AX50</f>
        <v>K. Benjamin</v>
      </c>
      <c r="P14" s="418"/>
      <c r="R14" s="277" t="str">
        <f t="shared" si="0"/>
        <v>CARIB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29" t="s">
        <v>6</v>
      </c>
      <c r="C15" s="366" t="str">
        <f>[4]Brewhouse!$A51</f>
        <v>CA010</v>
      </c>
      <c r="D15" s="279">
        <f>[4]Brewhouse!$AF51</f>
        <v>51.8</v>
      </c>
      <c r="E15" s="279">
        <f>[4]Brewhouse!$AI51</f>
        <v>49.7</v>
      </c>
      <c r="F15" s="278">
        <f>[4]Brewhouse!$V51</f>
        <v>65</v>
      </c>
      <c r="G15" s="279">
        <f>[4]Brewhouse!AG51</f>
        <v>12</v>
      </c>
      <c r="H15" s="396">
        <v>11.9</v>
      </c>
      <c r="I15" s="368">
        <f>[4]Brewhouse!$AU51</f>
        <v>97.756974250197359</v>
      </c>
      <c r="J15" s="368">
        <f>[4]Brewhouse!$AV51</f>
        <v>98.506448631889739</v>
      </c>
      <c r="K15" s="281">
        <f>[4]Brewhouse!$Q51</f>
        <v>4.3773584905660385</v>
      </c>
      <c r="L15" s="276">
        <f>[4]Brewhouse!$P51</f>
        <v>60</v>
      </c>
      <c r="M15" s="397">
        <f>[4]Brewhouse!$U51-[4]Brewhouse!$T51</f>
        <v>0.12291666666666656</v>
      </c>
      <c r="N15" s="370">
        <f>[4]Brewhouse!$Z51</f>
        <v>0.36111111111111116</v>
      </c>
      <c r="O15" s="420" t="str">
        <f>[4]Brewhouse!$AX51</f>
        <v>K. Benjamin</v>
      </c>
      <c r="P15" s="418"/>
      <c r="R15" s="277" t="str">
        <f t="shared" si="0"/>
        <v>CARIB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33"/>
      <c r="C16" s="366"/>
      <c r="D16" s="279"/>
      <c r="E16" s="279"/>
      <c r="F16" s="278"/>
      <c r="G16" s="279"/>
      <c r="H16" s="396"/>
      <c r="I16" s="479"/>
      <c r="J16" s="479"/>
      <c r="K16" s="281"/>
      <c r="L16" s="276"/>
      <c r="M16" s="374"/>
      <c r="N16" s="370"/>
      <c r="O16" s="420"/>
      <c r="P16" s="418"/>
      <c r="R16" s="277">
        <f t="shared" si="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customHeight="1">
      <c r="B17" s="22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5.75" customHeight="1" thickBot="1">
      <c r="B18" s="358"/>
      <c r="C18" s="358"/>
      <c r="D18" s="358"/>
      <c r="E18" s="358"/>
      <c r="F18" s="294"/>
      <c r="G18" s="294"/>
      <c r="H18" s="348"/>
      <c r="I18" s="540"/>
      <c r="J18" s="540"/>
      <c r="K18" s="540"/>
      <c r="L18" s="540"/>
      <c r="M18" s="540"/>
      <c r="N18" s="540"/>
      <c r="O18" s="1"/>
      <c r="P18" s="12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5.75" customHeight="1" thickBot="1">
      <c r="B19" s="388" t="s">
        <v>162</v>
      </c>
      <c r="C19" s="388"/>
      <c r="D19" s="541" t="s">
        <v>35</v>
      </c>
      <c r="E19" s="542"/>
      <c r="F19" s="294"/>
      <c r="G19" s="294"/>
      <c r="H19" s="348"/>
      <c r="I19" s="24" t="s">
        <v>17</v>
      </c>
      <c r="J19" s="25"/>
      <c r="K19" s="26" t="s">
        <v>138</v>
      </c>
      <c r="L19" s="25" t="s">
        <v>37</v>
      </c>
      <c r="M19" s="25" t="s">
        <v>38</v>
      </c>
      <c r="N19" s="27" t="s">
        <v>39</v>
      </c>
      <c r="O19" s="294"/>
      <c r="P19" s="12"/>
      <c r="R19" s="277" t="str">
        <f t="shared" si="0"/>
        <v xml:space="preserve">BRAND 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5" customHeight="1">
      <c r="A20" s="28"/>
      <c r="B20" s="595"/>
      <c r="C20" s="362"/>
      <c r="D20" s="546"/>
      <c r="E20" s="547"/>
      <c r="F20" s="294"/>
      <c r="G20" s="294"/>
      <c r="H20" s="348"/>
      <c r="I20" s="29" t="s">
        <v>6</v>
      </c>
      <c r="J20" s="280">
        <f>AVERAGE(I10:I15)</f>
        <v>97.77987840850885</v>
      </c>
      <c r="K20" s="284">
        <f>COUNTA([4]Brewhouse!$A$42:$A$51)</f>
        <v>10</v>
      </c>
      <c r="L20" s="305">
        <f>AVERAGE([4]Brewhouse!$AU$42:$AU$51)</f>
        <v>98.404055321224547</v>
      </c>
      <c r="M20" s="305">
        <f>AVERAGE([4]Brewhouse!$AU$42:$AU$51)</f>
        <v>98.404055321224547</v>
      </c>
      <c r="N20" s="30">
        <v>98</v>
      </c>
      <c r="O20" s="11"/>
      <c r="P20" s="31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5" customHeight="1">
      <c r="A21" s="28"/>
      <c r="B21" s="596"/>
      <c r="C21" s="362"/>
      <c r="D21" s="548"/>
      <c r="E21" s="532"/>
      <c r="F21" s="294"/>
      <c r="G21" s="294"/>
      <c r="H21" s="348"/>
      <c r="I21" s="33" t="s">
        <v>9</v>
      </c>
      <c r="J21" s="280"/>
      <c r="K21" s="284">
        <f>COUNTA([5]Brewhouse!$A$52)</f>
        <v>1</v>
      </c>
      <c r="L21" s="302">
        <f>[5]Brewhouse!$AS$52</f>
        <v>104.87426366689108</v>
      </c>
      <c r="M21" s="302">
        <f>[5]Brewhouse!$AS$52</f>
        <v>104.87426366689108</v>
      </c>
      <c r="N21" s="30">
        <v>98</v>
      </c>
      <c r="O21" s="11"/>
      <c r="P21" s="31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4.65" customHeight="1">
      <c r="A22" s="28"/>
      <c r="B22" s="596"/>
      <c r="C22" s="362"/>
      <c r="D22" s="536"/>
      <c r="E22" s="537"/>
      <c r="F22" s="294"/>
      <c r="G22" s="294"/>
      <c r="H22" s="348"/>
      <c r="I22" s="34" t="s">
        <v>12</v>
      </c>
      <c r="J22" s="280"/>
      <c r="K22" s="284"/>
      <c r="L22" s="302"/>
      <c r="M22" s="302"/>
      <c r="N22" s="30">
        <v>98</v>
      </c>
      <c r="O22" s="11"/>
      <c r="P22" s="31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4.65" customHeight="1">
      <c r="A23" s="28"/>
      <c r="B23" s="596"/>
      <c r="C23" s="362"/>
      <c r="D23" s="531"/>
      <c r="E23" s="532"/>
      <c r="F23" s="294"/>
      <c r="G23" s="294"/>
      <c r="H23" s="348"/>
      <c r="I23" s="22" t="s">
        <v>33</v>
      </c>
      <c r="J23" s="280"/>
      <c r="K23" s="284"/>
      <c r="L23" s="302"/>
      <c r="M23" s="302"/>
      <c r="N23" s="30">
        <v>98</v>
      </c>
      <c r="O23" s="11"/>
      <c r="P23" s="31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4.65" customHeight="1">
      <c r="A24" s="28"/>
      <c r="B24" s="596"/>
      <c r="C24" s="362"/>
      <c r="D24" s="536"/>
      <c r="E24" s="537"/>
      <c r="F24" s="417"/>
      <c r="G24" s="294"/>
      <c r="H24" s="348"/>
      <c r="I24" s="35" t="s">
        <v>29</v>
      </c>
      <c r="J24" s="280"/>
      <c r="K24" s="284"/>
      <c r="L24" s="302"/>
      <c r="M24" s="302"/>
      <c r="N24" s="30">
        <v>98</v>
      </c>
      <c r="O24" s="11"/>
      <c r="P24" s="31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4.65" customHeight="1">
      <c r="A25" s="28"/>
      <c r="B25" s="596"/>
      <c r="C25" s="362"/>
      <c r="D25" s="531"/>
      <c r="E25" s="532"/>
      <c r="F25" s="417"/>
      <c r="G25" s="294"/>
      <c r="H25" s="348"/>
      <c r="I25" s="36" t="s">
        <v>15</v>
      </c>
      <c r="J25" s="323"/>
      <c r="K25" s="284">
        <f>COUNTA([7]Brewhouse!$A$13:$A$20)</f>
        <v>8</v>
      </c>
      <c r="L25" s="302" t="e">
        <f>AVERAGE([7]Brewhouse!$AT$13:$AT$20)</f>
        <v>#DIV/0!</v>
      </c>
      <c r="M25" s="302" t="e">
        <f>AVERAGE([7]Brewhouse!$AT$13:$AT$20)</f>
        <v>#DIV/0!</v>
      </c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  <c r="AA25" s="474"/>
    </row>
    <row r="26" spans="1:27" ht="14.65" customHeight="1">
      <c r="A26" s="28"/>
      <c r="B26" s="596"/>
      <c r="C26" s="362"/>
      <c r="D26" s="536"/>
      <c r="E26" s="537"/>
      <c r="F26" s="417"/>
      <c r="G26" s="294"/>
      <c r="H26" s="348"/>
      <c r="I26" s="37" t="s">
        <v>16</v>
      </c>
      <c r="J26" s="323"/>
      <c r="K26" s="284">
        <f>COUNTA([8]Brewhouse!$A$5:$A$7)</f>
        <v>3</v>
      </c>
      <c r="L26" s="302">
        <f>AVERAGE([8]Brewhouse!$AY$5:$AY$7)</f>
        <v>98.128633252159673</v>
      </c>
      <c r="M26" s="302">
        <f>AVERAGE([8]Brewhouse!$AY$5:$AY$7)</f>
        <v>98.128633252159673</v>
      </c>
      <c r="N26" s="30">
        <v>98</v>
      </c>
      <c r="O26" s="11"/>
      <c r="P26" s="31" t="s">
        <v>41</v>
      </c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  <c r="AA26" s="474"/>
    </row>
    <row r="27" spans="1:27" ht="14.65" customHeight="1">
      <c r="A27" s="28"/>
      <c r="B27" s="596"/>
      <c r="C27" s="362"/>
      <c r="D27" s="531"/>
      <c r="E27" s="532"/>
      <c r="F27" s="294"/>
      <c r="G27" s="294"/>
      <c r="H27" s="348"/>
      <c r="I27" s="411" t="s">
        <v>158</v>
      </c>
      <c r="J27" s="326"/>
      <c r="K27" s="284"/>
      <c r="L27" s="305"/>
      <c r="M27" s="305"/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  <c r="AA27" s="474"/>
    </row>
    <row r="28" spans="1:27" ht="14.65" customHeight="1">
      <c r="A28" s="28"/>
      <c r="B28" s="596"/>
      <c r="C28" s="349"/>
      <c r="D28" s="536"/>
      <c r="E28" s="537"/>
      <c r="F28" s="294"/>
      <c r="G28" s="294"/>
      <c r="H28" s="348"/>
      <c r="I28" s="410" t="s">
        <v>157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  <c r="AA28" s="474"/>
    </row>
    <row r="29" spans="1:27" ht="15" customHeight="1" thickBot="1">
      <c r="A29" s="28"/>
      <c r="B29" s="596"/>
      <c r="C29" s="349"/>
      <c r="D29" s="531"/>
      <c r="E29" s="532"/>
      <c r="F29" s="294"/>
      <c r="G29" s="294"/>
      <c r="H29" s="348"/>
      <c r="I29" s="406" t="s">
        <v>156</v>
      </c>
      <c r="J29" s="327"/>
      <c r="K29" s="407"/>
      <c r="L29" s="408"/>
      <c r="M29" s="408"/>
      <c r="N29" s="409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  <c r="AA29" s="474"/>
    </row>
    <row r="30" spans="1:27" ht="15" customHeight="1" thickBot="1">
      <c r="A30" s="28"/>
      <c r="B30" s="596"/>
      <c r="C30" s="349"/>
      <c r="D30" s="546"/>
      <c r="E30" s="547"/>
      <c r="F30" s="294"/>
      <c r="G30" s="294"/>
      <c r="H30" s="348"/>
      <c r="I30" s="1"/>
      <c r="J30" s="39"/>
      <c r="K30" s="404">
        <f>SUM(K20:K29)</f>
        <v>22</v>
      </c>
      <c r="L30" s="405" t="e">
        <f>((L20*K20)+(L21*K21)+(L22*K22)+(L23*K23)+(L24*K24)+(K27*L27)+(L25*K25)+(L26*K26)+(L29*K29))/(K30)</f>
        <v>#DIV/0!</v>
      </c>
      <c r="M30" s="405" t="e">
        <f>L30</f>
        <v>#DIV/0!</v>
      </c>
      <c r="N30" s="40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5.75" thickBot="1">
      <c r="B31" s="597"/>
      <c r="C31" s="350"/>
      <c r="D31" s="548"/>
      <c r="E31" s="532"/>
      <c r="F31" s="294"/>
      <c r="G31" s="42"/>
      <c r="H31" s="41"/>
      <c r="I31" s="42"/>
      <c r="J31" s="42"/>
      <c r="K31" s="351"/>
      <c r="L31" s="348"/>
      <c r="M31" s="348"/>
      <c r="N31" s="11"/>
      <c r="O31" s="294"/>
      <c r="P31" s="12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5.75" thickBot="1">
      <c r="B32" s="526"/>
      <c r="C32" s="362"/>
      <c r="D32" s="529"/>
      <c r="E32" s="530"/>
      <c r="F32" s="294"/>
      <c r="G32" s="42"/>
      <c r="H32" s="41"/>
      <c r="I32" s="42"/>
      <c r="J32" s="533" t="s">
        <v>129</v>
      </c>
      <c r="K32" s="533"/>
      <c r="L32" s="294"/>
      <c r="M32" s="294"/>
      <c r="N32" s="294"/>
      <c r="O32" s="294"/>
      <c r="P32" s="12"/>
    </row>
    <row r="33" spans="2:56" ht="15.75" thickBot="1">
      <c r="B33" s="527"/>
      <c r="C33" s="362"/>
      <c r="D33" s="531"/>
      <c r="E33" s="532"/>
      <c r="F33" s="294"/>
      <c r="G33" s="42"/>
      <c r="H33" s="42"/>
      <c r="I33" s="42"/>
      <c r="J33" s="292" t="s">
        <v>17</v>
      </c>
      <c r="K33" s="293" t="s">
        <v>147</v>
      </c>
      <c r="L33" s="534" t="s">
        <v>136</v>
      </c>
      <c r="M33" s="534"/>
      <c r="N33" s="535"/>
      <c r="O33" s="294"/>
      <c r="P33" s="12"/>
    </row>
    <row r="34" spans="2:56" ht="15" customHeight="1" thickBot="1">
      <c r="B34" s="527"/>
      <c r="C34" s="349"/>
      <c r="D34" s="536"/>
      <c r="E34" s="537"/>
      <c r="F34" s="294"/>
      <c r="G34" s="42"/>
      <c r="H34" s="42"/>
      <c r="I34" s="42"/>
      <c r="J34" s="287" t="s">
        <v>6</v>
      </c>
      <c r="K34" s="324">
        <v>6</v>
      </c>
      <c r="L34" s="475" t="s">
        <v>37</v>
      </c>
      <c r="M34" s="476" t="s">
        <v>38</v>
      </c>
      <c r="N34" s="476" t="s">
        <v>84</v>
      </c>
      <c r="O34" s="294"/>
      <c r="P34" s="12"/>
    </row>
    <row r="35" spans="2:56" ht="15.75" customHeight="1" thickBot="1">
      <c r="B35" s="527"/>
      <c r="C35" s="349"/>
      <c r="D35" s="531"/>
      <c r="E35" s="532"/>
      <c r="F35" s="294"/>
      <c r="G35" s="42"/>
      <c r="H35" s="42"/>
      <c r="I35" s="42"/>
      <c r="J35" s="345" t="s">
        <v>9</v>
      </c>
      <c r="K35" s="324"/>
      <c r="L35" s="344">
        <f>AVERAGE('Jan 2nd'!K45,'Jan 5th'!K45,'Jan 6th'!K49,'Jan 7th'!K49,'Jan 8th '!K44)</f>
        <v>5.8</v>
      </c>
      <c r="M35" s="325">
        <f>AVERAGE(L35)</f>
        <v>5.8</v>
      </c>
      <c r="N35" s="416">
        <v>9.1999999999999993</v>
      </c>
      <c r="O35" s="294"/>
      <c r="P35" s="12"/>
    </row>
    <row r="36" spans="2:56" ht="15" customHeight="1">
      <c r="B36" s="527"/>
      <c r="C36" s="349"/>
      <c r="D36" s="536"/>
      <c r="E36" s="537"/>
      <c r="F36" s="294"/>
      <c r="G36" s="42"/>
      <c r="H36" s="42"/>
      <c r="I36" s="42"/>
      <c r="J36" s="288" t="s">
        <v>40</v>
      </c>
      <c r="K36" s="324"/>
      <c r="L36" s="294"/>
      <c r="M36" s="294"/>
      <c r="N36" s="294"/>
      <c r="O36" s="294"/>
      <c r="P36" s="12"/>
    </row>
    <row r="37" spans="2:56" ht="15" customHeight="1">
      <c r="B37" s="527"/>
      <c r="C37" s="349"/>
      <c r="D37" s="531"/>
      <c r="E37" s="532"/>
      <c r="F37" s="294"/>
      <c r="G37" s="42"/>
      <c r="H37" s="42"/>
      <c r="I37" s="42"/>
      <c r="J37" s="289" t="s">
        <v>33</v>
      </c>
      <c r="K37" s="324"/>
      <c r="L37" s="294"/>
      <c r="M37" s="294"/>
      <c r="N37" s="294"/>
      <c r="O37" s="294"/>
      <c r="P37" s="12"/>
    </row>
    <row r="38" spans="2:56" ht="15">
      <c r="B38" s="527"/>
      <c r="C38" s="349"/>
      <c r="D38" s="536"/>
      <c r="E38" s="537"/>
      <c r="F38" s="294"/>
      <c r="G38" s="42"/>
      <c r="H38" s="42"/>
      <c r="I38" s="42"/>
      <c r="J38" s="290" t="s">
        <v>16</v>
      </c>
      <c r="K38" s="324"/>
      <c r="L38" s="294"/>
      <c r="M38" s="294"/>
      <c r="N38" s="294"/>
      <c r="O38" s="294"/>
      <c r="P38" s="12"/>
      <c r="BC38" s="44"/>
      <c r="BD38" s="44"/>
    </row>
    <row r="39" spans="2:56" ht="15">
      <c r="B39" s="527"/>
      <c r="C39" s="349"/>
      <c r="D39" s="531"/>
      <c r="E39" s="532"/>
      <c r="F39" s="294"/>
      <c r="G39" s="42"/>
      <c r="H39" s="42"/>
      <c r="I39" s="42"/>
      <c r="J39" s="291" t="s">
        <v>15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7"/>
      <c r="C40" s="349"/>
      <c r="D40" s="536"/>
      <c r="E40" s="537"/>
      <c r="F40" s="294"/>
      <c r="G40" s="42"/>
      <c r="H40" s="42"/>
      <c r="I40" s="42"/>
      <c r="J40" s="291" t="s">
        <v>149</v>
      </c>
      <c r="K40" s="324"/>
      <c r="L40" s="294"/>
      <c r="M40" s="294"/>
      <c r="N40" s="294"/>
      <c r="O40" s="294"/>
      <c r="P40" s="12"/>
      <c r="BC40" s="44"/>
      <c r="BD40" s="44"/>
    </row>
    <row r="41" spans="2:56" ht="15.75" thickBot="1">
      <c r="B41" s="528"/>
      <c r="C41" s="350"/>
      <c r="D41" s="538"/>
      <c r="E41" s="539"/>
      <c r="F41" s="294" t="s">
        <v>166</v>
      </c>
      <c r="G41" s="42"/>
      <c r="H41" s="42"/>
      <c r="I41" s="42"/>
      <c r="J41" s="291" t="s">
        <v>148</v>
      </c>
      <c r="K41" s="324"/>
      <c r="L41" s="294"/>
      <c r="M41" s="294"/>
      <c r="N41" s="294" t="s">
        <v>41</v>
      </c>
      <c r="O41" s="294"/>
      <c r="P41" s="12"/>
      <c r="BC41" s="44"/>
      <c r="BD41" s="44"/>
    </row>
    <row r="42" spans="2:56" ht="17.649999999999999" customHeight="1" thickBot="1">
      <c r="B42" s="312" t="s">
        <v>139</v>
      </c>
      <c r="C42" s="313"/>
      <c r="D42" s="519"/>
      <c r="E42" s="520"/>
      <c r="F42" s="294"/>
      <c r="J42" s="295" t="s">
        <v>134</v>
      </c>
      <c r="K42" s="324"/>
      <c r="L42" s="294"/>
      <c r="M42" s="294"/>
      <c r="N42" s="294"/>
      <c r="O42" s="294"/>
      <c r="P42" s="12"/>
      <c r="BC42" s="44"/>
      <c r="BD42" s="44"/>
    </row>
    <row r="43" spans="2:56" ht="17.649999999999999" customHeight="1">
      <c r="B43" s="363"/>
      <c r="C43" s="364"/>
      <c r="D43" s="365"/>
      <c r="E43" s="365"/>
      <c r="F43" s="294"/>
      <c r="G43" s="42"/>
      <c r="H43" s="42"/>
      <c r="I43" s="42"/>
      <c r="J43" s="295" t="s">
        <v>131</v>
      </c>
      <c r="K43" s="324"/>
      <c r="L43" s="294"/>
      <c r="M43" s="294"/>
      <c r="N43" s="294"/>
      <c r="O43" s="294"/>
      <c r="P43" s="12"/>
      <c r="BC43" s="44"/>
      <c r="BD43" s="44"/>
    </row>
    <row r="44" spans="2:56" ht="15.6" customHeight="1">
      <c r="B44" s="45"/>
      <c r="C44" s="11"/>
      <c r="D44" s="11"/>
      <c r="E44" s="46"/>
      <c r="F44" s="294"/>
      <c r="G44" s="42"/>
      <c r="H44" s="42"/>
      <c r="I44" s="42"/>
      <c r="J44" s="346" t="s">
        <v>130</v>
      </c>
      <c r="K44" s="324">
        <f>SUM(K34:K43)</f>
        <v>6</v>
      </c>
      <c r="L44" s="294"/>
      <c r="M44" s="294"/>
      <c r="N44" s="294"/>
      <c r="O44" s="294"/>
      <c r="P44" s="12"/>
    </row>
    <row r="45" spans="2:56" ht="20.25" customHeight="1">
      <c r="B45" s="15" t="s">
        <v>42</v>
      </c>
      <c r="C45" s="1" t="s">
        <v>43</v>
      </c>
      <c r="D45" s="1"/>
      <c r="E45" s="1"/>
      <c r="F45" s="294"/>
      <c r="G45" s="42"/>
      <c r="H45" s="41"/>
      <c r="I45" s="42"/>
      <c r="J45" s="42"/>
      <c r="L45" s="294"/>
      <c r="N45" s="315"/>
      <c r="P45" s="334"/>
    </row>
    <row r="46" spans="2:56" ht="15" customHeight="1" thickBot="1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1"/>
      <c r="O46" s="48"/>
      <c r="P46" s="49"/>
    </row>
    <row r="47" spans="2:56" ht="15" customHeight="1" thickBot="1">
      <c r="B47" s="511" t="s">
        <v>17</v>
      </c>
      <c r="C47" s="511" t="s">
        <v>44</v>
      </c>
      <c r="D47" s="522" t="s">
        <v>45</v>
      </c>
      <c r="E47" s="524" t="s">
        <v>46</v>
      </c>
      <c r="F47" s="517" t="s">
        <v>47</v>
      </c>
      <c r="G47" s="509" t="s">
        <v>48</v>
      </c>
      <c r="H47" s="511" t="s">
        <v>49</v>
      </c>
      <c r="I47" s="511" t="s">
        <v>50</v>
      </c>
      <c r="J47" s="503" t="s">
        <v>28</v>
      </c>
      <c r="K47" s="513" t="s">
        <v>51</v>
      </c>
      <c r="L47" s="515" t="s">
        <v>52</v>
      </c>
      <c r="M47" s="503" t="s">
        <v>53</v>
      </c>
      <c r="N47" s="13"/>
      <c r="O47" s="13"/>
      <c r="P47" s="50"/>
    </row>
    <row r="48" spans="2:56" ht="28.5" customHeight="1" thickTop="1" thickBot="1">
      <c r="B48" s="521"/>
      <c r="C48" s="521"/>
      <c r="D48" s="523"/>
      <c r="E48" s="525"/>
      <c r="F48" s="518"/>
      <c r="G48" s="510"/>
      <c r="H48" s="512"/>
      <c r="I48" s="512"/>
      <c r="J48" s="504"/>
      <c r="K48" s="514"/>
      <c r="L48" s="516"/>
      <c r="M48" s="504"/>
      <c r="N48" s="13"/>
      <c r="O48" s="13"/>
      <c r="P48" s="50"/>
      <c r="Q48" s="355"/>
      <c r="AB48" s="477">
        <v>43474</v>
      </c>
      <c r="AC48" s="477">
        <v>43475</v>
      </c>
      <c r="AD48" s="477">
        <v>43476</v>
      </c>
      <c r="AE48" s="477">
        <v>43477</v>
      </c>
      <c r="AF48" s="477">
        <v>43478</v>
      </c>
      <c r="AG48" s="477">
        <v>43479</v>
      </c>
      <c r="AH48" s="477">
        <v>43480</v>
      </c>
      <c r="AI48" s="477">
        <v>43481</v>
      </c>
      <c r="AJ48" s="477">
        <v>43482</v>
      </c>
      <c r="AK48" s="477">
        <v>43483</v>
      </c>
      <c r="AL48" s="477">
        <v>43484</v>
      </c>
      <c r="AM48" s="477">
        <v>43485</v>
      </c>
      <c r="AN48" s="477">
        <v>43486</v>
      </c>
      <c r="AO48" s="477">
        <v>43487</v>
      </c>
      <c r="AP48" s="477">
        <v>43488</v>
      </c>
      <c r="AQ48" s="477">
        <v>43489</v>
      </c>
      <c r="AR48" s="477">
        <v>43490</v>
      </c>
      <c r="AS48" s="477">
        <v>43491</v>
      </c>
      <c r="AT48" s="477">
        <v>43492</v>
      </c>
      <c r="AU48" s="477">
        <v>43493</v>
      </c>
      <c r="AV48" s="477">
        <v>43494</v>
      </c>
      <c r="AW48" s="477">
        <v>43495</v>
      </c>
      <c r="AX48" s="477">
        <v>43496</v>
      </c>
    </row>
    <row r="49" spans="2:57" s="54" customFormat="1" ht="43.15" customHeight="1" thickBot="1">
      <c r="B49" s="456"/>
      <c r="C49" s="441"/>
      <c r="D49" s="442"/>
      <c r="E49" s="443"/>
      <c r="F49" s="444"/>
      <c r="G49" s="444"/>
      <c r="H49" s="458"/>
      <c r="I49" s="458"/>
      <c r="J49" s="448"/>
      <c r="K49" s="449"/>
      <c r="L49" s="478"/>
      <c r="M49" s="455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57">
        <f>[9]January_2019!L7</f>
        <v>285.8</v>
      </c>
      <c r="AC49" s="57">
        <f>[9]January_2019!M7</f>
        <v>508.1</v>
      </c>
      <c r="AD49" s="57">
        <f>[9]January_2019!N7</f>
        <v>0</v>
      </c>
      <c r="AE49" s="57">
        <f>[9]January_2019!O7</f>
        <v>0</v>
      </c>
      <c r="AF49" s="57">
        <f>[9]January_2019!P7</f>
        <v>109.56666666666666</v>
      </c>
      <c r="AG49" s="57">
        <f>[9]January_2019!Q7</f>
        <v>297.64999999999998</v>
      </c>
      <c r="AH49" s="57">
        <f>[9]January_2019!R7</f>
        <v>122.3</v>
      </c>
      <c r="AI49" s="57">
        <f>[9]January_2019!S7</f>
        <v>0</v>
      </c>
      <c r="AJ49" s="57">
        <f>[9]January_2019!T7</f>
        <v>294.7</v>
      </c>
      <c r="AK49" s="57">
        <f>[9]January_2019!U7</f>
        <v>280.5</v>
      </c>
      <c r="AL49" s="57">
        <f>[9]January_2019!V7</f>
        <v>0</v>
      </c>
      <c r="AM49" s="57">
        <f>[9]January_2019!W7</f>
        <v>0</v>
      </c>
      <c r="AN49" s="57">
        <f>[9]January_2019!X7</f>
        <v>188.25</v>
      </c>
      <c r="AO49" s="57">
        <f>[9]January_2019!Y7</f>
        <v>295.7</v>
      </c>
      <c r="AP49" s="57">
        <f>[9]January_2019!Z7</f>
        <v>257.8</v>
      </c>
      <c r="AQ49" s="57">
        <f>[9]January_2019!AA7</f>
        <v>291.2</v>
      </c>
      <c r="AR49" s="57">
        <f>[9]January_2019!AB7</f>
        <v>187</v>
      </c>
      <c r="AS49" s="57">
        <f>[9]January_2019!AC7</f>
        <v>0</v>
      </c>
      <c r="AT49" s="57">
        <f>[9]January_2019!AD7</f>
        <v>0</v>
      </c>
      <c r="AU49" s="57">
        <f>[9]January_2019!AE7</f>
        <v>485.1</v>
      </c>
      <c r="AV49" s="57">
        <f>[9]January_2019!AF7</f>
        <v>171.55</v>
      </c>
      <c r="AW49" s="57">
        <f>[9]January_2019!AG7</f>
        <v>423.8</v>
      </c>
      <c r="AX49" s="277">
        <f>[9]January_2019!AH7</f>
        <v>0</v>
      </c>
      <c r="AY49" s="277"/>
      <c r="AZ49" s="277"/>
      <c r="BA49" s="277"/>
      <c r="BB49" s="277"/>
      <c r="BC49" s="277"/>
      <c r="BD49" s="277"/>
      <c r="BE49" s="277"/>
    </row>
    <row r="50" spans="2:57" s="54" customFormat="1" ht="19.5" hidden="1" customHeight="1" thickBot="1">
      <c r="B50" s="468"/>
      <c r="C50" s="430"/>
      <c r="D50" s="431"/>
      <c r="E50" s="432"/>
      <c r="F50" s="433"/>
      <c r="G50" s="434"/>
      <c r="H50" s="428"/>
      <c r="I50" s="428"/>
      <c r="J50" s="451"/>
      <c r="K50" s="436"/>
      <c r="L50" s="452"/>
      <c r="M50" s="421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277"/>
      <c r="AY50" s="277"/>
      <c r="AZ50" s="277"/>
      <c r="BA50" s="277"/>
      <c r="BB50" s="277"/>
      <c r="BC50" s="277"/>
      <c r="BD50" s="277"/>
      <c r="BE50" s="277"/>
    </row>
    <row r="51" spans="2:57" s="54" customFormat="1" ht="38.450000000000003" hidden="1" customHeight="1" thickBot="1">
      <c r="B51" s="456"/>
      <c r="C51" s="441"/>
      <c r="D51" s="442"/>
      <c r="E51" s="443"/>
      <c r="F51" s="444"/>
      <c r="G51" s="445"/>
      <c r="H51" s="458"/>
      <c r="I51" s="458"/>
      <c r="J51" s="448"/>
      <c r="K51" s="460"/>
      <c r="L51" s="457"/>
      <c r="M51" s="455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2:57" s="54" customFormat="1" ht="15" hidden="1">
      <c r="B52" s="453"/>
      <c r="C52" s="430"/>
      <c r="D52" s="431"/>
      <c r="E52" s="432"/>
      <c r="F52" s="433"/>
      <c r="G52" s="434"/>
      <c r="H52" s="435"/>
      <c r="I52" s="450"/>
      <c r="J52" s="451"/>
      <c r="K52" s="436"/>
      <c r="L52" s="452"/>
      <c r="M52" s="421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2:57" s="54" customFormat="1" ht="37.15" hidden="1" customHeight="1" thickBot="1">
      <c r="B53" s="459"/>
      <c r="C53" s="441"/>
      <c r="D53" s="442"/>
      <c r="E53" s="443"/>
      <c r="F53" s="444"/>
      <c r="G53" s="445"/>
      <c r="H53" s="446"/>
      <c r="I53" s="447"/>
      <c r="J53" s="448"/>
      <c r="K53" s="449"/>
      <c r="L53" s="457"/>
      <c r="M53" s="454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2:57" s="54" customFormat="1" ht="16.5" hidden="1" customHeight="1" thickBot="1">
      <c r="B54" s="437"/>
      <c r="C54" s="423"/>
      <c r="D54" s="424"/>
      <c r="E54" s="425"/>
      <c r="F54" s="426"/>
      <c r="G54" s="427"/>
      <c r="H54" s="428"/>
      <c r="I54" s="438"/>
      <c r="J54" s="439"/>
      <c r="K54" s="429"/>
      <c r="L54" s="440"/>
      <c r="M54" s="42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415"/>
      <c r="AR54" s="415"/>
      <c r="AS54" s="415"/>
      <c r="AT54" s="415"/>
      <c r="AU54" s="415"/>
      <c r="AV54" s="415"/>
      <c r="AW54" s="415"/>
    </row>
    <row r="55" spans="2:57" s="54" customFormat="1" ht="37.15" hidden="1" customHeight="1" thickBot="1">
      <c r="B55" s="456"/>
      <c r="C55" s="441"/>
      <c r="D55" s="442"/>
      <c r="E55" s="443"/>
      <c r="F55" s="444"/>
      <c r="G55" s="445"/>
      <c r="H55" s="446"/>
      <c r="I55" s="447"/>
      <c r="J55" s="448"/>
      <c r="K55" s="449"/>
      <c r="L55" s="457"/>
      <c r="M55" s="454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2:57" s="54" customFormat="1" ht="37.15" customHeight="1">
      <c r="B56" s="467"/>
      <c r="C56" s="430"/>
      <c r="D56" s="461"/>
      <c r="E56" s="462"/>
      <c r="F56" s="463"/>
      <c r="G56" s="461"/>
      <c r="H56" s="464"/>
      <c r="I56" s="464"/>
      <c r="J56" s="464"/>
      <c r="K56" s="465"/>
      <c r="L56" s="466"/>
      <c r="M56" s="50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 t="s">
        <v>41</v>
      </c>
      <c r="O57" s="56"/>
      <c r="P57" s="60"/>
    </row>
    <row r="58" spans="2:57" ht="15.75" thickBot="1">
      <c r="B58" s="505" t="s">
        <v>55</v>
      </c>
      <c r="C58" s="506"/>
      <c r="D58" s="506"/>
      <c r="E58" s="506"/>
      <c r="F58" s="507"/>
      <c r="G58" s="505" t="s">
        <v>56</v>
      </c>
      <c r="H58" s="506"/>
      <c r="I58" s="506"/>
      <c r="J58" s="507"/>
      <c r="K58" s="505" t="s">
        <v>51</v>
      </c>
      <c r="L58" s="506"/>
      <c r="M58" s="506"/>
      <c r="N58" s="508"/>
      <c r="O58" s="56"/>
      <c r="P58" s="50"/>
    </row>
    <row r="59" spans="2:57" ht="15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 t="s">
        <v>36</v>
      </c>
      <c r="L59" s="62" t="s">
        <v>37</v>
      </c>
      <c r="M59" s="62" t="s">
        <v>38</v>
      </c>
      <c r="N59" s="63" t="s">
        <v>39</v>
      </c>
      <c r="O59" s="56"/>
      <c r="P59" s="64"/>
    </row>
    <row r="60" spans="2:57" ht="15">
      <c r="B60" s="29" t="s">
        <v>6</v>
      </c>
      <c r="C60" s="282"/>
      <c r="D60" s="76">
        <v>13.605323060759916</v>
      </c>
      <c r="E60" s="76">
        <v>13.605323060759916</v>
      </c>
      <c r="F60" s="66">
        <v>4.8</v>
      </c>
      <c r="G60" s="65"/>
      <c r="H60" s="480">
        <v>15.657242114346415</v>
      </c>
      <c r="I60" s="76">
        <v>15.657242114346415</v>
      </c>
      <c r="J60" s="66">
        <v>4.8</v>
      </c>
      <c r="K60" s="67"/>
      <c r="L60" s="194">
        <v>0.19106140350877193</v>
      </c>
      <c r="M60" s="194">
        <v>0.19106140350877193</v>
      </c>
      <c r="N60" s="68">
        <v>1</v>
      </c>
      <c r="O60" s="56"/>
      <c r="P60" s="69"/>
    </row>
    <row r="61" spans="2:57" ht="15">
      <c r="B61" s="33" t="s">
        <v>9</v>
      </c>
      <c r="C61" s="65"/>
      <c r="D61" s="76"/>
      <c r="E61" s="76"/>
      <c r="F61" s="66">
        <v>4.8</v>
      </c>
      <c r="G61" s="65"/>
      <c r="H61" s="76"/>
      <c r="I61" s="76"/>
      <c r="J61" s="66">
        <v>4.8</v>
      </c>
      <c r="K61" s="67"/>
      <c r="L61" s="194"/>
      <c r="M61" s="194"/>
      <c r="N61" s="68">
        <v>1</v>
      </c>
      <c r="P61" s="69"/>
    </row>
    <row r="62" spans="2:57" ht="15">
      <c r="B62" s="34" t="s">
        <v>40</v>
      </c>
      <c r="C62" s="65"/>
      <c r="D62" s="76"/>
      <c r="E62" s="76"/>
      <c r="F62" s="66">
        <v>5.5</v>
      </c>
      <c r="G62" s="65"/>
      <c r="H62" s="76"/>
      <c r="I62" s="76"/>
      <c r="J62" s="66">
        <v>5.5</v>
      </c>
      <c r="K62" s="67"/>
      <c r="L62" s="194"/>
      <c r="M62" s="194"/>
      <c r="N62" s="68">
        <v>1</v>
      </c>
      <c r="P62" s="69"/>
    </row>
    <row r="63" spans="2:57" ht="15">
      <c r="B63" s="22" t="s">
        <v>33</v>
      </c>
      <c r="C63" s="65"/>
      <c r="D63" s="76"/>
      <c r="E63" s="76"/>
      <c r="F63" s="66">
        <v>3.3</v>
      </c>
      <c r="G63" s="65"/>
      <c r="H63" s="76"/>
      <c r="I63" s="76"/>
      <c r="J63" s="66">
        <v>3.3</v>
      </c>
      <c r="K63" s="67"/>
      <c r="L63" s="194"/>
      <c r="M63" s="194"/>
      <c r="N63" s="68">
        <v>1</v>
      </c>
      <c r="P63" s="69"/>
    </row>
    <row r="64" spans="2:57" ht="15">
      <c r="B64" s="35" t="s">
        <v>164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K64" s="67"/>
      <c r="L64" s="194"/>
      <c r="M64" s="194"/>
      <c r="N64" s="68">
        <v>1</v>
      </c>
      <c r="P64" s="69"/>
    </row>
    <row r="65" spans="2:16" ht="15">
      <c r="B65" s="36" t="s">
        <v>15</v>
      </c>
      <c r="C65" s="65"/>
      <c r="D65" s="76"/>
      <c r="E65" s="76"/>
      <c r="F65" s="70">
        <f>[10]May_2022!$M$43</f>
        <v>3.4878406700073312</v>
      </c>
      <c r="G65" s="282"/>
      <c r="H65" s="76"/>
      <c r="I65" s="76"/>
      <c r="J65" s="66">
        <v>5.5</v>
      </c>
      <c r="K65" s="67"/>
      <c r="L65" s="194"/>
      <c r="M65" s="194"/>
      <c r="N65" s="68">
        <v>1</v>
      </c>
      <c r="P65" s="69"/>
    </row>
    <row r="66" spans="2:16" ht="15">
      <c r="B66" s="37" t="s">
        <v>16</v>
      </c>
      <c r="C66" s="65"/>
      <c r="D66" s="76"/>
      <c r="E66" s="76"/>
      <c r="F66" s="66">
        <v>3.3</v>
      </c>
      <c r="G66" s="282"/>
      <c r="H66" s="76"/>
      <c r="I66" s="76"/>
      <c r="J66" s="66">
        <v>3.3</v>
      </c>
      <c r="K66" s="67"/>
      <c r="L66" s="194"/>
      <c r="M66" s="194"/>
      <c r="N66" s="71">
        <v>1</v>
      </c>
      <c r="P66" s="69"/>
    </row>
    <row r="67" spans="2:16" ht="15.75" thickBot="1">
      <c r="B67" s="38" t="s">
        <v>163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M67" s="194"/>
      <c r="N67" s="71">
        <v>1</v>
      </c>
      <c r="P67" s="69"/>
    </row>
    <row r="68" spans="2:16" ht="15.75" thickBot="1">
      <c r="B68" s="414" t="s">
        <v>161</v>
      </c>
      <c r="C68" s="65"/>
      <c r="D68" s="76"/>
      <c r="E68" s="76"/>
      <c r="F68" s="66">
        <v>4.8</v>
      </c>
      <c r="G68" s="282"/>
      <c r="H68" s="76"/>
      <c r="I68" s="76"/>
      <c r="J68" s="66">
        <v>4.8</v>
      </c>
      <c r="K68" s="67"/>
      <c r="L68" s="194"/>
      <c r="M68" s="194"/>
      <c r="N68" s="71">
        <v>1</v>
      </c>
      <c r="O68" s="74"/>
      <c r="P68" s="75"/>
    </row>
    <row r="69" spans="2:16" ht="15">
      <c r="D69" s="76">
        <v>13.605323060759916</v>
      </c>
      <c r="E69" s="76">
        <v>13.605323060759916</v>
      </c>
      <c r="F69" s="341">
        <v>5.5</v>
      </c>
      <c r="H69" s="76">
        <v>15.657242114346415</v>
      </c>
      <c r="I69" s="76">
        <v>15.657242114346415</v>
      </c>
      <c r="J69" s="341">
        <v>5.5</v>
      </c>
      <c r="L69" s="194">
        <v>0.19106140350877193</v>
      </c>
      <c r="M69" s="194">
        <v>0.19106140350877193</v>
      </c>
      <c r="N69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8:N18"/>
    <mergeCell ref="D19:E19"/>
    <mergeCell ref="B20:B31"/>
    <mergeCell ref="D20:E21"/>
    <mergeCell ref="D22:E23"/>
    <mergeCell ref="D24:E25"/>
    <mergeCell ref="D26:E27"/>
    <mergeCell ref="D28:E29"/>
    <mergeCell ref="D30:E31"/>
    <mergeCell ref="B32:B41"/>
    <mergeCell ref="D32:E33"/>
    <mergeCell ref="J32:K32"/>
    <mergeCell ref="L33:N33"/>
    <mergeCell ref="D34:E35"/>
    <mergeCell ref="D36:E37"/>
    <mergeCell ref="D38:E39"/>
    <mergeCell ref="D40:E41"/>
    <mergeCell ref="D42:E42"/>
    <mergeCell ref="B47:B48"/>
    <mergeCell ref="C47:C48"/>
    <mergeCell ref="D47:D48"/>
    <mergeCell ref="E47:E48"/>
    <mergeCell ref="M47:M48"/>
    <mergeCell ref="B58:F58"/>
    <mergeCell ref="G58:J58"/>
    <mergeCell ref="K58:N58"/>
    <mergeCell ref="G47:G48"/>
    <mergeCell ref="H47:H48"/>
    <mergeCell ref="I47:I48"/>
    <mergeCell ref="J47:J48"/>
    <mergeCell ref="K47:K48"/>
    <mergeCell ref="L47:L48"/>
    <mergeCell ref="F47:F48"/>
  </mergeCells>
  <conditionalFormatting sqref="B42:B43">
    <cfRule type="cellIs" dxfId="3249" priority="54" operator="notBetween">
      <formula>#REF!</formula>
      <formula>#REF!</formula>
    </cfRule>
  </conditionalFormatting>
  <conditionalFormatting sqref="C46">
    <cfRule type="cellIs" dxfId="3248" priority="200" stopIfTrue="1" operator="greaterThan">
      <formula>100</formula>
    </cfRule>
    <cfRule type="cellIs" dxfId="3247" priority="199" stopIfTrue="1" operator="lessThan">
      <formula>96</formula>
    </cfRule>
  </conditionalFormatting>
  <conditionalFormatting sqref="C60:C64">
    <cfRule type="cellIs" dxfId="3246" priority="153" stopIfTrue="1" operator="lessThanOrEqual">
      <formula>0</formula>
    </cfRule>
  </conditionalFormatting>
  <conditionalFormatting sqref="C60:C68">
    <cfRule type="cellIs" dxfId="3245" priority="152" stopIfTrue="1" operator="greaterThan">
      <formula>$F60</formula>
    </cfRule>
  </conditionalFormatting>
  <conditionalFormatting sqref="C61">
    <cfRule type="cellIs" dxfId="3244" priority="203" stopIfTrue="1" operator="greaterThan">
      <formula>$F60</formula>
    </cfRule>
  </conditionalFormatting>
  <conditionalFormatting sqref="C65">
    <cfRule type="cellIs" dxfId="3243" priority="93" stopIfTrue="1" operator="greaterThan">
      <formula>$F64</formula>
    </cfRule>
    <cfRule type="cellIs" dxfId="3242" priority="92" stopIfTrue="1" operator="lessThanOrEqual">
      <formula>0</formula>
    </cfRule>
  </conditionalFormatting>
  <conditionalFormatting sqref="C71:C75">
    <cfRule type="cellIs" dxfId="3241" priority="191" stopIfTrue="1" operator="lessThanOrEqual">
      <formula>0</formula>
    </cfRule>
  </conditionalFormatting>
  <conditionalFormatting sqref="C72:C75">
    <cfRule type="cellIs" dxfId="3240" priority="190" stopIfTrue="1" operator="greaterThan">
      <formula>$F$71</formula>
    </cfRule>
  </conditionalFormatting>
  <conditionalFormatting sqref="C77">
    <cfRule type="cellIs" dxfId="3239" priority="193" stopIfTrue="1" operator="lessThanOrEqual">
      <formula>0</formula>
    </cfRule>
    <cfRule type="cellIs" dxfId="3238" priority="192" stopIfTrue="1" operator="greaterThan">
      <formula>$F$71</formula>
    </cfRule>
  </conditionalFormatting>
  <conditionalFormatting sqref="C71:D71 D73:D79">
    <cfRule type="cellIs" dxfId="3237" priority="185" stopIfTrue="1" operator="greaterThan">
      <formula>4.5</formula>
    </cfRule>
  </conditionalFormatting>
  <conditionalFormatting sqref="D42:D43">
    <cfRule type="cellIs" dxfId="3236" priority="55" operator="notBetween">
      <formula>#REF!</formula>
      <formula>#REF!</formula>
    </cfRule>
  </conditionalFormatting>
  <conditionalFormatting sqref="D60:D67">
    <cfRule type="cellIs" dxfId="3235" priority="165" stopIfTrue="1" operator="lessThanOrEqual">
      <formula>0</formula>
    </cfRule>
  </conditionalFormatting>
  <conditionalFormatting sqref="D68">
    <cfRule type="cellIs" dxfId="3234" priority="164" stopIfTrue="1" operator="lessThanOrEqual">
      <formula>0</formula>
    </cfRule>
  </conditionalFormatting>
  <conditionalFormatting sqref="D71 D73:D79">
    <cfRule type="cellIs" dxfId="3233" priority="186" stopIfTrue="1" operator="lessThanOrEqual">
      <formula>0</formula>
    </cfRule>
  </conditionalFormatting>
  <conditionalFormatting sqref="D72">
    <cfRule type="cellIs" dxfId="3232" priority="177" stopIfTrue="1" operator="greaterThan">
      <formula>$F$71</formula>
    </cfRule>
    <cfRule type="cellIs" dxfId="3231" priority="178" stopIfTrue="1" operator="lessThanOrEqual">
      <formula>0</formula>
    </cfRule>
  </conditionalFormatting>
  <conditionalFormatting sqref="D60:E69">
    <cfRule type="cellIs" dxfId="3230" priority="150" stopIfTrue="1" operator="greaterThan">
      <formula>$F60</formula>
    </cfRule>
  </conditionalFormatting>
  <conditionalFormatting sqref="D69:E69">
    <cfRule type="cellIs" dxfId="3229" priority="151" stopIfTrue="1" operator="lessThanOrEqual">
      <formula>0</formula>
    </cfRule>
  </conditionalFormatting>
  <conditionalFormatting sqref="E10:E17">
    <cfRule type="cellIs" dxfId="3228" priority="16" operator="lessThan">
      <formula>48</formula>
    </cfRule>
  </conditionalFormatting>
  <conditionalFormatting sqref="E45 E46:F46">
    <cfRule type="cellIs" dxfId="3227" priority="182" stopIfTrue="1" operator="greaterThan">
      <formula>100</formula>
    </cfRule>
  </conditionalFormatting>
  <conditionalFormatting sqref="E46">
    <cfRule type="cellIs" dxfId="3226" priority="179" stopIfTrue="1" operator="lessThan">
      <formula>96.8</formula>
    </cfRule>
    <cfRule type="cellIs" dxfId="3225" priority="180" stopIfTrue="1" operator="greaterThan">
      <formula>100</formula>
    </cfRule>
  </conditionalFormatting>
  <conditionalFormatting sqref="E60:E68">
    <cfRule type="cellIs" dxfId="3224" priority="161" stopIfTrue="1" operator="lessThanOrEqual">
      <formula>0</formula>
    </cfRule>
  </conditionalFormatting>
  <conditionalFormatting sqref="E71:E79">
    <cfRule type="cellIs" dxfId="3223" priority="171" stopIfTrue="1" operator="greaterThan">
      <formula>4.5</formula>
    </cfRule>
    <cfRule type="cellIs" dxfId="3222" priority="172" stopIfTrue="1" operator="lessThanOrEqual">
      <formula>0</formula>
    </cfRule>
  </conditionalFormatting>
  <conditionalFormatting sqref="E46:F46 E45">
    <cfRule type="cellIs" dxfId="3221" priority="181" stopIfTrue="1" operator="lessThan">
      <formula>96.5</formula>
    </cfRule>
  </conditionalFormatting>
  <conditionalFormatting sqref="F10:F17">
    <cfRule type="cellIs" dxfId="3220" priority="33" operator="greaterThan">
      <formula>60</formula>
    </cfRule>
  </conditionalFormatting>
  <conditionalFormatting sqref="F46">
    <cfRule type="cellIs" dxfId="3219" priority="197" stopIfTrue="1" operator="lessThan">
      <formula>96.8</formula>
    </cfRule>
    <cfRule type="cellIs" dxfId="3218" priority="198" stopIfTrue="1" operator="greaterThan">
      <formula>100</formula>
    </cfRule>
  </conditionalFormatting>
  <conditionalFormatting sqref="F69">
    <cfRule type="cellIs" dxfId="3217" priority="162" stopIfTrue="1" operator="greaterThan">
      <formula>$F69</formula>
    </cfRule>
    <cfRule type="cellIs" dxfId="3216" priority="163" stopIfTrue="1" operator="lessThanOrEqual">
      <formula>0</formula>
    </cfRule>
  </conditionalFormatting>
  <conditionalFormatting sqref="G10:G15">
    <cfRule type="expression" dxfId="3215" priority="5">
      <formula>IF(+(IF(G10&lt;S10,0,IF(G10&gt;T10,0,1)))=0,1)</formula>
    </cfRule>
  </conditionalFormatting>
  <conditionalFormatting sqref="G60:G61 C66:C68">
    <cfRule type="cellIs" dxfId="3214" priority="167" stopIfTrue="1" operator="lessThanOrEqual">
      <formula>0</formula>
    </cfRule>
  </conditionalFormatting>
  <conditionalFormatting sqref="G60:G61">
    <cfRule type="cellIs" dxfId="3213" priority="154" stopIfTrue="1" operator="greaterThan">
      <formula>$F60</formula>
    </cfRule>
    <cfRule type="cellIs" dxfId="3212" priority="166" stopIfTrue="1" operator="greaterThan">
      <formula>$F60</formula>
    </cfRule>
    <cfRule type="cellIs" dxfId="3211" priority="155" stopIfTrue="1" operator="lessThanOrEqual">
      <formula>0</formula>
    </cfRule>
  </conditionalFormatting>
  <conditionalFormatting sqref="G62">
    <cfRule type="cellIs" dxfId="3210" priority="202" stopIfTrue="1" operator="lessThanOrEqual">
      <formula>0</formula>
    </cfRule>
    <cfRule type="cellIs" dxfId="3209" priority="201" stopIfTrue="1" operator="greaterThan">
      <formula>$F61</formula>
    </cfRule>
  </conditionalFormatting>
  <conditionalFormatting sqref="G63">
    <cfRule type="cellIs" dxfId="3208" priority="50" stopIfTrue="1" operator="greaterThan">
      <formula>$F63</formula>
    </cfRule>
    <cfRule type="cellIs" dxfId="3207" priority="51" stopIfTrue="1" operator="lessThanOrEqual">
      <formula>0</formula>
    </cfRule>
    <cfRule type="cellIs" dxfId="3206" priority="52" stopIfTrue="1" operator="greaterThan">
      <formula>$F63</formula>
    </cfRule>
    <cfRule type="cellIs" dxfId="3205" priority="53" stopIfTrue="1" operator="lessThanOrEqual">
      <formula>0</formula>
    </cfRule>
  </conditionalFormatting>
  <conditionalFormatting sqref="G64:G68">
    <cfRule type="cellIs" dxfId="3204" priority="169" stopIfTrue="1" operator="lessThanOrEqual">
      <formula>0</formula>
    </cfRule>
    <cfRule type="cellIs" dxfId="3203" priority="168" stopIfTrue="1" operator="greaterThan">
      <formula>$J64</formula>
    </cfRule>
  </conditionalFormatting>
  <conditionalFormatting sqref="G73:G78 C76 C78">
    <cfRule type="cellIs" dxfId="3202" priority="194" stopIfTrue="1" operator="greaterThan">
      <formula>4.5</formula>
    </cfRule>
    <cfRule type="cellIs" dxfId="3201" priority="195" stopIfTrue="1" operator="lessThanOrEqual">
      <formula>0</formula>
    </cfRule>
  </conditionalFormatting>
  <conditionalFormatting sqref="G72:H72">
    <cfRule type="cellIs" dxfId="3200" priority="176" stopIfTrue="1" operator="lessThanOrEqual">
      <formula>0</formula>
    </cfRule>
    <cfRule type="cellIs" dxfId="3199" priority="175" stopIfTrue="1" operator="greaterThan">
      <formula>$F$71</formula>
    </cfRule>
  </conditionalFormatting>
  <conditionalFormatting sqref="H31:H32 H45">
    <cfRule type="cellIs" dxfId="3198" priority="173" stopIfTrue="1" operator="greaterThan">
      <formula>0</formula>
    </cfRule>
  </conditionalFormatting>
  <conditionalFormatting sqref="H49">
    <cfRule type="cellIs" dxfId="3197" priority="38" stopIfTrue="1" operator="greaterThan">
      <formula>$F$64</formula>
    </cfRule>
    <cfRule type="cellIs" dxfId="3196" priority="37" stopIfTrue="1" operator="lessThanOrEqual">
      <formula>0</formula>
    </cfRule>
    <cfRule type="cellIs" dxfId="3195" priority="48" stopIfTrue="1" operator="greaterThan">
      <formula>$F$65</formula>
    </cfRule>
    <cfRule type="cellIs" dxfId="3194" priority="47" stopIfTrue="1" operator="lessThanOrEqual">
      <formula>0</formula>
    </cfRule>
    <cfRule type="cellIs" dxfId="3193" priority="49" stopIfTrue="1" operator="lessThanOrEqual">
      <formula>0</formula>
    </cfRule>
    <cfRule type="cellIs" dxfId="3192" priority="46" stopIfTrue="1" operator="greaterThan">
      <formula>$F$67</formula>
    </cfRule>
  </conditionalFormatting>
  <conditionalFormatting sqref="H50">
    <cfRule type="cellIs" dxfId="3191" priority="110" stopIfTrue="1" operator="greaterThan">
      <formula>#REF!</formula>
    </cfRule>
    <cfRule type="cellIs" dxfId="3190" priority="118" stopIfTrue="1" operator="greaterThan">
      <formula>$F$18</formula>
    </cfRule>
    <cfRule type="cellIs" dxfId="3189" priority="109" stopIfTrue="1" operator="lessThanOrEqual">
      <formula>0</formula>
    </cfRule>
    <cfRule type="cellIs" dxfId="3188" priority="121" stopIfTrue="1" operator="lessThanOrEqual">
      <formula>0</formula>
    </cfRule>
    <cfRule type="cellIs" dxfId="3187" priority="120" stopIfTrue="1" operator="greaterThan">
      <formula>#REF!</formula>
    </cfRule>
    <cfRule type="cellIs" dxfId="3186" priority="119" stopIfTrue="1" operator="lessThanOrEqual">
      <formula>0</formula>
    </cfRule>
  </conditionalFormatting>
  <conditionalFormatting sqref="H51">
    <cfRule type="cellIs" dxfId="3185" priority="88" stopIfTrue="1" operator="greaterThan">
      <formula>$F$64</formula>
    </cfRule>
    <cfRule type="cellIs" dxfId="3184" priority="89" stopIfTrue="1" operator="lessThanOrEqual">
      <formula>0</formula>
    </cfRule>
    <cfRule type="cellIs" dxfId="3183" priority="90" stopIfTrue="1" operator="greaterThan">
      <formula>$F$62</formula>
    </cfRule>
    <cfRule type="cellIs" dxfId="3182" priority="91" stopIfTrue="1" operator="lessThanOrEqual">
      <formula>0</formula>
    </cfRule>
    <cfRule type="cellIs" dxfId="3181" priority="79" stopIfTrue="1" operator="lessThanOrEqual">
      <formula>0</formula>
    </cfRule>
    <cfRule type="cellIs" dxfId="3180" priority="80" stopIfTrue="1" operator="greaterThan">
      <formula>$F$61</formula>
    </cfRule>
  </conditionalFormatting>
  <conditionalFormatting sqref="H52:H53">
    <cfRule type="cellIs" dxfId="3179" priority="95" stopIfTrue="1" operator="lessThanOrEqual">
      <formula>0</formula>
    </cfRule>
    <cfRule type="cellIs" dxfId="3178" priority="96" stopIfTrue="1" operator="greaterThan">
      <formula>#REF!</formula>
    </cfRule>
    <cfRule type="cellIs" dxfId="3177" priority="104" stopIfTrue="1" operator="greaterThan">
      <formula>$F$17</formula>
    </cfRule>
    <cfRule type="cellIs" dxfId="3176" priority="105" stopIfTrue="1" operator="lessThanOrEqual">
      <formula>0</formula>
    </cfRule>
    <cfRule type="cellIs" dxfId="3175" priority="106" stopIfTrue="1" operator="greaterThan">
      <formula>#REF!</formula>
    </cfRule>
    <cfRule type="cellIs" dxfId="3174" priority="107" stopIfTrue="1" operator="lessThanOrEqual">
      <formula>0</formula>
    </cfRule>
  </conditionalFormatting>
  <conditionalFormatting sqref="H54">
    <cfRule type="cellIs" dxfId="3173" priority="135" stopIfTrue="1" operator="greaterThan">
      <formula>$F$31</formula>
    </cfRule>
    <cfRule type="cellIs" dxfId="3172" priority="136" stopIfTrue="1" operator="lessThanOrEqual">
      <formula>0</formula>
    </cfRule>
    <cfRule type="cellIs" dxfId="3171" priority="133" stopIfTrue="1" operator="greaterThan">
      <formula>$F$33</formula>
    </cfRule>
    <cfRule type="cellIs" dxfId="3170" priority="125" stopIfTrue="1" operator="greaterThan">
      <formula>$F$30</formula>
    </cfRule>
    <cfRule type="cellIs" dxfId="3169" priority="124" stopIfTrue="1" operator="lessThanOrEqual">
      <formula>0</formula>
    </cfRule>
    <cfRule type="cellIs" dxfId="3168" priority="134" stopIfTrue="1" operator="lessThanOrEqual">
      <formula>0</formula>
    </cfRule>
  </conditionalFormatting>
  <conditionalFormatting sqref="H55:H56">
    <cfRule type="cellIs" dxfId="3167" priority="74" stopIfTrue="1" operator="greaterThan">
      <formula>$F$17</formula>
    </cfRule>
    <cfRule type="cellIs" dxfId="3166" priority="75" stopIfTrue="1" operator="lessThanOrEqual">
      <formula>0</formula>
    </cfRule>
    <cfRule type="cellIs" dxfId="3165" priority="76" stopIfTrue="1" operator="greaterThan">
      <formula>#REF!</formula>
    </cfRule>
    <cfRule type="cellIs" dxfId="3164" priority="77" stopIfTrue="1" operator="lessThanOrEqual">
      <formula>0</formula>
    </cfRule>
    <cfRule type="cellIs" dxfId="3163" priority="65" stopIfTrue="1" operator="lessThanOrEqual">
      <formula>0</formula>
    </cfRule>
    <cfRule type="cellIs" dxfId="3162" priority="66" stopIfTrue="1" operator="greaterThan">
      <formula>#REF!</formula>
    </cfRule>
  </conditionalFormatting>
  <conditionalFormatting sqref="H60:H67">
    <cfRule type="cellIs" dxfId="3161" priority="157" stopIfTrue="1" operator="lessThanOrEqual">
      <formula>0</formula>
    </cfRule>
    <cfRule type="cellIs" dxfId="3160" priority="156" stopIfTrue="1" operator="greaterThan">
      <formula>$J60</formula>
    </cfRule>
  </conditionalFormatting>
  <conditionalFormatting sqref="H68">
    <cfRule type="cellIs" dxfId="3159" priority="158" operator="greaterThan">
      <formula>5.3</formula>
    </cfRule>
  </conditionalFormatting>
  <conditionalFormatting sqref="H71 H73:H79">
    <cfRule type="cellIs" dxfId="3158" priority="188" stopIfTrue="1" operator="lessThanOrEqual">
      <formula>0</formula>
    </cfRule>
    <cfRule type="cellIs" dxfId="3157" priority="187" stopIfTrue="1" operator="greaterThan">
      <formula>4.5</formula>
    </cfRule>
  </conditionalFormatting>
  <conditionalFormatting sqref="H49:I49">
    <cfRule type="cellIs" dxfId="3156" priority="39" stopIfTrue="1" operator="lessThanOrEqual">
      <formula>0</formula>
    </cfRule>
    <cfRule type="cellIs" dxfId="3155" priority="36" stopIfTrue="1" operator="greaterThan">
      <formula>$F$66</formula>
    </cfRule>
  </conditionalFormatting>
  <conditionalFormatting sqref="H50:I50">
    <cfRule type="cellIs" dxfId="3154" priority="111" stopIfTrue="1" operator="lessThanOrEqual">
      <formula>0</formula>
    </cfRule>
    <cfRule type="cellIs" dxfId="3153" priority="108" stopIfTrue="1" operator="greaterThan">
      <formula>$F$17</formula>
    </cfRule>
  </conditionalFormatting>
  <conditionalFormatting sqref="H51:I51">
    <cfRule type="cellIs" dxfId="3152" priority="78" stopIfTrue="1" operator="greaterThan">
      <formula>$F$63</formula>
    </cfRule>
    <cfRule type="cellIs" dxfId="3151" priority="81" stopIfTrue="1" operator="lessThanOrEqual">
      <formula>0</formula>
    </cfRule>
  </conditionalFormatting>
  <conditionalFormatting sqref="H52:I53">
    <cfRule type="cellIs" dxfId="3150" priority="97" stopIfTrue="1" operator="lessThanOrEqual">
      <formula>0</formula>
    </cfRule>
    <cfRule type="cellIs" dxfId="3149" priority="94" stopIfTrue="1" operator="greaterThan">
      <formula>#REF!</formula>
    </cfRule>
  </conditionalFormatting>
  <conditionalFormatting sqref="H54:I54">
    <cfRule type="cellIs" dxfId="3148" priority="123" stopIfTrue="1" operator="greaterThan">
      <formula>$F$32</formula>
    </cfRule>
    <cfRule type="cellIs" dxfId="3147" priority="126" stopIfTrue="1" operator="lessThanOrEqual">
      <formula>0</formula>
    </cfRule>
  </conditionalFormatting>
  <conditionalFormatting sqref="H55:I56">
    <cfRule type="cellIs" dxfId="3146" priority="67" stopIfTrue="1" operator="lessThanOrEqual">
      <formula>0</formula>
    </cfRule>
    <cfRule type="cellIs" dxfId="3145" priority="64" stopIfTrue="1" operator="greaterThan">
      <formula>#REF!</formula>
    </cfRule>
  </conditionalFormatting>
  <conditionalFormatting sqref="H69:I69">
    <cfRule type="cellIs" dxfId="3144" priority="149" stopIfTrue="1" operator="lessThanOrEqual">
      <formula>0</formula>
    </cfRule>
    <cfRule type="cellIs" dxfId="3143" priority="148" stopIfTrue="1" operator="greaterThan">
      <formula>$J69</formula>
    </cfRule>
  </conditionalFormatting>
  <conditionalFormatting sqref="I49">
    <cfRule type="cellIs" dxfId="3142" priority="44" stopIfTrue="1" operator="greaterThan">
      <formula>$F$64</formula>
    </cfRule>
    <cfRule type="cellIs" dxfId="3141" priority="43" stopIfTrue="1" operator="lessThanOrEqual">
      <formula>0</formula>
    </cfRule>
    <cfRule type="cellIs" dxfId="3140" priority="42" stopIfTrue="1" operator="greaterThan">
      <formula>$F$66</formula>
    </cfRule>
    <cfRule type="cellIs" dxfId="3139" priority="41" stopIfTrue="1" operator="lessThanOrEqual">
      <formula>0</formula>
    </cfRule>
    <cfRule type="cellIs" dxfId="3138" priority="45" stopIfTrue="1" operator="lessThanOrEqual">
      <formula>0</formula>
    </cfRule>
    <cfRule type="cellIs" dxfId="3137" priority="40" stopIfTrue="1" operator="greaterThan">
      <formula>$F$64</formula>
    </cfRule>
  </conditionalFormatting>
  <conditionalFormatting sqref="I50">
    <cfRule type="cellIs" dxfId="3136" priority="113" stopIfTrue="1" operator="lessThanOrEqual">
      <formula>0</formula>
    </cfRule>
    <cfRule type="cellIs" dxfId="3135" priority="114" stopIfTrue="1" operator="greaterThan">
      <formula>$F$17</formula>
    </cfRule>
    <cfRule type="cellIs" dxfId="3134" priority="115" stopIfTrue="1" operator="lessThanOrEqual">
      <formula>0</formula>
    </cfRule>
    <cfRule type="cellIs" dxfId="3133" priority="116" stopIfTrue="1" operator="greaterThan">
      <formula>#REF!</formula>
    </cfRule>
    <cfRule type="cellIs" dxfId="3132" priority="117" stopIfTrue="1" operator="lessThanOrEqual">
      <formula>0</formula>
    </cfRule>
    <cfRule type="cellIs" dxfId="3131" priority="112" stopIfTrue="1" operator="greaterThan">
      <formula>#REF!</formula>
    </cfRule>
  </conditionalFormatting>
  <conditionalFormatting sqref="I51">
    <cfRule type="cellIs" dxfId="3130" priority="86" stopIfTrue="1" operator="greaterThan">
      <formula>$F$61</formula>
    </cfRule>
    <cfRule type="cellIs" dxfId="3129" priority="85" stopIfTrue="1" operator="lessThanOrEqual">
      <formula>0</formula>
    </cfRule>
    <cfRule type="cellIs" dxfId="3128" priority="84" stopIfTrue="1" operator="greaterThan">
      <formula>$F$63</formula>
    </cfRule>
    <cfRule type="cellIs" dxfId="3127" priority="83" stopIfTrue="1" operator="lessThanOrEqual">
      <formula>0</formula>
    </cfRule>
    <cfRule type="cellIs" dxfId="3126" priority="82" stopIfTrue="1" operator="greaterThan">
      <formula>$F$61</formula>
    </cfRule>
    <cfRule type="cellIs" dxfId="3125" priority="87" stopIfTrue="1" operator="lessThanOrEqual">
      <formula>0</formula>
    </cfRule>
  </conditionalFormatting>
  <conditionalFormatting sqref="I52:I53">
    <cfRule type="cellIs" dxfId="3124" priority="99" stopIfTrue="1" operator="lessThanOrEqual">
      <formula>0</formula>
    </cfRule>
    <cfRule type="cellIs" dxfId="3123" priority="103" stopIfTrue="1" operator="lessThanOrEqual">
      <formula>0</formula>
    </cfRule>
    <cfRule type="cellIs" dxfId="3122" priority="102" stopIfTrue="1" operator="greaterThan">
      <formula>#REF!</formula>
    </cfRule>
    <cfRule type="cellIs" dxfId="3121" priority="101" stopIfTrue="1" operator="lessThanOrEqual">
      <formula>0</formula>
    </cfRule>
    <cfRule type="cellIs" dxfId="3120" priority="100" stopIfTrue="1" operator="greaterThan">
      <formula>#REF!</formula>
    </cfRule>
    <cfRule type="cellIs" dxfId="3119" priority="98" stopIfTrue="1" operator="greaterThan">
      <formula>#REF!</formula>
    </cfRule>
  </conditionalFormatting>
  <conditionalFormatting sqref="I54">
    <cfRule type="cellIs" dxfId="3118" priority="128" stopIfTrue="1" operator="lessThanOrEqual">
      <formula>0</formula>
    </cfRule>
    <cfRule type="cellIs" dxfId="3117" priority="127" stopIfTrue="1" operator="greaterThan">
      <formula>$F$30</formula>
    </cfRule>
    <cfRule type="cellIs" dxfId="3116" priority="132" stopIfTrue="1" operator="lessThanOrEqual">
      <formula>0</formula>
    </cfRule>
    <cfRule type="cellIs" dxfId="3115" priority="131" stopIfTrue="1" operator="greaterThan">
      <formula>$F$30</formula>
    </cfRule>
    <cfRule type="cellIs" dxfId="3114" priority="130" stopIfTrue="1" operator="lessThanOrEqual">
      <formula>0</formula>
    </cfRule>
    <cfRule type="cellIs" dxfId="3113" priority="129" stopIfTrue="1" operator="greaterThan">
      <formula>$F$32</formula>
    </cfRule>
  </conditionalFormatting>
  <conditionalFormatting sqref="I55:I56">
    <cfRule type="cellIs" dxfId="3112" priority="69" stopIfTrue="1" operator="lessThanOrEqual">
      <formula>0</formula>
    </cfRule>
    <cfRule type="cellIs" dxfId="3111" priority="70" stopIfTrue="1" operator="greaterThan">
      <formula>#REF!</formula>
    </cfRule>
    <cfRule type="cellIs" dxfId="3110" priority="71" stopIfTrue="1" operator="lessThanOrEqual">
      <formula>0</formula>
    </cfRule>
    <cfRule type="cellIs" dxfId="3109" priority="72" stopIfTrue="1" operator="greaterThan">
      <formula>#REF!</formula>
    </cfRule>
    <cfRule type="cellIs" dxfId="3108" priority="73" stopIfTrue="1" operator="lessThanOrEqual">
      <formula>0</formula>
    </cfRule>
    <cfRule type="cellIs" dxfId="3107" priority="68" stopIfTrue="1" operator="greaterThan">
      <formula>#REF!</formula>
    </cfRule>
  </conditionalFormatting>
  <conditionalFormatting sqref="I60:I68">
    <cfRule type="cellIs" dxfId="3106" priority="160" stopIfTrue="1" operator="lessThanOrEqual">
      <formula>0</formula>
    </cfRule>
    <cfRule type="cellIs" dxfId="3105" priority="159" stopIfTrue="1" operator="greaterThan">
      <formula>$J60</formula>
    </cfRule>
  </conditionalFormatting>
  <conditionalFormatting sqref="I71:I79">
    <cfRule type="cellIs" dxfId="3104" priority="183" stopIfTrue="1" operator="greaterThan">
      <formula>4.5</formula>
    </cfRule>
    <cfRule type="cellIs" dxfId="3103" priority="184" stopIfTrue="1" operator="lessThanOrEqual">
      <formula>0</formula>
    </cfRule>
  </conditionalFormatting>
  <conditionalFormatting sqref="I10:J17">
    <cfRule type="cellIs" dxfId="3102" priority="17" operator="lessThan">
      <formula>97.9</formula>
    </cfRule>
  </conditionalFormatting>
  <conditionalFormatting sqref="J21:J22">
    <cfRule type="cellIs" dxfId="3101" priority="140" operator="lessThan">
      <formula>98</formula>
    </cfRule>
    <cfRule type="cellIs" dxfId="3100" priority="139" stopIfTrue="1" operator="greaterThan">
      <formula>100</formula>
    </cfRule>
    <cfRule type="cellIs" dxfId="3099" priority="138" stopIfTrue="1" operator="lessThan">
      <formula>96.8</formula>
    </cfRule>
  </conditionalFormatting>
  <conditionalFormatting sqref="J21:J24">
    <cfRule type="cellIs" dxfId="3098" priority="137" operator="lessThan">
      <formula>97.4</formula>
    </cfRule>
  </conditionalFormatting>
  <conditionalFormatting sqref="J25:J26">
    <cfRule type="cellIs" dxfId="3097" priority="141" operator="lessThan">
      <formula>98</formula>
    </cfRule>
  </conditionalFormatting>
  <conditionalFormatting sqref="J27:J28">
    <cfRule type="cellIs" dxfId="3096" priority="143" stopIfTrue="1" operator="greaterThan">
      <formula>100</formula>
    </cfRule>
    <cfRule type="cellIs" dxfId="3095" priority="142" stopIfTrue="1" operator="lessThan">
      <formula>96.8</formula>
    </cfRule>
  </conditionalFormatting>
  <conditionalFormatting sqref="J27:J29">
    <cfRule type="cellIs" dxfId="3094" priority="144" operator="lessThan">
      <formula>98</formula>
    </cfRule>
  </conditionalFormatting>
  <conditionalFormatting sqref="J56">
    <cfRule type="cellIs" dxfId="3093" priority="63" stopIfTrue="1" operator="lessThanOrEqual">
      <formula>0</formula>
    </cfRule>
    <cfRule type="cellIs" dxfId="3092" priority="62" stopIfTrue="1" operator="greaterThan">
      <formula>#REF!</formula>
    </cfRule>
    <cfRule type="cellIs" dxfId="3091" priority="61" stopIfTrue="1" operator="lessThanOrEqual">
      <formula>0</formula>
    </cfRule>
    <cfRule type="cellIs" dxfId="3090" priority="60" stopIfTrue="1" operator="greaterThan">
      <formula>#REF!</formula>
    </cfRule>
    <cfRule type="cellIs" dxfId="3089" priority="59" stopIfTrue="1" operator="lessThanOrEqual">
      <formula>0</formula>
    </cfRule>
    <cfRule type="cellIs" dxfId="3088" priority="58" stopIfTrue="1" operator="greaterThan">
      <formula>#REF!</formula>
    </cfRule>
    <cfRule type="cellIs" dxfId="3087" priority="57" stopIfTrue="1" operator="lessThanOrEqual">
      <formula>0</formula>
    </cfRule>
    <cfRule type="cellIs" dxfId="3086" priority="56" stopIfTrue="1" operator="greaterThan">
      <formula>#REF!</formula>
    </cfRule>
  </conditionalFormatting>
  <conditionalFormatting sqref="J69">
    <cfRule type="cellIs" dxfId="3085" priority="146" stopIfTrue="1" operator="lessThanOrEqual">
      <formula>0</formula>
    </cfRule>
    <cfRule type="cellIs" dxfId="3084" priority="145" stopIfTrue="1" operator="greaterThan">
      <formula>$F69</formula>
    </cfRule>
  </conditionalFormatting>
  <conditionalFormatting sqref="K10:K17">
    <cfRule type="cellIs" dxfId="3083" priority="20" operator="greaterThan">
      <formula>6</formula>
    </cfRule>
    <cfRule type="cellIs" dxfId="3082" priority="22" operator="greaterThan">
      <formula>6.4</formula>
    </cfRule>
    <cfRule type="cellIs" dxfId="3081" priority="21" operator="lessThan">
      <formula>4</formula>
    </cfRule>
  </conditionalFormatting>
  <conditionalFormatting sqref="K49:K56 K60:N66 K67 M67:N67 K68:N68">
    <cfRule type="cellIs" dxfId="3080" priority="122" stopIfTrue="1" operator="lessThan">
      <formula>100%</formula>
    </cfRule>
  </conditionalFormatting>
  <conditionalFormatting sqref="K71:K76">
    <cfRule type="cellIs" dxfId="3079" priority="189" stopIfTrue="1" operator="lessThan">
      <formula>100%</formula>
    </cfRule>
  </conditionalFormatting>
  <conditionalFormatting sqref="K78:K79">
    <cfRule type="cellIs" dxfId="3078" priority="196" stopIfTrue="1" operator="lessThan">
      <formula>100%</formula>
    </cfRule>
  </conditionalFormatting>
  <conditionalFormatting sqref="L10:L15 L17">
    <cfRule type="cellIs" dxfId="3077" priority="32" operator="greaterThan">
      <formula>65</formula>
    </cfRule>
    <cfRule type="cellIs" dxfId="3076" priority="31" operator="between">
      <formula>61</formula>
      <formula>65</formula>
    </cfRule>
  </conditionalFormatting>
  <conditionalFormatting sqref="L16:M16">
    <cfRule type="cellIs" dxfId="3075" priority="29" operator="between">
      <formula>61</formula>
      <formula>65</formula>
    </cfRule>
    <cfRule type="cellIs" dxfId="3074" priority="28" operator="greaterThan">
      <formula>65</formula>
    </cfRule>
  </conditionalFormatting>
  <conditionalFormatting sqref="L20:M31">
    <cfRule type="cellIs" dxfId="3073" priority="34" operator="lessThan">
      <formula>97.95</formula>
    </cfRule>
  </conditionalFormatting>
  <conditionalFormatting sqref="L35:N35">
    <cfRule type="cellIs" dxfId="3072" priority="35" operator="notEqual">
      <formula>#REF!</formula>
    </cfRule>
  </conditionalFormatting>
  <conditionalFormatting sqref="L69:N69">
    <cfRule type="cellIs" dxfId="3071" priority="147" stopIfTrue="1" operator="lessThan">
      <formula>100%</formula>
    </cfRule>
  </conditionalFormatting>
  <conditionalFormatting sqref="L71:N79">
    <cfRule type="cellIs" dxfId="3070" priority="174" stopIfTrue="1" operator="lessThan">
      <formula>100%</formula>
    </cfRule>
  </conditionalFormatting>
  <conditionalFormatting sqref="M10:M15">
    <cfRule type="expression" dxfId="3069" priority="4">
      <formula>IF(+(IF(M10&lt;U10,0,IF(M10&gt;V10,0,1)))=0,1)</formula>
    </cfRule>
  </conditionalFormatting>
  <conditionalFormatting sqref="M16 H10:H15 G16:H17">
    <cfRule type="expression" dxfId="3068" priority="30">
      <formula>IF(+(IF(G10&lt;#REF!,0,IF(G10&gt;#REF!,0,1)))=0,1)</formula>
    </cfRule>
  </conditionalFormatting>
  <conditionalFormatting sqref="M17:N17">
    <cfRule type="expression" dxfId="3067" priority="204">
      <formula>IF(+(IF(M17&lt;#REF!,0,IF(M17&gt;#REF!,0,1)))=0,1)</formula>
    </cfRule>
  </conditionalFormatting>
  <conditionalFormatting sqref="N10:N16">
    <cfRule type="expression" dxfId="3066" priority="25">
      <formula>IF(+(IF(N10&lt;W10,0,IF(N10&gt;X10,0,1)))=0,1)</formula>
    </cfRule>
  </conditionalFormatting>
  <conditionalFormatting sqref="P6">
    <cfRule type="cellIs" dxfId="3065" priority="170" operator="greaterThanOrEqual">
      <formula>19</formula>
    </cfRule>
  </conditionalFormatting>
  <dataValidations count="1">
    <dataValidation type="list" allowBlank="1" showInputMessage="1" showErrorMessage="1" sqref="R8" xr:uid="{84575A86-D64B-47D9-BC6B-70375B207E2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8168-DE4C-4EA0-8C02-273533D0157A}">
  <sheetPr codeName="Sheet7">
    <pageSetUpPr fitToPage="1"/>
  </sheetPr>
  <dimension ref="A1:BE83"/>
  <sheetViews>
    <sheetView topLeftCell="G1" zoomScale="90" zoomScaleNormal="90" workbookViewId="0">
      <selection activeCell="B18" sqref="B18:O18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46034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[4]Brewhouse!$A52</f>
        <v>CA011</v>
      </c>
      <c r="D10" s="279">
        <f>[4]Brewhouse!$AF52</f>
        <v>53.1</v>
      </c>
      <c r="E10" s="279">
        <f>[4]Brewhouse!$AI52</f>
        <v>51.4</v>
      </c>
      <c r="F10" s="278">
        <f>[4]Brewhouse!$V52</f>
        <v>70</v>
      </c>
      <c r="G10" s="279">
        <f>[4]Brewhouse!AG52</f>
        <v>11.6</v>
      </c>
      <c r="H10" s="396">
        <v>11.7</v>
      </c>
      <c r="I10" s="368">
        <f>[4]Brewhouse!$AU52</f>
        <v>98.280554742749217</v>
      </c>
      <c r="J10" s="368">
        <f>[4]Brewhouse!$AV52</f>
        <v>99.033683012576361</v>
      </c>
      <c r="K10" s="281">
        <f>[4]Brewhouse!$Q52</f>
        <v>1.1698113207547121</v>
      </c>
      <c r="L10" s="276">
        <f>[4]Brewhouse!$P52</f>
        <v>62</v>
      </c>
      <c r="M10" s="397">
        <f>[4]Brewhouse!$U52-[4]Brewhouse!$T52</f>
        <v>0.12291666666666667</v>
      </c>
      <c r="N10" s="370">
        <f>[4]Brewhouse!$Z52</f>
        <v>0.3520833333333333</v>
      </c>
      <c r="O10" s="420" t="str">
        <f>[4]Brewhouse!$AX52</f>
        <v>D. Gomaz</v>
      </c>
      <c r="P10" s="418" t="s">
        <v>177</v>
      </c>
      <c r="R10" s="277" t="str">
        <f t="shared" ref="R10:R29" si="0">B10</f>
        <v>CARIB</v>
      </c>
      <c r="S10" s="474">
        <f t="shared" ref="S10:S29" si="1">VLOOKUP($B10,$R$3:$X$9,2,FALSE)</f>
        <v>11.6</v>
      </c>
      <c r="T10" s="474">
        <f t="shared" ref="T10:T29" si="2">VLOOKUP($B10,$R$3:$X$9,3,FALSE)</f>
        <v>12</v>
      </c>
      <c r="U10" s="297">
        <f t="shared" ref="U10:U29" si="3">VLOOKUP($B10,$R$3:$X$9,4,FALSE)</f>
        <v>0</v>
      </c>
      <c r="V10" s="297">
        <f t="shared" ref="V10:V29" si="4">VLOOKUP($B10,$R$3:$X$9,5,FALSE)</f>
        <v>0.118055555555556</v>
      </c>
      <c r="W10" s="297">
        <f t="shared" ref="W10:W29" si="5">VLOOKUP($B10,$R$3:$X$9,6,FALSE)</f>
        <v>0.22569444444444445</v>
      </c>
      <c r="X10" s="297">
        <f t="shared" ref="X10:X29" si="6">VLOOKUP($B10,$R$3:$X$9,7,FALSE)</f>
        <v>0.2638888888888889</v>
      </c>
      <c r="Y10" s="297">
        <f t="shared" ref="Y10:Y29" si="7">VLOOKUP($B10,$R$3:$Z$9,8,FALSE)</f>
        <v>0</v>
      </c>
      <c r="Z10" s="474">
        <f t="shared" ref="Z10:Z29" si="8">VLOOKUP($B10,$R$3:$Z$9,9,FALSE)</f>
        <v>60</v>
      </c>
    </row>
    <row r="11" spans="2:29" ht="16.5" customHeight="1">
      <c r="B11" s="29" t="s">
        <v>6</v>
      </c>
      <c r="C11" s="366" t="str">
        <f>[4]Brewhouse!$A53</f>
        <v>CA012</v>
      </c>
      <c r="D11" s="279">
        <f>[4]Brewhouse!$AF53</f>
        <v>52.2</v>
      </c>
      <c r="E11" s="279">
        <f>[4]Brewhouse!$AI53</f>
        <v>50.8</v>
      </c>
      <c r="F11" s="278">
        <f>[4]Brewhouse!$V53</f>
        <v>74</v>
      </c>
      <c r="G11" s="279">
        <f>[4]Brewhouse!AG53</f>
        <v>11.5</v>
      </c>
      <c r="H11" s="367"/>
      <c r="I11" s="368">
        <f>[4]Brewhouse!$AU53</f>
        <v>96.13324085965202</v>
      </c>
      <c r="J11" s="368">
        <f>[4]Brewhouse!$AV53</f>
        <v>96.86997325896661</v>
      </c>
      <c r="K11" s="281">
        <f>[4]Brewhouse!$Q53</f>
        <v>2.8679245283018791</v>
      </c>
      <c r="L11" s="276">
        <f>[4]Brewhouse!$P53</f>
        <v>60</v>
      </c>
      <c r="M11" s="397">
        <f>[4]Brewhouse!$U53-[4]Brewhouse!$T53</f>
        <v>0.15694444444444444</v>
      </c>
      <c r="N11" s="370">
        <f>[4]Brewhouse!$Z53</f>
        <v>0.35</v>
      </c>
      <c r="O11" s="420" t="str">
        <f>[4]Brewhouse!$AX53</f>
        <v>D. Gomaz</v>
      </c>
      <c r="P11" s="418" t="s">
        <v>177</v>
      </c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ref="R12:R25" si="9">B12</f>
        <v>0</v>
      </c>
      <c r="S12" s="474" t="e">
        <f t="shared" si="1"/>
        <v>#N/A</v>
      </c>
      <c r="T12" s="474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4" t="e">
        <f t="shared" si="8"/>
        <v>#N/A</v>
      </c>
    </row>
    <row r="13" spans="2:29" ht="16.5" customHeight="1">
      <c r="B13" s="33" t="s">
        <v>9</v>
      </c>
      <c r="C13" s="366" t="str">
        <f>[5]Brewhouse!$A53</f>
        <v>ST003</v>
      </c>
      <c r="D13" s="279">
        <f>[5]Brewhouse!$AB53</f>
        <v>49</v>
      </c>
      <c r="E13" s="279">
        <f>[5]Brewhouse!$AG53</f>
        <v>46.1</v>
      </c>
      <c r="F13" s="278">
        <f>[5]Brewhouse!$V53</f>
        <v>55</v>
      </c>
      <c r="G13" s="279">
        <f>[5]Brewhouse!$AE53</f>
        <v>11.6</v>
      </c>
      <c r="H13" s="396">
        <v>11.5</v>
      </c>
      <c r="I13" s="368">
        <f>[5]Brewhouse!$AS53</f>
        <v>101.76112094286238</v>
      </c>
      <c r="J13" s="368">
        <f>[5]Brewhouse!$AT53</f>
        <v>102.39582614019567</v>
      </c>
      <c r="K13" s="281">
        <f>[5]Brewhouse!$Q53</f>
        <v>4.030612244897962</v>
      </c>
      <c r="L13" s="276">
        <f>[5]Brewhouse!$P53</f>
        <v>58</v>
      </c>
      <c r="M13" s="374">
        <f>[5]Brewhouse!$U53-[5]Brewhouse!$T53</f>
        <v>0.14374999999999993</v>
      </c>
      <c r="N13" s="370">
        <f>[5]Brewhouse!$AW53</f>
        <v>0.3576388888888889</v>
      </c>
      <c r="O13" s="371" t="str">
        <f>[5]Brewhouse!$AV53</f>
        <v>D. Gomaz</v>
      </c>
      <c r="P13" s="418"/>
      <c r="R13" s="277" t="str">
        <f t="shared" si="9"/>
        <v>STAG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9"/>
        <v>0</v>
      </c>
      <c r="S14" s="474" t="e">
        <f t="shared" si="1"/>
        <v>#N/A</v>
      </c>
      <c r="T14" s="474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4" t="e">
        <f t="shared" si="8"/>
        <v>#N/A</v>
      </c>
    </row>
    <row r="15" spans="2:29" ht="16.5" customHeight="1">
      <c r="B15" s="22" t="s">
        <v>33</v>
      </c>
      <c r="C15" s="366" t="str">
        <f>[6]Brewhouse!A23</f>
        <v>VM001</v>
      </c>
      <c r="D15" s="279">
        <f>[6]Brewhouse!AE23</f>
        <v>48.5</v>
      </c>
      <c r="E15" s="279">
        <f>[6]Brewhouse!AJ23</f>
        <v>47.9</v>
      </c>
      <c r="F15" s="278">
        <f>[6]Brewhouse!X23</f>
        <v>78</v>
      </c>
      <c r="G15" s="279">
        <f>[6]Brewhouse!AH23</f>
        <v>14.3</v>
      </c>
      <c r="H15" s="396">
        <v>14.4</v>
      </c>
      <c r="I15" s="368">
        <f>[6]Brewhouse!AV23</f>
        <v>97.339468430709204</v>
      </c>
      <c r="J15" s="368">
        <f>[6]Brewhouse!AW23</f>
        <v>97.49717556226588</v>
      </c>
      <c r="K15" s="281">
        <f>[6]Brewhouse!S23</f>
        <v>6.1030927835051418</v>
      </c>
      <c r="L15" s="276">
        <f>[6]Brewhouse!R23</f>
        <v>59</v>
      </c>
      <c r="M15" s="374">
        <f>[6]Brewhouse!$W23-[6]Brewhouse!$V23</f>
        <v>0.1479166666666667</v>
      </c>
      <c r="N15" s="370">
        <f>[6]Brewhouse!AB23</f>
        <v>0.28819444444444453</v>
      </c>
      <c r="O15" s="371" t="str">
        <f>[6]Brewhouse!$AZ23</f>
        <v>R.Sookram</v>
      </c>
      <c r="P15" s="418"/>
      <c r="R15" s="277" t="str">
        <f t="shared" si="9"/>
        <v>VITAMALT</v>
      </c>
      <c r="S15" s="474">
        <f t="shared" si="1"/>
        <v>14.2</v>
      </c>
      <c r="T15" s="474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4">
        <f t="shared" si="8"/>
        <v>75</v>
      </c>
    </row>
    <row r="16" spans="2:29" ht="16.5" customHeight="1">
      <c r="B16" s="22" t="s">
        <v>33</v>
      </c>
      <c r="C16" s="366" t="str">
        <f>[6]Brewhouse!A24</f>
        <v>VM002</v>
      </c>
      <c r="D16" s="279">
        <f>[6]Brewhouse!AE24</f>
        <v>53</v>
      </c>
      <c r="E16" s="279">
        <f>[6]Brewhouse!AJ24</f>
        <v>51.8</v>
      </c>
      <c r="F16" s="278">
        <f>[6]Brewhouse!X24</f>
        <v>89</v>
      </c>
      <c r="G16" s="279">
        <f>[6]Brewhouse!AH24</f>
        <v>14.1</v>
      </c>
      <c r="H16" s="396">
        <v>14.2</v>
      </c>
      <c r="I16" s="368">
        <f>[6]Brewhouse!AV24</f>
        <v>103.731151868401</v>
      </c>
      <c r="J16" s="368">
        <f>[6]Brewhouse!AW24</f>
        <v>103.8992146560654</v>
      </c>
      <c r="K16" s="281">
        <f>[6]Brewhouse!S24</f>
        <v>13.132075471698101</v>
      </c>
      <c r="L16" s="276">
        <f>[6]Brewhouse!R24</f>
        <v>60</v>
      </c>
      <c r="M16" s="374">
        <f>[6]Brewhouse!$W24-[6]Brewhouse!$V24</f>
        <v>0.15555555555555556</v>
      </c>
      <c r="N16" s="370">
        <f>[6]Brewhouse!AB24</f>
        <v>0.29097222222222219</v>
      </c>
      <c r="O16" s="371" t="str">
        <f>[6]Brewhouse!$AZ24</f>
        <v>R.Sookram</v>
      </c>
      <c r="P16" s="418"/>
      <c r="R16" s="277" t="str">
        <f t="shared" si="9"/>
        <v>VITAMALT</v>
      </c>
      <c r="S16" s="474">
        <f t="shared" si="1"/>
        <v>14.2</v>
      </c>
      <c r="T16" s="474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4">
        <f t="shared" si="8"/>
        <v>75</v>
      </c>
    </row>
    <row r="17" spans="2:26" ht="16.5" customHeight="1">
      <c r="B17" s="22" t="s">
        <v>33</v>
      </c>
      <c r="C17" s="366" t="str">
        <f>[6]Brewhouse!A25</f>
        <v>VM003</v>
      </c>
      <c r="D17" s="279">
        <f>[6]Brewhouse!AE25</f>
        <v>50</v>
      </c>
      <c r="E17" s="279">
        <f>[6]Brewhouse!AJ25</f>
        <v>45.7</v>
      </c>
      <c r="F17" s="278">
        <f>[6]Brewhouse!X25</f>
        <v>87</v>
      </c>
      <c r="G17" s="279">
        <f>[6]Brewhouse!AH25</f>
        <v>14.6</v>
      </c>
      <c r="H17" s="396">
        <v>14.7</v>
      </c>
      <c r="I17" s="368">
        <f>[6]Brewhouse!AV25</f>
        <v>94.959846867032411</v>
      </c>
      <c r="J17" s="368">
        <f>[6]Brewhouse!AW25</f>
        <v>95.113698591352446</v>
      </c>
      <c r="K17" s="281">
        <f>[6]Brewhouse!S25</f>
        <v>19.72</v>
      </c>
      <c r="L17" s="276">
        <f>[6]Brewhouse!R25</f>
        <v>62</v>
      </c>
      <c r="M17" s="374">
        <f>[6]Brewhouse!$W25-[6]Brewhouse!$V25</f>
        <v>0.14722222222222214</v>
      </c>
      <c r="N17" s="370">
        <f>[6]Brewhouse!AB25</f>
        <v>0.2895833333333333</v>
      </c>
      <c r="O17" s="371" t="str">
        <f>[6]Brewhouse!$AZ25</f>
        <v>K. Benjamin</v>
      </c>
      <c r="P17" s="418"/>
      <c r="R17" s="277" t="str">
        <f t="shared" si="9"/>
        <v>VITAMALT</v>
      </c>
      <c r="S17" s="474">
        <f t="shared" si="1"/>
        <v>14.2</v>
      </c>
      <c r="T17" s="474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4">
        <f t="shared" si="8"/>
        <v>75</v>
      </c>
    </row>
    <row r="18" spans="2:26" ht="16.5" customHeight="1">
      <c r="B18" s="22" t="s">
        <v>33</v>
      </c>
      <c r="C18" s="366" t="str">
        <f>[6]Brewhouse!A26</f>
        <v>VM004</v>
      </c>
      <c r="D18" s="279">
        <f>[6]Brewhouse!AE26</f>
        <v>50</v>
      </c>
      <c r="E18" s="279">
        <f>[6]Brewhouse!AJ26</f>
        <v>47.9</v>
      </c>
      <c r="F18" s="278">
        <f>[6]Brewhouse!X26</f>
        <v>88</v>
      </c>
      <c r="G18" s="279">
        <f>[6]Brewhouse!AH26</f>
        <v>14.3</v>
      </c>
      <c r="H18" s="396">
        <v>14</v>
      </c>
      <c r="I18" s="368">
        <f>[6]Brewhouse!AV26</f>
        <v>97.339468430709204</v>
      </c>
      <c r="J18" s="368">
        <f>[6]Brewhouse!AW26</f>
        <v>97.49717556226588</v>
      </c>
      <c r="K18" s="281">
        <f>[6]Brewhouse!S26</f>
        <v>9.3199999999999932</v>
      </c>
      <c r="L18" s="276">
        <f>[6]Brewhouse!R26</f>
        <v>60</v>
      </c>
      <c r="M18" s="374">
        <f>[6]Brewhouse!$W26-[6]Brewhouse!$V26</f>
        <v>0.14444444444444446</v>
      </c>
      <c r="N18" s="370">
        <f>[6]Brewhouse!AB26</f>
        <v>0.3354166666666667</v>
      </c>
      <c r="O18" s="371" t="str">
        <f>[6]Brewhouse!$AZ26</f>
        <v>K. Benjamin</v>
      </c>
      <c r="P18" s="418"/>
      <c r="R18" s="277" t="str">
        <f t="shared" si="9"/>
        <v>VITAMALT</v>
      </c>
      <c r="S18" s="474">
        <f t="shared" si="1"/>
        <v>14.2</v>
      </c>
      <c r="T18" s="474">
        <f t="shared" si="2"/>
        <v>14.6</v>
      </c>
      <c r="U18" s="297">
        <f t="shared" si="3"/>
        <v>0</v>
      </c>
      <c r="V18" s="297">
        <f t="shared" si="4"/>
        <v>0.13905092592592591</v>
      </c>
      <c r="W18" s="297">
        <f t="shared" si="5"/>
        <v>0.26041666666666669</v>
      </c>
      <c r="X18" s="297">
        <f t="shared" si="6"/>
        <v>0.2951388888888889</v>
      </c>
      <c r="Y18" s="297">
        <f t="shared" si="7"/>
        <v>0</v>
      </c>
      <c r="Z18" s="474">
        <f t="shared" si="8"/>
        <v>75</v>
      </c>
    </row>
    <row r="19" spans="2:26" ht="16.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2:26" ht="16.5" customHeight="1">
      <c r="B20" s="489">
        <v>46032</v>
      </c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46032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2:26" ht="16.5" customHeight="1">
      <c r="B21" s="29" t="s">
        <v>6</v>
      </c>
      <c r="C21" s="366" t="str">
        <f>[4]Brewhouse!$A54</f>
        <v>CA013</v>
      </c>
      <c r="D21" s="279">
        <f>[4]Brewhouse!$AF54</f>
        <v>51.2</v>
      </c>
      <c r="E21" s="279">
        <f>[4]Brewhouse!$AI54</f>
        <v>48.52</v>
      </c>
      <c r="F21" s="278">
        <f>[4]Brewhouse!$V54</f>
        <v>75</v>
      </c>
      <c r="G21" s="279">
        <f>[4]Brewhouse!AG54</f>
        <v>11.8</v>
      </c>
      <c r="H21" s="396">
        <v>11.7</v>
      </c>
      <c r="I21" s="368">
        <f>[4]Brewhouse!$AU54</f>
        <v>93.879203465211987</v>
      </c>
      <c r="J21" s="368">
        <f>[4]Brewhouse!$AV54</f>
        <v>94.598891100544293</v>
      </c>
      <c r="K21" s="281">
        <f>[4]Brewhouse!$Q54</f>
        <v>4.9340866290018788</v>
      </c>
      <c r="L21" s="276">
        <f>[4]Brewhouse!$P54</f>
        <v>58</v>
      </c>
      <c r="M21" s="397">
        <f>[4]Brewhouse!$U54-[4]Brewhouse!$T54</f>
        <v>0.13055555555555559</v>
      </c>
      <c r="N21" s="370">
        <f>[4]Brewhouse!$Z54</f>
        <v>0.26319444444444445</v>
      </c>
      <c r="O21" s="420" t="str">
        <f>[4]Brewhouse!$AX54</f>
        <v>D. Gomaz</v>
      </c>
      <c r="P21" s="418"/>
      <c r="R21" s="277" t="str">
        <f t="shared" si="9"/>
        <v>CARIB</v>
      </c>
      <c r="S21" s="474">
        <f t="shared" si="1"/>
        <v>11.6</v>
      </c>
      <c r="T21" s="474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474">
        <f t="shared" si="8"/>
        <v>60</v>
      </c>
    </row>
    <row r="22" spans="2:26" ht="16.5" customHeight="1">
      <c r="B22" s="29" t="s">
        <v>6</v>
      </c>
      <c r="C22" s="366" t="str">
        <f>[4]Brewhouse!$A55</f>
        <v>CA014</v>
      </c>
      <c r="D22" s="279">
        <f>[4]Brewhouse!$AF55</f>
        <v>51.7</v>
      </c>
      <c r="E22" s="279">
        <f>[4]Brewhouse!$AI55</f>
        <v>49.22</v>
      </c>
      <c r="F22" s="278">
        <f>[4]Brewhouse!$V55</f>
        <v>73</v>
      </c>
      <c r="G22" s="279">
        <f>[4]Brewhouse!AG55</f>
        <v>11.8</v>
      </c>
      <c r="H22" s="396">
        <v>11.8</v>
      </c>
      <c r="I22" s="368">
        <f>[4]Brewhouse!$AU55</f>
        <v>95.350414753836105</v>
      </c>
      <c r="J22" s="368">
        <f>[4]Brewhouse!$AV55</f>
        <v>96.081322809141369</v>
      </c>
      <c r="K22" s="281">
        <f>[4]Brewhouse!$Q55</f>
        <v>3.992467043314496</v>
      </c>
      <c r="L22" s="276">
        <f>[4]Brewhouse!$P55</f>
        <v>59</v>
      </c>
      <c r="M22" s="397">
        <f>[4]Brewhouse!$U55-[4]Brewhouse!$T55</f>
        <v>0.12291666666666667</v>
      </c>
      <c r="N22" s="370">
        <f>[4]Brewhouse!$Z55</f>
        <v>0.26527777777777783</v>
      </c>
      <c r="O22" s="420" t="str">
        <f>[4]Brewhouse!$AX55</f>
        <v>D. Gomaz</v>
      </c>
      <c r="P22" s="418"/>
      <c r="R22" s="277" t="str">
        <f t="shared" si="9"/>
        <v>CARIB</v>
      </c>
      <c r="S22" s="474">
        <f t="shared" si="1"/>
        <v>11.6</v>
      </c>
      <c r="T22" s="474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4">
        <f t="shared" si="8"/>
        <v>60</v>
      </c>
    </row>
    <row r="23" spans="2:26" ht="16.5" customHeight="1">
      <c r="B23" s="29" t="s">
        <v>6</v>
      </c>
      <c r="C23" s="366" t="str">
        <f>[4]Brewhouse!$A56</f>
        <v>CA015</v>
      </c>
      <c r="D23" s="279">
        <f>[4]Brewhouse!$AF56</f>
        <v>51.4</v>
      </c>
      <c r="E23" s="279">
        <f>[4]Brewhouse!$AI56</f>
        <v>48.5</v>
      </c>
      <c r="F23" s="278">
        <f>[4]Brewhouse!$V56</f>
        <v>74</v>
      </c>
      <c r="G23" s="279">
        <f>[4]Brewhouse!AG56</f>
        <v>12</v>
      </c>
      <c r="H23" s="396">
        <v>11.8</v>
      </c>
      <c r="I23" s="368">
        <f>[4]Brewhouse!$AU56</f>
        <v>96.220784779412256</v>
      </c>
      <c r="J23" s="368">
        <f>[4]Brewhouse!$AV56</f>
        <v>96.958069649064385</v>
      </c>
      <c r="K23" s="281">
        <f>[4]Brewhouse!$Q56</f>
        <v>4.5574387947269335</v>
      </c>
      <c r="L23" s="276">
        <f>[4]Brewhouse!$P56</f>
        <v>61</v>
      </c>
      <c r="M23" s="397">
        <f>[4]Brewhouse!$U56-[4]Brewhouse!$T56</f>
        <v>0.12222222222222223</v>
      </c>
      <c r="N23" s="370">
        <f>[4]Brewhouse!$Z56</f>
        <v>0.27152777777777781</v>
      </c>
      <c r="O23" s="420" t="str">
        <f>[4]Brewhouse!$AX56</f>
        <v>D. Gomaz</v>
      </c>
      <c r="P23" s="418"/>
      <c r="R23" s="277" t="str">
        <f t="shared" si="9"/>
        <v>CARIB</v>
      </c>
      <c r="S23" s="474">
        <f t="shared" si="1"/>
        <v>11.6</v>
      </c>
      <c r="T23" s="474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4">
        <f t="shared" si="8"/>
        <v>60</v>
      </c>
    </row>
    <row r="24" spans="2:26" ht="16.5" customHeight="1">
      <c r="B24" s="29" t="s">
        <v>6</v>
      </c>
      <c r="C24" s="366" t="str">
        <f>[4]Brewhouse!$A57</f>
        <v>CA016</v>
      </c>
      <c r="D24" s="279">
        <f>[4]Brewhouse!$AF57</f>
        <v>51.7</v>
      </c>
      <c r="E24" s="279">
        <f>[4]Brewhouse!$AI57</f>
        <v>50.2</v>
      </c>
      <c r="F24" s="278">
        <f>[4]Brewhouse!$V57</f>
        <v>65</v>
      </c>
      <c r="G24" s="279">
        <f>[4]Brewhouse!AG57</f>
        <v>11.9</v>
      </c>
      <c r="H24" s="396">
        <v>11.9</v>
      </c>
      <c r="I24" s="368">
        <f>[4]Brewhouse!$AU57</f>
        <v>98.599549107933044</v>
      </c>
      <c r="J24" s="368">
        <f>[4]Brewhouse!$AV57</f>
        <v>99.355121845793221</v>
      </c>
      <c r="K24" s="281">
        <f>[4]Brewhouse!$Q57</f>
        <v>3.992467043314496</v>
      </c>
      <c r="L24" s="276">
        <f>[4]Brewhouse!$P57</f>
        <v>61</v>
      </c>
      <c r="M24" s="397">
        <f>[4]Brewhouse!$U57-[4]Brewhouse!$T57</f>
        <v>0.11736111111111103</v>
      </c>
      <c r="N24" s="370">
        <f>[4]Brewhouse!$Z57</f>
        <v>0.26805555555555549</v>
      </c>
      <c r="O24" s="420" t="str">
        <f>[4]Brewhouse!$AX57</f>
        <v>D. Gomaz</v>
      </c>
      <c r="P24" s="418"/>
      <c r="R24" s="277" t="str">
        <f t="shared" si="9"/>
        <v>CARIB</v>
      </c>
      <c r="S24" s="474">
        <f t="shared" si="1"/>
        <v>11.6</v>
      </c>
      <c r="T24" s="474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4">
        <f t="shared" si="8"/>
        <v>60</v>
      </c>
    </row>
    <row r="25" spans="2:26" ht="16.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9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2:26" ht="16.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2:26" ht="16.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2:26" ht="16.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2:26" ht="16.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0"/>
      <c r="P29" s="418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2:26" ht="16.5" hidden="1" customHeight="1">
      <c r="B30" s="33"/>
      <c r="C30" s="366"/>
      <c r="D30" s="279"/>
      <c r="E30" s="279"/>
      <c r="F30" s="278"/>
      <c r="G30" s="279"/>
      <c r="H30" s="396"/>
      <c r="I30" s="479"/>
      <c r="J30" s="479"/>
      <c r="K30" s="281"/>
      <c r="L30" s="276"/>
      <c r="M30" s="374"/>
      <c r="N30" s="370"/>
      <c r="O30" s="420"/>
      <c r="P30" s="418"/>
      <c r="R30" s="277">
        <f t="shared" ref="R30:R45" si="10">B30</f>
        <v>0</v>
      </c>
      <c r="S30" s="474" t="e">
        <f t="shared" ref="S30:S45" si="11">VLOOKUP($B30,$R$3:$X$9,2,FALSE)</f>
        <v>#N/A</v>
      </c>
      <c r="T30" s="474" t="e">
        <f t="shared" ref="T30:T45" si="12">VLOOKUP($B30,$R$3:$X$9,3,FALSE)</f>
        <v>#N/A</v>
      </c>
      <c r="U30" s="297" t="e">
        <f t="shared" ref="U30:U45" si="13">VLOOKUP($B30,$R$3:$X$9,4,FALSE)</f>
        <v>#N/A</v>
      </c>
      <c r="V30" s="297" t="e">
        <f t="shared" ref="V30:V45" si="14">VLOOKUP($B30,$R$3:$X$9,5,FALSE)</f>
        <v>#N/A</v>
      </c>
      <c r="W30" s="297" t="e">
        <f t="shared" ref="W30:W45" si="15">VLOOKUP($B30,$R$3:$X$9,6,FALSE)</f>
        <v>#N/A</v>
      </c>
      <c r="X30" s="297" t="e">
        <f t="shared" ref="X30:X45" si="16">VLOOKUP($B30,$R$3:$X$9,7,FALSE)</f>
        <v>#N/A</v>
      </c>
      <c r="Y30" s="297" t="e">
        <f t="shared" ref="Y30:Y45" si="17">VLOOKUP($B30,$R$3:$Z$9,8,FALSE)</f>
        <v>#N/A</v>
      </c>
      <c r="Z30" s="474" t="e">
        <f t="shared" ref="Z30:Z45" si="18">VLOOKUP($B30,$R$3:$Z$9,9,FALSE)</f>
        <v>#N/A</v>
      </c>
    </row>
    <row r="31" spans="2:26" ht="16.5" customHeight="1">
      <c r="B31" s="22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18"/>
      <c r="R31" s="277">
        <f t="shared" si="10"/>
        <v>0</v>
      </c>
      <c r="S31" s="474" t="e">
        <f t="shared" si="11"/>
        <v>#N/A</v>
      </c>
      <c r="T31" s="474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4" t="e">
        <f t="shared" si="18"/>
        <v>#N/A</v>
      </c>
    </row>
    <row r="32" spans="2:26" ht="15.75" customHeight="1" thickBot="1">
      <c r="B32" s="358"/>
      <c r="C32" s="358"/>
      <c r="D32" s="358"/>
      <c r="E32" s="358"/>
      <c r="F32" s="294"/>
      <c r="G32" s="294"/>
      <c r="H32" s="348"/>
      <c r="I32" s="540"/>
      <c r="J32" s="540"/>
      <c r="K32" s="540"/>
      <c r="L32" s="540"/>
      <c r="M32" s="540"/>
      <c r="N32" s="540"/>
      <c r="O32" s="1"/>
      <c r="P32" s="12"/>
      <c r="R32" s="277">
        <f t="shared" si="10"/>
        <v>0</v>
      </c>
      <c r="S32" s="474" t="e">
        <f t="shared" si="11"/>
        <v>#N/A</v>
      </c>
      <c r="T32" s="474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4" t="e">
        <f t="shared" si="18"/>
        <v>#N/A</v>
      </c>
    </row>
    <row r="33" spans="1:27" ht="15.75" customHeight="1" thickBot="1">
      <c r="B33" s="388" t="s">
        <v>162</v>
      </c>
      <c r="C33" s="388"/>
      <c r="D33" s="541" t="s">
        <v>35</v>
      </c>
      <c r="E33" s="542"/>
      <c r="F33" s="294"/>
      <c r="G33" s="294"/>
      <c r="H33" s="348"/>
      <c r="I33" s="24" t="s">
        <v>17</v>
      </c>
      <c r="J33" s="25"/>
      <c r="K33" s="26" t="s">
        <v>138</v>
      </c>
      <c r="L33" s="25" t="s">
        <v>37</v>
      </c>
      <c r="M33" s="25" t="s">
        <v>38</v>
      </c>
      <c r="N33" s="27" t="s">
        <v>39</v>
      </c>
      <c r="O33" s="294"/>
      <c r="P33" s="12"/>
      <c r="R33" s="277" t="str">
        <f t="shared" si="10"/>
        <v xml:space="preserve">BRAND </v>
      </c>
      <c r="S33" s="474" t="e">
        <f t="shared" si="11"/>
        <v>#N/A</v>
      </c>
      <c r="T33" s="474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4" t="e">
        <f t="shared" si="18"/>
        <v>#N/A</v>
      </c>
    </row>
    <row r="34" spans="1:27" ht="15" customHeight="1">
      <c r="A34" s="28"/>
      <c r="B34" s="595"/>
      <c r="C34" s="362"/>
      <c r="D34" s="546"/>
      <c r="E34" s="547"/>
      <c r="F34" s="294"/>
      <c r="G34" s="294"/>
      <c r="H34" s="348"/>
      <c r="I34" s="29" t="s">
        <v>6</v>
      </c>
      <c r="J34" s="280">
        <f>AVERAGE(I10:I11,I21:I24)</f>
        <v>96.410624618132431</v>
      </c>
      <c r="K34" s="284">
        <f>COUNTA([4]Brewhouse!$A$42:$A$57)</f>
        <v>16</v>
      </c>
      <c r="L34" s="305">
        <f>AVERAGE([4]Brewhouse!$AU$42:$AU$57)</f>
        <v>97.656518807564993</v>
      </c>
      <c r="M34" s="305">
        <f>AVERAGE([4]Brewhouse!$AU$42:$AU$57)</f>
        <v>97.656518807564993</v>
      </c>
      <c r="N34" s="30">
        <v>98</v>
      </c>
      <c r="O34" s="11"/>
      <c r="P34" s="31"/>
      <c r="R34" s="277">
        <f t="shared" si="10"/>
        <v>0</v>
      </c>
      <c r="S34" s="474" t="e">
        <f t="shared" si="11"/>
        <v>#N/A</v>
      </c>
      <c r="T34" s="474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4" t="e">
        <f t="shared" si="18"/>
        <v>#N/A</v>
      </c>
    </row>
    <row r="35" spans="1:27" ht="15" customHeight="1">
      <c r="A35" s="28"/>
      <c r="B35" s="596"/>
      <c r="C35" s="362"/>
      <c r="D35" s="548"/>
      <c r="E35" s="532"/>
      <c r="F35" s="294"/>
      <c r="G35" s="294"/>
      <c r="H35" s="348"/>
      <c r="I35" s="33" t="s">
        <v>9</v>
      </c>
      <c r="J35" s="280">
        <f>I13</f>
        <v>101.76112094286238</v>
      </c>
      <c r="K35" s="284">
        <f>COUNTA([5]Brewhouse!$A$52:$A$53)</f>
        <v>2</v>
      </c>
      <c r="L35" s="302">
        <f>AVERAGE([5]Brewhouse!$AS$52:$AS$53)</f>
        <v>103.31769230487673</v>
      </c>
      <c r="M35" s="302">
        <f>AVERAGE([5]Brewhouse!$AS$52:$AS$53)</f>
        <v>103.31769230487673</v>
      </c>
      <c r="N35" s="30">
        <v>98</v>
      </c>
      <c r="O35" s="11"/>
      <c r="P35" s="31"/>
      <c r="R35" s="277">
        <f t="shared" si="10"/>
        <v>0</v>
      </c>
      <c r="S35" s="474" t="e">
        <f t="shared" si="11"/>
        <v>#N/A</v>
      </c>
      <c r="T35" s="474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4" t="e">
        <f t="shared" si="18"/>
        <v>#N/A</v>
      </c>
    </row>
    <row r="36" spans="1:27" ht="14.65" customHeight="1">
      <c r="A36" s="28"/>
      <c r="B36" s="596"/>
      <c r="C36" s="362"/>
      <c r="D36" s="536"/>
      <c r="E36" s="537"/>
      <c r="F36" s="294"/>
      <c r="G36" s="294"/>
      <c r="H36" s="348"/>
      <c r="I36" s="34" t="s">
        <v>12</v>
      </c>
      <c r="J36" s="280"/>
      <c r="K36" s="284"/>
      <c r="L36" s="302"/>
      <c r="M36" s="302"/>
      <c r="N36" s="30">
        <v>98</v>
      </c>
      <c r="O36" s="11"/>
      <c r="P36" s="31"/>
      <c r="R36" s="277">
        <f t="shared" si="10"/>
        <v>0</v>
      </c>
      <c r="S36" s="474" t="e">
        <f t="shared" si="11"/>
        <v>#N/A</v>
      </c>
      <c r="T36" s="474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4" t="e">
        <f t="shared" si="18"/>
        <v>#N/A</v>
      </c>
    </row>
    <row r="37" spans="1:27" ht="14.65" customHeight="1">
      <c r="A37" s="28"/>
      <c r="B37" s="596"/>
      <c r="C37" s="362"/>
      <c r="D37" s="531"/>
      <c r="E37" s="532"/>
      <c r="F37" s="294"/>
      <c r="G37" s="294"/>
      <c r="H37" s="348"/>
      <c r="I37" s="22" t="s">
        <v>33</v>
      </c>
      <c r="J37" s="280">
        <f>AVERAGE(I15:I18)</f>
        <v>98.342483899212951</v>
      </c>
      <c r="K37" s="284">
        <f>COUNTA([6]Brewhouse!$A$23:$A$26)</f>
        <v>4</v>
      </c>
      <c r="L37" s="302">
        <f>AVERAGE([6]Brewhouse!$AV$23:$AV$26)</f>
        <v>98.342483899212951</v>
      </c>
      <c r="M37" s="302">
        <f>AVERAGE([6]Brewhouse!$AV$23:$AV$26)</f>
        <v>98.342483899212951</v>
      </c>
      <c r="N37" s="30">
        <v>98</v>
      </c>
      <c r="O37" s="11"/>
      <c r="P37" s="31"/>
      <c r="R37" s="277">
        <f t="shared" si="10"/>
        <v>0</v>
      </c>
      <c r="S37" s="474" t="e">
        <f t="shared" si="11"/>
        <v>#N/A</v>
      </c>
      <c r="T37" s="474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4" t="e">
        <f t="shared" si="18"/>
        <v>#N/A</v>
      </c>
    </row>
    <row r="38" spans="1:27" ht="14.65" customHeight="1">
      <c r="A38" s="28"/>
      <c r="B38" s="596"/>
      <c r="C38" s="362"/>
      <c r="D38" s="536"/>
      <c r="E38" s="537"/>
      <c r="F38" s="417"/>
      <c r="G38" s="294"/>
      <c r="H38" s="348"/>
      <c r="I38" s="35" t="s">
        <v>29</v>
      </c>
      <c r="J38" s="280"/>
      <c r="K38" s="284"/>
      <c r="L38" s="302"/>
      <c r="M38" s="302"/>
      <c r="N38" s="30">
        <v>98</v>
      </c>
      <c r="O38" s="11"/>
      <c r="P38" s="31"/>
      <c r="R38" s="277">
        <f t="shared" si="10"/>
        <v>0</v>
      </c>
      <c r="S38" s="474" t="e">
        <f t="shared" si="11"/>
        <v>#N/A</v>
      </c>
      <c r="T38" s="474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474" t="e">
        <f t="shared" si="18"/>
        <v>#N/A</v>
      </c>
    </row>
    <row r="39" spans="1:27" ht="14.65" customHeight="1">
      <c r="A39" s="28"/>
      <c r="B39" s="596"/>
      <c r="C39" s="362"/>
      <c r="D39" s="531"/>
      <c r="E39" s="532"/>
      <c r="F39" s="417"/>
      <c r="G39" s="294"/>
      <c r="H39" s="348"/>
      <c r="I39" s="36" t="s">
        <v>15</v>
      </c>
      <c r="J39" s="323"/>
      <c r="K39" s="284">
        <f>COUNTA([7]Brewhouse!$A$13:$A$20)</f>
        <v>8</v>
      </c>
      <c r="L39" s="302" t="e">
        <f>AVERAGE([7]Brewhouse!$AT$13:$AT$20)</f>
        <v>#DIV/0!</v>
      </c>
      <c r="M39" s="302" t="e">
        <f>AVERAGE([7]Brewhouse!$AT$13:$AT$20)</f>
        <v>#DIV/0!</v>
      </c>
      <c r="N39" s="30">
        <v>98</v>
      </c>
      <c r="O39" s="11"/>
      <c r="P39" s="31"/>
      <c r="R39" s="277">
        <f t="shared" si="10"/>
        <v>0</v>
      </c>
      <c r="S39" s="474" t="e">
        <f t="shared" si="11"/>
        <v>#N/A</v>
      </c>
      <c r="T39" s="474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474" t="e">
        <f t="shared" si="18"/>
        <v>#N/A</v>
      </c>
      <c r="AA39" s="474"/>
    </row>
    <row r="40" spans="1:27" ht="14.65" customHeight="1">
      <c r="A40" s="28"/>
      <c r="B40" s="596"/>
      <c r="C40" s="362"/>
      <c r="D40" s="536"/>
      <c r="E40" s="537"/>
      <c r="F40" s="417"/>
      <c r="G40" s="294"/>
      <c r="H40" s="348"/>
      <c r="I40" s="37" t="s">
        <v>16</v>
      </c>
      <c r="J40" s="323"/>
      <c r="K40" s="284">
        <f>COUNTA([8]Brewhouse!$A$5:$A$7)</f>
        <v>3</v>
      </c>
      <c r="L40" s="302">
        <f>AVERAGE([8]Brewhouse!$AY$5:$AY$7)</f>
        <v>98.128633252159673</v>
      </c>
      <c r="M40" s="302">
        <f>AVERAGE([8]Brewhouse!$AY$5:$AY$7)</f>
        <v>98.128633252159673</v>
      </c>
      <c r="N40" s="30">
        <v>98</v>
      </c>
      <c r="O40" s="11"/>
      <c r="P40" s="31" t="s">
        <v>41</v>
      </c>
      <c r="R40" s="277">
        <f t="shared" si="10"/>
        <v>0</v>
      </c>
      <c r="S40" s="474" t="e">
        <f t="shared" si="11"/>
        <v>#N/A</v>
      </c>
      <c r="T40" s="474" t="e">
        <f t="shared" si="12"/>
        <v>#N/A</v>
      </c>
      <c r="U40" s="297" t="e">
        <f t="shared" si="13"/>
        <v>#N/A</v>
      </c>
      <c r="V40" s="297" t="e">
        <f t="shared" si="14"/>
        <v>#N/A</v>
      </c>
      <c r="W40" s="297" t="e">
        <f t="shared" si="15"/>
        <v>#N/A</v>
      </c>
      <c r="X40" s="297" t="e">
        <f t="shared" si="16"/>
        <v>#N/A</v>
      </c>
      <c r="Y40" s="297" t="e">
        <f t="shared" si="17"/>
        <v>#N/A</v>
      </c>
      <c r="Z40" s="474" t="e">
        <f t="shared" si="18"/>
        <v>#N/A</v>
      </c>
      <c r="AA40" s="474"/>
    </row>
    <row r="41" spans="1:27" ht="14.65" customHeight="1">
      <c r="A41" s="28"/>
      <c r="B41" s="596"/>
      <c r="C41" s="362"/>
      <c r="D41" s="531"/>
      <c r="E41" s="532"/>
      <c r="F41" s="294"/>
      <c r="G41" s="294"/>
      <c r="H41" s="348"/>
      <c r="I41" s="411" t="s">
        <v>158</v>
      </c>
      <c r="J41" s="326"/>
      <c r="K41" s="284"/>
      <c r="L41" s="305"/>
      <c r="M41" s="305"/>
      <c r="N41" s="30">
        <v>98</v>
      </c>
      <c r="O41" s="11"/>
      <c r="P41" s="31"/>
      <c r="R41" s="277">
        <f t="shared" si="10"/>
        <v>0</v>
      </c>
      <c r="S41" s="474" t="e">
        <f t="shared" si="11"/>
        <v>#N/A</v>
      </c>
      <c r="T41" s="474" t="e">
        <f t="shared" si="12"/>
        <v>#N/A</v>
      </c>
      <c r="U41" s="297" t="e">
        <f t="shared" si="13"/>
        <v>#N/A</v>
      </c>
      <c r="V41" s="297" t="e">
        <f t="shared" si="14"/>
        <v>#N/A</v>
      </c>
      <c r="W41" s="297" t="e">
        <f t="shared" si="15"/>
        <v>#N/A</v>
      </c>
      <c r="X41" s="297" t="e">
        <f t="shared" si="16"/>
        <v>#N/A</v>
      </c>
      <c r="Y41" s="297" t="e">
        <f t="shared" si="17"/>
        <v>#N/A</v>
      </c>
      <c r="Z41" s="474" t="e">
        <f t="shared" si="18"/>
        <v>#N/A</v>
      </c>
      <c r="AA41" s="474"/>
    </row>
    <row r="42" spans="1:27" ht="14.65" customHeight="1">
      <c r="A42" s="28"/>
      <c r="B42" s="596"/>
      <c r="C42" s="349"/>
      <c r="D42" s="536"/>
      <c r="E42" s="537"/>
      <c r="F42" s="294"/>
      <c r="G42" s="294"/>
      <c r="H42" s="348"/>
      <c r="I42" s="410" t="s">
        <v>157</v>
      </c>
      <c r="J42" s="326"/>
      <c r="K42" s="284"/>
      <c r="L42" s="305"/>
      <c r="M42" s="305"/>
      <c r="N42" s="30">
        <v>98</v>
      </c>
      <c r="O42" s="11"/>
      <c r="P42" s="31"/>
      <c r="R42" s="277">
        <f t="shared" si="10"/>
        <v>0</v>
      </c>
      <c r="S42" s="474" t="e">
        <f t="shared" si="11"/>
        <v>#N/A</v>
      </c>
      <c r="T42" s="474" t="e">
        <f t="shared" si="12"/>
        <v>#N/A</v>
      </c>
      <c r="U42" s="297" t="e">
        <f t="shared" si="13"/>
        <v>#N/A</v>
      </c>
      <c r="V42" s="297" t="e">
        <f t="shared" si="14"/>
        <v>#N/A</v>
      </c>
      <c r="W42" s="297" t="e">
        <f t="shared" si="15"/>
        <v>#N/A</v>
      </c>
      <c r="X42" s="297" t="e">
        <f t="shared" si="16"/>
        <v>#N/A</v>
      </c>
      <c r="Y42" s="297" t="e">
        <f t="shared" si="17"/>
        <v>#N/A</v>
      </c>
      <c r="Z42" s="474" t="e">
        <f t="shared" si="18"/>
        <v>#N/A</v>
      </c>
      <c r="AA42" s="474"/>
    </row>
    <row r="43" spans="1:27" ht="15" customHeight="1" thickBot="1">
      <c r="A43" s="28"/>
      <c r="B43" s="596"/>
      <c r="C43" s="349"/>
      <c r="D43" s="531"/>
      <c r="E43" s="532"/>
      <c r="F43" s="294"/>
      <c r="G43" s="294"/>
      <c r="H43" s="348"/>
      <c r="I43" s="406" t="s">
        <v>156</v>
      </c>
      <c r="J43" s="327"/>
      <c r="K43" s="407"/>
      <c r="L43" s="408"/>
      <c r="M43" s="408"/>
      <c r="N43" s="409">
        <v>98</v>
      </c>
      <c r="O43" s="11"/>
      <c r="P43" s="31"/>
      <c r="R43" s="277">
        <f t="shared" si="10"/>
        <v>0</v>
      </c>
      <c r="S43" s="474" t="e">
        <f t="shared" si="11"/>
        <v>#N/A</v>
      </c>
      <c r="T43" s="474" t="e">
        <f t="shared" si="12"/>
        <v>#N/A</v>
      </c>
      <c r="U43" s="297" t="e">
        <f t="shared" si="13"/>
        <v>#N/A</v>
      </c>
      <c r="V43" s="297" t="e">
        <f t="shared" si="14"/>
        <v>#N/A</v>
      </c>
      <c r="W43" s="297" t="e">
        <f t="shared" si="15"/>
        <v>#N/A</v>
      </c>
      <c r="X43" s="297" t="e">
        <f t="shared" si="16"/>
        <v>#N/A</v>
      </c>
      <c r="Y43" s="297" t="e">
        <f t="shared" si="17"/>
        <v>#N/A</v>
      </c>
      <c r="Z43" s="474" t="e">
        <f t="shared" si="18"/>
        <v>#N/A</v>
      </c>
      <c r="AA43" s="474"/>
    </row>
    <row r="44" spans="1:27" ht="15" customHeight="1" thickBot="1">
      <c r="A44" s="28"/>
      <c r="B44" s="596"/>
      <c r="C44" s="349"/>
      <c r="D44" s="546"/>
      <c r="E44" s="547"/>
      <c r="F44" s="294"/>
      <c r="G44" s="294"/>
      <c r="H44" s="348"/>
      <c r="I44" s="1"/>
      <c r="J44" s="39"/>
      <c r="K44" s="404">
        <f>SUM(K34:K43)</f>
        <v>33</v>
      </c>
      <c r="L44" s="405" t="e">
        <f>((L34*K34)+(L35*K35)+(L36*K36)+(L37*K37)+(L38*K38)+(K41*L41)+(L39*K39)+(L40*K40)+(L43*K43))/(K44)</f>
        <v>#DIV/0!</v>
      </c>
      <c r="M44" s="405" t="e">
        <f>L44</f>
        <v>#DIV/0!</v>
      </c>
      <c r="N44" s="40">
        <v>98</v>
      </c>
      <c r="O44" s="11"/>
      <c r="P44" s="31"/>
      <c r="R44" s="277">
        <f t="shared" si="10"/>
        <v>0</v>
      </c>
      <c r="S44" s="474" t="e">
        <f t="shared" si="11"/>
        <v>#N/A</v>
      </c>
      <c r="T44" s="474" t="e">
        <f t="shared" si="12"/>
        <v>#N/A</v>
      </c>
      <c r="U44" s="297" t="e">
        <f t="shared" si="13"/>
        <v>#N/A</v>
      </c>
      <c r="V44" s="297" t="e">
        <f t="shared" si="14"/>
        <v>#N/A</v>
      </c>
      <c r="W44" s="297" t="e">
        <f t="shared" si="15"/>
        <v>#N/A</v>
      </c>
      <c r="X44" s="297" t="e">
        <f t="shared" si="16"/>
        <v>#N/A</v>
      </c>
      <c r="Y44" s="297" t="e">
        <f t="shared" si="17"/>
        <v>#N/A</v>
      </c>
      <c r="Z44" s="474" t="e">
        <f t="shared" si="18"/>
        <v>#N/A</v>
      </c>
      <c r="AA44" s="474"/>
    </row>
    <row r="45" spans="1:27" ht="15.75" thickBot="1">
      <c r="B45" s="597"/>
      <c r="C45" s="350"/>
      <c r="D45" s="548"/>
      <c r="E45" s="532"/>
      <c r="F45" s="294"/>
      <c r="G45" s="42"/>
      <c r="H45" s="41"/>
      <c r="I45" s="42"/>
      <c r="J45" s="42"/>
      <c r="K45" s="351"/>
      <c r="L45" s="348"/>
      <c r="M45" s="348"/>
      <c r="N45" s="11"/>
      <c r="O45" s="294"/>
      <c r="P45" s="12"/>
      <c r="R45" s="277">
        <f t="shared" si="10"/>
        <v>0</v>
      </c>
      <c r="S45" s="474" t="e">
        <f t="shared" si="11"/>
        <v>#N/A</v>
      </c>
      <c r="T45" s="474" t="e">
        <f t="shared" si="12"/>
        <v>#N/A</v>
      </c>
      <c r="U45" s="297" t="e">
        <f t="shared" si="13"/>
        <v>#N/A</v>
      </c>
      <c r="V45" s="297" t="e">
        <f t="shared" si="14"/>
        <v>#N/A</v>
      </c>
      <c r="W45" s="297" t="e">
        <f t="shared" si="15"/>
        <v>#N/A</v>
      </c>
      <c r="X45" s="297" t="e">
        <f t="shared" si="16"/>
        <v>#N/A</v>
      </c>
      <c r="Y45" s="297" t="e">
        <f t="shared" si="17"/>
        <v>#N/A</v>
      </c>
      <c r="Z45" s="474" t="e">
        <f t="shared" si="18"/>
        <v>#N/A</v>
      </c>
      <c r="AA45" s="474"/>
    </row>
    <row r="46" spans="1:27" ht="15.75" thickBot="1">
      <c r="B46" s="526"/>
      <c r="C46" s="362"/>
      <c r="D46" s="529"/>
      <c r="E46" s="530"/>
      <c r="F46" s="294"/>
      <c r="G46" s="42"/>
      <c r="H46" s="41"/>
      <c r="I46" s="42"/>
      <c r="J46" s="533" t="s">
        <v>129</v>
      </c>
      <c r="K46" s="533"/>
      <c r="L46" s="294"/>
      <c r="M46" s="294"/>
      <c r="N46" s="294"/>
      <c r="O46" s="294"/>
      <c r="P46" s="12"/>
    </row>
    <row r="47" spans="1:27" ht="15.75" thickBot="1">
      <c r="B47" s="527"/>
      <c r="C47" s="362"/>
      <c r="D47" s="531"/>
      <c r="E47" s="532"/>
      <c r="F47" s="294"/>
      <c r="G47" s="42"/>
      <c r="H47" s="42"/>
      <c r="I47" s="292" t="s">
        <v>17</v>
      </c>
      <c r="J47" s="293" t="s">
        <v>178</v>
      </c>
      <c r="K47" s="293" t="s">
        <v>179</v>
      </c>
      <c r="L47" s="534" t="s">
        <v>136</v>
      </c>
      <c r="M47" s="534"/>
      <c r="N47" s="535"/>
      <c r="O47" s="294"/>
      <c r="P47" s="12"/>
    </row>
    <row r="48" spans="1:27" ht="15" customHeight="1" thickBot="1">
      <c r="B48" s="527"/>
      <c r="C48" s="349"/>
      <c r="D48" s="536"/>
      <c r="E48" s="537"/>
      <c r="F48" s="294"/>
      <c r="G48" s="42"/>
      <c r="H48" s="42"/>
      <c r="I48" s="287" t="s">
        <v>6</v>
      </c>
      <c r="J48" s="324">
        <v>2</v>
      </c>
      <c r="K48" s="324">
        <v>4</v>
      </c>
      <c r="L48" s="475" t="s">
        <v>37</v>
      </c>
      <c r="M48" s="476" t="s">
        <v>38</v>
      </c>
      <c r="N48" s="476" t="s">
        <v>84</v>
      </c>
      <c r="O48" s="294"/>
      <c r="P48" s="12"/>
    </row>
    <row r="49" spans="2:57" ht="15.75" customHeight="1" thickBot="1">
      <c r="B49" s="527"/>
      <c r="C49" s="349"/>
      <c r="D49" s="531"/>
      <c r="E49" s="532"/>
      <c r="F49" s="294"/>
      <c r="G49" s="42"/>
      <c r="H49" s="42"/>
      <c r="I49" s="345" t="s">
        <v>9</v>
      </c>
      <c r="J49" s="324">
        <v>1</v>
      </c>
      <c r="K49" s="324"/>
      <c r="L49" s="344">
        <f>AVERAGE('Jan 2nd'!K45,'Jan 5th'!K45,'Jan 6th'!K49,'Jan 7th'!K49,'Jan 8th '!K44,'Jan 9th-10th'!J58,'Jan 9th-10th'!K58)</f>
        <v>5.7142857142857144</v>
      </c>
      <c r="M49" s="325">
        <f>AVERAGE(L49)</f>
        <v>5.7142857142857144</v>
      </c>
      <c r="N49" s="416">
        <v>9.1999999999999993</v>
      </c>
      <c r="O49" s="294"/>
      <c r="P49" s="12"/>
    </row>
    <row r="50" spans="2:57" ht="15" customHeight="1">
      <c r="B50" s="527"/>
      <c r="C50" s="349"/>
      <c r="D50" s="536"/>
      <c r="E50" s="537"/>
      <c r="F50" s="294"/>
      <c r="G50" s="42"/>
      <c r="H50" s="42"/>
      <c r="I50" s="288" t="s">
        <v>40</v>
      </c>
      <c r="J50" s="324"/>
      <c r="K50" s="324"/>
      <c r="L50" s="294"/>
      <c r="M50" s="294"/>
      <c r="N50" s="294"/>
      <c r="O50" s="294"/>
      <c r="P50" s="12"/>
    </row>
    <row r="51" spans="2:57" ht="15" customHeight="1">
      <c r="B51" s="527"/>
      <c r="C51" s="349"/>
      <c r="D51" s="531"/>
      <c r="E51" s="532"/>
      <c r="F51" s="294"/>
      <c r="G51" s="42"/>
      <c r="H51" s="42"/>
      <c r="I51" s="289" t="s">
        <v>33</v>
      </c>
      <c r="J51" s="324">
        <v>4</v>
      </c>
      <c r="K51" s="324"/>
      <c r="L51" s="294"/>
      <c r="M51" s="294"/>
      <c r="N51" s="294"/>
      <c r="O51" s="294"/>
      <c r="P51" s="12"/>
    </row>
    <row r="52" spans="2:57" ht="15">
      <c r="B52" s="527"/>
      <c r="C52" s="349"/>
      <c r="D52" s="536"/>
      <c r="E52" s="537"/>
      <c r="F52" s="294"/>
      <c r="G52" s="42"/>
      <c r="H52" s="42"/>
      <c r="I52" s="290" t="s">
        <v>16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2:57" ht="15">
      <c r="B53" s="527"/>
      <c r="C53" s="349"/>
      <c r="D53" s="531"/>
      <c r="E53" s="532"/>
      <c r="F53" s="294"/>
      <c r="G53" s="42"/>
      <c r="H53" s="42"/>
      <c r="I53" s="291" t="s">
        <v>15</v>
      </c>
      <c r="J53" s="324"/>
      <c r="K53" s="324"/>
      <c r="L53" s="294"/>
      <c r="M53" s="294"/>
      <c r="N53" s="294"/>
      <c r="O53" s="294"/>
      <c r="P53" s="12"/>
      <c r="BC53" s="44"/>
      <c r="BD53" s="44"/>
    </row>
    <row r="54" spans="2:57" ht="15">
      <c r="B54" s="527"/>
      <c r="C54" s="349"/>
      <c r="D54" s="536"/>
      <c r="E54" s="537"/>
      <c r="F54" s="294"/>
      <c r="G54" s="42"/>
      <c r="H54" s="42"/>
      <c r="I54" s="291" t="s">
        <v>149</v>
      </c>
      <c r="J54" s="324"/>
      <c r="K54" s="324"/>
      <c r="L54" s="294"/>
      <c r="M54" s="294"/>
      <c r="N54" s="294"/>
      <c r="O54" s="294"/>
      <c r="P54" s="12"/>
      <c r="BC54" s="44"/>
      <c r="BD54" s="44"/>
    </row>
    <row r="55" spans="2:57" ht="15.75" thickBot="1">
      <c r="B55" s="528"/>
      <c r="C55" s="350"/>
      <c r="D55" s="538"/>
      <c r="E55" s="539"/>
      <c r="F55" s="294" t="s">
        <v>166</v>
      </c>
      <c r="G55" s="42"/>
      <c r="H55" s="42"/>
      <c r="I55" s="291" t="s">
        <v>148</v>
      </c>
      <c r="J55" s="324"/>
      <c r="K55" s="324"/>
      <c r="L55" s="294"/>
      <c r="M55" s="294"/>
      <c r="N55" s="294" t="s">
        <v>41</v>
      </c>
      <c r="O55" s="294"/>
      <c r="P55" s="12"/>
      <c r="BC55" s="44"/>
      <c r="BD55" s="44"/>
    </row>
    <row r="56" spans="2:57" ht="17.649999999999999" customHeight="1" thickBot="1">
      <c r="B56" s="312" t="s">
        <v>139</v>
      </c>
      <c r="C56" s="313"/>
      <c r="D56" s="519"/>
      <c r="E56" s="520"/>
      <c r="F56" s="294"/>
      <c r="I56" s="295" t="s">
        <v>134</v>
      </c>
      <c r="J56" s="324"/>
      <c r="K56" s="324"/>
      <c r="L56" s="294"/>
      <c r="M56" s="294"/>
      <c r="N56" s="294"/>
      <c r="O56" s="294"/>
      <c r="P56" s="12"/>
      <c r="BC56" s="44"/>
      <c r="BD56" s="44"/>
    </row>
    <row r="57" spans="2:57" ht="17.649999999999999" customHeight="1">
      <c r="B57" s="363"/>
      <c r="C57" s="364"/>
      <c r="D57" s="365"/>
      <c r="E57" s="365"/>
      <c r="F57" s="294"/>
      <c r="G57" s="42"/>
      <c r="H57" s="42"/>
      <c r="I57" s="295" t="s">
        <v>131</v>
      </c>
      <c r="J57" s="324"/>
      <c r="K57" s="324"/>
      <c r="L57" s="294"/>
      <c r="M57" s="294"/>
      <c r="N57" s="294"/>
      <c r="O57" s="294"/>
      <c r="P57" s="12"/>
      <c r="BC57" s="44"/>
      <c r="BD57" s="44"/>
    </row>
    <row r="58" spans="2:57" ht="15.6" customHeight="1">
      <c r="B58" s="45"/>
      <c r="C58" s="11"/>
      <c r="D58" s="11"/>
      <c r="E58" s="46"/>
      <c r="F58" s="294"/>
      <c r="G58" s="42"/>
      <c r="H58" s="42"/>
      <c r="I58" s="346" t="s">
        <v>130</v>
      </c>
      <c r="J58" s="324">
        <f>SUM(J48:J57)</f>
        <v>7</v>
      </c>
      <c r="K58" s="324">
        <f>SUM(K48:K57)</f>
        <v>4</v>
      </c>
      <c r="L58" s="294"/>
      <c r="M58" s="294"/>
      <c r="N58" s="294"/>
      <c r="O58" s="294"/>
      <c r="P58" s="12"/>
    </row>
    <row r="59" spans="2:57" ht="20.25" customHeight="1">
      <c r="B59" s="15" t="s">
        <v>42</v>
      </c>
      <c r="C59" s="1" t="s">
        <v>43</v>
      </c>
      <c r="D59" s="1"/>
      <c r="E59" s="1"/>
      <c r="F59" s="294"/>
      <c r="G59" s="42"/>
      <c r="H59" s="41"/>
      <c r="I59" s="42"/>
      <c r="J59" s="42"/>
      <c r="L59" s="294"/>
      <c r="N59" s="315"/>
      <c r="P59" s="334"/>
    </row>
    <row r="60" spans="2:57" ht="15" customHeight="1" thickBot="1"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1"/>
      <c r="O60" s="48"/>
      <c r="P60" s="49"/>
    </row>
    <row r="61" spans="2:57" ht="15" customHeight="1" thickBot="1">
      <c r="B61" s="511" t="s">
        <v>17</v>
      </c>
      <c r="C61" s="511" t="s">
        <v>44</v>
      </c>
      <c r="D61" s="522" t="s">
        <v>45</v>
      </c>
      <c r="E61" s="524" t="s">
        <v>46</v>
      </c>
      <c r="F61" s="517" t="s">
        <v>47</v>
      </c>
      <c r="G61" s="509" t="s">
        <v>48</v>
      </c>
      <c r="H61" s="511" t="s">
        <v>49</v>
      </c>
      <c r="I61" s="511" t="s">
        <v>50</v>
      </c>
      <c r="J61" s="503" t="s">
        <v>28</v>
      </c>
      <c r="K61" s="513" t="s">
        <v>51</v>
      </c>
      <c r="L61" s="515" t="s">
        <v>52</v>
      </c>
      <c r="M61" s="503" t="s">
        <v>53</v>
      </c>
      <c r="N61" s="13"/>
      <c r="O61" s="13"/>
      <c r="P61" s="50"/>
    </row>
    <row r="62" spans="2:57" ht="28.5" customHeight="1" thickTop="1" thickBot="1">
      <c r="B62" s="521"/>
      <c r="C62" s="521"/>
      <c r="D62" s="523"/>
      <c r="E62" s="525"/>
      <c r="F62" s="518"/>
      <c r="G62" s="510"/>
      <c r="H62" s="512"/>
      <c r="I62" s="512"/>
      <c r="J62" s="504"/>
      <c r="K62" s="514"/>
      <c r="L62" s="516"/>
      <c r="M62" s="504"/>
      <c r="N62" s="13"/>
      <c r="O62" s="13"/>
      <c r="P62" s="50"/>
      <c r="Q62" s="355"/>
      <c r="AB62" s="477">
        <v>43474</v>
      </c>
      <c r="AC62" s="477">
        <v>43475</v>
      </c>
      <c r="AD62" s="477">
        <v>43476</v>
      </c>
      <c r="AE62" s="477">
        <v>43477</v>
      </c>
      <c r="AF62" s="477">
        <v>43478</v>
      </c>
      <c r="AG62" s="477">
        <v>43479</v>
      </c>
      <c r="AH62" s="477">
        <v>43480</v>
      </c>
      <c r="AI62" s="477">
        <v>43481</v>
      </c>
      <c r="AJ62" s="477">
        <v>43482</v>
      </c>
      <c r="AK62" s="477">
        <v>43483</v>
      </c>
      <c r="AL62" s="477">
        <v>43484</v>
      </c>
      <c r="AM62" s="477">
        <v>43485</v>
      </c>
      <c r="AN62" s="477">
        <v>43486</v>
      </c>
      <c r="AO62" s="477">
        <v>43487</v>
      </c>
      <c r="AP62" s="477">
        <v>43488</v>
      </c>
      <c r="AQ62" s="477">
        <v>43489</v>
      </c>
      <c r="AR62" s="477">
        <v>43490</v>
      </c>
      <c r="AS62" s="477">
        <v>43491</v>
      </c>
      <c r="AT62" s="477">
        <v>43492</v>
      </c>
      <c r="AU62" s="477">
        <v>43493</v>
      </c>
      <c r="AV62" s="477">
        <v>43494</v>
      </c>
      <c r="AW62" s="477">
        <v>43495</v>
      </c>
      <c r="AX62" s="477">
        <v>43496</v>
      </c>
    </row>
    <row r="63" spans="2:57" s="54" customFormat="1" ht="43.15" customHeight="1" thickBot="1">
      <c r="B63" s="491" t="str">
        <f>I52</f>
        <v>STARMALT</v>
      </c>
      <c r="C63" s="441">
        <v>46031</v>
      </c>
      <c r="D63" s="442">
        <f>[28]January_2026!$K$55</f>
        <v>310.5</v>
      </c>
      <c r="E63" s="443"/>
      <c r="F63" s="444"/>
      <c r="G63" s="444" t="e">
        <f>[28]January_2026!$K$59</f>
        <v>#REF!</v>
      </c>
      <c r="H63" s="458"/>
      <c r="I63" s="458"/>
      <c r="J63" s="448" t="s">
        <v>180</v>
      </c>
      <c r="K63" s="449" t="e">
        <f>[29]January_2026!$K$53</f>
        <v>#REF!</v>
      </c>
      <c r="L63" s="478" t="e">
        <f>(((D63+E63)-G63)/(D63+E63))*100</f>
        <v>#REF!</v>
      </c>
      <c r="M63" s="455" t="s">
        <v>181</v>
      </c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[9]January_2019!L7</f>
        <v>285.8</v>
      </c>
      <c r="AC63" s="57">
        <f>[9]January_2019!M7</f>
        <v>508.1</v>
      </c>
      <c r="AD63" s="57">
        <f>[9]January_2019!N7</f>
        <v>0</v>
      </c>
      <c r="AE63" s="57">
        <f>[9]January_2019!O7</f>
        <v>0</v>
      </c>
      <c r="AF63" s="57">
        <f>[9]January_2019!P7</f>
        <v>109.56666666666666</v>
      </c>
      <c r="AG63" s="57">
        <f>[9]January_2019!Q7</f>
        <v>297.64999999999998</v>
      </c>
      <c r="AH63" s="57">
        <f>[9]January_2019!R7</f>
        <v>122.3</v>
      </c>
      <c r="AI63" s="57">
        <f>[9]January_2019!S7</f>
        <v>0</v>
      </c>
      <c r="AJ63" s="57">
        <f>[9]January_2019!T7</f>
        <v>294.7</v>
      </c>
      <c r="AK63" s="57">
        <f>[9]January_2019!U7</f>
        <v>280.5</v>
      </c>
      <c r="AL63" s="57">
        <f>[9]January_2019!V7</f>
        <v>0</v>
      </c>
      <c r="AM63" s="57">
        <f>[9]January_2019!W7</f>
        <v>0</v>
      </c>
      <c r="AN63" s="57">
        <f>[9]January_2019!X7</f>
        <v>188.25</v>
      </c>
      <c r="AO63" s="57">
        <f>[9]January_2019!Y7</f>
        <v>295.7</v>
      </c>
      <c r="AP63" s="57">
        <f>[9]January_2019!Z7</f>
        <v>257.8</v>
      </c>
      <c r="AQ63" s="57">
        <f>[9]January_2019!AA7</f>
        <v>291.2</v>
      </c>
      <c r="AR63" s="57">
        <f>[9]January_2019!AB7</f>
        <v>187</v>
      </c>
      <c r="AS63" s="57">
        <f>[9]January_2019!AC7</f>
        <v>0</v>
      </c>
      <c r="AT63" s="57">
        <f>[9]January_2019!AD7</f>
        <v>0</v>
      </c>
      <c r="AU63" s="57">
        <f>[9]January_2019!AE7</f>
        <v>485.1</v>
      </c>
      <c r="AV63" s="57">
        <f>[9]January_2019!AF7</f>
        <v>171.55</v>
      </c>
      <c r="AW63" s="57">
        <f>[9]January_2019!AG7</f>
        <v>423.8</v>
      </c>
      <c r="AX63" s="277">
        <f>[9]January_2019!AH7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2:57" s="54" customFormat="1" ht="19.5" customHeight="1" thickBot="1">
      <c r="B64" s="468"/>
      <c r="C64" s="430"/>
      <c r="D64" s="431"/>
      <c r="E64" s="432"/>
      <c r="F64" s="433"/>
      <c r="G64" s="434"/>
      <c r="H64" s="428"/>
      <c r="I64" s="428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customHeight="1" thickBot="1">
      <c r="B65" s="491" t="str">
        <f>I52</f>
        <v>STARMALT</v>
      </c>
      <c r="C65" s="441">
        <v>46031</v>
      </c>
      <c r="D65" s="442">
        <f>[28]January_2026!$L$55</f>
        <v>204.3</v>
      </c>
      <c r="E65" s="443"/>
      <c r="F65" s="444"/>
      <c r="G65" s="445" t="e">
        <f>[28]January_2026!$L$59</f>
        <v>#REF!</v>
      </c>
      <c r="H65" s="458"/>
      <c r="I65" s="458"/>
      <c r="J65" s="448" t="s">
        <v>180</v>
      </c>
      <c r="K65" s="460" t="e">
        <f>[29]January_2026!$L$53</f>
        <v>#REF!</v>
      </c>
      <c r="L65" s="478" t="e">
        <f>(((D65+E65)-G65)/(D65+E65))*100</f>
        <v>#REF!</v>
      </c>
      <c r="M65" s="455" t="s">
        <v>182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.75" thickBot="1">
      <c r="B66" s="453"/>
      <c r="C66" s="430"/>
      <c r="D66" s="431"/>
      <c r="E66" s="432"/>
      <c r="F66" s="433"/>
      <c r="G66" s="434"/>
      <c r="H66" s="435"/>
      <c r="I66" s="450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customHeight="1" thickBot="1">
      <c r="B67" s="490" t="str">
        <f>I51</f>
        <v>VITAMALT</v>
      </c>
      <c r="C67" s="441">
        <v>46032</v>
      </c>
      <c r="D67" s="442">
        <f>[28]January_2026!$M$65</f>
        <v>193.29999999999998</v>
      </c>
      <c r="E67" s="443">
        <f>SUM([30]VITAMALT!$J$6:$J$9)</f>
        <v>8.1999999999999993</v>
      </c>
      <c r="F67" s="444"/>
      <c r="G67" s="445">
        <f>[28]January_2026!$M$70</f>
        <v>188.3</v>
      </c>
      <c r="H67" s="446"/>
      <c r="I67" s="447"/>
      <c r="J67" s="448" t="s">
        <v>180</v>
      </c>
      <c r="K67" s="449">
        <f>[29]January_2026!$M$60</f>
        <v>0.6607017543859649</v>
      </c>
      <c r="L67" s="457">
        <f>(((D67+E67)-G67)/(D67+E67))*100</f>
        <v>6.5508684863523392</v>
      </c>
      <c r="M67" s="455" t="s">
        <v>182</v>
      </c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 thickBot="1">
      <c r="B68" s="437"/>
      <c r="C68" s="423"/>
      <c r="D68" s="424"/>
      <c r="E68" s="425"/>
      <c r="F68" s="426"/>
      <c r="G68" s="427"/>
      <c r="H68" s="428"/>
      <c r="I68" s="438"/>
      <c r="J68" s="439"/>
      <c r="K68" s="429"/>
      <c r="L68" s="440"/>
      <c r="M68" s="422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56"/>
      <c r="C69" s="441"/>
      <c r="D69" s="442"/>
      <c r="E69" s="443"/>
      <c r="F69" s="444"/>
      <c r="G69" s="445"/>
      <c r="H69" s="446"/>
      <c r="I69" s="447"/>
      <c r="J69" s="448"/>
      <c r="K69" s="449"/>
      <c r="L69" s="457"/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67"/>
      <c r="C70" s="430"/>
      <c r="D70" s="461"/>
      <c r="E70" s="462"/>
      <c r="F70" s="463"/>
      <c r="G70" s="461"/>
      <c r="H70" s="464"/>
      <c r="I70" s="464"/>
      <c r="J70" s="464"/>
      <c r="K70" s="465"/>
      <c r="L70" s="466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05" t="s">
        <v>55</v>
      </c>
      <c r="C72" s="506"/>
      <c r="D72" s="506"/>
      <c r="E72" s="506"/>
      <c r="F72" s="507"/>
      <c r="G72" s="505" t="s">
        <v>56</v>
      </c>
      <c r="H72" s="506"/>
      <c r="I72" s="506"/>
      <c r="J72" s="507"/>
      <c r="K72" s="505" t="s">
        <v>51</v>
      </c>
      <c r="L72" s="506"/>
      <c r="M72" s="506"/>
      <c r="N72" s="508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 t="s">
        <v>36</v>
      </c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282"/>
      <c r="D74" s="76">
        <v>13.605323060759916</v>
      </c>
      <c r="E74" s="76">
        <v>13.605323060759916</v>
      </c>
      <c r="F74" s="66">
        <v>4.8</v>
      </c>
      <c r="G74" s="65"/>
      <c r="H74" s="480">
        <v>11.514765584436908</v>
      </c>
      <c r="I74" s="480">
        <v>11.51</v>
      </c>
      <c r="J74" s="66">
        <v>4.8</v>
      </c>
      <c r="K74" s="67"/>
      <c r="L74" s="194">
        <v>0.19106140350877193</v>
      </c>
      <c r="M74" s="194">
        <v>0.19106140350877193</v>
      </c>
      <c r="N74" s="68">
        <v>1</v>
      </c>
      <c r="O74" s="56"/>
      <c r="P74" s="69"/>
    </row>
    <row r="75" spans="2:57" ht="15">
      <c r="B75" s="33" t="s">
        <v>9</v>
      </c>
      <c r="C75" s="65"/>
      <c r="D75" s="76"/>
      <c r="E75" s="76"/>
      <c r="F75" s="66">
        <v>4.8</v>
      </c>
      <c r="G75" s="65"/>
      <c r="H75" s="76"/>
      <c r="I75" s="76"/>
      <c r="J75" s="66">
        <v>4.8</v>
      </c>
      <c r="K75" s="67"/>
      <c r="L75" s="194"/>
      <c r="M75" s="194"/>
      <c r="N75" s="68">
        <v>1</v>
      </c>
      <c r="P75" s="69"/>
    </row>
    <row r="76" spans="2:57" ht="15">
      <c r="B76" s="34" t="s">
        <v>40</v>
      </c>
      <c r="C76" s="65"/>
      <c r="D76" s="76"/>
      <c r="E76" s="76"/>
      <c r="F76" s="66">
        <v>5.5</v>
      </c>
      <c r="G76" s="65"/>
      <c r="H76" s="76"/>
      <c r="I76" s="76"/>
      <c r="J76" s="66">
        <v>5.5</v>
      </c>
      <c r="K76" s="67"/>
      <c r="L76" s="194"/>
      <c r="M76" s="194"/>
      <c r="N76" s="68">
        <v>1</v>
      </c>
      <c r="P76" s="69"/>
    </row>
    <row r="77" spans="2:57" ht="15">
      <c r="B77" s="22" t="s">
        <v>33</v>
      </c>
      <c r="C77" s="65">
        <f>L67</f>
        <v>6.5508684863523392</v>
      </c>
      <c r="D77" s="76">
        <v>7.2952853598014702</v>
      </c>
      <c r="E77" s="76">
        <v>7.2952853598014702</v>
      </c>
      <c r="F77" s="66">
        <v>3.3</v>
      </c>
      <c r="G77" s="65">
        <f>[28]January_2026!$M$74</f>
        <v>5.2086766183151161</v>
      </c>
      <c r="H77" s="76">
        <v>5.2086766183151161</v>
      </c>
      <c r="I77" s="76">
        <v>5.2086766183151161</v>
      </c>
      <c r="J77" s="66">
        <v>3.3</v>
      </c>
      <c r="K77" s="67">
        <f>AVERAGE(K67)</f>
        <v>0.6607017543859649</v>
      </c>
      <c r="L77" s="194">
        <v>0.65543859649122815</v>
      </c>
      <c r="M77" s="194">
        <v>0.65543859649122815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/>
      <c r="F78" s="66">
        <v>3.3</v>
      </c>
      <c r="G78" s="282"/>
      <c r="H78" s="76"/>
      <c r="I78" s="76"/>
      <c r="J78" s="66">
        <v>3</v>
      </c>
      <c r="K78" s="67"/>
      <c r="L78" s="194"/>
      <c r="M78" s="194"/>
      <c r="N78" s="68">
        <v>1</v>
      </c>
      <c r="P78" s="69"/>
    </row>
    <row r="79" spans="2:57" ht="15">
      <c r="B79" s="36" t="s">
        <v>15</v>
      </c>
      <c r="C79" s="65"/>
      <c r="D79" s="76"/>
      <c r="E79" s="76"/>
      <c r="F79" s="70">
        <f>[10]May_2022!$M$43</f>
        <v>3.4878406700073312</v>
      </c>
      <c r="G79" s="282"/>
      <c r="H79" s="76"/>
      <c r="I79" s="76"/>
      <c r="J79" s="66">
        <v>5.5</v>
      </c>
      <c r="K79" s="67"/>
      <c r="L79" s="194"/>
      <c r="M79" s="194"/>
      <c r="N79" s="68">
        <v>1</v>
      </c>
      <c r="P79" s="69"/>
    </row>
    <row r="80" spans="2:57" ht="15">
      <c r="B80" s="37" t="s">
        <v>16</v>
      </c>
      <c r="C80" s="65" t="e">
        <f>AVERAGE(L65,L63)</f>
        <v>#REF!</v>
      </c>
      <c r="D80" s="76">
        <v>2.0590520590520631</v>
      </c>
      <c r="E80" s="76">
        <v>2.0590520590520631</v>
      </c>
      <c r="F80" s="66">
        <v>3.3</v>
      </c>
      <c r="G80" s="282" t="e">
        <f>AVERAGE([28]January_2026!$K$63:$L$63)</f>
        <v>#REF!</v>
      </c>
      <c r="H80" s="76">
        <v>2.1755040108015784</v>
      </c>
      <c r="I80" s="76">
        <v>2.1755040108015784</v>
      </c>
      <c r="J80" s="66">
        <v>3.3</v>
      </c>
      <c r="K80" s="67" t="e">
        <f>AVERAGE(K63,K65)</f>
        <v>#REF!</v>
      </c>
      <c r="L80" s="194">
        <v>0.88456140350877199</v>
      </c>
      <c r="M80" s="194">
        <v>0.88456140350877199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/>
      <c r="F81" s="66">
        <v>7.5</v>
      </c>
      <c r="G81" s="282"/>
      <c r="H81" s="76"/>
      <c r="I81" s="76"/>
      <c r="J81" s="66">
        <v>7.5</v>
      </c>
      <c r="K81" s="67"/>
      <c r="M81" s="194"/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/>
      <c r="F82" s="66">
        <v>4.8</v>
      </c>
      <c r="G82" s="282"/>
      <c r="H82" s="76"/>
      <c r="I82" s="76"/>
      <c r="J82" s="66">
        <v>4.8</v>
      </c>
      <c r="K82" s="67"/>
      <c r="L82" s="194"/>
      <c r="M82" s="194"/>
      <c r="N82" s="71">
        <v>1</v>
      </c>
      <c r="O82" s="74"/>
      <c r="P82" s="75"/>
    </row>
    <row r="83" spans="2:16" ht="15">
      <c r="D83" s="76">
        <v>8.0006214074879587</v>
      </c>
      <c r="E83" s="76">
        <v>8.0006214074879587</v>
      </c>
      <c r="F83" s="341">
        <v>5.5</v>
      </c>
      <c r="H83" s="76">
        <v>5.9839279046960803</v>
      </c>
      <c r="I83" s="76">
        <v>5.98</v>
      </c>
      <c r="J83" s="341">
        <v>5.5</v>
      </c>
      <c r="L83" s="194">
        <v>0.56133684210526325</v>
      </c>
      <c r="M83" s="194">
        <v>0.56133684210526325</v>
      </c>
      <c r="N8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2:N32"/>
    <mergeCell ref="D33:E33"/>
    <mergeCell ref="B34:B45"/>
    <mergeCell ref="D34:E35"/>
    <mergeCell ref="D36:E37"/>
    <mergeCell ref="D38:E39"/>
    <mergeCell ref="D40:E41"/>
    <mergeCell ref="D42:E43"/>
    <mergeCell ref="D44:E45"/>
    <mergeCell ref="B46:B55"/>
    <mergeCell ref="D46:E47"/>
    <mergeCell ref="J46:K46"/>
    <mergeCell ref="L47:N47"/>
    <mergeCell ref="D48:E49"/>
    <mergeCell ref="D50:E51"/>
    <mergeCell ref="D52:E53"/>
    <mergeCell ref="D54:E55"/>
    <mergeCell ref="D56:E56"/>
    <mergeCell ref="B61:B62"/>
    <mergeCell ref="C61:C62"/>
    <mergeCell ref="D61:D62"/>
    <mergeCell ref="E61:E62"/>
    <mergeCell ref="M61:M62"/>
    <mergeCell ref="B72:F72"/>
    <mergeCell ref="G72:J72"/>
    <mergeCell ref="K72:N72"/>
    <mergeCell ref="G61:G62"/>
    <mergeCell ref="H61:H62"/>
    <mergeCell ref="I61:I62"/>
    <mergeCell ref="J61:J62"/>
    <mergeCell ref="K61:K62"/>
    <mergeCell ref="L61:L62"/>
    <mergeCell ref="F61:F62"/>
  </mergeCells>
  <conditionalFormatting sqref="B56:B57">
    <cfRule type="cellIs" dxfId="3064" priority="67" operator="notBetween">
      <formula>#REF!</formula>
      <formula>#REF!</formula>
    </cfRule>
  </conditionalFormatting>
  <conditionalFormatting sqref="C60">
    <cfRule type="cellIs" dxfId="3063" priority="213" stopIfTrue="1" operator="greaterThan">
      <formula>100</formula>
    </cfRule>
    <cfRule type="cellIs" dxfId="3062" priority="212" stopIfTrue="1" operator="lessThan">
      <formula>96</formula>
    </cfRule>
  </conditionalFormatting>
  <conditionalFormatting sqref="C74:C78">
    <cfRule type="cellIs" dxfId="3061" priority="166" stopIfTrue="1" operator="lessThanOrEqual">
      <formula>0</formula>
    </cfRule>
  </conditionalFormatting>
  <conditionalFormatting sqref="C74:C82">
    <cfRule type="cellIs" dxfId="3060" priority="165" stopIfTrue="1" operator="greaterThan">
      <formula>$F74</formula>
    </cfRule>
  </conditionalFormatting>
  <conditionalFormatting sqref="C75">
    <cfRule type="cellIs" dxfId="3059" priority="216" stopIfTrue="1" operator="greaterThan">
      <formula>$F74</formula>
    </cfRule>
  </conditionalFormatting>
  <conditionalFormatting sqref="C79">
    <cfRule type="cellIs" dxfId="3058" priority="105" stopIfTrue="1" operator="lessThanOrEqual">
      <formula>0</formula>
    </cfRule>
    <cfRule type="cellIs" dxfId="3057" priority="106" stopIfTrue="1" operator="greaterThan">
      <formula>$F78</formula>
    </cfRule>
  </conditionalFormatting>
  <conditionalFormatting sqref="C85:C89">
    <cfRule type="cellIs" dxfId="3056" priority="204" stopIfTrue="1" operator="lessThanOrEqual">
      <formula>0</formula>
    </cfRule>
  </conditionalFormatting>
  <conditionalFormatting sqref="C86:C89">
    <cfRule type="cellIs" dxfId="3055" priority="203" stopIfTrue="1" operator="greaterThan">
      <formula>$F$85</formula>
    </cfRule>
  </conditionalFormatting>
  <conditionalFormatting sqref="C91">
    <cfRule type="cellIs" dxfId="3054" priority="206" stopIfTrue="1" operator="lessThanOrEqual">
      <formula>0</formula>
    </cfRule>
    <cfRule type="cellIs" dxfId="3053" priority="205" stopIfTrue="1" operator="greaterThan">
      <formula>$F$85</formula>
    </cfRule>
  </conditionalFormatting>
  <conditionalFormatting sqref="C85:D85 D87:D93">
    <cfRule type="cellIs" dxfId="3052" priority="198" stopIfTrue="1" operator="greaterThan">
      <formula>4.5</formula>
    </cfRule>
  </conditionalFormatting>
  <conditionalFormatting sqref="D56:D57">
    <cfRule type="cellIs" dxfId="3051" priority="68" operator="notBetween">
      <formula>#REF!</formula>
      <formula>#REF!</formula>
    </cfRule>
  </conditionalFormatting>
  <conditionalFormatting sqref="D74:D81">
    <cfRule type="cellIs" dxfId="3050" priority="178" stopIfTrue="1" operator="lessThanOrEqual">
      <formula>0</formula>
    </cfRule>
  </conditionalFormatting>
  <conditionalFormatting sqref="D82">
    <cfRule type="cellIs" dxfId="3049" priority="177" stopIfTrue="1" operator="lessThanOrEqual">
      <formula>0</formula>
    </cfRule>
  </conditionalFormatting>
  <conditionalFormatting sqref="D85 D87:D93">
    <cfRule type="cellIs" dxfId="3048" priority="199" stopIfTrue="1" operator="lessThanOrEqual">
      <formula>0</formula>
    </cfRule>
  </conditionalFormatting>
  <conditionalFormatting sqref="D86">
    <cfRule type="cellIs" dxfId="3047" priority="190" stopIfTrue="1" operator="greaterThan">
      <formula>$F$85</formula>
    </cfRule>
    <cfRule type="cellIs" dxfId="3046" priority="191" stopIfTrue="1" operator="lessThanOrEqual">
      <formula>0</formula>
    </cfRule>
  </conditionalFormatting>
  <conditionalFormatting sqref="D74:E83">
    <cfRule type="cellIs" dxfId="3045" priority="163" stopIfTrue="1" operator="greaterThan">
      <formula>$F74</formula>
    </cfRule>
  </conditionalFormatting>
  <conditionalFormatting sqref="D83:E83">
    <cfRule type="cellIs" dxfId="3044" priority="164" stopIfTrue="1" operator="lessThanOrEqual">
      <formula>0</formula>
    </cfRule>
  </conditionalFormatting>
  <conditionalFormatting sqref="E10:E31">
    <cfRule type="cellIs" dxfId="3043" priority="11" operator="lessThan">
      <formula>48</formula>
    </cfRule>
  </conditionalFormatting>
  <conditionalFormatting sqref="E59 E60:F60">
    <cfRule type="cellIs" dxfId="3042" priority="195" stopIfTrue="1" operator="greaterThan">
      <formula>100</formula>
    </cfRule>
  </conditionalFormatting>
  <conditionalFormatting sqref="E60">
    <cfRule type="cellIs" dxfId="3041" priority="192" stopIfTrue="1" operator="lessThan">
      <formula>96.8</formula>
    </cfRule>
    <cfRule type="cellIs" dxfId="3040" priority="193" stopIfTrue="1" operator="greaterThan">
      <formula>100</formula>
    </cfRule>
  </conditionalFormatting>
  <conditionalFormatting sqref="E74:E82">
    <cfRule type="cellIs" dxfId="3039" priority="174" stopIfTrue="1" operator="lessThanOrEqual">
      <formula>0</formula>
    </cfRule>
  </conditionalFormatting>
  <conditionalFormatting sqref="E85:E93">
    <cfRule type="cellIs" dxfId="3038" priority="185" stopIfTrue="1" operator="lessThanOrEqual">
      <formula>0</formula>
    </cfRule>
    <cfRule type="cellIs" dxfId="3037" priority="184" stopIfTrue="1" operator="greaterThan">
      <formula>4.5</formula>
    </cfRule>
  </conditionalFormatting>
  <conditionalFormatting sqref="E60:F60 E59">
    <cfRule type="cellIs" dxfId="3036" priority="194" stopIfTrue="1" operator="lessThan">
      <formula>96.5</formula>
    </cfRule>
  </conditionalFormatting>
  <conditionalFormatting sqref="F10:F12">
    <cfRule type="cellIs" dxfId="3035" priority="46" operator="greaterThan">
      <formula>60</formula>
    </cfRule>
  </conditionalFormatting>
  <conditionalFormatting sqref="F14:F31">
    <cfRule type="cellIs" dxfId="3034" priority="12" operator="greaterThan">
      <formula>60</formula>
    </cfRule>
  </conditionalFormatting>
  <conditionalFormatting sqref="F60">
    <cfRule type="cellIs" dxfId="3033" priority="210" stopIfTrue="1" operator="lessThan">
      <formula>96.8</formula>
    </cfRule>
    <cfRule type="cellIs" dxfId="3032" priority="211" stopIfTrue="1" operator="greaterThan">
      <formula>100</formula>
    </cfRule>
  </conditionalFormatting>
  <conditionalFormatting sqref="F83">
    <cfRule type="cellIs" dxfId="3031" priority="176" stopIfTrue="1" operator="lessThanOrEqual">
      <formula>0</formula>
    </cfRule>
    <cfRule type="cellIs" dxfId="3030" priority="175" stopIfTrue="1" operator="greaterThan">
      <formula>$F83</formula>
    </cfRule>
  </conditionalFormatting>
  <conditionalFormatting sqref="G10:G14">
    <cfRule type="expression" dxfId="3029" priority="24">
      <formula>IF(+(IF(G10&lt;S10,0,IF(G10&gt;T10,0,1)))=0,1)</formula>
    </cfRule>
  </conditionalFormatting>
  <conditionalFormatting sqref="G15:G19">
    <cfRule type="expression" dxfId="3028" priority="21">
      <formula>IF(+(IF(G15&lt;#REF!,0,IF(G15&gt;#REF!,0,1)))=0,1)</formula>
    </cfRule>
  </conditionalFormatting>
  <conditionalFormatting sqref="G20:G29">
    <cfRule type="expression" dxfId="3027" priority="34">
      <formula>IF(+(IF(G20&lt;S20,0,IF(G20&gt;T20,0,1)))=0,1)</formula>
    </cfRule>
  </conditionalFormatting>
  <conditionalFormatting sqref="G74:G75 C80:C82">
    <cfRule type="cellIs" dxfId="3026" priority="180" stopIfTrue="1" operator="lessThanOrEqual">
      <formula>0</formula>
    </cfRule>
  </conditionalFormatting>
  <conditionalFormatting sqref="G74:G75">
    <cfRule type="cellIs" dxfId="3025" priority="168" stopIfTrue="1" operator="lessThanOrEqual">
      <formula>0</formula>
    </cfRule>
    <cfRule type="cellIs" dxfId="3024" priority="179" stopIfTrue="1" operator="greaterThan">
      <formula>$F74</formula>
    </cfRule>
    <cfRule type="cellIs" dxfId="3023" priority="167" stopIfTrue="1" operator="greaterThan">
      <formula>$F74</formula>
    </cfRule>
  </conditionalFormatting>
  <conditionalFormatting sqref="G76">
    <cfRule type="cellIs" dxfId="3022" priority="215" stopIfTrue="1" operator="lessThanOrEqual">
      <formula>0</formula>
    </cfRule>
    <cfRule type="cellIs" dxfId="3021" priority="214" stopIfTrue="1" operator="greaterThan">
      <formula>$F75</formula>
    </cfRule>
  </conditionalFormatting>
  <conditionalFormatting sqref="G77">
    <cfRule type="cellIs" dxfId="3020" priority="64" stopIfTrue="1" operator="lessThanOrEqual">
      <formula>0</formula>
    </cfRule>
    <cfRule type="cellIs" dxfId="3019" priority="65" stopIfTrue="1" operator="greaterThan">
      <formula>$F77</formula>
    </cfRule>
    <cfRule type="cellIs" dxfId="3018" priority="66" stopIfTrue="1" operator="lessThanOrEqual">
      <formula>0</formula>
    </cfRule>
    <cfRule type="cellIs" dxfId="3017" priority="63" stopIfTrue="1" operator="greaterThan">
      <formula>$F77</formula>
    </cfRule>
  </conditionalFormatting>
  <conditionalFormatting sqref="G78:G82">
    <cfRule type="cellIs" dxfId="3016" priority="182" stopIfTrue="1" operator="lessThanOrEqual">
      <formula>0</formula>
    </cfRule>
    <cfRule type="cellIs" dxfId="3015" priority="181" stopIfTrue="1" operator="greaterThan">
      <formula>$J78</formula>
    </cfRule>
  </conditionalFormatting>
  <conditionalFormatting sqref="G87:G92 C90 C92">
    <cfRule type="cellIs" dxfId="3014" priority="208" stopIfTrue="1" operator="lessThanOrEqual">
      <formula>0</formula>
    </cfRule>
    <cfRule type="cellIs" dxfId="3013" priority="207" stopIfTrue="1" operator="greaterThan">
      <formula>4.5</formula>
    </cfRule>
  </conditionalFormatting>
  <conditionalFormatting sqref="G86:H86">
    <cfRule type="cellIs" dxfId="3012" priority="189" stopIfTrue="1" operator="lessThanOrEqual">
      <formula>0</formula>
    </cfRule>
    <cfRule type="cellIs" dxfId="3011" priority="188" stopIfTrue="1" operator="greaterThan">
      <formula>$F$85</formula>
    </cfRule>
  </conditionalFormatting>
  <conditionalFormatting sqref="H10:H14">
    <cfRule type="expression" dxfId="3010" priority="22">
      <formula>IF(+(IF(H10&lt;#REF!,0,IF(H10&gt;#REF!,0,1)))=0,1)</formula>
    </cfRule>
  </conditionalFormatting>
  <conditionalFormatting sqref="H45:H46 H59">
    <cfRule type="cellIs" dxfId="3009" priority="186" stopIfTrue="1" operator="greaterThan">
      <formula>0</formula>
    </cfRule>
  </conditionalFormatting>
  <conditionalFormatting sqref="H63">
    <cfRule type="cellIs" dxfId="3008" priority="62" stopIfTrue="1" operator="lessThanOrEqual">
      <formula>0</formula>
    </cfRule>
    <cfRule type="cellIs" dxfId="3007" priority="61" stopIfTrue="1" operator="greaterThan">
      <formula>$F$79</formula>
    </cfRule>
    <cfRule type="cellIs" dxfId="3006" priority="50" stopIfTrue="1" operator="lessThanOrEqual">
      <formula>0</formula>
    </cfRule>
    <cfRule type="cellIs" dxfId="3005" priority="51" stopIfTrue="1" operator="greaterThan">
      <formula>$F$78</formula>
    </cfRule>
    <cfRule type="cellIs" dxfId="3004" priority="59" stopIfTrue="1" operator="greaterThan">
      <formula>$F$81</formula>
    </cfRule>
    <cfRule type="cellIs" dxfId="3003" priority="60" stopIfTrue="1" operator="lessThanOrEqual">
      <formula>0</formula>
    </cfRule>
  </conditionalFormatting>
  <conditionalFormatting sqref="H64">
    <cfRule type="cellIs" dxfId="3002" priority="134" stopIfTrue="1" operator="lessThanOrEqual">
      <formula>0</formula>
    </cfRule>
    <cfRule type="cellIs" dxfId="3001" priority="123" stopIfTrue="1" operator="greaterThan">
      <formula>#REF!</formula>
    </cfRule>
    <cfRule type="cellIs" dxfId="3000" priority="133" stopIfTrue="1" operator="greaterThan">
      <formula>#REF!</formula>
    </cfRule>
    <cfRule type="cellIs" dxfId="2999" priority="132" stopIfTrue="1" operator="lessThanOrEqual">
      <formula>0</formula>
    </cfRule>
    <cfRule type="cellIs" dxfId="2998" priority="131" stopIfTrue="1" operator="greaterThan">
      <formula>$F$32</formula>
    </cfRule>
    <cfRule type="cellIs" dxfId="2997" priority="122" stopIfTrue="1" operator="lessThanOrEqual">
      <formula>0</formula>
    </cfRule>
  </conditionalFormatting>
  <conditionalFormatting sqref="H65">
    <cfRule type="cellIs" dxfId="2996" priority="104" stopIfTrue="1" operator="lessThanOrEqual">
      <formula>0</formula>
    </cfRule>
    <cfRule type="cellIs" dxfId="2995" priority="102" stopIfTrue="1" operator="lessThanOrEqual">
      <formula>0</formula>
    </cfRule>
    <cfRule type="cellIs" dxfId="2994" priority="103" stopIfTrue="1" operator="greaterThan">
      <formula>$F$76</formula>
    </cfRule>
    <cfRule type="cellIs" dxfId="2993" priority="92" stopIfTrue="1" operator="lessThanOrEqual">
      <formula>0</formula>
    </cfRule>
    <cfRule type="cellIs" dxfId="2992" priority="93" stopIfTrue="1" operator="greaterThan">
      <formula>$F$75</formula>
    </cfRule>
    <cfRule type="cellIs" dxfId="2991" priority="101" stopIfTrue="1" operator="greaterThan">
      <formula>$F$78</formula>
    </cfRule>
  </conditionalFormatting>
  <conditionalFormatting sqref="H66:H67">
    <cfRule type="cellIs" dxfId="2990" priority="117" stopIfTrue="1" operator="greaterThan">
      <formula>$F$31</formula>
    </cfRule>
    <cfRule type="cellIs" dxfId="2989" priority="118" stopIfTrue="1" operator="lessThanOrEqual">
      <formula>0</formula>
    </cfRule>
    <cfRule type="cellIs" dxfId="2988" priority="119" stopIfTrue="1" operator="greaterThan">
      <formula>#REF!</formula>
    </cfRule>
    <cfRule type="cellIs" dxfId="2987" priority="120" stopIfTrue="1" operator="lessThanOrEqual">
      <formula>0</formula>
    </cfRule>
    <cfRule type="cellIs" dxfId="2986" priority="109" stopIfTrue="1" operator="greaterThan">
      <formula>#REF!</formula>
    </cfRule>
    <cfRule type="cellIs" dxfId="2985" priority="108" stopIfTrue="1" operator="lessThanOrEqual">
      <formula>0</formula>
    </cfRule>
  </conditionalFormatting>
  <conditionalFormatting sqref="H68">
    <cfRule type="cellIs" dxfId="2984" priority="137" stopIfTrue="1" operator="lessThanOrEqual">
      <formula>0</formula>
    </cfRule>
    <cfRule type="cellIs" dxfId="2983" priority="146" stopIfTrue="1" operator="greaterThan">
      <formula>$F$47</formula>
    </cfRule>
    <cfRule type="cellIs" dxfId="2982" priority="138" stopIfTrue="1" operator="greaterThan">
      <formula>$F$44</formula>
    </cfRule>
    <cfRule type="cellIs" dxfId="2981" priority="149" stopIfTrue="1" operator="lessThanOrEqual">
      <formula>0</formula>
    </cfRule>
    <cfRule type="cellIs" dxfId="2980" priority="148" stopIfTrue="1" operator="greaterThan">
      <formula>$F$45</formula>
    </cfRule>
    <cfRule type="cellIs" dxfId="2979" priority="147" stopIfTrue="1" operator="lessThanOrEqual">
      <formula>0</formula>
    </cfRule>
  </conditionalFormatting>
  <conditionalFormatting sqref="H69:H70">
    <cfRule type="cellIs" dxfId="2978" priority="87" stopIfTrue="1" operator="greaterThan">
      <formula>$F$31</formula>
    </cfRule>
    <cfRule type="cellIs" dxfId="2977" priority="90" stopIfTrue="1" operator="lessThanOrEqual">
      <formula>0</formula>
    </cfRule>
    <cfRule type="cellIs" dxfId="2976" priority="89" stopIfTrue="1" operator="greaterThan">
      <formula>#REF!</formula>
    </cfRule>
    <cfRule type="cellIs" dxfId="2975" priority="88" stopIfTrue="1" operator="lessThanOrEqual">
      <formula>0</formula>
    </cfRule>
    <cfRule type="cellIs" dxfId="2974" priority="78" stopIfTrue="1" operator="lessThanOrEqual">
      <formula>0</formula>
    </cfRule>
    <cfRule type="cellIs" dxfId="2973" priority="79" stopIfTrue="1" operator="greaterThan">
      <formula>#REF!</formula>
    </cfRule>
  </conditionalFormatting>
  <conditionalFormatting sqref="H85 H87:H93">
    <cfRule type="cellIs" dxfId="2972" priority="201" stopIfTrue="1" operator="lessThanOrEqual">
      <formula>0</formula>
    </cfRule>
    <cfRule type="cellIs" dxfId="2971" priority="200" stopIfTrue="1" operator="greaterThan">
      <formula>4.5</formula>
    </cfRule>
  </conditionalFormatting>
  <conditionalFormatting sqref="H63:I63">
    <cfRule type="cellIs" dxfId="2970" priority="49" stopIfTrue="1" operator="greaterThan">
      <formula>$F$80</formula>
    </cfRule>
    <cfRule type="cellIs" dxfId="2969" priority="52" stopIfTrue="1" operator="lessThanOrEqual">
      <formula>0</formula>
    </cfRule>
  </conditionalFormatting>
  <conditionalFormatting sqref="H64:I64">
    <cfRule type="cellIs" dxfId="2968" priority="124" stopIfTrue="1" operator="lessThanOrEqual">
      <formula>0</formula>
    </cfRule>
    <cfRule type="cellIs" dxfId="2967" priority="121" stopIfTrue="1" operator="greaterThan">
      <formula>$F$31</formula>
    </cfRule>
  </conditionalFormatting>
  <conditionalFormatting sqref="H65:I65">
    <cfRule type="cellIs" dxfId="2966" priority="94" stopIfTrue="1" operator="lessThanOrEqual">
      <formula>0</formula>
    </cfRule>
    <cfRule type="cellIs" dxfId="2965" priority="91" stopIfTrue="1" operator="greaterThan">
      <formula>$F$77</formula>
    </cfRule>
  </conditionalFormatting>
  <conditionalFormatting sqref="H66:I67">
    <cfRule type="cellIs" dxfId="2964" priority="110" stopIfTrue="1" operator="lessThanOrEqual">
      <formula>0</formula>
    </cfRule>
    <cfRule type="cellIs" dxfId="2963" priority="107" stopIfTrue="1" operator="greaterThan">
      <formula>#REF!</formula>
    </cfRule>
  </conditionalFormatting>
  <conditionalFormatting sqref="H68:I68">
    <cfRule type="cellIs" dxfId="2962" priority="139" stopIfTrue="1" operator="lessThanOrEqual">
      <formula>0</formula>
    </cfRule>
    <cfRule type="cellIs" dxfId="2961" priority="136" stopIfTrue="1" operator="greaterThan">
      <formula>$F$46</formula>
    </cfRule>
  </conditionalFormatting>
  <conditionalFormatting sqref="H69:I70">
    <cfRule type="cellIs" dxfId="2960" priority="80" stopIfTrue="1" operator="lessThanOrEqual">
      <formula>0</formula>
    </cfRule>
    <cfRule type="cellIs" dxfId="2959" priority="77" stopIfTrue="1" operator="greaterThan">
      <formula>#REF!</formula>
    </cfRule>
  </conditionalFormatting>
  <conditionalFormatting sqref="H74:I81">
    <cfRule type="cellIs" dxfId="2958" priority="3" stopIfTrue="1" operator="lessThanOrEqual">
      <formula>0</formula>
    </cfRule>
    <cfRule type="cellIs" dxfId="2957" priority="2" stopIfTrue="1" operator="greaterThan">
      <formula>$J74</formula>
    </cfRule>
  </conditionalFormatting>
  <conditionalFormatting sqref="H82:I82">
    <cfRule type="cellIs" dxfId="2956" priority="8" operator="greaterThan">
      <formula>5.3</formula>
    </cfRule>
  </conditionalFormatting>
  <conditionalFormatting sqref="H83:I83">
    <cfRule type="cellIs" dxfId="2955" priority="4" stopIfTrue="1" operator="greaterThan">
      <formula>$J83</formula>
    </cfRule>
    <cfRule type="cellIs" dxfId="2954" priority="5" stopIfTrue="1" operator="lessThanOrEqual">
      <formula>0</formula>
    </cfRule>
  </conditionalFormatting>
  <conditionalFormatting sqref="I63">
    <cfRule type="cellIs" dxfId="2953" priority="54" stopIfTrue="1" operator="lessThanOrEqual">
      <formula>0</formula>
    </cfRule>
    <cfRule type="cellIs" dxfId="2952" priority="58" stopIfTrue="1" operator="lessThanOrEqual">
      <formula>0</formula>
    </cfRule>
    <cfRule type="cellIs" dxfId="2951" priority="57" stopIfTrue="1" operator="greaterThan">
      <formula>$F$78</formula>
    </cfRule>
    <cfRule type="cellIs" dxfId="2950" priority="56" stopIfTrue="1" operator="lessThanOrEqual">
      <formula>0</formula>
    </cfRule>
    <cfRule type="cellIs" dxfId="2949" priority="55" stopIfTrue="1" operator="greaterThan">
      <formula>$F$80</formula>
    </cfRule>
    <cfRule type="cellIs" dxfId="2948" priority="53" stopIfTrue="1" operator="greaterThan">
      <formula>$F$78</formula>
    </cfRule>
  </conditionalFormatting>
  <conditionalFormatting sqref="I64">
    <cfRule type="cellIs" dxfId="2947" priority="126" stopIfTrue="1" operator="lessThanOrEqual">
      <formula>0</formula>
    </cfRule>
    <cfRule type="cellIs" dxfId="2946" priority="127" stopIfTrue="1" operator="greaterThan">
      <formula>$F$31</formula>
    </cfRule>
    <cfRule type="cellIs" dxfId="2945" priority="128" stopIfTrue="1" operator="lessThanOrEqual">
      <formula>0</formula>
    </cfRule>
    <cfRule type="cellIs" dxfId="2944" priority="129" stopIfTrue="1" operator="greaterThan">
      <formula>#REF!</formula>
    </cfRule>
    <cfRule type="cellIs" dxfId="2943" priority="130" stopIfTrue="1" operator="lessThanOrEqual">
      <formula>0</formula>
    </cfRule>
    <cfRule type="cellIs" dxfId="2942" priority="125" stopIfTrue="1" operator="greaterThan">
      <formula>#REF!</formula>
    </cfRule>
  </conditionalFormatting>
  <conditionalFormatting sqref="I65">
    <cfRule type="cellIs" dxfId="2941" priority="95" stopIfTrue="1" operator="greaterThan">
      <formula>$F$75</formula>
    </cfRule>
    <cfRule type="cellIs" dxfId="2940" priority="98" stopIfTrue="1" operator="lessThanOrEqual">
      <formula>0</formula>
    </cfRule>
    <cfRule type="cellIs" dxfId="2939" priority="97" stopIfTrue="1" operator="greaterThan">
      <formula>$F$77</formula>
    </cfRule>
    <cfRule type="cellIs" dxfId="2938" priority="99" stopIfTrue="1" operator="greaterThan">
      <formula>$F$75</formula>
    </cfRule>
    <cfRule type="cellIs" dxfId="2937" priority="100" stopIfTrue="1" operator="lessThanOrEqual">
      <formula>0</formula>
    </cfRule>
    <cfRule type="cellIs" dxfId="2936" priority="96" stopIfTrue="1" operator="lessThanOrEqual">
      <formula>0</formula>
    </cfRule>
  </conditionalFormatting>
  <conditionalFormatting sqref="I66:I67">
    <cfRule type="cellIs" dxfId="2935" priority="112" stopIfTrue="1" operator="lessThanOrEqual">
      <formula>0</formula>
    </cfRule>
    <cfRule type="cellIs" dxfId="2934" priority="113" stopIfTrue="1" operator="greaterThan">
      <formula>#REF!</formula>
    </cfRule>
    <cfRule type="cellIs" dxfId="2933" priority="114" stopIfTrue="1" operator="lessThanOrEqual">
      <formula>0</formula>
    </cfRule>
    <cfRule type="cellIs" dxfId="2932" priority="111" stopIfTrue="1" operator="greaterThan">
      <formula>#REF!</formula>
    </cfRule>
    <cfRule type="cellIs" dxfId="2931" priority="116" stopIfTrue="1" operator="lessThanOrEqual">
      <formula>0</formula>
    </cfRule>
    <cfRule type="cellIs" dxfId="2930" priority="115" stopIfTrue="1" operator="greaterThan">
      <formula>#REF!</formula>
    </cfRule>
  </conditionalFormatting>
  <conditionalFormatting sqref="I68">
    <cfRule type="cellIs" dxfId="2929" priority="145" stopIfTrue="1" operator="lessThanOrEqual">
      <formula>0</formula>
    </cfRule>
    <cfRule type="cellIs" dxfId="2928" priority="144" stopIfTrue="1" operator="greaterThan">
      <formula>$F$44</formula>
    </cfRule>
    <cfRule type="cellIs" dxfId="2927" priority="143" stopIfTrue="1" operator="lessThanOrEqual">
      <formula>0</formula>
    </cfRule>
    <cfRule type="cellIs" dxfId="2926" priority="141" stopIfTrue="1" operator="lessThanOrEqual">
      <formula>0</formula>
    </cfRule>
    <cfRule type="cellIs" dxfId="2925" priority="140" stopIfTrue="1" operator="greaterThan">
      <formula>$F$44</formula>
    </cfRule>
    <cfRule type="cellIs" dxfId="2924" priority="142" stopIfTrue="1" operator="greaterThan">
      <formula>$F$46</formula>
    </cfRule>
  </conditionalFormatting>
  <conditionalFormatting sqref="I69:I70">
    <cfRule type="cellIs" dxfId="2923" priority="83" stopIfTrue="1" operator="greaterThan">
      <formula>#REF!</formula>
    </cfRule>
    <cfRule type="cellIs" dxfId="2922" priority="82" stopIfTrue="1" operator="lessThanOrEqual">
      <formula>0</formula>
    </cfRule>
    <cfRule type="cellIs" dxfId="2921" priority="84" stopIfTrue="1" operator="lessThanOrEqual">
      <formula>0</formula>
    </cfRule>
    <cfRule type="cellIs" dxfId="2920" priority="85" stopIfTrue="1" operator="greaterThan">
      <formula>#REF!</formula>
    </cfRule>
    <cfRule type="cellIs" dxfId="2919" priority="86" stopIfTrue="1" operator="lessThanOrEqual">
      <formula>0</formula>
    </cfRule>
    <cfRule type="cellIs" dxfId="2918" priority="81" stopIfTrue="1" operator="greaterThan">
      <formula>#REF!</formula>
    </cfRule>
  </conditionalFormatting>
  <conditionalFormatting sqref="I85:I93">
    <cfRule type="cellIs" dxfId="2917" priority="196" stopIfTrue="1" operator="greaterThan">
      <formula>4.5</formula>
    </cfRule>
    <cfRule type="cellIs" dxfId="2916" priority="197" stopIfTrue="1" operator="lessThanOrEqual">
      <formula>0</formula>
    </cfRule>
  </conditionalFormatting>
  <conditionalFormatting sqref="I10:J31">
    <cfRule type="cellIs" dxfId="2915" priority="14" operator="lessThan">
      <formula>97.9</formula>
    </cfRule>
  </conditionalFormatting>
  <conditionalFormatting sqref="J35:J36">
    <cfRule type="cellIs" dxfId="2914" priority="151" stopIfTrue="1" operator="lessThan">
      <formula>96.8</formula>
    </cfRule>
    <cfRule type="cellIs" dxfId="2913" priority="152" stopIfTrue="1" operator="greaterThan">
      <formula>100</formula>
    </cfRule>
    <cfRule type="cellIs" dxfId="2912" priority="153" operator="lessThan">
      <formula>98</formula>
    </cfRule>
  </conditionalFormatting>
  <conditionalFormatting sqref="J35:J38">
    <cfRule type="cellIs" dxfId="2911" priority="150" operator="lessThan">
      <formula>97.4</formula>
    </cfRule>
  </conditionalFormatting>
  <conditionalFormatting sqref="J39:J40">
    <cfRule type="cellIs" dxfId="2910" priority="154" operator="lessThan">
      <formula>98</formula>
    </cfRule>
  </conditionalFormatting>
  <conditionalFormatting sqref="J41:J42">
    <cfRule type="cellIs" dxfId="2909" priority="155" stopIfTrue="1" operator="lessThan">
      <formula>96.8</formula>
    </cfRule>
    <cfRule type="cellIs" dxfId="2908" priority="156" stopIfTrue="1" operator="greaterThan">
      <formula>100</formula>
    </cfRule>
  </conditionalFormatting>
  <conditionalFormatting sqref="J41:J43">
    <cfRule type="cellIs" dxfId="2907" priority="157" operator="lessThan">
      <formula>98</formula>
    </cfRule>
  </conditionalFormatting>
  <conditionalFormatting sqref="J70">
    <cfRule type="cellIs" dxfId="2906" priority="71" stopIfTrue="1" operator="greaterThan">
      <formula>#REF!</formula>
    </cfRule>
    <cfRule type="cellIs" dxfId="2905" priority="72" stopIfTrue="1" operator="lessThanOrEqual">
      <formula>0</formula>
    </cfRule>
    <cfRule type="cellIs" dxfId="2904" priority="73" stopIfTrue="1" operator="greaterThan">
      <formula>#REF!</formula>
    </cfRule>
    <cfRule type="cellIs" dxfId="2903" priority="74" stopIfTrue="1" operator="lessThanOrEqual">
      <formula>0</formula>
    </cfRule>
    <cfRule type="cellIs" dxfId="2902" priority="75" stopIfTrue="1" operator="greaterThan">
      <formula>#REF!</formula>
    </cfRule>
    <cfRule type="cellIs" dxfId="2901" priority="76" stopIfTrue="1" operator="lessThanOrEqual">
      <formula>0</formula>
    </cfRule>
    <cfRule type="cellIs" dxfId="2900" priority="70" stopIfTrue="1" operator="lessThanOrEqual">
      <formula>0</formula>
    </cfRule>
    <cfRule type="cellIs" dxfId="2899" priority="69" stopIfTrue="1" operator="greaterThan">
      <formula>#REF!</formula>
    </cfRule>
  </conditionalFormatting>
  <conditionalFormatting sqref="J83">
    <cfRule type="cellIs" dxfId="2898" priority="158" stopIfTrue="1" operator="greaterThan">
      <formula>$F83</formula>
    </cfRule>
    <cfRule type="cellIs" dxfId="2897" priority="159" stopIfTrue="1" operator="lessThanOrEqual">
      <formula>0</formula>
    </cfRule>
  </conditionalFormatting>
  <conditionalFormatting sqref="K10:K31">
    <cfRule type="cellIs" dxfId="2896" priority="15" operator="greaterThan">
      <formula>6</formula>
    </cfRule>
    <cfRule type="cellIs" dxfId="2895" priority="17" operator="greaterThan">
      <formula>6.4</formula>
    </cfRule>
    <cfRule type="cellIs" dxfId="2894" priority="16" operator="lessThan">
      <formula>4</formula>
    </cfRule>
  </conditionalFormatting>
  <conditionalFormatting sqref="K63:K70 K74:N80 K81 M81:N81 K82:N82">
    <cfRule type="cellIs" dxfId="2893" priority="135" stopIfTrue="1" operator="lessThan">
      <formula>100%</formula>
    </cfRule>
  </conditionalFormatting>
  <conditionalFormatting sqref="K85:K90">
    <cfRule type="cellIs" dxfId="2892" priority="202" stopIfTrue="1" operator="lessThan">
      <formula>100%</formula>
    </cfRule>
  </conditionalFormatting>
  <conditionalFormatting sqref="K92:K93">
    <cfRule type="cellIs" dxfId="2891" priority="209" stopIfTrue="1" operator="lessThan">
      <formula>100%</formula>
    </cfRule>
  </conditionalFormatting>
  <conditionalFormatting sqref="L10:L29">
    <cfRule type="cellIs" dxfId="2890" priority="19" operator="between">
      <formula>61</formula>
      <formula>65</formula>
    </cfRule>
    <cfRule type="cellIs" dxfId="2889" priority="20" operator="greaterThan">
      <formula>65</formula>
    </cfRule>
  </conditionalFormatting>
  <conditionalFormatting sqref="L31">
    <cfRule type="cellIs" dxfId="2888" priority="45" operator="greaterThan">
      <formula>65</formula>
    </cfRule>
    <cfRule type="cellIs" dxfId="2887" priority="44" operator="between">
      <formula>61</formula>
      <formula>65</formula>
    </cfRule>
  </conditionalFormatting>
  <conditionalFormatting sqref="L30:M30">
    <cfRule type="cellIs" dxfId="2886" priority="41" operator="greaterThan">
      <formula>65</formula>
    </cfRule>
    <cfRule type="cellIs" dxfId="2885" priority="42" operator="between">
      <formula>61</formula>
      <formula>65</formula>
    </cfRule>
  </conditionalFormatting>
  <conditionalFormatting sqref="L34:M45">
    <cfRule type="cellIs" dxfId="2884" priority="47" operator="lessThan">
      <formula>97.95</formula>
    </cfRule>
  </conditionalFormatting>
  <conditionalFormatting sqref="L49:N49">
    <cfRule type="cellIs" dxfId="2883" priority="48" operator="notEqual">
      <formula>#REF!</formula>
    </cfRule>
  </conditionalFormatting>
  <conditionalFormatting sqref="L83:N83">
    <cfRule type="cellIs" dxfId="2882" priority="160" stopIfTrue="1" operator="lessThan">
      <formula>100%</formula>
    </cfRule>
  </conditionalFormatting>
  <conditionalFormatting sqref="L85:N93">
    <cfRule type="cellIs" dxfId="2881" priority="187" stopIfTrue="1" operator="lessThan">
      <formula>100%</formula>
    </cfRule>
  </conditionalFormatting>
  <conditionalFormatting sqref="M10:M29">
    <cfRule type="expression" dxfId="2880" priority="18">
      <formula>IF(+(IF(M10&lt;U10,0,IF(M10&gt;V10,0,1)))=0,1)</formula>
    </cfRule>
  </conditionalFormatting>
  <conditionalFormatting sqref="M30 H16:H29 G30:H31">
    <cfRule type="expression" dxfId="2879" priority="43">
      <formula>IF(+(IF(G16&lt;#REF!,0,IF(G16&gt;#REF!,0,1)))=0,1)</formula>
    </cfRule>
  </conditionalFormatting>
  <conditionalFormatting sqref="M31:N31">
    <cfRule type="expression" dxfId="2878" priority="217">
      <formula>IF(+(IF(M31&lt;#REF!,0,IF(M31&gt;#REF!,0,1)))=0,1)</formula>
    </cfRule>
  </conditionalFormatting>
  <conditionalFormatting sqref="N10:N30">
    <cfRule type="expression" dxfId="2877" priority="1">
      <formula>IF(+(IF(N10&lt;W10,0,IF(N10&gt;X10,0,1)))=0,1)</formula>
    </cfRule>
  </conditionalFormatting>
  <conditionalFormatting sqref="P6">
    <cfRule type="cellIs" dxfId="2876" priority="183" operator="greaterThanOrEqual">
      <formula>19</formula>
    </cfRule>
  </conditionalFormatting>
  <dataValidations disablePrompts="1" count="1">
    <dataValidation type="list" allowBlank="1" showInputMessage="1" showErrorMessage="1" sqref="R8" xr:uid="{4A1171D3-1255-4903-A590-6F91DE49703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E72C-178B-4208-B499-C450D36FD5B0}">
  <sheetPr codeName="Sheet8">
    <pageSetUpPr fitToPage="1"/>
  </sheetPr>
  <dimension ref="A1:BE75"/>
  <sheetViews>
    <sheetView zoomScale="90" zoomScaleNormal="90" workbookViewId="0">
      <selection activeCell="G79" sqref="G7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46035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[4]Brewhouse!$A58</f>
        <v>CA017</v>
      </c>
      <c r="D10" s="279">
        <f>[4]Brewhouse!$AF58</f>
        <v>50.8</v>
      </c>
      <c r="E10" s="279">
        <f>[4]Brewhouse!$AI58</f>
        <v>49.5</v>
      </c>
      <c r="F10" s="278">
        <f>[4]Brewhouse!$V58</f>
        <v>60</v>
      </c>
      <c r="G10" s="279">
        <f>[4]Brewhouse!AG58</f>
        <v>11.9</v>
      </c>
      <c r="H10" s="396">
        <v>11.8</v>
      </c>
      <c r="I10" s="368">
        <f>[4]Brewhouse!$AU58</f>
        <v>97.224654996866249</v>
      </c>
      <c r="J10" s="368">
        <f>[4]Brewhouse!$AV58</f>
        <v>97.96969185989569</v>
      </c>
      <c r="K10" s="281">
        <f>[4]Brewhouse!$Q58</f>
        <v>5.5094339622641542</v>
      </c>
      <c r="L10" s="276">
        <f>[4]Brewhouse!$P58</f>
        <v>60</v>
      </c>
      <c r="M10" s="397">
        <f>[4]Brewhouse!$U58-[4]Brewhouse!$T58</f>
        <v>0.11249999999999999</v>
      </c>
      <c r="N10" s="370">
        <f>[4]Brewhouse!$Z58</f>
        <v>0.2673611111111111</v>
      </c>
      <c r="O10" s="420" t="str">
        <f>[4]Brewhouse!$AX58</f>
        <v>K. Benjamin</v>
      </c>
      <c r="P10" s="418"/>
      <c r="R10" s="277" t="str">
        <f t="shared" ref="R10:R22" si="0">B10</f>
        <v>CARIB</v>
      </c>
      <c r="S10" s="474">
        <f t="shared" ref="S10:S22" si="1">VLOOKUP($B10,$R$3:$X$9,2,FALSE)</f>
        <v>11.6</v>
      </c>
      <c r="T10" s="474">
        <f t="shared" ref="T10:T22" si="2">VLOOKUP($B10,$R$3:$X$9,3,FALSE)</f>
        <v>12</v>
      </c>
      <c r="U10" s="297">
        <f t="shared" ref="U10:U22" si="3">VLOOKUP($B10,$R$3:$X$9,4,FALSE)</f>
        <v>0</v>
      </c>
      <c r="V10" s="297">
        <f t="shared" ref="V10:V22" si="4">VLOOKUP($B10,$R$3:$X$9,5,FALSE)</f>
        <v>0.118055555555556</v>
      </c>
      <c r="W10" s="297">
        <f t="shared" ref="W10:W22" si="5">VLOOKUP($B10,$R$3:$X$9,6,FALSE)</f>
        <v>0.22569444444444445</v>
      </c>
      <c r="X10" s="297">
        <f t="shared" ref="X10:X22" si="6">VLOOKUP($B10,$R$3:$X$9,7,FALSE)</f>
        <v>0.2638888888888889</v>
      </c>
      <c r="Y10" s="297">
        <f t="shared" ref="Y10:Y22" si="7">VLOOKUP($B10,$R$3:$Z$9,8,FALSE)</f>
        <v>0</v>
      </c>
      <c r="Z10" s="474">
        <f t="shared" ref="Z10:Z22" si="8">VLOOKUP($B10,$R$3:$Z$9,9,FALSE)</f>
        <v>60</v>
      </c>
    </row>
    <row r="11" spans="2:29" ht="16.5" customHeight="1">
      <c r="B11" s="29" t="s">
        <v>6</v>
      </c>
      <c r="C11" s="366" t="str">
        <f>[4]Brewhouse!$A59</f>
        <v>CA018</v>
      </c>
      <c r="D11" s="279">
        <f>[4]Brewhouse!$AF59</f>
        <v>52</v>
      </c>
      <c r="E11" s="279">
        <f>[4]Brewhouse!$AI59</f>
        <v>49.8</v>
      </c>
      <c r="F11" s="278">
        <f>[4]Brewhouse!$V59</f>
        <v>61</v>
      </c>
      <c r="G11" s="279">
        <f>[4]Brewhouse!AG59</f>
        <v>11.9</v>
      </c>
      <c r="H11" s="396">
        <v>11.8</v>
      </c>
      <c r="I11" s="368">
        <f>[4]Brewhouse!$AU59</f>
        <v>97.214744342532583</v>
      </c>
      <c r="J11" s="368">
        <f>[4]Brewhouse!$AV59</f>
        <v>97.960002577507268</v>
      </c>
      <c r="K11" s="281">
        <f>[4]Brewhouse!$Q59</f>
        <v>3.2452830188679229</v>
      </c>
      <c r="L11" s="276">
        <f>[4]Brewhouse!$P59</f>
        <v>60</v>
      </c>
      <c r="M11" s="397">
        <f>[4]Brewhouse!$U59-[4]Brewhouse!$T59</f>
        <v>0.11874999999999997</v>
      </c>
      <c r="N11" s="370">
        <f>[4]Brewhouse!$Z59</f>
        <v>0.27291666666666664</v>
      </c>
      <c r="O11" s="420" t="str">
        <f>[4]Brewhouse!$AX59</f>
        <v>K. Benjamin</v>
      </c>
      <c r="P11" s="418"/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[4]Brewhouse!$A60</f>
        <v>CA019</v>
      </c>
      <c r="D12" s="279">
        <f>[4]Brewhouse!$AF60</f>
        <v>52.8</v>
      </c>
      <c r="E12" s="279">
        <f>[4]Brewhouse!$AI60</f>
        <v>51</v>
      </c>
      <c r="F12" s="278">
        <f>[4]Brewhouse!$V60</f>
        <v>64</v>
      </c>
      <c r="G12" s="279">
        <f>[4]Brewhouse!AG60</f>
        <v>12</v>
      </c>
      <c r="H12" s="396">
        <v>11.9</v>
      </c>
      <c r="I12" s="368">
        <f>[4]Brewhouse!$AU60</f>
        <v>99.947116466554263</v>
      </c>
      <c r="J12" s="368">
        <f>[4]Brewhouse!$AV60</f>
        <v>100.71356320511289</v>
      </c>
      <c r="K12" s="281">
        <f>[4]Brewhouse!$Q60</f>
        <v>1.735849056603777</v>
      </c>
      <c r="L12" s="276">
        <f>[4]Brewhouse!$P60</f>
        <v>60</v>
      </c>
      <c r="M12" s="397">
        <f>[4]Brewhouse!$U60-[4]Brewhouse!$T60</f>
        <v>0.11736111111111114</v>
      </c>
      <c r="N12" s="370">
        <f>[4]Brewhouse!$Z60</f>
        <v>0.2673611111111111</v>
      </c>
      <c r="O12" s="420" t="str">
        <f>[4]Brewhouse!$AX60</f>
        <v>K. Benjamin</v>
      </c>
      <c r="P12" s="418"/>
      <c r="R12" s="277" t="str">
        <f t="shared" si="0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[4]Brewhouse!$A61</f>
        <v>CA020</v>
      </c>
      <c r="D13" s="279">
        <f>[4]Brewhouse!$AF61</f>
        <v>52.2</v>
      </c>
      <c r="E13" s="279">
        <f>[4]Brewhouse!$AI61</f>
        <v>50.8</v>
      </c>
      <c r="F13" s="278">
        <f>[4]Brewhouse!$V61</f>
        <v>77</v>
      </c>
      <c r="G13" s="279">
        <f>[4]Brewhouse!AG61</f>
        <v>11.8</v>
      </c>
      <c r="H13" s="396">
        <v>11.8</v>
      </c>
      <c r="I13" s="368">
        <f>[4]Brewhouse!$AU61</f>
        <v>98.532094795334359</v>
      </c>
      <c r="J13" s="368">
        <f>[4]Brewhouse!$AV61</f>
        <v>99.2873318796685</v>
      </c>
      <c r="K13" s="281">
        <f>[4]Brewhouse!$Q61</f>
        <v>2.8679245283018791</v>
      </c>
      <c r="L13" s="276">
        <f>[4]Brewhouse!$P61</f>
        <v>64</v>
      </c>
      <c r="M13" s="397">
        <f>[4]Brewhouse!$U61-[4]Brewhouse!$T61</f>
        <v>0.20694444444444449</v>
      </c>
      <c r="N13" s="370">
        <f>[4]Brewhouse!$Z61</f>
        <v>0.34930555555555559</v>
      </c>
      <c r="O13" s="420" t="str">
        <f>[4]Brewhouse!$AX61</f>
        <v>K. Benjamin</v>
      </c>
      <c r="P13" s="418" t="s">
        <v>185</v>
      </c>
      <c r="R13" s="277" t="str">
        <f t="shared" si="0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 t="s">
        <v>6</v>
      </c>
      <c r="C14" s="366" t="str">
        <f>[4]Brewhouse!$A62</f>
        <v>CA021</v>
      </c>
      <c r="D14" s="279">
        <f>[4]Brewhouse!$AF62</f>
        <v>50.9</v>
      </c>
      <c r="E14" s="279">
        <f>[4]Brewhouse!$AI62</f>
        <v>48.1</v>
      </c>
      <c r="F14" s="278">
        <f>[4]Brewhouse!$V62</f>
        <v>56</v>
      </c>
      <c r="G14" s="279">
        <f>[4]Brewhouse!AG62</f>
        <v>11.8</v>
      </c>
      <c r="H14" s="367"/>
      <c r="I14" s="368">
        <f>[4]Brewhouse!$AU62</f>
        <v>93.409868719251207</v>
      </c>
      <c r="J14" s="368">
        <f>[4]Brewhouse!$AV62</f>
        <v>94.12578739881026</v>
      </c>
      <c r="K14" s="281">
        <f>[4]Brewhouse!$Q62</f>
        <v>10.018832391713747</v>
      </c>
      <c r="L14" s="276">
        <f>[4]Brewhouse!$P62</f>
        <v>54</v>
      </c>
      <c r="M14" s="397">
        <f>[4]Brewhouse!$U62-[4]Brewhouse!$T62</f>
        <v>0.12013888888888902</v>
      </c>
      <c r="N14" s="370">
        <f>[4]Brewhouse!$Z62</f>
        <v>0.52986111111111123</v>
      </c>
      <c r="O14" s="420" t="str">
        <f>[4]Brewhouse!$AX62</f>
        <v>D. Gomaz</v>
      </c>
      <c r="P14" s="418"/>
      <c r="R14" s="277" t="str">
        <f t="shared" si="0"/>
        <v>CARIB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4" t="e">
        <f t="shared" si="1"/>
        <v>#N/A</v>
      </c>
      <c r="T15" s="474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4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6.5" hidden="1" customHeight="1">
      <c r="B22" s="33"/>
      <c r="C22" s="366"/>
      <c r="D22" s="279"/>
      <c r="E22" s="279"/>
      <c r="F22" s="278"/>
      <c r="G22" s="279"/>
      <c r="H22" s="396"/>
      <c r="I22" s="479"/>
      <c r="J22" s="479"/>
      <c r="K22" s="281"/>
      <c r="L22" s="276"/>
      <c r="M22" s="374"/>
      <c r="N22" s="370"/>
      <c r="O22" s="420"/>
      <c r="P22" s="418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6.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ref="R23:R37" si="9">B23</f>
        <v>0</v>
      </c>
      <c r="S23" s="474" t="e">
        <f t="shared" ref="S23:S37" si="10">VLOOKUP($B23,$R$3:$X$9,2,FALSE)</f>
        <v>#N/A</v>
      </c>
      <c r="T23" s="474" t="e">
        <f t="shared" ref="T23:T37" si="11">VLOOKUP($B23,$R$3:$X$9,3,FALSE)</f>
        <v>#N/A</v>
      </c>
      <c r="U23" s="297" t="e">
        <f t="shared" ref="U23:U37" si="12">VLOOKUP($B23,$R$3:$X$9,4,FALSE)</f>
        <v>#N/A</v>
      </c>
      <c r="V23" s="297" t="e">
        <f t="shared" ref="V23:V37" si="13">VLOOKUP($B23,$R$3:$X$9,5,FALSE)</f>
        <v>#N/A</v>
      </c>
      <c r="W23" s="297" t="e">
        <f t="shared" ref="W23:W37" si="14">VLOOKUP($B23,$R$3:$X$9,6,FALSE)</f>
        <v>#N/A</v>
      </c>
      <c r="X23" s="297" t="e">
        <f t="shared" ref="X23:X37" si="15">VLOOKUP($B23,$R$3:$X$9,7,FALSE)</f>
        <v>#N/A</v>
      </c>
      <c r="Y23" s="297" t="e">
        <f t="shared" ref="Y23:Y37" si="16">VLOOKUP($B23,$R$3:$Z$9,8,FALSE)</f>
        <v>#N/A</v>
      </c>
      <c r="Z23" s="474" t="e">
        <f t="shared" ref="Z23:Z37" si="17">VLOOKUP($B23,$R$3:$Z$9,9,FALSE)</f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40"/>
      <c r="J24" s="540"/>
      <c r="K24" s="540"/>
      <c r="L24" s="540"/>
      <c r="M24" s="540"/>
      <c r="N24" s="540"/>
      <c r="O24" s="1"/>
      <c r="P24" s="12"/>
      <c r="R24" s="277">
        <f t="shared" si="9"/>
        <v>0</v>
      </c>
      <c r="S24" s="474" t="e">
        <f t="shared" si="10"/>
        <v>#N/A</v>
      </c>
      <c r="T24" s="474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4" t="e">
        <f t="shared" si="17"/>
        <v>#N/A</v>
      </c>
    </row>
    <row r="25" spans="1:27" ht="15.75" customHeight="1" thickBot="1">
      <c r="B25" s="388" t="s">
        <v>162</v>
      </c>
      <c r="C25" s="388"/>
      <c r="D25" s="541" t="s">
        <v>35</v>
      </c>
      <c r="E25" s="542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4" t="e">
        <f t="shared" si="10"/>
        <v>#N/A</v>
      </c>
      <c r="T25" s="474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4" t="e">
        <f t="shared" si="17"/>
        <v>#N/A</v>
      </c>
    </row>
    <row r="26" spans="1:27" ht="15" customHeight="1">
      <c r="A26" s="28"/>
      <c r="B26" s="595"/>
      <c r="C26" s="362"/>
      <c r="D26" s="546"/>
      <c r="E26" s="547"/>
      <c r="F26" s="294"/>
      <c r="G26" s="294"/>
      <c r="H26" s="348"/>
      <c r="I26" s="29" t="s">
        <v>6</v>
      </c>
      <c r="J26" s="280">
        <f>AVERAGE(I10:I14)</f>
        <v>97.265695864107741</v>
      </c>
      <c r="K26" s="284">
        <f>COUNTA([4]Brewhouse!$A$42:$A$62)</f>
        <v>21</v>
      </c>
      <c r="L26" s="305">
        <f>AVERAGE([4]Brewhouse!$AU$42:$AU$62)</f>
        <v>97.56346572578947</v>
      </c>
      <c r="M26" s="305">
        <f>AVERAGE([4]Brewhouse!$AU$42:$AU$62)</f>
        <v>97.56346572578947</v>
      </c>
      <c r="N26" s="30">
        <v>98</v>
      </c>
      <c r="O26" s="11"/>
      <c r="P26" s="31"/>
      <c r="R26" s="277">
        <f t="shared" si="9"/>
        <v>0</v>
      </c>
      <c r="S26" s="474" t="e">
        <f t="shared" si="10"/>
        <v>#N/A</v>
      </c>
      <c r="T26" s="474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4" t="e">
        <f t="shared" si="17"/>
        <v>#N/A</v>
      </c>
    </row>
    <row r="27" spans="1:27" ht="15" customHeight="1">
      <c r="A27" s="28"/>
      <c r="B27" s="596"/>
      <c r="C27" s="362"/>
      <c r="D27" s="548"/>
      <c r="E27" s="532"/>
      <c r="F27" s="294"/>
      <c r="G27" s="294"/>
      <c r="H27" s="348"/>
      <c r="I27" s="33" t="s">
        <v>9</v>
      </c>
      <c r="J27" s="280"/>
      <c r="K27" s="284">
        <f>COUNTA([5]Brewhouse!$A$52:$A$53)</f>
        <v>2</v>
      </c>
      <c r="L27" s="302">
        <f>AVERAGE([5]Brewhouse!$AS$52:$AS$53)</f>
        <v>103.31769230487673</v>
      </c>
      <c r="M27" s="302">
        <f>AVERAGE([5]Brewhouse!$AS$52:$AS$53)</f>
        <v>103.31769230487673</v>
      </c>
      <c r="N27" s="30">
        <v>98</v>
      </c>
      <c r="O27" s="11"/>
      <c r="P27" s="31"/>
      <c r="R27" s="277">
        <f t="shared" si="9"/>
        <v>0</v>
      </c>
      <c r="S27" s="474" t="e">
        <f t="shared" si="10"/>
        <v>#N/A</v>
      </c>
      <c r="T27" s="474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4" t="e">
        <f t="shared" si="17"/>
        <v>#N/A</v>
      </c>
    </row>
    <row r="28" spans="1:27" ht="14.65" customHeight="1">
      <c r="A28" s="28"/>
      <c r="B28" s="596"/>
      <c r="C28" s="362"/>
      <c r="D28" s="536"/>
      <c r="E28" s="537"/>
      <c r="F28" s="294"/>
      <c r="G28" s="294"/>
      <c r="H28" s="348"/>
      <c r="I28" s="34" t="s">
        <v>12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4" t="e">
        <f t="shared" si="10"/>
        <v>#N/A</v>
      </c>
      <c r="T28" s="474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4" t="e">
        <f t="shared" si="17"/>
        <v>#N/A</v>
      </c>
    </row>
    <row r="29" spans="1:27" ht="14.65" customHeight="1">
      <c r="A29" s="28"/>
      <c r="B29" s="596"/>
      <c r="C29" s="362"/>
      <c r="D29" s="531"/>
      <c r="E29" s="532"/>
      <c r="F29" s="294"/>
      <c r="G29" s="294"/>
      <c r="H29" s="348"/>
      <c r="I29" s="22" t="s">
        <v>33</v>
      </c>
      <c r="J29" s="280"/>
      <c r="K29" s="284">
        <f>COUNTA([6]Brewhouse!$A$23:$A$26)</f>
        <v>4</v>
      </c>
      <c r="L29" s="302">
        <f>AVERAGE([6]Brewhouse!$AV$23:$AV$26)</f>
        <v>98.342483899212951</v>
      </c>
      <c r="M29" s="302">
        <f>AVERAGE([6]Brewhouse!$AV$23:$AV$26)</f>
        <v>98.342483899212951</v>
      </c>
      <c r="N29" s="30">
        <v>98</v>
      </c>
      <c r="O29" s="11"/>
      <c r="P29" s="31"/>
      <c r="R29" s="277">
        <f t="shared" si="9"/>
        <v>0</v>
      </c>
      <c r="S29" s="474" t="e">
        <f t="shared" si="10"/>
        <v>#N/A</v>
      </c>
      <c r="T29" s="474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4" t="e">
        <f t="shared" si="17"/>
        <v>#N/A</v>
      </c>
    </row>
    <row r="30" spans="1:27" ht="14.65" customHeight="1">
      <c r="A30" s="28"/>
      <c r="B30" s="596"/>
      <c r="C30" s="362"/>
      <c r="D30" s="536"/>
      <c r="E30" s="537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4" t="e">
        <f t="shared" si="10"/>
        <v>#N/A</v>
      </c>
      <c r="T30" s="474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4" t="e">
        <f t="shared" si="17"/>
        <v>#N/A</v>
      </c>
    </row>
    <row r="31" spans="1:27" ht="14.65" customHeight="1">
      <c r="A31" s="28"/>
      <c r="B31" s="596"/>
      <c r="C31" s="362"/>
      <c r="D31" s="531"/>
      <c r="E31" s="532"/>
      <c r="F31" s="417"/>
      <c r="G31" s="294"/>
      <c r="H31" s="348"/>
      <c r="I31" s="36" t="s">
        <v>15</v>
      </c>
      <c r="J31" s="323"/>
      <c r="K31" s="284">
        <f>COUNTA([7]Brewhouse!$A$13:$A$20)</f>
        <v>8</v>
      </c>
      <c r="L31" s="302" t="e">
        <f>AVERAGE([7]Brewhouse!$AT$13:$AT$20)</f>
        <v>#DIV/0!</v>
      </c>
      <c r="M31" s="302" t="e">
        <f>AVERAGE([7]Brewhouse!$AT$13:$AT$20)</f>
        <v>#DIV/0!</v>
      </c>
      <c r="N31" s="30">
        <v>98</v>
      </c>
      <c r="O31" s="11"/>
      <c r="P31" s="31"/>
      <c r="R31" s="277">
        <f t="shared" si="9"/>
        <v>0</v>
      </c>
      <c r="S31" s="474" t="e">
        <f t="shared" si="10"/>
        <v>#N/A</v>
      </c>
      <c r="T31" s="474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4" t="e">
        <f t="shared" si="17"/>
        <v>#N/A</v>
      </c>
      <c r="AA31" s="474"/>
    </row>
    <row r="32" spans="1:27" ht="14.65" customHeight="1">
      <c r="A32" s="28"/>
      <c r="B32" s="596"/>
      <c r="C32" s="362"/>
      <c r="D32" s="536"/>
      <c r="E32" s="537"/>
      <c r="F32" s="417"/>
      <c r="G32" s="294"/>
      <c r="H32" s="348"/>
      <c r="I32" s="37" t="s">
        <v>16</v>
      </c>
      <c r="J32" s="323"/>
      <c r="K32" s="284">
        <f>COUNTA([8]Brewhouse!$A$5:$A$7)</f>
        <v>3</v>
      </c>
      <c r="L32" s="302">
        <f>AVERAGE([8]Brewhouse!$AY$5:$AY$7)</f>
        <v>98.128633252159673</v>
      </c>
      <c r="M32" s="302">
        <f>AVERAGE([8]Brewhouse!$AY$5:$AY$7)</f>
        <v>98.128633252159673</v>
      </c>
      <c r="N32" s="30">
        <v>98</v>
      </c>
      <c r="O32" s="11"/>
      <c r="P32" s="31" t="s">
        <v>41</v>
      </c>
      <c r="R32" s="277">
        <f t="shared" si="9"/>
        <v>0</v>
      </c>
      <c r="S32" s="474" t="e">
        <f t="shared" si="10"/>
        <v>#N/A</v>
      </c>
      <c r="T32" s="474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4" t="e">
        <f t="shared" si="17"/>
        <v>#N/A</v>
      </c>
      <c r="AA32" s="474"/>
    </row>
    <row r="33" spans="1:56" ht="14.65" customHeight="1">
      <c r="A33" s="28"/>
      <c r="B33" s="596"/>
      <c r="C33" s="362"/>
      <c r="D33" s="531"/>
      <c r="E33" s="532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4" t="e">
        <f t="shared" si="10"/>
        <v>#N/A</v>
      </c>
      <c r="T33" s="474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4" t="e">
        <f t="shared" si="17"/>
        <v>#N/A</v>
      </c>
      <c r="AA33" s="474"/>
    </row>
    <row r="34" spans="1:56" ht="14.65" customHeight="1">
      <c r="A34" s="28"/>
      <c r="B34" s="596"/>
      <c r="C34" s="349"/>
      <c r="D34" s="536"/>
      <c r="E34" s="537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4" t="e">
        <f t="shared" si="10"/>
        <v>#N/A</v>
      </c>
      <c r="T34" s="474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4" t="e">
        <f t="shared" si="17"/>
        <v>#N/A</v>
      </c>
      <c r="AA34" s="474"/>
    </row>
    <row r="35" spans="1:56" ht="15" customHeight="1" thickBot="1">
      <c r="A35" s="28"/>
      <c r="B35" s="596"/>
      <c r="C35" s="349"/>
      <c r="D35" s="531"/>
      <c r="E35" s="532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9"/>
        <v>0</v>
      </c>
      <c r="S35" s="474" t="e">
        <f t="shared" si="10"/>
        <v>#N/A</v>
      </c>
      <c r="T35" s="474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4" t="e">
        <f t="shared" si="17"/>
        <v>#N/A</v>
      </c>
      <c r="AA35" s="474"/>
    </row>
    <row r="36" spans="1:56" ht="15" customHeight="1" thickBot="1">
      <c r="A36" s="28"/>
      <c r="B36" s="596"/>
      <c r="C36" s="349"/>
      <c r="D36" s="546"/>
      <c r="E36" s="547"/>
      <c r="F36" s="294"/>
      <c r="G36" s="294"/>
      <c r="H36" s="348"/>
      <c r="I36" s="1"/>
      <c r="J36" s="39"/>
      <c r="K36" s="404">
        <f>SUM(K26:K35)</f>
        <v>38</v>
      </c>
      <c r="L36" s="405" t="e">
        <f>((L26*K26)+(L27*K27)+(L28*K28)+(L29*K29)+(L30*K30)+(K33*L33)+(L31*K31)+(L32*K32)+(L35*K35))/(K36)</f>
        <v>#DIV/0!</v>
      </c>
      <c r="M36" s="405" t="e">
        <f>L36</f>
        <v>#DIV/0!</v>
      </c>
      <c r="N36" s="40">
        <v>98</v>
      </c>
      <c r="O36" s="11"/>
      <c r="P36" s="31"/>
      <c r="R36" s="277">
        <f t="shared" si="9"/>
        <v>0</v>
      </c>
      <c r="S36" s="474" t="e">
        <f t="shared" si="10"/>
        <v>#N/A</v>
      </c>
      <c r="T36" s="474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4" t="e">
        <f t="shared" si="17"/>
        <v>#N/A</v>
      </c>
      <c r="AA36" s="474"/>
    </row>
    <row r="37" spans="1:56" ht="15.75" thickBot="1">
      <c r="B37" s="597"/>
      <c r="C37" s="350"/>
      <c r="D37" s="548"/>
      <c r="E37" s="532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474" t="e">
        <f t="shared" si="10"/>
        <v>#N/A</v>
      </c>
      <c r="T37" s="474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4" t="e">
        <f t="shared" si="17"/>
        <v>#N/A</v>
      </c>
      <c r="AA37" s="474"/>
    </row>
    <row r="38" spans="1:56" ht="15.75" thickBot="1">
      <c r="B38" s="526"/>
      <c r="C38" s="362"/>
      <c r="D38" s="529"/>
      <c r="E38" s="530"/>
      <c r="F38" s="294"/>
      <c r="G38" s="42"/>
      <c r="H38" s="41"/>
      <c r="I38" s="42"/>
      <c r="J38" s="533" t="s">
        <v>129</v>
      </c>
      <c r="K38" s="533"/>
      <c r="L38" s="294"/>
      <c r="M38" s="294"/>
      <c r="N38" s="294"/>
      <c r="O38" s="294"/>
      <c r="P38" s="12"/>
    </row>
    <row r="39" spans="1:56" ht="15.75" thickBot="1">
      <c r="B39" s="527"/>
      <c r="C39" s="362"/>
      <c r="D39" s="531"/>
      <c r="E39" s="532"/>
      <c r="F39" s="294"/>
      <c r="G39" s="42"/>
      <c r="H39" s="42"/>
      <c r="I39" s="42"/>
      <c r="J39" s="292" t="s">
        <v>17</v>
      </c>
      <c r="K39" s="293" t="s">
        <v>147</v>
      </c>
      <c r="L39" s="534" t="s">
        <v>136</v>
      </c>
      <c r="M39" s="534"/>
      <c r="N39" s="535"/>
      <c r="O39" s="294"/>
      <c r="P39" s="12"/>
    </row>
    <row r="40" spans="1:56" ht="15" customHeight="1" thickBot="1">
      <c r="B40" s="527"/>
      <c r="C40" s="349"/>
      <c r="D40" s="536"/>
      <c r="E40" s="537"/>
      <c r="F40" s="294"/>
      <c r="G40" s="42"/>
      <c r="H40" s="42"/>
      <c r="I40" s="42"/>
      <c r="J40" s="287" t="s">
        <v>6</v>
      </c>
      <c r="K40" s="324">
        <v>5</v>
      </c>
      <c r="L40" s="475" t="s">
        <v>37</v>
      </c>
      <c r="M40" s="476" t="s">
        <v>38</v>
      </c>
      <c r="N40" s="476" t="s">
        <v>84</v>
      </c>
      <c r="O40" s="294"/>
      <c r="P40" s="12"/>
    </row>
    <row r="41" spans="1:56" ht="15.75" customHeight="1" thickBot="1">
      <c r="B41" s="527"/>
      <c r="C41" s="349"/>
      <c r="D41" s="531"/>
      <c r="E41" s="532"/>
      <c r="F41" s="294"/>
      <c r="G41" s="42"/>
      <c r="H41" s="42"/>
      <c r="I41" s="42"/>
      <c r="J41" s="345" t="s">
        <v>9</v>
      </c>
      <c r="K41" s="324"/>
      <c r="L41" s="344">
        <f>AVERAGE('Jan 2nd'!K45,'Jan 5th'!K45,'Jan 6th'!K49,'Jan 7th'!K49,'Jan 8th '!K44,'Jan12th '!J50,'Jan 9th-10th'!J58,'Jan 9th-10th'!K58,'Jan12th '!K50)</f>
        <v>5.625</v>
      </c>
      <c r="M41" s="325">
        <f>AVERAGE(L41)</f>
        <v>5.625</v>
      </c>
      <c r="N41" s="416">
        <v>9.1999999999999993</v>
      </c>
      <c r="O41" s="294"/>
      <c r="P41" s="12"/>
    </row>
    <row r="42" spans="1:56" ht="15" customHeight="1">
      <c r="B42" s="527"/>
      <c r="C42" s="349"/>
      <c r="D42" s="536"/>
      <c r="E42" s="537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7"/>
      <c r="C43" s="349"/>
      <c r="D43" s="531"/>
      <c r="E43" s="532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7"/>
      <c r="C44" s="349"/>
      <c r="D44" s="536"/>
      <c r="E44" s="537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7"/>
      <c r="C45" s="349"/>
      <c r="D45" s="531"/>
      <c r="E45" s="532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7"/>
      <c r="C46" s="349"/>
      <c r="D46" s="536"/>
      <c r="E46" s="53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8"/>
      <c r="C47" s="350"/>
      <c r="D47" s="538"/>
      <c r="E47" s="539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9"/>
      <c r="E48" s="520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5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1"/>
      <c r="J51" s="42"/>
      <c r="L51" s="294"/>
      <c r="N51" s="315"/>
      <c r="P51" s="334"/>
    </row>
    <row r="52" spans="2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2:57" ht="15" customHeight="1" thickBot="1">
      <c r="B53" s="511" t="s">
        <v>17</v>
      </c>
      <c r="C53" s="511" t="s">
        <v>44</v>
      </c>
      <c r="D53" s="522" t="s">
        <v>45</v>
      </c>
      <c r="E53" s="524" t="s">
        <v>46</v>
      </c>
      <c r="F53" s="517" t="s">
        <v>47</v>
      </c>
      <c r="G53" s="509" t="s">
        <v>48</v>
      </c>
      <c r="H53" s="511" t="s">
        <v>49</v>
      </c>
      <c r="I53" s="511" t="s">
        <v>50</v>
      </c>
      <c r="J53" s="503" t="s">
        <v>28</v>
      </c>
      <c r="K53" s="513" t="s">
        <v>51</v>
      </c>
      <c r="L53" s="515" t="s">
        <v>52</v>
      </c>
      <c r="M53" s="503" t="s">
        <v>53</v>
      </c>
      <c r="N53" s="13"/>
      <c r="O53" s="13"/>
      <c r="P53" s="50"/>
    </row>
    <row r="54" spans="2:57" ht="28.5" customHeight="1" thickTop="1" thickBot="1">
      <c r="B54" s="521"/>
      <c r="C54" s="521"/>
      <c r="D54" s="523"/>
      <c r="E54" s="525"/>
      <c r="F54" s="518"/>
      <c r="G54" s="510"/>
      <c r="H54" s="512"/>
      <c r="I54" s="512"/>
      <c r="J54" s="504"/>
      <c r="K54" s="514"/>
      <c r="L54" s="516"/>
      <c r="M54" s="504"/>
      <c r="N54" s="13"/>
      <c r="O54" s="13"/>
      <c r="P54" s="50"/>
      <c r="Q54" s="355"/>
      <c r="AB54" s="477">
        <v>43474</v>
      </c>
      <c r="AC54" s="477">
        <v>43475</v>
      </c>
      <c r="AD54" s="477">
        <v>43476</v>
      </c>
      <c r="AE54" s="477">
        <v>43477</v>
      </c>
      <c r="AF54" s="477">
        <v>43478</v>
      </c>
      <c r="AG54" s="477">
        <v>43479</v>
      </c>
      <c r="AH54" s="477">
        <v>43480</v>
      </c>
      <c r="AI54" s="477">
        <v>43481</v>
      </c>
      <c r="AJ54" s="477">
        <v>43482</v>
      </c>
      <c r="AK54" s="477">
        <v>43483</v>
      </c>
      <c r="AL54" s="477">
        <v>43484</v>
      </c>
      <c r="AM54" s="477">
        <v>43485</v>
      </c>
      <c r="AN54" s="477">
        <v>43486</v>
      </c>
      <c r="AO54" s="477">
        <v>43487</v>
      </c>
      <c r="AP54" s="477">
        <v>43488</v>
      </c>
      <c r="AQ54" s="477">
        <v>43489</v>
      </c>
      <c r="AR54" s="477">
        <v>43490</v>
      </c>
      <c r="AS54" s="477">
        <v>43491</v>
      </c>
      <c r="AT54" s="477">
        <v>43492</v>
      </c>
      <c r="AU54" s="477">
        <v>43493</v>
      </c>
      <c r="AV54" s="477">
        <v>43494</v>
      </c>
      <c r="AW54" s="477">
        <v>43495</v>
      </c>
      <c r="AX54" s="477">
        <v>43496</v>
      </c>
    </row>
    <row r="55" spans="2:57" s="54" customFormat="1" ht="43.15" customHeight="1" thickBot="1">
      <c r="B55" s="468" t="str">
        <f>J41</f>
        <v>STAG</v>
      </c>
      <c r="C55" s="441">
        <v>46034</v>
      </c>
      <c r="D55" s="442">
        <f>[28]January_2026!$O$13</f>
        <v>394.29999999999995</v>
      </c>
      <c r="E55" s="443"/>
      <c r="F55" s="444"/>
      <c r="G55" s="444" t="e">
        <f>[28]January_2026!$O$17</f>
        <v>#REF!</v>
      </c>
      <c r="H55" s="458"/>
      <c r="I55" s="458"/>
      <c r="J55" s="448" t="s">
        <v>184</v>
      </c>
      <c r="K55" s="449" t="e">
        <f>[29]January_2026!$O$25</f>
        <v>#REF!</v>
      </c>
      <c r="L55" s="457" t="e">
        <f>(((D55+E55)-G55)/(D55+E55))*100</f>
        <v>#REF!</v>
      </c>
      <c r="M55" s="455" t="s">
        <v>183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[9]January_2019!L7</f>
        <v>285.8</v>
      </c>
      <c r="AC55" s="57">
        <f>[9]January_2019!M7</f>
        <v>508.1</v>
      </c>
      <c r="AD55" s="57">
        <f>[9]January_2019!N7</f>
        <v>0</v>
      </c>
      <c r="AE55" s="57">
        <f>[9]January_2019!O7</f>
        <v>0</v>
      </c>
      <c r="AF55" s="57">
        <f>[9]January_2019!P7</f>
        <v>109.56666666666666</v>
      </c>
      <c r="AG55" s="57">
        <f>[9]January_2019!Q7</f>
        <v>297.64999999999998</v>
      </c>
      <c r="AH55" s="57">
        <f>[9]January_2019!R7</f>
        <v>122.3</v>
      </c>
      <c r="AI55" s="57">
        <f>[9]January_2019!S7</f>
        <v>0</v>
      </c>
      <c r="AJ55" s="57">
        <f>[9]January_2019!T7</f>
        <v>294.7</v>
      </c>
      <c r="AK55" s="57">
        <f>[9]January_2019!U7</f>
        <v>280.5</v>
      </c>
      <c r="AL55" s="57">
        <f>[9]January_2019!V7</f>
        <v>0</v>
      </c>
      <c r="AM55" s="57">
        <f>[9]January_2019!W7</f>
        <v>0</v>
      </c>
      <c r="AN55" s="57">
        <f>[9]January_2019!X7</f>
        <v>188.25</v>
      </c>
      <c r="AO55" s="57">
        <f>[9]January_2019!Y7</f>
        <v>295.7</v>
      </c>
      <c r="AP55" s="57">
        <f>[9]January_2019!Z7</f>
        <v>257.8</v>
      </c>
      <c r="AQ55" s="57">
        <f>[9]January_2019!AA7</f>
        <v>291.2</v>
      </c>
      <c r="AR55" s="57">
        <f>[9]January_2019!AB7</f>
        <v>187</v>
      </c>
      <c r="AS55" s="57">
        <f>[9]January_2019!AC7</f>
        <v>0</v>
      </c>
      <c r="AT55" s="57">
        <f>[9]January_2019!AD7</f>
        <v>0</v>
      </c>
      <c r="AU55" s="57">
        <f>[9]January_2019!AE7</f>
        <v>485.1</v>
      </c>
      <c r="AV55" s="57">
        <f>[9]January_2019!AF7</f>
        <v>171.55</v>
      </c>
      <c r="AW55" s="57">
        <f>[9]January_2019!AG7</f>
        <v>423.8</v>
      </c>
      <c r="AX55" s="277">
        <f>[9]January_2019!AH7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9.5" hidden="1" customHeight="1" thickBot="1">
      <c r="B56" s="468"/>
      <c r="C56" s="430"/>
      <c r="D56" s="431"/>
      <c r="E56" s="432"/>
      <c r="F56" s="433"/>
      <c r="G56" s="434"/>
      <c r="H56" s="428"/>
      <c r="I56" s="42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2:57" s="54" customFormat="1" ht="38.450000000000003" hidden="1" customHeight="1" thickBot="1">
      <c r="B57" s="491"/>
      <c r="C57" s="441"/>
      <c r="D57" s="442"/>
      <c r="E57" s="443"/>
      <c r="F57" s="444"/>
      <c r="G57" s="445"/>
      <c r="H57" s="458"/>
      <c r="I57" s="458"/>
      <c r="J57" s="448"/>
      <c r="K57" s="460"/>
      <c r="L57" s="478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2:57" s="54" customFormat="1" ht="15.75" hidden="1" thickBot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2:57" s="54" customFormat="1" ht="37.15" hidden="1" customHeight="1" thickBot="1">
      <c r="B59" s="490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2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2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2:57" s="54" customFormat="1" ht="37.15" customHeight="1">
      <c r="B62" s="467"/>
      <c r="C62" s="430"/>
      <c r="D62" s="461"/>
      <c r="E62" s="462"/>
      <c r="F62" s="463"/>
      <c r="G62" s="461"/>
      <c r="H62" s="464"/>
      <c r="I62" s="464"/>
      <c r="J62" s="464"/>
      <c r="K62" s="465"/>
      <c r="L62" s="466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2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2:57" ht="15.75" thickBot="1">
      <c r="B64" s="505" t="s">
        <v>55</v>
      </c>
      <c r="C64" s="506"/>
      <c r="D64" s="506"/>
      <c r="E64" s="506"/>
      <c r="F64" s="507"/>
      <c r="G64" s="505" t="s">
        <v>56</v>
      </c>
      <c r="H64" s="506"/>
      <c r="I64" s="506"/>
      <c r="J64" s="507"/>
      <c r="K64" s="505" t="s">
        <v>51</v>
      </c>
      <c r="L64" s="506"/>
      <c r="M64" s="506"/>
      <c r="N64" s="508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/>
      <c r="D66" s="76">
        <v>13.605323060759916</v>
      </c>
      <c r="E66" s="76">
        <v>13.605323060759916</v>
      </c>
      <c r="F66" s="66">
        <v>4.8</v>
      </c>
      <c r="G66" s="65"/>
      <c r="H66" s="480">
        <v>11.514765584436908</v>
      </c>
      <c r="I66" s="480">
        <v>11.514765584436908</v>
      </c>
      <c r="J66" s="66">
        <v>4.8</v>
      </c>
      <c r="K66" s="67"/>
      <c r="L66" s="194">
        <v>0.19106140350877193</v>
      </c>
      <c r="M66" s="194">
        <v>0.19106140350877193</v>
      </c>
      <c r="N66" s="68">
        <v>1</v>
      </c>
      <c r="O66" s="56"/>
      <c r="P66" s="69"/>
    </row>
    <row r="67" spans="2:16" ht="15">
      <c r="B67" s="33" t="s">
        <v>9</v>
      </c>
      <c r="C67" s="65" t="e">
        <f>L55</f>
        <v>#REF!</v>
      </c>
      <c r="D67" s="76">
        <v>5.6809535886380882</v>
      </c>
      <c r="E67" s="76">
        <v>5.6809535886380882</v>
      </c>
      <c r="F67" s="66">
        <v>4.8</v>
      </c>
      <c r="G67" s="65" t="e">
        <f>[28]January_2026!$O$21</f>
        <v>#REF!</v>
      </c>
      <c r="H67" s="76">
        <v>3.9413079852208361</v>
      </c>
      <c r="I67" s="76">
        <v>3.9413079852208361</v>
      </c>
      <c r="J67" s="66">
        <v>4.8</v>
      </c>
      <c r="K67" s="67" t="e">
        <f>K55</f>
        <v>#REF!</v>
      </c>
      <c r="L67" s="194">
        <v>0.43497076023391806</v>
      </c>
      <c r="M67" s="194">
        <v>0.43497076023391806</v>
      </c>
      <c r="N67" s="68">
        <v>1</v>
      </c>
      <c r="P67" s="69"/>
    </row>
    <row r="68" spans="2:16" ht="15">
      <c r="B68" s="34" t="s">
        <v>40</v>
      </c>
      <c r="C68" s="65"/>
      <c r="D68" s="76"/>
      <c r="E68" s="76"/>
      <c r="F68" s="66">
        <v>5.5</v>
      </c>
      <c r="G68" s="65"/>
      <c r="H68" s="76"/>
      <c r="I68" s="76"/>
      <c r="J68" s="66">
        <v>5.5</v>
      </c>
      <c r="K68" s="67"/>
      <c r="L68" s="194"/>
      <c r="M68" s="194"/>
      <c r="N68" s="68">
        <v>1</v>
      </c>
      <c r="P68" s="69"/>
    </row>
    <row r="69" spans="2:16" ht="15">
      <c r="B69" s="22" t="s">
        <v>33</v>
      </c>
      <c r="C69" s="65"/>
      <c r="D69" s="76">
        <v>6.5508684863523392</v>
      </c>
      <c r="E69" s="76">
        <v>6.5508684863523392</v>
      </c>
      <c r="F69" s="66">
        <v>3.3</v>
      </c>
      <c r="G69" s="65"/>
      <c r="H69" s="76">
        <v>5.2086766183151161</v>
      </c>
      <c r="I69" s="76">
        <v>5.2086766183151161</v>
      </c>
      <c r="J69" s="66">
        <v>3.3</v>
      </c>
      <c r="K69" s="67"/>
      <c r="L69" s="194">
        <v>0.6607017543859649</v>
      </c>
      <c r="M69" s="194">
        <v>0.6607017543859649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/>
      <c r="E71" s="76"/>
      <c r="F71" s="70">
        <f>[10]May_2022!$M$43</f>
        <v>3.4878406700073312</v>
      </c>
      <c r="G71" s="282"/>
      <c r="H71" s="76"/>
      <c r="I71" s="76"/>
      <c r="J71" s="66">
        <v>5.5</v>
      </c>
      <c r="K71" s="67"/>
      <c r="L71" s="194"/>
      <c r="M71" s="194"/>
      <c r="N71" s="68">
        <v>1</v>
      </c>
      <c r="P71" s="69"/>
    </row>
    <row r="72" spans="2:16" ht="15">
      <c r="B72" s="37" t="s">
        <v>16</v>
      </c>
      <c r="C72" s="65"/>
      <c r="D72" s="76">
        <v>2.0590520590520631</v>
      </c>
      <c r="E72" s="76">
        <v>2.0590520590520631</v>
      </c>
      <c r="F72" s="66">
        <v>3.3</v>
      </c>
      <c r="G72" s="282"/>
      <c r="H72" s="76">
        <v>2.1755040108015784</v>
      </c>
      <c r="I72" s="76">
        <v>2.1755040108015784</v>
      </c>
      <c r="J72" s="66">
        <v>3.3</v>
      </c>
      <c r="K72" s="67"/>
      <c r="L72" s="194">
        <v>0.88456140350877199</v>
      </c>
      <c r="M72" s="194">
        <v>0.88456140350877199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7.3675447463875763</v>
      </c>
      <c r="E75" s="76">
        <v>7.3675447463875763</v>
      </c>
      <c r="F75" s="341">
        <v>5.5</v>
      </c>
      <c r="H75" s="76">
        <v>5.57939990224531</v>
      </c>
      <c r="I75" s="76">
        <v>5.57939990224531</v>
      </c>
      <c r="J75" s="341">
        <v>5.5</v>
      </c>
      <c r="L75" s="194">
        <v>0.54115302144249511</v>
      </c>
      <c r="M75" s="194">
        <v>0.54115302144249511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4:F64"/>
    <mergeCell ref="G64:J64"/>
    <mergeCell ref="K64:N64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875" priority="46" operator="notBetween">
      <formula>#REF!</formula>
      <formula>#REF!</formula>
    </cfRule>
  </conditionalFormatting>
  <conditionalFormatting sqref="C52">
    <cfRule type="cellIs" dxfId="2874" priority="190" stopIfTrue="1" operator="greaterThan">
      <formula>100</formula>
    </cfRule>
    <cfRule type="cellIs" dxfId="2873" priority="189" stopIfTrue="1" operator="lessThan">
      <formula>96</formula>
    </cfRule>
  </conditionalFormatting>
  <conditionalFormatting sqref="C66:C70">
    <cfRule type="cellIs" dxfId="2872" priority="145" stopIfTrue="1" operator="lessThanOrEqual">
      <formula>0</formula>
    </cfRule>
  </conditionalFormatting>
  <conditionalFormatting sqref="C66:C74">
    <cfRule type="cellIs" dxfId="2871" priority="144" stopIfTrue="1" operator="greaterThan">
      <formula>$F66</formula>
    </cfRule>
  </conditionalFormatting>
  <conditionalFormatting sqref="C67">
    <cfRule type="cellIs" dxfId="2870" priority="193" stopIfTrue="1" operator="greaterThan">
      <formula>$F66</formula>
    </cfRule>
  </conditionalFormatting>
  <conditionalFormatting sqref="C71">
    <cfRule type="cellIs" dxfId="2869" priority="85" stopIfTrue="1" operator="greaterThan">
      <formula>$F70</formula>
    </cfRule>
    <cfRule type="cellIs" dxfId="2868" priority="84" stopIfTrue="1" operator="lessThanOrEqual">
      <formula>0</formula>
    </cfRule>
  </conditionalFormatting>
  <conditionalFormatting sqref="C77:C81">
    <cfRule type="cellIs" dxfId="2867" priority="181" stopIfTrue="1" operator="lessThanOrEqual">
      <formula>0</formula>
    </cfRule>
  </conditionalFormatting>
  <conditionalFormatting sqref="C78:C81">
    <cfRule type="cellIs" dxfId="2866" priority="180" stopIfTrue="1" operator="greaterThan">
      <formula>$F$77</formula>
    </cfRule>
  </conditionalFormatting>
  <conditionalFormatting sqref="C83">
    <cfRule type="cellIs" dxfId="2865" priority="183" stopIfTrue="1" operator="lessThanOrEqual">
      <formula>0</formula>
    </cfRule>
    <cfRule type="cellIs" dxfId="2864" priority="182" stopIfTrue="1" operator="greaterThan">
      <formula>$F$77</formula>
    </cfRule>
  </conditionalFormatting>
  <conditionalFormatting sqref="C77:D77 D79:D85">
    <cfRule type="cellIs" dxfId="2863" priority="175" stopIfTrue="1" operator="greaterThan">
      <formula>4.5</formula>
    </cfRule>
  </conditionalFormatting>
  <conditionalFormatting sqref="D48:D49">
    <cfRule type="cellIs" dxfId="2862" priority="47" operator="notBetween">
      <formula>#REF!</formula>
      <formula>#REF!</formula>
    </cfRule>
  </conditionalFormatting>
  <conditionalFormatting sqref="D66:D73">
    <cfRule type="cellIs" dxfId="2861" priority="155" stopIfTrue="1" operator="lessThanOrEqual">
      <formula>0</formula>
    </cfRule>
  </conditionalFormatting>
  <conditionalFormatting sqref="D77 D79:D85">
    <cfRule type="cellIs" dxfId="2860" priority="176" stopIfTrue="1" operator="lessThanOrEqual">
      <formula>0</formula>
    </cfRule>
  </conditionalFormatting>
  <conditionalFormatting sqref="D78">
    <cfRule type="cellIs" dxfId="2859" priority="168" stopIfTrue="1" operator="lessThanOrEqual">
      <formula>0</formula>
    </cfRule>
    <cfRule type="cellIs" dxfId="2858" priority="167" stopIfTrue="1" operator="greaterThan">
      <formula>$F$77</formula>
    </cfRule>
  </conditionalFormatting>
  <conditionalFormatting sqref="D66:E75">
    <cfRule type="cellIs" dxfId="2857" priority="142" stopIfTrue="1" operator="greaterThan">
      <formula>$F66</formula>
    </cfRule>
  </conditionalFormatting>
  <conditionalFormatting sqref="D74:E74">
    <cfRule type="cellIs" dxfId="2856" priority="154" stopIfTrue="1" operator="lessThanOrEqual">
      <formula>0</formula>
    </cfRule>
  </conditionalFormatting>
  <conditionalFormatting sqref="D75:E75">
    <cfRule type="cellIs" dxfId="2855" priority="143" stopIfTrue="1" operator="lessThanOrEqual">
      <formula>0</formula>
    </cfRule>
  </conditionalFormatting>
  <conditionalFormatting sqref="E10:E23">
    <cfRule type="cellIs" dxfId="2854" priority="6" operator="lessThan">
      <formula>48</formula>
    </cfRule>
  </conditionalFormatting>
  <conditionalFormatting sqref="E51 E52:F52">
    <cfRule type="cellIs" dxfId="2853" priority="172" stopIfTrue="1" operator="greaterThan">
      <formula>100</formula>
    </cfRule>
  </conditionalFormatting>
  <conditionalFormatting sqref="E52">
    <cfRule type="cellIs" dxfId="2852" priority="170" stopIfTrue="1" operator="greaterThan">
      <formula>100</formula>
    </cfRule>
    <cfRule type="cellIs" dxfId="2851" priority="169" stopIfTrue="1" operator="lessThan">
      <formula>96.8</formula>
    </cfRule>
  </conditionalFormatting>
  <conditionalFormatting sqref="E66:E73">
    <cfRule type="cellIs" dxfId="2850" priority="1" stopIfTrue="1" operator="lessThanOrEqual">
      <formula>0</formula>
    </cfRule>
  </conditionalFormatting>
  <conditionalFormatting sqref="E66:E74">
    <cfRule type="cellIs" dxfId="2849" priority="151" stopIfTrue="1" operator="lessThanOrEqual">
      <formula>0</formula>
    </cfRule>
  </conditionalFormatting>
  <conditionalFormatting sqref="E77:E85">
    <cfRule type="cellIs" dxfId="2848" priority="161" stopIfTrue="1" operator="greaterThan">
      <formula>4.5</formula>
    </cfRule>
    <cfRule type="cellIs" dxfId="2847" priority="162" stopIfTrue="1" operator="lessThanOrEqual">
      <formula>0</formula>
    </cfRule>
  </conditionalFormatting>
  <conditionalFormatting sqref="E52:F52 E51">
    <cfRule type="cellIs" dxfId="2846" priority="171" stopIfTrue="1" operator="lessThan">
      <formula>96.5</formula>
    </cfRule>
  </conditionalFormatting>
  <conditionalFormatting sqref="F10:F23">
    <cfRule type="cellIs" dxfId="2845" priority="25" operator="greaterThan">
      <formula>60</formula>
    </cfRule>
  </conditionalFormatting>
  <conditionalFormatting sqref="F52">
    <cfRule type="cellIs" dxfId="2844" priority="187" stopIfTrue="1" operator="lessThan">
      <formula>96.8</formula>
    </cfRule>
    <cfRule type="cellIs" dxfId="2843" priority="188" stopIfTrue="1" operator="greaterThan">
      <formula>100</formula>
    </cfRule>
  </conditionalFormatting>
  <conditionalFormatting sqref="F75">
    <cfRule type="cellIs" dxfId="2842" priority="153" stopIfTrue="1" operator="lessThanOrEqual">
      <formula>0</formula>
    </cfRule>
    <cfRule type="cellIs" dxfId="2841" priority="152" stopIfTrue="1" operator="greaterThan">
      <formula>$F75</formula>
    </cfRule>
  </conditionalFormatting>
  <conditionalFormatting sqref="G10:G21">
    <cfRule type="expression" dxfId="2840" priority="18">
      <formula>IF(+(IF(G10&lt;S10,0,IF(G10&gt;T10,0,1)))=0,1)</formula>
    </cfRule>
  </conditionalFormatting>
  <conditionalFormatting sqref="G66:G67 C72:C74">
    <cfRule type="cellIs" dxfId="2839" priority="157" stopIfTrue="1" operator="lessThanOrEqual">
      <formula>0</formula>
    </cfRule>
  </conditionalFormatting>
  <conditionalFormatting sqref="G66:G67">
    <cfRule type="cellIs" dxfId="2838" priority="156" stopIfTrue="1" operator="greaterThan">
      <formula>$F66</formula>
    </cfRule>
    <cfRule type="cellIs" dxfId="2837" priority="146" stopIfTrue="1" operator="greaterThan">
      <formula>$F66</formula>
    </cfRule>
    <cfRule type="cellIs" dxfId="2836" priority="147" stopIfTrue="1" operator="lessThanOrEqual">
      <formula>0</formula>
    </cfRule>
  </conditionalFormatting>
  <conditionalFormatting sqref="G68">
    <cfRule type="cellIs" dxfId="2835" priority="192" stopIfTrue="1" operator="lessThanOrEqual">
      <formula>0</formula>
    </cfRule>
    <cfRule type="cellIs" dxfId="2834" priority="191" stopIfTrue="1" operator="greaterThan">
      <formula>$F67</formula>
    </cfRule>
  </conditionalFormatting>
  <conditionalFormatting sqref="G69">
    <cfRule type="cellIs" dxfId="2833" priority="42" stopIfTrue="1" operator="greaterThan">
      <formula>$F69</formula>
    </cfRule>
    <cfRule type="cellIs" dxfId="2832" priority="43" stopIfTrue="1" operator="lessThanOrEqual">
      <formula>0</formula>
    </cfRule>
    <cfRule type="cellIs" dxfId="2831" priority="44" stopIfTrue="1" operator="greaterThan">
      <formula>$F69</formula>
    </cfRule>
    <cfRule type="cellIs" dxfId="2830" priority="45" stopIfTrue="1" operator="lessThanOrEqual">
      <formula>0</formula>
    </cfRule>
  </conditionalFormatting>
  <conditionalFormatting sqref="G70:G74">
    <cfRule type="cellIs" dxfId="2829" priority="158" stopIfTrue="1" operator="greaterThan">
      <formula>$J70</formula>
    </cfRule>
    <cfRule type="cellIs" dxfId="2828" priority="159" stopIfTrue="1" operator="lessThanOrEqual">
      <formula>0</formula>
    </cfRule>
  </conditionalFormatting>
  <conditionalFormatting sqref="G79:G84 C82 C84">
    <cfRule type="cellIs" dxfId="2827" priority="185" stopIfTrue="1" operator="lessThanOrEqual">
      <formula>0</formula>
    </cfRule>
    <cfRule type="cellIs" dxfId="2826" priority="184" stopIfTrue="1" operator="greaterThan">
      <formula>4.5</formula>
    </cfRule>
  </conditionalFormatting>
  <conditionalFormatting sqref="G78:H78">
    <cfRule type="cellIs" dxfId="2825" priority="165" stopIfTrue="1" operator="greaterThan">
      <formula>$F$77</formula>
    </cfRule>
    <cfRule type="cellIs" dxfId="2824" priority="166" stopIfTrue="1" operator="lessThanOrEqual">
      <formula>0</formula>
    </cfRule>
  </conditionalFormatting>
  <conditionalFormatting sqref="H10:H21">
    <cfRule type="expression" dxfId="2823" priority="16">
      <formula>IF(+(IF(H10&lt;#REF!,0,IF(H10&gt;#REF!,0,1)))=0,1)</formula>
    </cfRule>
  </conditionalFormatting>
  <conditionalFormatting sqref="H37:H38 H51:I51">
    <cfRule type="cellIs" dxfId="2822" priority="163" stopIfTrue="1" operator="greaterThan">
      <formula>0</formula>
    </cfRule>
  </conditionalFormatting>
  <conditionalFormatting sqref="H55">
    <cfRule type="cellIs" dxfId="2821" priority="30" stopIfTrue="1" operator="greaterThan">
      <formula>$F$70</formula>
    </cfRule>
    <cfRule type="cellIs" dxfId="2820" priority="41" stopIfTrue="1" operator="lessThanOrEqual">
      <formula>0</formula>
    </cfRule>
    <cfRule type="cellIs" dxfId="2819" priority="29" stopIfTrue="1" operator="lessThanOrEqual">
      <formula>0</formula>
    </cfRule>
    <cfRule type="cellIs" dxfId="2818" priority="38" stopIfTrue="1" operator="greaterThan">
      <formula>$F$73</formula>
    </cfRule>
    <cfRule type="cellIs" dxfId="2817" priority="39" stopIfTrue="1" operator="lessThanOrEqual">
      <formula>0</formula>
    </cfRule>
    <cfRule type="cellIs" dxfId="2816" priority="40" stopIfTrue="1" operator="greaterThan">
      <formula>$F$71</formula>
    </cfRule>
  </conditionalFormatting>
  <conditionalFormatting sqref="H56">
    <cfRule type="cellIs" dxfId="2815" priority="111" stopIfTrue="1" operator="lessThanOrEqual">
      <formula>0</formula>
    </cfRule>
    <cfRule type="cellIs" dxfId="2814" priority="112" stopIfTrue="1" operator="greaterThan">
      <formula>#REF!</formula>
    </cfRule>
    <cfRule type="cellIs" dxfId="2813" priority="113" stopIfTrue="1" operator="lessThanOrEqual">
      <formula>0</formula>
    </cfRule>
    <cfRule type="cellIs" dxfId="2812" priority="101" stopIfTrue="1" operator="lessThanOrEqual">
      <formula>0</formula>
    </cfRule>
    <cfRule type="cellIs" dxfId="2811" priority="102" stopIfTrue="1" operator="greaterThan">
      <formula>#REF!</formula>
    </cfRule>
    <cfRule type="cellIs" dxfId="2810" priority="110" stopIfTrue="1" operator="greaterThan">
      <formula>$F$24</formula>
    </cfRule>
  </conditionalFormatting>
  <conditionalFormatting sqref="H57">
    <cfRule type="cellIs" dxfId="2809" priority="71" stopIfTrue="1" operator="lessThanOrEqual">
      <formula>0</formula>
    </cfRule>
    <cfRule type="cellIs" dxfId="2808" priority="72" stopIfTrue="1" operator="greaterThan">
      <formula>$F$67</formula>
    </cfRule>
    <cfRule type="cellIs" dxfId="2807" priority="80" stopIfTrue="1" operator="greaterThan">
      <formula>$F$70</formula>
    </cfRule>
    <cfRule type="cellIs" dxfId="2806" priority="81" stopIfTrue="1" operator="lessThanOrEqual">
      <formula>0</formula>
    </cfRule>
    <cfRule type="cellIs" dxfId="2805" priority="82" stopIfTrue="1" operator="greaterThan">
      <formula>$F$68</formula>
    </cfRule>
    <cfRule type="cellIs" dxfId="2804" priority="83" stopIfTrue="1" operator="lessThanOrEqual">
      <formula>0</formula>
    </cfRule>
  </conditionalFormatting>
  <conditionalFormatting sqref="H58:H59">
    <cfRule type="cellIs" dxfId="2803" priority="97" stopIfTrue="1" operator="lessThanOrEqual">
      <formula>0</formula>
    </cfRule>
    <cfRule type="cellIs" dxfId="2802" priority="98" stopIfTrue="1" operator="greaterThan">
      <formula>#REF!</formula>
    </cfRule>
    <cfRule type="cellIs" dxfId="2801" priority="99" stopIfTrue="1" operator="lessThanOrEqual">
      <formula>0</formula>
    </cfRule>
    <cfRule type="cellIs" dxfId="2800" priority="96" stopIfTrue="1" operator="greaterThan">
      <formula>$F$23</formula>
    </cfRule>
    <cfRule type="cellIs" dxfId="2799" priority="87" stopIfTrue="1" operator="lessThanOrEqual">
      <formula>0</formula>
    </cfRule>
    <cfRule type="cellIs" dxfId="2798" priority="88" stopIfTrue="1" operator="greaterThan">
      <formula>#REF!</formula>
    </cfRule>
  </conditionalFormatting>
  <conditionalFormatting sqref="H60">
    <cfRule type="cellIs" dxfId="2797" priority="125" stopIfTrue="1" operator="greaterThan">
      <formula>$F$39</formula>
    </cfRule>
    <cfRule type="cellIs" dxfId="2796" priority="126" stopIfTrue="1" operator="lessThanOrEqual">
      <formula>0</formula>
    </cfRule>
    <cfRule type="cellIs" dxfId="2795" priority="127" stopIfTrue="1" operator="greaterThan">
      <formula>$F$37</formula>
    </cfRule>
    <cfRule type="cellIs" dxfId="2794" priority="128" stopIfTrue="1" operator="lessThanOrEqual">
      <formula>0</formula>
    </cfRule>
    <cfRule type="cellIs" dxfId="2793" priority="117" stopIfTrue="1" operator="greaterThan">
      <formula>$F$36</formula>
    </cfRule>
    <cfRule type="cellIs" dxfId="2792" priority="116" stopIfTrue="1" operator="lessThanOrEqual">
      <formula>0</formula>
    </cfRule>
  </conditionalFormatting>
  <conditionalFormatting sqref="H61:H62">
    <cfRule type="cellIs" dxfId="2791" priority="69" stopIfTrue="1" operator="lessThanOrEqual">
      <formula>0</formula>
    </cfRule>
    <cfRule type="cellIs" dxfId="2790" priority="68" stopIfTrue="1" operator="greaterThan">
      <formula>#REF!</formula>
    </cfRule>
    <cfRule type="cellIs" dxfId="2789" priority="67" stopIfTrue="1" operator="lessThanOrEqual">
      <formula>0</formula>
    </cfRule>
    <cfRule type="cellIs" dxfId="2788" priority="66" stopIfTrue="1" operator="greaterThan">
      <formula>$F$23</formula>
    </cfRule>
    <cfRule type="cellIs" dxfId="2787" priority="58" stopIfTrue="1" operator="greaterThan">
      <formula>#REF!</formula>
    </cfRule>
    <cfRule type="cellIs" dxfId="2786" priority="57" stopIfTrue="1" operator="lessThanOrEqual">
      <formula>0</formula>
    </cfRule>
  </conditionalFormatting>
  <conditionalFormatting sqref="H77 H79:H85">
    <cfRule type="cellIs" dxfId="2785" priority="178" stopIfTrue="1" operator="lessThanOrEqual">
      <formula>0</formula>
    </cfRule>
    <cfRule type="cellIs" dxfId="2784" priority="177" stopIfTrue="1" operator="greaterThan">
      <formula>4.5</formula>
    </cfRule>
  </conditionalFormatting>
  <conditionalFormatting sqref="H55:I55">
    <cfRule type="cellIs" dxfId="2783" priority="28" stopIfTrue="1" operator="greaterThan">
      <formula>$F$72</formula>
    </cfRule>
    <cfRule type="cellIs" dxfId="2782" priority="31" stopIfTrue="1" operator="lessThanOrEqual">
      <formula>0</formula>
    </cfRule>
  </conditionalFormatting>
  <conditionalFormatting sqref="H56:I56">
    <cfRule type="cellIs" dxfId="2781" priority="100" stopIfTrue="1" operator="greaterThan">
      <formula>$F$23</formula>
    </cfRule>
    <cfRule type="cellIs" dxfId="2780" priority="103" stopIfTrue="1" operator="lessThanOrEqual">
      <formula>0</formula>
    </cfRule>
  </conditionalFormatting>
  <conditionalFormatting sqref="H57:I57">
    <cfRule type="cellIs" dxfId="2779" priority="70" stopIfTrue="1" operator="greaterThan">
      <formula>$F$69</formula>
    </cfRule>
    <cfRule type="cellIs" dxfId="2778" priority="73" stopIfTrue="1" operator="lessThanOrEqual">
      <formula>0</formula>
    </cfRule>
  </conditionalFormatting>
  <conditionalFormatting sqref="H58:I59">
    <cfRule type="cellIs" dxfId="2777" priority="86" stopIfTrue="1" operator="greaterThan">
      <formula>#REF!</formula>
    </cfRule>
    <cfRule type="cellIs" dxfId="2776" priority="89" stopIfTrue="1" operator="lessThanOrEqual">
      <formula>0</formula>
    </cfRule>
  </conditionalFormatting>
  <conditionalFormatting sqref="H60:I60">
    <cfRule type="cellIs" dxfId="2775" priority="118" stopIfTrue="1" operator="lessThanOrEqual">
      <formula>0</formula>
    </cfRule>
    <cfRule type="cellIs" dxfId="2774" priority="115" stopIfTrue="1" operator="greaterThan">
      <formula>$F$38</formula>
    </cfRule>
  </conditionalFormatting>
  <conditionalFormatting sqref="H61:I62">
    <cfRule type="cellIs" dxfId="2773" priority="59" stopIfTrue="1" operator="lessThanOrEqual">
      <formula>0</formula>
    </cfRule>
    <cfRule type="cellIs" dxfId="2772" priority="56" stopIfTrue="1" operator="greaterThan">
      <formula>#REF!</formula>
    </cfRule>
  </conditionalFormatting>
  <conditionalFormatting sqref="H66:I73">
    <cfRule type="cellIs" dxfId="2771" priority="2" stopIfTrue="1" operator="greaterThan">
      <formula>$J66</formula>
    </cfRule>
    <cfRule type="cellIs" dxfId="2770" priority="3" stopIfTrue="1" operator="lessThanOrEqual">
      <formula>0</formula>
    </cfRule>
  </conditionalFormatting>
  <conditionalFormatting sqref="H74:I74">
    <cfRule type="cellIs" dxfId="2769" priority="150" operator="greaterThan">
      <formula>5.3</formula>
    </cfRule>
  </conditionalFormatting>
  <conditionalFormatting sqref="H75:I75">
    <cfRule type="cellIs" dxfId="2768" priority="141" stopIfTrue="1" operator="lessThanOrEqual">
      <formula>0</formula>
    </cfRule>
    <cfRule type="cellIs" dxfId="2767" priority="140" stopIfTrue="1" operator="greaterThan">
      <formula>$J75</formula>
    </cfRule>
  </conditionalFormatting>
  <conditionalFormatting sqref="I55">
    <cfRule type="cellIs" dxfId="2766" priority="35" stopIfTrue="1" operator="lessThanOrEqual">
      <formula>0</formula>
    </cfRule>
    <cfRule type="cellIs" dxfId="2765" priority="36" stopIfTrue="1" operator="greaterThan">
      <formula>$F$70</formula>
    </cfRule>
    <cfRule type="cellIs" dxfId="2764" priority="32" stopIfTrue="1" operator="greaterThan">
      <formula>$F$70</formula>
    </cfRule>
    <cfRule type="cellIs" dxfId="2763" priority="37" stopIfTrue="1" operator="lessThanOrEqual">
      <formula>0</formula>
    </cfRule>
    <cfRule type="cellIs" dxfId="2762" priority="33" stopIfTrue="1" operator="lessThanOrEqual">
      <formula>0</formula>
    </cfRule>
    <cfRule type="cellIs" dxfId="2761" priority="34" stopIfTrue="1" operator="greaterThan">
      <formula>$F$72</formula>
    </cfRule>
  </conditionalFormatting>
  <conditionalFormatting sqref="I56">
    <cfRule type="cellIs" dxfId="2760" priority="107" stopIfTrue="1" operator="lessThanOrEqual">
      <formula>0</formula>
    </cfRule>
    <cfRule type="cellIs" dxfId="2759" priority="105" stopIfTrue="1" operator="lessThanOrEqual">
      <formula>0</formula>
    </cfRule>
    <cfRule type="cellIs" dxfId="2758" priority="108" stopIfTrue="1" operator="greaterThan">
      <formula>#REF!</formula>
    </cfRule>
    <cfRule type="cellIs" dxfId="2757" priority="109" stopIfTrue="1" operator="lessThanOrEqual">
      <formula>0</formula>
    </cfRule>
    <cfRule type="cellIs" dxfId="2756" priority="104" stopIfTrue="1" operator="greaterThan">
      <formula>#REF!</formula>
    </cfRule>
    <cfRule type="cellIs" dxfId="2755" priority="106" stopIfTrue="1" operator="greaterThan">
      <formula>$F$23</formula>
    </cfRule>
  </conditionalFormatting>
  <conditionalFormatting sqref="I57">
    <cfRule type="cellIs" dxfId="2754" priority="76" stopIfTrue="1" operator="greaterThan">
      <formula>$F$69</formula>
    </cfRule>
    <cfRule type="cellIs" dxfId="2753" priority="79" stopIfTrue="1" operator="lessThanOrEqual">
      <formula>0</formula>
    </cfRule>
    <cfRule type="cellIs" dxfId="2752" priority="78" stopIfTrue="1" operator="greaterThan">
      <formula>$F$67</formula>
    </cfRule>
    <cfRule type="cellIs" dxfId="2751" priority="77" stopIfTrue="1" operator="lessThanOrEqual">
      <formula>0</formula>
    </cfRule>
    <cfRule type="cellIs" dxfId="2750" priority="75" stopIfTrue="1" operator="lessThanOrEqual">
      <formula>0</formula>
    </cfRule>
    <cfRule type="cellIs" dxfId="2749" priority="74" stopIfTrue="1" operator="greaterThan">
      <formula>$F$67</formula>
    </cfRule>
  </conditionalFormatting>
  <conditionalFormatting sqref="I58:I59">
    <cfRule type="cellIs" dxfId="2748" priority="92" stopIfTrue="1" operator="greaterThan">
      <formula>#REF!</formula>
    </cfRule>
    <cfRule type="cellIs" dxfId="2747" priority="94" stopIfTrue="1" operator="greaterThan">
      <formula>#REF!</formula>
    </cfRule>
    <cfRule type="cellIs" dxfId="2746" priority="95" stopIfTrue="1" operator="lessThanOrEqual">
      <formula>0</formula>
    </cfRule>
    <cfRule type="cellIs" dxfId="2745" priority="90" stopIfTrue="1" operator="greaterThan">
      <formula>#REF!</formula>
    </cfRule>
    <cfRule type="cellIs" dxfId="2744" priority="93" stopIfTrue="1" operator="lessThanOrEqual">
      <formula>0</formula>
    </cfRule>
    <cfRule type="cellIs" dxfId="2743" priority="91" stopIfTrue="1" operator="lessThanOrEqual">
      <formula>0</formula>
    </cfRule>
  </conditionalFormatting>
  <conditionalFormatting sqref="I60">
    <cfRule type="cellIs" dxfId="2742" priority="124" stopIfTrue="1" operator="lessThanOrEqual">
      <formula>0</formula>
    </cfRule>
    <cfRule type="cellIs" dxfId="2741" priority="120" stopIfTrue="1" operator="lessThanOrEqual">
      <formula>0</formula>
    </cfRule>
    <cfRule type="cellIs" dxfId="2740" priority="121" stopIfTrue="1" operator="greaterThan">
      <formula>$F$38</formula>
    </cfRule>
    <cfRule type="cellIs" dxfId="2739" priority="123" stopIfTrue="1" operator="greaterThan">
      <formula>$F$36</formula>
    </cfRule>
    <cfRule type="cellIs" dxfId="2738" priority="119" stopIfTrue="1" operator="greaterThan">
      <formula>$F$36</formula>
    </cfRule>
    <cfRule type="cellIs" dxfId="2737" priority="122" stopIfTrue="1" operator="lessThanOrEqual">
      <formula>0</formula>
    </cfRule>
  </conditionalFormatting>
  <conditionalFormatting sqref="I61:I62">
    <cfRule type="cellIs" dxfId="2736" priority="64" stopIfTrue="1" operator="greaterThan">
      <formula>#REF!</formula>
    </cfRule>
    <cfRule type="cellIs" dxfId="2735" priority="63" stopIfTrue="1" operator="lessThanOrEqual">
      <formula>0</formula>
    </cfRule>
    <cfRule type="cellIs" dxfId="2734" priority="62" stopIfTrue="1" operator="greaterThan">
      <formula>#REF!</formula>
    </cfRule>
    <cfRule type="cellIs" dxfId="2733" priority="61" stopIfTrue="1" operator="lessThanOrEqual">
      <formula>0</formula>
    </cfRule>
    <cfRule type="cellIs" dxfId="2732" priority="60" stopIfTrue="1" operator="greaterThan">
      <formula>#REF!</formula>
    </cfRule>
    <cfRule type="cellIs" dxfId="2731" priority="65" stopIfTrue="1" operator="lessThanOrEqual">
      <formula>0</formula>
    </cfRule>
  </conditionalFormatting>
  <conditionalFormatting sqref="I77:I85">
    <cfRule type="cellIs" dxfId="2730" priority="174" stopIfTrue="1" operator="lessThanOrEqual">
      <formula>0</formula>
    </cfRule>
    <cfRule type="cellIs" dxfId="2729" priority="173" stopIfTrue="1" operator="greaterThan">
      <formula>4.5</formula>
    </cfRule>
  </conditionalFormatting>
  <conditionalFormatting sqref="I10:J23">
    <cfRule type="cellIs" dxfId="2728" priority="9" operator="lessThan">
      <formula>97.9</formula>
    </cfRule>
  </conditionalFormatting>
  <conditionalFormatting sqref="J27:J28">
    <cfRule type="cellIs" dxfId="2727" priority="132" operator="lessThan">
      <formula>98</formula>
    </cfRule>
    <cfRule type="cellIs" dxfId="2726" priority="130" stopIfTrue="1" operator="lessThan">
      <formula>96.8</formula>
    </cfRule>
    <cfRule type="cellIs" dxfId="2725" priority="131" stopIfTrue="1" operator="greaterThan">
      <formula>100</formula>
    </cfRule>
  </conditionalFormatting>
  <conditionalFormatting sqref="J27:J30">
    <cfRule type="cellIs" dxfId="2724" priority="129" operator="lessThan">
      <formula>97.4</formula>
    </cfRule>
  </conditionalFormatting>
  <conditionalFormatting sqref="J31:J32">
    <cfRule type="cellIs" dxfId="2723" priority="133" operator="lessThan">
      <formula>98</formula>
    </cfRule>
  </conditionalFormatting>
  <conditionalFormatting sqref="J33:J34">
    <cfRule type="cellIs" dxfId="2722" priority="135" stopIfTrue="1" operator="greaterThan">
      <formula>100</formula>
    </cfRule>
    <cfRule type="cellIs" dxfId="2721" priority="134" stopIfTrue="1" operator="lessThan">
      <formula>96.8</formula>
    </cfRule>
  </conditionalFormatting>
  <conditionalFormatting sqref="J33:J35">
    <cfRule type="cellIs" dxfId="2720" priority="136" operator="lessThan">
      <formula>98</formula>
    </cfRule>
  </conditionalFormatting>
  <conditionalFormatting sqref="J62">
    <cfRule type="cellIs" dxfId="2719" priority="48" stopIfTrue="1" operator="greaterThan">
      <formula>#REF!</formula>
    </cfRule>
    <cfRule type="cellIs" dxfId="2718" priority="49" stopIfTrue="1" operator="lessThanOrEqual">
      <formula>0</formula>
    </cfRule>
    <cfRule type="cellIs" dxfId="2717" priority="50" stopIfTrue="1" operator="greaterThan">
      <formula>#REF!</formula>
    </cfRule>
    <cfRule type="cellIs" dxfId="2716" priority="51" stopIfTrue="1" operator="lessThanOrEqual">
      <formula>0</formula>
    </cfRule>
    <cfRule type="cellIs" dxfId="2715" priority="52" stopIfTrue="1" operator="greaterThan">
      <formula>#REF!</formula>
    </cfRule>
    <cfRule type="cellIs" dxfId="2714" priority="54" stopIfTrue="1" operator="greaterThan">
      <formula>#REF!</formula>
    </cfRule>
    <cfRule type="cellIs" dxfId="2713" priority="55" stopIfTrue="1" operator="lessThanOrEqual">
      <formula>0</formula>
    </cfRule>
    <cfRule type="cellIs" dxfId="2712" priority="53" stopIfTrue="1" operator="lessThanOrEqual">
      <formula>0</formula>
    </cfRule>
  </conditionalFormatting>
  <conditionalFormatting sqref="J75">
    <cfRule type="cellIs" dxfId="2711" priority="137" stopIfTrue="1" operator="greaterThan">
      <formula>$F75</formula>
    </cfRule>
    <cfRule type="cellIs" dxfId="2710" priority="138" stopIfTrue="1" operator="lessThanOrEqual">
      <formula>0</formula>
    </cfRule>
  </conditionalFormatting>
  <conditionalFormatting sqref="K10:K23">
    <cfRule type="cellIs" dxfId="2709" priority="12" operator="greaterThan">
      <formula>6.4</formula>
    </cfRule>
    <cfRule type="cellIs" dxfId="2708" priority="11" operator="lessThan">
      <formula>4</formula>
    </cfRule>
    <cfRule type="cellIs" dxfId="2707" priority="10" operator="greaterThan">
      <formula>6</formula>
    </cfRule>
  </conditionalFormatting>
  <conditionalFormatting sqref="K55:K62 K66:M72 N66:N74 K73 K74:M74">
    <cfRule type="cellIs" dxfId="2706" priority="114" stopIfTrue="1" operator="lessThan">
      <formula>100%</formula>
    </cfRule>
  </conditionalFormatting>
  <conditionalFormatting sqref="K77:K82">
    <cfRule type="cellIs" dxfId="2705" priority="179" stopIfTrue="1" operator="lessThan">
      <formula>100%</formula>
    </cfRule>
  </conditionalFormatting>
  <conditionalFormatting sqref="K84:K85">
    <cfRule type="cellIs" dxfId="2704" priority="186" stopIfTrue="1" operator="lessThan">
      <formula>100%</formula>
    </cfRule>
  </conditionalFormatting>
  <conditionalFormatting sqref="L10:L21">
    <cfRule type="cellIs" dxfId="2703" priority="15" operator="greaterThan">
      <formula>65</formula>
    </cfRule>
    <cfRule type="cellIs" dxfId="2702" priority="14" operator="between">
      <formula>61</formula>
      <formula>65</formula>
    </cfRule>
  </conditionalFormatting>
  <conditionalFormatting sqref="L23">
    <cfRule type="cellIs" dxfId="2701" priority="24" operator="greaterThan">
      <formula>65</formula>
    </cfRule>
    <cfRule type="cellIs" dxfId="2700" priority="23" operator="between">
      <formula>61</formula>
      <formula>65</formula>
    </cfRule>
  </conditionalFormatting>
  <conditionalFormatting sqref="L22:M22">
    <cfRule type="cellIs" dxfId="2699" priority="21" operator="between">
      <formula>61</formula>
      <formula>65</formula>
    </cfRule>
    <cfRule type="cellIs" dxfId="2698" priority="20" operator="greaterThan">
      <formula>65</formula>
    </cfRule>
  </conditionalFormatting>
  <conditionalFormatting sqref="L26:M37">
    <cfRule type="cellIs" dxfId="2697" priority="26" operator="lessThan">
      <formula>97.95</formula>
    </cfRule>
  </conditionalFormatting>
  <conditionalFormatting sqref="L41:N41">
    <cfRule type="cellIs" dxfId="2696" priority="27" operator="notEqual">
      <formula>#REF!</formula>
    </cfRule>
  </conditionalFormatting>
  <conditionalFormatting sqref="L75:N75">
    <cfRule type="cellIs" dxfId="2695" priority="139" stopIfTrue="1" operator="lessThan">
      <formula>100%</formula>
    </cfRule>
  </conditionalFormatting>
  <conditionalFormatting sqref="L77:N85">
    <cfRule type="cellIs" dxfId="2694" priority="164" stopIfTrue="1" operator="lessThan">
      <formula>100%</formula>
    </cfRule>
  </conditionalFormatting>
  <conditionalFormatting sqref="M10:M21">
    <cfRule type="expression" dxfId="2693" priority="13">
      <formula>IF(+(IF(M10&lt;U10,0,IF(M10&gt;V10,0,1)))=0,1)</formula>
    </cfRule>
  </conditionalFormatting>
  <conditionalFormatting sqref="M22 G22:H23">
    <cfRule type="expression" dxfId="2692" priority="22">
      <formula>IF(+(IF(G22&lt;#REF!,0,IF(G22&gt;#REF!,0,1)))=0,1)</formula>
    </cfRule>
  </conditionalFormatting>
  <conditionalFormatting sqref="M23:N23">
    <cfRule type="expression" dxfId="2691" priority="194">
      <formula>IF(+(IF(M23&lt;#REF!,0,IF(M23&gt;#REF!,0,1)))=0,1)</formula>
    </cfRule>
  </conditionalFormatting>
  <conditionalFormatting sqref="N10:N22">
    <cfRule type="expression" dxfId="2690" priority="8">
      <formula>IF(+(IF(N10&lt;W10,0,IF(N10&gt;X10,0,1)))=0,1)</formula>
    </cfRule>
  </conditionalFormatting>
  <conditionalFormatting sqref="P6">
    <cfRule type="cellIs" dxfId="2689" priority="160" operator="greaterThanOrEqual">
      <formula>19</formula>
    </cfRule>
  </conditionalFormatting>
  <dataValidations count="1">
    <dataValidation type="list" allowBlank="1" showInputMessage="1" showErrorMessage="1" sqref="R8" xr:uid="{43D6EE3B-AA44-4032-B99F-1E430795AD9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51B2-3AD1-4C46-AB78-8148AAC9A1D2}">
  <sheetPr codeName="Sheet9">
    <pageSetUpPr fitToPage="1"/>
  </sheetPr>
  <dimension ref="A1:BE70"/>
  <sheetViews>
    <sheetView zoomScale="90" zoomScaleNormal="90" workbookViewId="0">
      <selection activeCell="H61" sqref="H61:H70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46036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[4]Brewhouse!$A63</f>
        <v>CA022</v>
      </c>
      <c r="D10" s="279">
        <f>[4]Brewhouse!$AF63</f>
        <v>49.4</v>
      </c>
      <c r="E10" s="279">
        <f>[4]Brewhouse!$AI63</f>
        <v>49</v>
      </c>
      <c r="F10" s="278">
        <f>[4]Brewhouse!$V63</f>
        <v>62</v>
      </c>
      <c r="G10" s="279">
        <f>[4]Brewhouse!AG63</f>
        <v>12.3</v>
      </c>
      <c r="H10" s="492">
        <v>12.3</v>
      </c>
      <c r="I10" s="368">
        <f>[4]Brewhouse!$AU63</f>
        <v>99.155044731309943</v>
      </c>
      <c r="J10" s="368">
        <f>[4]Brewhouse!$AV63</f>
        <v>99.915117155801951</v>
      </c>
      <c r="K10" s="281">
        <f>[4]Brewhouse!$Q63</f>
        <v>8.323917137476462</v>
      </c>
      <c r="L10" s="276">
        <f>[4]Brewhouse!$P63</f>
        <v>44</v>
      </c>
      <c r="M10" s="397">
        <f>[4]Brewhouse!$U63-[4]Brewhouse!$T63</f>
        <v>0.18680555555555545</v>
      </c>
      <c r="N10" s="370">
        <f>[4]Brewhouse!$Z63</f>
        <v>0.34236111111111101</v>
      </c>
      <c r="O10" s="420" t="str">
        <f>[4]Brewhouse!$AX63</f>
        <v>R.Sookram</v>
      </c>
      <c r="P10" s="418"/>
      <c r="R10" s="277" t="str">
        <f t="shared" ref="R10:R32" si="0">B10</f>
        <v>CARIB</v>
      </c>
      <c r="S10" s="474">
        <f t="shared" ref="S10:S32" si="1">VLOOKUP($B10,$R$3:$X$9,2,FALSE)</f>
        <v>11.6</v>
      </c>
      <c r="T10" s="474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4">
        <f t="shared" ref="Z10:Z32" si="8">VLOOKUP($B10,$R$3:$Z$9,9,FALSE)</f>
        <v>60</v>
      </c>
    </row>
    <row r="11" spans="2:29" ht="16.5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418"/>
      <c r="R11" s="277">
        <f t="shared" si="0"/>
        <v>0</v>
      </c>
      <c r="S11" s="474" t="e">
        <f t="shared" si="1"/>
        <v>#N/A</v>
      </c>
      <c r="T11" s="474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4" t="e">
        <f t="shared" si="8"/>
        <v>#N/A</v>
      </c>
    </row>
    <row r="12" spans="2:29" ht="16.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si="0"/>
        <v>0</v>
      </c>
      <c r="S12" s="474" t="e">
        <f t="shared" si="1"/>
        <v>#N/A</v>
      </c>
      <c r="T12" s="474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4" t="e">
        <f t="shared" si="8"/>
        <v>#N/A</v>
      </c>
    </row>
    <row r="13" spans="2:29" ht="16.5" hidden="1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420"/>
      <c r="P13" s="418"/>
      <c r="R13" s="277">
        <f t="shared" si="0"/>
        <v>0</v>
      </c>
      <c r="S13" s="474" t="e">
        <f t="shared" si="1"/>
        <v>#N/A</v>
      </c>
      <c r="T13" s="474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474" t="e">
        <f t="shared" si="8"/>
        <v>#N/A</v>
      </c>
    </row>
    <row r="14" spans="2:29" ht="16.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4" t="e">
        <f t="shared" si="1"/>
        <v>#N/A</v>
      </c>
      <c r="T14" s="474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4" t="e">
        <f t="shared" si="8"/>
        <v>#N/A</v>
      </c>
    </row>
    <row r="15" spans="2:29" ht="16.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4" t="e">
        <f t="shared" si="1"/>
        <v>#N/A</v>
      </c>
      <c r="T15" s="474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4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hidden="1" customHeight="1">
      <c r="B17" s="33"/>
      <c r="C17" s="366"/>
      <c r="D17" s="279"/>
      <c r="E17" s="279"/>
      <c r="F17" s="278"/>
      <c r="G17" s="279"/>
      <c r="H17" s="396"/>
      <c r="I17" s="479"/>
      <c r="J17" s="479"/>
      <c r="K17" s="281"/>
      <c r="L17" s="276"/>
      <c r="M17" s="374"/>
      <c r="N17" s="370"/>
      <c r="O17" s="420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hidden="1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18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540"/>
      <c r="J19" s="540"/>
      <c r="K19" s="540"/>
      <c r="L19" s="540"/>
      <c r="M19" s="540"/>
      <c r="N19" s="540"/>
      <c r="O19" s="1"/>
      <c r="P19" s="12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5.75" customHeight="1" thickBot="1">
      <c r="B20" s="388" t="s">
        <v>162</v>
      </c>
      <c r="C20" s="388"/>
      <c r="D20" s="541" t="s">
        <v>35</v>
      </c>
      <c r="E20" s="542"/>
      <c r="F20" s="294"/>
      <c r="G20" s="294"/>
      <c r="H20" s="348"/>
      <c r="I20" s="24" t="s">
        <v>17</v>
      </c>
      <c r="J20" s="25"/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0"/>
        <v xml:space="preserve">BRAND 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5" customHeight="1">
      <c r="A21" s="28"/>
      <c r="B21" s="595"/>
      <c r="C21" s="362"/>
      <c r="D21" s="546"/>
      <c r="E21" s="547"/>
      <c r="F21" s="294"/>
      <c r="G21" s="294"/>
      <c r="H21" s="348"/>
      <c r="I21" s="29" t="s">
        <v>6</v>
      </c>
      <c r="J21" s="280">
        <f>AVERAGE(I10)</f>
        <v>99.155044731309943</v>
      </c>
      <c r="K21" s="284">
        <f>COUNTA([4]Brewhouse!$A$42:$A$63)</f>
        <v>22</v>
      </c>
      <c r="L21" s="305">
        <f>AVERAGE([4]Brewhouse!$AU$42:$AU$63)</f>
        <v>97.635810226040391</v>
      </c>
      <c r="M21" s="305">
        <f>AVERAGE([4]Brewhouse!$AU$42:$AU$63)</f>
        <v>97.635810226040391</v>
      </c>
      <c r="N21" s="30">
        <v>98</v>
      </c>
      <c r="O21" s="11"/>
      <c r="P21" s="31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5" customHeight="1">
      <c r="A22" s="28"/>
      <c r="B22" s="596"/>
      <c r="C22" s="362"/>
      <c r="D22" s="548"/>
      <c r="E22" s="532"/>
      <c r="F22" s="294"/>
      <c r="G22" s="294"/>
      <c r="H22" s="348"/>
      <c r="I22" s="33" t="s">
        <v>9</v>
      </c>
      <c r="J22" s="280"/>
      <c r="K22" s="284">
        <f>COUNTA([5]Brewhouse!$A$52:$A$53)</f>
        <v>2</v>
      </c>
      <c r="L22" s="302">
        <f>AVERAGE([5]Brewhouse!$AS$52:$AS$53)</f>
        <v>103.31769230487673</v>
      </c>
      <c r="M22" s="302">
        <f>AVERAGE([5]Brewhouse!$AS$52:$AS$53)</f>
        <v>103.31769230487673</v>
      </c>
      <c r="N22" s="30">
        <v>98</v>
      </c>
      <c r="O22" s="11"/>
      <c r="P22" s="31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4.65" customHeight="1">
      <c r="A23" s="28"/>
      <c r="B23" s="596"/>
      <c r="C23" s="362"/>
      <c r="D23" s="536"/>
      <c r="E23" s="537"/>
      <c r="F23" s="294"/>
      <c r="G23" s="294"/>
      <c r="H23" s="348"/>
      <c r="I23" s="34" t="s">
        <v>12</v>
      </c>
      <c r="J23" s="280"/>
      <c r="K23" s="284"/>
      <c r="L23" s="302"/>
      <c r="M23" s="302"/>
      <c r="N23" s="30">
        <v>98</v>
      </c>
      <c r="O23" s="11"/>
      <c r="P23" s="31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4.65" customHeight="1">
      <c r="A24" s="28"/>
      <c r="B24" s="596"/>
      <c r="C24" s="362"/>
      <c r="D24" s="531"/>
      <c r="E24" s="532"/>
      <c r="F24" s="294"/>
      <c r="G24" s="294"/>
      <c r="H24" s="348"/>
      <c r="I24" s="22" t="s">
        <v>33</v>
      </c>
      <c r="J24" s="280"/>
      <c r="K24" s="284">
        <f>COUNTA([6]Brewhouse!$A$23:$A$26)</f>
        <v>4</v>
      </c>
      <c r="L24" s="302">
        <f>AVERAGE([6]Brewhouse!$AV$23:$AV$26)</f>
        <v>98.342483899212951</v>
      </c>
      <c r="M24" s="302">
        <f>AVERAGE([6]Brewhouse!$AV$23:$AV$26)</f>
        <v>98.342483899212951</v>
      </c>
      <c r="N24" s="30">
        <v>98</v>
      </c>
      <c r="O24" s="11"/>
      <c r="P24" s="31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4.65" customHeight="1">
      <c r="A25" s="28"/>
      <c r="B25" s="596"/>
      <c r="C25" s="362"/>
      <c r="D25" s="536"/>
      <c r="E25" s="537"/>
      <c r="F25" s="417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4.65" customHeight="1">
      <c r="A26" s="28"/>
      <c r="B26" s="596"/>
      <c r="C26" s="362"/>
      <c r="D26" s="531"/>
      <c r="E26" s="532"/>
      <c r="F26" s="417"/>
      <c r="G26" s="294"/>
      <c r="H26" s="348"/>
      <c r="I26" s="36" t="s">
        <v>15</v>
      </c>
      <c r="J26" s="323"/>
      <c r="K26" s="284">
        <f>COUNTA([7]Brewhouse!$A$13:$A$20)</f>
        <v>8</v>
      </c>
      <c r="L26" s="302" t="e">
        <f>AVERAGE([7]Brewhouse!$AT$13:$AT$20)</f>
        <v>#DIV/0!</v>
      </c>
      <c r="M26" s="302" t="e">
        <f>AVERAGE([7]Brewhouse!$AT$13:$AT$20)</f>
        <v>#DIV/0!</v>
      </c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  <c r="AA26" s="474"/>
    </row>
    <row r="27" spans="1:27" ht="14.65" customHeight="1">
      <c r="A27" s="28"/>
      <c r="B27" s="596"/>
      <c r="C27" s="362"/>
      <c r="D27" s="536"/>
      <c r="E27" s="537"/>
      <c r="F27" s="417"/>
      <c r="G27" s="294"/>
      <c r="H27" s="348"/>
      <c r="I27" s="37" t="s">
        <v>16</v>
      </c>
      <c r="J27" s="323"/>
      <c r="K27" s="284">
        <f>COUNTA([8]Brewhouse!$A$5:$A$7)</f>
        <v>3</v>
      </c>
      <c r="L27" s="302">
        <f>AVERAGE([8]Brewhouse!$AY$5:$AY$7)</f>
        <v>98.128633252159673</v>
      </c>
      <c r="M27" s="302">
        <f>AVERAGE([8]Brewhouse!$AY$5:$AY$7)</f>
        <v>98.128633252159673</v>
      </c>
      <c r="N27" s="30">
        <v>98</v>
      </c>
      <c r="O27" s="11"/>
      <c r="P27" s="31" t="s">
        <v>41</v>
      </c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  <c r="AA27" s="474"/>
    </row>
    <row r="28" spans="1:27" ht="14.65" customHeight="1">
      <c r="A28" s="28"/>
      <c r="B28" s="596"/>
      <c r="C28" s="362"/>
      <c r="D28" s="531"/>
      <c r="E28" s="532"/>
      <c r="F28" s="294"/>
      <c r="G28" s="294"/>
      <c r="H28" s="348"/>
      <c r="I28" s="411" t="s">
        <v>158</v>
      </c>
      <c r="J28" s="326"/>
      <c r="K28" s="284"/>
      <c r="L28" s="305"/>
      <c r="M28" s="305"/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  <c r="AA28" s="474"/>
    </row>
    <row r="29" spans="1:27" ht="14.65" customHeight="1">
      <c r="A29" s="28"/>
      <c r="B29" s="596"/>
      <c r="C29" s="349"/>
      <c r="D29" s="536"/>
      <c r="E29" s="537"/>
      <c r="F29" s="294"/>
      <c r="G29" s="294"/>
      <c r="H29" s="348"/>
      <c r="I29" s="410" t="s">
        <v>157</v>
      </c>
      <c r="J29" s="326"/>
      <c r="K29" s="284"/>
      <c r="L29" s="305"/>
      <c r="M29" s="305"/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  <c r="AA29" s="474"/>
    </row>
    <row r="30" spans="1:27" ht="15" customHeight="1" thickBot="1">
      <c r="A30" s="28"/>
      <c r="B30" s="596"/>
      <c r="C30" s="349"/>
      <c r="D30" s="531"/>
      <c r="E30" s="532"/>
      <c r="F30" s="294"/>
      <c r="G30" s="294"/>
      <c r="H30" s="348"/>
      <c r="I30" s="406" t="s">
        <v>156</v>
      </c>
      <c r="J30" s="327"/>
      <c r="K30" s="407"/>
      <c r="L30" s="408"/>
      <c r="M30" s="408"/>
      <c r="N30" s="409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5" customHeight="1" thickBot="1">
      <c r="A31" s="28"/>
      <c r="B31" s="596"/>
      <c r="C31" s="349"/>
      <c r="D31" s="546"/>
      <c r="E31" s="547"/>
      <c r="F31" s="294"/>
      <c r="G31" s="294"/>
      <c r="H31" s="348"/>
      <c r="I31" s="1"/>
      <c r="J31" s="39"/>
      <c r="K31" s="404">
        <f>SUM(K21:K30)</f>
        <v>39</v>
      </c>
      <c r="L31" s="405" t="e">
        <f>((L21*K21)+(L22*K22)+(L23*K23)+(L24*K24)+(L25*K25)+(K28*L28)+(L26*K26)+(L27*K27)+(L30*K30))/(K31)</f>
        <v>#DIV/0!</v>
      </c>
      <c r="M31" s="405" t="e">
        <f>L31</f>
        <v>#DIV/0!</v>
      </c>
      <c r="N31" s="4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5.75" thickBot="1">
      <c r="B32" s="597"/>
      <c r="C32" s="350"/>
      <c r="D32" s="548"/>
      <c r="E32" s="532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2:56" ht="15.75" thickBot="1">
      <c r="B33" s="526"/>
      <c r="C33" s="362"/>
      <c r="D33" s="529"/>
      <c r="E33" s="530"/>
      <c r="F33" s="294"/>
      <c r="G33" s="42"/>
      <c r="H33" s="41"/>
      <c r="I33" s="42"/>
      <c r="J33" s="533" t="s">
        <v>129</v>
      </c>
      <c r="K33" s="533"/>
      <c r="L33" s="294"/>
      <c r="M33" s="294"/>
      <c r="N33" s="294"/>
      <c r="O33" s="294"/>
      <c r="P33" s="12"/>
    </row>
    <row r="34" spans="2:56" ht="15.75" thickBot="1">
      <c r="B34" s="527"/>
      <c r="C34" s="362"/>
      <c r="D34" s="531"/>
      <c r="E34" s="532"/>
      <c r="F34" s="294"/>
      <c r="G34" s="42"/>
      <c r="H34" s="42"/>
      <c r="I34" s="42"/>
      <c r="J34" s="292" t="s">
        <v>17</v>
      </c>
      <c r="K34" s="293" t="s">
        <v>147</v>
      </c>
      <c r="L34" s="534" t="s">
        <v>136</v>
      </c>
      <c r="M34" s="534"/>
      <c r="N34" s="535"/>
      <c r="O34" s="294"/>
      <c r="P34" s="12"/>
    </row>
    <row r="35" spans="2:56" ht="15" customHeight="1" thickBot="1">
      <c r="B35" s="527"/>
      <c r="C35" s="349"/>
      <c r="D35" s="536"/>
      <c r="E35" s="537"/>
      <c r="F35" s="294"/>
      <c r="G35" s="42"/>
      <c r="H35" s="42"/>
      <c r="I35" s="42"/>
      <c r="J35" s="287" t="s">
        <v>6</v>
      </c>
      <c r="K35" s="324">
        <v>1</v>
      </c>
      <c r="L35" s="475" t="s">
        <v>37</v>
      </c>
      <c r="M35" s="476" t="s">
        <v>38</v>
      </c>
      <c r="N35" s="476" t="s">
        <v>84</v>
      </c>
      <c r="O35" s="294"/>
      <c r="P35" s="12"/>
    </row>
    <row r="36" spans="2:56" ht="15.75" customHeight="1" thickBot="1">
      <c r="B36" s="527"/>
      <c r="C36" s="349"/>
      <c r="D36" s="531"/>
      <c r="E36" s="532"/>
      <c r="F36" s="294"/>
      <c r="G36" s="42"/>
      <c r="H36" s="42"/>
      <c r="I36" s="42"/>
      <c r="J36" s="345" t="s">
        <v>9</v>
      </c>
      <c r="K36" s="324"/>
      <c r="L36" s="344">
        <f>AVERAGE('Jan 2nd'!K45,'Jan 5th'!K45,'Jan 6th'!K49,'Jan 7th'!K49,'Jan 8th '!K44,Jan13th!J45,'Jan 9th-10th'!J58,'Jan 9th-10th'!K58,'Jan12th '!K50,Jan13th!K45)</f>
        <v>5.1111111111111107</v>
      </c>
      <c r="M36" s="325">
        <f>AVERAGE(L36)</f>
        <v>5.1111111111111107</v>
      </c>
      <c r="N36" s="416">
        <v>9.1999999999999993</v>
      </c>
      <c r="O36" s="294"/>
      <c r="P36" s="12"/>
    </row>
    <row r="37" spans="2:56" ht="15" customHeight="1">
      <c r="B37" s="527"/>
      <c r="C37" s="349"/>
      <c r="D37" s="536"/>
      <c r="E37" s="537"/>
      <c r="F37" s="294"/>
      <c r="G37" s="42"/>
      <c r="H37" s="42"/>
      <c r="I37" s="42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7"/>
      <c r="C38" s="349"/>
      <c r="D38" s="531"/>
      <c r="E38" s="532"/>
      <c r="F38" s="294"/>
      <c r="G38" s="42"/>
      <c r="H38" s="42"/>
      <c r="I38" s="42"/>
      <c r="J38" s="289" t="s">
        <v>33</v>
      </c>
      <c r="K38" s="324"/>
      <c r="L38" s="294"/>
      <c r="M38" s="294"/>
      <c r="N38" s="294"/>
      <c r="O38" s="294"/>
      <c r="P38" s="12"/>
    </row>
    <row r="39" spans="2:56" ht="15">
      <c r="B39" s="527"/>
      <c r="C39" s="349"/>
      <c r="D39" s="536"/>
      <c r="E39" s="537"/>
      <c r="F39" s="294"/>
      <c r="G39" s="42"/>
      <c r="H39" s="42"/>
      <c r="I39" s="42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5">
      <c r="B40" s="527"/>
      <c r="C40" s="349"/>
      <c r="D40" s="531"/>
      <c r="E40" s="532"/>
      <c r="F40" s="294"/>
      <c r="G40" s="42"/>
      <c r="H40" s="42"/>
      <c r="I40" s="42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5">
      <c r="B41" s="527"/>
      <c r="C41" s="349"/>
      <c r="D41" s="536"/>
      <c r="E41" s="537"/>
      <c r="F41" s="294"/>
      <c r="G41" s="42"/>
      <c r="H41" s="42"/>
      <c r="I41" s="42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.75" thickBot="1">
      <c r="B42" s="528"/>
      <c r="C42" s="350"/>
      <c r="D42" s="538"/>
      <c r="E42" s="539"/>
      <c r="F42" s="294" t="s">
        <v>166</v>
      </c>
      <c r="G42" s="42"/>
      <c r="H42" s="42"/>
      <c r="I42" s="42"/>
      <c r="J42" s="291" t="s">
        <v>148</v>
      </c>
      <c r="K42" s="324"/>
      <c r="L42" s="294"/>
      <c r="M42" s="294"/>
      <c r="N42" s="294" t="s">
        <v>41</v>
      </c>
      <c r="O42" s="294"/>
      <c r="P42" s="12"/>
      <c r="BC42" s="44"/>
      <c r="BD42" s="44"/>
    </row>
    <row r="43" spans="2:56" ht="17.649999999999999" customHeight="1" thickBot="1">
      <c r="B43" s="312" t="s">
        <v>139</v>
      </c>
      <c r="C43" s="313"/>
      <c r="D43" s="519"/>
      <c r="E43" s="520"/>
      <c r="F43" s="294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649999999999999" customHeight="1">
      <c r="B44" s="363"/>
      <c r="C44" s="364"/>
      <c r="D44" s="365"/>
      <c r="E44" s="365"/>
      <c r="F44" s="294"/>
      <c r="G44" s="42"/>
      <c r="H44" s="42"/>
      <c r="I44" s="42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6" customHeight="1">
      <c r="B45" s="45"/>
      <c r="C45" s="11"/>
      <c r="D45" s="11"/>
      <c r="E45" s="46"/>
      <c r="F45" s="294"/>
      <c r="G45" s="42"/>
      <c r="H45" s="42"/>
      <c r="I45" s="42"/>
      <c r="J45" s="346" t="s">
        <v>130</v>
      </c>
      <c r="K45" s="324">
        <f>SUM(K35:K44)</f>
        <v>1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1"/>
      <c r="J46" s="42"/>
      <c r="L46" s="294"/>
      <c r="N46" s="315"/>
      <c r="P46" s="334"/>
    </row>
    <row r="47" spans="2:56" ht="15" customHeight="1" thickBot="1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1"/>
      <c r="O47" s="48"/>
      <c r="P47" s="49"/>
    </row>
    <row r="48" spans="2:56" ht="15" customHeight="1" thickBot="1">
      <c r="B48" s="511" t="s">
        <v>17</v>
      </c>
      <c r="C48" s="511" t="s">
        <v>44</v>
      </c>
      <c r="D48" s="522" t="s">
        <v>45</v>
      </c>
      <c r="E48" s="524" t="s">
        <v>46</v>
      </c>
      <c r="F48" s="517" t="s">
        <v>47</v>
      </c>
      <c r="G48" s="509" t="s">
        <v>48</v>
      </c>
      <c r="H48" s="511" t="s">
        <v>49</v>
      </c>
      <c r="I48" s="511" t="s">
        <v>50</v>
      </c>
      <c r="J48" s="503" t="s">
        <v>28</v>
      </c>
      <c r="K48" s="513" t="s">
        <v>51</v>
      </c>
      <c r="L48" s="515" t="s">
        <v>52</v>
      </c>
      <c r="M48" s="503" t="s">
        <v>53</v>
      </c>
      <c r="N48" s="13"/>
      <c r="O48" s="13"/>
      <c r="P48" s="50"/>
    </row>
    <row r="49" spans="1:57" ht="28.5" customHeight="1" thickTop="1" thickBot="1">
      <c r="B49" s="521"/>
      <c r="C49" s="521"/>
      <c r="D49" s="523"/>
      <c r="E49" s="525"/>
      <c r="F49" s="518"/>
      <c r="G49" s="510"/>
      <c r="H49" s="512"/>
      <c r="I49" s="512"/>
      <c r="J49" s="504"/>
      <c r="K49" s="514"/>
      <c r="L49" s="516"/>
      <c r="M49" s="504"/>
      <c r="N49" s="13"/>
      <c r="O49" s="13"/>
      <c r="P49" s="50"/>
      <c r="Q49" s="355"/>
      <c r="AB49" s="477">
        <v>43474</v>
      </c>
      <c r="AC49" s="477">
        <v>43475</v>
      </c>
      <c r="AD49" s="477">
        <v>43476</v>
      </c>
      <c r="AE49" s="477">
        <v>43477</v>
      </c>
      <c r="AF49" s="477">
        <v>43478</v>
      </c>
      <c r="AG49" s="477">
        <v>43479</v>
      </c>
      <c r="AH49" s="477">
        <v>43480</v>
      </c>
      <c r="AI49" s="477">
        <v>43481</v>
      </c>
      <c r="AJ49" s="477">
        <v>43482</v>
      </c>
      <c r="AK49" s="477">
        <v>43483</v>
      </c>
      <c r="AL49" s="477">
        <v>43484</v>
      </c>
      <c r="AM49" s="477">
        <v>43485</v>
      </c>
      <c r="AN49" s="477">
        <v>43486</v>
      </c>
      <c r="AO49" s="477">
        <v>43487</v>
      </c>
      <c r="AP49" s="477">
        <v>43488</v>
      </c>
      <c r="AQ49" s="477">
        <v>43489</v>
      </c>
      <c r="AR49" s="477">
        <v>43490</v>
      </c>
      <c r="AS49" s="477">
        <v>43491</v>
      </c>
      <c r="AT49" s="477">
        <v>43492</v>
      </c>
      <c r="AU49" s="477">
        <v>43493</v>
      </c>
      <c r="AV49" s="477">
        <v>43494</v>
      </c>
      <c r="AW49" s="477">
        <v>43495</v>
      </c>
      <c r="AX49" s="477">
        <v>43496</v>
      </c>
    </row>
    <row r="50" spans="1:57" s="54" customFormat="1" ht="43.15" customHeight="1" thickBot="1">
      <c r="A50" s="54" t="s">
        <v>187</v>
      </c>
      <c r="B50" s="456" t="str">
        <f>J35</f>
        <v>CARIB</v>
      </c>
      <c r="C50" s="441">
        <v>46035</v>
      </c>
      <c r="D50" s="442">
        <f>[28]January_2026!$P$3</f>
        <v>354.7</v>
      </c>
      <c r="E50" s="443"/>
      <c r="F50" s="444"/>
      <c r="G50" s="444" t="e">
        <f>[28]January_2026!$P$7</f>
        <v>#REF!</v>
      </c>
      <c r="H50" s="458"/>
      <c r="I50" s="458"/>
      <c r="J50" s="448" t="s">
        <v>186</v>
      </c>
      <c r="K50" s="449" t="e">
        <f>[29]January_2026!$P$18</f>
        <v>#REF!</v>
      </c>
      <c r="L50" s="478" t="e">
        <f>(((D50+E50)-G50)/(D50+E50))*100</f>
        <v>#REF!</v>
      </c>
      <c r="M50" s="455" t="s">
        <v>183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>
        <f>[9]January_2019!L7</f>
        <v>285.8</v>
      </c>
      <c r="AC50" s="57">
        <f>[9]January_2019!M7</f>
        <v>508.1</v>
      </c>
      <c r="AD50" s="57">
        <f>[9]January_2019!N7</f>
        <v>0</v>
      </c>
      <c r="AE50" s="57">
        <f>[9]January_2019!O7</f>
        <v>0</v>
      </c>
      <c r="AF50" s="57">
        <f>[9]January_2019!P7</f>
        <v>109.56666666666666</v>
      </c>
      <c r="AG50" s="57">
        <f>[9]January_2019!Q7</f>
        <v>297.64999999999998</v>
      </c>
      <c r="AH50" s="57">
        <f>[9]January_2019!R7</f>
        <v>122.3</v>
      </c>
      <c r="AI50" s="57">
        <f>[9]January_2019!S7</f>
        <v>0</v>
      </c>
      <c r="AJ50" s="57">
        <f>[9]January_2019!T7</f>
        <v>294.7</v>
      </c>
      <c r="AK50" s="57">
        <f>[9]January_2019!U7</f>
        <v>280.5</v>
      </c>
      <c r="AL50" s="57">
        <f>[9]January_2019!V7</f>
        <v>0</v>
      </c>
      <c r="AM50" s="57">
        <f>[9]January_2019!W7</f>
        <v>0</v>
      </c>
      <c r="AN50" s="57">
        <f>[9]January_2019!X7</f>
        <v>188.25</v>
      </c>
      <c r="AO50" s="57">
        <f>[9]January_2019!Y7</f>
        <v>295.7</v>
      </c>
      <c r="AP50" s="57">
        <f>[9]January_2019!Z7</f>
        <v>257.8</v>
      </c>
      <c r="AQ50" s="57">
        <f>[9]January_2019!AA7</f>
        <v>291.2</v>
      </c>
      <c r="AR50" s="57">
        <f>[9]January_2019!AB7</f>
        <v>187</v>
      </c>
      <c r="AS50" s="57">
        <f>[9]January_2019!AC7</f>
        <v>0</v>
      </c>
      <c r="AT50" s="57">
        <f>[9]January_2019!AD7</f>
        <v>0</v>
      </c>
      <c r="AU50" s="57">
        <f>[9]January_2019!AE7</f>
        <v>485.1</v>
      </c>
      <c r="AV50" s="57">
        <f>[9]January_2019!AF7</f>
        <v>171.55</v>
      </c>
      <c r="AW50" s="57">
        <f>[9]January_2019!AG7</f>
        <v>423.8</v>
      </c>
      <c r="AX50" s="277">
        <f>[9]January_2019!AH7</f>
        <v>0</v>
      </c>
      <c r="AY50" s="277"/>
      <c r="AZ50" s="277"/>
      <c r="BA50" s="277"/>
      <c r="BB50" s="277"/>
      <c r="BC50" s="277"/>
      <c r="BD50" s="277"/>
      <c r="BE50" s="277"/>
    </row>
    <row r="51" spans="1:57" s="54" customFormat="1" ht="19.5" hidden="1" customHeight="1" thickBot="1">
      <c r="B51" s="468"/>
      <c r="C51" s="430"/>
      <c r="D51" s="431"/>
      <c r="E51" s="432"/>
      <c r="F51" s="433"/>
      <c r="G51" s="434"/>
      <c r="H51" s="428"/>
      <c r="I51" s="428"/>
      <c r="J51" s="451"/>
      <c r="K51" s="436"/>
      <c r="L51" s="452"/>
      <c r="M51" s="421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277"/>
      <c r="AY51" s="277"/>
      <c r="AZ51" s="277"/>
      <c r="BA51" s="277"/>
      <c r="BB51" s="277"/>
      <c r="BC51" s="277"/>
      <c r="BD51" s="277"/>
      <c r="BE51" s="277"/>
    </row>
    <row r="52" spans="1:57" s="54" customFormat="1" ht="38.450000000000003" hidden="1" customHeight="1" thickBot="1">
      <c r="B52" s="491"/>
      <c r="C52" s="441"/>
      <c r="D52" s="442"/>
      <c r="E52" s="443"/>
      <c r="F52" s="444"/>
      <c r="G52" s="445"/>
      <c r="H52" s="458"/>
      <c r="I52" s="458"/>
      <c r="J52" s="448"/>
      <c r="K52" s="460"/>
      <c r="L52" s="478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1:57" s="54" customFormat="1" ht="15" hidden="1">
      <c r="B53" s="453"/>
      <c r="C53" s="430"/>
      <c r="D53" s="431"/>
      <c r="E53" s="432"/>
      <c r="F53" s="433"/>
      <c r="G53" s="434"/>
      <c r="H53" s="435"/>
      <c r="I53" s="450"/>
      <c r="J53" s="451"/>
      <c r="K53" s="436"/>
      <c r="L53" s="452"/>
      <c r="M53" s="421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37.15" hidden="1" customHeight="1" thickBot="1">
      <c r="B54" s="490"/>
      <c r="C54" s="441"/>
      <c r="D54" s="442"/>
      <c r="E54" s="443"/>
      <c r="F54" s="444"/>
      <c r="G54" s="445"/>
      <c r="H54" s="446"/>
      <c r="I54" s="447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16.5" hidden="1" customHeight="1" thickBot="1">
      <c r="B55" s="437"/>
      <c r="C55" s="423"/>
      <c r="D55" s="424"/>
      <c r="E55" s="425"/>
      <c r="F55" s="426"/>
      <c r="G55" s="427"/>
      <c r="H55" s="428"/>
      <c r="I55" s="438"/>
      <c r="J55" s="439"/>
      <c r="K55" s="429"/>
      <c r="L55" s="440"/>
      <c r="M55" s="422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5"/>
      <c r="AC55" s="415"/>
      <c r="AD55" s="415"/>
      <c r="AE55" s="415"/>
      <c r="AF55" s="415"/>
      <c r="AG55" s="415"/>
      <c r="AH55" s="415"/>
      <c r="AI55" s="415"/>
      <c r="AJ55" s="415"/>
      <c r="AK55" s="415"/>
      <c r="AL55" s="415"/>
      <c r="AM55" s="415"/>
      <c r="AN55" s="415"/>
      <c r="AO55" s="415"/>
      <c r="AP55" s="415"/>
      <c r="AQ55" s="415"/>
      <c r="AR55" s="415"/>
      <c r="AS55" s="415"/>
      <c r="AT55" s="415"/>
      <c r="AU55" s="415"/>
      <c r="AV55" s="415"/>
      <c r="AW55" s="415"/>
    </row>
    <row r="56" spans="1:57" s="54" customFormat="1" ht="37.15" hidden="1" customHeight="1" thickBot="1">
      <c r="B56" s="456"/>
      <c r="C56" s="441"/>
      <c r="D56" s="442"/>
      <c r="E56" s="443"/>
      <c r="F56" s="444"/>
      <c r="G56" s="445"/>
      <c r="H56" s="446"/>
      <c r="I56" s="447"/>
      <c r="J56" s="448"/>
      <c r="K56" s="449"/>
      <c r="L56" s="457"/>
      <c r="M56" s="454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customHeight="1">
      <c r="B57" s="467"/>
      <c r="C57" s="430"/>
      <c r="D57" s="461"/>
      <c r="E57" s="462"/>
      <c r="F57" s="463"/>
      <c r="G57" s="461"/>
      <c r="H57" s="464"/>
      <c r="I57" s="464"/>
      <c r="J57" s="464"/>
      <c r="K57" s="465"/>
      <c r="L57" s="466"/>
      <c r="M57" s="50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 t="s">
        <v>41</v>
      </c>
      <c r="O58" s="56"/>
      <c r="P58" s="60"/>
    </row>
    <row r="59" spans="1:57" ht="15.75" thickBot="1">
      <c r="B59" s="505" t="s">
        <v>55</v>
      </c>
      <c r="C59" s="506"/>
      <c r="D59" s="506"/>
      <c r="E59" s="506"/>
      <c r="F59" s="507"/>
      <c r="G59" s="505" t="s">
        <v>56</v>
      </c>
      <c r="H59" s="506"/>
      <c r="I59" s="506"/>
      <c r="J59" s="507"/>
      <c r="K59" s="505" t="s">
        <v>51</v>
      </c>
      <c r="L59" s="506"/>
      <c r="M59" s="506"/>
      <c r="N59" s="508"/>
      <c r="O59" s="56"/>
      <c r="P59" s="50"/>
    </row>
    <row r="60" spans="1:57" ht="15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 t="s">
        <v>36</v>
      </c>
      <c r="L60" s="62" t="s">
        <v>37</v>
      </c>
      <c r="M60" s="62" t="s">
        <v>38</v>
      </c>
      <c r="N60" s="63" t="s">
        <v>39</v>
      </c>
      <c r="O60" s="56"/>
      <c r="P60" s="64"/>
    </row>
    <row r="61" spans="1:57" ht="15">
      <c r="B61" s="29" t="s">
        <v>6</v>
      </c>
      <c r="C61" s="282" t="e">
        <f>L50</f>
        <v>#REF!</v>
      </c>
      <c r="D61" s="76">
        <v>13.605323060759916</v>
      </c>
      <c r="E61" s="76">
        <v>13.605323060759916</v>
      </c>
      <c r="F61" s="66">
        <v>4.8</v>
      </c>
      <c r="G61" s="65" t="e">
        <f>[28]January_2026!$P$11</f>
        <v>#REF!</v>
      </c>
      <c r="H61" s="480">
        <v>7.5879851215091971</v>
      </c>
      <c r="I61" s="480">
        <v>11.514765584436908</v>
      </c>
      <c r="J61" s="66">
        <v>4.8</v>
      </c>
      <c r="K61" s="67" t="e">
        <f>K50</f>
        <v>#REF!</v>
      </c>
      <c r="L61" s="194">
        <v>0.19106140350877193</v>
      </c>
      <c r="M61" s="194">
        <v>0.19106140350877193</v>
      </c>
      <c r="N61" s="68">
        <v>1</v>
      </c>
      <c r="O61" s="56"/>
      <c r="P61" s="69"/>
    </row>
    <row r="62" spans="1:57" ht="15">
      <c r="B62" s="33" t="s">
        <v>9</v>
      </c>
      <c r="C62" s="65"/>
      <c r="D62" s="76">
        <v>5.6809535886380882</v>
      </c>
      <c r="E62" s="76">
        <v>5.6809535886380882</v>
      </c>
      <c r="F62" s="66">
        <v>4.8</v>
      </c>
      <c r="G62" s="65"/>
      <c r="H62" s="76">
        <v>6.584154865311465</v>
      </c>
      <c r="I62" s="76">
        <v>3.9413079852208361</v>
      </c>
      <c r="J62" s="66">
        <v>4.8</v>
      </c>
      <c r="K62" s="67"/>
      <c r="L62" s="194">
        <v>0.43497076023391806</v>
      </c>
      <c r="M62" s="194">
        <v>0.43497076023391806</v>
      </c>
      <c r="N62" s="68">
        <v>1</v>
      </c>
      <c r="P62" s="69"/>
    </row>
    <row r="63" spans="1:57" ht="15">
      <c r="B63" s="34" t="s">
        <v>40</v>
      </c>
      <c r="C63" s="65"/>
      <c r="D63" s="76"/>
      <c r="E63" s="76"/>
      <c r="F63" s="66">
        <v>5.5</v>
      </c>
      <c r="G63" s="65"/>
      <c r="H63" s="76" t="e">
        <v>#DIV/0!</v>
      </c>
      <c r="I63" s="76"/>
      <c r="J63" s="66">
        <v>5.5</v>
      </c>
      <c r="K63" s="67"/>
      <c r="L63" s="194"/>
      <c r="M63" s="194"/>
      <c r="N63" s="68">
        <v>1</v>
      </c>
      <c r="P63" s="69"/>
    </row>
    <row r="64" spans="1:57" ht="15">
      <c r="B64" s="22" t="s">
        <v>33</v>
      </c>
      <c r="C64" s="65"/>
      <c r="D64" s="76">
        <v>6.5508684863523392</v>
      </c>
      <c r="E64" s="76">
        <v>6.5508684863523392</v>
      </c>
      <c r="F64" s="66">
        <v>3.3</v>
      </c>
      <c r="G64" s="65"/>
      <c r="H64" s="76">
        <v>5.2086766183151161</v>
      </c>
      <c r="I64" s="76">
        <v>5.2086766183151161</v>
      </c>
      <c r="J64" s="66">
        <v>3.3</v>
      </c>
      <c r="K64" s="67"/>
      <c r="L64" s="194">
        <v>0.6607017543859649</v>
      </c>
      <c r="M64" s="194">
        <v>0.6607017543859649</v>
      </c>
      <c r="N64" s="68">
        <v>1</v>
      </c>
      <c r="P64" s="69"/>
    </row>
    <row r="65" spans="2:16" ht="15">
      <c r="B65" s="35" t="s">
        <v>164</v>
      </c>
      <c r="C65" s="65"/>
      <c r="D65" s="76"/>
      <c r="E65" s="76"/>
      <c r="F65" s="66">
        <v>3.3</v>
      </c>
      <c r="G65" s="282"/>
      <c r="H65" s="76" t="e">
        <v>#DIV/0!</v>
      </c>
      <c r="I65" s="76"/>
      <c r="J65" s="66">
        <v>3</v>
      </c>
      <c r="K65" s="67"/>
      <c r="L65" s="194"/>
      <c r="M65" s="194"/>
      <c r="N65" s="68">
        <v>1</v>
      </c>
      <c r="P65" s="69"/>
    </row>
    <row r="66" spans="2:16" ht="15">
      <c r="B66" s="36" t="s">
        <v>15</v>
      </c>
      <c r="C66" s="65"/>
      <c r="D66" s="76"/>
      <c r="E66" s="76"/>
      <c r="F66" s="70">
        <f>[10]May_2022!$M$43</f>
        <v>3.4878406700073312</v>
      </c>
      <c r="G66" s="282"/>
      <c r="H66" s="76" t="e">
        <v>#DIV/0!</v>
      </c>
      <c r="I66" s="76"/>
      <c r="J66" s="66">
        <v>5.5</v>
      </c>
      <c r="K66" s="67"/>
      <c r="L66" s="194"/>
      <c r="M66" s="194"/>
      <c r="N66" s="68">
        <v>1</v>
      </c>
      <c r="P66" s="69"/>
    </row>
    <row r="67" spans="2:16" ht="15">
      <c r="B67" s="37" t="s">
        <v>16</v>
      </c>
      <c r="C67" s="65"/>
      <c r="D67" s="76">
        <v>2.0590520590520631</v>
      </c>
      <c r="E67" s="76">
        <v>2.0590520590520631</v>
      </c>
      <c r="F67" s="66">
        <v>3.3</v>
      </c>
      <c r="G67" s="282"/>
      <c r="H67" s="76">
        <v>2.1755040108015784</v>
      </c>
      <c r="I67" s="76">
        <v>2.1755040108015784</v>
      </c>
      <c r="J67" s="66">
        <v>3.3</v>
      </c>
      <c r="K67" s="67"/>
      <c r="L67" s="194">
        <v>0.88456140350877199</v>
      </c>
      <c r="M67" s="194">
        <v>0.88456140350877199</v>
      </c>
      <c r="N67" s="71">
        <v>1</v>
      </c>
      <c r="P67" s="69"/>
    </row>
    <row r="68" spans="2:16" ht="15.75" thickBot="1">
      <c r="B68" s="38" t="s">
        <v>163</v>
      </c>
      <c r="C68" s="65"/>
      <c r="D68" s="76"/>
      <c r="E68" s="76"/>
      <c r="F68" s="66">
        <v>7.5</v>
      </c>
      <c r="G68" s="282"/>
      <c r="H68" s="76" t="e">
        <v>#DIV/0!</v>
      </c>
      <c r="I68" s="76"/>
      <c r="J68" s="66">
        <v>7.5</v>
      </c>
      <c r="K68" s="67"/>
      <c r="N68" s="71">
        <v>1</v>
      </c>
      <c r="P68" s="69"/>
    </row>
    <row r="69" spans="2:16" ht="15.75" thickBot="1">
      <c r="B69" s="414" t="s">
        <v>161</v>
      </c>
      <c r="C69" s="65"/>
      <c r="D69" s="76"/>
      <c r="E69" s="76"/>
      <c r="F69" s="66">
        <v>4.8</v>
      </c>
      <c r="G69" s="282"/>
      <c r="H69" s="76" t="e">
        <v>#DIV/0!</v>
      </c>
      <c r="I69" s="76"/>
      <c r="J69" s="66">
        <v>4.8</v>
      </c>
      <c r="K69" s="67"/>
      <c r="L69" s="194"/>
      <c r="M69" s="194"/>
      <c r="N69" s="71">
        <v>1</v>
      </c>
      <c r="O69" s="74"/>
      <c r="P69" s="75"/>
    </row>
    <row r="70" spans="2:16" ht="15">
      <c r="D70" s="76">
        <v>7.3675447463875763</v>
      </c>
      <c r="E70" s="76">
        <v>7.3675447463875763</v>
      </c>
      <c r="F70" s="341">
        <v>5.5</v>
      </c>
      <c r="H70" s="76">
        <v>5.5418272891585776</v>
      </c>
      <c r="I70" s="76">
        <v>5.57939990224531</v>
      </c>
      <c r="J70" s="341">
        <v>5.5</v>
      </c>
      <c r="L70" s="194">
        <v>0.54115302144249511</v>
      </c>
      <c r="M70" s="194">
        <v>0.54115302144249511</v>
      </c>
      <c r="N70" s="386">
        <v>1</v>
      </c>
    </row>
  </sheetData>
  <mergeCells count="51">
    <mergeCell ref="M48:M49"/>
    <mergeCell ref="B59:F59"/>
    <mergeCell ref="G59:J59"/>
    <mergeCell ref="K59:N59"/>
    <mergeCell ref="G48:G49"/>
    <mergeCell ref="H48:H49"/>
    <mergeCell ref="I48:I49"/>
    <mergeCell ref="J48:J49"/>
    <mergeCell ref="K48:K49"/>
    <mergeCell ref="L48:L49"/>
    <mergeCell ref="F48:F49"/>
    <mergeCell ref="D43:E43"/>
    <mergeCell ref="B48:B49"/>
    <mergeCell ref="C48:C49"/>
    <mergeCell ref="D48:D49"/>
    <mergeCell ref="E48:E49"/>
    <mergeCell ref="B33:B42"/>
    <mergeCell ref="D33:E34"/>
    <mergeCell ref="J33:K33"/>
    <mergeCell ref="L34:N34"/>
    <mergeCell ref="D35:E36"/>
    <mergeCell ref="D37:E38"/>
    <mergeCell ref="D39:E40"/>
    <mergeCell ref="D41:E42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3:B44">
    <cfRule type="cellIs" dxfId="2688" priority="41" operator="notBetween">
      <formula>#REF!</formula>
      <formula>#REF!</formula>
    </cfRule>
  </conditionalFormatting>
  <conditionalFormatting sqref="C47">
    <cfRule type="cellIs" dxfId="2687" priority="183" stopIfTrue="1" operator="greaterThan">
      <formula>100</formula>
    </cfRule>
    <cfRule type="cellIs" dxfId="2686" priority="182" stopIfTrue="1" operator="lessThan">
      <formula>96</formula>
    </cfRule>
  </conditionalFormatting>
  <conditionalFormatting sqref="C61:C65">
    <cfRule type="cellIs" dxfId="2685" priority="140" stopIfTrue="1" operator="lessThanOrEqual">
      <formula>0</formula>
    </cfRule>
  </conditionalFormatting>
  <conditionalFormatting sqref="C61:C69">
    <cfRule type="cellIs" dxfId="2684" priority="139" stopIfTrue="1" operator="greaterThan">
      <formula>$F61</formula>
    </cfRule>
  </conditionalFormatting>
  <conditionalFormatting sqref="C62">
    <cfRule type="cellIs" dxfId="2683" priority="186" stopIfTrue="1" operator="greaterThan">
      <formula>$F61</formula>
    </cfRule>
  </conditionalFormatting>
  <conditionalFormatting sqref="C66">
    <cfRule type="cellIs" dxfId="2682" priority="80" stopIfTrue="1" operator="greaterThan">
      <formula>$F65</formula>
    </cfRule>
    <cfRule type="cellIs" dxfId="2681" priority="79" stopIfTrue="1" operator="lessThanOrEqual">
      <formula>0</formula>
    </cfRule>
  </conditionalFormatting>
  <conditionalFormatting sqref="C72:C76">
    <cfRule type="cellIs" dxfId="2680" priority="174" stopIfTrue="1" operator="lessThanOrEqual">
      <formula>0</formula>
    </cfRule>
  </conditionalFormatting>
  <conditionalFormatting sqref="C73:C76">
    <cfRule type="cellIs" dxfId="2679" priority="173" stopIfTrue="1" operator="greaterThan">
      <formula>$F$72</formula>
    </cfRule>
  </conditionalFormatting>
  <conditionalFormatting sqref="C78">
    <cfRule type="cellIs" dxfId="2678" priority="176" stopIfTrue="1" operator="lessThanOrEqual">
      <formula>0</formula>
    </cfRule>
    <cfRule type="cellIs" dxfId="2677" priority="175" stopIfTrue="1" operator="greaterThan">
      <formula>$F$72</formula>
    </cfRule>
  </conditionalFormatting>
  <conditionalFormatting sqref="C72:D72 D74:D80">
    <cfRule type="cellIs" dxfId="2676" priority="168" stopIfTrue="1" operator="greaterThan">
      <formula>4.5</formula>
    </cfRule>
  </conditionalFormatting>
  <conditionalFormatting sqref="D43:D44">
    <cfRule type="cellIs" dxfId="2675" priority="42" operator="notBetween">
      <formula>#REF!</formula>
      <formula>#REF!</formula>
    </cfRule>
  </conditionalFormatting>
  <conditionalFormatting sqref="D61:D68">
    <cfRule type="cellIs" dxfId="2674" priority="148" stopIfTrue="1" operator="lessThanOrEqual">
      <formula>0</formula>
    </cfRule>
  </conditionalFormatting>
  <conditionalFormatting sqref="D72 D74:D80">
    <cfRule type="cellIs" dxfId="2673" priority="169" stopIfTrue="1" operator="lessThanOrEqual">
      <formula>0</formula>
    </cfRule>
  </conditionalFormatting>
  <conditionalFormatting sqref="D73">
    <cfRule type="cellIs" dxfId="2672" priority="161" stopIfTrue="1" operator="lessThanOrEqual">
      <formula>0</formula>
    </cfRule>
    <cfRule type="cellIs" dxfId="2671" priority="160" stopIfTrue="1" operator="greaterThan">
      <formula>$F$72</formula>
    </cfRule>
  </conditionalFormatting>
  <conditionalFormatting sqref="D61:E70">
    <cfRule type="cellIs" dxfId="2670" priority="137" stopIfTrue="1" operator="greaterThan">
      <formula>$F61</formula>
    </cfRule>
  </conditionalFormatting>
  <conditionalFormatting sqref="D69:E69">
    <cfRule type="cellIs" dxfId="2669" priority="147" stopIfTrue="1" operator="lessThanOrEqual">
      <formula>0</formula>
    </cfRule>
  </conditionalFormatting>
  <conditionalFormatting sqref="D70:E70">
    <cfRule type="cellIs" dxfId="2668" priority="138" stopIfTrue="1" operator="lessThanOrEqual">
      <formula>0</formula>
    </cfRule>
  </conditionalFormatting>
  <conditionalFormatting sqref="E10:E18">
    <cfRule type="cellIs" dxfId="2667" priority="4" operator="lessThan">
      <formula>48</formula>
    </cfRule>
  </conditionalFormatting>
  <conditionalFormatting sqref="E46 E47:F47">
    <cfRule type="cellIs" dxfId="2666" priority="165" stopIfTrue="1" operator="greaterThan">
      <formula>100</formula>
    </cfRule>
  </conditionalFormatting>
  <conditionalFormatting sqref="E47">
    <cfRule type="cellIs" dxfId="2665" priority="163" stopIfTrue="1" operator="greaterThan">
      <formula>100</formula>
    </cfRule>
    <cfRule type="cellIs" dxfId="2664" priority="162" stopIfTrue="1" operator="lessThan">
      <formula>96.8</formula>
    </cfRule>
  </conditionalFormatting>
  <conditionalFormatting sqref="E61:E68">
    <cfRule type="cellIs" dxfId="2663" priority="1" stopIfTrue="1" operator="lessThanOrEqual">
      <formula>0</formula>
    </cfRule>
  </conditionalFormatting>
  <conditionalFormatting sqref="E61:E69">
    <cfRule type="cellIs" dxfId="2662" priority="144" stopIfTrue="1" operator="lessThanOrEqual">
      <formula>0</formula>
    </cfRule>
  </conditionalFormatting>
  <conditionalFormatting sqref="E72:E80">
    <cfRule type="cellIs" dxfId="2661" priority="154" stopIfTrue="1" operator="greaterThan">
      <formula>4.5</formula>
    </cfRule>
    <cfRule type="cellIs" dxfId="2660" priority="155" stopIfTrue="1" operator="lessThanOrEqual">
      <formula>0</formula>
    </cfRule>
  </conditionalFormatting>
  <conditionalFormatting sqref="E47:F47 E46">
    <cfRule type="cellIs" dxfId="2659" priority="164" stopIfTrue="1" operator="lessThan">
      <formula>96.5</formula>
    </cfRule>
  </conditionalFormatting>
  <conditionalFormatting sqref="F10:F18">
    <cfRule type="cellIs" dxfId="2658" priority="20" operator="greaterThan">
      <formula>60</formula>
    </cfRule>
  </conditionalFormatting>
  <conditionalFormatting sqref="F47">
    <cfRule type="cellIs" dxfId="2657" priority="180" stopIfTrue="1" operator="lessThan">
      <formula>96.8</formula>
    </cfRule>
    <cfRule type="cellIs" dxfId="2656" priority="181" stopIfTrue="1" operator="greaterThan">
      <formula>100</formula>
    </cfRule>
  </conditionalFormatting>
  <conditionalFormatting sqref="F70">
    <cfRule type="cellIs" dxfId="2655" priority="146" stopIfTrue="1" operator="lessThanOrEqual">
      <formula>0</formula>
    </cfRule>
    <cfRule type="cellIs" dxfId="2654" priority="145" stopIfTrue="1" operator="greaterThan">
      <formula>$F70</formula>
    </cfRule>
  </conditionalFormatting>
  <conditionalFormatting sqref="G10:G16">
    <cfRule type="expression" dxfId="2653" priority="14">
      <formula>IF(+(IF(G10&lt;S10,0,IF(G10&gt;T10,0,1)))=0,1)</formula>
    </cfRule>
  </conditionalFormatting>
  <conditionalFormatting sqref="G61:G62 C67:C69">
    <cfRule type="cellIs" dxfId="2652" priority="150" stopIfTrue="1" operator="lessThanOrEqual">
      <formula>0</formula>
    </cfRule>
  </conditionalFormatting>
  <conditionalFormatting sqref="G61:G62">
    <cfRule type="cellIs" dxfId="2651" priority="149" stopIfTrue="1" operator="greaterThan">
      <formula>$F61</formula>
    </cfRule>
    <cfRule type="cellIs" dxfId="2650" priority="141" stopIfTrue="1" operator="greaterThan">
      <formula>$F61</formula>
    </cfRule>
    <cfRule type="cellIs" dxfId="2649" priority="142" stopIfTrue="1" operator="lessThanOrEqual">
      <formula>0</formula>
    </cfRule>
  </conditionalFormatting>
  <conditionalFormatting sqref="G63">
    <cfRule type="cellIs" dxfId="2648" priority="185" stopIfTrue="1" operator="lessThanOrEqual">
      <formula>0</formula>
    </cfRule>
    <cfRule type="cellIs" dxfId="2647" priority="184" stopIfTrue="1" operator="greaterThan">
      <formula>$F62</formula>
    </cfRule>
  </conditionalFormatting>
  <conditionalFormatting sqref="G64">
    <cfRule type="cellIs" dxfId="2646" priority="37" stopIfTrue="1" operator="greaterThan">
      <formula>$F64</formula>
    </cfRule>
    <cfRule type="cellIs" dxfId="2645" priority="38" stopIfTrue="1" operator="lessThanOrEqual">
      <formula>0</formula>
    </cfRule>
    <cfRule type="cellIs" dxfId="2644" priority="39" stopIfTrue="1" operator="greaterThan">
      <formula>$F64</formula>
    </cfRule>
    <cfRule type="cellIs" dxfId="2643" priority="40" stopIfTrue="1" operator="lessThanOrEqual">
      <formula>0</formula>
    </cfRule>
  </conditionalFormatting>
  <conditionalFormatting sqref="G65:G69">
    <cfRule type="cellIs" dxfId="2642" priority="151" stopIfTrue="1" operator="greaterThan">
      <formula>$J65</formula>
    </cfRule>
    <cfRule type="cellIs" dxfId="2641" priority="152" stopIfTrue="1" operator="lessThanOrEqual">
      <formula>0</formula>
    </cfRule>
  </conditionalFormatting>
  <conditionalFormatting sqref="G74:G79 C77 C79">
    <cfRule type="cellIs" dxfId="2640" priority="178" stopIfTrue="1" operator="lessThanOrEqual">
      <formula>0</formula>
    </cfRule>
    <cfRule type="cellIs" dxfId="2639" priority="177" stopIfTrue="1" operator="greaterThan">
      <formula>4.5</formula>
    </cfRule>
  </conditionalFormatting>
  <conditionalFormatting sqref="G73:H73">
    <cfRule type="cellIs" dxfId="2638" priority="158" stopIfTrue="1" operator="greaterThan">
      <formula>$F$72</formula>
    </cfRule>
    <cfRule type="cellIs" dxfId="2637" priority="159" stopIfTrue="1" operator="lessThanOrEqual">
      <formula>0</formula>
    </cfRule>
  </conditionalFormatting>
  <conditionalFormatting sqref="H10:H16">
    <cfRule type="expression" dxfId="2636" priority="13">
      <formula>IF(+(IF(H10&lt;#REF!,0,IF(H10&gt;#REF!,0,1)))=0,1)</formula>
    </cfRule>
  </conditionalFormatting>
  <conditionalFormatting sqref="H32:H33 H46:I46">
    <cfRule type="cellIs" dxfId="2635" priority="156" stopIfTrue="1" operator="greaterThan">
      <formula>0</formula>
    </cfRule>
  </conditionalFormatting>
  <conditionalFormatting sqref="H50">
    <cfRule type="cellIs" dxfId="2634" priority="25" stopIfTrue="1" operator="greaterThan">
      <formula>$F$65</formula>
    </cfRule>
    <cfRule type="cellIs" dxfId="2633" priority="36" stopIfTrue="1" operator="lessThanOrEqual">
      <formula>0</formula>
    </cfRule>
    <cfRule type="cellIs" dxfId="2632" priority="24" stopIfTrue="1" operator="lessThanOrEqual">
      <formula>0</formula>
    </cfRule>
    <cfRule type="cellIs" dxfId="2631" priority="33" stopIfTrue="1" operator="greaterThan">
      <formula>$F$68</formula>
    </cfRule>
    <cfRule type="cellIs" dxfId="2630" priority="34" stopIfTrue="1" operator="lessThanOrEqual">
      <formula>0</formula>
    </cfRule>
    <cfRule type="cellIs" dxfId="2629" priority="35" stopIfTrue="1" operator="greaterThan">
      <formula>$F$66</formula>
    </cfRule>
  </conditionalFormatting>
  <conditionalFormatting sqref="H51">
    <cfRule type="cellIs" dxfId="2628" priority="106" stopIfTrue="1" operator="lessThanOrEqual">
      <formula>0</formula>
    </cfRule>
    <cfRule type="cellIs" dxfId="2627" priority="107" stopIfTrue="1" operator="greaterThan">
      <formula>#REF!</formula>
    </cfRule>
    <cfRule type="cellIs" dxfId="2626" priority="108" stopIfTrue="1" operator="lessThanOrEqual">
      <formula>0</formula>
    </cfRule>
    <cfRule type="cellIs" dxfId="2625" priority="96" stopIfTrue="1" operator="lessThanOrEqual">
      <formula>0</formula>
    </cfRule>
    <cfRule type="cellIs" dxfId="2624" priority="97" stopIfTrue="1" operator="greaterThan">
      <formula>#REF!</formula>
    </cfRule>
    <cfRule type="cellIs" dxfId="2623" priority="105" stopIfTrue="1" operator="greaterThan">
      <formula>$F$19</formula>
    </cfRule>
  </conditionalFormatting>
  <conditionalFormatting sqref="H52">
    <cfRule type="cellIs" dxfId="2622" priority="66" stopIfTrue="1" operator="lessThanOrEqual">
      <formula>0</formula>
    </cfRule>
    <cfRule type="cellIs" dxfId="2621" priority="67" stopIfTrue="1" operator="greaterThan">
      <formula>$F$62</formula>
    </cfRule>
    <cfRule type="cellIs" dxfId="2620" priority="75" stopIfTrue="1" operator="greaterThan">
      <formula>$F$65</formula>
    </cfRule>
    <cfRule type="cellIs" dxfId="2619" priority="76" stopIfTrue="1" operator="lessThanOrEqual">
      <formula>0</formula>
    </cfRule>
    <cfRule type="cellIs" dxfId="2618" priority="77" stopIfTrue="1" operator="greaterThan">
      <formula>$F$63</formula>
    </cfRule>
    <cfRule type="cellIs" dxfId="2617" priority="78" stopIfTrue="1" operator="lessThanOrEqual">
      <formula>0</formula>
    </cfRule>
  </conditionalFormatting>
  <conditionalFormatting sqref="H53:H54">
    <cfRule type="cellIs" dxfId="2616" priority="92" stopIfTrue="1" operator="lessThanOrEqual">
      <formula>0</formula>
    </cfRule>
    <cfRule type="cellIs" dxfId="2615" priority="93" stopIfTrue="1" operator="greaterThan">
      <formula>#REF!</formula>
    </cfRule>
    <cfRule type="cellIs" dxfId="2614" priority="94" stopIfTrue="1" operator="lessThanOrEqual">
      <formula>0</formula>
    </cfRule>
    <cfRule type="cellIs" dxfId="2613" priority="91" stopIfTrue="1" operator="greaterThan">
      <formula>$F$18</formula>
    </cfRule>
    <cfRule type="cellIs" dxfId="2612" priority="82" stopIfTrue="1" operator="lessThanOrEqual">
      <formula>0</formula>
    </cfRule>
    <cfRule type="cellIs" dxfId="2611" priority="83" stopIfTrue="1" operator="greaterThan">
      <formula>#REF!</formula>
    </cfRule>
  </conditionalFormatting>
  <conditionalFormatting sqref="H55">
    <cfRule type="cellIs" dxfId="2610" priority="120" stopIfTrue="1" operator="greaterThan">
      <formula>$F$34</formula>
    </cfRule>
    <cfRule type="cellIs" dxfId="2609" priority="121" stopIfTrue="1" operator="lessThanOrEqual">
      <formula>0</formula>
    </cfRule>
    <cfRule type="cellIs" dxfId="2608" priority="122" stopIfTrue="1" operator="greaterThan">
      <formula>$F$32</formula>
    </cfRule>
    <cfRule type="cellIs" dxfId="2607" priority="123" stopIfTrue="1" operator="lessThanOrEqual">
      <formula>0</formula>
    </cfRule>
    <cfRule type="cellIs" dxfId="2606" priority="112" stopIfTrue="1" operator="greaterThan">
      <formula>$F$31</formula>
    </cfRule>
    <cfRule type="cellIs" dxfId="2605" priority="111" stopIfTrue="1" operator="lessThanOrEqual">
      <formula>0</formula>
    </cfRule>
  </conditionalFormatting>
  <conditionalFormatting sqref="H56:H57">
    <cfRule type="cellIs" dxfId="2604" priority="64" stopIfTrue="1" operator="lessThanOrEqual">
      <formula>0</formula>
    </cfRule>
    <cfRule type="cellIs" dxfId="2603" priority="63" stopIfTrue="1" operator="greaterThan">
      <formula>#REF!</formula>
    </cfRule>
    <cfRule type="cellIs" dxfId="2602" priority="62" stopIfTrue="1" operator="lessThanOrEqual">
      <formula>0</formula>
    </cfRule>
    <cfRule type="cellIs" dxfId="2601" priority="61" stopIfTrue="1" operator="greaterThan">
      <formula>$F$18</formula>
    </cfRule>
    <cfRule type="cellIs" dxfId="2600" priority="53" stopIfTrue="1" operator="greaterThan">
      <formula>#REF!</formula>
    </cfRule>
    <cfRule type="cellIs" dxfId="2599" priority="52" stopIfTrue="1" operator="lessThanOrEqual">
      <formula>0</formula>
    </cfRule>
  </conditionalFormatting>
  <conditionalFormatting sqref="H72 H74:H80">
    <cfRule type="cellIs" dxfId="2598" priority="171" stopIfTrue="1" operator="lessThanOrEqual">
      <formula>0</formula>
    </cfRule>
    <cfRule type="cellIs" dxfId="2597" priority="170" stopIfTrue="1" operator="greaterThan">
      <formula>4.5</formula>
    </cfRule>
  </conditionalFormatting>
  <conditionalFormatting sqref="H50:I50">
    <cfRule type="cellIs" dxfId="2596" priority="23" stopIfTrue="1" operator="greaterThan">
      <formula>$F$67</formula>
    </cfRule>
    <cfRule type="cellIs" dxfId="2595" priority="26" stopIfTrue="1" operator="lessThanOrEqual">
      <formula>0</formula>
    </cfRule>
  </conditionalFormatting>
  <conditionalFormatting sqref="H51:I51">
    <cfRule type="cellIs" dxfId="2594" priority="95" stopIfTrue="1" operator="greaterThan">
      <formula>$F$18</formula>
    </cfRule>
    <cfRule type="cellIs" dxfId="2593" priority="98" stopIfTrue="1" operator="lessThanOrEqual">
      <formula>0</formula>
    </cfRule>
  </conditionalFormatting>
  <conditionalFormatting sqref="H52:I52">
    <cfRule type="cellIs" dxfId="2592" priority="65" stopIfTrue="1" operator="greaterThan">
      <formula>$F$64</formula>
    </cfRule>
    <cfRule type="cellIs" dxfId="2591" priority="68" stopIfTrue="1" operator="lessThanOrEqual">
      <formula>0</formula>
    </cfRule>
  </conditionalFormatting>
  <conditionalFormatting sqref="H53:I54">
    <cfRule type="cellIs" dxfId="2590" priority="81" stopIfTrue="1" operator="greaterThan">
      <formula>#REF!</formula>
    </cfRule>
    <cfRule type="cellIs" dxfId="2589" priority="84" stopIfTrue="1" operator="lessThanOrEqual">
      <formula>0</formula>
    </cfRule>
  </conditionalFormatting>
  <conditionalFormatting sqref="H55:I55">
    <cfRule type="cellIs" dxfId="2588" priority="113" stopIfTrue="1" operator="lessThanOrEqual">
      <formula>0</formula>
    </cfRule>
    <cfRule type="cellIs" dxfId="2587" priority="110" stopIfTrue="1" operator="greaterThan">
      <formula>$F$33</formula>
    </cfRule>
  </conditionalFormatting>
  <conditionalFormatting sqref="H56:I57">
    <cfRule type="cellIs" dxfId="2586" priority="54" stopIfTrue="1" operator="lessThanOrEqual">
      <formula>0</formula>
    </cfRule>
    <cfRule type="cellIs" dxfId="2585" priority="51" stopIfTrue="1" operator="greaterThan">
      <formula>#REF!</formula>
    </cfRule>
  </conditionalFormatting>
  <conditionalFormatting sqref="H61:I68">
    <cfRule type="cellIs" dxfId="2584" priority="2" stopIfTrue="1" operator="greaterThan">
      <formula>$J61</formula>
    </cfRule>
    <cfRule type="cellIs" dxfId="2583" priority="3" stopIfTrue="1" operator="lessThanOrEqual">
      <formula>0</formula>
    </cfRule>
  </conditionalFormatting>
  <conditionalFormatting sqref="H69:I69">
    <cfRule type="cellIs" dxfId="2582" priority="143" operator="greaterThan">
      <formula>5.3</formula>
    </cfRule>
  </conditionalFormatting>
  <conditionalFormatting sqref="H70:I70">
    <cfRule type="cellIs" dxfId="2581" priority="136" stopIfTrue="1" operator="lessThanOrEqual">
      <formula>0</formula>
    </cfRule>
    <cfRule type="cellIs" dxfId="2580" priority="135" stopIfTrue="1" operator="greaterThan">
      <formula>$J70</formula>
    </cfRule>
  </conditionalFormatting>
  <conditionalFormatting sqref="I50">
    <cfRule type="cellIs" dxfId="2579" priority="30" stopIfTrue="1" operator="lessThanOrEqual">
      <formula>0</formula>
    </cfRule>
    <cfRule type="cellIs" dxfId="2578" priority="31" stopIfTrue="1" operator="greaterThan">
      <formula>$F$65</formula>
    </cfRule>
    <cfRule type="cellIs" dxfId="2577" priority="27" stopIfTrue="1" operator="greaterThan">
      <formula>$F$65</formula>
    </cfRule>
    <cfRule type="cellIs" dxfId="2576" priority="32" stopIfTrue="1" operator="lessThanOrEqual">
      <formula>0</formula>
    </cfRule>
    <cfRule type="cellIs" dxfId="2575" priority="28" stopIfTrue="1" operator="lessThanOrEqual">
      <formula>0</formula>
    </cfRule>
    <cfRule type="cellIs" dxfId="2574" priority="29" stopIfTrue="1" operator="greaterThan">
      <formula>$F$67</formula>
    </cfRule>
  </conditionalFormatting>
  <conditionalFormatting sqref="I51">
    <cfRule type="cellIs" dxfId="2573" priority="102" stopIfTrue="1" operator="lessThanOrEqual">
      <formula>0</formula>
    </cfRule>
    <cfRule type="cellIs" dxfId="2572" priority="100" stopIfTrue="1" operator="lessThanOrEqual">
      <formula>0</formula>
    </cfRule>
    <cfRule type="cellIs" dxfId="2571" priority="103" stopIfTrue="1" operator="greaterThan">
      <formula>#REF!</formula>
    </cfRule>
    <cfRule type="cellIs" dxfId="2570" priority="104" stopIfTrue="1" operator="lessThanOrEqual">
      <formula>0</formula>
    </cfRule>
    <cfRule type="cellIs" dxfId="2569" priority="99" stopIfTrue="1" operator="greaterThan">
      <formula>#REF!</formula>
    </cfRule>
    <cfRule type="cellIs" dxfId="2568" priority="101" stopIfTrue="1" operator="greaterThan">
      <formula>$F$18</formula>
    </cfRule>
  </conditionalFormatting>
  <conditionalFormatting sqref="I52">
    <cfRule type="cellIs" dxfId="2567" priority="71" stopIfTrue="1" operator="greaterThan">
      <formula>$F$64</formula>
    </cfRule>
    <cfRule type="cellIs" dxfId="2566" priority="74" stopIfTrue="1" operator="lessThanOrEqual">
      <formula>0</formula>
    </cfRule>
    <cfRule type="cellIs" dxfId="2565" priority="73" stopIfTrue="1" operator="greaterThan">
      <formula>$F$62</formula>
    </cfRule>
    <cfRule type="cellIs" dxfId="2564" priority="72" stopIfTrue="1" operator="lessThanOrEqual">
      <formula>0</formula>
    </cfRule>
    <cfRule type="cellIs" dxfId="2563" priority="70" stopIfTrue="1" operator="lessThanOrEqual">
      <formula>0</formula>
    </cfRule>
    <cfRule type="cellIs" dxfId="2562" priority="69" stopIfTrue="1" operator="greaterThan">
      <formula>$F$62</formula>
    </cfRule>
  </conditionalFormatting>
  <conditionalFormatting sqref="I53:I54">
    <cfRule type="cellIs" dxfId="2561" priority="87" stopIfTrue="1" operator="greaterThan">
      <formula>#REF!</formula>
    </cfRule>
    <cfRule type="cellIs" dxfId="2560" priority="89" stopIfTrue="1" operator="greaterThan">
      <formula>#REF!</formula>
    </cfRule>
    <cfRule type="cellIs" dxfId="2559" priority="90" stopIfTrue="1" operator="lessThanOrEqual">
      <formula>0</formula>
    </cfRule>
    <cfRule type="cellIs" dxfId="2558" priority="85" stopIfTrue="1" operator="greaterThan">
      <formula>#REF!</formula>
    </cfRule>
    <cfRule type="cellIs" dxfId="2557" priority="88" stopIfTrue="1" operator="lessThanOrEqual">
      <formula>0</formula>
    </cfRule>
    <cfRule type="cellIs" dxfId="2556" priority="86" stopIfTrue="1" operator="lessThanOrEqual">
      <formula>0</formula>
    </cfRule>
  </conditionalFormatting>
  <conditionalFormatting sqref="I55">
    <cfRule type="cellIs" dxfId="2555" priority="119" stopIfTrue="1" operator="lessThanOrEqual">
      <formula>0</formula>
    </cfRule>
    <cfRule type="cellIs" dxfId="2554" priority="115" stopIfTrue="1" operator="lessThanOrEqual">
      <formula>0</formula>
    </cfRule>
    <cfRule type="cellIs" dxfId="2553" priority="116" stopIfTrue="1" operator="greaterThan">
      <formula>$F$33</formula>
    </cfRule>
    <cfRule type="cellIs" dxfId="2552" priority="118" stopIfTrue="1" operator="greaterThan">
      <formula>$F$31</formula>
    </cfRule>
    <cfRule type="cellIs" dxfId="2551" priority="114" stopIfTrue="1" operator="greaterThan">
      <formula>$F$31</formula>
    </cfRule>
    <cfRule type="cellIs" dxfId="2550" priority="117" stopIfTrue="1" operator="lessThanOrEqual">
      <formula>0</formula>
    </cfRule>
  </conditionalFormatting>
  <conditionalFormatting sqref="I56:I57">
    <cfRule type="cellIs" dxfId="2549" priority="59" stopIfTrue="1" operator="greaterThan">
      <formula>#REF!</formula>
    </cfRule>
    <cfRule type="cellIs" dxfId="2548" priority="58" stopIfTrue="1" operator="lessThanOrEqual">
      <formula>0</formula>
    </cfRule>
    <cfRule type="cellIs" dxfId="2547" priority="57" stopIfTrue="1" operator="greaterThan">
      <formula>#REF!</formula>
    </cfRule>
    <cfRule type="cellIs" dxfId="2546" priority="56" stopIfTrue="1" operator="lessThanOrEqual">
      <formula>0</formula>
    </cfRule>
    <cfRule type="cellIs" dxfId="2545" priority="55" stopIfTrue="1" operator="greaterThan">
      <formula>#REF!</formula>
    </cfRule>
    <cfRule type="cellIs" dxfId="2544" priority="60" stopIfTrue="1" operator="lessThanOrEqual">
      <formula>0</formula>
    </cfRule>
  </conditionalFormatting>
  <conditionalFormatting sqref="I72:I80">
    <cfRule type="cellIs" dxfId="2543" priority="167" stopIfTrue="1" operator="lessThanOrEqual">
      <formula>0</formula>
    </cfRule>
    <cfRule type="cellIs" dxfId="2542" priority="166" stopIfTrue="1" operator="greaterThan">
      <formula>4.5</formula>
    </cfRule>
  </conditionalFormatting>
  <conditionalFormatting sqref="I10:J18">
    <cfRule type="cellIs" dxfId="2541" priority="6" operator="lessThan">
      <formula>97.9</formula>
    </cfRule>
  </conditionalFormatting>
  <conditionalFormatting sqref="J22:J23">
    <cfRule type="cellIs" dxfId="2540" priority="127" operator="lessThan">
      <formula>98</formula>
    </cfRule>
    <cfRule type="cellIs" dxfId="2539" priority="125" stopIfTrue="1" operator="lessThan">
      <formula>96.8</formula>
    </cfRule>
    <cfRule type="cellIs" dxfId="2538" priority="126" stopIfTrue="1" operator="greaterThan">
      <formula>100</formula>
    </cfRule>
  </conditionalFormatting>
  <conditionalFormatting sqref="J22:J25">
    <cfRule type="cellIs" dxfId="2537" priority="124" operator="lessThan">
      <formula>97.4</formula>
    </cfRule>
  </conditionalFormatting>
  <conditionalFormatting sqref="J26:J27">
    <cfRule type="cellIs" dxfId="2536" priority="128" operator="lessThan">
      <formula>98</formula>
    </cfRule>
  </conditionalFormatting>
  <conditionalFormatting sqref="J28:J29">
    <cfRule type="cellIs" dxfId="2535" priority="130" stopIfTrue="1" operator="greaterThan">
      <formula>100</formula>
    </cfRule>
    <cfRule type="cellIs" dxfId="2534" priority="129" stopIfTrue="1" operator="lessThan">
      <formula>96.8</formula>
    </cfRule>
  </conditionalFormatting>
  <conditionalFormatting sqref="J28:J30">
    <cfRule type="cellIs" dxfId="2533" priority="131" operator="lessThan">
      <formula>98</formula>
    </cfRule>
  </conditionalFormatting>
  <conditionalFormatting sqref="J57">
    <cfRule type="cellIs" dxfId="2532" priority="43" stopIfTrue="1" operator="greaterThan">
      <formula>#REF!</formula>
    </cfRule>
    <cfRule type="cellIs" dxfId="2531" priority="44" stopIfTrue="1" operator="lessThanOrEqual">
      <formula>0</formula>
    </cfRule>
    <cfRule type="cellIs" dxfId="2530" priority="45" stopIfTrue="1" operator="greaterThan">
      <formula>#REF!</formula>
    </cfRule>
    <cfRule type="cellIs" dxfId="2529" priority="46" stopIfTrue="1" operator="lessThanOrEqual">
      <formula>0</formula>
    </cfRule>
    <cfRule type="cellIs" dxfId="2528" priority="47" stopIfTrue="1" operator="greaterThan">
      <formula>#REF!</formula>
    </cfRule>
    <cfRule type="cellIs" dxfId="2527" priority="49" stopIfTrue="1" operator="greaterThan">
      <formula>#REF!</formula>
    </cfRule>
    <cfRule type="cellIs" dxfId="2526" priority="50" stopIfTrue="1" operator="lessThanOrEqual">
      <formula>0</formula>
    </cfRule>
    <cfRule type="cellIs" dxfId="2525" priority="48" stopIfTrue="1" operator="lessThanOrEqual">
      <formula>0</formula>
    </cfRule>
  </conditionalFormatting>
  <conditionalFormatting sqref="J70">
    <cfRule type="cellIs" dxfId="2524" priority="132" stopIfTrue="1" operator="greaterThan">
      <formula>$F70</formula>
    </cfRule>
    <cfRule type="cellIs" dxfId="2523" priority="133" stopIfTrue="1" operator="lessThanOrEqual">
      <formula>0</formula>
    </cfRule>
  </conditionalFormatting>
  <conditionalFormatting sqref="K10:K18">
    <cfRule type="cellIs" dxfId="2522" priority="9" operator="greaterThan">
      <formula>6.4</formula>
    </cfRule>
    <cfRule type="cellIs" dxfId="2521" priority="8" operator="lessThan">
      <formula>4</formula>
    </cfRule>
    <cfRule type="cellIs" dxfId="2520" priority="7" operator="greaterThan">
      <formula>6</formula>
    </cfRule>
  </conditionalFormatting>
  <conditionalFormatting sqref="K50:K57 K61:M67 N61:N69 K68 K69:M69">
    <cfRule type="cellIs" dxfId="2519" priority="109" stopIfTrue="1" operator="lessThan">
      <formula>100%</formula>
    </cfRule>
  </conditionalFormatting>
  <conditionalFormatting sqref="K72:K77">
    <cfRule type="cellIs" dxfId="2518" priority="172" stopIfTrue="1" operator="lessThan">
      <formula>100%</formula>
    </cfRule>
  </conditionalFormatting>
  <conditionalFormatting sqref="K79:K80">
    <cfRule type="cellIs" dxfId="2517" priority="179" stopIfTrue="1" operator="lessThan">
      <formula>100%</formula>
    </cfRule>
  </conditionalFormatting>
  <conditionalFormatting sqref="L10:L16">
    <cfRule type="cellIs" dxfId="2516" priority="12" operator="greaterThan">
      <formula>65</formula>
    </cfRule>
    <cfRule type="cellIs" dxfId="2515" priority="11" operator="between">
      <formula>61</formula>
      <formula>65</formula>
    </cfRule>
  </conditionalFormatting>
  <conditionalFormatting sqref="L18">
    <cfRule type="cellIs" dxfId="2514" priority="19" operator="greaterThan">
      <formula>65</formula>
    </cfRule>
    <cfRule type="cellIs" dxfId="2513" priority="18" operator="between">
      <formula>61</formula>
      <formula>65</formula>
    </cfRule>
  </conditionalFormatting>
  <conditionalFormatting sqref="L17:M17">
    <cfRule type="cellIs" dxfId="2512" priority="16" operator="between">
      <formula>61</formula>
      <formula>65</formula>
    </cfRule>
    <cfRule type="cellIs" dxfId="2511" priority="15" operator="greaterThan">
      <formula>65</formula>
    </cfRule>
  </conditionalFormatting>
  <conditionalFormatting sqref="L21:M32">
    <cfRule type="cellIs" dxfId="2510" priority="21" operator="lessThan">
      <formula>97.95</formula>
    </cfRule>
  </conditionalFormatting>
  <conditionalFormatting sqref="L36:N36">
    <cfRule type="cellIs" dxfId="2509" priority="22" operator="notEqual">
      <formula>#REF!</formula>
    </cfRule>
  </conditionalFormatting>
  <conditionalFormatting sqref="L70:N70">
    <cfRule type="cellIs" dxfId="2508" priority="134" stopIfTrue="1" operator="lessThan">
      <formula>100%</formula>
    </cfRule>
  </conditionalFormatting>
  <conditionalFormatting sqref="L72:N80">
    <cfRule type="cellIs" dxfId="2507" priority="157" stopIfTrue="1" operator="lessThan">
      <formula>100%</formula>
    </cfRule>
  </conditionalFormatting>
  <conditionalFormatting sqref="M10:M16">
    <cfRule type="expression" dxfId="2506" priority="10">
      <formula>IF(+(IF(M10&lt;U10,0,IF(M10&gt;V10,0,1)))=0,1)</formula>
    </cfRule>
  </conditionalFormatting>
  <conditionalFormatting sqref="M17 G17:H18">
    <cfRule type="expression" dxfId="2505" priority="17">
      <formula>IF(+(IF(G17&lt;#REF!,0,IF(G17&gt;#REF!,0,1)))=0,1)</formula>
    </cfRule>
  </conditionalFormatting>
  <conditionalFormatting sqref="M18:N18">
    <cfRule type="expression" dxfId="2504" priority="187">
      <formula>IF(+(IF(M18&lt;#REF!,0,IF(M18&gt;#REF!,0,1)))=0,1)</formula>
    </cfRule>
  </conditionalFormatting>
  <conditionalFormatting sqref="N10:N17">
    <cfRule type="expression" dxfId="2503" priority="5">
      <formula>IF(+(IF(N10&lt;W10,0,IF(N10&gt;X10,0,1)))=0,1)</formula>
    </cfRule>
  </conditionalFormatting>
  <conditionalFormatting sqref="P6">
    <cfRule type="cellIs" dxfId="2502" priority="153" operator="greaterThanOrEqual">
      <formula>19</formula>
    </cfRule>
  </conditionalFormatting>
  <dataValidations count="1">
    <dataValidation type="list" allowBlank="1" showInputMessage="1" showErrorMessage="1" sqref="R8" xr:uid="{942E1BA5-C1A3-47EC-8E1D-EF8C4DE7627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B658-5C18-477B-A2CD-2D54A86D9429}">
  <sheetPr codeName="Sheet10">
    <pageSetUpPr fitToPage="1"/>
  </sheetPr>
  <dimension ref="A1:BE78"/>
  <sheetViews>
    <sheetView topLeftCell="A3" zoomScale="80" zoomScaleNormal="80" workbookViewId="0">
      <selection activeCell="D10" sqref="D10:D19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46037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[4]Brewhouse!$A64</f>
        <v>CA023</v>
      </c>
      <c r="D10" s="279">
        <f>[4]Brewhouse!$AF64</f>
        <v>51.7</v>
      </c>
      <c r="E10" s="279">
        <f>[4]Brewhouse!$AI64</f>
        <v>49.6</v>
      </c>
      <c r="F10" s="278">
        <f>[4]Brewhouse!$V64</f>
        <v>61</v>
      </c>
      <c r="G10" s="279">
        <f>[4]Brewhouse!AG64</f>
        <v>11.9</v>
      </c>
      <c r="H10" s="396">
        <v>11.9</v>
      </c>
      <c r="I10" s="368">
        <f>[4]Brewhouse!$AU64</f>
        <v>97.421068441304371</v>
      </c>
      <c r="J10" s="368">
        <f>[4]Brewhouse!$AV64</f>
        <v>98.167610429309633</v>
      </c>
      <c r="K10" s="281">
        <f>[4]Brewhouse!$Q64</f>
        <v>3.992467043314496</v>
      </c>
      <c r="L10" s="276">
        <f>[4]Brewhouse!$P64</f>
        <v>60</v>
      </c>
      <c r="M10" s="397">
        <f>[4]Brewhouse!$U64-[4]Brewhouse!$T64</f>
        <v>0.11666666666666664</v>
      </c>
      <c r="N10" s="370">
        <f>[4]Brewhouse!$Z64</f>
        <v>0.35902777777777778</v>
      </c>
      <c r="O10" s="420" t="str">
        <f>[4]Brewhouse!$AX64</f>
        <v>R.Sookram</v>
      </c>
      <c r="P10" s="418" t="s">
        <v>188</v>
      </c>
      <c r="R10" s="277" t="str">
        <f t="shared" ref="R10:R40" si="0">B10</f>
        <v>CARIB</v>
      </c>
      <c r="S10" s="474">
        <f t="shared" ref="S10:S40" si="1">VLOOKUP($B10,$R$3:$X$9,2,FALSE)</f>
        <v>11.6</v>
      </c>
      <c r="T10" s="474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4">
        <f t="shared" ref="Z10:Z40" si="8">VLOOKUP($B10,$R$3:$Z$9,9,FALSE)</f>
        <v>60</v>
      </c>
    </row>
    <row r="11" spans="2:29" ht="16.5" customHeight="1">
      <c r="B11" s="29" t="s">
        <v>6</v>
      </c>
      <c r="C11" s="366" t="str">
        <f>[4]Brewhouse!$A65</f>
        <v>CA024</v>
      </c>
      <c r="D11" s="279">
        <f>[4]Brewhouse!$AF65</f>
        <v>51.9</v>
      </c>
      <c r="E11" s="279">
        <f>[4]Brewhouse!$AI65</f>
        <v>49.9</v>
      </c>
      <c r="F11" s="278">
        <f>[4]Brewhouse!$V65</f>
        <v>61</v>
      </c>
      <c r="G11" s="279">
        <f>[4]Brewhouse!AG65</f>
        <v>11.7</v>
      </c>
      <c r="H11" s="396">
        <v>11.8</v>
      </c>
      <c r="I11" s="368">
        <f>[4]Brewhouse!$AU65</f>
        <v>96.397222195852265</v>
      </c>
      <c r="J11" s="368">
        <f>[4]Brewhouse!$AV65</f>
        <v>97.135859004567067</v>
      </c>
      <c r="K11" s="281">
        <f>[4]Brewhouse!$Q65</f>
        <v>3.4339622641509435</v>
      </c>
      <c r="L11" s="276">
        <f>[4]Brewhouse!$P65</f>
        <v>60</v>
      </c>
      <c r="M11" s="397">
        <f>[4]Brewhouse!$U65-[4]Brewhouse!$T65</f>
        <v>0.11805555555555558</v>
      </c>
      <c r="N11" s="370">
        <f>[4]Brewhouse!$Z65</f>
        <v>0.27500000000000002</v>
      </c>
      <c r="O11" s="420" t="str">
        <f>[4]Brewhouse!$AX65</f>
        <v>R.Sookram</v>
      </c>
      <c r="P11" s="418"/>
      <c r="R11" s="277" t="str">
        <f t="shared" ref="R11:R31" si="9">B11</f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[4]Brewhouse!$A66</f>
        <v>CA025</v>
      </c>
      <c r="D12" s="279">
        <f>[4]Brewhouse!$AF66</f>
        <v>52.6</v>
      </c>
      <c r="E12" s="279">
        <f>[4]Brewhouse!$AI66</f>
        <v>50.7</v>
      </c>
      <c r="F12" s="278">
        <f>[4]Brewhouse!$V66</f>
        <v>93</v>
      </c>
      <c r="G12" s="279">
        <f>[4]Brewhouse!AG66</f>
        <v>12</v>
      </c>
      <c r="H12" s="396">
        <v>11.8</v>
      </c>
      <c r="I12" s="368">
        <f>[4]Brewhouse!$AU66</f>
        <v>100.46145390412471</v>
      </c>
      <c r="J12" s="368">
        <f>[4]Brewhouse!$AV66</f>
        <v>101.23129450139419</v>
      </c>
      <c r="K12" s="281">
        <f>[4]Brewhouse!$Q66</f>
        <v>2.1132075471698064</v>
      </c>
      <c r="L12" s="276">
        <f>[4]Brewhouse!$P66</f>
        <v>58</v>
      </c>
      <c r="M12" s="397">
        <f>[4]Brewhouse!$U66-[4]Brewhouse!$T66</f>
        <v>0.13680555555555562</v>
      </c>
      <c r="N12" s="370">
        <f>[4]Brewhouse!$Z66</f>
        <v>0.2902777777777778</v>
      </c>
      <c r="O12" s="420" t="str">
        <f>[4]Brewhouse!$AX66</f>
        <v>K. Benjamin</v>
      </c>
      <c r="P12" s="418"/>
      <c r="R12" s="277" t="str">
        <f t="shared" si="9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[4]Brewhouse!$A67</f>
        <v>CA026</v>
      </c>
      <c r="D13" s="279">
        <f>[4]Brewhouse!$AF67</f>
        <v>52.5</v>
      </c>
      <c r="E13" s="279">
        <f>[4]Brewhouse!$AI67</f>
        <v>50.9</v>
      </c>
      <c r="F13" s="278">
        <f>[4]Brewhouse!$V67</f>
        <v>82</v>
      </c>
      <c r="G13" s="279">
        <f>[4]Brewhouse!AG67</f>
        <v>11.9</v>
      </c>
      <c r="H13" s="396">
        <v>11.8</v>
      </c>
      <c r="I13" s="368">
        <f>[4]Brewhouse!$AU67</f>
        <v>98.998214709308328</v>
      </c>
      <c r="J13" s="368">
        <f>[4]Brewhouse!$AV67</f>
        <v>99.757325101963858</v>
      </c>
      <c r="K13" s="281">
        <f>[4]Brewhouse!$Q67</f>
        <v>2.3018867924528279</v>
      </c>
      <c r="L13" s="276">
        <f>[4]Brewhouse!$P67</f>
        <v>61</v>
      </c>
      <c r="M13" s="397">
        <f>[4]Brewhouse!$U67-[4]Brewhouse!$T67</f>
        <v>0.12916666666666665</v>
      </c>
      <c r="N13" s="370">
        <f>[4]Brewhouse!$Z67</f>
        <v>0.28055555555555561</v>
      </c>
      <c r="O13" s="420" t="str">
        <f>[4]Brewhouse!$AX67</f>
        <v>K. Benjamin</v>
      </c>
      <c r="P13" s="418"/>
      <c r="R13" s="277" t="str">
        <f t="shared" si="9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 t="s">
        <v>6</v>
      </c>
      <c r="C14" s="366" t="str">
        <f>[4]Brewhouse!$A68</f>
        <v>CA027</v>
      </c>
      <c r="D14" s="279">
        <f>[4]Brewhouse!$AF68</f>
        <v>52.7</v>
      </c>
      <c r="E14" s="279">
        <f>[4]Brewhouse!$AI68</f>
        <v>50.7</v>
      </c>
      <c r="F14" s="278">
        <f>[4]Brewhouse!$V68</f>
        <v>113</v>
      </c>
      <c r="G14" s="279">
        <f>[4]Brewhouse!AG68</f>
        <v>11.8</v>
      </c>
      <c r="H14" s="396">
        <v>11.9</v>
      </c>
      <c r="I14" s="368">
        <f>[4]Brewhouse!$AU68</f>
        <v>97.857422068578444</v>
      </c>
      <c r="J14" s="368">
        <f>[4]Brewhouse!$AV68</f>
        <v>98.607725826851222</v>
      </c>
      <c r="K14" s="281">
        <f>[4]Brewhouse!$Q68</f>
        <v>1.9245283018867849</v>
      </c>
      <c r="L14" s="276">
        <f>[4]Brewhouse!$P68</f>
        <v>46</v>
      </c>
      <c r="M14" s="397">
        <f>[4]Brewhouse!$U68-[4]Brewhouse!$T68</f>
        <v>0.16597222222222219</v>
      </c>
      <c r="N14" s="370">
        <f>[4]Brewhouse!$Z68</f>
        <v>0.32916666666666661</v>
      </c>
      <c r="O14" s="420" t="str">
        <f>[4]Brewhouse!$AX68</f>
        <v>K. Benjamin</v>
      </c>
      <c r="P14" s="418" t="s">
        <v>189</v>
      </c>
      <c r="R14" s="277" t="str">
        <f t="shared" si="9"/>
        <v>CARIB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29" t="s">
        <v>6</v>
      </c>
      <c r="C15" s="366" t="str">
        <f>[4]Brewhouse!$A69</f>
        <v>CA028</v>
      </c>
      <c r="D15" s="279">
        <f>[4]Brewhouse!$AF69</f>
        <v>53</v>
      </c>
      <c r="E15" s="279">
        <f>[4]Brewhouse!$AI69</f>
        <v>50.42</v>
      </c>
      <c r="F15" s="278">
        <f>[4]Brewhouse!$V69</f>
        <v>76</v>
      </c>
      <c r="G15" s="279">
        <f>[4]Brewhouse!AG69</f>
        <v>11.8</v>
      </c>
      <c r="H15" s="396">
        <v>11.8</v>
      </c>
      <c r="I15" s="368">
        <f>[4]Brewhouse!$AU69</f>
        <v>97.436062166815688</v>
      </c>
      <c r="J15" s="368">
        <f>[4]Brewhouse!$AV69</f>
        <v>98.183076208597654</v>
      </c>
      <c r="K15" s="281">
        <f>[4]Brewhouse!$Q69</f>
        <v>1.5442561205273075</v>
      </c>
      <c r="L15" s="276">
        <f>[4]Brewhouse!$P69</f>
        <v>60</v>
      </c>
      <c r="M15" s="397">
        <f>[4]Brewhouse!$U69-[4]Brewhouse!$T69</f>
        <v>0.14930555555555558</v>
      </c>
      <c r="N15" s="370">
        <f>[4]Brewhouse!$Z69</f>
        <v>0.3125</v>
      </c>
      <c r="O15" s="420" t="str">
        <f>[4]Brewhouse!$AX69</f>
        <v>D. Gomaz</v>
      </c>
      <c r="P15" s="418" t="s">
        <v>190</v>
      </c>
      <c r="R15" s="277" t="str">
        <f t="shared" ref="R15:R23" si="10">B15</f>
        <v>CARIB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8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1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6" ht="16.5" customHeight="1">
      <c r="B17" s="33" t="s">
        <v>9</v>
      </c>
      <c r="C17" s="366" t="str">
        <f>[5]Brewhouse!$A54</f>
        <v>ST004</v>
      </c>
      <c r="D17" s="279">
        <f>[5]Brewhouse!$AB54</f>
        <v>52.1</v>
      </c>
      <c r="E17" s="279">
        <f>[5]Brewhouse!$AG54</f>
        <v>47.5</v>
      </c>
      <c r="F17" s="278">
        <f>[5]Brewhouse!$V54</f>
        <v>56</v>
      </c>
      <c r="G17" s="279">
        <f>[5]Brewhouse!$AE54</f>
        <v>12</v>
      </c>
      <c r="H17" s="396">
        <v>12</v>
      </c>
      <c r="I17" s="368">
        <f>[5]Brewhouse!$AS54</f>
        <v>95.359527283738572</v>
      </c>
      <c r="J17" s="368">
        <f>[5]Brewhouse!$AT54</f>
        <v>95.97673752965207</v>
      </c>
      <c r="K17" s="281">
        <f>[5]Brewhouse!$Q54</f>
        <v>4.5585412667946255</v>
      </c>
      <c r="L17" s="276">
        <f>[5]Brewhouse!$P54</f>
        <v>59</v>
      </c>
      <c r="M17" s="374">
        <f>[5]Brewhouse!$U54-[5]Brewhouse!$T54</f>
        <v>0.12291666666666679</v>
      </c>
      <c r="N17" s="370">
        <f>[5]Brewhouse!$AW54</f>
        <v>0.2729166666666667</v>
      </c>
      <c r="O17" s="371" t="str">
        <f>[5]Brewhouse!$AV54</f>
        <v>R.Sookram</v>
      </c>
      <c r="P17" s="418"/>
      <c r="R17" s="277" t="str">
        <f t="shared" si="10"/>
        <v>STAG</v>
      </c>
      <c r="S17" s="474">
        <f t="shared" si="1"/>
        <v>11.6</v>
      </c>
      <c r="T17" s="474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4">
        <f t="shared" si="8"/>
        <v>60</v>
      </c>
    </row>
    <row r="18" spans="1:26" ht="16.5" customHeight="1">
      <c r="B18" s="489">
        <v>46037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/>
      <c r="S18" s="474"/>
      <c r="T18" s="474"/>
      <c r="U18" s="297"/>
      <c r="V18" s="297"/>
      <c r="W18" s="297"/>
      <c r="X18" s="297"/>
      <c r="Y18" s="297"/>
      <c r="Z18" s="474"/>
    </row>
    <row r="19" spans="1:26" ht="16.5" customHeight="1">
      <c r="B19" s="33" t="s">
        <v>9</v>
      </c>
      <c r="C19" s="366" t="str">
        <f>[5]Brewhouse!$A55</f>
        <v>ST005</v>
      </c>
      <c r="D19" s="279">
        <f>[5]Brewhouse!$AB55</f>
        <v>52.1</v>
      </c>
      <c r="E19" s="279">
        <f>[5]Brewhouse!$AG55</f>
        <v>47.5</v>
      </c>
      <c r="F19" s="278">
        <f>[5]Brewhouse!$V55</f>
        <v>59</v>
      </c>
      <c r="G19" s="279">
        <f>[5]Brewhouse!$AE55</f>
        <v>11.9</v>
      </c>
      <c r="H19" s="396">
        <v>11.9</v>
      </c>
      <c r="I19" s="368">
        <f>[5]Brewhouse!$AS55</f>
        <v>95.527344703430927</v>
      </c>
      <c r="J19" s="368">
        <f>[5]Brewhouse!$AT55</f>
        <v>95.254937407096733</v>
      </c>
      <c r="K19" s="281">
        <f>[5]Brewhouse!$Q55</f>
        <v>2.4472168905950067</v>
      </c>
      <c r="L19" s="276">
        <f>[5]Brewhouse!$P55</f>
        <v>58</v>
      </c>
      <c r="M19" s="374">
        <f>[5]Brewhouse!$U55-[5]Brewhouse!$T55</f>
        <v>0.11180555555555549</v>
      </c>
      <c r="N19" s="370">
        <f>[5]Brewhouse!$AW55</f>
        <v>0.26319444444444429</v>
      </c>
      <c r="O19" s="371" t="str">
        <f>[5]Brewhouse!$AV55</f>
        <v>R.Sookram</v>
      </c>
      <c r="P19" s="418"/>
      <c r="R19" s="277" t="str">
        <f t="shared" si="10"/>
        <v>STAG</v>
      </c>
      <c r="S19" s="474">
        <f t="shared" si="1"/>
        <v>11.6</v>
      </c>
      <c r="T19" s="474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4">
        <f t="shared" si="8"/>
        <v>60</v>
      </c>
    </row>
    <row r="20" spans="1:26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1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6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1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6" ht="16.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1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1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9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6" ht="16.5" hidden="1" customHeight="1">
      <c r="B25" s="33"/>
      <c r="C25" s="366"/>
      <c r="D25" s="279"/>
      <c r="E25" s="279"/>
      <c r="F25" s="278"/>
      <c r="G25" s="279"/>
      <c r="H25" s="396"/>
      <c r="I25" s="479"/>
      <c r="J25" s="479"/>
      <c r="K25" s="281"/>
      <c r="L25" s="276"/>
      <c r="M25" s="374"/>
      <c r="N25" s="370"/>
      <c r="O25" s="420"/>
      <c r="P25" s="418"/>
      <c r="R25" s="277">
        <f t="shared" si="9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6" ht="16.5" hidden="1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40"/>
      <c r="J27" s="540"/>
      <c r="K27" s="540"/>
      <c r="L27" s="540"/>
      <c r="M27" s="540"/>
      <c r="N27" s="540"/>
      <c r="O27" s="1"/>
      <c r="P27" s="12"/>
      <c r="R27" s="277">
        <f t="shared" si="9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6" ht="15.75" customHeight="1" thickBot="1">
      <c r="B28" s="388" t="s">
        <v>162</v>
      </c>
      <c r="C28" s="388"/>
      <c r="D28" s="541" t="s">
        <v>35</v>
      </c>
      <c r="E28" s="542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6" ht="15" customHeight="1">
      <c r="A29" s="28"/>
      <c r="B29" s="543" t="str">
        <f>I30</f>
        <v>STAG</v>
      </c>
      <c r="C29" s="362" cm="1">
        <f t="array" ref="C29:C36">[5]Process!$D$34:$D$41</f>
        <v>12</v>
      </c>
      <c r="D29" s="546">
        <v>11.85</v>
      </c>
      <c r="E29" s="547"/>
      <c r="F29" s="294"/>
      <c r="G29" s="294"/>
      <c r="H29" s="348"/>
      <c r="I29" s="29" t="s">
        <v>6</v>
      </c>
      <c r="J29" s="280">
        <f>AVERAGE(I10:I15)</f>
        <v>98.095240580997299</v>
      </c>
      <c r="K29" s="284">
        <f>COUNTA([4]Brewhouse!$A$42:$A$69)</f>
        <v>28</v>
      </c>
      <c r="L29" s="305">
        <f>AVERAGE([4]Brewhouse!$AU$42:$AU$69)</f>
        <v>97.734259587816851</v>
      </c>
      <c r="M29" s="305">
        <f>AVERAGE([4]Brewhouse!$AU$42:$AU$69)</f>
        <v>97.734259587816851</v>
      </c>
      <c r="N29" s="30">
        <v>98</v>
      </c>
      <c r="O29" s="11"/>
      <c r="P29" s="31"/>
      <c r="R29" s="277" t="str">
        <f t="shared" si="9"/>
        <v>STAG</v>
      </c>
      <c r="S29" s="474">
        <f t="shared" si="1"/>
        <v>11.6</v>
      </c>
      <c r="T29" s="474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474">
        <f t="shared" si="8"/>
        <v>60</v>
      </c>
    </row>
    <row r="30" spans="1:26" ht="15" customHeight="1">
      <c r="A30" s="28"/>
      <c r="B30" s="544"/>
      <c r="C30" s="362">
        <v>11.9</v>
      </c>
      <c r="D30" s="548"/>
      <c r="E30" s="532"/>
      <c r="F30" s="294"/>
      <c r="G30" s="294"/>
      <c r="H30" s="348"/>
      <c r="I30" s="33" t="s">
        <v>9</v>
      </c>
      <c r="J30" s="280">
        <f>AVERAGE(I17:I19)</f>
        <v>95.443435993584757</v>
      </c>
      <c r="K30" s="284">
        <f>COUNTA([5]Brewhouse!$A$52:$A$55)</f>
        <v>4</v>
      </c>
      <c r="L30" s="302">
        <f>AVERAGE([5]Brewhouse!$AS$52:$AS$55)</f>
        <v>99.380564149230736</v>
      </c>
      <c r="M30" s="302">
        <f>AVERAGE([5]Brewhouse!$AS$52:$AS$55)</f>
        <v>99.380564149230736</v>
      </c>
      <c r="N30" s="30">
        <v>98</v>
      </c>
      <c r="O30" s="11"/>
      <c r="P30" s="31"/>
      <c r="R30" s="277">
        <f t="shared" si="9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</row>
    <row r="31" spans="1:26" ht="14.65" customHeight="1">
      <c r="A31" s="28"/>
      <c r="B31" s="544"/>
      <c r="C31" s="362">
        <v>11.8</v>
      </c>
      <c r="D31" s="536">
        <v>11.89</v>
      </c>
      <c r="E31" s="537"/>
      <c r="F31" s="294"/>
      <c r="G31" s="294"/>
      <c r="H31" s="348"/>
      <c r="I31" s="34" t="s">
        <v>12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</row>
    <row r="32" spans="1:26" ht="14.65" customHeight="1">
      <c r="A32" s="28"/>
      <c r="B32" s="544"/>
      <c r="C32" s="362">
        <v>11.9</v>
      </c>
      <c r="D32" s="531"/>
      <c r="E32" s="532"/>
      <c r="F32" s="294"/>
      <c r="G32" s="294"/>
      <c r="H32" s="348"/>
      <c r="I32" s="22" t="s">
        <v>33</v>
      </c>
      <c r="J32" s="280"/>
      <c r="K32" s="284">
        <f>COUNTA([6]Brewhouse!$A$23:$A$26)</f>
        <v>4</v>
      </c>
      <c r="L32" s="302">
        <f>AVERAGE([6]Brewhouse!$AV$23:$AV$26)</f>
        <v>98.342483899212951</v>
      </c>
      <c r="M32" s="302">
        <f>AVERAGE([6]Brewhouse!$AV$23:$AV$26)</f>
        <v>98.342483899212951</v>
      </c>
      <c r="N32" s="30">
        <v>98</v>
      </c>
      <c r="O32" s="11"/>
      <c r="P32" s="31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</row>
    <row r="33" spans="1:56" ht="14.65" customHeight="1">
      <c r="A33" s="28"/>
      <c r="B33" s="544"/>
      <c r="C33" s="362">
        <v>11.8</v>
      </c>
      <c r="D33" s="536">
        <v>11.71</v>
      </c>
      <c r="E33" s="53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</row>
    <row r="34" spans="1:56" ht="14.65" customHeight="1">
      <c r="A34" s="28"/>
      <c r="B34" s="544"/>
      <c r="C34" s="362">
        <v>11.7</v>
      </c>
      <c r="D34" s="531"/>
      <c r="E34" s="532"/>
      <c r="F34" s="417"/>
      <c r="G34" s="294"/>
      <c r="H34" s="348"/>
      <c r="I34" s="36" t="s">
        <v>15</v>
      </c>
      <c r="J34" s="323"/>
      <c r="K34" s="284">
        <f>COUNTA([7]Brewhouse!$A$13:$A$20)</f>
        <v>8</v>
      </c>
      <c r="L34" s="302" t="e">
        <f>AVERAGE([7]Brewhouse!$AT$13:$AT$20)</f>
        <v>#DIV/0!</v>
      </c>
      <c r="M34" s="302" t="e">
        <f>AVERAGE([7]Brewhouse!$AT$13:$AT$20)</f>
        <v>#DIV/0!</v>
      </c>
      <c r="N34" s="30">
        <v>98</v>
      </c>
      <c r="O34" s="11"/>
      <c r="P34" s="31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4.65" customHeight="1">
      <c r="A35" s="28"/>
      <c r="B35" s="544"/>
      <c r="C35" s="362">
        <v>12</v>
      </c>
      <c r="D35" s="536">
        <v>11.78</v>
      </c>
      <c r="E35" s="537"/>
      <c r="F35" s="417"/>
      <c r="G35" s="294"/>
      <c r="H35" s="348"/>
      <c r="I35" s="37" t="s">
        <v>16</v>
      </c>
      <c r="J35" s="323"/>
      <c r="K35" s="284">
        <f>COUNTA([8]Brewhouse!$A$5:$A$7)</f>
        <v>3</v>
      </c>
      <c r="L35" s="302">
        <f>AVERAGE([8]Brewhouse!$AY$5:$AY$7)</f>
        <v>98.128633252159673</v>
      </c>
      <c r="M35" s="302">
        <f>AVERAGE([8]Brewhouse!$AY$5:$AY$7)</f>
        <v>98.128633252159673</v>
      </c>
      <c r="N35" s="30">
        <v>98</v>
      </c>
      <c r="O35" s="11"/>
      <c r="P35" s="31" t="s">
        <v>41</v>
      </c>
      <c r="R35" s="277">
        <f t="shared" si="0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4.65" customHeight="1">
      <c r="A36" s="28"/>
      <c r="B36" s="544"/>
      <c r="C36" s="362">
        <v>11.9</v>
      </c>
      <c r="D36" s="531"/>
      <c r="E36" s="532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0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56" ht="14.65" customHeight="1">
      <c r="A37" s="28"/>
      <c r="B37" s="544"/>
      <c r="C37" s="349"/>
      <c r="D37" s="536"/>
      <c r="E37" s="537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0"/>
        <v>0</v>
      </c>
      <c r="S37" s="474" t="e">
        <f t="shared" si="1"/>
        <v>#N/A</v>
      </c>
      <c r="T37" s="474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4" t="e">
        <f t="shared" si="8"/>
        <v>#N/A</v>
      </c>
      <c r="AA37" s="474"/>
    </row>
    <row r="38" spans="1:56" ht="15" customHeight="1" thickBot="1">
      <c r="A38" s="28"/>
      <c r="B38" s="544"/>
      <c r="C38" s="349"/>
      <c r="D38" s="531"/>
      <c r="E38" s="532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0"/>
        <v>0</v>
      </c>
      <c r="S38" s="474" t="e">
        <f t="shared" si="1"/>
        <v>#N/A</v>
      </c>
      <c r="T38" s="474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4" t="e">
        <f t="shared" si="8"/>
        <v>#N/A</v>
      </c>
      <c r="AA38" s="474"/>
    </row>
    <row r="39" spans="1:56" ht="15" customHeight="1" thickBot="1">
      <c r="A39" s="28"/>
      <c r="B39" s="544"/>
      <c r="C39" s="349"/>
      <c r="D39" s="546"/>
      <c r="E39" s="547"/>
      <c r="F39" s="294"/>
      <c r="G39" s="294"/>
      <c r="H39" s="348"/>
      <c r="I39" s="1"/>
      <c r="J39" s="39"/>
      <c r="K39" s="404">
        <f>SUM(K29:K38)</f>
        <v>47</v>
      </c>
      <c r="L39" s="405" t="e">
        <f>((L29*K29)+(L30*K30)+(L31*K31)+(L32*K32)+(L33*K33)+(K36*L36)+(L34*K34)+(L35*K35)+(L38*K38))/(K39)</f>
        <v>#DIV/0!</v>
      </c>
      <c r="M39" s="405" t="e">
        <f>L39</f>
        <v>#DIV/0!</v>
      </c>
      <c r="N39" s="40">
        <v>98</v>
      </c>
      <c r="O39" s="11"/>
      <c r="P39" s="31"/>
      <c r="R39" s="277">
        <f t="shared" si="0"/>
        <v>0</v>
      </c>
      <c r="S39" s="474" t="e">
        <f t="shared" si="1"/>
        <v>#N/A</v>
      </c>
      <c r="T39" s="474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4" t="e">
        <f t="shared" si="8"/>
        <v>#N/A</v>
      </c>
      <c r="AA39" s="474"/>
    </row>
    <row r="40" spans="1:56" ht="15.75" thickBot="1">
      <c r="B40" s="545"/>
      <c r="C40" s="350"/>
      <c r="D40" s="548"/>
      <c r="E40" s="532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0"/>
        <v>0</v>
      </c>
      <c r="S40" s="474" t="e">
        <f t="shared" si="1"/>
        <v>#N/A</v>
      </c>
      <c r="T40" s="474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4" t="e">
        <f t="shared" si="8"/>
        <v>#N/A</v>
      </c>
      <c r="AA40" s="474"/>
    </row>
    <row r="41" spans="1:56" ht="15.75" thickBot="1">
      <c r="B41" s="526" t="str">
        <f>I34</f>
        <v>MACKESON</v>
      </c>
      <c r="C41" s="362" cm="1">
        <f t="array" ref="C41:C48">[7]Process!$D$4:$D$11</f>
        <v>13.3</v>
      </c>
      <c r="D41" s="529">
        <v>13.8</v>
      </c>
      <c r="E41" s="530"/>
      <c r="F41" s="294"/>
      <c r="G41" s="42"/>
      <c r="H41" s="41"/>
      <c r="I41" s="42"/>
      <c r="J41" s="533" t="s">
        <v>129</v>
      </c>
      <c r="K41" s="533"/>
      <c r="L41" s="294"/>
      <c r="M41" s="294"/>
      <c r="N41" s="294"/>
      <c r="O41" s="294"/>
      <c r="P41" s="12"/>
    </row>
    <row r="42" spans="1:56" ht="15.75" thickBot="1">
      <c r="B42" s="527"/>
      <c r="C42" s="362">
        <v>13</v>
      </c>
      <c r="D42" s="531"/>
      <c r="E42" s="532"/>
      <c r="F42" s="294"/>
      <c r="G42" s="42"/>
      <c r="H42" s="42"/>
      <c r="I42" s="42"/>
      <c r="J42" s="292" t="s">
        <v>17</v>
      </c>
      <c r="K42" s="293" t="s">
        <v>147</v>
      </c>
      <c r="L42" s="534" t="s">
        <v>136</v>
      </c>
      <c r="M42" s="534"/>
      <c r="N42" s="535"/>
      <c r="O42" s="294"/>
      <c r="P42" s="12"/>
    </row>
    <row r="43" spans="1:56" ht="15" customHeight="1" thickBot="1">
      <c r="B43" s="527"/>
      <c r="C43" s="349">
        <v>12.8</v>
      </c>
      <c r="D43" s="536">
        <v>13.61</v>
      </c>
      <c r="E43" s="537"/>
      <c r="F43" s="294"/>
      <c r="G43" s="42"/>
      <c r="H43" s="42"/>
      <c r="I43" s="42"/>
      <c r="J43" s="287" t="s">
        <v>6</v>
      </c>
      <c r="K43" s="324">
        <v>6</v>
      </c>
      <c r="L43" s="475" t="s">
        <v>37</v>
      </c>
      <c r="M43" s="476" t="s">
        <v>38</v>
      </c>
      <c r="N43" s="476" t="s">
        <v>84</v>
      </c>
      <c r="O43" s="294"/>
      <c r="P43" s="12"/>
    </row>
    <row r="44" spans="1:56" ht="15.75" customHeight="1" thickBot="1">
      <c r="B44" s="527"/>
      <c r="C44" s="349">
        <v>13.5</v>
      </c>
      <c r="D44" s="531"/>
      <c r="E44" s="532"/>
      <c r="F44" s="294"/>
      <c r="G44" s="42"/>
      <c r="H44" s="42"/>
      <c r="I44" s="42"/>
      <c r="J44" s="345" t="s">
        <v>9</v>
      </c>
      <c r="K44" s="324">
        <v>1</v>
      </c>
      <c r="L44" s="344">
        <f>AVERAGE('Jan 2nd'!K45,'Jan 5th'!K45,'Jan 6th'!K49,'Jan 7th'!K49,'Jan 8th '!K44,Jan14th!J53,'Jan 9th-10th'!J58,'Jan 9th-10th'!K58,'Jan12th '!K50,Jan13th!K45,Jan14th!K53)</f>
        <v>5.3</v>
      </c>
      <c r="M44" s="325">
        <f>AVERAGE(L44)</f>
        <v>5.3</v>
      </c>
      <c r="N44" s="416">
        <v>9.1999999999999993</v>
      </c>
      <c r="O44" s="294"/>
      <c r="P44" s="12"/>
    </row>
    <row r="45" spans="1:56" ht="15" customHeight="1">
      <c r="B45" s="527"/>
      <c r="C45" s="349">
        <v>13.3</v>
      </c>
      <c r="D45" s="536">
        <v>13.95</v>
      </c>
      <c r="E45" s="537"/>
      <c r="F45" s="294"/>
      <c r="G45" s="42"/>
      <c r="H45" s="42"/>
      <c r="I45" s="42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7"/>
      <c r="C46" s="349">
        <v>12.6</v>
      </c>
      <c r="D46" s="531"/>
      <c r="E46" s="532"/>
      <c r="F46" s="294"/>
      <c r="G46" s="42"/>
      <c r="H46" s="42"/>
      <c r="I46" s="42"/>
      <c r="J46" s="289" t="s">
        <v>33</v>
      </c>
      <c r="K46" s="324"/>
      <c r="L46" s="294"/>
      <c r="M46" s="294"/>
      <c r="N46" s="294"/>
      <c r="O46" s="294"/>
      <c r="P46" s="12"/>
    </row>
    <row r="47" spans="1:56" ht="15">
      <c r="B47" s="527"/>
      <c r="C47" s="349">
        <v>13.2</v>
      </c>
      <c r="D47" s="536">
        <v>13.73</v>
      </c>
      <c r="E47" s="537"/>
      <c r="F47" s="294"/>
      <c r="G47" s="42"/>
      <c r="H47" s="42"/>
      <c r="I47" s="42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7"/>
      <c r="C48" s="349">
        <v>13</v>
      </c>
      <c r="D48" s="531"/>
      <c r="E48" s="532"/>
      <c r="F48" s="294"/>
      <c r="G48" s="42"/>
      <c r="H48" s="42"/>
      <c r="I48" s="42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27"/>
      <c r="C49" s="349"/>
      <c r="D49" s="536"/>
      <c r="E49" s="537"/>
      <c r="F49" s="294"/>
      <c r="G49" s="42"/>
      <c r="H49" s="42"/>
      <c r="I49" s="42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1:57" ht="15.75" thickBot="1">
      <c r="B50" s="528"/>
      <c r="C50" s="350"/>
      <c r="D50" s="538"/>
      <c r="E50" s="539"/>
      <c r="F50" s="294" t="s">
        <v>166</v>
      </c>
      <c r="G50" s="42"/>
      <c r="H50" s="42"/>
      <c r="I50" s="42"/>
      <c r="J50" s="291" t="s">
        <v>148</v>
      </c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1:57" ht="17.649999999999999" customHeight="1" thickBot="1">
      <c r="B51" s="312" t="s">
        <v>139</v>
      </c>
      <c r="C51" s="313"/>
      <c r="D51" s="519"/>
      <c r="E51" s="520"/>
      <c r="F51" s="294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1:57" ht="17.649999999999999" customHeight="1">
      <c r="B52" s="363"/>
      <c r="C52" s="364"/>
      <c r="D52" s="365"/>
      <c r="E52" s="365"/>
      <c r="F52" s="294"/>
      <c r="G52" s="42"/>
      <c r="H52" s="42"/>
      <c r="I52" s="42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1:57" ht="15.6" customHeight="1">
      <c r="B53" s="45"/>
      <c r="C53" s="11"/>
      <c r="D53" s="11"/>
      <c r="E53" s="46"/>
      <c r="F53" s="294"/>
      <c r="G53" s="42"/>
      <c r="H53" s="42"/>
      <c r="I53" s="42"/>
      <c r="J53" s="346" t="s">
        <v>130</v>
      </c>
      <c r="K53" s="324">
        <f>SUM(K43:K52)</f>
        <v>7</v>
      </c>
      <c r="L53" s="294"/>
      <c r="M53" s="294"/>
      <c r="N53" s="294"/>
      <c r="O53" s="294"/>
      <c r="P53" s="12"/>
    </row>
    <row r="54" spans="1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1"/>
      <c r="J54" s="42"/>
      <c r="L54" s="294"/>
      <c r="N54" s="315"/>
      <c r="P54" s="334"/>
    </row>
    <row r="55" spans="1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1:57" ht="15" customHeight="1" thickBot="1">
      <c r="B56" s="511" t="s">
        <v>17</v>
      </c>
      <c r="C56" s="511" t="s">
        <v>44</v>
      </c>
      <c r="D56" s="522" t="s">
        <v>45</v>
      </c>
      <c r="E56" s="524" t="s">
        <v>46</v>
      </c>
      <c r="F56" s="517" t="s">
        <v>47</v>
      </c>
      <c r="G56" s="509" t="s">
        <v>48</v>
      </c>
      <c r="H56" s="511" t="s">
        <v>49</v>
      </c>
      <c r="I56" s="511" t="s">
        <v>50</v>
      </c>
      <c r="J56" s="503" t="s">
        <v>28</v>
      </c>
      <c r="K56" s="513" t="s">
        <v>51</v>
      </c>
      <c r="L56" s="515" t="s">
        <v>52</v>
      </c>
      <c r="M56" s="503" t="s">
        <v>53</v>
      </c>
      <c r="N56" s="13"/>
      <c r="O56" s="13"/>
      <c r="P56" s="50"/>
    </row>
    <row r="57" spans="1:57" ht="28.5" customHeight="1" thickTop="1" thickBot="1">
      <c r="B57" s="521"/>
      <c r="C57" s="521"/>
      <c r="D57" s="523"/>
      <c r="E57" s="525"/>
      <c r="F57" s="518"/>
      <c r="G57" s="510"/>
      <c r="H57" s="512"/>
      <c r="I57" s="512"/>
      <c r="J57" s="504"/>
      <c r="K57" s="514"/>
      <c r="L57" s="516"/>
      <c r="M57" s="504"/>
      <c r="N57" s="13"/>
      <c r="O57" s="13"/>
      <c r="P57" s="50"/>
      <c r="Q57" s="355"/>
      <c r="AB57" s="477">
        <v>43474</v>
      </c>
      <c r="AC57" s="477">
        <v>43475</v>
      </c>
      <c r="AD57" s="477">
        <v>43476</v>
      </c>
      <c r="AE57" s="477">
        <v>43477</v>
      </c>
      <c r="AF57" s="477">
        <v>43478</v>
      </c>
      <c r="AG57" s="477">
        <v>43479</v>
      </c>
      <c r="AH57" s="477">
        <v>43480</v>
      </c>
      <c r="AI57" s="477">
        <v>43481</v>
      </c>
      <c r="AJ57" s="477">
        <v>43482</v>
      </c>
      <c r="AK57" s="477">
        <v>43483</v>
      </c>
      <c r="AL57" s="477">
        <v>43484</v>
      </c>
      <c r="AM57" s="477">
        <v>43485</v>
      </c>
      <c r="AN57" s="477">
        <v>43486</v>
      </c>
      <c r="AO57" s="477">
        <v>43487</v>
      </c>
      <c r="AP57" s="477">
        <v>43488</v>
      </c>
      <c r="AQ57" s="477">
        <v>43489</v>
      </c>
      <c r="AR57" s="477">
        <v>43490</v>
      </c>
      <c r="AS57" s="477">
        <v>43491</v>
      </c>
      <c r="AT57" s="477">
        <v>43492</v>
      </c>
      <c r="AU57" s="477">
        <v>43493</v>
      </c>
      <c r="AV57" s="477">
        <v>43494</v>
      </c>
      <c r="AW57" s="477">
        <v>43495</v>
      </c>
      <c r="AX57" s="477">
        <v>43496</v>
      </c>
    </row>
    <row r="58" spans="1:57" s="54" customFormat="1" ht="43.15" customHeight="1" thickBot="1">
      <c r="A58" s="54" t="s">
        <v>187</v>
      </c>
      <c r="B58" s="468" t="str">
        <f>J44</f>
        <v>STAG</v>
      </c>
      <c r="C58" s="441">
        <v>46036</v>
      </c>
      <c r="D58" s="442">
        <f>[28]January_2026!$Q$13</f>
        <v>393</v>
      </c>
      <c r="E58" s="443"/>
      <c r="F58" s="444"/>
      <c r="G58" s="444" t="e">
        <f>[28]January_2026!$Q$17</f>
        <v>#REF!</v>
      </c>
      <c r="H58" s="458"/>
      <c r="I58" s="458"/>
      <c r="J58" s="448" t="s">
        <v>192</v>
      </c>
      <c r="K58" s="449" t="e">
        <f>[29]January_2026!$Q$25</f>
        <v>#REF!</v>
      </c>
      <c r="L58" s="457" t="e">
        <f>(((D58+E58)-G58)/(D58+E58))*100</f>
        <v>#REF!</v>
      </c>
      <c r="M58" s="455" t="s">
        <v>191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[9]January_2019!L7</f>
        <v>285.8</v>
      </c>
      <c r="AC58" s="57">
        <f>[9]January_2019!M7</f>
        <v>508.1</v>
      </c>
      <c r="AD58" s="57">
        <f>[9]January_2019!N7</f>
        <v>0</v>
      </c>
      <c r="AE58" s="57">
        <f>[9]January_2019!O7</f>
        <v>0</v>
      </c>
      <c r="AF58" s="57">
        <f>[9]January_2019!P7</f>
        <v>109.56666666666666</v>
      </c>
      <c r="AG58" s="57">
        <f>[9]January_2019!Q7</f>
        <v>297.64999999999998</v>
      </c>
      <c r="AH58" s="57">
        <f>[9]January_2019!R7</f>
        <v>122.3</v>
      </c>
      <c r="AI58" s="57">
        <f>[9]January_2019!S7</f>
        <v>0</v>
      </c>
      <c r="AJ58" s="57">
        <f>[9]January_2019!T7</f>
        <v>294.7</v>
      </c>
      <c r="AK58" s="57">
        <f>[9]January_2019!U7</f>
        <v>280.5</v>
      </c>
      <c r="AL58" s="57">
        <f>[9]January_2019!V7</f>
        <v>0</v>
      </c>
      <c r="AM58" s="57">
        <f>[9]January_2019!W7</f>
        <v>0</v>
      </c>
      <c r="AN58" s="57">
        <f>[9]January_2019!X7</f>
        <v>188.25</v>
      </c>
      <c r="AO58" s="57">
        <f>[9]January_2019!Y7</f>
        <v>295.7</v>
      </c>
      <c r="AP58" s="57">
        <f>[9]January_2019!Z7</f>
        <v>257.8</v>
      </c>
      <c r="AQ58" s="57">
        <f>[9]January_2019!AA7</f>
        <v>291.2</v>
      </c>
      <c r="AR58" s="57">
        <f>[9]January_2019!AB7</f>
        <v>187</v>
      </c>
      <c r="AS58" s="57">
        <f>[9]January_2019!AC7</f>
        <v>0</v>
      </c>
      <c r="AT58" s="57">
        <f>[9]January_2019!AD7</f>
        <v>0</v>
      </c>
      <c r="AU58" s="57">
        <f>[9]January_2019!AE7</f>
        <v>485.1</v>
      </c>
      <c r="AV58" s="57">
        <f>[9]January_2019!AF7</f>
        <v>171.55</v>
      </c>
      <c r="AW58" s="57">
        <f>[9]January_2019!AG7</f>
        <v>423.8</v>
      </c>
      <c r="AX58" s="277">
        <f>[9]January_2019!AH7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customHeight="1" thickBot="1">
      <c r="B59" s="468"/>
      <c r="C59" s="430"/>
      <c r="D59" s="431"/>
      <c r="E59" s="432"/>
      <c r="F59" s="433"/>
      <c r="G59" s="434"/>
      <c r="H59" s="428"/>
      <c r="I59" s="42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customHeight="1" thickBot="1">
      <c r="B60" s="493" t="str">
        <f>J48</f>
        <v>MACKESON</v>
      </c>
      <c r="C60" s="441">
        <v>46036</v>
      </c>
      <c r="D60" s="442">
        <f>[28]January_2026!$Q$34</f>
        <v>399.40000000000003</v>
      </c>
      <c r="E60" s="443">
        <f>SUM([30]MACKESON!$S$7:$S$14)</f>
        <v>7.6</v>
      </c>
      <c r="F60" s="444">
        <f>SUM([30]MACKESON!$L$7:$L$14)</f>
        <v>391.1</v>
      </c>
      <c r="G60" s="445">
        <f>[28]January_2026!$Q$39</f>
        <v>386.2</v>
      </c>
      <c r="H60" s="458">
        <f>(D60-F60)/D60*100</f>
        <v>2.0781171757636483</v>
      </c>
      <c r="I60" s="458">
        <f>((F60+E60)-G60)/(F60+E60)*100</f>
        <v>3.1351893654376863</v>
      </c>
      <c r="J60" s="448" t="s">
        <v>150</v>
      </c>
      <c r="K60" s="460">
        <f>[29]January_2026!$Q$39</f>
        <v>1.3550877192982456</v>
      </c>
      <c r="L60" s="457">
        <f>(((D60+E60)-G60)/(D60+E60))*100</f>
        <v>5.1105651105651271</v>
      </c>
      <c r="M60" s="455" t="s">
        <v>183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90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7"/>
      <c r="C65" s="430"/>
      <c r="D65" s="461"/>
      <c r="E65" s="462"/>
      <c r="F65" s="463"/>
      <c r="G65" s="461"/>
      <c r="H65" s="464"/>
      <c r="I65" s="464"/>
      <c r="J65" s="464"/>
      <c r="K65" s="465"/>
      <c r="L65" s="466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05" t="s">
        <v>55</v>
      </c>
      <c r="C67" s="506"/>
      <c r="D67" s="506"/>
      <c r="E67" s="506"/>
      <c r="F67" s="507"/>
      <c r="G67" s="505" t="s">
        <v>56</v>
      </c>
      <c r="H67" s="506"/>
      <c r="I67" s="506"/>
      <c r="J67" s="507"/>
      <c r="K67" s="505" t="s">
        <v>51</v>
      </c>
      <c r="L67" s="506"/>
      <c r="M67" s="506"/>
      <c r="N67" s="508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9.0325437237104289</v>
      </c>
      <c r="E69" s="76">
        <v>9.0325437237104289</v>
      </c>
      <c r="F69" s="66">
        <v>4.8</v>
      </c>
      <c r="G69" s="65"/>
      <c r="H69" s="480">
        <v>7.5879851215091971</v>
      </c>
      <c r="I69" s="480">
        <v>7.5879851215091971</v>
      </c>
      <c r="J69" s="66">
        <v>4.8</v>
      </c>
      <c r="K69" s="67"/>
      <c r="L69" s="194">
        <v>0.22339766081871346</v>
      </c>
      <c r="M69" s="194">
        <v>0.22339766081871346</v>
      </c>
      <c r="N69" s="68">
        <v>1</v>
      </c>
      <c r="O69" s="56"/>
      <c r="P69" s="69"/>
    </row>
    <row r="70" spans="2:57" ht="15">
      <c r="B70" s="33" t="s">
        <v>9</v>
      </c>
      <c r="C70" s="65" t="e">
        <f>L58</f>
        <v>#REF!</v>
      </c>
      <c r="D70" s="76">
        <v>7.2399339514797543</v>
      </c>
      <c r="E70" s="76">
        <v>7.2399339514797543</v>
      </c>
      <c r="F70" s="66">
        <v>4.8</v>
      </c>
      <c r="G70" s="65" t="e">
        <f>[28]January_2026!$Q$21</f>
        <v>#REF!</v>
      </c>
      <c r="H70" s="76">
        <v>6.584154865311465</v>
      </c>
      <c r="I70" s="76">
        <v>6.584154865311465</v>
      </c>
      <c r="J70" s="66">
        <v>4.8</v>
      </c>
      <c r="K70" s="67" t="e">
        <f>K58</f>
        <v>#REF!</v>
      </c>
      <c r="L70" s="194">
        <v>0.34323976608187129</v>
      </c>
      <c r="M70" s="194">
        <v>0.34323976608187129</v>
      </c>
      <c r="N70" s="68">
        <v>1</v>
      </c>
      <c r="P70" s="69"/>
    </row>
    <row r="71" spans="2:57" ht="15">
      <c r="B71" s="34" t="s">
        <v>40</v>
      </c>
      <c r="C71" s="65"/>
      <c r="D71" s="76"/>
      <c r="E71" s="76"/>
      <c r="F71" s="66">
        <v>5.5</v>
      </c>
      <c r="G71" s="65"/>
      <c r="H71" s="76"/>
      <c r="I71" s="76"/>
      <c r="J71" s="66">
        <v>5.5</v>
      </c>
      <c r="K71" s="67"/>
      <c r="L71" s="194"/>
      <c r="M71" s="194"/>
      <c r="N71" s="68">
        <v>1</v>
      </c>
      <c r="P71" s="69"/>
    </row>
    <row r="72" spans="2:57" ht="15">
      <c r="B72" s="22" t="s">
        <v>33</v>
      </c>
      <c r="C72" s="65"/>
      <c r="D72" s="76">
        <v>6.5508684863523392</v>
      </c>
      <c r="E72" s="76">
        <v>6.5508684863523392</v>
      </c>
      <c r="F72" s="66">
        <v>3.3</v>
      </c>
      <c r="G72" s="65"/>
      <c r="H72" s="76">
        <v>5.2086766183151161</v>
      </c>
      <c r="I72" s="76">
        <v>5.2086766183151161</v>
      </c>
      <c r="J72" s="66">
        <v>3.3</v>
      </c>
      <c r="K72" s="67"/>
      <c r="L72" s="194">
        <v>0.6607017543859649</v>
      </c>
      <c r="M72" s="194">
        <v>0.6607017543859649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>
        <f>L60</f>
        <v>5.1105651105651271</v>
      </c>
      <c r="D74" s="76">
        <v>5.1105651105651271</v>
      </c>
      <c r="E74" s="76">
        <v>5.1105651105651271</v>
      </c>
      <c r="F74" s="70">
        <f>[10]May_2022!$M$43</f>
        <v>3.4878406700073312</v>
      </c>
      <c r="G74" s="282">
        <f>[28]January_2026!$Q$43</f>
        <v>7.9131369535794072</v>
      </c>
      <c r="H74" s="76">
        <v>7.9131369535794072</v>
      </c>
      <c r="I74" s="76">
        <v>7.9131369535794072</v>
      </c>
      <c r="J74" s="66">
        <v>5.5</v>
      </c>
      <c r="K74" s="67">
        <f>K60</f>
        <v>1.3550877192982456</v>
      </c>
      <c r="L74" s="194">
        <v>1.3550877192982456</v>
      </c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>
        <v>2.0590520590520631</v>
      </c>
      <c r="E75" s="76">
        <v>2.0590520590520631</v>
      </c>
      <c r="F75" s="66">
        <v>3.3</v>
      </c>
      <c r="G75" s="282"/>
      <c r="H75" s="76">
        <v>2.1755040108015784</v>
      </c>
      <c r="I75" s="76">
        <v>2.1755040108015784</v>
      </c>
      <c r="J75" s="66">
        <v>3.3</v>
      </c>
      <c r="K75" s="67"/>
      <c r="L75" s="194">
        <v>0.88456140350877199</v>
      </c>
      <c r="M75" s="194">
        <v>0.88456140350877199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6.5103056147832348</v>
      </c>
      <c r="E78" s="76">
        <v>6.5103056147832348</v>
      </c>
      <c r="F78" s="341">
        <v>5.5</v>
      </c>
      <c r="H78" s="76">
        <v>5.9038174215608645</v>
      </c>
      <c r="I78" s="76">
        <v>5.9038174215608645</v>
      </c>
      <c r="J78" s="341">
        <v>5.5</v>
      </c>
      <c r="L78" s="194">
        <v>0.57128719948018192</v>
      </c>
      <c r="M78" s="194">
        <v>0.57128719948018192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501" priority="68" operator="notBetween">
      <formula>#REF!</formula>
      <formula>#REF!</formula>
    </cfRule>
  </conditionalFormatting>
  <conditionalFormatting sqref="C55">
    <cfRule type="cellIs" dxfId="2500" priority="209" stopIfTrue="1" operator="lessThan">
      <formula>96</formula>
    </cfRule>
    <cfRule type="cellIs" dxfId="2499" priority="210" stopIfTrue="1" operator="greaterThan">
      <formula>100</formula>
    </cfRule>
  </conditionalFormatting>
  <conditionalFormatting sqref="C69:C73">
    <cfRule type="cellIs" dxfId="2498" priority="167" stopIfTrue="1" operator="lessThanOrEqual">
      <formula>0</formula>
    </cfRule>
  </conditionalFormatting>
  <conditionalFormatting sqref="C69:C77">
    <cfRule type="cellIs" dxfId="2497" priority="166" stopIfTrue="1" operator="greaterThan">
      <formula>$F69</formula>
    </cfRule>
  </conditionalFormatting>
  <conditionalFormatting sqref="C70">
    <cfRule type="cellIs" dxfId="2496" priority="213" stopIfTrue="1" operator="greaterThan">
      <formula>$F69</formula>
    </cfRule>
  </conditionalFormatting>
  <conditionalFormatting sqref="C74">
    <cfRule type="cellIs" dxfId="2495" priority="107" stopIfTrue="1" operator="greaterThan">
      <formula>$F73</formula>
    </cfRule>
    <cfRule type="cellIs" dxfId="2494" priority="106" stopIfTrue="1" operator="lessThanOrEqual">
      <formula>0</formula>
    </cfRule>
  </conditionalFormatting>
  <conditionalFormatting sqref="C80:C84">
    <cfRule type="cellIs" dxfId="2493" priority="201" stopIfTrue="1" operator="lessThanOrEqual">
      <formula>0</formula>
    </cfRule>
  </conditionalFormatting>
  <conditionalFormatting sqref="C81:C84">
    <cfRule type="cellIs" dxfId="2492" priority="200" stopIfTrue="1" operator="greaterThan">
      <formula>$F$80</formula>
    </cfRule>
  </conditionalFormatting>
  <conditionalFormatting sqref="C86">
    <cfRule type="cellIs" dxfId="2491" priority="203" stopIfTrue="1" operator="lessThanOrEqual">
      <formula>0</formula>
    </cfRule>
    <cfRule type="cellIs" dxfId="2490" priority="202" stopIfTrue="1" operator="greaterThan">
      <formula>$F$80</formula>
    </cfRule>
  </conditionalFormatting>
  <conditionalFormatting sqref="C80:D80 D82:D88">
    <cfRule type="cellIs" dxfId="2489" priority="195" stopIfTrue="1" operator="greaterThan">
      <formula>4.5</formula>
    </cfRule>
  </conditionalFormatting>
  <conditionalFormatting sqref="D51:D52">
    <cfRule type="cellIs" dxfId="2488" priority="69" operator="notBetween">
      <formula>#REF!</formula>
      <formula>#REF!</formula>
    </cfRule>
  </conditionalFormatting>
  <conditionalFormatting sqref="D69:D76">
    <cfRule type="cellIs" dxfId="2487" priority="175" stopIfTrue="1" operator="lessThanOrEqual">
      <formula>0</formula>
    </cfRule>
  </conditionalFormatting>
  <conditionalFormatting sqref="D80 D82:D88">
    <cfRule type="cellIs" dxfId="2486" priority="196" stopIfTrue="1" operator="lessThanOrEqual">
      <formula>0</formula>
    </cfRule>
  </conditionalFormatting>
  <conditionalFormatting sqref="D81">
    <cfRule type="cellIs" dxfId="2485" priority="188" stopIfTrue="1" operator="lessThanOrEqual">
      <formula>0</formula>
    </cfRule>
    <cfRule type="cellIs" dxfId="2484" priority="187" stopIfTrue="1" operator="greaterThan">
      <formula>$F$80</formula>
    </cfRule>
  </conditionalFormatting>
  <conditionalFormatting sqref="D69:E78">
    <cfRule type="cellIs" dxfId="2483" priority="164" stopIfTrue="1" operator="greaterThan">
      <formula>$F69</formula>
    </cfRule>
  </conditionalFormatting>
  <conditionalFormatting sqref="D77:E77">
    <cfRule type="cellIs" dxfId="2482" priority="174" stopIfTrue="1" operator="lessThanOrEqual">
      <formula>0</formula>
    </cfRule>
  </conditionalFormatting>
  <conditionalFormatting sqref="D78:E78">
    <cfRule type="cellIs" dxfId="2481" priority="165" stopIfTrue="1" operator="lessThanOrEqual">
      <formula>0</formula>
    </cfRule>
  </conditionalFormatting>
  <conditionalFormatting sqref="E10:E26">
    <cfRule type="cellIs" dxfId="2480" priority="31" operator="lessThan">
      <formula>48</formula>
    </cfRule>
  </conditionalFormatting>
  <conditionalFormatting sqref="E54 E55:F55">
    <cfRule type="cellIs" dxfId="2479" priority="192" stopIfTrue="1" operator="greaterThan">
      <formula>100</formula>
    </cfRule>
  </conditionalFormatting>
  <conditionalFormatting sqref="E55">
    <cfRule type="cellIs" dxfId="2478" priority="190" stopIfTrue="1" operator="greaterThan">
      <formula>100</formula>
    </cfRule>
    <cfRule type="cellIs" dxfId="2477" priority="189" stopIfTrue="1" operator="lessThan">
      <formula>96.8</formula>
    </cfRule>
  </conditionalFormatting>
  <conditionalFormatting sqref="E69:E76">
    <cfRule type="cellIs" dxfId="2476" priority="1" stopIfTrue="1" operator="lessThanOrEqual">
      <formula>0</formula>
    </cfRule>
  </conditionalFormatting>
  <conditionalFormatting sqref="E69:E77">
    <cfRule type="cellIs" dxfId="2475" priority="171" stopIfTrue="1" operator="lessThanOrEqual">
      <formula>0</formula>
    </cfRule>
  </conditionalFormatting>
  <conditionalFormatting sqref="E80:E88">
    <cfRule type="cellIs" dxfId="2474" priority="181" stopIfTrue="1" operator="greaterThan">
      <formula>4.5</formula>
    </cfRule>
    <cfRule type="cellIs" dxfId="2473" priority="182" stopIfTrue="1" operator="lessThanOrEqual">
      <formula>0</formula>
    </cfRule>
  </conditionalFormatting>
  <conditionalFormatting sqref="E55:F55 E54">
    <cfRule type="cellIs" dxfId="2472" priority="191" stopIfTrue="1" operator="lessThan">
      <formula>96.5</formula>
    </cfRule>
  </conditionalFormatting>
  <conditionalFormatting sqref="F10:F16 F20:F26">
    <cfRule type="cellIs" dxfId="2471" priority="47" operator="greaterThan">
      <formula>60</formula>
    </cfRule>
  </conditionalFormatting>
  <conditionalFormatting sqref="F55">
    <cfRule type="cellIs" dxfId="2470" priority="208" stopIfTrue="1" operator="greaterThan">
      <formula>100</formula>
    </cfRule>
    <cfRule type="cellIs" dxfId="2469" priority="207" stopIfTrue="1" operator="lessThan">
      <formula>96.8</formula>
    </cfRule>
  </conditionalFormatting>
  <conditionalFormatting sqref="F78">
    <cfRule type="cellIs" dxfId="2468" priority="173" stopIfTrue="1" operator="lessThanOrEqual">
      <formula>0</formula>
    </cfRule>
    <cfRule type="cellIs" dxfId="2467" priority="172" stopIfTrue="1" operator="greaterThan">
      <formula>$F78</formula>
    </cfRule>
  </conditionalFormatting>
  <conditionalFormatting sqref="G10:G24">
    <cfRule type="expression" dxfId="2466" priority="41">
      <formula>IF(+(IF(G10&lt;S10,0,IF(G10&gt;T10,0,1)))=0,1)</formula>
    </cfRule>
  </conditionalFormatting>
  <conditionalFormatting sqref="G69:G70 C75:C77">
    <cfRule type="cellIs" dxfId="2465" priority="177" stopIfTrue="1" operator="lessThanOrEqual">
      <formula>0</formula>
    </cfRule>
  </conditionalFormatting>
  <conditionalFormatting sqref="G69:G70">
    <cfRule type="cellIs" dxfId="2464" priority="176" stopIfTrue="1" operator="greaterThan">
      <formula>$F69</formula>
    </cfRule>
    <cfRule type="cellIs" dxfId="2463" priority="168" stopIfTrue="1" operator="greaterThan">
      <formula>$F69</formula>
    </cfRule>
    <cfRule type="cellIs" dxfId="2462" priority="169" stopIfTrue="1" operator="lessThanOrEqual">
      <formula>0</formula>
    </cfRule>
  </conditionalFormatting>
  <conditionalFormatting sqref="G71">
    <cfRule type="cellIs" dxfId="2461" priority="212" stopIfTrue="1" operator="lessThanOrEqual">
      <formula>0</formula>
    </cfRule>
    <cfRule type="cellIs" dxfId="2460" priority="211" stopIfTrue="1" operator="greaterThan">
      <formula>$F70</formula>
    </cfRule>
  </conditionalFormatting>
  <conditionalFormatting sqref="G72">
    <cfRule type="cellIs" dxfId="2459" priority="64" stopIfTrue="1" operator="greaterThan">
      <formula>$F72</formula>
    </cfRule>
    <cfRule type="cellIs" dxfId="2458" priority="65" stopIfTrue="1" operator="lessThanOrEqual">
      <formula>0</formula>
    </cfRule>
    <cfRule type="cellIs" dxfId="2457" priority="66" stopIfTrue="1" operator="greaterThan">
      <formula>$F72</formula>
    </cfRule>
    <cfRule type="cellIs" dxfId="2456" priority="67" stopIfTrue="1" operator="lessThanOrEqual">
      <formula>0</formula>
    </cfRule>
  </conditionalFormatting>
  <conditionalFormatting sqref="G73:G77">
    <cfRule type="cellIs" dxfId="2455" priority="178" stopIfTrue="1" operator="greaterThan">
      <formula>$J73</formula>
    </cfRule>
    <cfRule type="cellIs" dxfId="2454" priority="179" stopIfTrue="1" operator="lessThanOrEqual">
      <formula>0</formula>
    </cfRule>
  </conditionalFormatting>
  <conditionalFormatting sqref="G82:G87 C85 C87">
    <cfRule type="cellIs" dxfId="2453" priority="204" stopIfTrue="1" operator="greaterThan">
      <formula>4.5</formula>
    </cfRule>
    <cfRule type="cellIs" dxfId="2452" priority="205" stopIfTrue="1" operator="lessThanOrEqual">
      <formula>0</formula>
    </cfRule>
  </conditionalFormatting>
  <conditionalFormatting sqref="G81:H81">
    <cfRule type="cellIs" dxfId="2451" priority="185" stopIfTrue="1" operator="greaterThan">
      <formula>$F$80</formula>
    </cfRule>
    <cfRule type="cellIs" dxfId="2450" priority="186" stopIfTrue="1" operator="lessThanOrEqual">
      <formula>0</formula>
    </cfRule>
  </conditionalFormatting>
  <conditionalFormatting sqref="H10:H24">
    <cfRule type="expression" dxfId="2449" priority="40">
      <formula>IF(+(IF(H10&lt;#REF!,0,IF(H10&gt;#REF!,0,1)))=0,1)</formula>
    </cfRule>
  </conditionalFormatting>
  <conditionalFormatting sqref="H40:H41 H54:I54">
    <cfRule type="cellIs" dxfId="2448" priority="183" stopIfTrue="1" operator="greaterThan">
      <formula>0</formula>
    </cfRule>
  </conditionalFormatting>
  <conditionalFormatting sqref="H58">
    <cfRule type="cellIs" dxfId="2447" priority="61" stopIfTrue="1" operator="lessThanOrEqual">
      <formula>0</formula>
    </cfRule>
    <cfRule type="cellIs" dxfId="2446" priority="51" stopIfTrue="1" operator="lessThanOrEqual">
      <formula>0</formula>
    </cfRule>
    <cfRule type="cellIs" dxfId="2445" priority="52" stopIfTrue="1" operator="greaterThan">
      <formula>$F$73</formula>
    </cfRule>
    <cfRule type="cellIs" dxfId="2444" priority="62" stopIfTrue="1" operator="greaterThan">
      <formula>$F$74</formula>
    </cfRule>
    <cfRule type="cellIs" dxfId="2443" priority="63" stopIfTrue="1" operator="lessThanOrEqual">
      <formula>0</formula>
    </cfRule>
    <cfRule type="cellIs" dxfId="2442" priority="60" stopIfTrue="1" operator="greaterThan">
      <formula>$F$76</formula>
    </cfRule>
  </conditionalFormatting>
  <conditionalFormatting sqref="H59">
    <cfRule type="cellIs" dxfId="2441" priority="133" stopIfTrue="1" operator="lessThanOrEqual">
      <formula>0</formula>
    </cfRule>
    <cfRule type="cellIs" dxfId="2440" priority="123" stopIfTrue="1" operator="lessThanOrEqual">
      <formula>0</formula>
    </cfRule>
    <cfRule type="cellIs" dxfId="2439" priority="124" stopIfTrue="1" operator="greaterThan">
      <formula>#REF!</formula>
    </cfRule>
    <cfRule type="cellIs" dxfId="2438" priority="132" stopIfTrue="1" operator="greaterThan">
      <formula>$F$27</formula>
    </cfRule>
    <cfRule type="cellIs" dxfId="2437" priority="135" stopIfTrue="1" operator="lessThanOrEqual">
      <formula>0</formula>
    </cfRule>
    <cfRule type="cellIs" dxfId="2436" priority="134" stopIfTrue="1" operator="greaterThan">
      <formula>#REF!</formula>
    </cfRule>
  </conditionalFormatting>
  <conditionalFormatting sqref="H60">
    <cfRule type="cellIs" dxfId="2435" priority="13" stopIfTrue="1" operator="lessThanOrEqual">
      <formula>0</formula>
    </cfRule>
    <cfRule type="cellIs" dxfId="2434" priority="3" stopIfTrue="1" operator="lessThanOrEqual">
      <formula>0</formula>
    </cfRule>
    <cfRule type="cellIs" dxfId="2433" priority="4" stopIfTrue="1" operator="greaterThan">
      <formula>$F$69</formula>
    </cfRule>
    <cfRule type="cellIs" dxfId="2432" priority="12" stopIfTrue="1" operator="greaterThan">
      <formula>$F$72</formula>
    </cfRule>
    <cfRule type="cellIs" dxfId="2431" priority="14" stopIfTrue="1" operator="greaterThan">
      <formula>$F$70</formula>
    </cfRule>
    <cfRule type="cellIs" dxfId="2430" priority="15" stopIfTrue="1" operator="lessThanOrEqual">
      <formula>0</formula>
    </cfRule>
  </conditionalFormatting>
  <conditionalFormatting sqref="H61:H62">
    <cfRule type="cellIs" dxfId="2429" priority="118" stopIfTrue="1" operator="greaterThan">
      <formula>$F$26</formula>
    </cfRule>
    <cfRule type="cellIs" dxfId="2428" priority="121" stopIfTrue="1" operator="lessThanOrEqual">
      <formula>0</formula>
    </cfRule>
    <cfRule type="cellIs" dxfId="2427" priority="119" stopIfTrue="1" operator="lessThanOrEqual">
      <formula>0</formula>
    </cfRule>
    <cfRule type="cellIs" dxfId="2426" priority="120" stopIfTrue="1" operator="greaterThan">
      <formula>#REF!</formula>
    </cfRule>
    <cfRule type="cellIs" dxfId="2425" priority="109" stopIfTrue="1" operator="lessThanOrEqual">
      <formula>0</formula>
    </cfRule>
    <cfRule type="cellIs" dxfId="2424" priority="110" stopIfTrue="1" operator="greaterThan">
      <formula>#REF!</formula>
    </cfRule>
  </conditionalFormatting>
  <conditionalFormatting sqref="H63">
    <cfRule type="cellIs" dxfId="2423" priority="147" stopIfTrue="1" operator="greaterThan">
      <formula>$F$42</formula>
    </cfRule>
    <cfRule type="cellIs" dxfId="2422" priority="139" stopIfTrue="1" operator="greaterThan">
      <formula>$F$39</formula>
    </cfRule>
    <cfRule type="cellIs" dxfId="2421" priority="138" stopIfTrue="1" operator="lessThanOrEqual">
      <formula>0</formula>
    </cfRule>
    <cfRule type="cellIs" dxfId="2420" priority="148" stopIfTrue="1" operator="lessThanOrEqual">
      <formula>0</formula>
    </cfRule>
    <cfRule type="cellIs" dxfId="2419" priority="150" stopIfTrue="1" operator="lessThanOrEqual">
      <formula>0</formula>
    </cfRule>
    <cfRule type="cellIs" dxfId="2418" priority="149" stopIfTrue="1" operator="greaterThan">
      <formula>$F$40</formula>
    </cfRule>
  </conditionalFormatting>
  <conditionalFormatting sqref="H64:H65">
    <cfRule type="cellIs" dxfId="2417" priority="79" stopIfTrue="1" operator="lessThanOrEqual">
      <formula>0</formula>
    </cfRule>
    <cfRule type="cellIs" dxfId="2416" priority="89" stopIfTrue="1" operator="lessThanOrEqual">
      <formula>0</formula>
    </cfRule>
    <cfRule type="cellIs" dxfId="2415" priority="90" stopIfTrue="1" operator="greaterThan">
      <formula>#REF!</formula>
    </cfRule>
    <cfRule type="cellIs" dxfId="2414" priority="91" stopIfTrue="1" operator="lessThanOrEqual">
      <formula>0</formula>
    </cfRule>
    <cfRule type="cellIs" dxfId="2413" priority="80" stopIfTrue="1" operator="greaterThan">
      <formula>#REF!</formula>
    </cfRule>
    <cfRule type="cellIs" dxfId="2412" priority="88" stopIfTrue="1" operator="greaterThan">
      <formula>$F$26</formula>
    </cfRule>
  </conditionalFormatting>
  <conditionalFormatting sqref="H80 H82:H88">
    <cfRule type="cellIs" dxfId="2411" priority="197" stopIfTrue="1" operator="greaterThan">
      <formula>4.5</formula>
    </cfRule>
    <cfRule type="cellIs" dxfId="2410" priority="198" stopIfTrue="1" operator="lessThanOrEqual">
      <formula>0</formula>
    </cfRule>
  </conditionalFormatting>
  <conditionalFormatting sqref="H58:I58">
    <cfRule type="cellIs" dxfId="2409" priority="50" stopIfTrue="1" operator="greaterThan">
      <formula>$F$75</formula>
    </cfRule>
    <cfRule type="cellIs" dxfId="2408" priority="53" stopIfTrue="1" operator="lessThanOrEqual">
      <formula>0</formula>
    </cfRule>
  </conditionalFormatting>
  <conditionalFormatting sqref="H59:I59">
    <cfRule type="cellIs" dxfId="2407" priority="125" stopIfTrue="1" operator="lessThanOrEqual">
      <formula>0</formula>
    </cfRule>
    <cfRule type="cellIs" dxfId="2406" priority="122" stopIfTrue="1" operator="greaterThan">
      <formula>$F$26</formula>
    </cfRule>
  </conditionalFormatting>
  <conditionalFormatting sqref="H60:I60">
    <cfRule type="cellIs" dxfId="2405" priority="5" stopIfTrue="1" operator="lessThanOrEqual">
      <formula>0</formula>
    </cfRule>
    <cfRule type="cellIs" dxfId="2404" priority="2" stopIfTrue="1" operator="greaterThan">
      <formula>$F$71</formula>
    </cfRule>
  </conditionalFormatting>
  <conditionalFormatting sqref="H61:I62">
    <cfRule type="cellIs" dxfId="2403" priority="108" stopIfTrue="1" operator="greaterThan">
      <formula>#REF!</formula>
    </cfRule>
    <cfRule type="cellIs" dxfId="2402" priority="111" stopIfTrue="1" operator="lessThanOrEqual">
      <formula>0</formula>
    </cfRule>
  </conditionalFormatting>
  <conditionalFormatting sqref="H63:I63">
    <cfRule type="cellIs" dxfId="2401" priority="137" stopIfTrue="1" operator="greaterThan">
      <formula>$F$41</formula>
    </cfRule>
    <cfRule type="cellIs" dxfId="2400" priority="140" stopIfTrue="1" operator="lessThanOrEqual">
      <formula>0</formula>
    </cfRule>
  </conditionalFormatting>
  <conditionalFormatting sqref="H64:I65">
    <cfRule type="cellIs" dxfId="2399" priority="78" stopIfTrue="1" operator="greaterThan">
      <formula>#REF!</formula>
    </cfRule>
    <cfRule type="cellIs" dxfId="2398" priority="81" stopIfTrue="1" operator="lessThanOrEqual">
      <formula>0</formula>
    </cfRule>
  </conditionalFormatting>
  <conditionalFormatting sqref="H69:I76">
    <cfRule type="cellIs" dxfId="2397" priority="29" stopIfTrue="1" operator="greaterThan">
      <formula>$J69</formula>
    </cfRule>
    <cfRule type="cellIs" dxfId="2396" priority="30" stopIfTrue="1" operator="lessThanOrEqual">
      <formula>0</formula>
    </cfRule>
  </conditionalFormatting>
  <conditionalFormatting sqref="H77:I77">
    <cfRule type="cellIs" dxfId="2395" priority="170" operator="greaterThan">
      <formula>5.3</formula>
    </cfRule>
  </conditionalFormatting>
  <conditionalFormatting sqref="H78:I78">
    <cfRule type="cellIs" dxfId="2394" priority="163" stopIfTrue="1" operator="lessThanOrEqual">
      <formula>0</formula>
    </cfRule>
    <cfRule type="cellIs" dxfId="2393" priority="162" stopIfTrue="1" operator="greaterThan">
      <formula>$J78</formula>
    </cfRule>
  </conditionalFormatting>
  <conditionalFormatting sqref="I58">
    <cfRule type="cellIs" dxfId="2392" priority="57" stopIfTrue="1" operator="lessThanOrEqual">
      <formula>0</formula>
    </cfRule>
    <cfRule type="cellIs" dxfId="2391" priority="58" stopIfTrue="1" operator="greaterThan">
      <formula>$F$73</formula>
    </cfRule>
    <cfRule type="cellIs" dxfId="2390" priority="59" stopIfTrue="1" operator="lessThanOrEqual">
      <formula>0</formula>
    </cfRule>
    <cfRule type="cellIs" dxfId="2389" priority="55" stopIfTrue="1" operator="lessThanOrEqual">
      <formula>0</formula>
    </cfRule>
    <cfRule type="cellIs" dxfId="2388" priority="54" stopIfTrue="1" operator="greaterThan">
      <formula>$F$73</formula>
    </cfRule>
    <cfRule type="cellIs" dxfId="2387" priority="56" stopIfTrue="1" operator="greaterThan">
      <formula>$F$75</formula>
    </cfRule>
  </conditionalFormatting>
  <conditionalFormatting sqref="I59">
    <cfRule type="cellIs" dxfId="2386" priority="127" stopIfTrue="1" operator="lessThanOrEqual">
      <formula>0</formula>
    </cfRule>
    <cfRule type="cellIs" dxfId="2385" priority="126" stopIfTrue="1" operator="greaterThan">
      <formula>#REF!</formula>
    </cfRule>
    <cfRule type="cellIs" dxfId="2384" priority="129" stopIfTrue="1" operator="lessThanOrEqual">
      <formula>0</formula>
    </cfRule>
    <cfRule type="cellIs" dxfId="2383" priority="131" stopIfTrue="1" operator="lessThanOrEqual">
      <formula>0</formula>
    </cfRule>
    <cfRule type="cellIs" dxfId="2382" priority="130" stopIfTrue="1" operator="greaterThan">
      <formula>#REF!</formula>
    </cfRule>
    <cfRule type="cellIs" dxfId="2381" priority="128" stopIfTrue="1" operator="greaterThan">
      <formula>$F$26</formula>
    </cfRule>
  </conditionalFormatting>
  <conditionalFormatting sqref="I60">
    <cfRule type="cellIs" dxfId="2380" priority="6" stopIfTrue="1" operator="greaterThan">
      <formula>$F$69</formula>
    </cfRule>
    <cfRule type="cellIs" dxfId="2379" priority="7" stopIfTrue="1" operator="lessThanOrEqual">
      <formula>0</formula>
    </cfRule>
    <cfRule type="cellIs" dxfId="2378" priority="8" stopIfTrue="1" operator="greaterThan">
      <formula>$F$71</formula>
    </cfRule>
    <cfRule type="cellIs" dxfId="2377" priority="11" stopIfTrue="1" operator="lessThanOrEqual">
      <formula>0</formula>
    </cfRule>
    <cfRule type="cellIs" dxfId="2376" priority="10" stopIfTrue="1" operator="greaterThan">
      <formula>$F$69</formula>
    </cfRule>
    <cfRule type="cellIs" dxfId="2375" priority="9" stopIfTrue="1" operator="lessThanOrEqual">
      <formula>0</formula>
    </cfRule>
  </conditionalFormatting>
  <conditionalFormatting sqref="I61:I62">
    <cfRule type="cellIs" dxfId="2374" priority="117" stopIfTrue="1" operator="lessThanOrEqual">
      <formula>0</formula>
    </cfRule>
    <cfRule type="cellIs" dxfId="2373" priority="116" stopIfTrue="1" operator="greaterThan">
      <formula>#REF!</formula>
    </cfRule>
    <cfRule type="cellIs" dxfId="2372" priority="115" stopIfTrue="1" operator="lessThanOrEqual">
      <formula>0</formula>
    </cfRule>
    <cfRule type="cellIs" dxfId="2371" priority="112" stopIfTrue="1" operator="greaterThan">
      <formula>#REF!</formula>
    </cfRule>
    <cfRule type="cellIs" dxfId="2370" priority="114" stopIfTrue="1" operator="greaterThan">
      <formula>#REF!</formula>
    </cfRule>
    <cfRule type="cellIs" dxfId="2369" priority="113" stopIfTrue="1" operator="lessThanOrEqual">
      <formula>0</formula>
    </cfRule>
  </conditionalFormatting>
  <conditionalFormatting sqref="I63">
    <cfRule type="cellIs" dxfId="2368" priority="146" stopIfTrue="1" operator="lessThanOrEqual">
      <formula>0</formula>
    </cfRule>
    <cfRule type="cellIs" dxfId="2367" priority="145" stopIfTrue="1" operator="greaterThan">
      <formula>$F$39</formula>
    </cfRule>
    <cfRule type="cellIs" dxfId="2366" priority="143" stopIfTrue="1" operator="greaterThan">
      <formula>$F$41</formula>
    </cfRule>
    <cfRule type="cellIs" dxfId="2365" priority="142" stopIfTrue="1" operator="lessThanOrEqual">
      <formula>0</formula>
    </cfRule>
    <cfRule type="cellIs" dxfId="2364" priority="141" stopIfTrue="1" operator="greaterThan">
      <formula>$F$39</formula>
    </cfRule>
    <cfRule type="cellIs" dxfId="2363" priority="144" stopIfTrue="1" operator="lessThanOrEqual">
      <formula>0</formula>
    </cfRule>
  </conditionalFormatting>
  <conditionalFormatting sqref="I64:I65">
    <cfRule type="cellIs" dxfId="2362" priority="84" stopIfTrue="1" operator="greaterThan">
      <formula>#REF!</formula>
    </cfRule>
    <cfRule type="cellIs" dxfId="2361" priority="87" stopIfTrue="1" operator="lessThanOrEqual">
      <formula>0</formula>
    </cfRule>
    <cfRule type="cellIs" dxfId="2360" priority="86" stopIfTrue="1" operator="greaterThan">
      <formula>#REF!</formula>
    </cfRule>
    <cfRule type="cellIs" dxfId="2359" priority="85" stopIfTrue="1" operator="lessThanOrEqual">
      <formula>0</formula>
    </cfRule>
    <cfRule type="cellIs" dxfId="2358" priority="83" stopIfTrue="1" operator="lessThanOrEqual">
      <formula>0</formula>
    </cfRule>
    <cfRule type="cellIs" dxfId="2357" priority="82" stopIfTrue="1" operator="greaterThan">
      <formula>#REF!</formula>
    </cfRule>
  </conditionalFormatting>
  <conditionalFormatting sqref="I80:I88">
    <cfRule type="cellIs" dxfId="2356" priority="193" stopIfTrue="1" operator="greaterThan">
      <formula>4.5</formula>
    </cfRule>
    <cfRule type="cellIs" dxfId="2355" priority="194" stopIfTrue="1" operator="lessThanOrEqual">
      <formula>0</formula>
    </cfRule>
  </conditionalFormatting>
  <conditionalFormatting sqref="I10:J26">
    <cfRule type="cellIs" dxfId="2354" priority="33" operator="lessThan">
      <formula>97.9</formula>
    </cfRule>
  </conditionalFormatting>
  <conditionalFormatting sqref="J30:J31">
    <cfRule type="cellIs" dxfId="2353" priority="152" stopIfTrue="1" operator="lessThan">
      <formula>96.8</formula>
    </cfRule>
    <cfRule type="cellIs" dxfId="2352" priority="153" stopIfTrue="1" operator="greaterThan">
      <formula>100</formula>
    </cfRule>
    <cfRule type="cellIs" dxfId="2351" priority="154" operator="lessThan">
      <formula>98</formula>
    </cfRule>
  </conditionalFormatting>
  <conditionalFormatting sqref="J30:J33">
    <cfRule type="cellIs" dxfId="2350" priority="151" operator="lessThan">
      <formula>97.4</formula>
    </cfRule>
  </conditionalFormatting>
  <conditionalFormatting sqref="J34:J35">
    <cfRule type="cellIs" dxfId="2349" priority="155" operator="lessThan">
      <formula>98</formula>
    </cfRule>
  </conditionalFormatting>
  <conditionalFormatting sqref="J36:J37">
    <cfRule type="cellIs" dxfId="2348" priority="156" stopIfTrue="1" operator="lessThan">
      <formula>96.8</formula>
    </cfRule>
    <cfRule type="cellIs" dxfId="2347" priority="157" stopIfTrue="1" operator="greaterThan">
      <formula>100</formula>
    </cfRule>
  </conditionalFormatting>
  <conditionalFormatting sqref="J36:J38">
    <cfRule type="cellIs" dxfId="2346" priority="158" operator="lessThan">
      <formula>98</formula>
    </cfRule>
  </conditionalFormatting>
  <conditionalFormatting sqref="J65">
    <cfRule type="cellIs" dxfId="2345" priority="77" stopIfTrue="1" operator="lessThanOrEqual">
      <formula>0</formula>
    </cfRule>
    <cfRule type="cellIs" dxfId="2344" priority="76" stopIfTrue="1" operator="greaterThan">
      <formula>#REF!</formula>
    </cfRule>
    <cfRule type="cellIs" dxfId="2343" priority="75" stopIfTrue="1" operator="lessThanOrEqual">
      <formula>0</formula>
    </cfRule>
    <cfRule type="cellIs" dxfId="2342" priority="74" stopIfTrue="1" operator="greaterThan">
      <formula>#REF!</formula>
    </cfRule>
    <cfRule type="cellIs" dxfId="2341" priority="73" stopIfTrue="1" operator="lessThanOrEqual">
      <formula>0</formula>
    </cfRule>
    <cfRule type="cellIs" dxfId="2340" priority="72" stopIfTrue="1" operator="greaterThan">
      <formula>#REF!</formula>
    </cfRule>
    <cfRule type="cellIs" dxfId="2339" priority="71" stopIfTrue="1" operator="lessThanOrEqual">
      <formula>0</formula>
    </cfRule>
    <cfRule type="cellIs" dxfId="2338" priority="70" stopIfTrue="1" operator="greaterThan">
      <formula>#REF!</formula>
    </cfRule>
  </conditionalFormatting>
  <conditionalFormatting sqref="J78">
    <cfRule type="cellIs" dxfId="2337" priority="159" stopIfTrue="1" operator="greaterThan">
      <formula>$F78</formula>
    </cfRule>
    <cfRule type="cellIs" dxfId="2336" priority="160" stopIfTrue="1" operator="lessThanOrEqual">
      <formula>0</formula>
    </cfRule>
  </conditionalFormatting>
  <conditionalFormatting sqref="K10:K26">
    <cfRule type="cellIs" dxfId="2335" priority="36" operator="greaterThan">
      <formula>6.4</formula>
    </cfRule>
    <cfRule type="cellIs" dxfId="2334" priority="35" operator="lessThan">
      <formula>4</formula>
    </cfRule>
    <cfRule type="cellIs" dxfId="2333" priority="34" operator="greaterThan">
      <formula>6</formula>
    </cfRule>
  </conditionalFormatting>
  <conditionalFormatting sqref="K58:K65 K69:M75 N69:N77 K76 K77:M77">
    <cfRule type="cellIs" dxfId="2332" priority="136" stopIfTrue="1" operator="lessThan">
      <formula>100%</formula>
    </cfRule>
  </conditionalFormatting>
  <conditionalFormatting sqref="K80:K85">
    <cfRule type="cellIs" dxfId="2331" priority="199" stopIfTrue="1" operator="lessThan">
      <formula>100%</formula>
    </cfRule>
  </conditionalFormatting>
  <conditionalFormatting sqref="K87:K88">
    <cfRule type="cellIs" dxfId="2330" priority="206" stopIfTrue="1" operator="lessThan">
      <formula>100%</formula>
    </cfRule>
  </conditionalFormatting>
  <conditionalFormatting sqref="L10:L24">
    <cfRule type="cellIs" dxfId="2329" priority="39" operator="greaterThan">
      <formula>65</formula>
    </cfRule>
    <cfRule type="cellIs" dxfId="2328" priority="38" operator="between">
      <formula>61</formula>
      <formula>65</formula>
    </cfRule>
  </conditionalFormatting>
  <conditionalFormatting sqref="L26">
    <cfRule type="cellIs" dxfId="2327" priority="45" operator="between">
      <formula>61</formula>
      <formula>65</formula>
    </cfRule>
    <cfRule type="cellIs" dxfId="2326" priority="46" operator="greaterThan">
      <formula>65</formula>
    </cfRule>
  </conditionalFormatting>
  <conditionalFormatting sqref="L25:M25">
    <cfRule type="cellIs" dxfId="2325" priority="43" operator="between">
      <formula>61</formula>
      <formula>65</formula>
    </cfRule>
    <cfRule type="cellIs" dxfId="2324" priority="42" operator="greaterThan">
      <formula>65</formula>
    </cfRule>
  </conditionalFormatting>
  <conditionalFormatting sqref="L29:M40">
    <cfRule type="cellIs" dxfId="2323" priority="48" operator="lessThan">
      <formula>97.95</formula>
    </cfRule>
  </conditionalFormatting>
  <conditionalFormatting sqref="L44:N44">
    <cfRule type="cellIs" dxfId="2322" priority="49" operator="notEqual">
      <formula>#REF!</formula>
    </cfRule>
  </conditionalFormatting>
  <conditionalFormatting sqref="L78:N78">
    <cfRule type="cellIs" dxfId="2321" priority="161" stopIfTrue="1" operator="lessThan">
      <formula>100%</formula>
    </cfRule>
  </conditionalFormatting>
  <conditionalFormatting sqref="L80:N88">
    <cfRule type="cellIs" dxfId="2320" priority="184" stopIfTrue="1" operator="lessThan">
      <formula>100%</formula>
    </cfRule>
  </conditionalFormatting>
  <conditionalFormatting sqref="M10:M24">
    <cfRule type="expression" dxfId="2319" priority="37">
      <formula>IF(+(IF(M10&lt;U10,0,IF(M10&gt;V10,0,1)))=0,1)</formula>
    </cfRule>
  </conditionalFormatting>
  <conditionalFormatting sqref="M25 G25:H26">
    <cfRule type="expression" dxfId="2318" priority="44">
      <formula>IF(+(IF(G25&lt;#REF!,0,IF(G25&gt;#REF!,0,1)))=0,1)</formula>
    </cfRule>
  </conditionalFormatting>
  <conditionalFormatting sqref="M26:N26">
    <cfRule type="expression" dxfId="2317" priority="214">
      <formula>IF(+(IF(M26&lt;#REF!,0,IF(M26&gt;#REF!,0,1)))=0,1)</formula>
    </cfRule>
  </conditionalFormatting>
  <conditionalFormatting sqref="N10:N25">
    <cfRule type="expression" dxfId="2316" priority="32">
      <formula>IF(+(IF(N10&lt;W10,0,IF(N10&gt;X10,0,1)))=0,1)</formula>
    </cfRule>
  </conditionalFormatting>
  <conditionalFormatting sqref="P6">
    <cfRule type="cellIs" dxfId="2315" priority="180" operator="greaterThanOrEqual">
      <formula>19</formula>
    </cfRule>
  </conditionalFormatting>
  <dataValidations disablePrompts="1" count="1">
    <dataValidation type="list" allowBlank="1" showInputMessage="1" showErrorMessage="1" sqref="R8" xr:uid="{412FD05A-155B-42FC-BB52-97D8CDC6AC15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2A6A-536E-45E9-A408-905856258498}">
  <sheetPr codeName="Sheet11">
    <pageSetUpPr fitToPage="1"/>
  </sheetPr>
  <dimension ref="A1:BE75"/>
  <sheetViews>
    <sheetView topLeftCell="A8" zoomScale="80" zoomScaleNormal="80" workbookViewId="0">
      <selection activeCell="D10" sqref="D10:D21"/>
    </sheetView>
  </sheetViews>
  <sheetFormatPr defaultColWidth="9.42578125" defaultRowHeight="14.25"/>
  <cols>
    <col min="1" max="1" width="3.28515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46038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33" t="s">
        <v>9</v>
      </c>
      <c r="C10" s="366" t="str">
        <f>[5]Brewhouse!$A55</f>
        <v>ST005</v>
      </c>
      <c r="D10" s="279">
        <f>[5]Brewhouse!$AB55</f>
        <v>52.1</v>
      </c>
      <c r="E10" s="279">
        <f>[5]Brewhouse!$AG55</f>
        <v>47.5</v>
      </c>
      <c r="F10" s="278">
        <f>[5]Brewhouse!$V55</f>
        <v>59</v>
      </c>
      <c r="G10" s="279">
        <f>[5]Brewhouse!$AE55</f>
        <v>11.9</v>
      </c>
      <c r="H10" s="396">
        <v>11.9</v>
      </c>
      <c r="I10" s="368">
        <f>[5]Brewhouse!$AS55</f>
        <v>95.527344703430927</v>
      </c>
      <c r="J10" s="368">
        <f>[5]Brewhouse!$AT55</f>
        <v>95.254937407096733</v>
      </c>
      <c r="K10" s="281">
        <f>[5]Brewhouse!$Q55</f>
        <v>2.4472168905950067</v>
      </c>
      <c r="L10" s="276">
        <f>[5]Brewhouse!$P55</f>
        <v>58</v>
      </c>
      <c r="M10" s="374">
        <f>[5]Brewhouse!$U55-[5]Brewhouse!$T55</f>
        <v>0.11180555555555549</v>
      </c>
      <c r="N10" s="370">
        <f>[5]Brewhouse!$AW55</f>
        <v>0.26319444444444429</v>
      </c>
      <c r="O10" s="371" t="str">
        <f>[5]Brewhouse!$AV55</f>
        <v>R.Sookram</v>
      </c>
      <c r="P10" s="418"/>
      <c r="R10" s="277" t="str">
        <f t="shared" ref="R10:R16" si="0">B10</f>
        <v>STAG</v>
      </c>
      <c r="S10" s="474">
        <f t="shared" ref="S10:S16" si="1">VLOOKUP($B10,$R$3:$X$9,2,FALSE)</f>
        <v>11.6</v>
      </c>
      <c r="T10" s="474">
        <f t="shared" ref="T10:T16" si="2">VLOOKUP($B10,$R$3:$X$9,3,FALSE)</f>
        <v>12</v>
      </c>
      <c r="U10" s="297">
        <f t="shared" ref="U10:U16" si="3">VLOOKUP($B10,$R$3:$X$9,4,FALSE)</f>
        <v>0</v>
      </c>
      <c r="V10" s="297">
        <f t="shared" ref="V10:V16" si="4">VLOOKUP($B10,$R$3:$X$9,5,FALSE)</f>
        <v>0.118055555555556</v>
      </c>
      <c r="W10" s="297">
        <f t="shared" ref="W10:W16" si="5">VLOOKUP($B10,$R$3:$X$9,6,FALSE)</f>
        <v>0.22569444444444445</v>
      </c>
      <c r="X10" s="297">
        <f t="shared" ref="X10:X16" si="6">VLOOKUP($B10,$R$3:$X$9,7,FALSE)</f>
        <v>0.2638888888888889</v>
      </c>
      <c r="Y10" s="297">
        <f t="shared" ref="Y10:Y16" si="7">VLOOKUP($B10,$R$3:$Z$9,8,FALSE)</f>
        <v>0</v>
      </c>
      <c r="Z10" s="474">
        <f t="shared" ref="Z10:Z16" si="8">VLOOKUP($B10,$R$3:$Z$9,9,FALSE)</f>
        <v>60</v>
      </c>
    </row>
    <row r="11" spans="2:29" ht="16.5" customHeight="1">
      <c r="B11" s="33" t="s">
        <v>9</v>
      </c>
      <c r="C11" s="366" t="str">
        <f>[5]Brewhouse!$A56</f>
        <v>ST006</v>
      </c>
      <c r="D11" s="279">
        <f>[5]Brewhouse!$AB56</f>
        <v>52.1</v>
      </c>
      <c r="E11" s="279">
        <f>[5]Brewhouse!$AG56</f>
        <v>49.7</v>
      </c>
      <c r="F11" s="278">
        <f>[5]Brewhouse!$V56</f>
        <v>57</v>
      </c>
      <c r="G11" s="279">
        <f>[5]Brewhouse!$AE56</f>
        <v>11.9</v>
      </c>
      <c r="H11" s="396">
        <v>12</v>
      </c>
      <c r="I11" s="368">
        <f>[5]Brewhouse!$AS56</f>
        <v>100.07660336606865</v>
      </c>
      <c r="J11" s="368">
        <f>[5]Brewhouse!$AT56</f>
        <v>99.791316619309868</v>
      </c>
      <c r="K11" s="281">
        <f>[5]Brewhouse!$Q56</f>
        <v>2.2552783109404935</v>
      </c>
      <c r="L11" s="276">
        <f>[5]Brewhouse!$P56</f>
        <v>58</v>
      </c>
      <c r="M11" s="374">
        <f>[5]Brewhouse!$U56-[5]Brewhouse!$T56</f>
        <v>0.1118055555555556</v>
      </c>
      <c r="N11" s="370">
        <f>[5]Brewhouse!$AW56</f>
        <v>0.25833333333333336</v>
      </c>
      <c r="O11" s="371" t="str">
        <f>[5]Brewhouse!$AV56</f>
        <v>R.Sookram</v>
      </c>
      <c r="P11" s="418"/>
      <c r="R11" s="277" t="str">
        <f t="shared" si="0"/>
        <v>STAG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33" t="s">
        <v>9</v>
      </c>
      <c r="C12" s="366" t="str">
        <f>[5]Brewhouse!$A57</f>
        <v>ST007</v>
      </c>
      <c r="D12" s="279">
        <f>[5]Brewhouse!$AB57</f>
        <v>52</v>
      </c>
      <c r="E12" s="279">
        <f>[5]Brewhouse!$AG57</f>
        <v>49.9</v>
      </c>
      <c r="F12" s="278">
        <f>[5]Brewhouse!$V57</f>
        <v>60</v>
      </c>
      <c r="G12" s="279">
        <f>[5]Brewhouse!$AE57</f>
        <v>11.8</v>
      </c>
      <c r="H12" s="396">
        <v>12</v>
      </c>
      <c r="I12" s="368">
        <f>[5]Brewhouse!$AS57</f>
        <v>99.467327733929991</v>
      </c>
      <c r="J12" s="368">
        <f>[5]Brewhouse!$AT57</f>
        <v>99.183685119286963</v>
      </c>
      <c r="K12" s="281">
        <f>[5]Brewhouse!$Q57</f>
        <v>1.6826923076923077</v>
      </c>
      <c r="L12" s="276">
        <f>[5]Brewhouse!$P57</f>
        <v>60</v>
      </c>
      <c r="M12" s="374">
        <f>[5]Brewhouse!$U57-[5]Brewhouse!$T57</f>
        <v>0.11805555555555552</v>
      </c>
      <c r="N12" s="370">
        <f>[5]Brewhouse!$AW57</f>
        <v>0.2722222222222222</v>
      </c>
      <c r="O12" s="371" t="str">
        <f>[5]Brewhouse!$AV57</f>
        <v>K. Benjamin</v>
      </c>
      <c r="P12" s="418"/>
      <c r="R12" s="277" t="str">
        <f t="shared" si="0"/>
        <v>STAG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33" t="s">
        <v>9</v>
      </c>
      <c r="C13" s="366" t="str">
        <f>[5]Brewhouse!$A58</f>
        <v>ST008</v>
      </c>
      <c r="D13" s="279">
        <f>[5]Brewhouse!$AB58</f>
        <v>52</v>
      </c>
      <c r="E13" s="279">
        <f>[5]Brewhouse!$AG58</f>
        <v>49.7</v>
      </c>
      <c r="F13" s="278">
        <f>[5]Brewhouse!$V58</f>
        <v>58</v>
      </c>
      <c r="G13" s="279">
        <f>[5]Brewhouse!$AE58</f>
        <v>11.9</v>
      </c>
      <c r="H13" s="396">
        <v>12.2</v>
      </c>
      <c r="I13" s="368">
        <f>[5]Brewhouse!$AS58</f>
        <v>99.703032511968686</v>
      </c>
      <c r="J13" s="368">
        <f>[5]Brewhouse!$AT58</f>
        <v>99.418532572722469</v>
      </c>
      <c r="K13" s="281">
        <f>[5]Brewhouse!$Q58</f>
        <v>1.8750000000000027</v>
      </c>
      <c r="L13" s="276">
        <f>[5]Brewhouse!$P58</f>
        <v>60</v>
      </c>
      <c r="M13" s="374">
        <f>[5]Brewhouse!$U58-[5]Brewhouse!$T58</f>
        <v>0.11458333333333331</v>
      </c>
      <c r="N13" s="370">
        <f>[5]Brewhouse!$AW58</f>
        <v>0.2631944444444444</v>
      </c>
      <c r="O13" s="371" t="str">
        <f>[5]Brewhouse!$AV58</f>
        <v>K. Benjamin</v>
      </c>
      <c r="P13" s="418"/>
      <c r="R13" s="277" t="str">
        <f t="shared" si="0"/>
        <v>STAG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33" t="s">
        <v>9</v>
      </c>
      <c r="C14" s="366" t="str">
        <f>[5]Brewhouse!$A59</f>
        <v>ST009</v>
      </c>
      <c r="D14" s="279">
        <f>[5]Brewhouse!$AB59</f>
        <v>52</v>
      </c>
      <c r="E14" s="279">
        <f>[5]Brewhouse!$AG59</f>
        <v>49.6</v>
      </c>
      <c r="F14" s="278">
        <f>[5]Brewhouse!$V59</f>
        <v>73</v>
      </c>
      <c r="G14" s="279">
        <f>[5]Brewhouse!$AE59</f>
        <v>11.7</v>
      </c>
      <c r="H14" s="396">
        <v>11.7</v>
      </c>
      <c r="I14" s="368">
        <f>[5]Brewhouse!$AS59</f>
        <v>97.74414704454891</v>
      </c>
      <c r="J14" s="368">
        <f>[5]Brewhouse!$AT59</f>
        <v>97.465236732643319</v>
      </c>
      <c r="K14" s="281">
        <f>[5]Brewhouse!$Q59</f>
        <v>2.0673076923076841</v>
      </c>
      <c r="L14" s="276">
        <f>[5]Brewhouse!$P59</f>
        <v>59</v>
      </c>
      <c r="M14" s="374">
        <f>[5]Brewhouse!$U59-[5]Brewhouse!$T59</f>
        <v>0.13819444444444451</v>
      </c>
      <c r="N14" s="370">
        <f>[5]Brewhouse!$AW59</f>
        <v>0.28680555555555559</v>
      </c>
      <c r="O14" s="371" t="str">
        <f>[5]Brewhouse!$AV59</f>
        <v>K. Benjamin</v>
      </c>
      <c r="P14" s="418" t="s">
        <v>174</v>
      </c>
      <c r="R14" s="277" t="str">
        <f t="shared" si="0"/>
        <v>STAG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33" t="s">
        <v>9</v>
      </c>
      <c r="C15" s="366" t="str">
        <f>[5]Brewhouse!$A60</f>
        <v>ST010</v>
      </c>
      <c r="D15" s="279">
        <f>[5]Brewhouse!$AB60</f>
        <v>52</v>
      </c>
      <c r="E15" s="279">
        <f>[5]Brewhouse!$AG60</f>
        <v>49.8</v>
      </c>
      <c r="F15" s="278">
        <f>[5]Brewhouse!$V60</f>
        <v>75</v>
      </c>
      <c r="G15" s="279">
        <f>[5]Brewhouse!$AE60</f>
        <v>11.7</v>
      </c>
      <c r="H15" s="396">
        <v>11.7</v>
      </c>
      <c r="I15" s="368">
        <f>[5]Brewhouse!$AS60</f>
        <v>98.138276669728526</v>
      </c>
      <c r="J15" s="368">
        <f>[5]Brewhouse!$AT60</f>
        <v>97.858241719468481</v>
      </c>
      <c r="K15" s="281">
        <f>[5]Brewhouse!$Q60</f>
        <v>1.1057692307692224</v>
      </c>
      <c r="L15" s="276">
        <f>[5]Brewhouse!$P60</f>
        <v>60</v>
      </c>
      <c r="M15" s="374">
        <f>[5]Brewhouse!$U60-[5]Brewhouse!$T60</f>
        <v>0.12361111111111112</v>
      </c>
      <c r="N15" s="370">
        <f>[5]Brewhouse!$AW60</f>
        <v>0.29305555555555557</v>
      </c>
      <c r="O15" s="371" t="str">
        <f>[5]Brewhouse!$AV60</f>
        <v>D. Gomaz</v>
      </c>
      <c r="P15" s="418" t="s">
        <v>193</v>
      </c>
      <c r="R15" s="277" t="str">
        <f t="shared" si="0"/>
        <v>STAG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33" t="s">
        <v>9</v>
      </c>
      <c r="C16" s="366" t="str">
        <f>[5]Brewhouse!$A61</f>
        <v>ST011</v>
      </c>
      <c r="D16" s="279">
        <f>[5]Brewhouse!$AB61</f>
        <v>52</v>
      </c>
      <c r="E16" s="279">
        <f>[5]Brewhouse!$AG61</f>
        <v>51.3</v>
      </c>
      <c r="F16" s="278">
        <f>[5]Brewhouse!$V61</f>
        <v>77</v>
      </c>
      <c r="G16" s="279">
        <f>[5]Brewhouse!$AE61</f>
        <v>11.6</v>
      </c>
      <c r="H16" s="396">
        <v>11.7</v>
      </c>
      <c r="I16" s="368">
        <f>[5]Brewhouse!$AS61</f>
        <v>100.18497924496634</v>
      </c>
      <c r="J16" s="368">
        <f>[5]Brewhouse!$AT61</f>
        <v>99.899104083594949</v>
      </c>
      <c r="K16" s="281">
        <f>[5]Brewhouse!$Q61</f>
        <v>-4.8076923076920339E-2</v>
      </c>
      <c r="L16" s="276">
        <f>[5]Brewhouse!$P61</f>
        <v>61</v>
      </c>
      <c r="M16" s="374">
        <f>[5]Brewhouse!$U61-[5]Brewhouse!$T61</f>
        <v>0.12222222222222223</v>
      </c>
      <c r="N16" s="370">
        <f>[5]Brewhouse!$AW61</f>
        <v>0.29513888888888884</v>
      </c>
      <c r="O16" s="371" t="str">
        <f>[5]Brewhouse!$AV61</f>
        <v>D. Gomaz</v>
      </c>
      <c r="P16" s="418" t="s">
        <v>193</v>
      </c>
      <c r="R16" s="277" t="str">
        <f t="shared" si="0"/>
        <v>STAG</v>
      </c>
      <c r="S16" s="474">
        <f t="shared" si="1"/>
        <v>11.6</v>
      </c>
      <c r="T16" s="474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4">
        <f t="shared" si="8"/>
        <v>60</v>
      </c>
    </row>
    <row r="17" spans="1:27" ht="16.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ref="R17:R32" si="9">B17</f>
        <v>0</v>
      </c>
      <c r="S17" s="474" t="e">
        <f t="shared" ref="S17:S32" si="10">VLOOKUP($B17,$R$3:$X$9,2,FALSE)</f>
        <v>#N/A</v>
      </c>
      <c r="T17" s="474" t="e">
        <f t="shared" ref="T17:T32" si="11">VLOOKUP($B17,$R$3:$X$9,3,FALSE)</f>
        <v>#N/A</v>
      </c>
      <c r="U17" s="297" t="e">
        <f t="shared" ref="U17:U32" si="12">VLOOKUP($B17,$R$3:$X$9,4,FALSE)</f>
        <v>#N/A</v>
      </c>
      <c r="V17" s="297" t="e">
        <f t="shared" ref="V17:V32" si="13">VLOOKUP($B17,$R$3:$X$9,5,FALSE)</f>
        <v>#N/A</v>
      </c>
      <c r="W17" s="297" t="e">
        <f t="shared" ref="W17:W32" si="14">VLOOKUP($B17,$R$3:$X$9,6,FALSE)</f>
        <v>#N/A</v>
      </c>
      <c r="X17" s="297" t="e">
        <f t="shared" ref="X17:X32" si="15">VLOOKUP($B17,$R$3:$X$9,7,FALSE)</f>
        <v>#N/A</v>
      </c>
      <c r="Y17" s="297" t="e">
        <f t="shared" ref="Y17:Y32" si="16">VLOOKUP($B17,$R$3:$Z$9,8,FALSE)</f>
        <v>#N/A</v>
      </c>
      <c r="Z17" s="474" t="e">
        <f t="shared" ref="Z17:Z32" si="17">VLOOKUP($B17,$R$3:$Z$9,9,FALSE)</f>
        <v>#N/A</v>
      </c>
    </row>
    <row r="18" spans="1:27" ht="16.5" customHeight="1">
      <c r="B18" s="29" t="s">
        <v>6</v>
      </c>
      <c r="C18" s="366" t="str">
        <f>[4]Brewhouse!$A70</f>
        <v>CA029</v>
      </c>
      <c r="D18" s="279">
        <f>[4]Brewhouse!$AF70</f>
        <v>51.8</v>
      </c>
      <c r="E18" s="279">
        <f>[4]Brewhouse!$AI70</f>
        <v>49.1</v>
      </c>
      <c r="F18" s="278">
        <f>[4]Brewhouse!$V70</f>
        <v>66</v>
      </c>
      <c r="G18" s="279">
        <f>[4]Brewhouse!AG70</f>
        <v>11.9</v>
      </c>
      <c r="H18" s="396">
        <v>11.8</v>
      </c>
      <c r="I18" s="368">
        <f>[4]Brewhouse!$AU70</f>
        <v>96.910477582354332</v>
      </c>
      <c r="J18" s="368">
        <f>[4]Brewhouse!$AV70</f>
        <v>96.583054750112595</v>
      </c>
      <c r="K18" s="281">
        <f>[4]Brewhouse!$Q70</f>
        <v>3.80414312617703</v>
      </c>
      <c r="L18" s="276">
        <f>[4]Brewhouse!$P70</f>
        <v>60</v>
      </c>
      <c r="M18" s="397">
        <f>[4]Brewhouse!$U70-[4]Brewhouse!$T70</f>
        <v>0.12361111111111112</v>
      </c>
      <c r="N18" s="370">
        <f>[4]Brewhouse!$Z70</f>
        <v>0.27500000000000002</v>
      </c>
      <c r="O18" s="420" t="str">
        <f>[4]Brewhouse!$AX70</f>
        <v>D. Gomaz</v>
      </c>
      <c r="P18" s="418"/>
      <c r="R18" s="277" t="str">
        <f t="shared" si="9"/>
        <v>CARIB</v>
      </c>
      <c r="S18" s="474">
        <f t="shared" si="10"/>
        <v>11.6</v>
      </c>
      <c r="T18" s="474">
        <f t="shared" si="11"/>
        <v>12</v>
      </c>
      <c r="U18" s="297">
        <f t="shared" si="12"/>
        <v>0</v>
      </c>
      <c r="V18" s="297">
        <f t="shared" si="13"/>
        <v>0.118055555555556</v>
      </c>
      <c r="W18" s="297">
        <f t="shared" si="14"/>
        <v>0.22569444444444445</v>
      </c>
      <c r="X18" s="297">
        <f t="shared" si="15"/>
        <v>0.2638888888888889</v>
      </c>
      <c r="Y18" s="297">
        <f t="shared" si="16"/>
        <v>0</v>
      </c>
      <c r="Z18" s="474">
        <f t="shared" si="17"/>
        <v>60</v>
      </c>
    </row>
    <row r="19" spans="1:27" ht="16.5" customHeight="1">
      <c r="B19" s="29" t="s">
        <v>6</v>
      </c>
      <c r="C19" s="366" t="str">
        <f>[4]Brewhouse!$A71</f>
        <v>CA030</v>
      </c>
      <c r="D19" s="279">
        <f>[4]Brewhouse!$AF71</f>
        <v>52.2</v>
      </c>
      <c r="E19" s="279">
        <f>[4]Brewhouse!$AI71</f>
        <v>50.2</v>
      </c>
      <c r="F19" s="278">
        <f>[4]Brewhouse!$V71</f>
        <v>63</v>
      </c>
      <c r="G19" s="279">
        <f>[4]Brewhouse!AG71</f>
        <v>11.9</v>
      </c>
      <c r="H19" s="396">
        <v>11.9</v>
      </c>
      <c r="I19" s="368">
        <f>[4]Brewhouse!$AU71</f>
        <v>98.960439575055489</v>
      </c>
      <c r="J19" s="368">
        <f>[4]Brewhouse!$AV71</f>
        <v>98.626064236445359</v>
      </c>
      <c r="K19" s="281">
        <f>[4]Brewhouse!$Q71</f>
        <v>3.0508474576271141</v>
      </c>
      <c r="L19" s="276">
        <f>[4]Brewhouse!$P71</f>
        <v>44</v>
      </c>
      <c r="M19" s="397">
        <f>[4]Brewhouse!$U71-[4]Brewhouse!$T71</f>
        <v>0.11041666666666661</v>
      </c>
      <c r="N19" s="370">
        <f>[4]Brewhouse!$Z71</f>
        <v>0.26666666666666661</v>
      </c>
      <c r="O19" s="420" t="str">
        <f>[4]Brewhouse!$AX71</f>
        <v>R.Sookram</v>
      </c>
      <c r="P19" s="418"/>
      <c r="R19" s="277" t="str">
        <f t="shared" si="9"/>
        <v>CARIB</v>
      </c>
      <c r="S19" s="474">
        <f t="shared" si="10"/>
        <v>11.6</v>
      </c>
      <c r="T19" s="474">
        <f t="shared" si="11"/>
        <v>12</v>
      </c>
      <c r="U19" s="297">
        <f t="shared" si="12"/>
        <v>0</v>
      </c>
      <c r="V19" s="297">
        <f t="shared" si="13"/>
        <v>0.118055555555556</v>
      </c>
      <c r="W19" s="297">
        <f t="shared" si="14"/>
        <v>0.22569444444444445</v>
      </c>
      <c r="X19" s="297">
        <f t="shared" si="15"/>
        <v>0.2638888888888889</v>
      </c>
      <c r="Y19" s="297">
        <f t="shared" si="16"/>
        <v>0</v>
      </c>
      <c r="Z19" s="474">
        <f t="shared" si="17"/>
        <v>60</v>
      </c>
    </row>
    <row r="20" spans="1:27" ht="16.5" customHeight="1">
      <c r="B20" s="29" t="s">
        <v>6</v>
      </c>
      <c r="C20" s="366" t="str">
        <f>[4]Brewhouse!$A72</f>
        <v>CA031</v>
      </c>
      <c r="D20" s="279">
        <f>[4]Brewhouse!$AF72</f>
        <v>53.9</v>
      </c>
      <c r="E20" s="279">
        <f>[4]Brewhouse!$AI72</f>
        <v>51.5</v>
      </c>
      <c r="F20" s="278">
        <f>[4]Brewhouse!$V72</f>
        <v>57</v>
      </c>
      <c r="G20" s="279">
        <f>[4]Brewhouse!AG72</f>
        <v>12</v>
      </c>
      <c r="H20" s="396">
        <v>12</v>
      </c>
      <c r="I20" s="368">
        <f>[4]Brewhouse!$AU72</f>
        <v>102.29507421858402</v>
      </c>
      <c r="J20" s="368">
        <f>[4]Brewhouse!$AV72</f>
        <v>101.94940424629009</v>
      </c>
      <c r="K20" s="281">
        <f>[4]Brewhouse!$Q72</f>
        <v>12.090395480225991</v>
      </c>
      <c r="L20" s="276">
        <f>[4]Brewhouse!$P72</f>
        <v>57</v>
      </c>
      <c r="M20" s="397">
        <f>[4]Brewhouse!$U72-[4]Brewhouse!$T72</f>
        <v>0.1597222222222221</v>
      </c>
      <c r="N20" s="370">
        <f>[4]Brewhouse!$Z72</f>
        <v>0.3520833333333333</v>
      </c>
      <c r="O20" s="420" t="str">
        <f>[4]Brewhouse!$AX72</f>
        <v>R.Sookram</v>
      </c>
      <c r="P20" s="418"/>
      <c r="R20" s="277" t="str">
        <f t="shared" si="9"/>
        <v>CARIB</v>
      </c>
      <c r="S20" s="474">
        <f t="shared" si="10"/>
        <v>11.6</v>
      </c>
      <c r="T20" s="474">
        <f t="shared" si="11"/>
        <v>12</v>
      </c>
      <c r="U20" s="297">
        <f t="shared" si="12"/>
        <v>0</v>
      </c>
      <c r="V20" s="297">
        <f t="shared" si="13"/>
        <v>0.118055555555556</v>
      </c>
      <c r="W20" s="297">
        <f t="shared" si="14"/>
        <v>0.22569444444444445</v>
      </c>
      <c r="X20" s="297">
        <f t="shared" si="15"/>
        <v>0.2638888888888889</v>
      </c>
      <c r="Y20" s="297">
        <f t="shared" si="16"/>
        <v>0</v>
      </c>
      <c r="Z20" s="474">
        <f t="shared" si="17"/>
        <v>60</v>
      </c>
    </row>
    <row r="21" spans="1:27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4" t="e">
        <f t="shared" si="10"/>
        <v>#N/A</v>
      </c>
      <c r="T21" s="474" t="e">
        <f t="shared" si="11"/>
        <v>#N/A</v>
      </c>
      <c r="U21" s="297" t="e">
        <f t="shared" si="12"/>
        <v>#N/A</v>
      </c>
      <c r="V21" s="297" t="e">
        <f t="shared" si="13"/>
        <v>#N/A</v>
      </c>
      <c r="W21" s="297" t="e">
        <f t="shared" si="14"/>
        <v>#N/A</v>
      </c>
      <c r="X21" s="297" t="e">
        <f t="shared" si="15"/>
        <v>#N/A</v>
      </c>
      <c r="Y21" s="297" t="e">
        <f t="shared" si="16"/>
        <v>#N/A</v>
      </c>
      <c r="Z21" s="474" t="e">
        <f t="shared" si="17"/>
        <v>#N/A</v>
      </c>
    </row>
    <row r="22" spans="1:27" ht="18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9"/>
        <v>0</v>
      </c>
      <c r="S22" s="474" t="e">
        <f t="shared" si="10"/>
        <v>#N/A</v>
      </c>
      <c r="T22" s="474" t="e">
        <f t="shared" si="11"/>
        <v>#N/A</v>
      </c>
      <c r="U22" s="297" t="e">
        <f t="shared" si="12"/>
        <v>#N/A</v>
      </c>
      <c r="V22" s="297" t="e">
        <f t="shared" si="13"/>
        <v>#N/A</v>
      </c>
      <c r="W22" s="297" t="e">
        <f t="shared" si="14"/>
        <v>#N/A</v>
      </c>
      <c r="X22" s="297" t="e">
        <f t="shared" si="15"/>
        <v>#N/A</v>
      </c>
      <c r="Y22" s="297" t="e">
        <f t="shared" si="16"/>
        <v>#N/A</v>
      </c>
      <c r="Z22" s="474" t="e">
        <f t="shared" si="17"/>
        <v>#N/A</v>
      </c>
    </row>
    <row r="23" spans="1:27" ht="16.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4" t="e">
        <f t="shared" si="10"/>
        <v>#N/A</v>
      </c>
      <c r="T23" s="474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4" t="e">
        <f t="shared" si="17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40"/>
      <c r="J24" s="540"/>
      <c r="K24" s="540"/>
      <c r="L24" s="540"/>
      <c r="M24" s="540"/>
      <c r="N24" s="540"/>
      <c r="O24" s="1"/>
      <c r="P24" s="12"/>
      <c r="R24" s="277">
        <f t="shared" si="9"/>
        <v>0</v>
      </c>
      <c r="S24" s="474" t="e">
        <f t="shared" si="10"/>
        <v>#N/A</v>
      </c>
      <c r="T24" s="474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4" t="e">
        <f t="shared" si="17"/>
        <v>#N/A</v>
      </c>
    </row>
    <row r="25" spans="1:27" ht="15.75" customHeight="1" thickBot="1">
      <c r="B25" s="388" t="s">
        <v>162</v>
      </c>
      <c r="C25" s="388"/>
      <c r="D25" s="541" t="s">
        <v>35</v>
      </c>
      <c r="E25" s="542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4" t="e">
        <f t="shared" si="10"/>
        <v>#N/A</v>
      </c>
      <c r="T25" s="474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4" t="e">
        <f t="shared" si="17"/>
        <v>#N/A</v>
      </c>
    </row>
    <row r="26" spans="1:27" ht="15" customHeight="1">
      <c r="A26" s="28"/>
      <c r="B26" s="543"/>
      <c r="C26" s="362"/>
      <c r="D26" s="546"/>
      <c r="E26" s="547"/>
      <c r="F26" s="294"/>
      <c r="G26" s="294"/>
      <c r="H26" s="348"/>
      <c r="I26" s="29" t="s">
        <v>6</v>
      </c>
      <c r="J26" s="280">
        <f>AVERAGE(I18:I20)</f>
        <v>99.388663791997942</v>
      </c>
      <c r="K26" s="284">
        <f>COUNTA([4]Brewhouse!$A$42:$A$72)</f>
        <v>31</v>
      </c>
      <c r="L26" s="305">
        <f>AVERAGE([4]Brewhouse!$AU$42:$AU$72)</f>
        <v>97.894363220479548</v>
      </c>
      <c r="M26" s="305">
        <f>AVERAGE([4]Brewhouse!$AU$42:$AU$72)</f>
        <v>97.894363220479548</v>
      </c>
      <c r="N26" s="30">
        <v>98</v>
      </c>
      <c r="O26" s="11"/>
      <c r="P26" s="31"/>
      <c r="R26" s="277">
        <f t="shared" si="9"/>
        <v>0</v>
      </c>
      <c r="S26" s="474" t="e">
        <f t="shared" si="10"/>
        <v>#N/A</v>
      </c>
      <c r="T26" s="474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4" t="e">
        <f t="shared" si="17"/>
        <v>#N/A</v>
      </c>
    </row>
    <row r="27" spans="1:27" ht="15" customHeight="1">
      <c r="A27" s="28"/>
      <c r="B27" s="544"/>
      <c r="C27" s="362"/>
      <c r="D27" s="548"/>
      <c r="E27" s="532"/>
      <c r="F27" s="294"/>
      <c r="G27" s="294"/>
      <c r="H27" s="348"/>
      <c r="I27" s="33" t="s">
        <v>9</v>
      </c>
      <c r="J27" s="280">
        <f>AVERAGE(I10:I16)</f>
        <v>98.691673039234587</v>
      </c>
      <c r="K27" s="284">
        <f>COUNTA([5]Brewhouse!$A$52:$A$61)</f>
        <v>10</v>
      </c>
      <c r="L27" s="302">
        <f>AVERAGE([5]Brewhouse!$AS$52:$AS$61)</f>
        <v>99.283662316813405</v>
      </c>
      <c r="M27" s="302">
        <f>AVERAGE([5]Brewhouse!$AS$52:$AS$61)</f>
        <v>99.283662316813405</v>
      </c>
      <c r="N27" s="30">
        <v>98</v>
      </c>
      <c r="O27" s="11"/>
      <c r="P27" s="31"/>
      <c r="R27" s="277">
        <f t="shared" si="9"/>
        <v>0</v>
      </c>
      <c r="S27" s="474" t="e">
        <f t="shared" si="10"/>
        <v>#N/A</v>
      </c>
      <c r="T27" s="474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4" t="e">
        <f t="shared" si="17"/>
        <v>#N/A</v>
      </c>
    </row>
    <row r="28" spans="1:27" ht="14.65" customHeight="1">
      <c r="A28" s="28"/>
      <c r="B28" s="544"/>
      <c r="C28" s="362"/>
      <c r="D28" s="536"/>
      <c r="E28" s="537"/>
      <c r="F28" s="294"/>
      <c r="G28" s="294"/>
      <c r="H28" s="348"/>
      <c r="I28" s="34" t="s">
        <v>12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9"/>
        <v>0</v>
      </c>
      <c r="S28" s="474" t="e">
        <f t="shared" si="10"/>
        <v>#N/A</v>
      </c>
      <c r="T28" s="474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4" t="e">
        <f t="shared" si="17"/>
        <v>#N/A</v>
      </c>
    </row>
    <row r="29" spans="1:27" ht="14.65" customHeight="1">
      <c r="A29" s="28"/>
      <c r="B29" s="544"/>
      <c r="C29" s="362"/>
      <c r="D29" s="531"/>
      <c r="E29" s="532"/>
      <c r="F29" s="294"/>
      <c r="G29" s="294"/>
      <c r="H29" s="348"/>
      <c r="I29" s="22" t="s">
        <v>33</v>
      </c>
      <c r="J29" s="280"/>
      <c r="K29" s="284">
        <f>COUNTA([6]Brewhouse!$A$23:$A$26)</f>
        <v>4</v>
      </c>
      <c r="L29" s="302">
        <f>AVERAGE([6]Brewhouse!$AV$23:$AV$26)</f>
        <v>98.342483899212951</v>
      </c>
      <c r="M29" s="302">
        <f>AVERAGE([6]Brewhouse!$AV$23:$AV$26)</f>
        <v>98.342483899212951</v>
      </c>
      <c r="N29" s="30">
        <v>98</v>
      </c>
      <c r="O29" s="11"/>
      <c r="P29" s="31"/>
      <c r="R29" s="277">
        <f t="shared" si="9"/>
        <v>0</v>
      </c>
      <c r="S29" s="474" t="e">
        <f t="shared" si="10"/>
        <v>#N/A</v>
      </c>
      <c r="T29" s="474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4" t="e">
        <f t="shared" si="17"/>
        <v>#N/A</v>
      </c>
    </row>
    <row r="30" spans="1:27" ht="14.65" customHeight="1">
      <c r="A30" s="28"/>
      <c r="B30" s="544"/>
      <c r="C30" s="362"/>
      <c r="D30" s="536"/>
      <c r="E30" s="537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4" t="e">
        <f t="shared" si="10"/>
        <v>#N/A</v>
      </c>
      <c r="T30" s="474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4" t="e">
        <f t="shared" si="17"/>
        <v>#N/A</v>
      </c>
    </row>
    <row r="31" spans="1:27" ht="14.65" customHeight="1">
      <c r="A31" s="28"/>
      <c r="B31" s="544"/>
      <c r="C31" s="362"/>
      <c r="D31" s="531"/>
      <c r="E31" s="532"/>
      <c r="F31" s="417"/>
      <c r="G31" s="294"/>
      <c r="H31" s="348"/>
      <c r="I31" s="36" t="s">
        <v>15</v>
      </c>
      <c r="J31" s="323"/>
      <c r="K31" s="284">
        <f>COUNTA([7]Brewhouse!$A$13:$A$20)</f>
        <v>8</v>
      </c>
      <c r="L31" s="302" t="e">
        <f>AVERAGE([7]Brewhouse!$AT$13:$AT$20)</f>
        <v>#DIV/0!</v>
      </c>
      <c r="M31" s="302" t="e">
        <f>AVERAGE([7]Brewhouse!$AT$13:$AT$20)</f>
        <v>#DIV/0!</v>
      </c>
      <c r="N31" s="30">
        <v>98</v>
      </c>
      <c r="O31" s="11"/>
      <c r="P31" s="31"/>
      <c r="R31" s="277">
        <f t="shared" si="9"/>
        <v>0</v>
      </c>
      <c r="S31" s="474" t="e">
        <f t="shared" si="10"/>
        <v>#N/A</v>
      </c>
      <c r="T31" s="474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4" t="e">
        <f t="shared" si="17"/>
        <v>#N/A</v>
      </c>
      <c r="AA31" s="474"/>
    </row>
    <row r="32" spans="1:27" ht="14.65" customHeight="1">
      <c r="A32" s="28"/>
      <c r="B32" s="544"/>
      <c r="C32" s="362"/>
      <c r="D32" s="536"/>
      <c r="E32" s="537"/>
      <c r="F32" s="417"/>
      <c r="G32" s="294"/>
      <c r="H32" s="348"/>
      <c r="I32" s="37" t="s">
        <v>16</v>
      </c>
      <c r="J32" s="323"/>
      <c r="K32" s="284">
        <f>COUNTA([8]Brewhouse!$A$5:$A$7)</f>
        <v>3</v>
      </c>
      <c r="L32" s="302">
        <f>AVERAGE([8]Brewhouse!$AY$5:$AY$7)</f>
        <v>98.128633252159673</v>
      </c>
      <c r="M32" s="302">
        <f>AVERAGE([8]Brewhouse!$AY$5:$AY$7)</f>
        <v>98.128633252159673</v>
      </c>
      <c r="N32" s="30">
        <v>98</v>
      </c>
      <c r="O32" s="11"/>
      <c r="P32" s="31" t="s">
        <v>41</v>
      </c>
      <c r="R32" s="277">
        <f t="shared" si="9"/>
        <v>0</v>
      </c>
      <c r="S32" s="474" t="e">
        <f t="shared" si="10"/>
        <v>#N/A</v>
      </c>
      <c r="T32" s="474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4" t="e">
        <f t="shared" si="17"/>
        <v>#N/A</v>
      </c>
      <c r="AA32" s="474"/>
    </row>
    <row r="33" spans="1:56" ht="14.65" customHeight="1">
      <c r="A33" s="28"/>
      <c r="B33" s="544"/>
      <c r="C33" s="362"/>
      <c r="D33" s="531"/>
      <c r="E33" s="532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ref="R33:R37" si="18">B33</f>
        <v>0</v>
      </c>
      <c r="S33" s="474" t="e">
        <f t="shared" ref="S33:S37" si="19">VLOOKUP($B33,$R$3:$X$9,2,FALSE)</f>
        <v>#N/A</v>
      </c>
      <c r="T33" s="474" t="e">
        <f t="shared" ref="T33:T37" si="20">VLOOKUP($B33,$R$3:$X$9,3,FALSE)</f>
        <v>#N/A</v>
      </c>
      <c r="U33" s="297" t="e">
        <f t="shared" ref="U33:U37" si="21">VLOOKUP($B33,$R$3:$X$9,4,FALSE)</f>
        <v>#N/A</v>
      </c>
      <c r="V33" s="297" t="e">
        <f t="shared" ref="V33:V37" si="22">VLOOKUP($B33,$R$3:$X$9,5,FALSE)</f>
        <v>#N/A</v>
      </c>
      <c r="W33" s="297" t="e">
        <f t="shared" ref="W33:W37" si="23">VLOOKUP($B33,$R$3:$X$9,6,FALSE)</f>
        <v>#N/A</v>
      </c>
      <c r="X33" s="297" t="e">
        <f t="shared" ref="X33:X37" si="24">VLOOKUP($B33,$R$3:$X$9,7,FALSE)</f>
        <v>#N/A</v>
      </c>
      <c r="Y33" s="297" t="e">
        <f t="shared" ref="Y33:Y37" si="25">VLOOKUP($B33,$R$3:$Z$9,8,FALSE)</f>
        <v>#N/A</v>
      </c>
      <c r="Z33" s="474" t="e">
        <f t="shared" ref="Z33:Z37" si="26">VLOOKUP($B33,$R$3:$Z$9,9,FALSE)</f>
        <v>#N/A</v>
      </c>
      <c r="AA33" s="474"/>
    </row>
    <row r="34" spans="1:56" ht="14.65" customHeight="1">
      <c r="A34" s="28"/>
      <c r="B34" s="544"/>
      <c r="C34" s="349"/>
      <c r="D34" s="536"/>
      <c r="E34" s="537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18"/>
        <v>0</v>
      </c>
      <c r="S34" s="474" t="e">
        <f t="shared" si="19"/>
        <v>#N/A</v>
      </c>
      <c r="T34" s="474" t="e">
        <f t="shared" si="20"/>
        <v>#N/A</v>
      </c>
      <c r="U34" s="297" t="e">
        <f t="shared" si="21"/>
        <v>#N/A</v>
      </c>
      <c r="V34" s="297" t="e">
        <f t="shared" si="22"/>
        <v>#N/A</v>
      </c>
      <c r="W34" s="297" t="e">
        <f t="shared" si="23"/>
        <v>#N/A</v>
      </c>
      <c r="X34" s="297" t="e">
        <f t="shared" si="24"/>
        <v>#N/A</v>
      </c>
      <c r="Y34" s="297" t="e">
        <f t="shared" si="25"/>
        <v>#N/A</v>
      </c>
      <c r="Z34" s="474" t="e">
        <f t="shared" si="26"/>
        <v>#N/A</v>
      </c>
      <c r="AA34" s="474"/>
    </row>
    <row r="35" spans="1:56" ht="15" customHeight="1" thickBot="1">
      <c r="A35" s="28"/>
      <c r="B35" s="544"/>
      <c r="C35" s="349"/>
      <c r="D35" s="531"/>
      <c r="E35" s="532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18"/>
        <v>0</v>
      </c>
      <c r="S35" s="474" t="e">
        <f t="shared" si="19"/>
        <v>#N/A</v>
      </c>
      <c r="T35" s="474" t="e">
        <f t="shared" si="20"/>
        <v>#N/A</v>
      </c>
      <c r="U35" s="297" t="e">
        <f t="shared" si="21"/>
        <v>#N/A</v>
      </c>
      <c r="V35" s="297" t="e">
        <f t="shared" si="22"/>
        <v>#N/A</v>
      </c>
      <c r="W35" s="297" t="e">
        <f t="shared" si="23"/>
        <v>#N/A</v>
      </c>
      <c r="X35" s="297" t="e">
        <f t="shared" si="24"/>
        <v>#N/A</v>
      </c>
      <c r="Y35" s="297" t="e">
        <f t="shared" si="25"/>
        <v>#N/A</v>
      </c>
      <c r="Z35" s="474" t="e">
        <f t="shared" si="26"/>
        <v>#N/A</v>
      </c>
      <c r="AA35" s="474"/>
    </row>
    <row r="36" spans="1:56" ht="15" customHeight="1" thickBot="1">
      <c r="A36" s="28"/>
      <c r="B36" s="544"/>
      <c r="C36" s="349"/>
      <c r="D36" s="546"/>
      <c r="E36" s="547"/>
      <c r="F36" s="294"/>
      <c r="G36" s="294"/>
      <c r="H36" s="348"/>
      <c r="I36" s="1"/>
      <c r="J36" s="39"/>
      <c r="K36" s="404">
        <f>SUM(K26:K35)</f>
        <v>56</v>
      </c>
      <c r="L36" s="405" t="e">
        <f>((L26*K26)+(L27*K27)+(L28*K28)+(L29*K29)+(L30*K30)+(K33*L33)+(L31*K31)+(L32*K32)+(L35*K35))/(K36)</f>
        <v>#DIV/0!</v>
      </c>
      <c r="M36" s="405" t="e">
        <f>L36</f>
        <v>#DIV/0!</v>
      </c>
      <c r="N36" s="40">
        <v>98</v>
      </c>
      <c r="O36" s="11"/>
      <c r="P36" s="31"/>
      <c r="R36" s="277">
        <f t="shared" si="18"/>
        <v>0</v>
      </c>
      <c r="S36" s="474" t="e">
        <f t="shared" si="19"/>
        <v>#N/A</v>
      </c>
      <c r="T36" s="474" t="e">
        <f t="shared" si="20"/>
        <v>#N/A</v>
      </c>
      <c r="U36" s="297" t="e">
        <f t="shared" si="21"/>
        <v>#N/A</v>
      </c>
      <c r="V36" s="297" t="e">
        <f t="shared" si="22"/>
        <v>#N/A</v>
      </c>
      <c r="W36" s="297" t="e">
        <f t="shared" si="23"/>
        <v>#N/A</v>
      </c>
      <c r="X36" s="297" t="e">
        <f t="shared" si="24"/>
        <v>#N/A</v>
      </c>
      <c r="Y36" s="297" t="e">
        <f t="shared" si="25"/>
        <v>#N/A</v>
      </c>
      <c r="Z36" s="474" t="e">
        <f t="shared" si="26"/>
        <v>#N/A</v>
      </c>
      <c r="AA36" s="474"/>
    </row>
    <row r="37" spans="1:56" ht="15.75" thickBot="1">
      <c r="B37" s="545"/>
      <c r="C37" s="350"/>
      <c r="D37" s="548"/>
      <c r="E37" s="532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18"/>
        <v>0</v>
      </c>
      <c r="S37" s="474" t="e">
        <f t="shared" si="19"/>
        <v>#N/A</v>
      </c>
      <c r="T37" s="474" t="e">
        <f t="shared" si="20"/>
        <v>#N/A</v>
      </c>
      <c r="U37" s="297" t="e">
        <f t="shared" si="21"/>
        <v>#N/A</v>
      </c>
      <c r="V37" s="297" t="e">
        <f t="shared" si="22"/>
        <v>#N/A</v>
      </c>
      <c r="W37" s="297" t="e">
        <f t="shared" si="23"/>
        <v>#N/A</v>
      </c>
      <c r="X37" s="297" t="e">
        <f t="shared" si="24"/>
        <v>#N/A</v>
      </c>
      <c r="Y37" s="297" t="e">
        <f t="shared" si="25"/>
        <v>#N/A</v>
      </c>
      <c r="Z37" s="474" t="e">
        <f t="shared" si="26"/>
        <v>#N/A</v>
      </c>
      <c r="AA37" s="474"/>
    </row>
    <row r="38" spans="1:56" ht="15.75" thickBot="1">
      <c r="B38" s="526"/>
      <c r="C38" s="362"/>
      <c r="D38" s="529"/>
      <c r="E38" s="530"/>
      <c r="F38" s="294"/>
      <c r="G38" s="42"/>
      <c r="H38" s="41"/>
      <c r="I38" s="42"/>
      <c r="J38" s="533" t="s">
        <v>129</v>
      </c>
      <c r="K38" s="533"/>
      <c r="L38" s="294"/>
      <c r="M38" s="294"/>
      <c r="N38" s="294"/>
      <c r="O38" s="294"/>
      <c r="P38" s="12"/>
    </row>
    <row r="39" spans="1:56" ht="15.75" thickBot="1">
      <c r="B39" s="527"/>
      <c r="C39" s="362"/>
      <c r="D39" s="531"/>
      <c r="E39" s="532"/>
      <c r="F39" s="294"/>
      <c r="G39" s="42"/>
      <c r="H39" s="42"/>
      <c r="I39" s="42"/>
      <c r="J39" s="292" t="s">
        <v>17</v>
      </c>
      <c r="K39" s="293" t="s">
        <v>147</v>
      </c>
      <c r="L39" s="534" t="s">
        <v>136</v>
      </c>
      <c r="M39" s="534"/>
      <c r="N39" s="535"/>
      <c r="O39" s="294"/>
      <c r="P39" s="12"/>
    </row>
    <row r="40" spans="1:56" ht="15" customHeight="1" thickBot="1">
      <c r="B40" s="527"/>
      <c r="C40" s="349"/>
      <c r="D40" s="536"/>
      <c r="E40" s="537"/>
      <c r="F40" s="294"/>
      <c r="G40" s="42"/>
      <c r="H40" s="42"/>
      <c r="I40" s="42"/>
      <c r="J40" s="287" t="s">
        <v>6</v>
      </c>
      <c r="K40" s="324">
        <v>3</v>
      </c>
      <c r="L40" s="475" t="s">
        <v>37</v>
      </c>
      <c r="M40" s="476" t="s">
        <v>38</v>
      </c>
      <c r="N40" s="476" t="s">
        <v>84</v>
      </c>
      <c r="O40" s="294"/>
      <c r="P40" s="12"/>
    </row>
    <row r="41" spans="1:56" ht="15.75" customHeight="1" thickBot="1">
      <c r="B41" s="527"/>
      <c r="C41" s="349"/>
      <c r="D41" s="531"/>
      <c r="E41" s="532"/>
      <c r="F41" s="294"/>
      <c r="G41" s="42"/>
      <c r="H41" s="42"/>
      <c r="I41" s="42"/>
      <c r="J41" s="345" t="s">
        <v>9</v>
      </c>
      <c r="K41" s="324">
        <v>7</v>
      </c>
      <c r="L41" s="344">
        <f>AVERAGE('Jan 2nd'!K45,'Jan 5th'!K45,'Jan 6th'!K49,'Jan 7th'!K49,'Jan 8th '!K44,Jan15th!J50,'Jan 9th-10th'!J58,'Jan 9th-10th'!K58,'Jan12th '!K50,Jan13th!K45,Jan14th!K53,Jan15th!K50)</f>
        <v>5.7272727272727275</v>
      </c>
      <c r="M41" s="325">
        <f>AVERAGE(L41)</f>
        <v>5.7272727272727275</v>
      </c>
      <c r="N41" s="416">
        <v>9.1999999999999993</v>
      </c>
      <c r="O41" s="294"/>
      <c r="P41" s="12"/>
    </row>
    <row r="42" spans="1:56" ht="15" customHeight="1">
      <c r="B42" s="527"/>
      <c r="C42" s="349"/>
      <c r="D42" s="536"/>
      <c r="E42" s="537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7"/>
      <c r="C43" s="349"/>
      <c r="D43" s="531"/>
      <c r="E43" s="532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7"/>
      <c r="C44" s="349"/>
      <c r="D44" s="536"/>
      <c r="E44" s="537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7"/>
      <c r="C45" s="349"/>
      <c r="D45" s="531"/>
      <c r="E45" s="532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7"/>
      <c r="C46" s="349"/>
      <c r="D46" s="536"/>
      <c r="E46" s="53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8"/>
      <c r="C47" s="350"/>
      <c r="D47" s="538"/>
      <c r="E47" s="539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9"/>
      <c r="E48" s="520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10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1"/>
      <c r="J51" s="42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11" t="s">
        <v>17</v>
      </c>
      <c r="C53" s="511" t="s">
        <v>44</v>
      </c>
      <c r="D53" s="522" t="s">
        <v>45</v>
      </c>
      <c r="E53" s="524" t="s">
        <v>46</v>
      </c>
      <c r="F53" s="517" t="s">
        <v>47</v>
      </c>
      <c r="G53" s="509" t="s">
        <v>48</v>
      </c>
      <c r="H53" s="511" t="s">
        <v>49</v>
      </c>
      <c r="I53" s="511" t="s">
        <v>50</v>
      </c>
      <c r="J53" s="503" t="s">
        <v>28</v>
      </c>
      <c r="K53" s="513" t="s">
        <v>51</v>
      </c>
      <c r="L53" s="515" t="s">
        <v>52</v>
      </c>
      <c r="M53" s="503" t="s">
        <v>53</v>
      </c>
      <c r="N53" s="13"/>
      <c r="O53" s="13"/>
      <c r="P53" s="50"/>
    </row>
    <row r="54" spans="1:57" ht="28.5" customHeight="1" thickTop="1" thickBot="1">
      <c r="B54" s="521"/>
      <c r="C54" s="521"/>
      <c r="D54" s="523"/>
      <c r="E54" s="525"/>
      <c r="F54" s="518"/>
      <c r="G54" s="510"/>
      <c r="H54" s="512"/>
      <c r="I54" s="512"/>
      <c r="J54" s="504"/>
      <c r="K54" s="514"/>
      <c r="L54" s="516"/>
      <c r="M54" s="504"/>
      <c r="N54" s="13"/>
      <c r="O54" s="13"/>
      <c r="P54" s="50"/>
      <c r="Q54" s="355"/>
      <c r="AB54" s="477">
        <v>43474</v>
      </c>
      <c r="AC54" s="477">
        <v>43475</v>
      </c>
      <c r="AD54" s="477">
        <v>43476</v>
      </c>
      <c r="AE54" s="477">
        <v>43477</v>
      </c>
      <c r="AF54" s="477">
        <v>43478</v>
      </c>
      <c r="AG54" s="477">
        <v>43479</v>
      </c>
      <c r="AH54" s="477">
        <v>43480</v>
      </c>
      <c r="AI54" s="477">
        <v>43481</v>
      </c>
      <c r="AJ54" s="477">
        <v>43482</v>
      </c>
      <c r="AK54" s="477">
        <v>43483</v>
      </c>
      <c r="AL54" s="477">
        <v>43484</v>
      </c>
      <c r="AM54" s="477">
        <v>43485</v>
      </c>
      <c r="AN54" s="477">
        <v>43486</v>
      </c>
      <c r="AO54" s="477">
        <v>43487</v>
      </c>
      <c r="AP54" s="477">
        <v>43488</v>
      </c>
      <c r="AQ54" s="477">
        <v>43489</v>
      </c>
      <c r="AR54" s="477">
        <v>43490</v>
      </c>
      <c r="AS54" s="477">
        <v>43491</v>
      </c>
      <c r="AT54" s="477">
        <v>43492</v>
      </c>
      <c r="AU54" s="477">
        <v>43493</v>
      </c>
      <c r="AV54" s="477">
        <v>43494</v>
      </c>
      <c r="AW54" s="477">
        <v>43495</v>
      </c>
      <c r="AX54" s="477">
        <v>43496</v>
      </c>
    </row>
    <row r="55" spans="1:57" s="54" customFormat="1" ht="43.15" customHeight="1" thickBot="1">
      <c r="A55" s="54" t="s">
        <v>187</v>
      </c>
      <c r="B55" s="468"/>
      <c r="C55" s="441"/>
      <c r="D55" s="442"/>
      <c r="E55" s="443"/>
      <c r="F55" s="444"/>
      <c r="G55" s="444"/>
      <c r="H55" s="458"/>
      <c r="I55" s="458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[9]January_2019!L7</f>
        <v>285.8</v>
      </c>
      <c r="AC55" s="57">
        <f>[9]January_2019!M7</f>
        <v>508.1</v>
      </c>
      <c r="AD55" s="57">
        <f>[9]January_2019!N7</f>
        <v>0</v>
      </c>
      <c r="AE55" s="57">
        <f>[9]January_2019!O7</f>
        <v>0</v>
      </c>
      <c r="AF55" s="57">
        <f>[9]January_2019!P7</f>
        <v>109.56666666666666</v>
      </c>
      <c r="AG55" s="57">
        <f>[9]January_2019!Q7</f>
        <v>297.64999999999998</v>
      </c>
      <c r="AH55" s="57">
        <f>[9]January_2019!R7</f>
        <v>122.3</v>
      </c>
      <c r="AI55" s="57">
        <f>[9]January_2019!S7</f>
        <v>0</v>
      </c>
      <c r="AJ55" s="57">
        <f>[9]January_2019!T7</f>
        <v>294.7</v>
      </c>
      <c r="AK55" s="57">
        <f>[9]January_2019!U7</f>
        <v>280.5</v>
      </c>
      <c r="AL55" s="57">
        <f>[9]January_2019!V7</f>
        <v>0</v>
      </c>
      <c r="AM55" s="57">
        <f>[9]January_2019!W7</f>
        <v>0</v>
      </c>
      <c r="AN55" s="57">
        <f>[9]January_2019!X7</f>
        <v>188.25</v>
      </c>
      <c r="AO55" s="57">
        <f>[9]January_2019!Y7</f>
        <v>295.7</v>
      </c>
      <c r="AP55" s="57">
        <f>[9]January_2019!Z7</f>
        <v>257.8</v>
      </c>
      <c r="AQ55" s="57">
        <f>[9]January_2019!AA7</f>
        <v>291.2</v>
      </c>
      <c r="AR55" s="57">
        <f>[9]January_2019!AB7</f>
        <v>187</v>
      </c>
      <c r="AS55" s="57">
        <f>[9]January_2019!AC7</f>
        <v>0</v>
      </c>
      <c r="AT55" s="57">
        <f>[9]January_2019!AD7</f>
        <v>0</v>
      </c>
      <c r="AU55" s="57">
        <f>[9]January_2019!AE7</f>
        <v>485.1</v>
      </c>
      <c r="AV55" s="57">
        <f>[9]January_2019!AF7</f>
        <v>171.55</v>
      </c>
      <c r="AW55" s="57">
        <f>[9]January_2019!AG7</f>
        <v>423.8</v>
      </c>
      <c r="AX55" s="277">
        <f>[9]January_2019!AH7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customHeight="1" thickBot="1">
      <c r="B56" s="468"/>
      <c r="C56" s="430"/>
      <c r="D56" s="431"/>
      <c r="E56" s="432"/>
      <c r="F56" s="433"/>
      <c r="G56" s="434"/>
      <c r="H56" s="428"/>
      <c r="I56" s="42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customHeight="1" thickBot="1">
      <c r="B57" s="493"/>
      <c r="C57" s="441"/>
      <c r="D57" s="442"/>
      <c r="E57" s="443"/>
      <c r="F57" s="444"/>
      <c r="G57" s="445"/>
      <c r="H57" s="458"/>
      <c r="I57" s="458"/>
      <c r="J57" s="448"/>
      <c r="K57" s="460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90"/>
      <c r="C59" s="441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7"/>
      <c r="C62" s="430"/>
      <c r="D62" s="461"/>
      <c r="E62" s="462"/>
      <c r="F62" s="463"/>
      <c r="G62" s="461"/>
      <c r="H62" s="464"/>
      <c r="I62" s="464"/>
      <c r="J62" s="464"/>
      <c r="K62" s="465"/>
      <c r="L62" s="466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505" t="s">
        <v>55</v>
      </c>
      <c r="C64" s="506"/>
      <c r="D64" s="506"/>
      <c r="E64" s="506"/>
      <c r="F64" s="507"/>
      <c r="G64" s="505" t="s">
        <v>56</v>
      </c>
      <c r="H64" s="506"/>
      <c r="I64" s="506"/>
      <c r="J64" s="507"/>
      <c r="K64" s="505" t="s">
        <v>51</v>
      </c>
      <c r="L64" s="506"/>
      <c r="M64" s="506"/>
      <c r="N64" s="508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/>
      <c r="D66" s="76">
        <v>9.0325437237104289</v>
      </c>
      <c r="E66" s="76">
        <v>9.0325437237104289</v>
      </c>
      <c r="F66" s="66">
        <v>4.8</v>
      </c>
      <c r="G66" s="65"/>
      <c r="H66" s="480">
        <v>7.5879851215091971</v>
      </c>
      <c r="I66" s="480">
        <v>7.5879851215091971</v>
      </c>
      <c r="J66" s="66">
        <v>4.8</v>
      </c>
      <c r="K66" s="67"/>
      <c r="L66" s="194">
        <v>0.22339766081871346</v>
      </c>
      <c r="M66" s="194">
        <v>0.22339766081871346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7.2399339514797543</v>
      </c>
      <c r="E67" s="76">
        <v>7.2399339514797543</v>
      </c>
      <c r="F67" s="66">
        <v>4.8</v>
      </c>
      <c r="G67" s="65"/>
      <c r="H67" s="76">
        <v>6.584154865311465</v>
      </c>
      <c r="I67" s="76">
        <v>6.584154865311465</v>
      </c>
      <c r="J67" s="66">
        <v>4.8</v>
      </c>
      <c r="K67" s="67"/>
      <c r="L67" s="194">
        <v>0.34323976608187129</v>
      </c>
      <c r="M67" s="194">
        <v>0.34323976608187129</v>
      </c>
      <c r="N67" s="68">
        <v>1</v>
      </c>
      <c r="P67" s="69"/>
    </row>
    <row r="68" spans="2:16" ht="15">
      <c r="B68" s="34" t="s">
        <v>40</v>
      </c>
      <c r="C68" s="65"/>
      <c r="D68" s="76"/>
      <c r="E68" s="76"/>
      <c r="F68" s="66">
        <v>5.5</v>
      </c>
      <c r="G68" s="65"/>
      <c r="H68" s="76"/>
      <c r="I68" s="76"/>
      <c r="J68" s="66">
        <v>5.5</v>
      </c>
      <c r="K68" s="67"/>
      <c r="L68" s="194"/>
      <c r="M68" s="194"/>
      <c r="N68" s="68">
        <v>1</v>
      </c>
      <c r="P68" s="69"/>
    </row>
    <row r="69" spans="2:16" ht="15">
      <c r="B69" s="22" t="s">
        <v>33</v>
      </c>
      <c r="C69" s="65"/>
      <c r="D69" s="76">
        <v>6.5508684863523392</v>
      </c>
      <c r="E69" s="76">
        <v>6.5508684863523392</v>
      </c>
      <c r="F69" s="66">
        <v>3.3</v>
      </c>
      <c r="G69" s="65"/>
      <c r="H69" s="76">
        <v>5.2086766183151161</v>
      </c>
      <c r="I69" s="76">
        <v>5.2086766183151161</v>
      </c>
      <c r="J69" s="66">
        <v>3.3</v>
      </c>
      <c r="K69" s="67"/>
      <c r="L69" s="194">
        <v>0.6607017543859649</v>
      </c>
      <c r="M69" s="194">
        <v>0.6607017543859649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5.1105651105651271</v>
      </c>
      <c r="E71" s="76">
        <v>5.1105651105651271</v>
      </c>
      <c r="F71" s="70">
        <f>[10]May_2022!$M$43</f>
        <v>3.4878406700073312</v>
      </c>
      <c r="G71" s="282"/>
      <c r="H71" s="76">
        <v>7.9131369535794072</v>
      </c>
      <c r="I71" s="76">
        <v>7.9131369535794072</v>
      </c>
      <c r="J71" s="66">
        <v>5.5</v>
      </c>
      <c r="K71" s="67"/>
      <c r="L71" s="194">
        <v>1.3550877192982456</v>
      </c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/>
      <c r="D72" s="76">
        <v>2.0590520590520631</v>
      </c>
      <c r="E72" s="76">
        <v>2.0590520590520631</v>
      </c>
      <c r="F72" s="66">
        <v>3.3</v>
      </c>
      <c r="G72" s="282"/>
      <c r="H72" s="76">
        <v>2.1755040108015784</v>
      </c>
      <c r="I72" s="76">
        <v>2.1755040108015784</v>
      </c>
      <c r="J72" s="66">
        <v>3.3</v>
      </c>
      <c r="K72" s="67"/>
      <c r="L72" s="194">
        <v>0.88456140350877199</v>
      </c>
      <c r="M72" s="194">
        <v>0.88456140350877199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6.5103056147832348</v>
      </c>
      <c r="E75" s="76">
        <v>6.5103056147832348</v>
      </c>
      <c r="F75" s="341">
        <v>5.5</v>
      </c>
      <c r="H75" s="76">
        <v>5.9038174215608645</v>
      </c>
      <c r="I75" s="76">
        <v>5.9038174215608645</v>
      </c>
      <c r="J75" s="341">
        <v>5.5</v>
      </c>
      <c r="L75" s="194">
        <v>0.57128719948018192</v>
      </c>
      <c r="M75" s="194">
        <v>0.57128719948018192</v>
      </c>
      <c r="N75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4:F64"/>
    <mergeCell ref="G64:J64"/>
    <mergeCell ref="K64:N64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2314" priority="56" operator="notBetween">
      <formula>#REF!</formula>
      <formula>#REF!</formula>
    </cfRule>
  </conditionalFormatting>
  <conditionalFormatting sqref="C52">
    <cfRule type="cellIs" dxfId="2313" priority="184" stopIfTrue="1" operator="greaterThan">
      <formula>100</formula>
    </cfRule>
    <cfRule type="cellIs" dxfId="2312" priority="183" stopIfTrue="1" operator="lessThan">
      <formula>96</formula>
    </cfRule>
  </conditionalFormatting>
  <conditionalFormatting sqref="C66:C70">
    <cfRule type="cellIs" dxfId="2311" priority="141" stopIfTrue="1" operator="lessThanOrEqual">
      <formula>0</formula>
    </cfRule>
  </conditionalFormatting>
  <conditionalFormatting sqref="C66:C74">
    <cfRule type="cellIs" dxfId="2310" priority="140" stopIfTrue="1" operator="greaterThan">
      <formula>$F66</formula>
    </cfRule>
  </conditionalFormatting>
  <conditionalFormatting sqref="C67">
    <cfRule type="cellIs" dxfId="2309" priority="187" stopIfTrue="1" operator="greaterThan">
      <formula>$F66</formula>
    </cfRule>
  </conditionalFormatting>
  <conditionalFormatting sqref="C71">
    <cfRule type="cellIs" dxfId="2308" priority="81" stopIfTrue="1" operator="greaterThan">
      <formula>$F70</formula>
    </cfRule>
    <cfRule type="cellIs" dxfId="2307" priority="80" stopIfTrue="1" operator="lessThanOrEqual">
      <formula>0</formula>
    </cfRule>
  </conditionalFormatting>
  <conditionalFormatting sqref="C77:C81">
    <cfRule type="cellIs" dxfId="2306" priority="175" stopIfTrue="1" operator="lessThanOrEqual">
      <formula>0</formula>
    </cfRule>
  </conditionalFormatting>
  <conditionalFormatting sqref="C78:C81">
    <cfRule type="cellIs" dxfId="2305" priority="174" stopIfTrue="1" operator="greaterThan">
      <formula>$F$77</formula>
    </cfRule>
  </conditionalFormatting>
  <conditionalFormatting sqref="C83">
    <cfRule type="cellIs" dxfId="2304" priority="177" stopIfTrue="1" operator="lessThanOrEqual">
      <formula>0</formula>
    </cfRule>
    <cfRule type="cellIs" dxfId="2303" priority="176" stopIfTrue="1" operator="greaterThan">
      <formula>$F$77</formula>
    </cfRule>
  </conditionalFormatting>
  <conditionalFormatting sqref="C77:D77 D79:D85">
    <cfRule type="cellIs" dxfId="2302" priority="169" stopIfTrue="1" operator="greaterThan">
      <formula>4.5</formula>
    </cfRule>
  </conditionalFormatting>
  <conditionalFormatting sqref="D48:D49">
    <cfRule type="cellIs" dxfId="2301" priority="57" operator="notBetween">
      <formula>#REF!</formula>
      <formula>#REF!</formula>
    </cfRule>
  </conditionalFormatting>
  <conditionalFormatting sqref="D66:D73">
    <cfRule type="cellIs" dxfId="2300" priority="149" stopIfTrue="1" operator="lessThanOrEqual">
      <formula>0</formula>
    </cfRule>
  </conditionalFormatting>
  <conditionalFormatting sqref="D77 D79:D85">
    <cfRule type="cellIs" dxfId="2299" priority="170" stopIfTrue="1" operator="lessThanOrEqual">
      <formula>0</formula>
    </cfRule>
  </conditionalFormatting>
  <conditionalFormatting sqref="D78">
    <cfRule type="cellIs" dxfId="2298" priority="162" stopIfTrue="1" operator="lessThanOrEqual">
      <formula>0</formula>
    </cfRule>
    <cfRule type="cellIs" dxfId="2297" priority="161" stopIfTrue="1" operator="greaterThan">
      <formula>$F$77</formula>
    </cfRule>
  </conditionalFormatting>
  <conditionalFormatting sqref="D66:E75">
    <cfRule type="cellIs" dxfId="2296" priority="138" stopIfTrue="1" operator="greaterThan">
      <formula>$F66</formula>
    </cfRule>
  </conditionalFormatting>
  <conditionalFormatting sqref="D74:E74">
    <cfRule type="cellIs" dxfId="2295" priority="148" stopIfTrue="1" operator="lessThanOrEqual">
      <formula>0</formula>
    </cfRule>
  </conditionalFormatting>
  <conditionalFormatting sqref="D75:E75">
    <cfRule type="cellIs" dxfId="2294" priority="139" stopIfTrue="1" operator="lessThanOrEqual">
      <formula>0</formula>
    </cfRule>
  </conditionalFormatting>
  <conditionalFormatting sqref="E10:E23">
    <cfRule type="cellIs" dxfId="2293" priority="19" operator="lessThan">
      <formula>48</formula>
    </cfRule>
  </conditionalFormatting>
  <conditionalFormatting sqref="E51 E52:F52">
    <cfRule type="cellIs" dxfId="2292" priority="166" stopIfTrue="1" operator="greaterThan">
      <formula>100</formula>
    </cfRule>
  </conditionalFormatting>
  <conditionalFormatting sqref="E52">
    <cfRule type="cellIs" dxfId="2291" priority="164" stopIfTrue="1" operator="greaterThan">
      <formula>100</formula>
    </cfRule>
    <cfRule type="cellIs" dxfId="2290" priority="163" stopIfTrue="1" operator="lessThan">
      <formula>96.8</formula>
    </cfRule>
  </conditionalFormatting>
  <conditionalFormatting sqref="E66:E73">
    <cfRule type="cellIs" dxfId="2289" priority="2" stopIfTrue="1" operator="lessThanOrEqual">
      <formula>0</formula>
    </cfRule>
  </conditionalFormatting>
  <conditionalFormatting sqref="E66:E74">
    <cfRule type="cellIs" dxfId="2288" priority="145" stopIfTrue="1" operator="lessThanOrEqual">
      <formula>0</formula>
    </cfRule>
  </conditionalFormatting>
  <conditionalFormatting sqref="E77:E85">
    <cfRule type="cellIs" dxfId="2287" priority="156" stopIfTrue="1" operator="lessThanOrEqual">
      <formula>0</formula>
    </cfRule>
    <cfRule type="cellIs" dxfId="2286" priority="155" stopIfTrue="1" operator="greaterThan">
      <formula>4.5</formula>
    </cfRule>
  </conditionalFormatting>
  <conditionalFormatting sqref="E52:F52 E51">
    <cfRule type="cellIs" dxfId="2285" priority="165" stopIfTrue="1" operator="lessThan">
      <formula>96.5</formula>
    </cfRule>
  </conditionalFormatting>
  <conditionalFormatting sqref="F18:F23">
    <cfRule type="cellIs" dxfId="2284" priority="35" operator="greaterThan">
      <formula>60</formula>
    </cfRule>
  </conditionalFormatting>
  <conditionalFormatting sqref="F52">
    <cfRule type="cellIs" dxfId="2283" priority="182" stopIfTrue="1" operator="greaterThan">
      <formula>100</formula>
    </cfRule>
    <cfRule type="cellIs" dxfId="2282" priority="181" stopIfTrue="1" operator="lessThan">
      <formula>96.8</formula>
    </cfRule>
  </conditionalFormatting>
  <conditionalFormatting sqref="F75">
    <cfRule type="cellIs" dxfId="2281" priority="147" stopIfTrue="1" operator="lessThanOrEqual">
      <formula>0</formula>
    </cfRule>
    <cfRule type="cellIs" dxfId="2280" priority="146" stopIfTrue="1" operator="greaterThan">
      <formula>$F75</formula>
    </cfRule>
  </conditionalFormatting>
  <conditionalFormatting sqref="G10:G22">
    <cfRule type="expression" dxfId="2279" priority="29">
      <formula>IF(+(IF(G10&lt;S10,0,IF(G10&gt;T10,0,1)))=0,1)</formula>
    </cfRule>
  </conditionalFormatting>
  <conditionalFormatting sqref="G66:G67 C72:C74">
    <cfRule type="cellIs" dxfId="2278" priority="151" stopIfTrue="1" operator="lessThanOrEqual">
      <formula>0</formula>
    </cfRule>
  </conditionalFormatting>
  <conditionalFormatting sqref="G66:G67">
    <cfRule type="cellIs" dxfId="2277" priority="150" stopIfTrue="1" operator="greaterThan">
      <formula>$F66</formula>
    </cfRule>
    <cfRule type="cellIs" dxfId="2276" priority="143" stopIfTrue="1" operator="lessThanOrEqual">
      <formula>0</formula>
    </cfRule>
    <cfRule type="cellIs" dxfId="2275" priority="142" stopIfTrue="1" operator="greaterThan">
      <formula>$F66</formula>
    </cfRule>
  </conditionalFormatting>
  <conditionalFormatting sqref="G68">
    <cfRule type="cellIs" dxfId="2274" priority="186" stopIfTrue="1" operator="lessThanOrEqual">
      <formula>0</formula>
    </cfRule>
    <cfRule type="cellIs" dxfId="2273" priority="185" stopIfTrue="1" operator="greaterThan">
      <formula>$F67</formula>
    </cfRule>
  </conditionalFormatting>
  <conditionalFormatting sqref="G69">
    <cfRule type="cellIs" dxfId="2272" priority="53" stopIfTrue="1" operator="lessThanOrEqual">
      <formula>0</formula>
    </cfRule>
    <cfRule type="cellIs" dxfId="2271" priority="52" stopIfTrue="1" operator="greaterThan">
      <formula>$F69</formula>
    </cfRule>
    <cfRule type="cellIs" dxfId="2270" priority="55" stopIfTrue="1" operator="lessThanOrEqual">
      <formula>0</formula>
    </cfRule>
    <cfRule type="cellIs" dxfId="2269" priority="54" stopIfTrue="1" operator="greaterThan">
      <formula>$F69</formula>
    </cfRule>
  </conditionalFormatting>
  <conditionalFormatting sqref="G70:G74">
    <cfRule type="cellIs" dxfId="2268" priority="153" stopIfTrue="1" operator="lessThanOrEqual">
      <formula>0</formula>
    </cfRule>
    <cfRule type="cellIs" dxfId="2267" priority="152" stopIfTrue="1" operator="greaterThan">
      <formula>$J70</formula>
    </cfRule>
  </conditionalFormatting>
  <conditionalFormatting sqref="G79:G84 C82 C84">
    <cfRule type="cellIs" dxfId="2266" priority="179" stopIfTrue="1" operator="lessThanOrEqual">
      <formula>0</formula>
    </cfRule>
    <cfRule type="cellIs" dxfId="2265" priority="178" stopIfTrue="1" operator="greaterThan">
      <formula>4.5</formula>
    </cfRule>
  </conditionalFormatting>
  <conditionalFormatting sqref="G23:H23">
    <cfRule type="expression" dxfId="2264" priority="32">
      <formula>IF(+(IF(G23&lt;#REF!,0,IF(G23&gt;#REF!,0,1)))=0,1)</formula>
    </cfRule>
  </conditionalFormatting>
  <conditionalFormatting sqref="G78:H78">
    <cfRule type="cellIs" dxfId="2263" priority="160" stopIfTrue="1" operator="lessThanOrEqual">
      <formula>0</formula>
    </cfRule>
    <cfRule type="cellIs" dxfId="2262" priority="159" stopIfTrue="1" operator="greaterThan">
      <formula>$F$77</formula>
    </cfRule>
  </conditionalFormatting>
  <conditionalFormatting sqref="H10:H22">
    <cfRule type="expression" dxfId="2261" priority="28">
      <formula>IF(+(IF(H10&lt;#REF!,0,IF(H10&gt;#REF!,0,1)))=0,1)</formula>
    </cfRule>
  </conditionalFormatting>
  <conditionalFormatting sqref="H37:H38 H51:I51">
    <cfRule type="cellIs" dxfId="2260" priority="157" stopIfTrue="1" operator="greaterThan">
      <formula>0</formula>
    </cfRule>
  </conditionalFormatting>
  <conditionalFormatting sqref="H55">
    <cfRule type="cellIs" dxfId="2259" priority="51" stopIfTrue="1" operator="lessThanOrEqual">
      <formula>0</formula>
    </cfRule>
    <cfRule type="cellIs" dxfId="2258" priority="48" stopIfTrue="1" operator="greaterThan">
      <formula>$F$73</formula>
    </cfRule>
    <cfRule type="cellIs" dxfId="2257" priority="50" stopIfTrue="1" operator="greaterThan">
      <formula>$F$71</formula>
    </cfRule>
    <cfRule type="cellIs" dxfId="2256" priority="40" stopIfTrue="1" operator="greaterThan">
      <formula>$F$70</formula>
    </cfRule>
    <cfRule type="cellIs" dxfId="2255" priority="39" stopIfTrue="1" operator="lessThanOrEqual">
      <formula>0</formula>
    </cfRule>
    <cfRule type="cellIs" dxfId="2254" priority="49" stopIfTrue="1" operator="lessThanOrEqual">
      <formula>0</formula>
    </cfRule>
  </conditionalFormatting>
  <conditionalFormatting sqref="H56">
    <cfRule type="cellIs" dxfId="2253" priority="107" stopIfTrue="1" operator="lessThanOrEqual">
      <formula>0</formula>
    </cfRule>
    <cfRule type="cellIs" dxfId="2252" priority="109" stopIfTrue="1" operator="lessThanOrEqual">
      <formula>0</formula>
    </cfRule>
    <cfRule type="cellIs" dxfId="2251" priority="108" stopIfTrue="1" operator="greaterThan">
      <formula>#REF!</formula>
    </cfRule>
    <cfRule type="cellIs" dxfId="2250" priority="97" stopIfTrue="1" operator="lessThanOrEqual">
      <formula>0</formula>
    </cfRule>
    <cfRule type="cellIs" dxfId="2249" priority="98" stopIfTrue="1" operator="greaterThan">
      <formula>#REF!</formula>
    </cfRule>
    <cfRule type="cellIs" dxfId="2248" priority="106" stopIfTrue="1" operator="greaterThan">
      <formula>$F$24</formula>
    </cfRule>
  </conditionalFormatting>
  <conditionalFormatting sqref="H57">
    <cfRule type="cellIs" dxfId="2247" priority="4" stopIfTrue="1" operator="lessThanOrEqual">
      <formula>0</formula>
    </cfRule>
    <cfRule type="cellIs" dxfId="2246" priority="5" stopIfTrue="1" operator="greaterThan">
      <formula>$F$66</formula>
    </cfRule>
    <cfRule type="cellIs" dxfId="2245" priority="13" stopIfTrue="1" operator="greaterThan">
      <formula>$F$69</formula>
    </cfRule>
    <cfRule type="cellIs" dxfId="2244" priority="15" stopIfTrue="1" operator="greaterThan">
      <formula>$F$67</formula>
    </cfRule>
    <cfRule type="cellIs" dxfId="2243" priority="16" stopIfTrue="1" operator="lessThanOrEqual">
      <formula>0</formula>
    </cfRule>
    <cfRule type="cellIs" dxfId="2242" priority="14" stopIfTrue="1" operator="lessThanOrEqual">
      <formula>0</formula>
    </cfRule>
  </conditionalFormatting>
  <conditionalFormatting sqref="H58:H59">
    <cfRule type="cellIs" dxfId="2241" priority="92" stopIfTrue="1" operator="greaterThan">
      <formula>$F$23</formula>
    </cfRule>
    <cfRule type="cellIs" dxfId="2240" priority="93" stopIfTrue="1" operator="lessThanOrEqual">
      <formula>0</formula>
    </cfRule>
    <cfRule type="cellIs" dxfId="2239" priority="94" stopIfTrue="1" operator="greaterThan">
      <formula>#REF!</formula>
    </cfRule>
    <cfRule type="cellIs" dxfId="2238" priority="95" stopIfTrue="1" operator="lessThanOrEqual">
      <formula>0</formula>
    </cfRule>
    <cfRule type="cellIs" dxfId="2237" priority="83" stopIfTrue="1" operator="lessThanOrEqual">
      <formula>0</formula>
    </cfRule>
    <cfRule type="cellIs" dxfId="2236" priority="84" stopIfTrue="1" operator="greaterThan">
      <formula>#REF!</formula>
    </cfRule>
  </conditionalFormatting>
  <conditionalFormatting sqref="H60">
    <cfRule type="cellIs" dxfId="2235" priority="113" stopIfTrue="1" operator="greaterThan">
      <formula>$F$36</formula>
    </cfRule>
    <cfRule type="cellIs" dxfId="2234" priority="112" stopIfTrue="1" operator="lessThanOrEqual">
      <formula>0</formula>
    </cfRule>
    <cfRule type="cellIs" dxfId="2233" priority="121" stopIfTrue="1" operator="greaterThan">
      <formula>$F$39</formula>
    </cfRule>
    <cfRule type="cellIs" dxfId="2232" priority="122" stopIfTrue="1" operator="lessThanOrEqual">
      <formula>0</formula>
    </cfRule>
    <cfRule type="cellIs" dxfId="2231" priority="123" stopIfTrue="1" operator="greaterThan">
      <formula>$F$37</formula>
    </cfRule>
    <cfRule type="cellIs" dxfId="2230" priority="124" stopIfTrue="1" operator="lessThanOrEqual">
      <formula>0</formula>
    </cfRule>
  </conditionalFormatting>
  <conditionalFormatting sqref="H61:H62">
    <cfRule type="cellIs" dxfId="2229" priority="67" stopIfTrue="1" operator="lessThanOrEqual">
      <formula>0</formula>
    </cfRule>
    <cfRule type="cellIs" dxfId="2228" priority="68" stopIfTrue="1" operator="greaterThan">
      <formula>#REF!</formula>
    </cfRule>
    <cfRule type="cellIs" dxfId="2227" priority="77" stopIfTrue="1" operator="lessThanOrEqual">
      <formula>0</formula>
    </cfRule>
    <cfRule type="cellIs" dxfId="2226" priority="76" stopIfTrue="1" operator="greaterThan">
      <formula>$F$23</formula>
    </cfRule>
    <cfRule type="cellIs" dxfId="2225" priority="79" stopIfTrue="1" operator="lessThanOrEqual">
      <formula>0</formula>
    </cfRule>
    <cfRule type="cellIs" dxfId="2224" priority="78" stopIfTrue="1" operator="greaterThan">
      <formula>#REF!</formula>
    </cfRule>
  </conditionalFormatting>
  <conditionalFormatting sqref="H77 H79:H85">
    <cfRule type="cellIs" dxfId="2223" priority="171" stopIfTrue="1" operator="greaterThan">
      <formula>4.5</formula>
    </cfRule>
    <cfRule type="cellIs" dxfId="2222" priority="172" stopIfTrue="1" operator="lessThanOrEqual">
      <formula>0</formula>
    </cfRule>
  </conditionalFormatting>
  <conditionalFormatting sqref="H55:I55">
    <cfRule type="cellIs" dxfId="2221" priority="38" stopIfTrue="1" operator="greaterThan">
      <formula>$F$72</formula>
    </cfRule>
    <cfRule type="cellIs" dxfId="2220" priority="41" stopIfTrue="1" operator="lessThanOrEqual">
      <formula>0</formula>
    </cfRule>
  </conditionalFormatting>
  <conditionalFormatting sqref="H56:I56">
    <cfRule type="cellIs" dxfId="2219" priority="96" stopIfTrue="1" operator="greaterThan">
      <formula>$F$23</formula>
    </cfRule>
    <cfRule type="cellIs" dxfId="2218" priority="99" stopIfTrue="1" operator="lessThanOrEqual">
      <formula>0</formula>
    </cfRule>
  </conditionalFormatting>
  <conditionalFormatting sqref="H57:I57">
    <cfRule type="cellIs" dxfId="2217" priority="6" stopIfTrue="1" operator="lessThanOrEqual">
      <formula>0</formula>
    </cfRule>
    <cfRule type="cellIs" dxfId="2216" priority="3" stopIfTrue="1" operator="greaterThan">
      <formula>$F$68</formula>
    </cfRule>
  </conditionalFormatting>
  <conditionalFormatting sqref="H58:I59">
    <cfRule type="cellIs" dxfId="2215" priority="82" stopIfTrue="1" operator="greaterThan">
      <formula>#REF!</formula>
    </cfRule>
    <cfRule type="cellIs" dxfId="2214" priority="85" stopIfTrue="1" operator="lessThanOrEqual">
      <formula>0</formula>
    </cfRule>
  </conditionalFormatting>
  <conditionalFormatting sqref="H60:I60">
    <cfRule type="cellIs" dxfId="2213" priority="111" stopIfTrue="1" operator="greaterThan">
      <formula>$F$38</formula>
    </cfRule>
    <cfRule type="cellIs" dxfId="2212" priority="114" stopIfTrue="1" operator="lessThanOrEqual">
      <formula>0</formula>
    </cfRule>
  </conditionalFormatting>
  <conditionalFormatting sqref="H61:I62">
    <cfRule type="cellIs" dxfId="2211" priority="69" stopIfTrue="1" operator="lessThanOrEqual">
      <formula>0</formula>
    </cfRule>
    <cfRule type="cellIs" dxfId="2210" priority="66" stopIfTrue="1" operator="greaterThan">
      <formula>#REF!</formula>
    </cfRule>
  </conditionalFormatting>
  <conditionalFormatting sqref="H66:I73">
    <cfRule type="cellIs" dxfId="2209" priority="17" stopIfTrue="1" operator="greaterThan">
      <formula>$J66</formula>
    </cfRule>
    <cfRule type="cellIs" dxfId="2208" priority="18" stopIfTrue="1" operator="lessThanOrEqual">
      <formula>0</formula>
    </cfRule>
  </conditionalFormatting>
  <conditionalFormatting sqref="H74:I74">
    <cfRule type="cellIs" dxfId="2207" priority="144" operator="greaterThan">
      <formula>5.3</formula>
    </cfRule>
  </conditionalFormatting>
  <conditionalFormatting sqref="H75:I75">
    <cfRule type="cellIs" dxfId="2206" priority="137" stopIfTrue="1" operator="lessThanOrEqual">
      <formula>0</formula>
    </cfRule>
    <cfRule type="cellIs" dxfId="2205" priority="136" stopIfTrue="1" operator="greaterThan">
      <formula>$J75</formula>
    </cfRule>
  </conditionalFormatting>
  <conditionalFormatting sqref="I55">
    <cfRule type="cellIs" dxfId="2204" priority="47" stopIfTrue="1" operator="lessThanOrEqual">
      <formula>0</formula>
    </cfRule>
    <cfRule type="cellIs" dxfId="2203" priority="46" stopIfTrue="1" operator="greaterThan">
      <formula>$F$70</formula>
    </cfRule>
    <cfRule type="cellIs" dxfId="2202" priority="45" stopIfTrue="1" operator="lessThanOrEqual">
      <formula>0</formula>
    </cfRule>
    <cfRule type="cellIs" dxfId="2201" priority="44" stopIfTrue="1" operator="greaterThan">
      <formula>$F$72</formula>
    </cfRule>
    <cfRule type="cellIs" dxfId="2200" priority="43" stopIfTrue="1" operator="lessThanOrEqual">
      <formula>0</formula>
    </cfRule>
    <cfRule type="cellIs" dxfId="2199" priority="42" stopIfTrue="1" operator="greaterThan">
      <formula>$F$70</formula>
    </cfRule>
  </conditionalFormatting>
  <conditionalFormatting sqref="I56">
    <cfRule type="cellIs" dxfId="2198" priority="105" stopIfTrue="1" operator="lessThanOrEqual">
      <formula>0</formula>
    </cfRule>
    <cfRule type="cellIs" dxfId="2197" priority="104" stopIfTrue="1" operator="greaterThan">
      <formula>#REF!</formula>
    </cfRule>
    <cfRule type="cellIs" dxfId="2196" priority="103" stopIfTrue="1" operator="lessThanOrEqual">
      <formula>0</formula>
    </cfRule>
    <cfRule type="cellIs" dxfId="2195" priority="102" stopIfTrue="1" operator="greaterThan">
      <formula>$F$23</formula>
    </cfRule>
    <cfRule type="cellIs" dxfId="2194" priority="101" stopIfTrue="1" operator="lessThanOrEqual">
      <formula>0</formula>
    </cfRule>
    <cfRule type="cellIs" dxfId="2193" priority="100" stopIfTrue="1" operator="greaterThan">
      <formula>#REF!</formula>
    </cfRule>
  </conditionalFormatting>
  <conditionalFormatting sqref="I57">
    <cfRule type="cellIs" dxfId="2192" priority="12" stopIfTrue="1" operator="lessThanOrEqual">
      <formula>0</formula>
    </cfRule>
    <cfRule type="cellIs" dxfId="2191" priority="11" stopIfTrue="1" operator="greaterThan">
      <formula>$F$66</formula>
    </cfRule>
    <cfRule type="cellIs" dxfId="2190" priority="10" stopIfTrue="1" operator="lessThanOrEqual">
      <formula>0</formula>
    </cfRule>
    <cfRule type="cellIs" dxfId="2189" priority="9" stopIfTrue="1" operator="greaterThan">
      <formula>$F$68</formula>
    </cfRule>
    <cfRule type="cellIs" dxfId="2188" priority="8" stopIfTrue="1" operator="lessThanOrEqual">
      <formula>0</formula>
    </cfRule>
    <cfRule type="cellIs" dxfId="2187" priority="7" stopIfTrue="1" operator="greaterThan">
      <formula>$F$66</formula>
    </cfRule>
  </conditionalFormatting>
  <conditionalFormatting sqref="I58:I59">
    <cfRule type="cellIs" dxfId="2186" priority="86" stopIfTrue="1" operator="greaterThan">
      <formula>#REF!</formula>
    </cfRule>
    <cfRule type="cellIs" dxfId="2185" priority="87" stopIfTrue="1" operator="lessThanOrEqual">
      <formula>0</formula>
    </cfRule>
    <cfRule type="cellIs" dxfId="2184" priority="88" stopIfTrue="1" operator="greaterThan">
      <formula>#REF!</formula>
    </cfRule>
    <cfRule type="cellIs" dxfId="2183" priority="89" stopIfTrue="1" operator="lessThanOrEqual">
      <formula>0</formula>
    </cfRule>
    <cfRule type="cellIs" dxfId="2182" priority="90" stopIfTrue="1" operator="greaterThan">
      <formula>#REF!</formula>
    </cfRule>
    <cfRule type="cellIs" dxfId="2181" priority="91" stopIfTrue="1" operator="lessThanOrEqual">
      <formula>0</formula>
    </cfRule>
  </conditionalFormatting>
  <conditionalFormatting sqref="I60">
    <cfRule type="cellIs" dxfId="2180" priority="115" stopIfTrue="1" operator="greaterThan">
      <formula>$F$36</formula>
    </cfRule>
    <cfRule type="cellIs" dxfId="2179" priority="116" stopIfTrue="1" operator="lessThanOrEqual">
      <formula>0</formula>
    </cfRule>
    <cfRule type="cellIs" dxfId="2178" priority="117" stopIfTrue="1" operator="greaterThan">
      <formula>$F$38</formula>
    </cfRule>
    <cfRule type="cellIs" dxfId="2177" priority="118" stopIfTrue="1" operator="lessThanOrEqual">
      <formula>0</formula>
    </cfRule>
    <cfRule type="cellIs" dxfId="2176" priority="120" stopIfTrue="1" operator="lessThanOrEqual">
      <formula>0</formula>
    </cfRule>
    <cfRule type="cellIs" dxfId="2175" priority="119" stopIfTrue="1" operator="greaterThan">
      <formula>$F$36</formula>
    </cfRule>
  </conditionalFormatting>
  <conditionalFormatting sqref="I61:I62">
    <cfRule type="cellIs" dxfId="2174" priority="73" stopIfTrue="1" operator="lessThanOrEqual">
      <formula>0</formula>
    </cfRule>
    <cfRule type="cellIs" dxfId="2173" priority="74" stopIfTrue="1" operator="greaterThan">
      <formula>#REF!</formula>
    </cfRule>
    <cfRule type="cellIs" dxfId="2172" priority="70" stopIfTrue="1" operator="greaterThan">
      <formula>#REF!</formula>
    </cfRule>
    <cfRule type="cellIs" dxfId="2171" priority="72" stopIfTrue="1" operator="greaterThan">
      <formula>#REF!</formula>
    </cfRule>
    <cfRule type="cellIs" dxfId="2170" priority="71" stopIfTrue="1" operator="lessThanOrEqual">
      <formula>0</formula>
    </cfRule>
    <cfRule type="cellIs" dxfId="2169" priority="75" stopIfTrue="1" operator="lessThanOrEqual">
      <formula>0</formula>
    </cfRule>
  </conditionalFormatting>
  <conditionalFormatting sqref="I77:I85">
    <cfRule type="cellIs" dxfId="2168" priority="168" stopIfTrue="1" operator="lessThanOrEqual">
      <formula>0</formula>
    </cfRule>
    <cfRule type="cellIs" dxfId="2167" priority="167" stopIfTrue="1" operator="greaterThan">
      <formula>4.5</formula>
    </cfRule>
  </conditionalFormatting>
  <conditionalFormatting sqref="I10:J23">
    <cfRule type="cellIs" dxfId="2166" priority="21" operator="lessThan">
      <formula>97.9</formula>
    </cfRule>
  </conditionalFormatting>
  <conditionalFormatting sqref="J27:J28">
    <cfRule type="cellIs" dxfId="2165" priority="127" stopIfTrue="1" operator="greaterThan">
      <formula>100</formula>
    </cfRule>
    <cfRule type="cellIs" dxfId="2164" priority="128" operator="lessThan">
      <formula>98</formula>
    </cfRule>
    <cfRule type="cellIs" dxfId="2163" priority="126" stopIfTrue="1" operator="lessThan">
      <formula>96.8</formula>
    </cfRule>
  </conditionalFormatting>
  <conditionalFormatting sqref="J27:J30">
    <cfRule type="cellIs" dxfId="2162" priority="125" operator="lessThan">
      <formula>97.4</formula>
    </cfRule>
  </conditionalFormatting>
  <conditionalFormatting sqref="J31:J32">
    <cfRule type="cellIs" dxfId="2161" priority="129" operator="lessThan">
      <formula>98</formula>
    </cfRule>
  </conditionalFormatting>
  <conditionalFormatting sqref="J33:J34">
    <cfRule type="cellIs" dxfId="2160" priority="130" stopIfTrue="1" operator="lessThan">
      <formula>96.8</formula>
    </cfRule>
    <cfRule type="cellIs" dxfId="2159" priority="131" stopIfTrue="1" operator="greaterThan">
      <formula>100</formula>
    </cfRule>
  </conditionalFormatting>
  <conditionalFormatting sqref="J33:J35">
    <cfRule type="cellIs" dxfId="2158" priority="132" operator="lessThan">
      <formula>98</formula>
    </cfRule>
  </conditionalFormatting>
  <conditionalFormatting sqref="J62">
    <cfRule type="cellIs" dxfId="2157" priority="58" stopIfTrue="1" operator="greaterThan">
      <formula>#REF!</formula>
    </cfRule>
    <cfRule type="cellIs" dxfId="2156" priority="65" stopIfTrue="1" operator="lessThanOrEqual">
      <formula>0</formula>
    </cfRule>
    <cfRule type="cellIs" dxfId="2155" priority="64" stopIfTrue="1" operator="greaterThan">
      <formula>#REF!</formula>
    </cfRule>
    <cfRule type="cellIs" dxfId="2154" priority="63" stopIfTrue="1" operator="lessThanOrEqual">
      <formula>0</formula>
    </cfRule>
    <cfRule type="cellIs" dxfId="2153" priority="62" stopIfTrue="1" operator="greaterThan">
      <formula>#REF!</formula>
    </cfRule>
    <cfRule type="cellIs" dxfId="2152" priority="61" stopIfTrue="1" operator="lessThanOrEqual">
      <formula>0</formula>
    </cfRule>
    <cfRule type="cellIs" dxfId="2151" priority="60" stopIfTrue="1" operator="greaterThan">
      <formula>#REF!</formula>
    </cfRule>
    <cfRule type="cellIs" dxfId="2150" priority="59" stopIfTrue="1" operator="lessThanOrEqual">
      <formula>0</formula>
    </cfRule>
  </conditionalFormatting>
  <conditionalFormatting sqref="J75">
    <cfRule type="cellIs" dxfId="2149" priority="133" stopIfTrue="1" operator="greaterThan">
      <formula>$F75</formula>
    </cfRule>
    <cfRule type="cellIs" dxfId="2148" priority="134" stopIfTrue="1" operator="lessThanOrEqual">
      <formula>0</formula>
    </cfRule>
  </conditionalFormatting>
  <conditionalFormatting sqref="K10:K23">
    <cfRule type="cellIs" dxfId="2147" priority="24" operator="greaterThan">
      <formula>6.4</formula>
    </cfRule>
    <cfRule type="cellIs" dxfId="2146" priority="22" operator="greaterThan">
      <formula>6</formula>
    </cfRule>
    <cfRule type="cellIs" dxfId="2145" priority="23" operator="lessThan">
      <formula>4</formula>
    </cfRule>
  </conditionalFormatting>
  <conditionalFormatting sqref="K55:K62 K66:M72 N66:N74 K73 K74:M74">
    <cfRule type="cellIs" dxfId="2144" priority="110" stopIfTrue="1" operator="lessThan">
      <formula>100%</formula>
    </cfRule>
  </conditionalFormatting>
  <conditionalFormatting sqref="K77:K82">
    <cfRule type="cellIs" dxfId="2143" priority="173" stopIfTrue="1" operator="lessThan">
      <formula>100%</formula>
    </cfRule>
  </conditionalFormatting>
  <conditionalFormatting sqref="K84:K85">
    <cfRule type="cellIs" dxfId="2142" priority="180" stopIfTrue="1" operator="lessThan">
      <formula>100%</formula>
    </cfRule>
  </conditionalFormatting>
  <conditionalFormatting sqref="L10:L23">
    <cfRule type="cellIs" dxfId="2141" priority="27" operator="greaterThan">
      <formula>65</formula>
    </cfRule>
    <cfRule type="cellIs" dxfId="2140" priority="26" operator="between">
      <formula>61</formula>
      <formula>65</formula>
    </cfRule>
  </conditionalFormatting>
  <conditionalFormatting sqref="L26:M37">
    <cfRule type="cellIs" dxfId="2139" priority="36" operator="lessThan">
      <formula>97.95</formula>
    </cfRule>
  </conditionalFormatting>
  <conditionalFormatting sqref="L41:N41">
    <cfRule type="cellIs" dxfId="2138" priority="37" operator="notEqual">
      <formula>#REF!</formula>
    </cfRule>
  </conditionalFormatting>
  <conditionalFormatting sqref="L75:N75">
    <cfRule type="cellIs" dxfId="2137" priority="135" stopIfTrue="1" operator="lessThan">
      <formula>100%</formula>
    </cfRule>
  </conditionalFormatting>
  <conditionalFormatting sqref="L77:N85">
    <cfRule type="cellIs" dxfId="2136" priority="158" stopIfTrue="1" operator="lessThan">
      <formula>100%</formula>
    </cfRule>
  </conditionalFormatting>
  <conditionalFormatting sqref="M10:M22">
    <cfRule type="expression" dxfId="2135" priority="25">
      <formula>IF(+(IF(M10&lt;U10,0,IF(M10&gt;V10,0,1)))=0,1)</formula>
    </cfRule>
  </conditionalFormatting>
  <conditionalFormatting sqref="M23:N23">
    <cfRule type="expression" dxfId="2134" priority="188">
      <formula>IF(+(IF(M23&lt;#REF!,0,IF(M23&gt;#REF!,0,1)))=0,1)</formula>
    </cfRule>
  </conditionalFormatting>
  <conditionalFormatting sqref="N10:N22">
    <cfRule type="expression" dxfId="2133" priority="1">
      <formula>IF(+(IF(N10&lt;W10,0,IF(N10&gt;X10,0,1)))=0,1)</formula>
    </cfRule>
  </conditionalFormatting>
  <conditionalFormatting sqref="P6">
    <cfRule type="cellIs" dxfId="2132" priority="154" operator="greaterThanOrEqual">
      <formula>19</formula>
    </cfRule>
  </conditionalFormatting>
  <dataValidations count="1">
    <dataValidation type="list" allowBlank="1" showInputMessage="1" showErrorMessage="1" sqref="R8" xr:uid="{9AE77E12-B6F8-4993-9A51-AB2025847A4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EBA3D-FF59-4EF3-8E79-863C19914447}">
  <sheetPr codeName="Sheet12">
    <pageSetUpPr fitToPage="1"/>
  </sheetPr>
  <dimension ref="A1:BE78"/>
  <sheetViews>
    <sheetView topLeftCell="A9" zoomScale="80" zoomScaleNormal="80" workbookViewId="0">
      <selection activeCell="D22" sqref="D22:D25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46041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[4]Brewhouse!$A73</f>
        <v>CA032</v>
      </c>
      <c r="D10" s="279">
        <f>[4]Brewhouse!$AF73</f>
        <v>51.8</v>
      </c>
      <c r="E10" s="279">
        <f>[4]Brewhouse!$AI73</f>
        <v>49.3</v>
      </c>
      <c r="F10" s="278">
        <f>[4]Brewhouse!$V73</f>
        <v>58</v>
      </c>
      <c r="G10" s="279">
        <f>[4]Brewhouse!AG73</f>
        <v>12.2</v>
      </c>
      <c r="H10" s="396">
        <v>11.8</v>
      </c>
      <c r="I10" s="368">
        <f>[4]Brewhouse!$AU73</f>
        <v>99.640437653385277</v>
      </c>
      <c r="J10" s="368">
        <f>[4]Brewhouse!$AV73</f>
        <v>99.303738085140154</v>
      </c>
      <c r="K10" s="281">
        <f>[4]Brewhouse!$Q73</f>
        <v>3.80414312617703</v>
      </c>
      <c r="L10" s="276">
        <f>[4]Brewhouse!$P73</f>
        <v>59</v>
      </c>
      <c r="M10" s="397">
        <f>[4]Brewhouse!$U73-[4]Brewhouse!$T73</f>
        <v>0.14930555555555552</v>
      </c>
      <c r="N10" s="370">
        <f>[4]Brewhouse!$Z73</f>
        <v>0.38472222222222219</v>
      </c>
      <c r="O10" s="420" t="str">
        <f>[4]Brewhouse!$AX73</f>
        <v>R.Sookram</v>
      </c>
      <c r="P10" s="418" t="s">
        <v>194</v>
      </c>
      <c r="R10" s="277" t="str">
        <f t="shared" ref="R10:R24" si="0">B10</f>
        <v>CARIB</v>
      </c>
      <c r="S10" s="474">
        <f t="shared" ref="S10:S40" si="1">VLOOKUP($B10,$R$3:$X$9,2,FALSE)</f>
        <v>11.6</v>
      </c>
      <c r="T10" s="474">
        <f t="shared" ref="T10:T40" si="2">VLOOKUP($B10,$R$3:$X$9,3,FALSE)</f>
        <v>12</v>
      </c>
      <c r="U10" s="297">
        <f t="shared" ref="U10:U40" si="3">VLOOKUP($B10,$R$3:$X$9,4,FALSE)</f>
        <v>0</v>
      </c>
      <c r="V10" s="297">
        <f t="shared" ref="V10:V40" si="4">VLOOKUP($B10,$R$3:$X$9,5,FALSE)</f>
        <v>0.118055555555556</v>
      </c>
      <c r="W10" s="297">
        <f t="shared" ref="W10:W40" si="5">VLOOKUP($B10,$R$3:$X$9,6,FALSE)</f>
        <v>0.22569444444444445</v>
      </c>
      <c r="X10" s="297">
        <f t="shared" ref="X10:X40" si="6">VLOOKUP($B10,$R$3:$X$9,7,FALSE)</f>
        <v>0.2638888888888889</v>
      </c>
      <c r="Y10" s="297">
        <f t="shared" ref="Y10:Y40" si="7">VLOOKUP($B10,$R$3:$Z$9,8,FALSE)</f>
        <v>0</v>
      </c>
      <c r="Z10" s="474">
        <f t="shared" ref="Z10:Z40" si="8">VLOOKUP($B10,$R$3:$Z$9,9,FALSE)</f>
        <v>60</v>
      </c>
    </row>
    <row r="11" spans="2:29" ht="16.5" customHeight="1">
      <c r="B11" s="29" t="s">
        <v>6</v>
      </c>
      <c r="C11" s="366" t="str">
        <f>[4]Brewhouse!$A74</f>
        <v>CA033</v>
      </c>
      <c r="D11" s="279">
        <f>[4]Brewhouse!$AF74</f>
        <v>54.9</v>
      </c>
      <c r="E11" s="279">
        <f>[4]Brewhouse!$AI74</f>
        <v>42.9</v>
      </c>
      <c r="F11" s="278">
        <f>[4]Brewhouse!$V74</f>
        <v>48</v>
      </c>
      <c r="G11" s="279">
        <f>[4]Brewhouse!AG74</f>
        <v>11.6</v>
      </c>
      <c r="H11" s="396">
        <v>12</v>
      </c>
      <c r="I11" s="368">
        <f>[4]Brewhouse!$AU74</f>
        <v>82.328169468585017</v>
      </c>
      <c r="J11" s="368">
        <f>[4]Brewhouse!$AV74</f>
        <v>82.049992556058967</v>
      </c>
      <c r="K11" s="281">
        <f>[4]Brewhouse!$Q74</f>
        <v>-0.52830188679245493</v>
      </c>
      <c r="L11" s="276">
        <f>[4]Brewhouse!$P74</f>
        <v>59</v>
      </c>
      <c r="M11" s="397">
        <f>[4]Brewhouse!$U74-[4]Brewhouse!$T74</f>
        <v>0.4548611111111111</v>
      </c>
      <c r="N11" s="370">
        <f>[4]Brewhouse!$Z74</f>
        <v>0.76180555555555562</v>
      </c>
      <c r="O11" s="420" t="str">
        <f>[4]Brewhouse!$AX74</f>
        <v>K. Benjamin</v>
      </c>
      <c r="P11" s="418" t="s">
        <v>195</v>
      </c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[4]Brewhouse!$A75</f>
        <v>CA034</v>
      </c>
      <c r="D12" s="279">
        <f>[4]Brewhouse!$AF75</f>
        <v>53</v>
      </c>
      <c r="E12" s="279">
        <f>[4]Brewhouse!$AI75</f>
        <v>51.3</v>
      </c>
      <c r="F12" s="278">
        <f>[4]Brewhouse!$V75</f>
        <v>68</v>
      </c>
      <c r="G12" s="279">
        <f>[4]Brewhouse!AG75</f>
        <v>11.5</v>
      </c>
      <c r="H12" s="396">
        <v>11.6</v>
      </c>
      <c r="I12" s="368">
        <f>[4]Brewhouse!$AU75</f>
        <v>97.674289949528585</v>
      </c>
      <c r="J12" s="368">
        <f>[4]Brewhouse!$AV75</f>
        <v>97.344286492210998</v>
      </c>
      <c r="K12" s="281">
        <f>[4]Brewhouse!$Q75</f>
        <v>1.3584905660377338</v>
      </c>
      <c r="L12" s="276">
        <f>[4]Brewhouse!$P75</f>
        <v>62</v>
      </c>
      <c r="M12" s="397">
        <f>[4]Brewhouse!$U75-[4]Brewhouse!$T75</f>
        <v>0.12638888888888899</v>
      </c>
      <c r="N12" s="370">
        <f>[4]Brewhouse!$Z75</f>
        <v>0.6479166666666667</v>
      </c>
      <c r="O12" s="420" t="str">
        <f>[4]Brewhouse!$AX75</f>
        <v>K. Benjamin</v>
      </c>
      <c r="P12" s="418" t="s">
        <v>196</v>
      </c>
      <c r="R12" s="277" t="str">
        <f t="shared" si="0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[4]Brewhouse!$A76</f>
        <v>CA035</v>
      </c>
      <c r="D13" s="279">
        <f>[4]Brewhouse!$AF76</f>
        <v>54.6</v>
      </c>
      <c r="E13" s="279">
        <f>[4]Brewhouse!$AI76</f>
        <v>52.7</v>
      </c>
      <c r="F13" s="278">
        <f>[4]Brewhouse!$V76</f>
        <v>63</v>
      </c>
      <c r="G13" s="279">
        <f>[4]Brewhouse!AG76</f>
        <v>12</v>
      </c>
      <c r="H13" s="396">
        <v>11.6</v>
      </c>
      <c r="I13" s="368">
        <f>[4]Brewhouse!$AU76</f>
        <v>107.03141163467369</v>
      </c>
      <c r="J13" s="368">
        <f>[4]Brewhouse!$AV76</f>
        <v>106.67026209357451</v>
      </c>
      <c r="K13" s="281">
        <f>[4]Brewhouse!$Q76</f>
        <v>-1.660377358490571</v>
      </c>
      <c r="L13" s="276">
        <f>[4]Brewhouse!$P76</f>
        <v>60</v>
      </c>
      <c r="M13" s="397">
        <f>[4]Brewhouse!$U76-[4]Brewhouse!$T76</f>
        <v>0.12569444444444433</v>
      </c>
      <c r="N13" s="370">
        <f>[4]Brewhouse!$Z76</f>
        <v>0.65555555555555545</v>
      </c>
      <c r="O13" s="420" t="str">
        <f>[4]Brewhouse!$AX76</f>
        <v>R. Regis</v>
      </c>
      <c r="P13" s="418"/>
      <c r="R13" s="277" t="str">
        <f t="shared" si="0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489">
        <v>46039</v>
      </c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/>
      <c r="S14" s="474"/>
      <c r="T14" s="474"/>
      <c r="U14" s="297"/>
      <c r="V14" s="297"/>
      <c r="W14" s="297"/>
      <c r="X14" s="297"/>
      <c r="Y14" s="297"/>
      <c r="Z14" s="474"/>
    </row>
    <row r="15" spans="2:29" ht="16.5" customHeight="1">
      <c r="B15" s="29" t="s">
        <v>6</v>
      </c>
      <c r="C15" s="366" t="str">
        <f>[4]Brewhouse!$A77</f>
        <v>CA036</v>
      </c>
      <c r="D15" s="279">
        <f>[4]Brewhouse!$AF77</f>
        <v>51.3</v>
      </c>
      <c r="E15" s="279">
        <f>[4]Brewhouse!$AI77</f>
        <v>49.3</v>
      </c>
      <c r="F15" s="278">
        <f>[4]Brewhouse!$V77</f>
        <v>77</v>
      </c>
      <c r="G15" s="279">
        <f>[4]Brewhouse!AG77</f>
        <v>11.7</v>
      </c>
      <c r="H15" s="396">
        <v>11.9</v>
      </c>
      <c r="I15" s="368">
        <f>[4]Brewhouse!$AU77</f>
        <v>95.236008152799599</v>
      </c>
      <c r="J15" s="368">
        <f>[4]Brewhouse!$AV77</f>
        <v>94.914166433360933</v>
      </c>
      <c r="K15" s="281">
        <f>[4]Brewhouse!$Q77</f>
        <v>4.7457627118644128</v>
      </c>
      <c r="L15" s="276">
        <f>[4]Brewhouse!$P77</f>
        <v>60</v>
      </c>
      <c r="M15" s="397">
        <f>[4]Brewhouse!$U77-[4]Brewhouse!$T77</f>
        <v>0.12916666666666671</v>
      </c>
      <c r="N15" s="370">
        <f>[4]Brewhouse!$Z77</f>
        <v>0.26736111111111116</v>
      </c>
      <c r="O15" s="420" t="str">
        <f>[4]Brewhouse!$AX77</f>
        <v>D. Gomaz</v>
      </c>
      <c r="P15" s="418"/>
      <c r="R15" s="277" t="str">
        <f t="shared" si="0"/>
        <v>CARIB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29" t="s">
        <v>6</v>
      </c>
      <c r="C16" s="366" t="str">
        <f>[4]Brewhouse!$A78</f>
        <v>CA037</v>
      </c>
      <c r="D16" s="279">
        <f>[4]Brewhouse!$AF78</f>
        <v>51.8</v>
      </c>
      <c r="E16" s="279">
        <f>[4]Brewhouse!$AI78</f>
        <v>48.12</v>
      </c>
      <c r="F16" s="278">
        <f>[4]Brewhouse!$V78</f>
        <v>77</v>
      </c>
      <c r="G16" s="279">
        <f>[4]Brewhouse!AG78</f>
        <v>11.9</v>
      </c>
      <c r="H16" s="396">
        <v>11.9</v>
      </c>
      <c r="I16" s="368">
        <f>[4]Brewhouse!$AU78</f>
        <v>93.827567679359049</v>
      </c>
      <c r="J16" s="368">
        <f>[4]Brewhouse!$AV78</f>
        <v>93.510312453626767</v>
      </c>
      <c r="K16" s="281">
        <f>[4]Brewhouse!$Q78</f>
        <v>3.80414312617703</v>
      </c>
      <c r="L16" s="276">
        <f>[4]Brewhouse!$P78</f>
        <v>61</v>
      </c>
      <c r="M16" s="397">
        <f>[4]Brewhouse!$U78-[4]Brewhouse!$T78</f>
        <v>0.12291666666666667</v>
      </c>
      <c r="N16" s="370">
        <f>[4]Brewhouse!$Z78</f>
        <v>0.26666666666666672</v>
      </c>
      <c r="O16" s="420" t="str">
        <f>[4]Brewhouse!$AX78</f>
        <v>D. Gomaz</v>
      </c>
      <c r="P16" s="418"/>
      <c r="R16" s="277" t="str">
        <f t="shared" si="0"/>
        <v>CARIB</v>
      </c>
      <c r="S16" s="474">
        <f t="shared" si="1"/>
        <v>11.6</v>
      </c>
      <c r="T16" s="474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4">
        <f t="shared" si="8"/>
        <v>60</v>
      </c>
    </row>
    <row r="17" spans="1:26" ht="16.5" customHeight="1">
      <c r="B17" s="29" t="s">
        <v>6</v>
      </c>
      <c r="C17" s="366" t="str">
        <f>[4]Brewhouse!$A79</f>
        <v>CA038</v>
      </c>
      <c r="D17" s="279">
        <f>[4]Brewhouse!$AF79</f>
        <v>52</v>
      </c>
      <c r="E17" s="279">
        <f>[4]Brewhouse!$AI79</f>
        <v>48.17</v>
      </c>
      <c r="F17" s="278">
        <f>[4]Brewhouse!$V79</f>
        <v>80</v>
      </c>
      <c r="G17" s="279">
        <f>[4]Brewhouse!AG79</f>
        <v>11.9</v>
      </c>
      <c r="H17" s="396">
        <v>11.9</v>
      </c>
      <c r="I17" s="368">
        <f>[4]Brewhouse!$AU79</f>
        <v>95.896687100312732</v>
      </c>
      <c r="J17" s="368">
        <f>[4]Brewhouse!$AV79</f>
        <v>95.572870879564817</v>
      </c>
      <c r="K17" s="281">
        <f>[4]Brewhouse!$Q79</f>
        <v>3.4274952919020718</v>
      </c>
      <c r="L17" s="276">
        <f>[4]Brewhouse!$P79</f>
        <v>62</v>
      </c>
      <c r="M17" s="397">
        <f>[4]Brewhouse!$U79-[4]Brewhouse!$T79</f>
        <v>0.12986111111111109</v>
      </c>
      <c r="N17" s="370">
        <f>[4]Brewhouse!$Z79</f>
        <v>0.27777777777777779</v>
      </c>
      <c r="O17" s="420" t="str">
        <f>[4]Brewhouse!$AX79</f>
        <v>D. Gomaz</v>
      </c>
      <c r="P17" s="418"/>
      <c r="R17" s="277" t="str">
        <f t="shared" si="0"/>
        <v>CARIB</v>
      </c>
      <c r="S17" s="474">
        <f t="shared" si="1"/>
        <v>11.6</v>
      </c>
      <c r="T17" s="474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4">
        <f t="shared" si="8"/>
        <v>60</v>
      </c>
    </row>
    <row r="18" spans="1:26" ht="16.5" customHeight="1">
      <c r="B18" s="29" t="s">
        <v>6</v>
      </c>
      <c r="C18" s="366" t="str">
        <f>[4]Brewhouse!$A80</f>
        <v>CA039</v>
      </c>
      <c r="D18" s="279">
        <f>[4]Brewhouse!$AF80</f>
        <v>51.9</v>
      </c>
      <c r="E18" s="279">
        <f>[4]Brewhouse!$AI80</f>
        <v>50.1</v>
      </c>
      <c r="F18" s="278">
        <f>[4]Brewhouse!$V80</f>
        <v>61</v>
      </c>
      <c r="G18" s="279">
        <f>[4]Brewhouse!AG80</f>
        <v>11.9</v>
      </c>
      <c r="H18" s="396">
        <v>11.8</v>
      </c>
      <c r="I18" s="368">
        <f>[4]Brewhouse!$AU80</f>
        <v>99.738925134433643</v>
      </c>
      <c r="J18" s="368">
        <f>[4]Brewhouse!$AV80</f>
        <v>99.402134753294533</v>
      </c>
      <c r="K18" s="281">
        <f>[4]Brewhouse!$Q80</f>
        <v>3.6158192090395511</v>
      </c>
      <c r="L18" s="276">
        <f>[4]Brewhouse!$P80</f>
        <v>62</v>
      </c>
      <c r="M18" s="397">
        <f>[4]Brewhouse!$U80-[4]Brewhouse!$T80</f>
        <v>0.11527777777777781</v>
      </c>
      <c r="N18" s="370">
        <f>[4]Brewhouse!$Z80</f>
        <v>0.26736111111111116</v>
      </c>
      <c r="O18" s="420" t="str">
        <f>[4]Brewhouse!$AX80</f>
        <v>D. Gomaz</v>
      </c>
      <c r="P18" s="418"/>
      <c r="R18" s="277" t="str">
        <f t="shared" si="0"/>
        <v>CARIB</v>
      </c>
      <c r="S18" s="474">
        <f t="shared" si="1"/>
        <v>11.6</v>
      </c>
      <c r="T18" s="474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4">
        <f t="shared" si="8"/>
        <v>60</v>
      </c>
    </row>
    <row r="19" spans="1:26" ht="16.5" customHeight="1">
      <c r="B19" s="29" t="s">
        <v>6</v>
      </c>
      <c r="C19" s="366" t="str">
        <f>[4]Brewhouse!$A81</f>
        <v>CA040</v>
      </c>
      <c r="D19" s="279">
        <f>[4]Brewhouse!$AF81</f>
        <v>52</v>
      </c>
      <c r="E19" s="279">
        <f>[4]Brewhouse!$AI81</f>
        <v>50.7</v>
      </c>
      <c r="F19" s="278">
        <f>[4]Brewhouse!$V81</f>
        <v>63</v>
      </c>
      <c r="G19" s="279">
        <f>[4]Brewhouse!AG81</f>
        <v>11.8</v>
      </c>
      <c r="H19" s="396">
        <v>11.7</v>
      </c>
      <c r="I19" s="368">
        <f>[4]Brewhouse!$AU81</f>
        <v>100.16530562302518</v>
      </c>
      <c r="J19" s="368">
        <f>[4]Brewhouse!$AV81</f>
        <v>99.827102811254065</v>
      </c>
      <c r="K19" s="281">
        <f>[4]Brewhouse!$Q81</f>
        <v>2.6741996233521688</v>
      </c>
      <c r="L19" s="276">
        <f>[4]Brewhouse!$P81</f>
        <v>58</v>
      </c>
      <c r="M19" s="397">
        <f>[4]Brewhouse!$U81-[4]Brewhouse!$T81</f>
        <v>0.11111111111111116</v>
      </c>
      <c r="N19" s="370">
        <f>[4]Brewhouse!$Z81</f>
        <v>0.26597222222222228</v>
      </c>
      <c r="O19" s="420" t="str">
        <f>[4]Brewhouse!$AX81</f>
        <v>R.Sookram</v>
      </c>
      <c r="P19" s="418"/>
      <c r="R19" s="277" t="str">
        <f t="shared" si="0"/>
        <v>CARIB</v>
      </c>
      <c r="S19" s="474">
        <f t="shared" si="1"/>
        <v>11.6</v>
      </c>
      <c r="T19" s="474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4">
        <f t="shared" si="8"/>
        <v>60</v>
      </c>
    </row>
    <row r="20" spans="1:26" ht="16.5" customHeight="1">
      <c r="B20" s="29" t="s">
        <v>6</v>
      </c>
      <c r="C20" s="366" t="str">
        <f>[4]Brewhouse!$A82</f>
        <v>CA041</v>
      </c>
      <c r="D20" s="279">
        <f>[4]Brewhouse!$AF82</f>
        <v>53</v>
      </c>
      <c r="E20" s="279">
        <f>[4]Brewhouse!$AI82</f>
        <v>51</v>
      </c>
      <c r="F20" s="278">
        <f>[4]Brewhouse!$V82</f>
        <v>63</v>
      </c>
      <c r="G20" s="279">
        <f>[4]Brewhouse!AG82</f>
        <v>11.7</v>
      </c>
      <c r="H20" s="396">
        <v>11.7</v>
      </c>
      <c r="I20" s="368">
        <f>[4]Brewhouse!$AU82</f>
        <v>99.736526583941028</v>
      </c>
      <c r="J20" s="368">
        <f>[4]Brewhouse!$AV82</f>
        <v>99.399744302034321</v>
      </c>
      <c r="K20" s="281">
        <f>[4]Brewhouse!$Q82</f>
        <v>1.5442561205273075</v>
      </c>
      <c r="L20" s="276">
        <f>[4]Brewhouse!$P82</f>
        <v>58</v>
      </c>
      <c r="M20" s="397">
        <f>[4]Brewhouse!$U82-[4]Brewhouse!$T82</f>
        <v>0.11388888888888893</v>
      </c>
      <c r="N20" s="370">
        <f>[4]Brewhouse!$Z82</f>
        <v>0.26736111111111116</v>
      </c>
      <c r="O20" s="420" t="str">
        <f>[4]Brewhouse!$AX82</f>
        <v>R.Sookram</v>
      </c>
      <c r="P20" s="418"/>
      <c r="R20" s="277" t="str">
        <f t="shared" si="0"/>
        <v>CARIB</v>
      </c>
      <c r="S20" s="474">
        <f t="shared" si="1"/>
        <v>11.6</v>
      </c>
      <c r="T20" s="474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4">
        <f t="shared" si="8"/>
        <v>60</v>
      </c>
    </row>
    <row r="21" spans="1:26" ht="16.5" customHeight="1">
      <c r="B21" s="489">
        <v>46040</v>
      </c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/>
      <c r="S21" s="474"/>
      <c r="T21" s="474"/>
      <c r="U21" s="297"/>
      <c r="V21" s="297"/>
      <c r="W21" s="297"/>
      <c r="X21" s="297"/>
      <c r="Y21" s="297"/>
      <c r="Z21" s="474"/>
    </row>
    <row r="22" spans="1:26" ht="16.5" customHeight="1">
      <c r="B22" s="29" t="s">
        <v>6</v>
      </c>
      <c r="C22" s="366" t="str">
        <f>[4]Brewhouse!$A83</f>
        <v>CA042</v>
      </c>
      <c r="D22" s="279">
        <f>[4]Brewhouse!$AF83</f>
        <v>52.7</v>
      </c>
      <c r="E22" s="279">
        <f>[4]Brewhouse!$AI83</f>
        <v>50.9</v>
      </c>
      <c r="F22" s="278">
        <f>[4]Brewhouse!$V83</f>
        <v>60</v>
      </c>
      <c r="G22" s="279">
        <f>[4]Brewhouse!AG83</f>
        <v>11.7</v>
      </c>
      <c r="H22" s="396">
        <v>11.6</v>
      </c>
      <c r="I22" s="368">
        <f>[4]Brewhouse!$AU83</f>
        <v>99.664029210937514</v>
      </c>
      <c r="J22" s="368">
        <f>[4]Brewhouse!$AV83</f>
        <v>99.327518932234511</v>
      </c>
      <c r="K22" s="281">
        <f>[4]Brewhouse!$Q83</f>
        <v>2.1092278719397317</v>
      </c>
      <c r="L22" s="276">
        <f>[4]Brewhouse!$P83</f>
        <v>58</v>
      </c>
      <c r="M22" s="397">
        <f>[4]Brewhouse!$U83-[4]Brewhouse!$T83</f>
        <v>0.12916666666666665</v>
      </c>
      <c r="N22" s="370">
        <f>[4]Brewhouse!$Z83</f>
        <v>0.29305555555555562</v>
      </c>
      <c r="O22" s="420" t="str">
        <f>[4]Brewhouse!$AX83</f>
        <v>R.Sookram</v>
      </c>
      <c r="P22" s="418"/>
      <c r="R22" s="277" t="str">
        <f t="shared" si="0"/>
        <v>CARIB</v>
      </c>
      <c r="S22" s="474">
        <f t="shared" si="1"/>
        <v>11.6</v>
      </c>
      <c r="T22" s="474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4">
        <f t="shared" si="8"/>
        <v>60</v>
      </c>
    </row>
    <row r="23" spans="1:26" ht="16.5" customHeight="1">
      <c r="B23" s="29" t="s">
        <v>6</v>
      </c>
      <c r="C23" s="366" t="str">
        <f>[4]Brewhouse!$A84</f>
        <v>CA043</v>
      </c>
      <c r="D23" s="279">
        <f>[4]Brewhouse!$AF84</f>
        <v>52.5</v>
      </c>
      <c r="E23" s="279">
        <f>[4]Brewhouse!$AI84</f>
        <v>50.5</v>
      </c>
      <c r="F23" s="278">
        <f>[4]Brewhouse!$V84</f>
        <v>61</v>
      </c>
      <c r="G23" s="279">
        <f>[4]Brewhouse!AG84</f>
        <v>11.8</v>
      </c>
      <c r="H23" s="396">
        <v>11.7</v>
      </c>
      <c r="I23" s="368">
        <f>[4]Brewhouse!$AU84</f>
        <v>100.01748335846912</v>
      </c>
      <c r="J23" s="368">
        <f>[4]Brewhouse!$AV84</f>
        <v>99.679834456455382</v>
      </c>
      <c r="K23" s="281">
        <f>[4]Brewhouse!$Q84</f>
        <v>2.4858757062146899</v>
      </c>
      <c r="L23" s="276">
        <f>[4]Brewhouse!$P84</f>
        <v>72</v>
      </c>
      <c r="M23" s="397">
        <f>[4]Brewhouse!$U84-[4]Brewhouse!$T84</f>
        <v>0.14097222222222228</v>
      </c>
      <c r="N23" s="370">
        <f>[4]Brewhouse!$Z84</f>
        <v>0.32291666666666674</v>
      </c>
      <c r="O23" s="420" t="str">
        <f>[4]Brewhouse!$AX84</f>
        <v>R.Sookram</v>
      </c>
      <c r="P23" s="418" t="s">
        <v>197</v>
      </c>
      <c r="R23" s="277" t="str">
        <f t="shared" si="0"/>
        <v>CARIB</v>
      </c>
      <c r="S23" s="474">
        <f t="shared" si="1"/>
        <v>11.6</v>
      </c>
      <c r="T23" s="474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4">
        <f t="shared" si="8"/>
        <v>60</v>
      </c>
    </row>
    <row r="24" spans="1:26" ht="16.5" customHeight="1">
      <c r="B24" s="29" t="s">
        <v>6</v>
      </c>
      <c r="C24" s="366" t="str">
        <f>[4]Brewhouse!$A85</f>
        <v>CA044</v>
      </c>
      <c r="D24" s="279">
        <f>[4]Brewhouse!$AF85</f>
        <v>53.8</v>
      </c>
      <c r="E24" s="279">
        <f>[4]Brewhouse!$AI85</f>
        <v>51.8</v>
      </c>
      <c r="F24" s="278">
        <f>[4]Brewhouse!$V85</f>
        <v>63</v>
      </c>
      <c r="G24" s="279">
        <f>[4]Brewhouse!AG85</f>
        <v>11.8</v>
      </c>
      <c r="H24" s="396">
        <v>11.7</v>
      </c>
      <c r="I24" s="368">
        <f>[4]Brewhouse!$AU85</f>
        <v>102.59219085086538</v>
      </c>
      <c r="J24" s="368">
        <f>[4]Brewhouse!$AV85</f>
        <v>102.24584999691859</v>
      </c>
      <c r="K24" s="281">
        <f>[4]Brewhouse!$Q85</f>
        <v>3.7664783427501181E-2</v>
      </c>
      <c r="L24" s="276">
        <f>[4]Brewhouse!$P85</f>
        <v>57</v>
      </c>
      <c r="M24" s="397">
        <f>[4]Brewhouse!$U85-[4]Brewhouse!$T85</f>
        <v>0.11874999999999997</v>
      </c>
      <c r="N24" s="370">
        <f>[4]Brewhouse!$Z85</f>
        <v>0.34375</v>
      </c>
      <c r="O24" s="420" t="str">
        <f>[4]Brewhouse!$AX85</f>
        <v>R.Sookram</v>
      </c>
      <c r="P24" s="418" t="s">
        <v>197</v>
      </c>
      <c r="R24" s="277" t="str">
        <f t="shared" si="0"/>
        <v>CARIB</v>
      </c>
      <c r="S24" s="474">
        <f t="shared" si="1"/>
        <v>11.6</v>
      </c>
      <c r="T24" s="474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4">
        <f t="shared" si="8"/>
        <v>60</v>
      </c>
    </row>
    <row r="25" spans="1:26" ht="18" customHeight="1">
      <c r="B25" s="29" t="s">
        <v>6</v>
      </c>
      <c r="C25" s="366" t="str">
        <f>[4]Brewhouse!$A86</f>
        <v>CA045</v>
      </c>
      <c r="D25" s="279">
        <f>[4]Brewhouse!$AF86</f>
        <v>54.3</v>
      </c>
      <c r="E25" s="279">
        <f>[4]Brewhouse!$AI86</f>
        <v>52.5</v>
      </c>
      <c r="F25" s="278">
        <f>[4]Brewhouse!$V86</f>
        <v>65</v>
      </c>
      <c r="G25" s="279">
        <f>[4]Brewhouse!AG86</f>
        <v>11.7</v>
      </c>
      <c r="H25" s="396">
        <v>11.8</v>
      </c>
      <c r="I25" s="368">
        <f>[4]Brewhouse!$AU86</f>
        <v>102.5433340471773</v>
      </c>
      <c r="J25" s="368">
        <f>[4]Brewhouse!$AV86</f>
        <v>102.1970460468892</v>
      </c>
      <c r="K25" s="281">
        <f>[4]Brewhouse!$Q86</f>
        <v>-0.90395480225988112</v>
      </c>
      <c r="L25" s="276">
        <f>[4]Brewhouse!$P86</f>
        <v>58</v>
      </c>
      <c r="M25" s="397">
        <f>[4]Brewhouse!$U86-[4]Brewhouse!$T86</f>
        <v>0.11180555555555555</v>
      </c>
      <c r="N25" s="370">
        <f>[4]Brewhouse!$Z86</f>
        <v>0.35416666666666663</v>
      </c>
      <c r="O25" s="420" t="str">
        <f>[4]Brewhouse!$AX86</f>
        <v>R.Sookram</v>
      </c>
      <c r="P25" s="418"/>
      <c r="R25" s="277" t="str">
        <f t="shared" ref="R25:R40" si="9">B25</f>
        <v>CARIB</v>
      </c>
      <c r="S25" s="474">
        <f t="shared" si="1"/>
        <v>11.6</v>
      </c>
      <c r="T25" s="474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4">
        <f t="shared" si="8"/>
        <v>60</v>
      </c>
    </row>
    <row r="26" spans="1:26" ht="16.5" customHeight="1">
      <c r="B26" s="22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18"/>
      <c r="R26" s="277">
        <f t="shared" si="9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540"/>
      <c r="J27" s="540"/>
      <c r="K27" s="540"/>
      <c r="L27" s="540"/>
      <c r="M27" s="540"/>
      <c r="N27" s="540"/>
      <c r="O27" s="1"/>
      <c r="P27" s="12"/>
      <c r="R27" s="277">
        <f t="shared" si="9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6" ht="15.75" customHeight="1" thickBot="1">
      <c r="B28" s="388" t="s">
        <v>162</v>
      </c>
      <c r="C28" s="388"/>
      <c r="D28" s="541" t="s">
        <v>35</v>
      </c>
      <c r="E28" s="542"/>
      <c r="F28" s="294"/>
      <c r="G28" s="294"/>
      <c r="H28" s="348"/>
      <c r="I28" s="24" t="s">
        <v>17</v>
      </c>
      <c r="J28" s="25"/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9"/>
        <v xml:space="preserve">BRAND 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6" ht="15" customHeight="1">
      <c r="A29" s="28"/>
      <c r="B29" s="543"/>
      <c r="C29" s="362"/>
      <c r="D29" s="546"/>
      <c r="E29" s="547"/>
      <c r="F29" s="294"/>
      <c r="G29" s="294"/>
      <c r="H29" s="348"/>
      <c r="I29" s="29" t="s">
        <v>6</v>
      </c>
      <c r="J29" s="280">
        <f>AVERAGE(I10:I25)</f>
        <v>98.292311889106642</v>
      </c>
      <c r="K29" s="284">
        <f>COUNTA([4]Brewhouse!$A$42:$A$86)</f>
        <v>45</v>
      </c>
      <c r="L29" s="305">
        <f>AVERAGE([4]Brewhouse!$AU$42:$AU$86)</f>
        <v>98.018169472941295</v>
      </c>
      <c r="M29" s="305">
        <f>AVERAGE([4]Brewhouse!$AU$42:$AU$86)</f>
        <v>98.018169472941295</v>
      </c>
      <c r="N29" s="30">
        <v>98</v>
      </c>
      <c r="O29" s="11"/>
      <c r="P29" s="31"/>
      <c r="R29" s="277">
        <f t="shared" si="9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6" ht="15" customHeight="1">
      <c r="A30" s="28"/>
      <c r="B30" s="544"/>
      <c r="C30" s="362"/>
      <c r="D30" s="548"/>
      <c r="E30" s="532"/>
      <c r="F30" s="294"/>
      <c r="G30" s="294"/>
      <c r="H30" s="348"/>
      <c r="I30" s="33" t="s">
        <v>9</v>
      </c>
      <c r="J30" s="280"/>
      <c r="K30" s="284">
        <f>COUNTA([5]Brewhouse!$A$52:$A$61)</f>
        <v>10</v>
      </c>
      <c r="L30" s="302">
        <f>AVERAGE([5]Brewhouse!$AS$52:$AS$61)</f>
        <v>99.283662316813405</v>
      </c>
      <c r="M30" s="302">
        <f>AVERAGE([5]Brewhouse!$AS$52:$AS$61)</f>
        <v>99.283662316813405</v>
      </c>
      <c r="N30" s="30">
        <v>98</v>
      </c>
      <c r="O30" s="11"/>
      <c r="P30" s="31"/>
      <c r="R30" s="277">
        <f t="shared" si="9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</row>
    <row r="31" spans="1:26" ht="14.65" customHeight="1">
      <c r="A31" s="28"/>
      <c r="B31" s="544"/>
      <c r="C31" s="362"/>
      <c r="D31" s="536"/>
      <c r="E31" s="537"/>
      <c r="F31" s="294"/>
      <c r="G31" s="294"/>
      <c r="H31" s="348"/>
      <c r="I31" s="34" t="s">
        <v>12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9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</row>
    <row r="32" spans="1:26" ht="14.65" customHeight="1">
      <c r="A32" s="28"/>
      <c r="B32" s="544"/>
      <c r="C32" s="362"/>
      <c r="D32" s="531"/>
      <c r="E32" s="532"/>
      <c r="F32" s="294"/>
      <c r="G32" s="294"/>
      <c r="H32" s="348"/>
      <c r="I32" s="22" t="s">
        <v>33</v>
      </c>
      <c r="J32" s="280"/>
      <c r="K32" s="284">
        <f>COUNTA([6]Brewhouse!$A$23:$A$26)</f>
        <v>4</v>
      </c>
      <c r="L32" s="302">
        <f>AVERAGE([6]Brewhouse!$AV$23:$AV$26)</f>
        <v>98.342483899212951</v>
      </c>
      <c r="M32" s="302">
        <f>AVERAGE([6]Brewhouse!$AV$23:$AV$26)</f>
        <v>98.342483899212951</v>
      </c>
      <c r="N32" s="30">
        <v>98</v>
      </c>
      <c r="O32" s="11"/>
      <c r="P32" s="31"/>
      <c r="R32" s="277">
        <f t="shared" si="9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</row>
    <row r="33" spans="1:56" ht="14.65" customHeight="1">
      <c r="A33" s="28"/>
      <c r="B33" s="544"/>
      <c r="C33" s="362"/>
      <c r="D33" s="536"/>
      <c r="E33" s="537"/>
      <c r="F33" s="417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>
        <f t="shared" si="9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</row>
    <row r="34" spans="1:56" ht="14.65" customHeight="1">
      <c r="A34" s="28"/>
      <c r="B34" s="544"/>
      <c r="C34" s="362"/>
      <c r="D34" s="531"/>
      <c r="E34" s="532"/>
      <c r="F34" s="417"/>
      <c r="G34" s="294"/>
      <c r="H34" s="348"/>
      <c r="I34" s="36" t="s">
        <v>15</v>
      </c>
      <c r="J34" s="323"/>
      <c r="K34" s="284">
        <f>COUNTA([7]Brewhouse!$A$13:$A$20)</f>
        <v>8</v>
      </c>
      <c r="L34" s="302" t="e">
        <f>AVERAGE([7]Brewhouse!$AT$13:$AT$20)</f>
        <v>#DIV/0!</v>
      </c>
      <c r="M34" s="302" t="e">
        <f>AVERAGE([7]Brewhouse!$AT$13:$AT$20)</f>
        <v>#DIV/0!</v>
      </c>
      <c r="N34" s="30">
        <v>98</v>
      </c>
      <c r="O34" s="11"/>
      <c r="P34" s="31"/>
      <c r="R34" s="277">
        <f t="shared" si="9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4.65" customHeight="1">
      <c r="A35" s="28"/>
      <c r="B35" s="544"/>
      <c r="C35" s="362"/>
      <c r="D35" s="536"/>
      <c r="E35" s="537"/>
      <c r="F35" s="417"/>
      <c r="G35" s="294"/>
      <c r="H35" s="348"/>
      <c r="I35" s="37" t="s">
        <v>16</v>
      </c>
      <c r="J35" s="323"/>
      <c r="K35" s="284">
        <f>COUNTA([8]Brewhouse!$A$5:$A$7)</f>
        <v>3</v>
      </c>
      <c r="L35" s="302">
        <f>AVERAGE([8]Brewhouse!$AY$5:$AY$7)</f>
        <v>98.128633252159673</v>
      </c>
      <c r="M35" s="302">
        <f>AVERAGE([8]Brewhouse!$AY$5:$AY$7)</f>
        <v>98.128633252159673</v>
      </c>
      <c r="N35" s="30">
        <v>98</v>
      </c>
      <c r="O35" s="11"/>
      <c r="P35" s="31" t="s">
        <v>41</v>
      </c>
      <c r="R35" s="277">
        <f t="shared" si="9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4.65" customHeight="1">
      <c r="A36" s="28"/>
      <c r="B36" s="544"/>
      <c r="C36" s="362"/>
      <c r="D36" s="531"/>
      <c r="E36" s="532"/>
      <c r="F36" s="294"/>
      <c r="G36" s="294"/>
      <c r="H36" s="348"/>
      <c r="I36" s="411" t="s">
        <v>158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9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56" ht="14.65" customHeight="1">
      <c r="A37" s="28"/>
      <c r="B37" s="544"/>
      <c r="C37" s="349"/>
      <c r="D37" s="536"/>
      <c r="E37" s="537"/>
      <c r="F37" s="294"/>
      <c r="G37" s="294"/>
      <c r="H37" s="348"/>
      <c r="I37" s="410" t="s">
        <v>157</v>
      </c>
      <c r="J37" s="326"/>
      <c r="K37" s="284"/>
      <c r="L37" s="305"/>
      <c r="M37" s="305"/>
      <c r="N37" s="30">
        <v>98</v>
      </c>
      <c r="O37" s="11"/>
      <c r="P37" s="31"/>
      <c r="R37" s="277">
        <f t="shared" si="9"/>
        <v>0</v>
      </c>
      <c r="S37" s="474" t="e">
        <f t="shared" si="1"/>
        <v>#N/A</v>
      </c>
      <c r="T37" s="474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4" t="e">
        <f t="shared" si="8"/>
        <v>#N/A</v>
      </c>
      <c r="AA37" s="474"/>
    </row>
    <row r="38" spans="1:56" ht="15" customHeight="1" thickBot="1">
      <c r="A38" s="28"/>
      <c r="B38" s="544"/>
      <c r="C38" s="349"/>
      <c r="D38" s="531"/>
      <c r="E38" s="532"/>
      <c r="F38" s="294"/>
      <c r="G38" s="294"/>
      <c r="H38" s="348"/>
      <c r="I38" s="406" t="s">
        <v>156</v>
      </c>
      <c r="J38" s="327"/>
      <c r="K38" s="407"/>
      <c r="L38" s="408"/>
      <c r="M38" s="408"/>
      <c r="N38" s="409">
        <v>98</v>
      </c>
      <c r="O38" s="11"/>
      <c r="P38" s="31"/>
      <c r="R38" s="277">
        <f t="shared" si="9"/>
        <v>0</v>
      </c>
      <c r="S38" s="474" t="e">
        <f t="shared" si="1"/>
        <v>#N/A</v>
      </c>
      <c r="T38" s="474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4" t="e">
        <f t="shared" si="8"/>
        <v>#N/A</v>
      </c>
      <c r="AA38" s="474"/>
    </row>
    <row r="39" spans="1:56" ht="15" customHeight="1" thickBot="1">
      <c r="A39" s="28"/>
      <c r="B39" s="544"/>
      <c r="C39" s="349"/>
      <c r="D39" s="546"/>
      <c r="E39" s="547"/>
      <c r="F39" s="294"/>
      <c r="G39" s="294"/>
      <c r="H39" s="348"/>
      <c r="I39" s="1"/>
      <c r="J39" s="39"/>
      <c r="K39" s="404">
        <f>SUM(K29:K38)</f>
        <v>70</v>
      </c>
      <c r="L39" s="405" t="e">
        <f>((L29*K29)+(L30*K30)+(L31*K31)+(L32*K32)+(L33*K33)+(K36*L36)+(L34*K34)+(L35*K35)+(L38*K38))/(K39)</f>
        <v>#DIV/0!</v>
      </c>
      <c r="M39" s="405" t="e">
        <f>L39</f>
        <v>#DIV/0!</v>
      </c>
      <c r="N39" s="40">
        <v>98</v>
      </c>
      <c r="O39" s="11"/>
      <c r="P39" s="31"/>
      <c r="R39" s="277">
        <f t="shared" si="9"/>
        <v>0</v>
      </c>
      <c r="S39" s="474" t="e">
        <f t="shared" si="1"/>
        <v>#N/A</v>
      </c>
      <c r="T39" s="474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4" t="e">
        <f t="shared" si="8"/>
        <v>#N/A</v>
      </c>
      <c r="AA39" s="474"/>
    </row>
    <row r="40" spans="1:56" ht="15.75" thickBot="1">
      <c r="B40" s="545"/>
      <c r="C40" s="350"/>
      <c r="D40" s="548"/>
      <c r="E40" s="532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>
        <f t="shared" si="9"/>
        <v>0</v>
      </c>
      <c r="S40" s="474" t="e">
        <f t="shared" si="1"/>
        <v>#N/A</v>
      </c>
      <c r="T40" s="474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4" t="e">
        <f t="shared" si="8"/>
        <v>#N/A</v>
      </c>
      <c r="AA40" s="474"/>
    </row>
    <row r="41" spans="1:56" ht="15.75" thickBot="1">
      <c r="B41" s="526"/>
      <c r="C41" s="362"/>
      <c r="D41" s="529"/>
      <c r="E41" s="530"/>
      <c r="F41" s="294"/>
      <c r="G41" s="42"/>
      <c r="H41" s="41"/>
      <c r="I41" s="42"/>
      <c r="J41" s="533" t="s">
        <v>129</v>
      </c>
      <c r="K41" s="533"/>
      <c r="L41" s="294"/>
      <c r="M41" s="294"/>
      <c r="N41" s="294"/>
      <c r="O41" s="294"/>
      <c r="P41" s="12"/>
    </row>
    <row r="42" spans="1:56" ht="15.75" thickBot="1">
      <c r="B42" s="527"/>
      <c r="C42" s="362"/>
      <c r="D42" s="531"/>
      <c r="E42" s="532"/>
      <c r="F42" s="294"/>
      <c r="G42" s="42"/>
      <c r="H42" s="292" t="s">
        <v>17</v>
      </c>
      <c r="I42" s="293" t="s">
        <v>147</v>
      </c>
      <c r="J42" s="293" t="s">
        <v>198</v>
      </c>
      <c r="K42" s="293" t="s">
        <v>199</v>
      </c>
      <c r="L42" s="534" t="s">
        <v>136</v>
      </c>
      <c r="M42" s="534"/>
      <c r="N42" s="535"/>
      <c r="O42" s="294"/>
      <c r="P42" s="12"/>
    </row>
    <row r="43" spans="1:56" ht="15" customHeight="1" thickBot="1">
      <c r="B43" s="527"/>
      <c r="C43" s="349"/>
      <c r="D43" s="536"/>
      <c r="E43" s="537"/>
      <c r="F43" s="294"/>
      <c r="G43" s="42"/>
      <c r="H43" s="287" t="s">
        <v>6</v>
      </c>
      <c r="I43" s="324">
        <v>4</v>
      </c>
      <c r="J43" s="324">
        <v>6</v>
      </c>
      <c r="K43" s="324">
        <v>4</v>
      </c>
      <c r="L43" s="475" t="s">
        <v>37</v>
      </c>
      <c r="M43" s="476" t="s">
        <v>38</v>
      </c>
      <c r="N43" s="476" t="s">
        <v>84</v>
      </c>
      <c r="O43" s="294"/>
      <c r="P43" s="12"/>
    </row>
    <row r="44" spans="1:56" ht="15.75" customHeight="1" thickBot="1">
      <c r="B44" s="527"/>
      <c r="C44" s="349"/>
      <c r="D44" s="531"/>
      <c r="E44" s="532"/>
      <c r="F44" s="294"/>
      <c r="G44" s="42"/>
      <c r="H44" s="345" t="s">
        <v>9</v>
      </c>
      <c r="I44" s="324"/>
      <c r="J44" s="324"/>
      <c r="K44" s="324"/>
      <c r="L44" s="344">
        <f>AVERAGE('Jan 2nd'!K45,'Jan 5th'!K45,'Jan 6th'!K49,'Jan 7th'!K49,'Jan 8th '!K44,'Jan16-18th'!H53,'Jan 9th-10th'!J58,'Jan 9th-10th'!K58,'Jan12th '!K50,Jan13th!K45,Jan14th!K53,Jan15th!K50,J53,I53,'Jan16-18th'!K53)</f>
        <v>5.5</v>
      </c>
      <c r="M44" s="325">
        <f>AVERAGE(L44)</f>
        <v>5.5</v>
      </c>
      <c r="N44" s="416">
        <v>9.1999999999999993</v>
      </c>
      <c r="O44" s="294"/>
      <c r="P44" s="12"/>
    </row>
    <row r="45" spans="1:56" ht="15" customHeight="1">
      <c r="B45" s="527"/>
      <c r="C45" s="349"/>
      <c r="D45" s="536"/>
      <c r="E45" s="537"/>
      <c r="F45" s="294"/>
      <c r="G45" s="42"/>
      <c r="H45" s="288" t="s">
        <v>40</v>
      </c>
      <c r="I45" s="324"/>
      <c r="J45" s="324"/>
      <c r="K45" s="324"/>
      <c r="L45" s="294"/>
      <c r="M45" s="294"/>
      <c r="N45" s="294"/>
      <c r="O45" s="294"/>
      <c r="P45" s="12"/>
    </row>
    <row r="46" spans="1:56" ht="15" customHeight="1">
      <c r="B46" s="527"/>
      <c r="C46" s="349"/>
      <c r="D46" s="531"/>
      <c r="E46" s="532"/>
      <c r="F46" s="294"/>
      <c r="G46" s="42"/>
      <c r="H46" s="289" t="s">
        <v>33</v>
      </c>
      <c r="I46" s="324"/>
      <c r="J46" s="324"/>
      <c r="K46" s="324"/>
      <c r="L46" s="294"/>
      <c r="M46" s="294"/>
      <c r="N46" s="294"/>
      <c r="O46" s="294"/>
      <c r="P46" s="12"/>
    </row>
    <row r="47" spans="1:56" ht="15">
      <c r="B47" s="527"/>
      <c r="C47" s="349"/>
      <c r="D47" s="536"/>
      <c r="E47" s="537"/>
      <c r="F47" s="294"/>
      <c r="G47" s="42"/>
      <c r="H47" s="290" t="s">
        <v>16</v>
      </c>
      <c r="I47" s="324"/>
      <c r="J47" s="324"/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7"/>
      <c r="C48" s="349"/>
      <c r="D48" s="531"/>
      <c r="E48" s="532"/>
      <c r="F48" s="294"/>
      <c r="G48" s="42"/>
      <c r="H48" s="291" t="s">
        <v>15</v>
      </c>
      <c r="I48" s="324"/>
      <c r="J48" s="324"/>
      <c r="K48" s="324"/>
      <c r="L48" s="294"/>
      <c r="M48" s="294"/>
      <c r="N48" s="294"/>
      <c r="O48" s="294"/>
      <c r="P48" s="12"/>
      <c r="BC48" s="44"/>
      <c r="BD48" s="44"/>
    </row>
    <row r="49" spans="1:57" ht="15">
      <c r="B49" s="527"/>
      <c r="C49" s="349"/>
      <c r="D49" s="536"/>
      <c r="E49" s="537"/>
      <c r="F49" s="294"/>
      <c r="G49" s="42"/>
      <c r="H49" s="291" t="s">
        <v>149</v>
      </c>
      <c r="I49" s="324"/>
      <c r="J49" s="324"/>
      <c r="K49" s="324"/>
      <c r="L49" s="294"/>
      <c r="M49" s="294"/>
      <c r="N49" s="294"/>
      <c r="O49" s="294"/>
      <c r="P49" s="12"/>
      <c r="BC49" s="44"/>
      <c r="BD49" s="44"/>
    </row>
    <row r="50" spans="1:57" ht="15.75" thickBot="1">
      <c r="B50" s="528"/>
      <c r="C50" s="350"/>
      <c r="D50" s="538"/>
      <c r="E50" s="539"/>
      <c r="F50" s="294" t="s">
        <v>166</v>
      </c>
      <c r="G50" s="42"/>
      <c r="H50" s="291" t="s">
        <v>148</v>
      </c>
      <c r="I50" s="324"/>
      <c r="J50" s="324"/>
      <c r="K50" s="324"/>
      <c r="L50" s="294"/>
      <c r="M50" s="294"/>
      <c r="N50" s="294" t="s">
        <v>41</v>
      </c>
      <c r="O50" s="294"/>
      <c r="P50" s="12"/>
      <c r="BC50" s="44"/>
      <c r="BD50" s="44"/>
    </row>
    <row r="51" spans="1:57" ht="17.649999999999999" customHeight="1" thickBot="1">
      <c r="B51" s="312" t="s">
        <v>139</v>
      </c>
      <c r="C51" s="313"/>
      <c r="D51" s="519"/>
      <c r="E51" s="520"/>
      <c r="F51" s="294"/>
      <c r="H51" s="295" t="s">
        <v>134</v>
      </c>
      <c r="I51" s="324"/>
      <c r="J51" s="324"/>
      <c r="K51" s="324"/>
      <c r="L51" s="294"/>
      <c r="M51" s="294"/>
      <c r="N51" s="294"/>
      <c r="O51" s="294"/>
      <c r="P51" s="12"/>
      <c r="BC51" s="44"/>
      <c r="BD51" s="44"/>
    </row>
    <row r="52" spans="1:57" ht="17.649999999999999" customHeight="1">
      <c r="B52" s="363"/>
      <c r="C52" s="364"/>
      <c r="D52" s="365"/>
      <c r="E52" s="365"/>
      <c r="F52" s="294"/>
      <c r="G52" s="42"/>
      <c r="H52" s="295" t="s">
        <v>131</v>
      </c>
      <c r="I52" s="324"/>
      <c r="J52" s="324"/>
      <c r="K52" s="324"/>
      <c r="L52" s="294"/>
      <c r="M52" s="294"/>
      <c r="N52" s="294"/>
      <c r="O52" s="294"/>
      <c r="P52" s="12"/>
      <c r="BC52" s="44"/>
      <c r="BD52" s="44"/>
    </row>
    <row r="53" spans="1:57" ht="15.6" customHeight="1">
      <c r="B53" s="45"/>
      <c r="C53" s="11"/>
      <c r="D53" s="11"/>
      <c r="E53" s="46"/>
      <c r="F53" s="294"/>
      <c r="G53" s="42"/>
      <c r="H53" s="346" t="s">
        <v>130</v>
      </c>
      <c r="I53" s="324">
        <f t="shared" ref="I53:J53" si="10">SUM(I43:I52)</f>
        <v>4</v>
      </c>
      <c r="J53" s="324">
        <f t="shared" si="10"/>
        <v>6</v>
      </c>
      <c r="K53" s="324">
        <f>SUM(K43:K52)</f>
        <v>4</v>
      </c>
      <c r="L53" s="294"/>
      <c r="M53" s="294"/>
      <c r="N53" s="294"/>
      <c r="O53" s="294"/>
      <c r="P53" s="12"/>
    </row>
    <row r="54" spans="1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L54" s="294"/>
      <c r="N54" s="315"/>
      <c r="P54" s="334"/>
    </row>
    <row r="55" spans="1:57" ht="15" customHeight="1" thickBo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1"/>
      <c r="O55" s="48"/>
      <c r="P55" s="49"/>
    </row>
    <row r="56" spans="1:57" ht="15" customHeight="1" thickBot="1">
      <c r="B56" s="511" t="s">
        <v>17</v>
      </c>
      <c r="C56" s="511" t="s">
        <v>44</v>
      </c>
      <c r="D56" s="522" t="s">
        <v>45</v>
      </c>
      <c r="E56" s="524" t="s">
        <v>46</v>
      </c>
      <c r="F56" s="517" t="s">
        <v>47</v>
      </c>
      <c r="G56" s="509" t="s">
        <v>48</v>
      </c>
      <c r="H56" s="511" t="s">
        <v>49</v>
      </c>
      <c r="I56" s="511" t="s">
        <v>50</v>
      </c>
      <c r="J56" s="503" t="s">
        <v>28</v>
      </c>
      <c r="K56" s="513" t="s">
        <v>51</v>
      </c>
      <c r="L56" s="515" t="s">
        <v>52</v>
      </c>
      <c r="M56" s="503" t="s">
        <v>53</v>
      </c>
      <c r="N56" s="13"/>
      <c r="O56" s="13"/>
      <c r="P56" s="50"/>
    </row>
    <row r="57" spans="1:57" ht="28.5" customHeight="1" thickTop="1" thickBot="1">
      <c r="B57" s="512"/>
      <c r="C57" s="521"/>
      <c r="D57" s="523"/>
      <c r="E57" s="525"/>
      <c r="F57" s="518"/>
      <c r="G57" s="510"/>
      <c r="H57" s="512"/>
      <c r="I57" s="512"/>
      <c r="J57" s="504"/>
      <c r="K57" s="514"/>
      <c r="L57" s="516"/>
      <c r="M57" s="504"/>
      <c r="N57" s="13"/>
      <c r="O57" s="13"/>
      <c r="P57" s="50"/>
      <c r="Q57" s="355"/>
      <c r="AB57" s="477">
        <v>43474</v>
      </c>
      <c r="AC57" s="477">
        <v>43475</v>
      </c>
      <c r="AD57" s="477">
        <v>43476</v>
      </c>
      <c r="AE57" s="477">
        <v>43477</v>
      </c>
      <c r="AF57" s="477">
        <v>43478</v>
      </c>
      <c r="AG57" s="477">
        <v>43479</v>
      </c>
      <c r="AH57" s="477">
        <v>43480</v>
      </c>
      <c r="AI57" s="477">
        <v>43481</v>
      </c>
      <c r="AJ57" s="477">
        <v>43482</v>
      </c>
      <c r="AK57" s="477">
        <v>43483</v>
      </c>
      <c r="AL57" s="477">
        <v>43484</v>
      </c>
      <c r="AM57" s="477">
        <v>43485</v>
      </c>
      <c r="AN57" s="477">
        <v>43486</v>
      </c>
      <c r="AO57" s="477">
        <v>43487</v>
      </c>
      <c r="AP57" s="477">
        <v>43488</v>
      </c>
      <c r="AQ57" s="477">
        <v>43489</v>
      </c>
      <c r="AR57" s="477">
        <v>43490</v>
      </c>
      <c r="AS57" s="477">
        <v>43491</v>
      </c>
      <c r="AT57" s="477">
        <v>43492</v>
      </c>
      <c r="AU57" s="477">
        <v>43493</v>
      </c>
      <c r="AV57" s="477">
        <v>43494</v>
      </c>
      <c r="AW57" s="477">
        <v>43495</v>
      </c>
      <c r="AX57" s="477">
        <v>43496</v>
      </c>
    </row>
    <row r="58" spans="1:57" s="54" customFormat="1" ht="37.15" customHeight="1" thickBot="1">
      <c r="A58" s="54" t="s">
        <v>187</v>
      </c>
      <c r="B58" s="496" t="str">
        <f>H43</f>
        <v>CARIB</v>
      </c>
      <c r="C58" s="495">
        <v>46037</v>
      </c>
      <c r="D58" s="442">
        <f>[28]January_2026!$R$3</f>
        <v>191.10000000000002</v>
      </c>
      <c r="E58" s="443"/>
      <c r="F58" s="444"/>
      <c r="G58" s="445" t="e">
        <f>[28]January_2026!$R$7</f>
        <v>#REF!</v>
      </c>
      <c r="H58" s="446"/>
      <c r="I58" s="447"/>
      <c r="J58" s="448" t="s">
        <v>202</v>
      </c>
      <c r="K58" s="449" t="e">
        <f>[29]January_2026!$R$18</f>
        <v>#REF!</v>
      </c>
      <c r="L58" s="457" t="e">
        <f>(((D58+E58)-G58)/(D58+E58))*100</f>
        <v>#REF!</v>
      </c>
      <c r="M58" s="455" t="s">
        <v>200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[9]January_2019!L7</f>
        <v>285.8</v>
      </c>
      <c r="AC58" s="57">
        <f>[9]January_2019!M7</f>
        <v>508.1</v>
      </c>
      <c r="AD58" s="57">
        <f>[9]January_2019!N7</f>
        <v>0</v>
      </c>
      <c r="AE58" s="57">
        <f>[9]January_2019!O7</f>
        <v>0</v>
      </c>
      <c r="AF58" s="57">
        <f>[9]January_2019!P7</f>
        <v>109.56666666666666</v>
      </c>
      <c r="AG58" s="57">
        <f>[9]January_2019!Q7</f>
        <v>297.64999999999998</v>
      </c>
      <c r="AH58" s="57">
        <f>[9]January_2019!R7</f>
        <v>122.3</v>
      </c>
      <c r="AI58" s="57">
        <f>[9]January_2019!S7</f>
        <v>0</v>
      </c>
      <c r="AJ58" s="57">
        <f>[9]January_2019!T7</f>
        <v>294.7</v>
      </c>
      <c r="AK58" s="57">
        <f>[9]January_2019!U7</f>
        <v>280.5</v>
      </c>
      <c r="AL58" s="57">
        <f>[9]January_2019!V7</f>
        <v>0</v>
      </c>
      <c r="AM58" s="57">
        <f>[9]January_2019!W7</f>
        <v>0</v>
      </c>
      <c r="AN58" s="57">
        <f>[9]January_2019!X7</f>
        <v>188.25</v>
      </c>
      <c r="AO58" s="57">
        <f>[9]January_2019!Y7</f>
        <v>295.7</v>
      </c>
      <c r="AP58" s="57">
        <f>[9]January_2019!Z7</f>
        <v>257.8</v>
      </c>
      <c r="AQ58" s="57">
        <f>[9]January_2019!AA7</f>
        <v>291.2</v>
      </c>
      <c r="AR58" s="57">
        <f>[9]January_2019!AB7</f>
        <v>187</v>
      </c>
      <c r="AS58" s="57">
        <f>[9]January_2019!AC7</f>
        <v>0</v>
      </c>
      <c r="AT58" s="57">
        <f>[9]January_2019!AD7</f>
        <v>0</v>
      </c>
      <c r="AU58" s="57">
        <f>[9]January_2019!AE7</f>
        <v>485.1</v>
      </c>
      <c r="AV58" s="57">
        <f>[9]January_2019!AF7</f>
        <v>171.55</v>
      </c>
      <c r="AW58" s="57">
        <f>[9]January_2019!AG7</f>
        <v>423.8</v>
      </c>
      <c r="AX58" s="277">
        <f>[9]January_2019!AH7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customHeight="1" thickBot="1">
      <c r="B59" s="494"/>
      <c r="C59" s="430"/>
      <c r="D59" s="431"/>
      <c r="E59" s="432"/>
      <c r="F59" s="433"/>
      <c r="G59" s="434"/>
      <c r="H59" s="428"/>
      <c r="I59" s="42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customHeight="1" thickBot="1">
      <c r="B60" s="496" t="str">
        <f>H43</f>
        <v>CARIB</v>
      </c>
      <c r="C60" s="495">
        <v>46038</v>
      </c>
      <c r="D60" s="442">
        <f>[28]January_2026!$S$3</f>
        <v>298.2</v>
      </c>
      <c r="E60" s="443"/>
      <c r="F60" s="444"/>
      <c r="G60" s="445" t="e">
        <f>[28]January_2026!$S$7</f>
        <v>#REF!</v>
      </c>
      <c r="H60" s="458"/>
      <c r="I60" s="458"/>
      <c r="J60" s="448" t="s">
        <v>203</v>
      </c>
      <c r="K60" s="460" t="e">
        <f>[29]January_2026!$S$18</f>
        <v>#REF!</v>
      </c>
      <c r="L60" s="457" t="e">
        <f>(((D60+E60)-G60)/(D60+E60))*100</f>
        <v>#REF!</v>
      </c>
      <c r="M60" s="455" t="s">
        <v>201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7"/>
      <c r="C65" s="430"/>
      <c r="D65" s="461"/>
      <c r="E65" s="462"/>
      <c r="F65" s="463"/>
      <c r="G65" s="461"/>
      <c r="H65" s="464"/>
      <c r="I65" s="464"/>
      <c r="J65" s="464"/>
      <c r="K65" s="465"/>
      <c r="L65" s="466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05" t="s">
        <v>55</v>
      </c>
      <c r="C67" s="506"/>
      <c r="D67" s="506"/>
      <c r="E67" s="506"/>
      <c r="F67" s="507"/>
      <c r="G67" s="505" t="s">
        <v>56</v>
      </c>
      <c r="H67" s="506"/>
      <c r="I67" s="506"/>
      <c r="J67" s="507"/>
      <c r="K67" s="505" t="s">
        <v>51</v>
      </c>
      <c r="L67" s="506"/>
      <c r="M67" s="506"/>
      <c r="N67" s="508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 t="e">
        <f>AVERAGE(L58,L60,'Jan19th '!L60)</f>
        <v>#REF!</v>
      </c>
      <c r="D69" s="76">
        <v>11.283331144095623</v>
      </c>
      <c r="E69" s="76">
        <v>11.283331144095623</v>
      </c>
      <c r="F69" s="66">
        <v>4.8</v>
      </c>
      <c r="G69" s="65" t="e">
        <f>AVERAGE([28]January_2026!$R$11:$S$11)</f>
        <v>#REF!</v>
      </c>
      <c r="H69" s="480">
        <v>10.378579028534675</v>
      </c>
      <c r="I69" s="480">
        <v>10.378579028534675</v>
      </c>
      <c r="J69" s="66">
        <v>4.8</v>
      </c>
      <c r="K69" s="67" t="e">
        <f>AVERAGE(K58,K60,'Jan19th '!K60)</f>
        <v>#REF!</v>
      </c>
      <c r="L69" s="194">
        <v>0.24977875243664718</v>
      </c>
      <c r="M69" s="194">
        <v>0.24977875243664718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7.2399339514797543</v>
      </c>
      <c r="E70" s="76">
        <v>7.2399339514797543</v>
      </c>
      <c r="F70" s="66">
        <v>4.8</v>
      </c>
      <c r="G70" s="65"/>
      <c r="H70" s="76">
        <v>6.584154865311465</v>
      </c>
      <c r="I70" s="76">
        <v>6.584154865311465</v>
      </c>
      <c r="J70" s="66">
        <v>4.8</v>
      </c>
      <c r="K70" s="67"/>
      <c r="L70" s="194">
        <v>0.34323976608187129</v>
      </c>
      <c r="M70" s="194">
        <v>0.34323976608187129</v>
      </c>
      <c r="N70" s="68">
        <v>1</v>
      </c>
      <c r="P70" s="69"/>
    </row>
    <row r="71" spans="2:57" ht="15">
      <c r="B71" s="34" t="s">
        <v>40</v>
      </c>
      <c r="C71" s="65"/>
      <c r="D71" s="76"/>
      <c r="E71" s="76"/>
      <c r="F71" s="66">
        <v>5.5</v>
      </c>
      <c r="G71" s="65"/>
      <c r="H71" s="76"/>
      <c r="I71" s="76"/>
      <c r="J71" s="66">
        <v>5.5</v>
      </c>
      <c r="K71" s="67"/>
      <c r="L71" s="194"/>
      <c r="M71" s="194"/>
      <c r="N71" s="68">
        <v>1</v>
      </c>
      <c r="P71" s="69"/>
    </row>
    <row r="72" spans="2:57" ht="15">
      <c r="B72" s="22" t="s">
        <v>33</v>
      </c>
      <c r="C72" s="65"/>
      <c r="D72" s="76">
        <v>6.5508684863523392</v>
      </c>
      <c r="E72" s="76">
        <v>6.5508684863523392</v>
      </c>
      <c r="F72" s="66">
        <v>3.3</v>
      </c>
      <c r="G72" s="65"/>
      <c r="H72" s="76">
        <v>5.2086766183151161</v>
      </c>
      <c r="I72" s="76">
        <v>5.2086766183151161</v>
      </c>
      <c r="J72" s="66">
        <v>3.3</v>
      </c>
      <c r="K72" s="67"/>
      <c r="L72" s="194">
        <v>0.6607017543859649</v>
      </c>
      <c r="M72" s="194">
        <v>0.6607017543859649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5.1105651105651271</v>
      </c>
      <c r="E74" s="76">
        <v>5.1105651105651271</v>
      </c>
      <c r="F74" s="70">
        <f>[10]May_2022!$M$43</f>
        <v>3.4878406700073312</v>
      </c>
      <c r="G74" s="282"/>
      <c r="H74" s="76">
        <v>7.9131369535794072</v>
      </c>
      <c r="I74" s="76">
        <v>7.9131369535794072</v>
      </c>
      <c r="J74" s="66">
        <v>5.5</v>
      </c>
      <c r="K74" s="67"/>
      <c r="L74" s="194">
        <v>1.3550877192982456</v>
      </c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>
        <v>2.0590520590520631</v>
      </c>
      <c r="E75" s="76">
        <v>2.0590520590520631</v>
      </c>
      <c r="F75" s="66">
        <v>3.3</v>
      </c>
      <c r="G75" s="282"/>
      <c r="H75" s="76">
        <v>2.1755040108015784</v>
      </c>
      <c r="I75" s="76">
        <v>2.1755040108015784</v>
      </c>
      <c r="J75" s="66">
        <v>3.3</v>
      </c>
      <c r="K75" s="67"/>
      <c r="L75" s="194">
        <v>0.88456140350877199</v>
      </c>
      <c r="M75" s="194">
        <v>0.88456140350877199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7.963416054992428</v>
      </c>
      <c r="E78" s="76">
        <v>7.963416054992428</v>
      </c>
      <c r="F78" s="341">
        <v>5.5</v>
      </c>
      <c r="H78" s="76">
        <v>7.2721807205899021</v>
      </c>
      <c r="I78" s="76">
        <v>7.2721807205899021</v>
      </c>
      <c r="J78" s="341">
        <v>5.5</v>
      </c>
      <c r="L78" s="194">
        <v>0.4975053606237817</v>
      </c>
      <c r="M78" s="194">
        <v>0.4975053606237817</v>
      </c>
      <c r="N78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7:F67"/>
    <mergeCell ref="G67:J67"/>
    <mergeCell ref="K67:N67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2131" priority="80" operator="notBetween">
      <formula>#REF!</formula>
      <formula>#REF!</formula>
    </cfRule>
  </conditionalFormatting>
  <conditionalFormatting sqref="C55">
    <cfRule type="cellIs" dxfId="2130" priority="208" stopIfTrue="1" operator="greaterThan">
      <formula>100</formula>
    </cfRule>
    <cfRule type="cellIs" dxfId="2129" priority="207" stopIfTrue="1" operator="lessThan">
      <formula>96</formula>
    </cfRule>
  </conditionalFormatting>
  <conditionalFormatting sqref="C69:C73">
    <cfRule type="cellIs" dxfId="2128" priority="165" stopIfTrue="1" operator="lessThanOrEqual">
      <formula>0</formula>
    </cfRule>
  </conditionalFormatting>
  <conditionalFormatting sqref="C69:C77">
    <cfRule type="cellIs" dxfId="2127" priority="164" stopIfTrue="1" operator="greaterThan">
      <formula>$F69</formula>
    </cfRule>
  </conditionalFormatting>
  <conditionalFormatting sqref="C70">
    <cfRule type="cellIs" dxfId="2126" priority="211" stopIfTrue="1" operator="greaterThan">
      <formula>$F69</formula>
    </cfRule>
  </conditionalFormatting>
  <conditionalFormatting sqref="C74">
    <cfRule type="cellIs" dxfId="2125" priority="105" stopIfTrue="1" operator="greaterThan">
      <formula>$F73</formula>
    </cfRule>
    <cfRule type="cellIs" dxfId="2124" priority="104" stopIfTrue="1" operator="lessThanOrEqual">
      <formula>0</formula>
    </cfRule>
  </conditionalFormatting>
  <conditionalFormatting sqref="C80:C84">
    <cfRule type="cellIs" dxfId="2123" priority="199" stopIfTrue="1" operator="lessThanOrEqual">
      <formula>0</formula>
    </cfRule>
  </conditionalFormatting>
  <conditionalFormatting sqref="C81:C84">
    <cfRule type="cellIs" dxfId="2122" priority="198" stopIfTrue="1" operator="greaterThan">
      <formula>$F$80</formula>
    </cfRule>
  </conditionalFormatting>
  <conditionalFormatting sqref="C86">
    <cfRule type="cellIs" dxfId="2121" priority="201" stopIfTrue="1" operator="lessThanOrEqual">
      <formula>0</formula>
    </cfRule>
    <cfRule type="cellIs" dxfId="2120" priority="200" stopIfTrue="1" operator="greaterThan">
      <formula>$F$80</formula>
    </cfRule>
  </conditionalFormatting>
  <conditionalFormatting sqref="C80:D80 D82:D88">
    <cfRule type="cellIs" dxfId="2119" priority="193" stopIfTrue="1" operator="greaterThan">
      <formula>4.5</formula>
    </cfRule>
  </conditionalFormatting>
  <conditionalFormatting sqref="D51:D52">
    <cfRule type="cellIs" dxfId="2118" priority="81" operator="notBetween">
      <formula>#REF!</formula>
      <formula>#REF!</formula>
    </cfRule>
  </conditionalFormatting>
  <conditionalFormatting sqref="D69:D76">
    <cfRule type="cellIs" dxfId="2117" priority="173" stopIfTrue="1" operator="lessThanOrEqual">
      <formula>0</formula>
    </cfRule>
  </conditionalFormatting>
  <conditionalFormatting sqref="D80 D82:D88">
    <cfRule type="cellIs" dxfId="2116" priority="194" stopIfTrue="1" operator="lessThanOrEqual">
      <formula>0</formula>
    </cfRule>
  </conditionalFormatting>
  <conditionalFormatting sqref="D81">
    <cfRule type="cellIs" dxfId="2115" priority="186" stopIfTrue="1" operator="lessThanOrEqual">
      <formula>0</formula>
    </cfRule>
    <cfRule type="cellIs" dxfId="2114" priority="185" stopIfTrue="1" operator="greaterThan">
      <formula>$F$80</formula>
    </cfRule>
  </conditionalFormatting>
  <conditionalFormatting sqref="D69:E78">
    <cfRule type="cellIs" dxfId="2113" priority="162" stopIfTrue="1" operator="greaterThan">
      <formula>$F69</formula>
    </cfRule>
  </conditionalFormatting>
  <conditionalFormatting sqref="D77:E77">
    <cfRule type="cellIs" dxfId="2112" priority="172" stopIfTrue="1" operator="lessThanOrEqual">
      <formula>0</formula>
    </cfRule>
  </conditionalFormatting>
  <conditionalFormatting sqref="D78:E78">
    <cfRule type="cellIs" dxfId="2111" priority="163" stopIfTrue="1" operator="lessThanOrEqual">
      <formula>0</formula>
    </cfRule>
  </conditionalFormatting>
  <conditionalFormatting sqref="E10:E26">
    <cfRule type="cellIs" dxfId="2110" priority="48" operator="lessThan">
      <formula>48</formula>
    </cfRule>
  </conditionalFormatting>
  <conditionalFormatting sqref="E54 E55:F55">
    <cfRule type="cellIs" dxfId="2109" priority="190" stopIfTrue="1" operator="greaterThan">
      <formula>100</formula>
    </cfRule>
  </conditionalFormatting>
  <conditionalFormatting sqref="E55">
    <cfRule type="cellIs" dxfId="2108" priority="188" stopIfTrue="1" operator="greaterThan">
      <formula>100</formula>
    </cfRule>
    <cfRule type="cellIs" dxfId="2107" priority="187" stopIfTrue="1" operator="lessThan">
      <formula>96.8</formula>
    </cfRule>
  </conditionalFormatting>
  <conditionalFormatting sqref="E69:E76">
    <cfRule type="cellIs" dxfId="2106" priority="1" stopIfTrue="1" operator="lessThanOrEqual">
      <formula>0</formula>
    </cfRule>
  </conditionalFormatting>
  <conditionalFormatting sqref="E69:E77">
    <cfRule type="cellIs" dxfId="2105" priority="169" stopIfTrue="1" operator="lessThanOrEqual">
      <formula>0</formula>
    </cfRule>
  </conditionalFormatting>
  <conditionalFormatting sqref="E80:E88">
    <cfRule type="cellIs" dxfId="2104" priority="180" stopIfTrue="1" operator="lessThanOrEqual">
      <formula>0</formula>
    </cfRule>
    <cfRule type="cellIs" dxfId="2103" priority="179" stopIfTrue="1" operator="greaterThan">
      <formula>4.5</formula>
    </cfRule>
  </conditionalFormatting>
  <conditionalFormatting sqref="E55:F55 E54">
    <cfRule type="cellIs" dxfId="2102" priority="189" stopIfTrue="1" operator="lessThan">
      <formula>96.5</formula>
    </cfRule>
  </conditionalFormatting>
  <conditionalFormatting sqref="F10:F26">
    <cfRule type="cellIs" dxfId="2101" priority="59" operator="greaterThan">
      <formula>60</formula>
    </cfRule>
  </conditionalFormatting>
  <conditionalFormatting sqref="F55">
    <cfRule type="cellIs" dxfId="2100" priority="205" stopIfTrue="1" operator="lessThan">
      <formula>96.8</formula>
    </cfRule>
    <cfRule type="cellIs" dxfId="2099" priority="206" stopIfTrue="1" operator="greaterThan">
      <formula>100</formula>
    </cfRule>
  </conditionalFormatting>
  <conditionalFormatting sqref="F78">
    <cfRule type="cellIs" dxfId="2098" priority="170" stopIfTrue="1" operator="greaterThan">
      <formula>$F78</formula>
    </cfRule>
    <cfRule type="cellIs" dxfId="2097" priority="171" stopIfTrue="1" operator="lessThanOrEqual">
      <formula>0</formula>
    </cfRule>
  </conditionalFormatting>
  <conditionalFormatting sqref="G10:G25">
    <cfRule type="expression" dxfId="2096" priority="57">
      <formula>IF(+(IF(G10&lt;S10,0,IF(G10&gt;T10,0,1)))=0,1)</formula>
    </cfRule>
  </conditionalFormatting>
  <conditionalFormatting sqref="G69:G70 C75:C77">
    <cfRule type="cellIs" dxfId="2095" priority="175" stopIfTrue="1" operator="lessThanOrEqual">
      <formula>0</formula>
    </cfRule>
  </conditionalFormatting>
  <conditionalFormatting sqref="G69:G70">
    <cfRule type="cellIs" dxfId="2094" priority="174" stopIfTrue="1" operator="greaterThan">
      <formula>$F69</formula>
    </cfRule>
    <cfRule type="cellIs" dxfId="2093" priority="167" stopIfTrue="1" operator="lessThanOrEqual">
      <formula>0</formula>
    </cfRule>
    <cfRule type="cellIs" dxfId="2092" priority="166" stopIfTrue="1" operator="greaterThan">
      <formula>$F69</formula>
    </cfRule>
  </conditionalFormatting>
  <conditionalFormatting sqref="G71">
    <cfRule type="cellIs" dxfId="2091" priority="210" stopIfTrue="1" operator="lessThanOrEqual">
      <formula>0</formula>
    </cfRule>
    <cfRule type="cellIs" dxfId="2090" priority="209" stopIfTrue="1" operator="greaterThan">
      <formula>$F70</formula>
    </cfRule>
  </conditionalFormatting>
  <conditionalFormatting sqref="G72">
    <cfRule type="cellIs" dxfId="2089" priority="79" stopIfTrue="1" operator="lessThanOrEqual">
      <formula>0</formula>
    </cfRule>
    <cfRule type="cellIs" dxfId="2088" priority="76" stopIfTrue="1" operator="greaterThan">
      <formula>$F72</formula>
    </cfRule>
    <cfRule type="cellIs" dxfId="2087" priority="77" stopIfTrue="1" operator="lessThanOrEqual">
      <formula>0</formula>
    </cfRule>
    <cfRule type="cellIs" dxfId="2086" priority="78" stopIfTrue="1" operator="greaterThan">
      <formula>$F72</formula>
    </cfRule>
  </conditionalFormatting>
  <conditionalFormatting sqref="G73:G77">
    <cfRule type="cellIs" dxfId="2085" priority="176" stopIfTrue="1" operator="greaterThan">
      <formula>$J73</formula>
    </cfRule>
    <cfRule type="cellIs" dxfId="2084" priority="177" stopIfTrue="1" operator="lessThanOrEqual">
      <formula>0</formula>
    </cfRule>
  </conditionalFormatting>
  <conditionalFormatting sqref="G82:G87 C85 C87">
    <cfRule type="cellIs" dxfId="2083" priority="202" stopIfTrue="1" operator="greaterThan">
      <formula>4.5</formula>
    </cfRule>
    <cfRule type="cellIs" dxfId="2082" priority="203" stopIfTrue="1" operator="lessThanOrEqual">
      <formula>0</formula>
    </cfRule>
  </conditionalFormatting>
  <conditionalFormatting sqref="G81:H81">
    <cfRule type="cellIs" dxfId="2081" priority="184" stopIfTrue="1" operator="lessThanOrEqual">
      <formula>0</formula>
    </cfRule>
    <cfRule type="cellIs" dxfId="2080" priority="183" stopIfTrue="1" operator="greaterThan">
      <formula>$F$80</formula>
    </cfRule>
  </conditionalFormatting>
  <conditionalFormatting sqref="H10:H25 G26:H26">
    <cfRule type="expression" dxfId="2079" priority="58">
      <formula>IF(+(IF(G10&lt;#REF!,0,IF(G10&gt;#REF!,0,1)))=0,1)</formula>
    </cfRule>
  </conditionalFormatting>
  <conditionalFormatting sqref="H40:H41 H54">
    <cfRule type="cellIs" dxfId="2078" priority="181" stopIfTrue="1" operator="greaterThan">
      <formula>0</formula>
    </cfRule>
  </conditionalFormatting>
  <conditionalFormatting sqref="H58">
    <cfRule type="cellIs" dxfId="2077" priority="3" stopIfTrue="1" operator="lessThanOrEqual">
      <formula>0</formula>
    </cfRule>
    <cfRule type="cellIs" dxfId="2076" priority="4" stopIfTrue="1" operator="greaterThan">
      <formula>#REF!</formula>
    </cfRule>
    <cfRule type="cellIs" dxfId="2075" priority="12" stopIfTrue="1" operator="greaterThan">
      <formula>$F$26</formula>
    </cfRule>
    <cfRule type="cellIs" dxfId="2074" priority="13" stopIfTrue="1" operator="lessThanOrEqual">
      <formula>0</formula>
    </cfRule>
    <cfRule type="cellIs" dxfId="2073" priority="15" stopIfTrue="1" operator="lessThanOrEqual">
      <formula>0</formula>
    </cfRule>
    <cfRule type="cellIs" dxfId="2072" priority="14" stopIfTrue="1" operator="greaterThan">
      <formula>#REF!</formula>
    </cfRule>
  </conditionalFormatting>
  <conditionalFormatting sqref="H59">
    <cfRule type="cellIs" dxfId="2071" priority="130" stopIfTrue="1" operator="greaterThan">
      <formula>$F$27</formula>
    </cfRule>
    <cfRule type="cellIs" dxfId="2070" priority="122" stopIfTrue="1" operator="greaterThan">
      <formula>#REF!</formula>
    </cfRule>
    <cfRule type="cellIs" dxfId="2069" priority="131" stopIfTrue="1" operator="lessThanOrEqual">
      <formula>0</formula>
    </cfRule>
    <cfRule type="cellIs" dxfId="2068" priority="133" stopIfTrue="1" operator="lessThanOrEqual">
      <formula>0</formula>
    </cfRule>
    <cfRule type="cellIs" dxfId="2067" priority="132" stopIfTrue="1" operator="greaterThan">
      <formula>#REF!</formula>
    </cfRule>
    <cfRule type="cellIs" dxfId="2066" priority="121" stopIfTrue="1" operator="lessThanOrEqual">
      <formula>0</formula>
    </cfRule>
  </conditionalFormatting>
  <conditionalFormatting sqref="H60">
    <cfRule type="cellIs" dxfId="2065" priority="43" stopIfTrue="1" operator="lessThanOrEqual">
      <formula>0</formula>
    </cfRule>
    <cfRule type="cellIs" dxfId="2064" priority="42" stopIfTrue="1" operator="greaterThan">
      <formula>$F$72</formula>
    </cfRule>
    <cfRule type="cellIs" dxfId="2063" priority="34" stopIfTrue="1" operator="greaterThan">
      <formula>$F$69</formula>
    </cfRule>
    <cfRule type="cellIs" dxfId="2062" priority="33" stopIfTrue="1" operator="lessThanOrEqual">
      <formula>0</formula>
    </cfRule>
    <cfRule type="cellIs" dxfId="2061" priority="45" stopIfTrue="1" operator="lessThanOrEqual">
      <formula>0</formula>
    </cfRule>
    <cfRule type="cellIs" dxfId="2060" priority="44" stopIfTrue="1" operator="greaterThan">
      <formula>$F$70</formula>
    </cfRule>
  </conditionalFormatting>
  <conditionalFormatting sqref="H61">
    <cfRule type="cellIs" dxfId="2059" priority="118" stopIfTrue="1" operator="greaterThan">
      <formula>#REF!</formula>
    </cfRule>
    <cfRule type="cellIs" dxfId="2058" priority="119" stopIfTrue="1" operator="lessThanOrEqual">
      <formula>0</formula>
    </cfRule>
    <cfRule type="cellIs" dxfId="2057" priority="117" stopIfTrue="1" operator="lessThanOrEqual">
      <formula>0</formula>
    </cfRule>
    <cfRule type="cellIs" dxfId="2056" priority="116" stopIfTrue="1" operator="greaterThan">
      <formula>$F$26</formula>
    </cfRule>
    <cfRule type="cellIs" dxfId="2055" priority="107" stopIfTrue="1" operator="lessThanOrEqual">
      <formula>0</formula>
    </cfRule>
    <cfRule type="cellIs" dxfId="2054" priority="108" stopIfTrue="1" operator="greaterThan">
      <formula>#REF!</formula>
    </cfRule>
  </conditionalFormatting>
  <conditionalFormatting sqref="H63">
    <cfRule type="cellIs" dxfId="2053" priority="145" stopIfTrue="1" operator="greaterThan">
      <formula>$F$42</formula>
    </cfRule>
    <cfRule type="cellIs" dxfId="2052" priority="147" stopIfTrue="1" operator="greaterThan">
      <formula>$F$40</formula>
    </cfRule>
    <cfRule type="cellIs" dxfId="2051" priority="146" stopIfTrue="1" operator="lessThanOrEqual">
      <formula>0</formula>
    </cfRule>
    <cfRule type="cellIs" dxfId="2050" priority="137" stopIfTrue="1" operator="greaterThan">
      <formula>$F$39</formula>
    </cfRule>
    <cfRule type="cellIs" dxfId="2049" priority="136" stopIfTrue="1" operator="lessThanOrEqual">
      <formula>0</formula>
    </cfRule>
    <cfRule type="cellIs" dxfId="2048" priority="148" stopIfTrue="1" operator="lessThanOrEqual">
      <formula>0</formula>
    </cfRule>
  </conditionalFormatting>
  <conditionalFormatting sqref="H64:H65">
    <cfRule type="cellIs" dxfId="2047" priority="92" stopIfTrue="1" operator="greaterThan">
      <formula>#REF!</formula>
    </cfRule>
    <cfRule type="cellIs" dxfId="2046" priority="101" stopIfTrue="1" operator="lessThanOrEqual">
      <formula>0</formula>
    </cfRule>
    <cfRule type="cellIs" dxfId="2045" priority="102" stopIfTrue="1" operator="greaterThan">
      <formula>#REF!</formula>
    </cfRule>
    <cfRule type="cellIs" dxfId="2044" priority="103" stopIfTrue="1" operator="lessThanOrEqual">
      <formula>0</formula>
    </cfRule>
    <cfRule type="cellIs" dxfId="2043" priority="100" stopIfTrue="1" operator="greaterThan">
      <formula>$F$26</formula>
    </cfRule>
    <cfRule type="cellIs" dxfId="2042" priority="91" stopIfTrue="1" operator="lessThanOrEqual">
      <formula>0</formula>
    </cfRule>
  </conditionalFormatting>
  <conditionalFormatting sqref="H80 H82:H88">
    <cfRule type="cellIs" dxfId="2041" priority="195" stopIfTrue="1" operator="greaterThan">
      <formula>4.5</formula>
    </cfRule>
    <cfRule type="cellIs" dxfId="2040" priority="196" stopIfTrue="1" operator="lessThanOrEqual">
      <formula>0</formula>
    </cfRule>
  </conditionalFormatting>
  <conditionalFormatting sqref="H58:I58">
    <cfRule type="cellIs" dxfId="2039" priority="5" stopIfTrue="1" operator="lessThanOrEqual">
      <formula>0</formula>
    </cfRule>
    <cfRule type="cellIs" dxfId="2038" priority="2" stopIfTrue="1" operator="greaterThan">
      <formula>#REF!</formula>
    </cfRule>
  </conditionalFormatting>
  <conditionalFormatting sqref="H59:I59">
    <cfRule type="cellIs" dxfId="2037" priority="123" stopIfTrue="1" operator="lessThanOrEqual">
      <formula>0</formula>
    </cfRule>
    <cfRule type="cellIs" dxfId="2036" priority="120" stopIfTrue="1" operator="greaterThan">
      <formula>$F$26</formula>
    </cfRule>
  </conditionalFormatting>
  <conditionalFormatting sqref="H60:I60">
    <cfRule type="cellIs" dxfId="2035" priority="35" stopIfTrue="1" operator="lessThanOrEqual">
      <formula>0</formula>
    </cfRule>
    <cfRule type="cellIs" dxfId="2034" priority="32" stopIfTrue="1" operator="greaterThan">
      <formula>$F$71</formula>
    </cfRule>
  </conditionalFormatting>
  <conditionalFormatting sqref="H61:I61">
    <cfRule type="cellIs" dxfId="2033" priority="106" stopIfTrue="1" operator="greaterThan">
      <formula>#REF!</formula>
    </cfRule>
    <cfRule type="cellIs" dxfId="2032" priority="109" stopIfTrue="1" operator="lessThanOrEqual">
      <formula>0</formula>
    </cfRule>
  </conditionalFormatting>
  <conditionalFormatting sqref="H63:I63">
    <cfRule type="cellIs" dxfId="2031" priority="138" stopIfTrue="1" operator="lessThanOrEqual">
      <formula>0</formula>
    </cfRule>
    <cfRule type="cellIs" dxfId="2030" priority="135" stopIfTrue="1" operator="greaterThan">
      <formula>$F$41</formula>
    </cfRule>
  </conditionalFormatting>
  <conditionalFormatting sqref="H64:I65">
    <cfRule type="cellIs" dxfId="2029" priority="93" stopIfTrue="1" operator="lessThanOrEqual">
      <formula>0</formula>
    </cfRule>
    <cfRule type="cellIs" dxfId="2028" priority="90" stopIfTrue="1" operator="greaterThan">
      <formula>#REF!</formula>
    </cfRule>
  </conditionalFormatting>
  <conditionalFormatting sqref="H69:I76">
    <cfRule type="cellIs" dxfId="2027" priority="47" stopIfTrue="1" operator="lessThanOrEqual">
      <formula>0</formula>
    </cfRule>
    <cfRule type="cellIs" dxfId="2026" priority="46" stopIfTrue="1" operator="greaterThan">
      <formula>$J69</formula>
    </cfRule>
  </conditionalFormatting>
  <conditionalFormatting sqref="H77:I77">
    <cfRule type="cellIs" dxfId="2025" priority="168" operator="greaterThan">
      <formula>5.3</formula>
    </cfRule>
  </conditionalFormatting>
  <conditionalFormatting sqref="H78:I78">
    <cfRule type="cellIs" dxfId="2024" priority="160" stopIfTrue="1" operator="greaterThan">
      <formula>$J78</formula>
    </cfRule>
    <cfRule type="cellIs" dxfId="2023" priority="161" stopIfTrue="1" operator="lessThanOrEqual">
      <formula>0</formula>
    </cfRule>
  </conditionalFormatting>
  <conditionalFormatting sqref="I58">
    <cfRule type="cellIs" dxfId="2022" priority="11" stopIfTrue="1" operator="lessThanOrEqual">
      <formula>0</formula>
    </cfRule>
    <cfRule type="cellIs" dxfId="2021" priority="6" stopIfTrue="1" operator="greaterThan">
      <formula>#REF!</formula>
    </cfRule>
    <cfRule type="cellIs" dxfId="2020" priority="7" stopIfTrue="1" operator="lessThanOrEqual">
      <formula>0</formula>
    </cfRule>
    <cfRule type="cellIs" dxfId="2019" priority="8" stopIfTrue="1" operator="greaterThan">
      <formula>#REF!</formula>
    </cfRule>
    <cfRule type="cellIs" dxfId="2018" priority="9" stopIfTrue="1" operator="lessThanOrEqual">
      <formula>0</formula>
    </cfRule>
    <cfRule type="cellIs" dxfId="2017" priority="10" stopIfTrue="1" operator="greaterThan">
      <formula>#REF!</formula>
    </cfRule>
  </conditionalFormatting>
  <conditionalFormatting sqref="I59">
    <cfRule type="cellIs" dxfId="2016" priority="129" stopIfTrue="1" operator="lessThanOrEqual">
      <formula>0</formula>
    </cfRule>
    <cfRule type="cellIs" dxfId="2015" priority="128" stopIfTrue="1" operator="greaterThan">
      <formula>#REF!</formula>
    </cfRule>
    <cfRule type="cellIs" dxfId="2014" priority="127" stopIfTrue="1" operator="lessThanOrEqual">
      <formula>0</formula>
    </cfRule>
    <cfRule type="cellIs" dxfId="2013" priority="126" stopIfTrue="1" operator="greaterThan">
      <formula>$F$26</formula>
    </cfRule>
    <cfRule type="cellIs" dxfId="2012" priority="125" stopIfTrue="1" operator="lessThanOrEqual">
      <formula>0</formula>
    </cfRule>
    <cfRule type="cellIs" dxfId="2011" priority="124" stopIfTrue="1" operator="greaterThan">
      <formula>#REF!</formula>
    </cfRule>
  </conditionalFormatting>
  <conditionalFormatting sqref="I60">
    <cfRule type="cellIs" dxfId="2010" priority="37" stopIfTrue="1" operator="lessThanOrEqual">
      <formula>0</formula>
    </cfRule>
    <cfRule type="cellIs" dxfId="2009" priority="39" stopIfTrue="1" operator="lessThanOrEqual">
      <formula>0</formula>
    </cfRule>
    <cfRule type="cellIs" dxfId="2008" priority="40" stopIfTrue="1" operator="greaterThan">
      <formula>$F$69</formula>
    </cfRule>
    <cfRule type="cellIs" dxfId="2007" priority="41" stopIfTrue="1" operator="lessThanOrEqual">
      <formula>0</formula>
    </cfRule>
    <cfRule type="cellIs" dxfId="2006" priority="38" stopIfTrue="1" operator="greaterThan">
      <formula>$F$71</formula>
    </cfRule>
    <cfRule type="cellIs" dxfId="2005" priority="36" stopIfTrue="1" operator="greaterThan">
      <formula>$F$69</formula>
    </cfRule>
  </conditionalFormatting>
  <conditionalFormatting sqref="I61">
    <cfRule type="cellIs" dxfId="2004" priority="114" stopIfTrue="1" operator="greaterThan">
      <formula>#REF!</formula>
    </cfRule>
    <cfRule type="cellIs" dxfId="2003" priority="110" stopIfTrue="1" operator="greaterThan">
      <formula>#REF!</formula>
    </cfRule>
    <cfRule type="cellIs" dxfId="2002" priority="111" stopIfTrue="1" operator="lessThanOrEqual">
      <formula>0</formula>
    </cfRule>
    <cfRule type="cellIs" dxfId="2001" priority="112" stopIfTrue="1" operator="greaterThan">
      <formula>#REF!</formula>
    </cfRule>
    <cfRule type="cellIs" dxfId="2000" priority="113" stopIfTrue="1" operator="lessThanOrEqual">
      <formula>0</formula>
    </cfRule>
    <cfRule type="cellIs" dxfId="1999" priority="115" stopIfTrue="1" operator="lessThanOrEqual">
      <formula>0</formula>
    </cfRule>
  </conditionalFormatting>
  <conditionalFormatting sqref="I63">
    <cfRule type="cellIs" dxfId="1998" priority="139" stopIfTrue="1" operator="greaterThan">
      <formula>$F$39</formula>
    </cfRule>
    <cfRule type="cellIs" dxfId="1997" priority="140" stopIfTrue="1" operator="lessThanOrEqual">
      <formula>0</formula>
    </cfRule>
    <cfRule type="cellIs" dxfId="1996" priority="141" stopIfTrue="1" operator="greaterThan">
      <formula>$F$41</formula>
    </cfRule>
    <cfRule type="cellIs" dxfId="1995" priority="142" stopIfTrue="1" operator="lessThanOrEqual">
      <formula>0</formula>
    </cfRule>
    <cfRule type="cellIs" dxfId="1994" priority="143" stopIfTrue="1" operator="greaterThan">
      <formula>$F$39</formula>
    </cfRule>
    <cfRule type="cellIs" dxfId="1993" priority="144" stopIfTrue="1" operator="lessThanOrEqual">
      <formula>0</formula>
    </cfRule>
  </conditionalFormatting>
  <conditionalFormatting sqref="I64:I65">
    <cfRule type="cellIs" dxfId="1992" priority="97" stopIfTrue="1" operator="lessThanOrEqual">
      <formula>0</formula>
    </cfRule>
    <cfRule type="cellIs" dxfId="1991" priority="96" stopIfTrue="1" operator="greaterThan">
      <formula>#REF!</formula>
    </cfRule>
    <cfRule type="cellIs" dxfId="1990" priority="95" stopIfTrue="1" operator="lessThanOrEqual">
      <formula>0</formula>
    </cfRule>
    <cfRule type="cellIs" dxfId="1989" priority="99" stopIfTrue="1" operator="lessThanOrEqual">
      <formula>0</formula>
    </cfRule>
    <cfRule type="cellIs" dxfId="1988" priority="98" stopIfTrue="1" operator="greaterThan">
      <formula>#REF!</formula>
    </cfRule>
    <cfRule type="cellIs" dxfId="1987" priority="94" stopIfTrue="1" operator="greaterThan">
      <formula>#REF!</formula>
    </cfRule>
  </conditionalFormatting>
  <conditionalFormatting sqref="I80:I88">
    <cfRule type="cellIs" dxfId="1986" priority="192" stopIfTrue="1" operator="lessThanOrEqual">
      <formula>0</formula>
    </cfRule>
    <cfRule type="cellIs" dxfId="1985" priority="191" stopIfTrue="1" operator="greaterThan">
      <formula>4.5</formula>
    </cfRule>
  </conditionalFormatting>
  <conditionalFormatting sqref="I10:J26">
    <cfRule type="cellIs" dxfId="1984" priority="49" operator="lessThan">
      <formula>97.9</formula>
    </cfRule>
  </conditionalFormatting>
  <conditionalFormatting sqref="J30:J31">
    <cfRule type="cellIs" dxfId="1983" priority="150" stopIfTrue="1" operator="lessThan">
      <formula>96.8</formula>
    </cfRule>
    <cfRule type="cellIs" dxfId="1982" priority="151" stopIfTrue="1" operator="greaterThan">
      <formula>100</formula>
    </cfRule>
    <cfRule type="cellIs" dxfId="1981" priority="152" operator="lessThan">
      <formula>98</formula>
    </cfRule>
  </conditionalFormatting>
  <conditionalFormatting sqref="J30:J33">
    <cfRule type="cellIs" dxfId="1980" priority="149" operator="lessThan">
      <formula>97.4</formula>
    </cfRule>
  </conditionalFormatting>
  <conditionalFormatting sqref="J34:J35">
    <cfRule type="cellIs" dxfId="1979" priority="153" operator="lessThan">
      <formula>98</formula>
    </cfRule>
  </conditionalFormatting>
  <conditionalFormatting sqref="J36:J37">
    <cfRule type="cellIs" dxfId="1978" priority="154" stopIfTrue="1" operator="lessThan">
      <formula>96.8</formula>
    </cfRule>
    <cfRule type="cellIs" dxfId="1977" priority="155" stopIfTrue="1" operator="greaterThan">
      <formula>100</formula>
    </cfRule>
  </conditionalFormatting>
  <conditionalFormatting sqref="J36:J38">
    <cfRule type="cellIs" dxfId="1976" priority="156" operator="lessThan">
      <formula>98</formula>
    </cfRule>
  </conditionalFormatting>
  <conditionalFormatting sqref="J65">
    <cfRule type="cellIs" dxfId="1975" priority="89" stopIfTrue="1" operator="lessThanOrEqual">
      <formula>0</formula>
    </cfRule>
    <cfRule type="cellIs" dxfId="1974" priority="88" stopIfTrue="1" operator="greaterThan">
      <formula>#REF!</formula>
    </cfRule>
    <cfRule type="cellIs" dxfId="1973" priority="84" stopIfTrue="1" operator="greaterThan">
      <formula>#REF!</formula>
    </cfRule>
    <cfRule type="cellIs" dxfId="1972" priority="82" stopIfTrue="1" operator="greaterThan">
      <formula>#REF!</formula>
    </cfRule>
    <cfRule type="cellIs" dxfId="1971" priority="83" stopIfTrue="1" operator="lessThanOrEqual">
      <formula>0</formula>
    </cfRule>
    <cfRule type="cellIs" dxfId="1970" priority="85" stopIfTrue="1" operator="lessThanOrEqual">
      <formula>0</formula>
    </cfRule>
    <cfRule type="cellIs" dxfId="1969" priority="86" stopIfTrue="1" operator="greaterThan">
      <formula>#REF!</formula>
    </cfRule>
    <cfRule type="cellIs" dxfId="1968" priority="87" stopIfTrue="1" operator="lessThanOrEqual">
      <formula>0</formula>
    </cfRule>
  </conditionalFormatting>
  <conditionalFormatting sqref="J78">
    <cfRule type="cellIs" dxfId="1967" priority="158" stopIfTrue="1" operator="lessThanOrEqual">
      <formula>0</formula>
    </cfRule>
    <cfRule type="cellIs" dxfId="1966" priority="157" stopIfTrue="1" operator="greaterThan">
      <formula>$F78</formula>
    </cfRule>
  </conditionalFormatting>
  <conditionalFormatting sqref="K10:K26">
    <cfRule type="cellIs" dxfId="1965" priority="52" operator="greaterThan">
      <formula>6.4</formula>
    </cfRule>
    <cfRule type="cellIs" dxfId="1964" priority="51" operator="lessThan">
      <formula>4</formula>
    </cfRule>
    <cfRule type="cellIs" dxfId="1963" priority="50" operator="greaterThan">
      <formula>6</formula>
    </cfRule>
  </conditionalFormatting>
  <conditionalFormatting sqref="K58:K61 K63:K65 K69:N77">
    <cfRule type="cellIs" dxfId="1962" priority="134" stopIfTrue="1" operator="lessThan">
      <formula>100%</formula>
    </cfRule>
  </conditionalFormatting>
  <conditionalFormatting sqref="K80:K85">
    <cfRule type="cellIs" dxfId="1961" priority="197" stopIfTrue="1" operator="lessThan">
      <formula>100%</formula>
    </cfRule>
  </conditionalFormatting>
  <conditionalFormatting sqref="K87:K88">
    <cfRule type="cellIs" dxfId="1960" priority="204" stopIfTrue="1" operator="lessThan">
      <formula>100%</formula>
    </cfRule>
  </conditionalFormatting>
  <conditionalFormatting sqref="L10:L26">
    <cfRule type="cellIs" dxfId="1959" priority="55" operator="greaterThan">
      <formula>65</formula>
    </cfRule>
    <cfRule type="cellIs" dxfId="1958" priority="54" operator="between">
      <formula>61</formula>
      <formula>65</formula>
    </cfRule>
  </conditionalFormatting>
  <conditionalFormatting sqref="L29:M40">
    <cfRule type="cellIs" dxfId="1957" priority="60" operator="lessThan">
      <formula>97.95</formula>
    </cfRule>
  </conditionalFormatting>
  <conditionalFormatting sqref="L44:N44">
    <cfRule type="cellIs" dxfId="1956" priority="61" operator="notEqual">
      <formula>#REF!</formula>
    </cfRule>
  </conditionalFormatting>
  <conditionalFormatting sqref="L78:N78">
    <cfRule type="cellIs" dxfId="1955" priority="159" stopIfTrue="1" operator="lessThan">
      <formula>100%</formula>
    </cfRule>
  </conditionalFormatting>
  <conditionalFormatting sqref="L80:N88">
    <cfRule type="cellIs" dxfId="1954" priority="182" stopIfTrue="1" operator="lessThan">
      <formula>100%</formula>
    </cfRule>
  </conditionalFormatting>
  <conditionalFormatting sqref="M10:M25">
    <cfRule type="expression" dxfId="1953" priority="53">
      <formula>IF(+(IF(M10&lt;U10,0,IF(M10&gt;V10,0,1)))=0,1)</formula>
    </cfRule>
  </conditionalFormatting>
  <conditionalFormatting sqref="M26:N26">
    <cfRule type="expression" dxfId="1952" priority="212">
      <formula>IF(+(IF(M26&lt;#REF!,0,IF(M26&gt;#REF!,0,1)))=0,1)</formula>
    </cfRule>
  </conditionalFormatting>
  <conditionalFormatting sqref="N10:N25">
    <cfRule type="expression" dxfId="1951" priority="30">
      <formula>IF(+(IF(N10&lt;W10,0,IF(N10&gt;X10,0,1)))=0,1)</formula>
    </cfRule>
  </conditionalFormatting>
  <conditionalFormatting sqref="P6">
    <cfRule type="cellIs" dxfId="1950" priority="178" operator="greaterThanOrEqual">
      <formula>19</formula>
    </cfRule>
  </conditionalFormatting>
  <dataValidations count="1">
    <dataValidation type="list" allowBlank="1" showInputMessage="1" showErrorMessage="1" sqref="R8" xr:uid="{1B762ADC-20C1-40ED-A34A-938955DBC49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5AF6-4CA9-4E2A-B0D8-F25737DFC50B}">
  <sheetPr codeName="Sheet13">
    <pageSetUpPr fitToPage="1"/>
  </sheetPr>
  <dimension ref="A1:BE82"/>
  <sheetViews>
    <sheetView topLeftCell="A6" zoomScale="80" zoomScaleNormal="80" workbookViewId="0">
      <selection activeCell="M12" sqref="M12:M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46042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5">
      <c r="B10" s="29" t="s">
        <v>6</v>
      </c>
      <c r="C10" s="366" t="str">
        <f>[4]Brewhouse!$A87</f>
        <v>CA046</v>
      </c>
      <c r="D10" s="279">
        <f>[4]Brewhouse!$AF87</f>
        <v>50.2</v>
      </c>
      <c r="E10" s="279">
        <f>[4]Brewhouse!$AI87</f>
        <v>47.9</v>
      </c>
      <c r="F10" s="278">
        <f>[4]Brewhouse!$V87</f>
        <v>50</v>
      </c>
      <c r="G10" s="279">
        <f>[4]Brewhouse!AG87</f>
        <v>12.1</v>
      </c>
      <c r="H10" s="396"/>
      <c r="I10" s="368">
        <f>[4]Brewhouse!$AU87</f>
        <v>96.805164931106077</v>
      </c>
      <c r="J10" s="368">
        <f>[4]Brewhouse!$AV87</f>
        <v>96.47822839142863</v>
      </c>
      <c r="K10" s="281">
        <f>[4]Brewhouse!$Q87</f>
        <v>6.8173258003766435</v>
      </c>
      <c r="L10" s="276">
        <f>[4]Brewhouse!$P87</f>
        <v>73</v>
      </c>
      <c r="M10" s="397">
        <f>[4]Brewhouse!$U87-[4]Brewhouse!$T87</f>
        <v>0.12847222222222221</v>
      </c>
      <c r="N10" s="370">
        <f>[4]Brewhouse!$Z87</f>
        <v>0.32777777777777778</v>
      </c>
      <c r="O10" s="420" t="str">
        <f>[4]Brewhouse!$AX87</f>
        <v>R. Regis</v>
      </c>
      <c r="P10" s="357"/>
      <c r="R10" s="277" t="str">
        <f t="shared" ref="R10:R11" si="0">B10</f>
        <v>CARIB</v>
      </c>
      <c r="S10" s="474">
        <f t="shared" ref="S10:S42" si="1">VLOOKUP($B10,$R$3:$X$9,2,FALSE)</f>
        <v>11.6</v>
      </c>
      <c r="T10" s="474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474">
        <f t="shared" ref="Z10:Z42" si="8">VLOOKUP($B10,$R$3:$Z$9,9,FALSE)</f>
        <v>60</v>
      </c>
    </row>
    <row r="11" spans="2:29" ht="15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420"/>
      <c r="P11" s="357"/>
      <c r="R11" s="277">
        <f t="shared" si="0"/>
        <v>0</v>
      </c>
      <c r="S11" s="474" t="e">
        <f t="shared" si="1"/>
        <v>#N/A</v>
      </c>
      <c r="T11" s="474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474" t="e">
        <f t="shared" si="8"/>
        <v>#N/A</v>
      </c>
    </row>
    <row r="12" spans="2:29" ht="16.5" customHeight="1">
      <c r="B12" s="34" t="s">
        <v>12</v>
      </c>
      <c r="C12" s="366" t="str">
        <f>[3]Brewhouse!$A16</f>
        <v>GU001</v>
      </c>
      <c r="D12" s="279">
        <f>[3]Brewhouse!$AF16</f>
        <v>55.2</v>
      </c>
      <c r="E12" s="279">
        <f>[3]Brewhouse!$AI16</f>
        <v>51.4</v>
      </c>
      <c r="F12" s="278">
        <f>[3]Brewhouse!$V16</f>
        <v>61</v>
      </c>
      <c r="G12" s="279">
        <f>[3]Brewhouse!$AG16</f>
        <v>17</v>
      </c>
      <c r="H12" s="396">
        <v>17</v>
      </c>
      <c r="I12" s="479">
        <f>[3]Brewhouse!$AU16</f>
        <v>96.003306141833193</v>
      </c>
      <c r="J12" s="479">
        <f>[3]Brewhouse!$AV16</f>
        <v>95.719892266256238</v>
      </c>
      <c r="K12" s="488">
        <f>[3]Brewhouse!$R16</f>
        <v>3.5294117647058769</v>
      </c>
      <c r="L12" s="276">
        <f>[3]Brewhouse!$O16</f>
        <v>55</v>
      </c>
      <c r="M12" s="374">
        <f>[3]Brewhouse!$U16-[3]Brewhouse!$T16</f>
        <v>0.12083333333333335</v>
      </c>
      <c r="N12" s="370">
        <f>[3]Brewhouse!$Z16</f>
        <v>0.28125</v>
      </c>
      <c r="O12" s="420" t="str">
        <f>[3]Brewhouse!$AW16</f>
        <v>R. Sookram</v>
      </c>
      <c r="P12" s="418"/>
      <c r="R12" s="277" t="str">
        <f t="shared" ref="R12:R42" si="9">B12</f>
        <v>GUINNESS</v>
      </c>
      <c r="S12" s="474">
        <f t="shared" si="1"/>
        <v>17</v>
      </c>
      <c r="T12" s="474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474">
        <f t="shared" si="8"/>
        <v>60</v>
      </c>
    </row>
    <row r="13" spans="2:29" ht="16.5" customHeight="1">
      <c r="B13" s="34" t="s">
        <v>12</v>
      </c>
      <c r="C13" s="366" t="str">
        <f>[3]Brewhouse!$A17</f>
        <v>GU002</v>
      </c>
      <c r="D13" s="279">
        <f>[3]Brewhouse!$AF17</f>
        <v>54.6</v>
      </c>
      <c r="E13" s="279">
        <f>[3]Brewhouse!$AI17</f>
        <v>51</v>
      </c>
      <c r="F13" s="278">
        <f>[3]Brewhouse!$V17</f>
        <v>58</v>
      </c>
      <c r="G13" s="279">
        <f>[3]Brewhouse!$AG17</f>
        <v>17.3</v>
      </c>
      <c r="H13" s="396">
        <v>17.3</v>
      </c>
      <c r="I13" s="479">
        <f>[3]Brewhouse!$AU17</f>
        <v>97.325117100528743</v>
      </c>
      <c r="J13" s="479">
        <f>[3]Brewhouse!$AV17</f>
        <v>97.037951249614324</v>
      </c>
      <c r="K13" s="488">
        <f>[3]Brewhouse!$R17</f>
        <v>4.5989304812834186</v>
      </c>
      <c r="L13" s="276">
        <f>[3]Brewhouse!$O17</f>
        <v>60</v>
      </c>
      <c r="M13" s="374">
        <f>[3]Brewhouse!$U17-[3]Brewhouse!$T17</f>
        <v>0.11875000000000002</v>
      </c>
      <c r="N13" s="370">
        <f>[3]Brewhouse!$Z17</f>
        <v>0.35486111111111113</v>
      </c>
      <c r="O13" s="420" t="str">
        <f>[3]Brewhouse!$AW17</f>
        <v>R. Sookram</v>
      </c>
      <c r="P13" s="418"/>
      <c r="R13" s="277" t="str">
        <f t="shared" ref="R13:R30" si="10">B13</f>
        <v>GUINNESS</v>
      </c>
      <c r="S13" s="474">
        <f t="shared" si="1"/>
        <v>17</v>
      </c>
      <c r="T13" s="474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474">
        <f t="shared" si="8"/>
        <v>60</v>
      </c>
    </row>
    <row r="14" spans="2:29" ht="16.5" customHeight="1">
      <c r="B14" s="34" t="s">
        <v>12</v>
      </c>
      <c r="C14" s="366" t="str">
        <f>[3]Brewhouse!$A18</f>
        <v>GU003</v>
      </c>
      <c r="D14" s="279">
        <f>[3]Brewhouse!$AF18</f>
        <v>55.6</v>
      </c>
      <c r="E14" s="279">
        <f>[3]Brewhouse!$AI18</f>
        <v>51.9</v>
      </c>
      <c r="F14" s="278">
        <f>[3]Brewhouse!$V18</f>
        <v>59</v>
      </c>
      <c r="G14" s="279">
        <f>[3]Brewhouse!$AG18</f>
        <v>17.3</v>
      </c>
      <c r="H14" s="396">
        <v>17.3</v>
      </c>
      <c r="I14" s="479">
        <f>[3]Brewhouse!$AU18</f>
        <v>99.121575646105413</v>
      </c>
      <c r="J14" s="479">
        <f>[3]Brewhouse!$AV18</f>
        <v>98.829160340701463</v>
      </c>
      <c r="K14" s="488">
        <f>[3]Brewhouse!$R18</f>
        <v>2.6428571428571375</v>
      </c>
      <c r="L14" s="276">
        <f>[3]Brewhouse!$O18</f>
        <v>60</v>
      </c>
      <c r="M14" s="374">
        <f>[3]Brewhouse!$U18-[3]Brewhouse!$T18</f>
        <v>0.12708333333333333</v>
      </c>
      <c r="N14" s="370">
        <f>[3]Brewhouse!$Z18</f>
        <v>0.29166666666666663</v>
      </c>
      <c r="O14" s="420" t="str">
        <f>[3]Brewhouse!$AW18</f>
        <v>K. Benjamin</v>
      </c>
      <c r="P14" s="418" t="s">
        <v>206</v>
      </c>
      <c r="R14" s="277" t="str">
        <f t="shared" si="10"/>
        <v>GUINNESS</v>
      </c>
      <c r="S14" s="474">
        <f t="shared" si="1"/>
        <v>17</v>
      </c>
      <c r="T14" s="474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474">
        <f t="shared" si="8"/>
        <v>60</v>
      </c>
    </row>
    <row r="15" spans="2:29" ht="16.5" customHeight="1">
      <c r="B15" s="34" t="s">
        <v>12</v>
      </c>
      <c r="C15" s="366" t="str">
        <f>[3]Brewhouse!$A19</f>
        <v>GU004</v>
      </c>
      <c r="D15" s="279">
        <f>[3]Brewhouse!$AF19</f>
        <v>55.6</v>
      </c>
      <c r="E15" s="279">
        <f>[3]Brewhouse!$AI19</f>
        <v>52</v>
      </c>
      <c r="F15" s="278">
        <f>[3]Brewhouse!$V19</f>
        <v>59</v>
      </c>
      <c r="G15" s="279">
        <f>[3]Brewhouse!$AG19</f>
        <v>17.100000000000001</v>
      </c>
      <c r="H15" s="396">
        <v>17.100000000000001</v>
      </c>
      <c r="I15" s="479">
        <f>[3]Brewhouse!$AU19</f>
        <v>98.312989092995309</v>
      </c>
      <c r="J15" s="479">
        <f>[3]Brewhouse!$AV19</f>
        <v>98.023111844820463</v>
      </c>
      <c r="K15" s="488">
        <f>[3]Brewhouse!$R19</f>
        <v>-0.96296296296296879</v>
      </c>
      <c r="L15" s="276">
        <f>[3]Brewhouse!$O19</f>
        <v>58</v>
      </c>
      <c r="M15" s="374">
        <f>[3]Brewhouse!$U19-[3]Brewhouse!$T19</f>
        <v>0.14930555555555547</v>
      </c>
      <c r="N15" s="370">
        <f>[3]Brewhouse!$Z19</f>
        <v>0.30138888888888882</v>
      </c>
      <c r="O15" s="420" t="str">
        <f>[3]Brewhouse!$AW19</f>
        <v>K. Benjamin</v>
      </c>
      <c r="P15" s="418" t="s">
        <v>205</v>
      </c>
      <c r="R15" s="277" t="str">
        <f t="shared" si="10"/>
        <v>GUINNESS</v>
      </c>
      <c r="S15" s="474">
        <f t="shared" si="1"/>
        <v>17</v>
      </c>
      <c r="T15" s="474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474">
        <f t="shared" si="8"/>
        <v>60</v>
      </c>
    </row>
    <row r="16" spans="2:29" ht="16.5" customHeight="1">
      <c r="B16" s="34" t="s">
        <v>12</v>
      </c>
      <c r="C16" s="366" t="str">
        <f>[3]Brewhouse!$A20</f>
        <v>GU005</v>
      </c>
      <c r="D16" s="279">
        <f>[3]Brewhouse!$AF20</f>
        <v>55.6</v>
      </c>
      <c r="E16" s="279">
        <f>[3]Brewhouse!$AI20</f>
        <v>52.1</v>
      </c>
      <c r="F16" s="278">
        <f>[3]Brewhouse!$V20</f>
        <v>61</v>
      </c>
      <c r="G16" s="279">
        <f>[3]Brewhouse!$AG20</f>
        <v>17</v>
      </c>
      <c r="H16" s="396">
        <v>17</v>
      </c>
      <c r="I16" s="479">
        <f>[3]Brewhouse!$AU20</f>
        <v>97.776942468215154</v>
      </c>
      <c r="J16" s="479">
        <f>[3]Brewhouse!$AV20</f>
        <v>97.488595066883164</v>
      </c>
      <c r="K16" s="488">
        <f>[3]Brewhouse!$R20</f>
        <v>-0.96296296296296879</v>
      </c>
      <c r="L16" s="276">
        <f>[3]Brewhouse!$O20</f>
        <v>58</v>
      </c>
      <c r="M16" s="374">
        <f>[3]Brewhouse!$U20-[3]Brewhouse!$T20</f>
        <v>0.13194444444444442</v>
      </c>
      <c r="N16" s="370">
        <f>[3]Brewhouse!$Z20</f>
        <v>0.31527777777777777</v>
      </c>
      <c r="O16" s="420" t="str">
        <f>[3]Brewhouse!$AW20</f>
        <v>K. Benjamin</v>
      </c>
      <c r="P16" s="418" t="s">
        <v>204</v>
      </c>
      <c r="R16" s="277" t="str">
        <f t="shared" si="10"/>
        <v>GUINNESS</v>
      </c>
      <c r="S16" s="474">
        <f t="shared" si="1"/>
        <v>17</v>
      </c>
      <c r="T16" s="474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474">
        <f t="shared" si="8"/>
        <v>60</v>
      </c>
    </row>
    <row r="17" spans="1:26" ht="16.5" customHeight="1">
      <c r="B17" s="34" t="s">
        <v>12</v>
      </c>
      <c r="C17" s="366" t="str">
        <f>[3]Brewhouse!$A21</f>
        <v>GU006</v>
      </c>
      <c r="D17" s="279">
        <f>[3]Brewhouse!$AF21</f>
        <v>57.1</v>
      </c>
      <c r="E17" s="279">
        <f>[3]Brewhouse!$AI21</f>
        <v>53.6</v>
      </c>
      <c r="F17" s="278">
        <f>[3]Brewhouse!$V21</f>
        <v>68</v>
      </c>
      <c r="G17" s="279">
        <f>[3]Brewhouse!$AG21</f>
        <v>17</v>
      </c>
      <c r="H17" s="396">
        <v>17</v>
      </c>
      <c r="I17" s="479">
        <f>[3]Brewhouse!$AU21</f>
        <v>100.27176158202545</v>
      </c>
      <c r="J17" s="479">
        <f>[3]Brewhouse!$AV21</f>
        <v>99.975849754643775</v>
      </c>
      <c r="K17" s="488">
        <f>[3]Brewhouse!$R21</f>
        <v>-3.7407407407407467</v>
      </c>
      <c r="L17" s="276">
        <f>[3]Brewhouse!$O21</f>
        <v>59</v>
      </c>
      <c r="M17" s="374">
        <f>[3]Brewhouse!$U21-[3]Brewhouse!$T21</f>
        <v>0.13958333333333339</v>
      </c>
      <c r="N17" s="370">
        <f>[3]Brewhouse!$Z21</f>
        <v>0.34166666666666667</v>
      </c>
      <c r="O17" s="420" t="str">
        <f>[3]Brewhouse!$AW21</f>
        <v>R. Regis</v>
      </c>
      <c r="P17" s="418"/>
      <c r="R17" s="277" t="str">
        <f t="shared" si="10"/>
        <v>GUINNESS</v>
      </c>
      <c r="S17" s="474">
        <f t="shared" si="1"/>
        <v>17</v>
      </c>
      <c r="T17" s="474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474">
        <f t="shared" si="8"/>
        <v>60</v>
      </c>
    </row>
    <row r="18" spans="1:26" ht="16.5" customHeight="1">
      <c r="B18" s="34"/>
      <c r="C18" s="366"/>
      <c r="D18" s="279"/>
      <c r="E18" s="279"/>
      <c r="F18" s="278"/>
      <c r="G18" s="279"/>
      <c r="H18" s="396"/>
      <c r="I18" s="479"/>
      <c r="J18" s="479"/>
      <c r="K18" s="488"/>
      <c r="L18" s="276"/>
      <c r="M18" s="374"/>
      <c r="N18" s="370"/>
      <c r="O18" s="420"/>
      <c r="P18" s="418"/>
      <c r="R18" s="277">
        <f t="shared" si="1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6" ht="16.5" customHeight="1">
      <c r="B19" s="34"/>
      <c r="C19" s="366"/>
      <c r="D19" s="279"/>
      <c r="E19" s="279"/>
      <c r="F19" s="278"/>
      <c r="G19" s="279"/>
      <c r="H19" s="396"/>
      <c r="I19" s="479"/>
      <c r="J19" s="479"/>
      <c r="K19" s="488"/>
      <c r="L19" s="276"/>
      <c r="M19" s="374"/>
      <c r="N19" s="370"/>
      <c r="O19" s="420"/>
      <c r="P19" s="418"/>
      <c r="R19" s="277">
        <f t="shared" si="1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6" ht="16.5" hidden="1" customHeight="1">
      <c r="B20" s="34"/>
      <c r="C20" s="366"/>
      <c r="D20" s="279"/>
      <c r="E20" s="279"/>
      <c r="F20" s="278"/>
      <c r="G20" s="279"/>
      <c r="H20" s="396"/>
      <c r="I20" s="479"/>
      <c r="J20" s="479"/>
      <c r="K20" s="488"/>
      <c r="L20" s="276"/>
      <c r="M20" s="374"/>
      <c r="N20" s="370"/>
      <c r="O20" s="420"/>
      <c r="P20" s="418"/>
      <c r="R20" s="277">
        <f t="shared" si="1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6" ht="16.5" hidden="1" customHeight="1">
      <c r="B21" s="34"/>
      <c r="C21" s="366"/>
      <c r="D21" s="279"/>
      <c r="E21" s="279"/>
      <c r="F21" s="278"/>
      <c r="G21" s="279"/>
      <c r="H21" s="396"/>
      <c r="I21" s="479"/>
      <c r="J21" s="479"/>
      <c r="K21" s="488"/>
      <c r="L21" s="276"/>
      <c r="M21" s="374"/>
      <c r="N21" s="370"/>
      <c r="O21" s="420"/>
      <c r="P21" s="418"/>
      <c r="R21" s="277">
        <f t="shared" si="1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6" ht="16.5" hidden="1" customHeight="1">
      <c r="B22" s="34"/>
      <c r="C22" s="366"/>
      <c r="D22" s="279"/>
      <c r="E22" s="279"/>
      <c r="F22" s="278"/>
      <c r="G22" s="279"/>
      <c r="H22" s="396"/>
      <c r="I22" s="479"/>
      <c r="J22" s="479"/>
      <c r="K22" s="488"/>
      <c r="L22" s="276"/>
      <c r="M22" s="374"/>
      <c r="N22" s="370"/>
      <c r="O22" s="420"/>
      <c r="P22" s="418"/>
      <c r="R22" s="277">
        <f t="shared" si="1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6" ht="16.5" hidden="1" customHeight="1">
      <c r="B23" s="48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1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1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6" ht="16.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0"/>
      <c r="P25" s="418"/>
      <c r="R25" s="277">
        <f t="shared" si="1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6" ht="16.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0"/>
      <c r="P26" s="418"/>
      <c r="R26" s="277">
        <f t="shared" si="1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6" ht="18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1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6" ht="16.5" customHeight="1">
      <c r="B28" s="22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18"/>
      <c r="R28" s="277">
        <f t="shared" si="1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6" ht="15.75" customHeight="1" thickBot="1">
      <c r="B29" s="358"/>
      <c r="C29" s="358"/>
      <c r="D29" s="358"/>
      <c r="E29" s="358"/>
      <c r="F29" s="294"/>
      <c r="G29" s="294"/>
      <c r="H29" s="348"/>
      <c r="I29" s="540"/>
      <c r="J29" s="540"/>
      <c r="K29" s="540"/>
      <c r="L29" s="540"/>
      <c r="M29" s="540"/>
      <c r="N29" s="540"/>
      <c r="O29" s="1"/>
      <c r="P29" s="12"/>
      <c r="R29" s="277">
        <f t="shared" si="1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6" ht="15.75" customHeight="1" thickBot="1">
      <c r="B30" s="388" t="s">
        <v>162</v>
      </c>
      <c r="C30" s="388"/>
      <c r="D30" s="541" t="s">
        <v>35</v>
      </c>
      <c r="E30" s="542"/>
      <c r="F30" s="294"/>
      <c r="G30" s="294"/>
      <c r="H30" s="348"/>
      <c r="I30" s="24" t="s">
        <v>17</v>
      </c>
      <c r="J30" s="25"/>
      <c r="K30" s="26" t="s">
        <v>138</v>
      </c>
      <c r="L30" s="25" t="s">
        <v>37</v>
      </c>
      <c r="M30" s="25" t="s">
        <v>38</v>
      </c>
      <c r="N30" s="27" t="s">
        <v>39</v>
      </c>
      <c r="O30" s="294"/>
      <c r="P30" s="12"/>
      <c r="R30" s="277" t="str">
        <f t="shared" si="10"/>
        <v xml:space="preserve">BRAND 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</row>
    <row r="31" spans="1:26" ht="15" customHeight="1">
      <c r="A31" s="28"/>
      <c r="B31" s="543"/>
      <c r="C31" s="362"/>
      <c r="D31" s="546"/>
      <c r="E31" s="547"/>
      <c r="F31" s="294"/>
      <c r="G31" s="294"/>
      <c r="H31" s="348"/>
      <c r="I31" s="29" t="s">
        <v>6</v>
      </c>
      <c r="J31" s="280">
        <f>I10</f>
        <v>96.805164931106077</v>
      </c>
      <c r="K31" s="284">
        <f>COUNTA([4]Brewhouse!$A$42:$A$87)</f>
        <v>46</v>
      </c>
      <c r="L31" s="305">
        <f>AVERAGE([4]Brewhouse!$AU$42:$AU$87)</f>
        <v>97.991799808988361</v>
      </c>
      <c r="M31" s="305">
        <f>AVERAGE([4]Brewhouse!$AU$42:$AU$87)</f>
        <v>97.991799808988361</v>
      </c>
      <c r="N31" s="30">
        <v>98</v>
      </c>
      <c r="O31" s="11"/>
      <c r="P31" s="31"/>
      <c r="R31" s="277">
        <f t="shared" si="9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</row>
    <row r="32" spans="1:26" ht="15" customHeight="1">
      <c r="A32" s="28"/>
      <c r="B32" s="544"/>
      <c r="C32" s="362"/>
      <c r="D32" s="548"/>
      <c r="E32" s="532"/>
      <c r="F32" s="294"/>
      <c r="G32" s="294"/>
      <c r="H32" s="348"/>
      <c r="I32" s="33" t="s">
        <v>9</v>
      </c>
      <c r="J32" s="280"/>
      <c r="K32" s="284">
        <f>COUNTA([5]Brewhouse!$A$52:$A$61)</f>
        <v>10</v>
      </c>
      <c r="L32" s="302">
        <f>AVERAGE([5]Brewhouse!$AS$52:$AS$61)</f>
        <v>99.283662316813405</v>
      </c>
      <c r="M32" s="302">
        <f>AVERAGE([5]Brewhouse!$AS$52:$AS$61)</f>
        <v>99.283662316813405</v>
      </c>
      <c r="N32" s="30">
        <v>98</v>
      </c>
      <c r="O32" s="11"/>
      <c r="P32" s="31"/>
      <c r="R32" s="277">
        <f t="shared" si="9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</row>
    <row r="33" spans="1:27" ht="14.65" customHeight="1">
      <c r="A33" s="28"/>
      <c r="B33" s="544"/>
      <c r="C33" s="362"/>
      <c r="D33" s="536"/>
      <c r="E33" s="537"/>
      <c r="F33" s="294"/>
      <c r="G33" s="294"/>
      <c r="H33" s="348"/>
      <c r="I33" s="34" t="s">
        <v>12</v>
      </c>
      <c r="J33" s="280">
        <f>AVERAGE(I12:I17)</f>
        <v>98.135282005283884</v>
      </c>
      <c r="K33" s="284">
        <f>COUNTA([3]Brewhouse!$A$16:$A$21)</f>
        <v>6</v>
      </c>
      <c r="L33" s="302">
        <f>AVERAGE([3]Brewhouse!$AU$16:$AU$21)</f>
        <v>98.135282005283884</v>
      </c>
      <c r="M33" s="302">
        <f>AVERAGE([3]Brewhouse!$AU$16:$AU$21)</f>
        <v>98.135282005283884</v>
      </c>
      <c r="N33" s="30">
        <v>98</v>
      </c>
      <c r="O33" s="11"/>
      <c r="P33" s="31"/>
      <c r="R33" s="277">
        <f t="shared" si="9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</row>
    <row r="34" spans="1:27" ht="14.65" customHeight="1">
      <c r="A34" s="28"/>
      <c r="B34" s="544"/>
      <c r="C34" s="362"/>
      <c r="D34" s="531"/>
      <c r="E34" s="532"/>
      <c r="F34" s="294"/>
      <c r="G34" s="294"/>
      <c r="H34" s="348"/>
      <c r="I34" s="22" t="s">
        <v>33</v>
      </c>
      <c r="J34" s="280"/>
      <c r="K34" s="284">
        <f>COUNTA([6]Brewhouse!$A$23:$A$26)</f>
        <v>4</v>
      </c>
      <c r="L34" s="302">
        <f>AVERAGE([6]Brewhouse!$AV$23:$AV$26)</f>
        <v>98.342483899212951</v>
      </c>
      <c r="M34" s="302">
        <f>AVERAGE([6]Brewhouse!$AV$23:$AV$26)</f>
        <v>98.342483899212951</v>
      </c>
      <c r="N34" s="30">
        <v>98</v>
      </c>
      <c r="O34" s="11"/>
      <c r="P34" s="31"/>
      <c r="R34" s="277">
        <f t="shared" si="9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</row>
    <row r="35" spans="1:27" ht="14.65" customHeight="1">
      <c r="A35" s="28"/>
      <c r="B35" s="544"/>
      <c r="C35" s="362"/>
      <c r="D35" s="536"/>
      <c r="E35" s="537"/>
      <c r="F35" s="417"/>
      <c r="G35" s="294"/>
      <c r="H35" s="348"/>
      <c r="I35" s="35" t="s">
        <v>29</v>
      </c>
      <c r="J35" s="280"/>
      <c r="K35" s="284"/>
      <c r="L35" s="302"/>
      <c r="M35" s="302"/>
      <c r="N35" s="30">
        <v>98</v>
      </c>
      <c r="O35" s="11"/>
      <c r="P35" s="31"/>
      <c r="R35" s="277">
        <f t="shared" si="9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</row>
    <row r="36" spans="1:27" ht="14.65" customHeight="1">
      <c r="A36" s="28"/>
      <c r="B36" s="544"/>
      <c r="C36" s="362"/>
      <c r="D36" s="531"/>
      <c r="E36" s="532"/>
      <c r="F36" s="417"/>
      <c r="G36" s="294"/>
      <c r="H36" s="348"/>
      <c r="I36" s="36" t="s">
        <v>15</v>
      </c>
      <c r="J36" s="323"/>
      <c r="K36" s="284">
        <f>COUNTA([7]Brewhouse!$A$13:$A$20)</f>
        <v>8</v>
      </c>
      <c r="L36" s="302" t="e">
        <f>AVERAGE([7]Brewhouse!$AT$13:$AT$20)</f>
        <v>#DIV/0!</v>
      </c>
      <c r="M36" s="302" t="e">
        <f>AVERAGE([7]Brewhouse!$AT$13:$AT$20)</f>
        <v>#DIV/0!</v>
      </c>
      <c r="N36" s="30">
        <v>98</v>
      </c>
      <c r="O36" s="11"/>
      <c r="P36" s="31"/>
      <c r="R36" s="277">
        <f t="shared" si="9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27" ht="14.65" customHeight="1">
      <c r="A37" s="28"/>
      <c r="B37" s="544"/>
      <c r="C37" s="362"/>
      <c r="D37" s="536"/>
      <c r="E37" s="537"/>
      <c r="F37" s="417"/>
      <c r="G37" s="294"/>
      <c r="H37" s="348"/>
      <c r="I37" s="37" t="s">
        <v>16</v>
      </c>
      <c r="J37" s="323"/>
      <c r="K37" s="284">
        <f>COUNTA([8]Brewhouse!$A$5:$A$7)</f>
        <v>3</v>
      </c>
      <c r="L37" s="302">
        <f>AVERAGE([8]Brewhouse!$AY$5:$AY$7)</f>
        <v>98.128633252159673</v>
      </c>
      <c r="M37" s="302">
        <f>AVERAGE([8]Brewhouse!$AY$5:$AY$7)</f>
        <v>98.128633252159673</v>
      </c>
      <c r="N37" s="30">
        <v>98</v>
      </c>
      <c r="O37" s="11"/>
      <c r="P37" s="31" t="s">
        <v>41</v>
      </c>
      <c r="R37" s="277">
        <f t="shared" si="9"/>
        <v>0</v>
      </c>
      <c r="S37" s="474" t="e">
        <f t="shared" si="1"/>
        <v>#N/A</v>
      </c>
      <c r="T37" s="474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4" t="e">
        <f t="shared" si="8"/>
        <v>#N/A</v>
      </c>
      <c r="AA37" s="474"/>
    </row>
    <row r="38" spans="1:27" ht="14.65" customHeight="1">
      <c r="A38" s="28"/>
      <c r="B38" s="544"/>
      <c r="C38" s="362"/>
      <c r="D38" s="531"/>
      <c r="E38" s="532"/>
      <c r="F38" s="294"/>
      <c r="G38" s="294"/>
      <c r="H38" s="348"/>
      <c r="I38" s="411" t="s">
        <v>158</v>
      </c>
      <c r="J38" s="326"/>
      <c r="K38" s="284"/>
      <c r="L38" s="305"/>
      <c r="M38" s="305"/>
      <c r="N38" s="30">
        <v>98</v>
      </c>
      <c r="O38" s="11"/>
      <c r="P38" s="31"/>
      <c r="R38" s="277">
        <f t="shared" si="9"/>
        <v>0</v>
      </c>
      <c r="S38" s="474" t="e">
        <f t="shared" si="1"/>
        <v>#N/A</v>
      </c>
      <c r="T38" s="474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4" t="e">
        <f t="shared" si="8"/>
        <v>#N/A</v>
      </c>
      <c r="AA38" s="474"/>
    </row>
    <row r="39" spans="1:27" ht="14.65" customHeight="1">
      <c r="A39" s="28"/>
      <c r="B39" s="544"/>
      <c r="C39" s="349"/>
      <c r="D39" s="536"/>
      <c r="E39" s="537"/>
      <c r="F39" s="294"/>
      <c r="G39" s="294"/>
      <c r="H39" s="348"/>
      <c r="I39" s="410" t="s">
        <v>157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9"/>
        <v>0</v>
      </c>
      <c r="S39" s="474" t="e">
        <f t="shared" si="1"/>
        <v>#N/A</v>
      </c>
      <c r="T39" s="474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474" t="e">
        <f t="shared" si="8"/>
        <v>#N/A</v>
      </c>
      <c r="AA39" s="474"/>
    </row>
    <row r="40" spans="1:27" ht="15" customHeight="1" thickBot="1">
      <c r="A40" s="28"/>
      <c r="B40" s="544"/>
      <c r="C40" s="349"/>
      <c r="D40" s="531"/>
      <c r="E40" s="532"/>
      <c r="F40" s="294"/>
      <c r="G40" s="294"/>
      <c r="H40" s="348"/>
      <c r="I40" s="406" t="s">
        <v>156</v>
      </c>
      <c r="J40" s="327"/>
      <c r="K40" s="407"/>
      <c r="L40" s="408"/>
      <c r="M40" s="408"/>
      <c r="N40" s="409">
        <v>98</v>
      </c>
      <c r="O40" s="11"/>
      <c r="P40" s="31"/>
      <c r="R40" s="277">
        <f t="shared" si="9"/>
        <v>0</v>
      </c>
      <c r="S40" s="474" t="e">
        <f t="shared" si="1"/>
        <v>#N/A</v>
      </c>
      <c r="T40" s="474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474" t="e">
        <f t="shared" si="8"/>
        <v>#N/A</v>
      </c>
      <c r="AA40" s="474"/>
    </row>
    <row r="41" spans="1:27" ht="15" customHeight="1" thickBot="1">
      <c r="A41" s="28"/>
      <c r="B41" s="544"/>
      <c r="C41" s="349"/>
      <c r="D41" s="546"/>
      <c r="E41" s="547"/>
      <c r="F41" s="294"/>
      <c r="G41" s="294"/>
      <c r="H41" s="348"/>
      <c r="I41" s="1"/>
      <c r="J41" s="39"/>
      <c r="K41" s="404">
        <f>SUM(K31:K40)</f>
        <v>77</v>
      </c>
      <c r="L41" s="405" t="e">
        <f>((L31*K31)+(L32*K32)+(L33*K33)+(L34*K34)+(L35*K35)+(K38*L38)+(L36*K36)+(L37*K37)+(L40*K40))/(K41)</f>
        <v>#DIV/0!</v>
      </c>
      <c r="M41" s="405" t="e">
        <f>L41</f>
        <v>#DIV/0!</v>
      </c>
      <c r="N41" s="40">
        <v>98</v>
      </c>
      <c r="O41" s="11"/>
      <c r="P41" s="31"/>
      <c r="R41" s="277">
        <f t="shared" si="9"/>
        <v>0</v>
      </c>
      <c r="S41" s="474" t="e">
        <f t="shared" si="1"/>
        <v>#N/A</v>
      </c>
      <c r="T41" s="474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474" t="e">
        <f t="shared" si="8"/>
        <v>#N/A</v>
      </c>
      <c r="AA41" s="474"/>
    </row>
    <row r="42" spans="1:27" ht="15.75" thickBot="1">
      <c r="B42" s="545"/>
      <c r="C42" s="350"/>
      <c r="D42" s="548"/>
      <c r="E42" s="532"/>
      <c r="F42" s="294"/>
      <c r="G42" s="42"/>
      <c r="H42" s="41"/>
      <c r="I42" s="42"/>
      <c r="J42" s="42"/>
      <c r="K42" s="351"/>
      <c r="L42" s="348"/>
      <c r="M42" s="348"/>
      <c r="N42" s="11"/>
      <c r="O42" s="294"/>
      <c r="P42" s="12"/>
      <c r="R42" s="277">
        <f t="shared" si="9"/>
        <v>0</v>
      </c>
      <c r="S42" s="474" t="e">
        <f t="shared" si="1"/>
        <v>#N/A</v>
      </c>
      <c r="T42" s="474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474" t="e">
        <f t="shared" si="8"/>
        <v>#N/A</v>
      </c>
      <c r="AA42" s="474"/>
    </row>
    <row r="43" spans="1:27" ht="15.75" thickBot="1">
      <c r="B43" s="526"/>
      <c r="C43" s="362"/>
      <c r="D43" s="529"/>
      <c r="E43" s="530"/>
      <c r="F43" s="294"/>
      <c r="G43" s="42"/>
      <c r="H43" s="41"/>
      <c r="I43" s="42"/>
      <c r="J43" s="533" t="s">
        <v>129</v>
      </c>
      <c r="K43" s="533"/>
      <c r="L43" s="294"/>
      <c r="M43" s="294"/>
      <c r="N43" s="294"/>
      <c r="O43" s="294"/>
      <c r="P43" s="12"/>
    </row>
    <row r="44" spans="1:27" ht="15.75" thickBot="1">
      <c r="B44" s="527"/>
      <c r="C44" s="362"/>
      <c r="D44" s="531"/>
      <c r="E44" s="532"/>
      <c r="F44" s="294"/>
      <c r="G44" s="42"/>
      <c r="H44" s="42"/>
      <c r="I44" s="42"/>
      <c r="J44" s="292" t="s">
        <v>17</v>
      </c>
      <c r="K44" s="293" t="s">
        <v>147</v>
      </c>
      <c r="L44" s="534" t="s">
        <v>136</v>
      </c>
      <c r="M44" s="534"/>
      <c r="N44" s="535"/>
      <c r="O44" s="294"/>
      <c r="P44" s="12"/>
    </row>
    <row r="45" spans="1:27" ht="15" customHeight="1" thickBot="1">
      <c r="B45" s="527"/>
      <c r="C45" s="349"/>
      <c r="D45" s="536"/>
      <c r="E45" s="537"/>
      <c r="F45" s="294"/>
      <c r="G45" s="42"/>
      <c r="H45" s="42"/>
      <c r="I45" s="42"/>
      <c r="J45" s="287" t="s">
        <v>6</v>
      </c>
      <c r="K45" s="324">
        <v>1</v>
      </c>
      <c r="L45" s="475" t="s">
        <v>37</v>
      </c>
      <c r="M45" s="476" t="s">
        <v>38</v>
      </c>
      <c r="N45" s="476" t="s">
        <v>84</v>
      </c>
      <c r="O45" s="294"/>
      <c r="P45" s="12"/>
    </row>
    <row r="46" spans="1:27" ht="15.75" customHeight="1" thickBot="1">
      <c r="B46" s="527"/>
      <c r="C46" s="349"/>
      <c r="D46" s="531"/>
      <c r="E46" s="532"/>
      <c r="F46" s="294"/>
      <c r="G46" s="42"/>
      <c r="H46" s="42"/>
      <c r="I46" s="42"/>
      <c r="J46" s="345" t="s">
        <v>9</v>
      </c>
      <c r="K46" s="324"/>
      <c r="L46" s="344">
        <f>AVERAGE('Jan 2nd'!K45,'Jan 5th'!K45,'Jan 6th'!K49,'Jan 7th'!K49,'Jan 8th '!K44,'Jan 9th-10th'!J58,'Jan 9th-10th'!K58,'Jan12th '!K50,Jan13th!K45,Jan14th!K53,Jan15th!K50,K55,'Jan16-18th'!I53,'Jan16-18th'!J53,'Jan16-18th'!K53)</f>
        <v>5.6</v>
      </c>
      <c r="M46" s="325">
        <f>AVERAGE(L46)</f>
        <v>5.6</v>
      </c>
      <c r="N46" s="416">
        <v>9.1999999999999993</v>
      </c>
      <c r="O46" s="294"/>
      <c r="P46" s="12"/>
    </row>
    <row r="47" spans="1:27" ht="15" customHeight="1">
      <c r="B47" s="527"/>
      <c r="C47" s="349"/>
      <c r="D47" s="536"/>
      <c r="E47" s="537"/>
      <c r="F47" s="294"/>
      <c r="G47" s="42"/>
      <c r="H47" s="42"/>
      <c r="I47" s="42"/>
      <c r="J47" s="288" t="s">
        <v>40</v>
      </c>
      <c r="K47" s="324">
        <v>6</v>
      </c>
      <c r="L47" s="294"/>
      <c r="M47" s="294"/>
      <c r="N47" s="294"/>
      <c r="O47" s="294"/>
      <c r="P47" s="12"/>
    </row>
    <row r="48" spans="1:27" ht="15" customHeight="1">
      <c r="B48" s="527"/>
      <c r="C48" s="349"/>
      <c r="D48" s="531"/>
      <c r="E48" s="532"/>
      <c r="F48" s="294"/>
      <c r="G48" s="42"/>
      <c r="H48" s="42"/>
      <c r="I48" s="42"/>
      <c r="J48" s="289" t="s">
        <v>33</v>
      </c>
      <c r="K48" s="324"/>
      <c r="L48" s="294"/>
      <c r="M48" s="294"/>
      <c r="N48" s="294"/>
      <c r="O48" s="294"/>
      <c r="P48" s="12"/>
    </row>
    <row r="49" spans="1:57" ht="15">
      <c r="B49" s="527"/>
      <c r="C49" s="349"/>
      <c r="D49" s="536"/>
      <c r="E49" s="537"/>
      <c r="F49" s="294"/>
      <c r="G49" s="42"/>
      <c r="H49" s="42"/>
      <c r="I49" s="42"/>
      <c r="J49" s="290" t="s">
        <v>16</v>
      </c>
      <c r="K49" s="324"/>
      <c r="L49" s="294"/>
      <c r="M49" s="294"/>
      <c r="N49" s="294"/>
      <c r="O49" s="294"/>
      <c r="P49" s="12"/>
      <c r="BC49" s="44"/>
      <c r="BD49" s="44"/>
    </row>
    <row r="50" spans="1:57" ht="15">
      <c r="B50" s="527"/>
      <c r="C50" s="349"/>
      <c r="D50" s="531"/>
      <c r="E50" s="532"/>
      <c r="F50" s="294"/>
      <c r="G50" s="42"/>
      <c r="H50" s="42"/>
      <c r="I50" s="42"/>
      <c r="J50" s="291" t="s">
        <v>15</v>
      </c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7"/>
      <c r="C51" s="349"/>
      <c r="D51" s="536"/>
      <c r="E51" s="537"/>
      <c r="F51" s="294"/>
      <c r="G51" s="42"/>
      <c r="H51" s="42"/>
      <c r="I51" s="42"/>
      <c r="J51" s="291" t="s">
        <v>149</v>
      </c>
      <c r="K51" s="324"/>
      <c r="L51" s="294"/>
      <c r="M51" s="294"/>
      <c r="N51" s="294"/>
      <c r="O51" s="294"/>
      <c r="P51" s="12"/>
      <c r="BC51" s="44"/>
      <c r="BD51" s="44"/>
    </row>
    <row r="52" spans="1:57" ht="15.75" thickBot="1">
      <c r="B52" s="528"/>
      <c r="C52" s="350"/>
      <c r="D52" s="538"/>
      <c r="E52" s="539"/>
      <c r="F52" s="294" t="s">
        <v>166</v>
      </c>
      <c r="G52" s="42"/>
      <c r="H52" s="42"/>
      <c r="I52" s="42"/>
      <c r="J52" s="291" t="s">
        <v>148</v>
      </c>
      <c r="K52" s="324"/>
      <c r="L52" s="294"/>
      <c r="M52" s="294"/>
      <c r="N52" s="294" t="s">
        <v>41</v>
      </c>
      <c r="O52" s="294"/>
      <c r="P52" s="12"/>
      <c r="BC52" s="44"/>
      <c r="BD52" s="44"/>
    </row>
    <row r="53" spans="1:57" ht="17.649999999999999" customHeight="1" thickBot="1">
      <c r="B53" s="312" t="s">
        <v>139</v>
      </c>
      <c r="C53" s="313"/>
      <c r="D53" s="519"/>
      <c r="E53" s="520"/>
      <c r="F53" s="294"/>
      <c r="J53" s="295" t="s">
        <v>134</v>
      </c>
      <c r="K53" s="324"/>
      <c r="L53" s="294"/>
      <c r="M53" s="294"/>
      <c r="N53" s="294"/>
      <c r="O53" s="294"/>
      <c r="P53" s="12"/>
      <c r="BC53" s="44"/>
      <c r="BD53" s="44"/>
    </row>
    <row r="54" spans="1:57" ht="17.649999999999999" customHeight="1">
      <c r="B54" s="363"/>
      <c r="C54" s="364"/>
      <c r="D54" s="365"/>
      <c r="E54" s="365"/>
      <c r="F54" s="294"/>
      <c r="G54" s="42"/>
      <c r="H54" s="42"/>
      <c r="I54" s="42"/>
      <c r="J54" s="295" t="s">
        <v>131</v>
      </c>
      <c r="K54" s="324"/>
      <c r="L54" s="294"/>
      <c r="M54" s="294"/>
      <c r="N54" s="294"/>
      <c r="O54" s="294"/>
      <c r="P54" s="12"/>
      <c r="BC54" s="44"/>
      <c r="BD54" s="44"/>
    </row>
    <row r="55" spans="1:57" ht="15.6" customHeight="1">
      <c r="B55" s="45"/>
      <c r="C55" s="11"/>
      <c r="D55" s="11"/>
      <c r="E55" s="46"/>
      <c r="F55" s="294"/>
      <c r="G55" s="42"/>
      <c r="H55" s="42"/>
      <c r="I55" s="42"/>
      <c r="J55" s="346" t="s">
        <v>130</v>
      </c>
      <c r="K55" s="324">
        <f>SUM(K45:K54)</f>
        <v>7</v>
      </c>
      <c r="L55" s="294"/>
      <c r="M55" s="294"/>
      <c r="N55" s="294"/>
      <c r="O55" s="294"/>
      <c r="P55" s="12"/>
    </row>
    <row r="56" spans="1:57" ht="20.25" customHeight="1">
      <c r="B56" s="15" t="s">
        <v>42</v>
      </c>
      <c r="C56" s="1" t="s">
        <v>43</v>
      </c>
      <c r="D56" s="1"/>
      <c r="E56" s="1"/>
      <c r="F56" s="294"/>
      <c r="G56" s="42"/>
      <c r="H56" s="41"/>
      <c r="L56" s="294"/>
      <c r="N56" s="315"/>
      <c r="P56" s="334"/>
    </row>
    <row r="57" spans="1:57" ht="15" customHeight="1" thickBot="1"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1"/>
      <c r="O57" s="48"/>
      <c r="P57" s="49"/>
    </row>
    <row r="58" spans="1:57" ht="15" customHeight="1" thickBot="1">
      <c r="B58" s="511" t="s">
        <v>17</v>
      </c>
      <c r="C58" s="511" t="s">
        <v>44</v>
      </c>
      <c r="D58" s="522" t="s">
        <v>45</v>
      </c>
      <c r="E58" s="524" t="s">
        <v>46</v>
      </c>
      <c r="F58" s="517" t="s">
        <v>47</v>
      </c>
      <c r="G58" s="509" t="s">
        <v>48</v>
      </c>
      <c r="H58" s="511" t="s">
        <v>49</v>
      </c>
      <c r="I58" s="511" t="s">
        <v>50</v>
      </c>
      <c r="J58" s="503" t="s">
        <v>28</v>
      </c>
      <c r="K58" s="513" t="s">
        <v>51</v>
      </c>
      <c r="L58" s="515" t="s">
        <v>52</v>
      </c>
      <c r="M58" s="503" t="s">
        <v>53</v>
      </c>
      <c r="N58" s="13"/>
      <c r="O58" s="13"/>
      <c r="P58" s="50"/>
    </row>
    <row r="59" spans="1:57" ht="28.5" customHeight="1" thickTop="1" thickBot="1">
      <c r="B59" s="512"/>
      <c r="C59" s="521"/>
      <c r="D59" s="523"/>
      <c r="E59" s="525"/>
      <c r="F59" s="518"/>
      <c r="G59" s="510"/>
      <c r="H59" s="512"/>
      <c r="I59" s="512"/>
      <c r="J59" s="504"/>
      <c r="K59" s="514"/>
      <c r="L59" s="516"/>
      <c r="M59" s="504"/>
      <c r="N59" s="13"/>
      <c r="O59" s="13"/>
      <c r="P59" s="50"/>
      <c r="Q59" s="355"/>
      <c r="AB59" s="477">
        <v>43474</v>
      </c>
      <c r="AC59" s="477">
        <v>43475</v>
      </c>
      <c r="AD59" s="477">
        <v>43476</v>
      </c>
      <c r="AE59" s="477">
        <v>43477</v>
      </c>
      <c r="AF59" s="477">
        <v>43478</v>
      </c>
      <c r="AG59" s="477">
        <v>43479</v>
      </c>
      <c r="AH59" s="477">
        <v>43480</v>
      </c>
      <c r="AI59" s="477">
        <v>43481</v>
      </c>
      <c r="AJ59" s="477">
        <v>43482</v>
      </c>
      <c r="AK59" s="477">
        <v>43483</v>
      </c>
      <c r="AL59" s="477">
        <v>43484</v>
      </c>
      <c r="AM59" s="477">
        <v>43485</v>
      </c>
      <c r="AN59" s="477">
        <v>43486</v>
      </c>
      <c r="AO59" s="477">
        <v>43487</v>
      </c>
      <c r="AP59" s="477">
        <v>43488</v>
      </c>
      <c r="AQ59" s="477">
        <v>43489</v>
      </c>
      <c r="AR59" s="477">
        <v>43490</v>
      </c>
      <c r="AS59" s="477">
        <v>43491</v>
      </c>
      <c r="AT59" s="477">
        <v>43492</v>
      </c>
      <c r="AU59" s="477">
        <v>43493</v>
      </c>
      <c r="AV59" s="477">
        <v>43494</v>
      </c>
      <c r="AW59" s="477">
        <v>43495</v>
      </c>
      <c r="AX59" s="477">
        <v>43496</v>
      </c>
    </row>
    <row r="60" spans="1:57" s="54" customFormat="1" ht="37.15" customHeight="1" thickBot="1">
      <c r="B60" s="496" t="str">
        <f>'Jan16-18th'!H43</f>
        <v>CARIB</v>
      </c>
      <c r="C60" s="495">
        <v>46041</v>
      </c>
      <c r="D60" s="442">
        <f>[28]January_2026!$V$3</f>
        <v>107.5</v>
      </c>
      <c r="E60" s="443"/>
      <c r="F60" s="444"/>
      <c r="G60" s="445">
        <f>[28]January_2026!$V$7</f>
        <v>77</v>
      </c>
      <c r="H60" s="446"/>
      <c r="I60" s="447"/>
      <c r="J60" s="448" t="s">
        <v>203</v>
      </c>
      <c r="K60" s="449">
        <f>[29]January_2026!$U$18</f>
        <v>0.13508771929824562</v>
      </c>
      <c r="L60" s="457">
        <f>(((D60+E60)-G60)/(D60+E60))*100</f>
        <v>28.372093023255811</v>
      </c>
      <c r="M60" s="455" t="s">
        <v>201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4.25" customHeight="1" thickBot="1">
      <c r="B61" s="496"/>
      <c r="C61" s="495"/>
      <c r="D61" s="442"/>
      <c r="E61" s="443"/>
      <c r="F61" s="444"/>
      <c r="G61" s="445"/>
      <c r="H61" s="446"/>
      <c r="I61" s="447"/>
      <c r="J61" s="47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 thickBot="1">
      <c r="A62" s="54" t="s">
        <v>187</v>
      </c>
      <c r="B62" s="496" t="str">
        <f>J45</f>
        <v>CARIB</v>
      </c>
      <c r="C62" s="495">
        <v>46041</v>
      </c>
      <c r="D62" s="442">
        <f>[28]January_2026!$W$3</f>
        <v>203.89999999999998</v>
      </c>
      <c r="E62" s="443"/>
      <c r="F62" s="444"/>
      <c r="G62" s="445" t="e">
        <f>[28]January_2026!$W$7</f>
        <v>#REF!</v>
      </c>
      <c r="H62" s="446"/>
      <c r="I62" s="447"/>
      <c r="J62" s="448" t="s">
        <v>209</v>
      </c>
      <c r="K62" s="449" t="e">
        <f>[29]January_2026!$V$18</f>
        <v>#REF!</v>
      </c>
      <c r="L62" s="457" t="e">
        <f>(((D62+E62)-G62)/(D62+E62))*100</f>
        <v>#REF!</v>
      </c>
      <c r="M62" s="455" t="s">
        <v>208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>
        <f>[9]January_2019!L7</f>
        <v>285.8</v>
      </c>
      <c r="AC62" s="57">
        <f>[9]January_2019!M7</f>
        <v>508.1</v>
      </c>
      <c r="AD62" s="57">
        <f>[9]January_2019!N7</f>
        <v>0</v>
      </c>
      <c r="AE62" s="57">
        <f>[9]January_2019!O7</f>
        <v>0</v>
      </c>
      <c r="AF62" s="57">
        <f>[9]January_2019!P7</f>
        <v>109.56666666666666</v>
      </c>
      <c r="AG62" s="57">
        <f>[9]January_2019!Q7</f>
        <v>297.64999999999998</v>
      </c>
      <c r="AH62" s="57">
        <f>[9]January_2019!R7</f>
        <v>122.3</v>
      </c>
      <c r="AI62" s="57">
        <f>[9]January_2019!S7</f>
        <v>0</v>
      </c>
      <c r="AJ62" s="57">
        <f>[9]January_2019!T7</f>
        <v>294.7</v>
      </c>
      <c r="AK62" s="57">
        <f>[9]January_2019!U7</f>
        <v>280.5</v>
      </c>
      <c r="AL62" s="57">
        <f>[9]January_2019!V7</f>
        <v>0</v>
      </c>
      <c r="AM62" s="57">
        <f>[9]January_2019!W7</f>
        <v>0</v>
      </c>
      <c r="AN62" s="57">
        <f>[9]January_2019!X7</f>
        <v>188.25</v>
      </c>
      <c r="AO62" s="57">
        <f>[9]January_2019!Y7</f>
        <v>295.7</v>
      </c>
      <c r="AP62" s="57">
        <f>[9]January_2019!Z7</f>
        <v>257.8</v>
      </c>
      <c r="AQ62" s="57">
        <f>[9]January_2019!AA7</f>
        <v>291.2</v>
      </c>
      <c r="AR62" s="57">
        <f>[9]January_2019!AB7</f>
        <v>187</v>
      </c>
      <c r="AS62" s="57">
        <f>[9]January_2019!AC7</f>
        <v>0</v>
      </c>
      <c r="AT62" s="57">
        <f>[9]January_2019!AD7</f>
        <v>0</v>
      </c>
      <c r="AU62" s="57">
        <f>[9]January_2019!AE7</f>
        <v>485.1</v>
      </c>
      <c r="AV62" s="57">
        <f>[9]January_2019!AF7</f>
        <v>171.55</v>
      </c>
      <c r="AW62" s="57">
        <f>[9]January_2019!AG7</f>
        <v>423.8</v>
      </c>
      <c r="AX62" s="277">
        <f>[9]January_2019!AH7</f>
        <v>0</v>
      </c>
      <c r="AY62" s="277"/>
      <c r="AZ62" s="277"/>
      <c r="BA62" s="277"/>
      <c r="BB62" s="277"/>
      <c r="BC62" s="277"/>
      <c r="BD62" s="277"/>
      <c r="BE62" s="277"/>
    </row>
    <row r="63" spans="1:57" s="54" customFormat="1" ht="19.5" customHeight="1" thickBot="1">
      <c r="B63" s="494"/>
      <c r="C63" s="430"/>
      <c r="D63" s="431"/>
      <c r="E63" s="432"/>
      <c r="F63" s="433"/>
      <c r="G63" s="434"/>
      <c r="H63" s="428"/>
      <c r="I63" s="428"/>
      <c r="J63" s="451"/>
      <c r="K63" s="436"/>
      <c r="L63" s="452"/>
      <c r="M63" s="421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8.450000000000003" customHeight="1" thickBot="1">
      <c r="B64" s="497" t="str">
        <f>J46</f>
        <v>STAG</v>
      </c>
      <c r="C64" s="495">
        <v>46041</v>
      </c>
      <c r="D64" s="442">
        <f>[28]January_2026!$V$13</f>
        <v>394.19000000000005</v>
      </c>
      <c r="E64" s="443"/>
      <c r="F64" s="444"/>
      <c r="G64" s="445" t="e">
        <f>[28]January_2026!$V$17</f>
        <v>#REF!</v>
      </c>
      <c r="H64" s="458"/>
      <c r="I64" s="458"/>
      <c r="J64" s="448" t="s">
        <v>150</v>
      </c>
      <c r="K64" s="460" t="e">
        <f>[29]January_2026!$V$25</f>
        <v>#REF!</v>
      </c>
      <c r="L64" s="457" t="e">
        <f>(((D64+E64)-G64)/(D64+E64))*100</f>
        <v>#REF!</v>
      </c>
      <c r="M64" s="455" t="s">
        <v>207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15.75" hidden="1" thickBot="1">
      <c r="B65" s="453"/>
      <c r="C65" s="430"/>
      <c r="D65" s="431"/>
      <c r="E65" s="432"/>
      <c r="F65" s="433"/>
      <c r="G65" s="434"/>
      <c r="H65" s="435"/>
      <c r="I65" s="450"/>
      <c r="J65" s="451"/>
      <c r="K65" s="436"/>
      <c r="L65" s="452"/>
      <c r="M65" s="421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hidden="1" customHeight="1" thickBot="1">
      <c r="B66" s="496"/>
      <c r="C66" s="495"/>
      <c r="D66" s="442"/>
      <c r="E66" s="443"/>
      <c r="F66" s="444"/>
      <c r="G66" s="445"/>
      <c r="H66" s="446"/>
      <c r="I66" s="447"/>
      <c r="J66" s="448"/>
      <c r="K66" s="449"/>
      <c r="L66" s="457"/>
      <c r="M66" s="455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16.5" hidden="1" customHeight="1" thickBot="1">
      <c r="B67" s="437"/>
      <c r="C67" s="423"/>
      <c r="D67" s="424"/>
      <c r="E67" s="425"/>
      <c r="F67" s="426"/>
      <c r="G67" s="427"/>
      <c r="H67" s="428"/>
      <c r="I67" s="438"/>
      <c r="J67" s="439"/>
      <c r="K67" s="429"/>
      <c r="L67" s="440"/>
      <c r="M67" s="422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5"/>
      <c r="AC67" s="415"/>
      <c r="AD67" s="415"/>
      <c r="AE67" s="415"/>
      <c r="AF67" s="415"/>
      <c r="AG67" s="415"/>
      <c r="AH67" s="415"/>
      <c r="AI67" s="415"/>
      <c r="AJ67" s="415"/>
      <c r="AK67" s="415"/>
      <c r="AL67" s="415"/>
      <c r="AM67" s="415"/>
      <c r="AN67" s="415"/>
      <c r="AO67" s="415"/>
      <c r="AP67" s="415"/>
      <c r="AQ67" s="415"/>
      <c r="AR67" s="415"/>
      <c r="AS67" s="415"/>
      <c r="AT67" s="415"/>
      <c r="AU67" s="415"/>
      <c r="AV67" s="415"/>
      <c r="AW67" s="415"/>
    </row>
    <row r="68" spans="2:57" s="54" customFormat="1" ht="37.15" hidden="1" customHeight="1" thickBot="1">
      <c r="B68" s="456"/>
      <c r="C68" s="441"/>
      <c r="D68" s="442"/>
      <c r="E68" s="443"/>
      <c r="F68" s="444"/>
      <c r="G68" s="445"/>
      <c r="H68" s="446"/>
      <c r="I68" s="447"/>
      <c r="J68" s="448"/>
      <c r="K68" s="449"/>
      <c r="L68" s="457"/>
      <c r="M68" s="454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T68" s="57"/>
      <c r="AU68" s="57"/>
      <c r="AV68" s="57"/>
      <c r="AW68" s="57"/>
      <c r="AX68" s="277"/>
      <c r="AY68" s="277"/>
      <c r="AZ68" s="277"/>
      <c r="BA68" s="277"/>
      <c r="BB68" s="277"/>
      <c r="BC68" s="277"/>
      <c r="BD68" s="277"/>
      <c r="BE68" s="277"/>
    </row>
    <row r="69" spans="2:57" s="54" customFormat="1" ht="37.15" customHeight="1">
      <c r="B69" s="467"/>
      <c r="C69" s="430"/>
      <c r="D69" s="461"/>
      <c r="E69" s="462"/>
      <c r="F69" s="463"/>
      <c r="G69" s="461"/>
      <c r="H69" s="464"/>
      <c r="I69" s="464"/>
      <c r="J69" s="464"/>
      <c r="K69" s="465"/>
      <c r="L69" s="466"/>
      <c r="M69" s="50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ht="18" customHeight="1" thickBot="1">
      <c r="B70" s="59"/>
      <c r="C70" s="30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 t="s">
        <v>41</v>
      </c>
      <c r="O70" s="56"/>
      <c r="P70" s="60"/>
    </row>
    <row r="71" spans="2:57" ht="15.75" thickBot="1">
      <c r="B71" s="505" t="s">
        <v>55</v>
      </c>
      <c r="C71" s="506"/>
      <c r="D71" s="506"/>
      <c r="E71" s="506"/>
      <c r="F71" s="507"/>
      <c r="G71" s="505" t="s">
        <v>56</v>
      </c>
      <c r="H71" s="506"/>
      <c r="I71" s="506"/>
      <c r="J71" s="507"/>
      <c r="K71" s="505" t="s">
        <v>51</v>
      </c>
      <c r="L71" s="506"/>
      <c r="M71" s="506"/>
      <c r="N71" s="508"/>
      <c r="O71" s="56"/>
      <c r="P71" s="50"/>
    </row>
    <row r="72" spans="2:57" ht="15">
      <c r="B72" s="61" t="s">
        <v>17</v>
      </c>
      <c r="C72" s="62" t="s">
        <v>36</v>
      </c>
      <c r="D72" s="62" t="s">
        <v>37</v>
      </c>
      <c r="E72" s="62" t="s">
        <v>38</v>
      </c>
      <c r="F72" s="63" t="s">
        <v>39</v>
      </c>
      <c r="G72" s="62" t="s">
        <v>36</v>
      </c>
      <c r="H72" s="62" t="s">
        <v>37</v>
      </c>
      <c r="I72" s="62" t="s">
        <v>38</v>
      </c>
      <c r="J72" s="63" t="s">
        <v>39</v>
      </c>
      <c r="K72" s="62" t="s">
        <v>36</v>
      </c>
      <c r="L72" s="62" t="s">
        <v>37</v>
      </c>
      <c r="M72" s="62" t="s">
        <v>38</v>
      </c>
      <c r="N72" s="63" t="s">
        <v>39</v>
      </c>
      <c r="O72" s="56"/>
      <c r="P72" s="64"/>
    </row>
    <row r="73" spans="2:57" ht="15">
      <c r="B73" s="29" t="s">
        <v>6</v>
      </c>
      <c r="C73" s="282" t="e">
        <f>AVERAGE(L60,L62)</f>
        <v>#REF!</v>
      </c>
      <c r="D73" s="76">
        <v>10.90066608746017</v>
      </c>
      <c r="E73" s="76">
        <v>10.90066608746017</v>
      </c>
      <c r="F73" s="66">
        <v>4.8</v>
      </c>
      <c r="G73" s="65" t="e">
        <f>AVERAGE([28]January_2026!$V$11:$W$11)</f>
        <v>#REF!</v>
      </c>
      <c r="H73" s="480">
        <v>10.197758641162071</v>
      </c>
      <c r="I73" s="480">
        <v>10.197758641162071</v>
      </c>
      <c r="J73" s="66">
        <v>4.8</v>
      </c>
      <c r="K73" s="67" t="e">
        <f>AVERAGE(K60,K62)</f>
        <v>#REF!</v>
      </c>
      <c r="L73" s="194">
        <v>0.26108855472013365</v>
      </c>
      <c r="M73" s="194">
        <v>0.26108855472013365</v>
      </c>
      <c r="N73" s="68">
        <v>1</v>
      </c>
      <c r="O73" s="56"/>
      <c r="P73" s="69"/>
    </row>
    <row r="74" spans="2:57" ht="15">
      <c r="B74" s="33" t="s">
        <v>9</v>
      </c>
      <c r="C74" s="65" t="e">
        <f>L64</f>
        <v>#REF!</v>
      </c>
      <c r="D74" s="76">
        <v>6.6263785558913062</v>
      </c>
      <c r="E74" s="76">
        <v>6.6263785558913062</v>
      </c>
      <c r="F74" s="66">
        <v>4.8</v>
      </c>
      <c r="G74" s="65" t="e">
        <f>[28]January_2026!$V$21</f>
        <v>#REF!</v>
      </c>
      <c r="H74" s="76">
        <v>7.0083733221260962</v>
      </c>
      <c r="I74" s="76">
        <v>7.0083733221260962</v>
      </c>
      <c r="J74" s="66">
        <v>4.8</v>
      </c>
      <c r="K74" s="67" t="e">
        <f>K64</f>
        <v>#REF!</v>
      </c>
      <c r="L74" s="194">
        <v>0.66496686159844054</v>
      </c>
      <c r="M74" s="194">
        <v>0.66496686159844054</v>
      </c>
      <c r="N74" s="68">
        <v>1</v>
      </c>
      <c r="P74" s="69"/>
    </row>
    <row r="75" spans="2:57" ht="15">
      <c r="B75" s="34" t="s">
        <v>40</v>
      </c>
      <c r="C75" s="65"/>
      <c r="D75" s="76"/>
      <c r="E75" s="76"/>
      <c r="F75" s="66">
        <v>5.5</v>
      </c>
      <c r="G75" s="65"/>
      <c r="H75" s="76"/>
      <c r="I75" s="76"/>
      <c r="J75" s="66">
        <v>5.5</v>
      </c>
      <c r="K75" s="67"/>
      <c r="L75" s="194"/>
      <c r="M75" s="194"/>
      <c r="N75" s="68">
        <v>1</v>
      </c>
      <c r="P75" s="69"/>
    </row>
    <row r="76" spans="2:57" ht="15">
      <c r="B76" s="22" t="s">
        <v>33</v>
      </c>
      <c r="C76" s="65"/>
      <c r="D76" s="76">
        <v>6.5508684863523392</v>
      </c>
      <c r="E76" s="76">
        <v>6.5508684863523392</v>
      </c>
      <c r="F76" s="66">
        <v>3.3</v>
      </c>
      <c r="G76" s="65"/>
      <c r="H76" s="76">
        <v>5.2086766183151161</v>
      </c>
      <c r="I76" s="76">
        <v>5.2086766183151161</v>
      </c>
      <c r="J76" s="66">
        <v>3.3</v>
      </c>
      <c r="K76" s="67"/>
      <c r="L76" s="194">
        <v>0.6607017543859649</v>
      </c>
      <c r="M76" s="194">
        <v>0.6607017543859649</v>
      </c>
      <c r="N76" s="68">
        <v>1</v>
      </c>
      <c r="P76" s="69"/>
    </row>
    <row r="77" spans="2:57" ht="15">
      <c r="B77" s="35" t="s">
        <v>164</v>
      </c>
      <c r="C77" s="65"/>
      <c r="D77" s="76"/>
      <c r="E77" s="76"/>
      <c r="F77" s="66">
        <v>3.3</v>
      </c>
      <c r="G77" s="282"/>
      <c r="H77" s="76"/>
      <c r="I77" s="76"/>
      <c r="J77" s="66">
        <v>3</v>
      </c>
      <c r="K77" s="67"/>
      <c r="L77" s="194"/>
      <c r="M77" s="194"/>
      <c r="N77" s="68">
        <v>1</v>
      </c>
      <c r="P77" s="69"/>
    </row>
    <row r="78" spans="2:57" ht="15">
      <c r="B78" s="36" t="s">
        <v>15</v>
      </c>
      <c r="C78" s="65"/>
      <c r="D78" s="76">
        <v>5.1105651105651271</v>
      </c>
      <c r="E78" s="76">
        <v>5.1105651105651271</v>
      </c>
      <c r="F78" s="70">
        <f>[10]May_2022!$M$43</f>
        <v>3.4878406700073312</v>
      </c>
      <c r="G78" s="282"/>
      <c r="H78" s="76">
        <v>7.9131369535794072</v>
      </c>
      <c r="I78" s="76">
        <v>7.9131369535794072</v>
      </c>
      <c r="J78" s="66">
        <v>5.5</v>
      </c>
      <c r="K78" s="67"/>
      <c r="L78" s="194">
        <v>1.3550877192982456</v>
      </c>
      <c r="M78" s="194">
        <v>1.3550877192982456</v>
      </c>
      <c r="N78" s="68">
        <v>1</v>
      </c>
      <c r="P78" s="69"/>
    </row>
    <row r="79" spans="2:57" ht="15">
      <c r="B79" s="37" t="s">
        <v>16</v>
      </c>
      <c r="C79" s="65"/>
      <c r="D79" s="76">
        <v>2.0590520590520631</v>
      </c>
      <c r="E79" s="76">
        <v>2.0590520590520631</v>
      </c>
      <c r="F79" s="66">
        <v>3.3</v>
      </c>
      <c r="G79" s="282"/>
      <c r="H79" s="76">
        <v>2.1755040108015784</v>
      </c>
      <c r="I79" s="76">
        <v>2.1755040108015784</v>
      </c>
      <c r="J79" s="66">
        <v>3.3</v>
      </c>
      <c r="K79" s="67"/>
      <c r="L79" s="194">
        <v>0.88456140350877199</v>
      </c>
      <c r="M79" s="194">
        <v>0.88456140350877199</v>
      </c>
      <c r="N79" s="71">
        <v>1</v>
      </c>
      <c r="P79" s="69"/>
    </row>
    <row r="80" spans="2:57" ht="15.75" thickBot="1">
      <c r="B80" s="38" t="s">
        <v>163</v>
      </c>
      <c r="C80" s="65"/>
      <c r="D80" s="76"/>
      <c r="E80" s="76"/>
      <c r="F80" s="66">
        <v>7.5</v>
      </c>
      <c r="G80" s="282"/>
      <c r="H80" s="76"/>
      <c r="I80" s="76"/>
      <c r="J80" s="66">
        <v>7.5</v>
      </c>
      <c r="K80" s="67"/>
      <c r="L80" s="194"/>
      <c r="M80" s="194"/>
      <c r="N80" s="71">
        <v>1</v>
      </c>
      <c r="P80" s="69"/>
    </row>
    <row r="81" spans="2:16" ht="15.75" thickBot="1">
      <c r="B81" s="414" t="s">
        <v>161</v>
      </c>
      <c r="C81" s="65"/>
      <c r="D81" s="76"/>
      <c r="E81" s="76"/>
      <c r="F81" s="66">
        <v>4.8</v>
      </c>
      <c r="G81" s="282"/>
      <c r="H81" s="76"/>
      <c r="I81" s="76"/>
      <c r="J81" s="66">
        <v>4.8</v>
      </c>
      <c r="K81" s="67"/>
      <c r="L81" s="194"/>
      <c r="M81" s="194"/>
      <c r="N81" s="71">
        <v>1</v>
      </c>
      <c r="O81" s="74"/>
      <c r="P81" s="75"/>
    </row>
    <row r="82" spans="2:16" ht="15">
      <c r="D82" s="76">
        <v>7.716884669671499</v>
      </c>
      <c r="E82" s="76">
        <v>7.716884669671499</v>
      </c>
      <c r="F82" s="341">
        <v>5.5</v>
      </c>
      <c r="H82" s="76">
        <v>7.3977546829129937</v>
      </c>
      <c r="I82" s="76">
        <v>7.3977546829129937</v>
      </c>
      <c r="J82" s="341">
        <v>5.5</v>
      </c>
      <c r="L82" s="194">
        <v>0.54338805346700081</v>
      </c>
      <c r="M82" s="194">
        <v>0.54338805346700081</v>
      </c>
      <c r="N82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9:N29"/>
    <mergeCell ref="D30:E30"/>
    <mergeCell ref="B31:B42"/>
    <mergeCell ref="D31:E32"/>
    <mergeCell ref="D33:E34"/>
    <mergeCell ref="D35:E36"/>
    <mergeCell ref="D37:E38"/>
    <mergeCell ref="D39:E40"/>
    <mergeCell ref="D41:E42"/>
    <mergeCell ref="B43:B52"/>
    <mergeCell ref="D43:E44"/>
    <mergeCell ref="J43:K43"/>
    <mergeCell ref="L44:N44"/>
    <mergeCell ref="D45:E46"/>
    <mergeCell ref="D47:E48"/>
    <mergeCell ref="D49:E50"/>
    <mergeCell ref="D51:E52"/>
    <mergeCell ref="D53:E53"/>
    <mergeCell ref="B58:B59"/>
    <mergeCell ref="C58:C59"/>
    <mergeCell ref="D58:D59"/>
    <mergeCell ref="E58:E59"/>
    <mergeCell ref="M58:M59"/>
    <mergeCell ref="B71:F71"/>
    <mergeCell ref="G71:J71"/>
    <mergeCell ref="K71:N71"/>
    <mergeCell ref="G58:G59"/>
    <mergeCell ref="H58:H59"/>
    <mergeCell ref="I58:I59"/>
    <mergeCell ref="J58:J59"/>
    <mergeCell ref="K58:K59"/>
    <mergeCell ref="L58:L59"/>
    <mergeCell ref="F58:F59"/>
  </mergeCells>
  <conditionalFormatting sqref="B53:B54">
    <cfRule type="cellIs" dxfId="1949" priority="89" operator="notBetween">
      <formula>#REF!</formula>
      <formula>#REF!</formula>
    </cfRule>
  </conditionalFormatting>
  <conditionalFormatting sqref="C57">
    <cfRule type="cellIs" dxfId="1948" priority="217" stopIfTrue="1" operator="greaterThan">
      <formula>100</formula>
    </cfRule>
    <cfRule type="cellIs" dxfId="1947" priority="216" stopIfTrue="1" operator="lessThan">
      <formula>96</formula>
    </cfRule>
  </conditionalFormatting>
  <conditionalFormatting sqref="C73:C77">
    <cfRule type="cellIs" dxfId="1946" priority="174" stopIfTrue="1" operator="lessThanOrEqual">
      <formula>0</formula>
    </cfRule>
  </conditionalFormatting>
  <conditionalFormatting sqref="C73:C81">
    <cfRule type="cellIs" dxfId="1945" priority="173" stopIfTrue="1" operator="greaterThan">
      <formula>$F73</formula>
    </cfRule>
  </conditionalFormatting>
  <conditionalFormatting sqref="C74">
    <cfRule type="cellIs" dxfId="1944" priority="220" stopIfTrue="1" operator="greaterThan">
      <formula>$F73</formula>
    </cfRule>
  </conditionalFormatting>
  <conditionalFormatting sqref="C78">
    <cfRule type="cellIs" dxfId="1943" priority="114" stopIfTrue="1" operator="greaterThan">
      <formula>$F77</formula>
    </cfRule>
    <cfRule type="cellIs" dxfId="1942" priority="113" stopIfTrue="1" operator="lessThanOrEqual">
      <formula>0</formula>
    </cfRule>
  </conditionalFormatting>
  <conditionalFormatting sqref="C84:C88">
    <cfRule type="cellIs" dxfId="1941" priority="208" stopIfTrue="1" operator="lessThanOrEqual">
      <formula>0</formula>
    </cfRule>
  </conditionalFormatting>
  <conditionalFormatting sqref="C85:C88">
    <cfRule type="cellIs" dxfId="1940" priority="207" stopIfTrue="1" operator="greaterThan">
      <formula>$F$84</formula>
    </cfRule>
  </conditionalFormatting>
  <conditionalFormatting sqref="C90">
    <cfRule type="cellIs" dxfId="1939" priority="209" stopIfTrue="1" operator="greaterThan">
      <formula>$F$84</formula>
    </cfRule>
    <cfRule type="cellIs" dxfId="1938" priority="210" stopIfTrue="1" operator="lessThanOrEqual">
      <formula>0</formula>
    </cfRule>
  </conditionalFormatting>
  <conditionalFormatting sqref="C84:D84 D86:D92">
    <cfRule type="cellIs" dxfId="1937" priority="202" stopIfTrue="1" operator="greaterThan">
      <formula>4.5</formula>
    </cfRule>
  </conditionalFormatting>
  <conditionalFormatting sqref="D53:D54">
    <cfRule type="cellIs" dxfId="1936" priority="90" operator="notBetween">
      <formula>#REF!</formula>
      <formula>#REF!</formula>
    </cfRule>
  </conditionalFormatting>
  <conditionalFormatting sqref="D73:D80">
    <cfRule type="cellIs" dxfId="1935" priority="182" stopIfTrue="1" operator="lessThanOrEqual">
      <formula>0</formula>
    </cfRule>
  </conditionalFormatting>
  <conditionalFormatting sqref="D84 D86:D92">
    <cfRule type="cellIs" dxfId="1934" priority="203" stopIfTrue="1" operator="lessThanOrEqual">
      <formula>0</formula>
    </cfRule>
  </conditionalFormatting>
  <conditionalFormatting sqref="D85">
    <cfRule type="cellIs" dxfId="1933" priority="195" stopIfTrue="1" operator="lessThanOrEqual">
      <formula>0</formula>
    </cfRule>
    <cfRule type="cellIs" dxfId="1932" priority="194" stopIfTrue="1" operator="greaterThan">
      <formula>$F$84</formula>
    </cfRule>
  </conditionalFormatting>
  <conditionalFormatting sqref="D73:E82">
    <cfRule type="cellIs" dxfId="1931" priority="171" stopIfTrue="1" operator="greaterThan">
      <formula>$F73</formula>
    </cfRule>
  </conditionalFormatting>
  <conditionalFormatting sqref="D81:E81">
    <cfRule type="cellIs" dxfId="1930" priority="181" stopIfTrue="1" operator="lessThanOrEqual">
      <formula>0</formula>
    </cfRule>
  </conditionalFormatting>
  <conditionalFormatting sqref="D82:E82">
    <cfRule type="cellIs" dxfId="1929" priority="172" stopIfTrue="1" operator="lessThanOrEqual">
      <formula>0</formula>
    </cfRule>
  </conditionalFormatting>
  <conditionalFormatting sqref="E10:E28">
    <cfRule type="cellIs" dxfId="1928" priority="34" operator="lessThan">
      <formula>48</formula>
    </cfRule>
  </conditionalFormatting>
  <conditionalFormatting sqref="E56 E57:F57">
    <cfRule type="cellIs" dxfId="1927" priority="199" stopIfTrue="1" operator="greaterThan">
      <formula>100</formula>
    </cfRule>
  </conditionalFormatting>
  <conditionalFormatting sqref="E57">
    <cfRule type="cellIs" dxfId="1926" priority="196" stopIfTrue="1" operator="lessThan">
      <formula>96.8</formula>
    </cfRule>
    <cfRule type="cellIs" dxfId="1925" priority="197" stopIfTrue="1" operator="greaterThan">
      <formula>100</formula>
    </cfRule>
  </conditionalFormatting>
  <conditionalFormatting sqref="E73:E80">
    <cfRule type="cellIs" dxfId="1924" priority="40" stopIfTrue="1" operator="lessThanOrEqual">
      <formula>0</formula>
    </cfRule>
  </conditionalFormatting>
  <conditionalFormatting sqref="E73:E81">
    <cfRule type="cellIs" dxfId="1923" priority="178" stopIfTrue="1" operator="lessThanOrEqual">
      <formula>0</formula>
    </cfRule>
  </conditionalFormatting>
  <conditionalFormatting sqref="E84:E92">
    <cfRule type="cellIs" dxfId="1922" priority="189" stopIfTrue="1" operator="lessThanOrEqual">
      <formula>0</formula>
    </cfRule>
    <cfRule type="cellIs" dxfId="1921" priority="188" stopIfTrue="1" operator="greaterThan">
      <formula>4.5</formula>
    </cfRule>
  </conditionalFormatting>
  <conditionalFormatting sqref="E57:F57 E56">
    <cfRule type="cellIs" dxfId="1920" priority="198" stopIfTrue="1" operator="lessThan">
      <formula>96.5</formula>
    </cfRule>
  </conditionalFormatting>
  <conditionalFormatting sqref="F10:F28">
    <cfRule type="cellIs" dxfId="1919" priority="35" operator="greaterThan">
      <formula>60</formula>
    </cfRule>
  </conditionalFormatting>
  <conditionalFormatting sqref="F57">
    <cfRule type="cellIs" dxfId="1918" priority="214" stopIfTrue="1" operator="lessThan">
      <formula>96.8</formula>
    </cfRule>
    <cfRule type="cellIs" dxfId="1917" priority="215" stopIfTrue="1" operator="greaterThan">
      <formula>100</formula>
    </cfRule>
  </conditionalFormatting>
  <conditionalFormatting sqref="F82">
    <cfRule type="cellIs" dxfId="1916" priority="180" stopIfTrue="1" operator="lessThanOrEqual">
      <formula>0</formula>
    </cfRule>
    <cfRule type="cellIs" dxfId="1915" priority="179" stopIfTrue="1" operator="greaterThan">
      <formula>$F82</formula>
    </cfRule>
  </conditionalFormatting>
  <conditionalFormatting sqref="G10:G27">
    <cfRule type="expression" dxfId="1914" priority="37">
      <formula>IF(+(IF(G10&lt;S10,0,IF(G10&gt;T10,0,1)))=0,1)</formula>
    </cfRule>
  </conditionalFormatting>
  <conditionalFormatting sqref="G73:G74 C79:C81">
    <cfRule type="cellIs" dxfId="1913" priority="184" stopIfTrue="1" operator="lessThanOrEqual">
      <formula>0</formula>
    </cfRule>
  </conditionalFormatting>
  <conditionalFormatting sqref="G73:G74">
    <cfRule type="cellIs" dxfId="1912" priority="175" stopIfTrue="1" operator="greaterThan">
      <formula>$F73</formula>
    </cfRule>
    <cfRule type="cellIs" dxfId="1911" priority="183" stopIfTrue="1" operator="greaterThan">
      <formula>$F73</formula>
    </cfRule>
    <cfRule type="cellIs" dxfId="1910" priority="176" stopIfTrue="1" operator="lessThanOrEqual">
      <formula>0</formula>
    </cfRule>
  </conditionalFormatting>
  <conditionalFormatting sqref="G75">
    <cfRule type="cellIs" dxfId="1909" priority="218" stopIfTrue="1" operator="greaterThan">
      <formula>$F74</formula>
    </cfRule>
    <cfRule type="cellIs" dxfId="1908" priority="219" stopIfTrue="1" operator="lessThanOrEqual">
      <formula>0</formula>
    </cfRule>
  </conditionalFormatting>
  <conditionalFormatting sqref="G76">
    <cfRule type="cellIs" dxfId="1907" priority="88" stopIfTrue="1" operator="lessThanOrEqual">
      <formula>0</formula>
    </cfRule>
    <cfRule type="cellIs" dxfId="1906" priority="85" stopIfTrue="1" operator="greaterThan">
      <formula>$F76</formula>
    </cfRule>
    <cfRule type="cellIs" dxfId="1905" priority="86" stopIfTrue="1" operator="lessThanOrEqual">
      <formula>0</formula>
    </cfRule>
    <cfRule type="cellIs" dxfId="1904" priority="87" stopIfTrue="1" operator="greaterThan">
      <formula>$F76</formula>
    </cfRule>
  </conditionalFormatting>
  <conditionalFormatting sqref="G77:G81">
    <cfRule type="cellIs" dxfId="1903" priority="186" stopIfTrue="1" operator="lessThanOrEqual">
      <formula>0</formula>
    </cfRule>
    <cfRule type="cellIs" dxfId="1902" priority="185" stopIfTrue="1" operator="greaterThan">
      <formula>$J77</formula>
    </cfRule>
  </conditionalFormatting>
  <conditionalFormatting sqref="G86:G91 C89 C91">
    <cfRule type="cellIs" dxfId="1901" priority="211" stopIfTrue="1" operator="greaterThan">
      <formula>4.5</formula>
    </cfRule>
    <cfRule type="cellIs" dxfId="1900" priority="212" stopIfTrue="1" operator="lessThanOrEqual">
      <formula>0</formula>
    </cfRule>
  </conditionalFormatting>
  <conditionalFormatting sqref="G85:H85">
    <cfRule type="cellIs" dxfId="1899" priority="192" stopIfTrue="1" operator="greaterThan">
      <formula>$F$84</formula>
    </cfRule>
    <cfRule type="cellIs" dxfId="1898" priority="193" stopIfTrue="1" operator="lessThanOrEqual">
      <formula>0</formula>
    </cfRule>
  </conditionalFormatting>
  <conditionalFormatting sqref="H10:H11 H23:H27 G28:H28">
    <cfRule type="expression" dxfId="1897" priority="81">
      <formula>IF(+(IF(G10&lt;#REF!,0,IF(G10&gt;#REF!,0,1)))=0,1)</formula>
    </cfRule>
  </conditionalFormatting>
  <conditionalFormatting sqref="H42:H43 H56">
    <cfRule type="cellIs" dxfId="1896" priority="190" stopIfTrue="1" operator="greaterThan">
      <formula>0</formula>
    </cfRule>
  </conditionalFormatting>
  <conditionalFormatting sqref="H60:H61">
    <cfRule type="cellIs" dxfId="1895" priority="26" stopIfTrue="1" operator="greaterThan">
      <formula>#REF!</formula>
    </cfRule>
    <cfRule type="cellIs" dxfId="1894" priority="25" stopIfTrue="1" operator="lessThanOrEqual">
      <formula>0</formula>
    </cfRule>
    <cfRule type="cellIs" dxfId="1893" priority="24" stopIfTrue="1" operator="greaterThan">
      <formula>$F$28</formula>
    </cfRule>
    <cfRule type="cellIs" dxfId="1892" priority="16" stopIfTrue="1" operator="greaterThan">
      <formula>#REF!</formula>
    </cfRule>
    <cfRule type="cellIs" dxfId="1891" priority="15" stopIfTrue="1" operator="lessThanOrEqual">
      <formula>0</formula>
    </cfRule>
  </conditionalFormatting>
  <conditionalFormatting sqref="H60:H62">
    <cfRule type="cellIs" dxfId="1890" priority="27" stopIfTrue="1" operator="lessThanOrEqual">
      <formula>0</formula>
    </cfRule>
  </conditionalFormatting>
  <conditionalFormatting sqref="H62">
    <cfRule type="cellIs" dxfId="1889" priority="53" stopIfTrue="1" operator="greaterThan">
      <formula>#REF!</formula>
    </cfRule>
    <cfRule type="cellIs" dxfId="1888" priority="54" stopIfTrue="1" operator="lessThanOrEqual">
      <formula>0</formula>
    </cfRule>
    <cfRule type="cellIs" dxfId="1887" priority="43" stopIfTrue="1" operator="greaterThan">
      <formula>#REF!</formula>
    </cfRule>
    <cfRule type="cellIs" dxfId="1886" priority="51" stopIfTrue="1" operator="greaterThan">
      <formula>$F$28</formula>
    </cfRule>
    <cfRule type="cellIs" dxfId="1885" priority="52" stopIfTrue="1" operator="lessThanOrEqual">
      <formula>0</formula>
    </cfRule>
  </conditionalFormatting>
  <conditionalFormatting sqref="H63">
    <cfRule type="cellIs" dxfId="1884" priority="141" stopIfTrue="1" operator="greaterThan">
      <formula>#REF!</formula>
    </cfRule>
    <cfRule type="cellIs" dxfId="1883" priority="140" stopIfTrue="1" operator="lessThanOrEqual">
      <formula>0</formula>
    </cfRule>
    <cfRule type="cellIs" dxfId="1882" priority="142" stopIfTrue="1" operator="lessThanOrEqual">
      <formula>0</formula>
    </cfRule>
    <cfRule type="cellIs" dxfId="1881" priority="131" stopIfTrue="1" operator="greaterThan">
      <formula>#REF!</formula>
    </cfRule>
    <cfRule type="cellIs" dxfId="1880" priority="139" stopIfTrue="1" operator="greaterThan">
      <formula>$F$29</formula>
    </cfRule>
    <cfRule type="cellIs" dxfId="1879" priority="130" stopIfTrue="1" operator="lessThanOrEqual">
      <formula>0</formula>
    </cfRule>
  </conditionalFormatting>
  <conditionalFormatting sqref="H64">
    <cfRule type="cellIs" dxfId="1878" priority="69" stopIfTrue="1" operator="lessThanOrEqual">
      <formula>0</formula>
    </cfRule>
    <cfRule type="cellIs" dxfId="1877" priority="67" stopIfTrue="1" operator="lessThanOrEqual">
      <formula>0</formula>
    </cfRule>
    <cfRule type="cellIs" dxfId="1876" priority="57" stopIfTrue="1" operator="lessThanOrEqual">
      <formula>0</formula>
    </cfRule>
    <cfRule type="cellIs" dxfId="1875" priority="58" stopIfTrue="1" operator="greaterThan">
      <formula>$F$73</formula>
    </cfRule>
    <cfRule type="cellIs" dxfId="1874" priority="66" stopIfTrue="1" operator="greaterThan">
      <formula>$F$76</formula>
    </cfRule>
    <cfRule type="cellIs" dxfId="1873" priority="68" stopIfTrue="1" operator="greaterThan">
      <formula>$F$74</formula>
    </cfRule>
  </conditionalFormatting>
  <conditionalFormatting sqref="H65:H66">
    <cfRule type="cellIs" dxfId="1872" priority="116" stopIfTrue="1" operator="lessThanOrEqual">
      <formula>0</formula>
    </cfRule>
    <cfRule type="cellIs" dxfId="1871" priority="117" stopIfTrue="1" operator="greaterThan">
      <formula>#REF!</formula>
    </cfRule>
    <cfRule type="cellIs" dxfId="1870" priority="125" stopIfTrue="1" operator="greaterThan">
      <formula>$F$28</formula>
    </cfRule>
    <cfRule type="cellIs" dxfId="1869" priority="126" stopIfTrue="1" operator="lessThanOrEqual">
      <formula>0</formula>
    </cfRule>
    <cfRule type="cellIs" dxfId="1868" priority="127" stopIfTrue="1" operator="greaterThan">
      <formula>#REF!</formula>
    </cfRule>
    <cfRule type="cellIs" dxfId="1867" priority="128" stopIfTrue="1" operator="lessThanOrEqual">
      <formula>0</formula>
    </cfRule>
  </conditionalFormatting>
  <conditionalFormatting sqref="H67">
    <cfRule type="cellIs" dxfId="1866" priority="157" stopIfTrue="1" operator="lessThanOrEqual">
      <formula>0</formula>
    </cfRule>
    <cfRule type="cellIs" dxfId="1865" priority="146" stopIfTrue="1" operator="greaterThan">
      <formula>$F$41</formula>
    </cfRule>
    <cfRule type="cellIs" dxfId="1864" priority="156" stopIfTrue="1" operator="greaterThan">
      <formula>$F$42</formula>
    </cfRule>
    <cfRule type="cellIs" dxfId="1863" priority="155" stopIfTrue="1" operator="lessThanOrEqual">
      <formula>0</formula>
    </cfRule>
    <cfRule type="cellIs" dxfId="1862" priority="154" stopIfTrue="1" operator="greaterThan">
      <formula>$F$44</formula>
    </cfRule>
    <cfRule type="cellIs" dxfId="1861" priority="145" stopIfTrue="1" operator="lessThanOrEqual">
      <formula>0</formula>
    </cfRule>
  </conditionalFormatting>
  <conditionalFormatting sqref="H68:H69">
    <cfRule type="cellIs" dxfId="1860" priority="111" stopIfTrue="1" operator="greaterThan">
      <formula>#REF!</formula>
    </cfRule>
    <cfRule type="cellIs" dxfId="1859" priority="109" stopIfTrue="1" operator="greaterThan">
      <formula>$F$28</formula>
    </cfRule>
    <cfRule type="cellIs" dxfId="1858" priority="110" stopIfTrue="1" operator="lessThanOrEqual">
      <formula>0</formula>
    </cfRule>
    <cfRule type="cellIs" dxfId="1857" priority="112" stopIfTrue="1" operator="lessThanOrEqual">
      <formula>0</formula>
    </cfRule>
    <cfRule type="cellIs" dxfId="1856" priority="100" stopIfTrue="1" operator="lessThanOrEqual">
      <formula>0</formula>
    </cfRule>
    <cfRule type="cellIs" dxfId="1855" priority="101" stopIfTrue="1" operator="greaterThan">
      <formula>#REF!</formula>
    </cfRule>
  </conditionalFormatting>
  <conditionalFormatting sqref="H84 H86:H92">
    <cfRule type="cellIs" dxfId="1854" priority="204" stopIfTrue="1" operator="greaterThan">
      <formula>4.5</formula>
    </cfRule>
    <cfRule type="cellIs" dxfId="1853" priority="205" stopIfTrue="1" operator="lessThanOrEqual">
      <formula>0</formula>
    </cfRule>
  </conditionalFormatting>
  <conditionalFormatting sqref="H60:I61">
    <cfRule type="cellIs" dxfId="1852" priority="17" stopIfTrue="1" operator="lessThanOrEqual">
      <formula>0</formula>
    </cfRule>
  </conditionalFormatting>
  <conditionalFormatting sqref="H60:I62">
    <cfRule type="cellIs" dxfId="1851" priority="14" stopIfTrue="1" operator="greaterThan">
      <formula>#REF!</formula>
    </cfRule>
  </conditionalFormatting>
  <conditionalFormatting sqref="H62:I62">
    <cfRule type="cellIs" dxfId="1850" priority="44" stopIfTrue="1" operator="lessThanOrEqual">
      <formula>0</formula>
    </cfRule>
  </conditionalFormatting>
  <conditionalFormatting sqref="H63:I63">
    <cfRule type="cellIs" dxfId="1849" priority="132" stopIfTrue="1" operator="lessThanOrEqual">
      <formula>0</formula>
    </cfRule>
    <cfRule type="cellIs" dxfId="1848" priority="129" stopIfTrue="1" operator="greaterThan">
      <formula>$F$28</formula>
    </cfRule>
  </conditionalFormatting>
  <conditionalFormatting sqref="H64:I64">
    <cfRule type="cellIs" dxfId="1847" priority="56" stopIfTrue="1" operator="greaterThan">
      <formula>$F$75</formula>
    </cfRule>
    <cfRule type="cellIs" dxfId="1846" priority="59" stopIfTrue="1" operator="lessThanOrEqual">
      <formula>0</formula>
    </cfRule>
  </conditionalFormatting>
  <conditionalFormatting sqref="H65:I66">
    <cfRule type="cellIs" dxfId="1845" priority="118" stopIfTrue="1" operator="lessThanOrEqual">
      <formula>0</formula>
    </cfRule>
    <cfRule type="cellIs" dxfId="1844" priority="115" stopIfTrue="1" operator="greaterThan">
      <formula>#REF!</formula>
    </cfRule>
  </conditionalFormatting>
  <conditionalFormatting sqref="H67:I67">
    <cfRule type="cellIs" dxfId="1843" priority="147" stopIfTrue="1" operator="lessThanOrEqual">
      <formula>0</formula>
    </cfRule>
    <cfRule type="cellIs" dxfId="1842" priority="144" stopIfTrue="1" operator="greaterThan">
      <formula>$F$43</formula>
    </cfRule>
  </conditionalFormatting>
  <conditionalFormatting sqref="H68:I69">
    <cfRule type="cellIs" dxfId="1841" priority="102" stopIfTrue="1" operator="lessThanOrEqual">
      <formula>0</formula>
    </cfRule>
    <cfRule type="cellIs" dxfId="1840" priority="99" stopIfTrue="1" operator="greaterThan">
      <formula>#REF!</formula>
    </cfRule>
  </conditionalFormatting>
  <conditionalFormatting sqref="H73:I80">
    <cfRule type="cellIs" dxfId="1839" priority="70" stopIfTrue="1" operator="greaterThan">
      <formula>$J73</formula>
    </cfRule>
    <cfRule type="cellIs" dxfId="1838" priority="71" stopIfTrue="1" operator="lessThanOrEqual">
      <formula>0</formula>
    </cfRule>
  </conditionalFormatting>
  <conditionalFormatting sqref="H81:I81">
    <cfRule type="cellIs" dxfId="1837" priority="177" operator="greaterThan">
      <formula>5.3</formula>
    </cfRule>
  </conditionalFormatting>
  <conditionalFormatting sqref="H82:I82">
    <cfRule type="cellIs" dxfId="1836" priority="170" stopIfTrue="1" operator="lessThanOrEqual">
      <formula>0</formula>
    </cfRule>
    <cfRule type="cellIs" dxfId="1835" priority="169" stopIfTrue="1" operator="greaterThan">
      <formula>$J82</formula>
    </cfRule>
  </conditionalFormatting>
  <conditionalFormatting sqref="I60:I61">
    <cfRule type="cellIs" dxfId="1834" priority="19" stopIfTrue="1" operator="lessThanOrEqual">
      <formula>0</formula>
    </cfRule>
    <cfRule type="cellIs" dxfId="1833" priority="23" stopIfTrue="1" operator="lessThanOrEqual">
      <formula>0</formula>
    </cfRule>
    <cfRule type="cellIs" dxfId="1832" priority="22" stopIfTrue="1" operator="greaterThan">
      <formula>#REF!</formula>
    </cfRule>
    <cfRule type="cellIs" dxfId="1831" priority="18" stopIfTrue="1" operator="greaterThan">
      <formula>#REF!</formula>
    </cfRule>
    <cfRule type="cellIs" dxfId="1830" priority="21" stopIfTrue="1" operator="lessThanOrEqual">
      <formula>0</formula>
    </cfRule>
    <cfRule type="cellIs" dxfId="1829" priority="20" stopIfTrue="1" operator="greaterThan">
      <formula>#REF!</formula>
    </cfRule>
  </conditionalFormatting>
  <conditionalFormatting sqref="I62">
    <cfRule type="cellIs" dxfId="1828" priority="46" stopIfTrue="1" operator="lessThanOrEqual">
      <formula>0</formula>
    </cfRule>
    <cfRule type="cellIs" dxfId="1827" priority="47" stopIfTrue="1" operator="greaterThan">
      <formula>#REF!</formula>
    </cfRule>
    <cfRule type="cellIs" dxfId="1826" priority="48" stopIfTrue="1" operator="lessThanOrEqual">
      <formula>0</formula>
    </cfRule>
    <cfRule type="cellIs" dxfId="1825" priority="49" stopIfTrue="1" operator="greaterThan">
      <formula>#REF!</formula>
    </cfRule>
    <cfRule type="cellIs" dxfId="1824" priority="50" stopIfTrue="1" operator="lessThanOrEqual">
      <formula>0</formula>
    </cfRule>
    <cfRule type="cellIs" dxfId="1823" priority="45" stopIfTrue="1" operator="greaterThan">
      <formula>#REF!</formula>
    </cfRule>
  </conditionalFormatting>
  <conditionalFormatting sqref="I63">
    <cfRule type="cellIs" dxfId="1822" priority="133" stopIfTrue="1" operator="greaterThan">
      <formula>#REF!</formula>
    </cfRule>
    <cfRule type="cellIs" dxfId="1821" priority="138" stopIfTrue="1" operator="lessThanOrEqual">
      <formula>0</formula>
    </cfRule>
    <cfRule type="cellIs" dxfId="1820" priority="137" stopIfTrue="1" operator="greaterThan">
      <formula>#REF!</formula>
    </cfRule>
    <cfRule type="cellIs" dxfId="1819" priority="136" stopIfTrue="1" operator="lessThanOrEqual">
      <formula>0</formula>
    </cfRule>
    <cfRule type="cellIs" dxfId="1818" priority="134" stopIfTrue="1" operator="lessThanOrEqual">
      <formula>0</formula>
    </cfRule>
    <cfRule type="cellIs" dxfId="1817" priority="135" stopIfTrue="1" operator="greaterThan">
      <formula>$F$28</formula>
    </cfRule>
  </conditionalFormatting>
  <conditionalFormatting sqref="I64">
    <cfRule type="cellIs" dxfId="1816" priority="65" stopIfTrue="1" operator="lessThanOrEqual">
      <formula>0</formula>
    </cfRule>
    <cfRule type="cellIs" dxfId="1815" priority="60" stopIfTrue="1" operator="greaterThan">
      <formula>$F$73</formula>
    </cfRule>
    <cfRule type="cellIs" dxfId="1814" priority="61" stopIfTrue="1" operator="lessThanOrEqual">
      <formula>0</formula>
    </cfRule>
    <cfRule type="cellIs" dxfId="1813" priority="62" stopIfTrue="1" operator="greaterThan">
      <formula>$F$75</formula>
    </cfRule>
    <cfRule type="cellIs" dxfId="1812" priority="63" stopIfTrue="1" operator="lessThanOrEqual">
      <formula>0</formula>
    </cfRule>
    <cfRule type="cellIs" dxfId="1811" priority="64" stopIfTrue="1" operator="greaterThan">
      <formula>$F$73</formula>
    </cfRule>
  </conditionalFormatting>
  <conditionalFormatting sqref="I65:I66">
    <cfRule type="cellIs" dxfId="1810" priority="123" stopIfTrue="1" operator="greaterThan">
      <formula>#REF!</formula>
    </cfRule>
    <cfRule type="cellIs" dxfId="1809" priority="122" stopIfTrue="1" operator="lessThanOrEqual">
      <formula>0</formula>
    </cfRule>
    <cfRule type="cellIs" dxfId="1808" priority="121" stopIfTrue="1" operator="greaterThan">
      <formula>#REF!</formula>
    </cfRule>
    <cfRule type="cellIs" dxfId="1807" priority="120" stopIfTrue="1" operator="lessThanOrEqual">
      <formula>0</formula>
    </cfRule>
    <cfRule type="cellIs" dxfId="1806" priority="119" stopIfTrue="1" operator="greaterThan">
      <formula>#REF!</formula>
    </cfRule>
    <cfRule type="cellIs" dxfId="1805" priority="124" stopIfTrue="1" operator="lessThanOrEqual">
      <formula>0</formula>
    </cfRule>
  </conditionalFormatting>
  <conditionalFormatting sqref="I67">
    <cfRule type="cellIs" dxfId="1804" priority="151" stopIfTrue="1" operator="lessThanOrEqual">
      <formula>0</formula>
    </cfRule>
    <cfRule type="cellIs" dxfId="1803" priority="150" stopIfTrue="1" operator="greaterThan">
      <formula>$F$43</formula>
    </cfRule>
    <cfRule type="cellIs" dxfId="1802" priority="149" stopIfTrue="1" operator="lessThanOrEqual">
      <formula>0</formula>
    </cfRule>
    <cfRule type="cellIs" dxfId="1801" priority="148" stopIfTrue="1" operator="greaterThan">
      <formula>$F$41</formula>
    </cfRule>
    <cfRule type="cellIs" dxfId="1800" priority="153" stopIfTrue="1" operator="lessThanOrEqual">
      <formula>0</formula>
    </cfRule>
    <cfRule type="cellIs" dxfId="1799" priority="152" stopIfTrue="1" operator="greaterThan">
      <formula>$F$41</formula>
    </cfRule>
  </conditionalFormatting>
  <conditionalFormatting sqref="I68:I69">
    <cfRule type="cellIs" dxfId="1798" priority="106" stopIfTrue="1" operator="lessThanOrEqual">
      <formula>0</formula>
    </cfRule>
    <cfRule type="cellIs" dxfId="1797" priority="108" stopIfTrue="1" operator="lessThanOrEqual">
      <formula>0</formula>
    </cfRule>
    <cfRule type="cellIs" dxfId="1796" priority="107" stopIfTrue="1" operator="greaterThan">
      <formula>#REF!</formula>
    </cfRule>
    <cfRule type="cellIs" dxfId="1795" priority="105" stopIfTrue="1" operator="greaterThan">
      <formula>#REF!</formula>
    </cfRule>
    <cfRule type="cellIs" dxfId="1794" priority="104" stopIfTrue="1" operator="lessThanOrEqual">
      <formula>0</formula>
    </cfRule>
    <cfRule type="cellIs" dxfId="1793" priority="103" stopIfTrue="1" operator="greaterThan">
      <formula>#REF!</formula>
    </cfRule>
  </conditionalFormatting>
  <conditionalFormatting sqref="I84:I92">
    <cfRule type="cellIs" dxfId="1792" priority="201" stopIfTrue="1" operator="lessThanOrEqual">
      <formula>0</formula>
    </cfRule>
    <cfRule type="cellIs" dxfId="1791" priority="200" stopIfTrue="1" operator="greaterThan">
      <formula>4.5</formula>
    </cfRule>
  </conditionalFormatting>
  <conditionalFormatting sqref="I10:J28">
    <cfRule type="cellIs" dxfId="1790" priority="30" operator="lessThan">
      <formula>97.9</formula>
    </cfRule>
  </conditionalFormatting>
  <conditionalFormatting sqref="J32:J33">
    <cfRule type="cellIs" dxfId="1789" priority="161" operator="lessThan">
      <formula>98</formula>
    </cfRule>
    <cfRule type="cellIs" dxfId="1788" priority="159" stopIfTrue="1" operator="lessThan">
      <formula>96.8</formula>
    </cfRule>
    <cfRule type="cellIs" dxfId="1787" priority="160" stopIfTrue="1" operator="greaterThan">
      <formula>100</formula>
    </cfRule>
  </conditionalFormatting>
  <conditionalFormatting sqref="J32:J35">
    <cfRule type="cellIs" dxfId="1786" priority="158" operator="lessThan">
      <formula>97.4</formula>
    </cfRule>
  </conditionalFormatting>
  <conditionalFormatting sqref="J36:J37">
    <cfRule type="cellIs" dxfId="1785" priority="162" operator="lessThan">
      <formula>98</formula>
    </cfRule>
  </conditionalFormatting>
  <conditionalFormatting sqref="J38:J39">
    <cfRule type="cellIs" dxfId="1784" priority="163" stopIfTrue="1" operator="lessThan">
      <formula>96.8</formula>
    </cfRule>
    <cfRule type="cellIs" dxfId="1783" priority="164" stopIfTrue="1" operator="greaterThan">
      <formula>100</formula>
    </cfRule>
  </conditionalFormatting>
  <conditionalFormatting sqref="J38:J40">
    <cfRule type="cellIs" dxfId="1782" priority="165" operator="lessThan">
      <formula>98</formula>
    </cfRule>
  </conditionalFormatting>
  <conditionalFormatting sqref="J69">
    <cfRule type="cellIs" dxfId="1781" priority="98" stopIfTrue="1" operator="lessThanOrEqual">
      <formula>0</formula>
    </cfRule>
    <cfRule type="cellIs" dxfId="1780" priority="92" stopIfTrue="1" operator="lessThanOrEqual">
      <formula>0</formula>
    </cfRule>
    <cfRule type="cellIs" dxfId="1779" priority="93" stopIfTrue="1" operator="greaterThan">
      <formula>#REF!</formula>
    </cfRule>
    <cfRule type="cellIs" dxfId="1778" priority="94" stopIfTrue="1" operator="lessThanOrEqual">
      <formula>0</formula>
    </cfRule>
    <cfRule type="cellIs" dxfId="1777" priority="95" stopIfTrue="1" operator="greaterThan">
      <formula>#REF!</formula>
    </cfRule>
    <cfRule type="cellIs" dxfId="1776" priority="96" stopIfTrue="1" operator="lessThanOrEqual">
      <formula>0</formula>
    </cfRule>
    <cfRule type="cellIs" dxfId="1775" priority="97" stopIfTrue="1" operator="greaterThan">
      <formula>#REF!</formula>
    </cfRule>
    <cfRule type="cellIs" dxfId="1774" priority="91" stopIfTrue="1" operator="greaterThan">
      <formula>#REF!</formula>
    </cfRule>
  </conditionalFormatting>
  <conditionalFormatting sqref="J82">
    <cfRule type="cellIs" dxfId="1773" priority="167" stopIfTrue="1" operator="lessThanOrEqual">
      <formula>0</formula>
    </cfRule>
    <cfRule type="cellIs" dxfId="1772" priority="166" stopIfTrue="1" operator="greaterThan">
      <formula>$F82</formula>
    </cfRule>
  </conditionalFormatting>
  <conditionalFormatting sqref="K10:K28">
    <cfRule type="cellIs" dxfId="1771" priority="31" operator="greaterThan">
      <formula>6</formula>
    </cfRule>
    <cfRule type="cellIs" dxfId="1770" priority="33" operator="greaterThan">
      <formula>6.4</formula>
    </cfRule>
    <cfRule type="cellIs" dxfId="1769" priority="32" operator="lessThan">
      <formula>4</formula>
    </cfRule>
  </conditionalFormatting>
  <conditionalFormatting sqref="K60:K69">
    <cfRule type="cellIs" dxfId="1768" priority="28" stopIfTrue="1" operator="lessThan">
      <formula>100%</formula>
    </cfRule>
  </conditionalFormatting>
  <conditionalFormatting sqref="K84:K89">
    <cfRule type="cellIs" dxfId="1767" priority="206" stopIfTrue="1" operator="lessThan">
      <formula>100%</formula>
    </cfRule>
  </conditionalFormatting>
  <conditionalFormatting sqref="K91:K92">
    <cfRule type="cellIs" dxfId="1766" priority="213" stopIfTrue="1" operator="lessThan">
      <formula>100%</formula>
    </cfRule>
  </conditionalFormatting>
  <conditionalFormatting sqref="K73:N81">
    <cfRule type="cellIs" dxfId="1765" priority="143" stopIfTrue="1" operator="lessThan">
      <formula>100%</formula>
    </cfRule>
  </conditionalFormatting>
  <conditionalFormatting sqref="L10:L28">
    <cfRule type="cellIs" dxfId="1764" priority="38" operator="between">
      <formula>61</formula>
      <formula>65</formula>
    </cfRule>
    <cfRule type="cellIs" dxfId="1763" priority="39" operator="greaterThan">
      <formula>65</formula>
    </cfRule>
  </conditionalFormatting>
  <conditionalFormatting sqref="L31:M42">
    <cfRule type="cellIs" dxfId="1762" priority="83" operator="lessThan">
      <formula>97.95</formula>
    </cfRule>
  </conditionalFormatting>
  <conditionalFormatting sqref="L46:N46">
    <cfRule type="cellIs" dxfId="1761" priority="84" operator="notEqual">
      <formula>#REF!</formula>
    </cfRule>
  </conditionalFormatting>
  <conditionalFormatting sqref="L82:N82">
    <cfRule type="cellIs" dxfId="1760" priority="168" stopIfTrue="1" operator="lessThan">
      <formula>100%</formula>
    </cfRule>
  </conditionalFormatting>
  <conditionalFormatting sqref="L84:N92">
    <cfRule type="cellIs" dxfId="1759" priority="191" stopIfTrue="1" operator="lessThan">
      <formula>100%</formula>
    </cfRule>
  </conditionalFormatting>
  <conditionalFormatting sqref="M10:M27">
    <cfRule type="expression" dxfId="1758" priority="36">
      <formula>IF(+(IF(M10&lt;U10,0,IF(M10&gt;V10,0,1)))=0,1)</formula>
    </cfRule>
  </conditionalFormatting>
  <conditionalFormatting sqref="M28:N28">
    <cfRule type="expression" dxfId="1757" priority="221">
      <formula>IF(+(IF(M28&lt;#REF!,0,IF(M28&gt;#REF!,0,1)))=0,1)</formula>
    </cfRule>
  </conditionalFormatting>
  <conditionalFormatting sqref="N10:N27">
    <cfRule type="expression" dxfId="1756" priority="29">
      <formula>IF(+(IF(N10&lt;W10,0,IF(N10&gt;X10,0,1)))=0,1)</formula>
    </cfRule>
  </conditionalFormatting>
  <conditionalFormatting sqref="P6">
    <cfRule type="cellIs" dxfId="1755" priority="187" operator="greaterThanOrEqual">
      <formula>19</formula>
    </cfRule>
  </conditionalFormatting>
  <dataValidations disablePrompts="1" count="1">
    <dataValidation type="list" allowBlank="1" showInputMessage="1" showErrorMessage="1" sqref="R8" xr:uid="{9A31B769-452F-4D62-808F-3E820C53465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6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60BCA-FD58-4B64-8DC5-AF53320429C2}">
  <sheetPr codeName="Sheet14">
    <pageSetUpPr fitToPage="1"/>
  </sheetPr>
  <dimension ref="A1:BE74"/>
  <sheetViews>
    <sheetView topLeftCell="A3" zoomScale="80" zoomScaleNormal="80" workbookViewId="0">
      <selection activeCell="E10" sqref="E10:E18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46043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34" t="s">
        <v>12</v>
      </c>
      <c r="C10" s="366" t="str">
        <f>[3]Brewhouse!$A22</f>
        <v>GU007</v>
      </c>
      <c r="D10" s="279">
        <f>[3]Brewhouse!$AF22</f>
        <v>57.2</v>
      </c>
      <c r="E10" s="279">
        <f>[3]Brewhouse!$AI22</f>
        <v>53.5</v>
      </c>
      <c r="F10" s="278">
        <f>[3]Brewhouse!$V22</f>
        <v>66</v>
      </c>
      <c r="G10" s="279">
        <f>[3]Brewhouse!$AG22</f>
        <v>17</v>
      </c>
      <c r="H10" s="492">
        <v>16.899999999999999</v>
      </c>
      <c r="I10" s="479">
        <f>[3]Brewhouse!$AU22</f>
        <v>99.294375681877099</v>
      </c>
      <c r="J10" s="479">
        <f>[3]Brewhouse!$AV22</f>
        <v>99.000841128641696</v>
      </c>
      <c r="K10" s="488">
        <f>[3]Brewhouse!$R22</f>
        <v>-3.925925925925934</v>
      </c>
      <c r="L10" s="276">
        <f>[3]Brewhouse!$O22</f>
        <v>60</v>
      </c>
      <c r="M10" s="374">
        <f>[3]Brewhouse!$U22-[3]Brewhouse!$T22</f>
        <v>0.14097222222222219</v>
      </c>
      <c r="N10" s="370">
        <f>[3]Brewhouse!$Z22</f>
        <v>0.29652777777777778</v>
      </c>
      <c r="O10" s="420" t="str">
        <f>[3]Brewhouse!$AW22</f>
        <v>R. Regis</v>
      </c>
      <c r="P10" s="418"/>
      <c r="R10" s="277" t="str">
        <f t="shared" ref="R10:R34" si="0">B10</f>
        <v>GUINNESS</v>
      </c>
      <c r="S10" s="474">
        <f t="shared" ref="S10:S34" si="1">VLOOKUP($B10,$R$3:$X$9,2,FALSE)</f>
        <v>17</v>
      </c>
      <c r="T10" s="474">
        <f t="shared" ref="T10:T34" si="2">VLOOKUP($B10,$R$3:$X$9,3,FALSE)</f>
        <v>17.5</v>
      </c>
      <c r="U10" s="297">
        <f t="shared" ref="U10:U34" si="3">VLOOKUP($B10,$R$3:$X$9,4,FALSE)</f>
        <v>0</v>
      </c>
      <c r="V10" s="297">
        <f t="shared" ref="V10:V34" si="4">VLOOKUP($B10,$R$3:$X$9,5,FALSE)</f>
        <v>0.1076388888888889</v>
      </c>
      <c r="W10" s="297">
        <f t="shared" ref="W10:W34" si="5">VLOOKUP($B10,$R$3:$X$9,6,FALSE)</f>
        <v>0.24652777777777779</v>
      </c>
      <c r="X10" s="297">
        <f t="shared" ref="X10:X34" si="6">VLOOKUP($B10,$R$3:$X$9,7,FALSE)</f>
        <v>0.28472222222222221</v>
      </c>
      <c r="Y10" s="297">
        <f t="shared" ref="Y10:Y34" si="7">VLOOKUP($B10,$R$3:$Z$9,8,FALSE)</f>
        <v>0</v>
      </c>
      <c r="Z10" s="474">
        <f t="shared" ref="Z10:Z34" si="8">VLOOKUP($B10,$R$3:$Z$9,9,FALSE)</f>
        <v>60</v>
      </c>
    </row>
    <row r="11" spans="2:29" ht="16.5" customHeight="1">
      <c r="B11" s="34" t="s">
        <v>12</v>
      </c>
      <c r="C11" s="366" t="str">
        <f>[3]Brewhouse!$A23</f>
        <v>GU008</v>
      </c>
      <c r="D11" s="279">
        <f>[3]Brewhouse!$AF23</f>
        <v>57.8</v>
      </c>
      <c r="E11" s="279">
        <f>[3]Brewhouse!$AI23</f>
        <v>54.9</v>
      </c>
      <c r="F11" s="278">
        <f>[3]Brewhouse!$V23</f>
        <v>74</v>
      </c>
      <c r="G11" s="279">
        <f>[3]Brewhouse!$AG23</f>
        <v>16.399999999999999</v>
      </c>
      <c r="H11" s="492">
        <v>16.899999999999999</v>
      </c>
      <c r="I11" s="479">
        <f>[3]Brewhouse!$AU23</f>
        <v>94.0155703648322</v>
      </c>
      <c r="J11" s="479">
        <f>[3]Brewhouse!$AV23</f>
        <v>93.751667847804299</v>
      </c>
      <c r="K11" s="488">
        <f>[3]Brewhouse!$R23</f>
        <v>-4.0733944954128418</v>
      </c>
      <c r="L11" s="276">
        <f>[3]Brewhouse!$O23</f>
        <v>55</v>
      </c>
      <c r="M11" s="374">
        <f>[3]Brewhouse!$U23-[3]Brewhouse!$T23</f>
        <v>0.14097222222222228</v>
      </c>
      <c r="N11" s="370">
        <f>[3]Brewhouse!$Z23</f>
        <v>0.30347222222222225</v>
      </c>
      <c r="O11" s="420" t="str">
        <f>[3]Brewhouse!$AW23</f>
        <v>R. Sookram</v>
      </c>
      <c r="P11" s="418"/>
      <c r="R11" s="277" t="str">
        <f t="shared" si="0"/>
        <v>GUINNESS</v>
      </c>
      <c r="S11" s="474">
        <f t="shared" si="1"/>
        <v>17</v>
      </c>
      <c r="T11" s="474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474">
        <f t="shared" si="8"/>
        <v>60</v>
      </c>
    </row>
    <row r="12" spans="2:29" ht="16.5" customHeight="1">
      <c r="B12" s="34"/>
      <c r="C12" s="366"/>
      <c r="D12" s="279"/>
      <c r="E12" s="279"/>
      <c r="F12" s="278"/>
      <c r="G12" s="279"/>
      <c r="H12" s="396"/>
      <c r="I12" s="479"/>
      <c r="J12" s="479"/>
      <c r="K12" s="488"/>
      <c r="L12" s="276"/>
      <c r="M12" s="374"/>
      <c r="N12" s="370"/>
      <c r="O12" s="420"/>
      <c r="P12" s="418"/>
      <c r="R12" s="277">
        <f t="shared" ref="R12:R17" si="9">B12</f>
        <v>0</v>
      </c>
      <c r="S12" s="474" t="e">
        <f t="shared" si="1"/>
        <v>#N/A</v>
      </c>
      <c r="T12" s="474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4" t="e">
        <f t="shared" si="8"/>
        <v>#N/A</v>
      </c>
    </row>
    <row r="13" spans="2:29" ht="16.5" customHeight="1">
      <c r="B13" s="29" t="s">
        <v>6</v>
      </c>
      <c r="C13" s="366" t="str">
        <f>[4]Brewhouse!$A88</f>
        <v>CA047</v>
      </c>
      <c r="D13" s="279">
        <f>[4]Brewhouse!$AF88</f>
        <v>51.8</v>
      </c>
      <c r="E13" s="279">
        <f>[4]Brewhouse!$AI88</f>
        <v>48.8</v>
      </c>
      <c r="F13" s="278">
        <f>[4]Brewhouse!$V88</f>
        <v>51</v>
      </c>
      <c r="G13" s="279">
        <f>[4]Brewhouse!AG88</f>
        <v>11.8</v>
      </c>
      <c r="H13" s="396">
        <v>12</v>
      </c>
      <c r="I13" s="368">
        <f>[4]Brewhouse!$AU88</f>
        <v>95.467350978288906</v>
      </c>
      <c r="J13" s="368">
        <f>[4]Brewhouse!$AV88</f>
        <v>95.144803909863171</v>
      </c>
      <c r="K13" s="281">
        <f>[4]Brewhouse!$Q88</f>
        <v>3.80414312617703</v>
      </c>
      <c r="L13" s="276">
        <f>[4]Brewhouse!$P88</f>
        <v>52</v>
      </c>
      <c r="M13" s="397">
        <f>[4]Brewhouse!$U88-[4]Brewhouse!$T88</f>
        <v>0.11388888888888882</v>
      </c>
      <c r="N13" s="370">
        <f>[4]Brewhouse!$Z88</f>
        <v>0.25069444444444439</v>
      </c>
      <c r="O13" s="420" t="str">
        <f>[4]Brewhouse!$AX88</f>
        <v>R.Sookram</v>
      </c>
      <c r="P13" s="418"/>
      <c r="R13" s="277" t="str">
        <f t="shared" si="9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 t="s">
        <v>6</v>
      </c>
      <c r="C14" s="366" t="str">
        <f>[4]Brewhouse!$A89</f>
        <v>CA048</v>
      </c>
      <c r="D14" s="279">
        <f>[4]Brewhouse!$AF89</f>
        <v>53</v>
      </c>
      <c r="E14" s="279">
        <f>[4]Brewhouse!$AI89</f>
        <v>51</v>
      </c>
      <c r="F14" s="278">
        <f>[4]Brewhouse!$V89</f>
        <v>57</v>
      </c>
      <c r="G14" s="279">
        <f>[4]Brewhouse!AG89</f>
        <v>11.9</v>
      </c>
      <c r="H14" s="396">
        <v>12.1</v>
      </c>
      <c r="I14" s="368">
        <f>[4]Brewhouse!$AU89</f>
        <v>101.53064235241746</v>
      </c>
      <c r="J14" s="368">
        <f>[4]Brewhouse!$AV89</f>
        <v>101.18780184467107</v>
      </c>
      <c r="K14" s="281">
        <f>[4]Brewhouse!$Q89</f>
        <v>2.1132075471698064</v>
      </c>
      <c r="L14" s="276">
        <f>[4]Brewhouse!$P89</f>
        <v>60</v>
      </c>
      <c r="M14" s="397">
        <f>[4]Brewhouse!$U89-[4]Brewhouse!$T89</f>
        <v>0.11319444444444449</v>
      </c>
      <c r="N14" s="370">
        <f>[4]Brewhouse!$Z89</f>
        <v>0.2680555555555556</v>
      </c>
      <c r="O14" s="420" t="str">
        <f>[4]Brewhouse!$AX89</f>
        <v>K. Benjamin</v>
      </c>
      <c r="P14" s="418"/>
      <c r="R14" s="277" t="str">
        <f t="shared" si="9"/>
        <v>CARIB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29" t="s">
        <v>6</v>
      </c>
      <c r="C15" s="366" t="str">
        <f>[4]Brewhouse!$A90</f>
        <v>CA049</v>
      </c>
      <c r="D15" s="279">
        <f>[4]Brewhouse!$AF90</f>
        <v>52.2</v>
      </c>
      <c r="E15" s="279">
        <f>[4]Brewhouse!$AI90</f>
        <v>50.4</v>
      </c>
      <c r="F15" s="278">
        <f>[4]Brewhouse!$V90</f>
        <v>52</v>
      </c>
      <c r="G15" s="279">
        <f>[4]Brewhouse!AG90</f>
        <v>11.9</v>
      </c>
      <c r="H15" s="396">
        <v>12</v>
      </c>
      <c r="I15" s="368">
        <f>[4]Brewhouse!$AU90</f>
        <v>99.843022353876989</v>
      </c>
      <c r="J15" s="368">
        <f>[4]Brewhouse!$AV90</f>
        <v>99.505772140370468</v>
      </c>
      <c r="K15" s="281">
        <f>[4]Brewhouse!$Q90</f>
        <v>2.8679245283018791</v>
      </c>
      <c r="L15" s="276">
        <f>[4]Brewhouse!$P90</f>
        <v>62</v>
      </c>
      <c r="M15" s="397">
        <f>[4]Brewhouse!$U90-[4]Brewhouse!$T90</f>
        <v>0.12222222222222223</v>
      </c>
      <c r="N15" s="370">
        <f>[4]Brewhouse!$Z90</f>
        <v>0.27152777777777781</v>
      </c>
      <c r="O15" s="420" t="str">
        <f>[4]Brewhouse!$AX90</f>
        <v>K. Benjamin</v>
      </c>
      <c r="P15" s="418"/>
      <c r="R15" s="277" t="str">
        <f t="shared" si="9"/>
        <v>CARIB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29" t="s">
        <v>6</v>
      </c>
      <c r="C16" s="366" t="str">
        <f>[4]Brewhouse!$A91</f>
        <v>CA050</v>
      </c>
      <c r="D16" s="279">
        <f>[4]Brewhouse!$AF91</f>
        <v>51.9</v>
      </c>
      <c r="E16" s="279">
        <f>[4]Brewhouse!$AI91</f>
        <v>51.24</v>
      </c>
      <c r="F16" s="278">
        <f>[4]Brewhouse!$V91</f>
        <v>59</v>
      </c>
      <c r="G16" s="279">
        <f>[4]Brewhouse!AG91</f>
        <v>11.8</v>
      </c>
      <c r="H16" s="396">
        <v>12</v>
      </c>
      <c r="I16" s="368">
        <f>[4]Brewhouse!$AU91</f>
        <v>101.2321550320278</v>
      </c>
      <c r="J16" s="368">
        <f>[4]Brewhouse!$AV91</f>
        <v>100.89035006013131</v>
      </c>
      <c r="K16" s="281">
        <f>[4]Brewhouse!$Q91</f>
        <v>3.4339622641509435</v>
      </c>
      <c r="L16" s="276">
        <f>[4]Brewhouse!$P91</f>
        <v>60</v>
      </c>
      <c r="M16" s="397">
        <f>[4]Brewhouse!$U91-[4]Brewhouse!$T91</f>
        <v>0.13194444444444442</v>
      </c>
      <c r="N16" s="370">
        <f>[4]Brewhouse!$Z91</f>
        <v>0.28541666666666665</v>
      </c>
      <c r="O16" s="420" t="str">
        <f>[4]Brewhouse!$AX91</f>
        <v>K. Benjamin</v>
      </c>
      <c r="P16" s="418"/>
      <c r="R16" s="277" t="str">
        <f t="shared" si="9"/>
        <v>CARIB</v>
      </c>
      <c r="S16" s="474">
        <f t="shared" si="1"/>
        <v>11.6</v>
      </c>
      <c r="T16" s="474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4">
        <f t="shared" si="8"/>
        <v>60</v>
      </c>
    </row>
    <row r="17" spans="1:27" ht="16.5" customHeight="1">
      <c r="B17" s="29" t="s">
        <v>6</v>
      </c>
      <c r="C17" s="366" t="str">
        <f>[4]Brewhouse!$A92</f>
        <v>CA051</v>
      </c>
      <c r="D17" s="279">
        <f>[4]Brewhouse!$AF92</f>
        <v>53.6</v>
      </c>
      <c r="E17" s="279">
        <f>[4]Brewhouse!$AI92</f>
        <v>51.8</v>
      </c>
      <c r="F17" s="278">
        <f>[4]Brewhouse!$V92</f>
        <v>65</v>
      </c>
      <c r="G17" s="279">
        <f>[4]Brewhouse!AG92</f>
        <v>11.7</v>
      </c>
      <c r="H17" s="396">
        <v>11.7</v>
      </c>
      <c r="I17" s="368">
        <f>[4]Brewhouse!$AU92</f>
        <v>101.42626155454937</v>
      </c>
      <c r="J17" s="368">
        <f>[4]Brewhouse!$AV92</f>
        <v>101.08380119233296</v>
      </c>
      <c r="K17" s="281">
        <f>[4]Brewhouse!$Q92</f>
        <v>0.22641509433961779</v>
      </c>
      <c r="L17" s="276">
        <f>[4]Brewhouse!$P92</f>
        <v>59</v>
      </c>
      <c r="M17" s="397">
        <f>[4]Brewhouse!$U92-[4]Brewhouse!$T92</f>
        <v>0.11527777777777781</v>
      </c>
      <c r="N17" s="370">
        <f>[4]Brewhouse!$Z92</f>
        <v>0.28402777777777788</v>
      </c>
      <c r="O17" s="420" t="str">
        <f>[4]Brewhouse!$AX92</f>
        <v>K. Benjamin</v>
      </c>
      <c r="P17" s="418"/>
      <c r="R17" s="277" t="str">
        <f t="shared" si="9"/>
        <v>CARIB</v>
      </c>
      <c r="S17" s="474">
        <f t="shared" si="1"/>
        <v>11.6</v>
      </c>
      <c r="T17" s="474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4">
        <f t="shared" si="8"/>
        <v>60</v>
      </c>
    </row>
    <row r="18" spans="1:27" ht="16.5" customHeight="1">
      <c r="B18" s="29" t="s">
        <v>6</v>
      </c>
      <c r="C18" s="366" t="str">
        <f>[4]Brewhouse!$A93</f>
        <v>CA052</v>
      </c>
      <c r="D18" s="279">
        <f>[4]Brewhouse!$AF93</f>
        <v>52.5</v>
      </c>
      <c r="E18" s="279">
        <f>[4]Brewhouse!$AI93</f>
        <v>51.3</v>
      </c>
      <c r="F18" s="278">
        <f>[4]Brewhouse!$V93</f>
        <v>62</v>
      </c>
      <c r="G18" s="279">
        <f>[4]Brewhouse!AG93</f>
        <v>11.7</v>
      </c>
      <c r="H18" s="396">
        <v>11.7</v>
      </c>
      <c r="I18" s="368">
        <f>[4]Brewhouse!$AU93</f>
        <v>100.44724358587611</v>
      </c>
      <c r="J18" s="368">
        <f>[4]Brewhouse!$AV93</f>
        <v>100.1080888256116</v>
      </c>
      <c r="K18" s="281">
        <f>[4]Brewhouse!$Q93</f>
        <v>2.3018867924528279</v>
      </c>
      <c r="L18" s="276">
        <f>[4]Brewhouse!$P93</f>
        <v>60</v>
      </c>
      <c r="M18" s="397">
        <f>[4]Brewhouse!$U93-[4]Brewhouse!$T93</f>
        <v>0.12638888888888888</v>
      </c>
      <c r="N18" s="370">
        <f>[4]Brewhouse!$Z93</f>
        <v>0.29444444444444451</v>
      </c>
      <c r="O18" s="420" t="str">
        <f>[4]Brewhouse!$AX93</f>
        <v>R. Regis</v>
      </c>
      <c r="P18" s="418"/>
      <c r="R18" s="277" t="str">
        <f t="shared" si="0"/>
        <v>CARIB</v>
      </c>
      <c r="S18" s="474">
        <f t="shared" si="1"/>
        <v>11.6</v>
      </c>
      <c r="T18" s="474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4">
        <f t="shared" si="8"/>
        <v>60</v>
      </c>
    </row>
    <row r="19" spans="1:27" ht="18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40"/>
      <c r="J21" s="540"/>
      <c r="K21" s="540"/>
      <c r="L21" s="540"/>
      <c r="M21" s="540"/>
      <c r="N21" s="540"/>
      <c r="O21" s="1"/>
      <c r="P21" s="12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5.75" customHeight="1" thickBot="1">
      <c r="B22" s="388" t="s">
        <v>162</v>
      </c>
      <c r="C22" s="388"/>
      <c r="D22" s="541" t="s">
        <v>35</v>
      </c>
      <c r="E22" s="542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5" customHeight="1">
      <c r="A23" s="28"/>
      <c r="B23" s="543"/>
      <c r="C23" s="362"/>
      <c r="D23" s="546"/>
      <c r="E23" s="547"/>
      <c r="F23" s="294"/>
      <c r="G23" s="294"/>
      <c r="H23" s="348"/>
      <c r="I23" s="29" t="s">
        <v>6</v>
      </c>
      <c r="J23" s="280">
        <f>AVERAGE(I13:I18)</f>
        <v>99.991112642839425</v>
      </c>
      <c r="K23" s="284">
        <f>COUNTA([4]Brewhouse!$A$42:$A$93)</f>
        <v>52</v>
      </c>
      <c r="L23" s="305">
        <f>AVERAGE([4]Brewhouse!$AU$42:$AU$93)</f>
        <v>98.222489751355781</v>
      </c>
      <c r="M23" s="305">
        <f>AVERAGE([4]Brewhouse!$AU$42:$AU$93)</f>
        <v>98.222489751355781</v>
      </c>
      <c r="N23" s="30">
        <v>98</v>
      </c>
      <c r="O23" s="11"/>
      <c r="P23" s="31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5" customHeight="1">
      <c r="A24" s="28"/>
      <c r="B24" s="544"/>
      <c r="C24" s="362"/>
      <c r="D24" s="548"/>
      <c r="E24" s="532"/>
      <c r="F24" s="294"/>
      <c r="G24" s="294"/>
      <c r="H24" s="348"/>
      <c r="I24" s="33" t="s">
        <v>9</v>
      </c>
      <c r="J24" s="280"/>
      <c r="K24" s="284">
        <f>COUNTA([5]Brewhouse!$A$52:$A$61)</f>
        <v>10</v>
      </c>
      <c r="L24" s="302">
        <f>AVERAGE([5]Brewhouse!$AS$52:$AS$61)</f>
        <v>99.283662316813405</v>
      </c>
      <c r="M24" s="302">
        <f>AVERAGE([5]Brewhouse!$AS$52:$AS$61)</f>
        <v>99.283662316813405</v>
      </c>
      <c r="N24" s="30">
        <v>98</v>
      </c>
      <c r="O24" s="11"/>
      <c r="P24" s="31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4.65" customHeight="1">
      <c r="A25" s="28"/>
      <c r="B25" s="544"/>
      <c r="C25" s="362"/>
      <c r="D25" s="536"/>
      <c r="E25" s="537"/>
      <c r="F25" s="294"/>
      <c r="G25" s="294"/>
      <c r="H25" s="348"/>
      <c r="I25" s="34" t="s">
        <v>12</v>
      </c>
      <c r="J25" s="280">
        <f>AVERAGE(I10:I11)</f>
        <v>96.654973023354643</v>
      </c>
      <c r="K25" s="284">
        <f>COUNTA([3]Brewhouse!$A$16:$A$23)</f>
        <v>8</v>
      </c>
      <c r="L25" s="302">
        <f>AVERAGE([3]Brewhouse!$AU$16:$AU$23)</f>
        <v>97.765204759801577</v>
      </c>
      <c r="M25" s="302">
        <f>AVERAGE([3]Brewhouse!$AU$16:$AU$23)</f>
        <v>97.765204759801577</v>
      </c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4.65" customHeight="1">
      <c r="A26" s="28"/>
      <c r="B26" s="544"/>
      <c r="C26" s="362"/>
      <c r="D26" s="531"/>
      <c r="E26" s="532"/>
      <c r="F26" s="294"/>
      <c r="G26" s="294"/>
      <c r="H26" s="348"/>
      <c r="I26" s="22" t="s">
        <v>33</v>
      </c>
      <c r="J26" s="280"/>
      <c r="K26" s="284">
        <f>COUNTA([6]Brewhouse!$A$23:$A$26)</f>
        <v>4</v>
      </c>
      <c r="L26" s="302">
        <f>AVERAGE([6]Brewhouse!$AV$23:$AV$26)</f>
        <v>98.342483899212951</v>
      </c>
      <c r="M26" s="302">
        <f>AVERAGE([6]Brewhouse!$AV$23:$AV$26)</f>
        <v>98.342483899212951</v>
      </c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4.65" customHeight="1">
      <c r="A27" s="28"/>
      <c r="B27" s="544"/>
      <c r="C27" s="362"/>
      <c r="D27" s="536"/>
      <c r="E27" s="537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4.65" customHeight="1">
      <c r="A28" s="28"/>
      <c r="B28" s="544"/>
      <c r="C28" s="362"/>
      <c r="D28" s="531"/>
      <c r="E28" s="532"/>
      <c r="F28" s="417"/>
      <c r="G28" s="294"/>
      <c r="H28" s="348"/>
      <c r="I28" s="36" t="s">
        <v>15</v>
      </c>
      <c r="J28" s="323"/>
      <c r="K28" s="284">
        <f>COUNTA([7]Brewhouse!$A$13:$A$20)</f>
        <v>8</v>
      </c>
      <c r="L28" s="302" t="e">
        <f>AVERAGE([7]Brewhouse!$AT$13:$AT$20)</f>
        <v>#DIV/0!</v>
      </c>
      <c r="M28" s="302" t="e">
        <f>AVERAGE([7]Brewhouse!$AT$13:$AT$20)</f>
        <v>#DIV/0!</v>
      </c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  <c r="AA28" s="474"/>
    </row>
    <row r="29" spans="1:27" ht="14.65" customHeight="1">
      <c r="A29" s="28"/>
      <c r="B29" s="544"/>
      <c r="C29" s="362"/>
      <c r="D29" s="536"/>
      <c r="E29" s="537"/>
      <c r="F29" s="417"/>
      <c r="G29" s="294"/>
      <c r="H29" s="348"/>
      <c r="I29" s="37" t="s">
        <v>16</v>
      </c>
      <c r="J29" s="323"/>
      <c r="K29" s="284">
        <f>COUNTA([8]Brewhouse!$A$5:$A$7)</f>
        <v>3</v>
      </c>
      <c r="L29" s="302">
        <f>AVERAGE([8]Brewhouse!$AY$5:$AY$7)</f>
        <v>98.128633252159673</v>
      </c>
      <c r="M29" s="302">
        <f>AVERAGE([8]Brewhouse!$AY$5:$AY$7)</f>
        <v>98.128633252159673</v>
      </c>
      <c r="N29" s="30">
        <v>98</v>
      </c>
      <c r="O29" s="11"/>
      <c r="P29" s="31" t="s">
        <v>41</v>
      </c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  <c r="AA29" s="474"/>
    </row>
    <row r="30" spans="1:27" ht="14.65" customHeight="1">
      <c r="A30" s="28"/>
      <c r="B30" s="544"/>
      <c r="C30" s="362"/>
      <c r="D30" s="531"/>
      <c r="E30" s="532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4.65" customHeight="1">
      <c r="A31" s="28"/>
      <c r="B31" s="544"/>
      <c r="C31" s="349"/>
      <c r="D31" s="536"/>
      <c r="E31" s="537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5" customHeight="1" thickBot="1">
      <c r="A32" s="28"/>
      <c r="B32" s="544"/>
      <c r="C32" s="349"/>
      <c r="D32" s="531"/>
      <c r="E32" s="532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5" customHeight="1" thickBot="1">
      <c r="A33" s="28"/>
      <c r="B33" s="544"/>
      <c r="C33" s="349"/>
      <c r="D33" s="546"/>
      <c r="E33" s="547"/>
      <c r="F33" s="294"/>
      <c r="G33" s="294"/>
      <c r="H33" s="348"/>
      <c r="I33" s="1"/>
      <c r="J33" s="39"/>
      <c r="K33" s="404">
        <f>SUM(K23:K32)</f>
        <v>85</v>
      </c>
      <c r="L33" s="405" t="e">
        <f>((L23*K23)+(L24*K24)+(L25*K25)+(L26*K26)+(L27*K27)+(K30*L30)+(L28*K28)+(L29*K29)+(L32*K32))/(K33)</f>
        <v>#DIV/0!</v>
      </c>
      <c r="M33" s="405" t="e">
        <f>L33</f>
        <v>#DIV/0!</v>
      </c>
      <c r="N33" s="40">
        <v>98</v>
      </c>
      <c r="O33" s="11"/>
      <c r="P33" s="31"/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5.75" thickBot="1">
      <c r="B34" s="545"/>
      <c r="C34" s="350"/>
      <c r="D34" s="548"/>
      <c r="E34" s="532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5.75" thickBot="1">
      <c r="B35" s="526"/>
      <c r="C35" s="362"/>
      <c r="D35" s="529"/>
      <c r="E35" s="530"/>
      <c r="F35" s="294"/>
      <c r="G35" s="42"/>
      <c r="H35" s="41"/>
      <c r="I35" s="42"/>
      <c r="J35" s="533" t="s">
        <v>129</v>
      </c>
      <c r="K35" s="533"/>
      <c r="L35" s="294"/>
      <c r="M35" s="294"/>
      <c r="N35" s="294"/>
      <c r="O35" s="294"/>
      <c r="P35" s="12"/>
    </row>
    <row r="36" spans="1:56" ht="15.75" thickBot="1">
      <c r="B36" s="527"/>
      <c r="C36" s="362"/>
      <c r="D36" s="531"/>
      <c r="E36" s="532"/>
      <c r="F36" s="294"/>
      <c r="G36" s="42"/>
      <c r="H36" s="42"/>
      <c r="I36" s="42"/>
      <c r="J36" s="292" t="s">
        <v>17</v>
      </c>
      <c r="K36" s="293" t="s">
        <v>147</v>
      </c>
      <c r="L36" s="534" t="s">
        <v>136</v>
      </c>
      <c r="M36" s="534"/>
      <c r="N36" s="535"/>
      <c r="O36" s="294"/>
      <c r="P36" s="12"/>
    </row>
    <row r="37" spans="1:56" ht="15" customHeight="1" thickBot="1">
      <c r="B37" s="527"/>
      <c r="C37" s="349"/>
      <c r="D37" s="536"/>
      <c r="E37" s="537"/>
      <c r="F37" s="294"/>
      <c r="G37" s="42"/>
      <c r="H37" s="42"/>
      <c r="I37" s="42"/>
      <c r="J37" s="287" t="s">
        <v>6</v>
      </c>
      <c r="K37" s="324">
        <v>6</v>
      </c>
      <c r="L37" s="475" t="s">
        <v>37</v>
      </c>
      <c r="M37" s="476" t="s">
        <v>38</v>
      </c>
      <c r="N37" s="476" t="s">
        <v>84</v>
      </c>
      <c r="O37" s="294"/>
      <c r="P37" s="12"/>
    </row>
    <row r="38" spans="1:56" ht="15.75" customHeight="1" thickBot="1">
      <c r="B38" s="527"/>
      <c r="C38" s="349"/>
      <c r="D38" s="531"/>
      <c r="E38" s="532"/>
      <c r="F38" s="294"/>
      <c r="G38" s="42"/>
      <c r="H38" s="42"/>
      <c r="I38" s="42"/>
      <c r="J38" s="345" t="s">
        <v>9</v>
      </c>
      <c r="K38" s="324"/>
      <c r="L38" s="344">
        <f>AVERAGE('Jan 2nd'!K45,'Jan 5th'!K45,'Jan 6th'!K49,'Jan 7th'!K49,'Jan 8th '!K44,'Jan 9th-10th'!J58,'Jan 9th-10th'!K58,'Jan12th '!K50,Jan13th!K45,Jan14th!K53,Jan15th!K50,K47,'Jan16-18th'!I53,'Jan16-18th'!J53,'Jan16-18th'!K53,'Jan19th '!K55)</f>
        <v>5.75</v>
      </c>
      <c r="M38" s="325">
        <f>AVERAGE(L38)</f>
        <v>5.75</v>
      </c>
      <c r="N38" s="416">
        <v>9.1999999999999993</v>
      </c>
      <c r="O38" s="294"/>
      <c r="P38" s="12"/>
    </row>
    <row r="39" spans="1:56" ht="15" customHeight="1">
      <c r="B39" s="527"/>
      <c r="C39" s="349"/>
      <c r="D39" s="536"/>
      <c r="E39" s="537"/>
      <c r="F39" s="294"/>
      <c r="G39" s="42"/>
      <c r="H39" s="42"/>
      <c r="I39" s="42"/>
      <c r="J39" s="288" t="s">
        <v>40</v>
      </c>
      <c r="K39" s="324">
        <v>2</v>
      </c>
      <c r="L39" s="294"/>
      <c r="M39" s="294"/>
      <c r="N39" s="294"/>
      <c r="O39" s="294"/>
      <c r="P39" s="12"/>
    </row>
    <row r="40" spans="1:56" ht="15" customHeight="1">
      <c r="B40" s="527"/>
      <c r="C40" s="349"/>
      <c r="D40" s="531"/>
      <c r="E40" s="532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7"/>
      <c r="C41" s="349"/>
      <c r="D41" s="536"/>
      <c r="E41" s="537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7"/>
      <c r="C42" s="349"/>
      <c r="D42" s="531"/>
      <c r="E42" s="532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7"/>
      <c r="C43" s="349"/>
      <c r="D43" s="536"/>
      <c r="E43" s="537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8"/>
      <c r="C44" s="350"/>
      <c r="D44" s="538"/>
      <c r="E44" s="539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19"/>
      <c r="E45" s="520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8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L48" s="294"/>
      <c r="N48" s="315"/>
      <c r="P48" s="334"/>
    </row>
    <row r="49" spans="1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1:57" ht="15" customHeight="1" thickBot="1">
      <c r="B50" s="511" t="s">
        <v>17</v>
      </c>
      <c r="C50" s="511" t="s">
        <v>44</v>
      </c>
      <c r="D50" s="522" t="s">
        <v>45</v>
      </c>
      <c r="E50" s="524" t="s">
        <v>46</v>
      </c>
      <c r="F50" s="517" t="s">
        <v>47</v>
      </c>
      <c r="G50" s="509" t="s">
        <v>48</v>
      </c>
      <c r="H50" s="511" t="s">
        <v>49</v>
      </c>
      <c r="I50" s="511" t="s">
        <v>50</v>
      </c>
      <c r="J50" s="503" t="s">
        <v>28</v>
      </c>
      <c r="K50" s="513" t="s">
        <v>51</v>
      </c>
      <c r="L50" s="515" t="s">
        <v>52</v>
      </c>
      <c r="M50" s="503" t="s">
        <v>53</v>
      </c>
      <c r="N50" s="13"/>
      <c r="O50" s="13"/>
      <c r="P50" s="50"/>
    </row>
    <row r="51" spans="1:57" ht="28.5" customHeight="1" thickTop="1" thickBot="1">
      <c r="B51" s="512"/>
      <c r="C51" s="521"/>
      <c r="D51" s="523"/>
      <c r="E51" s="525"/>
      <c r="F51" s="518"/>
      <c r="G51" s="510"/>
      <c r="H51" s="512"/>
      <c r="I51" s="512"/>
      <c r="J51" s="504"/>
      <c r="K51" s="514"/>
      <c r="L51" s="516"/>
      <c r="M51" s="504"/>
      <c r="N51" s="13"/>
      <c r="O51" s="13"/>
      <c r="P51" s="50"/>
      <c r="Q51" s="355"/>
      <c r="AB51" s="477">
        <v>43474</v>
      </c>
      <c r="AC51" s="477">
        <v>43475</v>
      </c>
      <c r="AD51" s="477">
        <v>43476</v>
      </c>
      <c r="AE51" s="477">
        <v>43477</v>
      </c>
      <c r="AF51" s="477">
        <v>43478</v>
      </c>
      <c r="AG51" s="477">
        <v>43479</v>
      </c>
      <c r="AH51" s="477">
        <v>43480</v>
      </c>
      <c r="AI51" s="477">
        <v>43481</v>
      </c>
      <c r="AJ51" s="477">
        <v>43482</v>
      </c>
      <c r="AK51" s="477">
        <v>43483</v>
      </c>
      <c r="AL51" s="477">
        <v>43484</v>
      </c>
      <c r="AM51" s="477">
        <v>43485</v>
      </c>
      <c r="AN51" s="477">
        <v>43486</v>
      </c>
      <c r="AO51" s="477">
        <v>43487</v>
      </c>
      <c r="AP51" s="477">
        <v>43488</v>
      </c>
      <c r="AQ51" s="477">
        <v>43489</v>
      </c>
      <c r="AR51" s="477">
        <v>43490</v>
      </c>
      <c r="AS51" s="477">
        <v>43491</v>
      </c>
      <c r="AT51" s="477">
        <v>43492</v>
      </c>
      <c r="AU51" s="477">
        <v>43493</v>
      </c>
      <c r="AV51" s="477">
        <v>43494</v>
      </c>
      <c r="AW51" s="477">
        <v>43495</v>
      </c>
      <c r="AX51" s="477">
        <v>43496</v>
      </c>
    </row>
    <row r="52" spans="1:57" s="54" customFormat="1" ht="37.15" customHeight="1" thickBot="1">
      <c r="B52" s="496"/>
      <c r="C52" s="495"/>
      <c r="D52" s="442"/>
      <c r="E52" s="443"/>
      <c r="F52" s="444"/>
      <c r="G52" s="445"/>
      <c r="H52" s="446"/>
      <c r="I52" s="447"/>
      <c r="J52" s="448"/>
      <c r="K52" s="449"/>
      <c r="L52" s="457"/>
      <c r="M52" s="455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1:57" s="54" customFormat="1" ht="14.25" customHeight="1" thickBot="1">
      <c r="B53" s="496"/>
      <c r="C53" s="495"/>
      <c r="D53" s="442"/>
      <c r="E53" s="443"/>
      <c r="F53" s="444"/>
      <c r="G53" s="445"/>
      <c r="H53" s="446"/>
      <c r="I53" s="447"/>
      <c r="J53" s="47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37.15" customHeight="1" thickBot="1">
      <c r="A54" s="54" t="s">
        <v>187</v>
      </c>
      <c r="B54" s="496"/>
      <c r="C54" s="495"/>
      <c r="D54" s="442"/>
      <c r="E54" s="443"/>
      <c r="F54" s="444"/>
      <c r="G54" s="445"/>
      <c r="H54" s="446"/>
      <c r="I54" s="447"/>
      <c r="J54" s="44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[9]January_2019!L7</f>
        <v>285.8</v>
      </c>
      <c r="AC54" s="57">
        <f>[9]January_2019!M7</f>
        <v>508.1</v>
      </c>
      <c r="AD54" s="57">
        <f>[9]January_2019!N7</f>
        <v>0</v>
      </c>
      <c r="AE54" s="57">
        <f>[9]January_2019!O7</f>
        <v>0</v>
      </c>
      <c r="AF54" s="57">
        <f>[9]January_2019!P7</f>
        <v>109.56666666666666</v>
      </c>
      <c r="AG54" s="57">
        <f>[9]January_2019!Q7</f>
        <v>297.64999999999998</v>
      </c>
      <c r="AH54" s="57">
        <f>[9]January_2019!R7</f>
        <v>122.3</v>
      </c>
      <c r="AI54" s="57">
        <f>[9]January_2019!S7</f>
        <v>0</v>
      </c>
      <c r="AJ54" s="57">
        <f>[9]January_2019!T7</f>
        <v>294.7</v>
      </c>
      <c r="AK54" s="57">
        <f>[9]January_2019!U7</f>
        <v>280.5</v>
      </c>
      <c r="AL54" s="57">
        <f>[9]January_2019!V7</f>
        <v>0</v>
      </c>
      <c r="AM54" s="57">
        <f>[9]January_2019!W7</f>
        <v>0</v>
      </c>
      <c r="AN54" s="57">
        <f>[9]January_2019!X7</f>
        <v>188.25</v>
      </c>
      <c r="AO54" s="57">
        <f>[9]January_2019!Y7</f>
        <v>295.7</v>
      </c>
      <c r="AP54" s="57">
        <f>[9]January_2019!Z7</f>
        <v>257.8</v>
      </c>
      <c r="AQ54" s="57">
        <f>[9]January_2019!AA7</f>
        <v>291.2</v>
      </c>
      <c r="AR54" s="57">
        <f>[9]January_2019!AB7</f>
        <v>187</v>
      </c>
      <c r="AS54" s="57">
        <f>[9]January_2019!AC7</f>
        <v>0</v>
      </c>
      <c r="AT54" s="57">
        <f>[9]January_2019!AD7</f>
        <v>0</v>
      </c>
      <c r="AU54" s="57">
        <f>[9]January_2019!AE7</f>
        <v>485.1</v>
      </c>
      <c r="AV54" s="57">
        <f>[9]January_2019!AF7</f>
        <v>171.55</v>
      </c>
      <c r="AW54" s="57">
        <f>[9]January_2019!AG7</f>
        <v>423.8</v>
      </c>
      <c r="AX54" s="277">
        <f>[9]January_2019!AH7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9.5" customHeight="1" thickBot="1">
      <c r="B55" s="494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8.450000000000003" customHeight="1" thickBot="1">
      <c r="B56" s="497"/>
      <c r="C56" s="495"/>
      <c r="D56" s="442"/>
      <c r="E56" s="443"/>
      <c r="F56" s="444"/>
      <c r="G56" s="445"/>
      <c r="H56" s="458"/>
      <c r="I56" s="458"/>
      <c r="J56" s="448"/>
      <c r="K56" s="460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15" hidden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B58" s="496"/>
      <c r="C58" s="495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1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1:57" ht="15.75" thickBot="1">
      <c r="B63" s="505" t="s">
        <v>55</v>
      </c>
      <c r="C63" s="506"/>
      <c r="D63" s="506"/>
      <c r="E63" s="506"/>
      <c r="F63" s="507"/>
      <c r="G63" s="505" t="s">
        <v>56</v>
      </c>
      <c r="H63" s="506"/>
      <c r="I63" s="506"/>
      <c r="J63" s="507"/>
      <c r="K63" s="505" t="s">
        <v>51</v>
      </c>
      <c r="L63" s="506"/>
      <c r="M63" s="506"/>
      <c r="N63" s="508"/>
      <c r="O63" s="56"/>
      <c r="P63" s="50"/>
    </row>
    <row r="64" spans="1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/>
      <c r="D65" s="76">
        <v>10.90066608746017</v>
      </c>
      <c r="E65" s="76">
        <v>10.90066608746017</v>
      </c>
      <c r="F65" s="66">
        <v>4.8</v>
      </c>
      <c r="G65" s="65"/>
      <c r="H65" s="480">
        <v>10.197758641162071</v>
      </c>
      <c r="I65" s="480">
        <v>10.197758641162071</v>
      </c>
      <c r="J65" s="66">
        <v>4.8</v>
      </c>
      <c r="K65" s="67"/>
      <c r="L65" s="194">
        <v>0.26108855472013365</v>
      </c>
      <c r="M65" s="194">
        <v>0.26108855472013365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6.6263785558913062</v>
      </c>
      <c r="E66" s="76">
        <v>6.6263785558913062</v>
      </c>
      <c r="F66" s="66">
        <v>4.8</v>
      </c>
      <c r="G66" s="65"/>
      <c r="H66" s="76">
        <v>7.0083733221260962</v>
      </c>
      <c r="I66" s="76">
        <v>7.0083733221260962</v>
      </c>
      <c r="J66" s="66">
        <v>4.8</v>
      </c>
      <c r="K66" s="67"/>
      <c r="L66" s="194">
        <v>0.66496686159844054</v>
      </c>
      <c r="M66" s="194">
        <v>0.66496686159844054</v>
      </c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>
        <v>6.5508684863523392</v>
      </c>
      <c r="E68" s="76">
        <v>6.5508684863523392</v>
      </c>
      <c r="F68" s="66">
        <v>3.3</v>
      </c>
      <c r="G68" s="65"/>
      <c r="H68" s="76">
        <v>5.2086766183151161</v>
      </c>
      <c r="I68" s="76">
        <v>5.2086766183151161</v>
      </c>
      <c r="J68" s="66">
        <v>3.3</v>
      </c>
      <c r="K68" s="67"/>
      <c r="L68" s="194">
        <v>0.6607017543859649</v>
      </c>
      <c r="M68" s="194">
        <v>0.6607017543859649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>
        <v>5.1105651105651271</v>
      </c>
      <c r="E70" s="76">
        <v>5.1105651105651271</v>
      </c>
      <c r="F70" s="70">
        <f>[10]May_2022!$M$43</f>
        <v>3.4878406700073312</v>
      </c>
      <c r="G70" s="282"/>
      <c r="H70" s="76">
        <v>7.9131369535794072</v>
      </c>
      <c r="I70" s="76">
        <v>7.9131369535794072</v>
      </c>
      <c r="J70" s="66">
        <v>5.5</v>
      </c>
      <c r="K70" s="67"/>
      <c r="L70" s="194">
        <v>1.3550877192982456</v>
      </c>
      <c r="M70" s="194">
        <v>1.3550877192982456</v>
      </c>
      <c r="N70" s="68">
        <v>1</v>
      </c>
      <c r="P70" s="69"/>
    </row>
    <row r="71" spans="2:16" ht="15">
      <c r="B71" s="37" t="s">
        <v>16</v>
      </c>
      <c r="C71" s="65"/>
      <c r="D71" s="76">
        <v>2.0590520590520631</v>
      </c>
      <c r="E71" s="76">
        <v>2.0590520590520631</v>
      </c>
      <c r="F71" s="66">
        <v>3.3</v>
      </c>
      <c r="G71" s="282"/>
      <c r="H71" s="76">
        <v>2.1755040108015784</v>
      </c>
      <c r="I71" s="76">
        <v>2.1755040108015784</v>
      </c>
      <c r="J71" s="66">
        <v>3.3</v>
      </c>
      <c r="K71" s="67"/>
      <c r="L71" s="194">
        <v>0.88456140350877199</v>
      </c>
      <c r="M71" s="194">
        <v>0.88456140350877199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7.716884669671499</v>
      </c>
      <c r="E74" s="76">
        <v>7.716884669671499</v>
      </c>
      <c r="F74" s="341">
        <v>5.5</v>
      </c>
      <c r="H74" s="76">
        <v>7.3977546829129937</v>
      </c>
      <c r="I74" s="76">
        <v>7.3977546829129937</v>
      </c>
      <c r="J74" s="341">
        <v>5.5</v>
      </c>
      <c r="L74" s="194">
        <v>0.54338805346700081</v>
      </c>
      <c r="M74" s="194">
        <v>0.54338805346700081</v>
      </c>
      <c r="N74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B35:B44"/>
    <mergeCell ref="D35:E36"/>
    <mergeCell ref="J35:K35"/>
    <mergeCell ref="L36:N36"/>
    <mergeCell ref="D37:E38"/>
    <mergeCell ref="D39:E40"/>
    <mergeCell ref="D41:E42"/>
    <mergeCell ref="D43:E44"/>
    <mergeCell ref="D45:E45"/>
    <mergeCell ref="B50:B51"/>
    <mergeCell ref="C50:C51"/>
    <mergeCell ref="D50:D51"/>
    <mergeCell ref="E50:E51"/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</mergeCells>
  <conditionalFormatting sqref="B45:B46">
    <cfRule type="cellIs" dxfId="1754" priority="75" operator="notBetween">
      <formula>#REF!</formula>
      <formula>#REF!</formula>
    </cfRule>
  </conditionalFormatting>
  <conditionalFormatting sqref="C49">
    <cfRule type="cellIs" dxfId="1753" priority="203" stopIfTrue="1" operator="greaterThan">
      <formula>100</formula>
    </cfRule>
    <cfRule type="cellIs" dxfId="1752" priority="202" stopIfTrue="1" operator="lessThan">
      <formula>96</formula>
    </cfRule>
  </conditionalFormatting>
  <conditionalFormatting sqref="C65:C69">
    <cfRule type="cellIs" dxfId="1751" priority="160" stopIfTrue="1" operator="lessThanOrEqual">
      <formula>0</formula>
    </cfRule>
  </conditionalFormatting>
  <conditionalFormatting sqref="C65:C73">
    <cfRule type="cellIs" dxfId="1750" priority="159" stopIfTrue="1" operator="greaterThan">
      <formula>$F65</formula>
    </cfRule>
  </conditionalFormatting>
  <conditionalFormatting sqref="C66">
    <cfRule type="cellIs" dxfId="1749" priority="206" stopIfTrue="1" operator="greaterThan">
      <formula>$F65</formula>
    </cfRule>
  </conditionalFormatting>
  <conditionalFormatting sqref="C70">
    <cfRule type="cellIs" dxfId="1748" priority="100" stopIfTrue="1" operator="greaterThan">
      <formula>$F69</formula>
    </cfRule>
    <cfRule type="cellIs" dxfId="1747" priority="99" stopIfTrue="1" operator="lessThanOrEqual">
      <formula>0</formula>
    </cfRule>
  </conditionalFormatting>
  <conditionalFormatting sqref="C76:C80">
    <cfRule type="cellIs" dxfId="1746" priority="194" stopIfTrue="1" operator="lessThanOrEqual">
      <formula>0</formula>
    </cfRule>
  </conditionalFormatting>
  <conditionalFormatting sqref="C77:C80">
    <cfRule type="cellIs" dxfId="1745" priority="193" stopIfTrue="1" operator="greaterThan">
      <formula>$F$76</formula>
    </cfRule>
  </conditionalFormatting>
  <conditionalFormatting sqref="C82">
    <cfRule type="cellIs" dxfId="1744" priority="195" stopIfTrue="1" operator="greaterThan">
      <formula>$F$76</formula>
    </cfRule>
    <cfRule type="cellIs" dxfId="1743" priority="196" stopIfTrue="1" operator="lessThanOrEqual">
      <formula>0</formula>
    </cfRule>
  </conditionalFormatting>
  <conditionalFormatting sqref="C76:D76 D78:D84">
    <cfRule type="cellIs" dxfId="1742" priority="188" stopIfTrue="1" operator="greaterThan">
      <formula>4.5</formula>
    </cfRule>
  </conditionalFormatting>
  <conditionalFormatting sqref="D45:D46">
    <cfRule type="cellIs" dxfId="1741" priority="76" operator="notBetween">
      <formula>#REF!</formula>
      <formula>#REF!</formula>
    </cfRule>
  </conditionalFormatting>
  <conditionalFormatting sqref="D65:D72">
    <cfRule type="cellIs" dxfId="1740" priority="168" stopIfTrue="1" operator="lessThanOrEqual">
      <formula>0</formula>
    </cfRule>
  </conditionalFormatting>
  <conditionalFormatting sqref="D76 D78:D84">
    <cfRule type="cellIs" dxfId="1739" priority="189" stopIfTrue="1" operator="lessThanOrEqual">
      <formula>0</formula>
    </cfRule>
  </conditionalFormatting>
  <conditionalFormatting sqref="D77">
    <cfRule type="cellIs" dxfId="1738" priority="181" stopIfTrue="1" operator="lessThanOrEqual">
      <formula>0</formula>
    </cfRule>
    <cfRule type="cellIs" dxfId="1737" priority="180" stopIfTrue="1" operator="greaterThan">
      <formula>$F$76</formula>
    </cfRule>
  </conditionalFormatting>
  <conditionalFormatting sqref="D65:E74">
    <cfRule type="cellIs" dxfId="1736" priority="157" stopIfTrue="1" operator="greaterThan">
      <formula>$F65</formula>
    </cfRule>
  </conditionalFormatting>
  <conditionalFormatting sqref="D73:E73">
    <cfRule type="cellIs" dxfId="1735" priority="167" stopIfTrue="1" operator="lessThanOrEqual">
      <formula>0</formula>
    </cfRule>
  </conditionalFormatting>
  <conditionalFormatting sqref="D74:E74">
    <cfRule type="cellIs" dxfId="1734" priority="158" stopIfTrue="1" operator="lessThanOrEqual">
      <formula>0</formula>
    </cfRule>
  </conditionalFormatting>
  <conditionalFormatting sqref="E10:E20">
    <cfRule type="cellIs" dxfId="1733" priority="33" operator="lessThan">
      <formula>48</formula>
    </cfRule>
  </conditionalFormatting>
  <conditionalFormatting sqref="E48 E49:F49">
    <cfRule type="cellIs" dxfId="1732" priority="185" stopIfTrue="1" operator="greaterThan">
      <formula>100</formula>
    </cfRule>
  </conditionalFormatting>
  <conditionalFormatting sqref="E49">
    <cfRule type="cellIs" dxfId="1731" priority="182" stopIfTrue="1" operator="lessThan">
      <formula>96.8</formula>
    </cfRule>
    <cfRule type="cellIs" dxfId="1730" priority="183" stopIfTrue="1" operator="greaterThan">
      <formula>100</formula>
    </cfRule>
  </conditionalFormatting>
  <conditionalFormatting sqref="E65:E72">
    <cfRule type="cellIs" dxfId="1729" priority="39" stopIfTrue="1" operator="lessThanOrEqual">
      <formula>0</formula>
    </cfRule>
  </conditionalFormatting>
  <conditionalFormatting sqref="E65:E73">
    <cfRule type="cellIs" dxfId="1728" priority="164" stopIfTrue="1" operator="lessThanOrEqual">
      <formula>0</formula>
    </cfRule>
  </conditionalFormatting>
  <conditionalFormatting sqref="E76:E84">
    <cfRule type="cellIs" dxfId="1727" priority="175" stopIfTrue="1" operator="lessThanOrEqual">
      <formula>0</formula>
    </cfRule>
    <cfRule type="cellIs" dxfId="1726" priority="174" stopIfTrue="1" operator="greaterThan">
      <formula>4.5</formula>
    </cfRule>
  </conditionalFormatting>
  <conditionalFormatting sqref="E49:F49 E48">
    <cfRule type="cellIs" dxfId="1725" priority="184" stopIfTrue="1" operator="lessThan">
      <formula>96.5</formula>
    </cfRule>
  </conditionalFormatting>
  <conditionalFormatting sqref="F10:F20">
    <cfRule type="cellIs" dxfId="1724" priority="34" operator="greaterThan">
      <formula>60</formula>
    </cfRule>
  </conditionalFormatting>
  <conditionalFormatting sqref="F49">
    <cfRule type="cellIs" dxfId="1723" priority="200" stopIfTrue="1" operator="lessThan">
      <formula>96.8</formula>
    </cfRule>
    <cfRule type="cellIs" dxfId="1722" priority="201" stopIfTrue="1" operator="greaterThan">
      <formula>100</formula>
    </cfRule>
  </conditionalFormatting>
  <conditionalFormatting sqref="F74">
    <cfRule type="cellIs" dxfId="1721" priority="166" stopIfTrue="1" operator="lessThanOrEqual">
      <formula>0</formula>
    </cfRule>
    <cfRule type="cellIs" dxfId="1720" priority="165" stopIfTrue="1" operator="greaterThan">
      <formula>$F74</formula>
    </cfRule>
  </conditionalFormatting>
  <conditionalFormatting sqref="G10:G19">
    <cfRule type="expression" dxfId="1719" priority="36">
      <formula>IF(+(IF(G10&lt;S10,0,IF(G10&gt;T10,0,1)))=0,1)</formula>
    </cfRule>
  </conditionalFormatting>
  <conditionalFormatting sqref="G65:G66 C71:C73">
    <cfRule type="cellIs" dxfId="1718" priority="170" stopIfTrue="1" operator="lessThanOrEqual">
      <formula>0</formula>
    </cfRule>
  </conditionalFormatting>
  <conditionalFormatting sqref="G65:G66">
    <cfRule type="cellIs" dxfId="1717" priority="161" stopIfTrue="1" operator="greaterThan">
      <formula>$F65</formula>
    </cfRule>
    <cfRule type="cellIs" dxfId="1716" priority="169" stopIfTrue="1" operator="greaterThan">
      <formula>$F65</formula>
    </cfRule>
    <cfRule type="cellIs" dxfId="1715" priority="162" stopIfTrue="1" operator="lessThanOrEqual">
      <formula>0</formula>
    </cfRule>
  </conditionalFormatting>
  <conditionalFormatting sqref="G67">
    <cfRule type="cellIs" dxfId="1714" priority="204" stopIfTrue="1" operator="greaterThan">
      <formula>$F66</formula>
    </cfRule>
    <cfRule type="cellIs" dxfId="1713" priority="205" stopIfTrue="1" operator="lessThanOrEqual">
      <formula>0</formula>
    </cfRule>
  </conditionalFormatting>
  <conditionalFormatting sqref="G68">
    <cfRule type="cellIs" dxfId="1712" priority="74" stopIfTrue="1" operator="lessThanOrEqual">
      <formula>0</formula>
    </cfRule>
    <cfRule type="cellIs" dxfId="1711" priority="71" stopIfTrue="1" operator="greaterThan">
      <formula>$F68</formula>
    </cfRule>
    <cfRule type="cellIs" dxfId="1710" priority="72" stopIfTrue="1" operator="lessThanOrEqual">
      <formula>0</formula>
    </cfRule>
    <cfRule type="cellIs" dxfId="1709" priority="73" stopIfTrue="1" operator="greaterThan">
      <formula>$F68</formula>
    </cfRule>
  </conditionalFormatting>
  <conditionalFormatting sqref="G69:G73">
    <cfRule type="cellIs" dxfId="1708" priority="172" stopIfTrue="1" operator="lessThanOrEqual">
      <formula>0</formula>
    </cfRule>
    <cfRule type="cellIs" dxfId="1707" priority="171" stopIfTrue="1" operator="greaterThan">
      <formula>$J69</formula>
    </cfRule>
  </conditionalFormatting>
  <conditionalFormatting sqref="G78:G83 C81 C83">
    <cfRule type="cellIs" dxfId="1706" priority="197" stopIfTrue="1" operator="greaterThan">
      <formula>4.5</formula>
    </cfRule>
    <cfRule type="cellIs" dxfId="1705" priority="198" stopIfTrue="1" operator="lessThanOrEqual">
      <formula>0</formula>
    </cfRule>
  </conditionalFormatting>
  <conditionalFormatting sqref="G77:H77">
    <cfRule type="cellIs" dxfId="1704" priority="178" stopIfTrue="1" operator="greaterThan">
      <formula>$F$76</formula>
    </cfRule>
    <cfRule type="cellIs" dxfId="1703" priority="179" stopIfTrue="1" operator="lessThanOrEqual">
      <formula>0</formula>
    </cfRule>
  </conditionalFormatting>
  <conditionalFormatting sqref="H13:H19 G20:H20">
    <cfRule type="expression" dxfId="1702" priority="68">
      <formula>IF(+(IF(G13&lt;#REF!,0,IF(G13&gt;#REF!,0,1)))=0,1)</formula>
    </cfRule>
  </conditionalFormatting>
  <conditionalFormatting sqref="H34:H35 H48">
    <cfRule type="cellIs" dxfId="1701" priority="176" stopIfTrue="1" operator="greaterThan">
      <formula>0</formula>
    </cfRule>
  </conditionalFormatting>
  <conditionalFormatting sqref="H52:H53">
    <cfRule type="cellIs" dxfId="1700" priority="25" stopIfTrue="1" operator="greaterThan">
      <formula>#REF!</formula>
    </cfRule>
    <cfRule type="cellIs" dxfId="1699" priority="24" stopIfTrue="1" operator="lessThanOrEqual">
      <formula>0</formula>
    </cfRule>
    <cfRule type="cellIs" dxfId="1698" priority="23" stopIfTrue="1" operator="greaterThan">
      <formula>$F$20</formula>
    </cfRule>
    <cfRule type="cellIs" dxfId="1697" priority="15" stopIfTrue="1" operator="greaterThan">
      <formula>#REF!</formula>
    </cfRule>
    <cfRule type="cellIs" dxfId="1696" priority="14" stopIfTrue="1" operator="lessThanOrEqual">
      <formula>0</formula>
    </cfRule>
  </conditionalFormatting>
  <conditionalFormatting sqref="H52:H54">
    <cfRule type="cellIs" dxfId="1695" priority="26" stopIfTrue="1" operator="lessThanOrEqual">
      <formula>0</formula>
    </cfRule>
  </conditionalFormatting>
  <conditionalFormatting sqref="H54">
    <cfRule type="cellIs" dxfId="1694" priority="50" stopIfTrue="1" operator="greaterThan">
      <formula>#REF!</formula>
    </cfRule>
    <cfRule type="cellIs" dxfId="1693" priority="51" stopIfTrue="1" operator="lessThanOrEqual">
      <formula>0</formula>
    </cfRule>
    <cfRule type="cellIs" dxfId="1692" priority="40" stopIfTrue="1" operator="greaterThan">
      <formula>#REF!</formula>
    </cfRule>
    <cfRule type="cellIs" dxfId="1691" priority="48" stopIfTrue="1" operator="greaterThan">
      <formula>$F$20</formula>
    </cfRule>
    <cfRule type="cellIs" dxfId="1690" priority="49" stopIfTrue="1" operator="lessThanOrEqual">
      <formula>0</formula>
    </cfRule>
  </conditionalFormatting>
  <conditionalFormatting sqref="H55">
    <cfRule type="cellIs" dxfId="1689" priority="127" stopIfTrue="1" operator="greaterThan">
      <formula>#REF!</formula>
    </cfRule>
    <cfRule type="cellIs" dxfId="1688" priority="126" stopIfTrue="1" operator="lessThanOrEqual">
      <formula>0</formula>
    </cfRule>
    <cfRule type="cellIs" dxfId="1687" priority="128" stopIfTrue="1" operator="lessThanOrEqual">
      <formula>0</formula>
    </cfRule>
    <cfRule type="cellIs" dxfId="1686" priority="117" stopIfTrue="1" operator="greaterThan">
      <formula>#REF!</formula>
    </cfRule>
    <cfRule type="cellIs" dxfId="1685" priority="125" stopIfTrue="1" operator="greaterThan">
      <formula>$F$21</formula>
    </cfRule>
    <cfRule type="cellIs" dxfId="1684" priority="116" stopIfTrue="1" operator="lessThanOrEqual">
      <formula>0</formula>
    </cfRule>
  </conditionalFormatting>
  <conditionalFormatting sqref="H56">
    <cfRule type="cellIs" dxfId="1683" priority="65" stopIfTrue="1" operator="lessThanOrEqual">
      <formula>0</formula>
    </cfRule>
    <cfRule type="cellIs" dxfId="1682" priority="63" stopIfTrue="1" operator="lessThanOrEqual">
      <formula>0</formula>
    </cfRule>
    <cfRule type="cellIs" dxfId="1681" priority="53" stopIfTrue="1" operator="lessThanOrEqual">
      <formula>0</formula>
    </cfRule>
    <cfRule type="cellIs" dxfId="1680" priority="54" stopIfTrue="1" operator="greaterThan">
      <formula>$F$65</formula>
    </cfRule>
    <cfRule type="cellIs" dxfId="1679" priority="62" stopIfTrue="1" operator="greaterThan">
      <formula>$F$68</formula>
    </cfRule>
    <cfRule type="cellIs" dxfId="1678" priority="64" stopIfTrue="1" operator="greaterThan">
      <formula>$F$66</formula>
    </cfRule>
  </conditionalFormatting>
  <conditionalFormatting sqref="H57:H58">
    <cfRule type="cellIs" dxfId="1677" priority="102" stopIfTrue="1" operator="lessThanOrEqual">
      <formula>0</formula>
    </cfRule>
    <cfRule type="cellIs" dxfId="1676" priority="103" stopIfTrue="1" operator="greaterThan">
      <formula>#REF!</formula>
    </cfRule>
    <cfRule type="cellIs" dxfId="1675" priority="111" stopIfTrue="1" operator="greaterThan">
      <formula>$F$20</formula>
    </cfRule>
    <cfRule type="cellIs" dxfId="1674" priority="112" stopIfTrue="1" operator="lessThanOrEqual">
      <formula>0</formula>
    </cfRule>
    <cfRule type="cellIs" dxfId="1673" priority="113" stopIfTrue="1" operator="greaterThan">
      <formula>#REF!</formula>
    </cfRule>
    <cfRule type="cellIs" dxfId="1672" priority="114" stopIfTrue="1" operator="lessThanOrEqual">
      <formula>0</formula>
    </cfRule>
  </conditionalFormatting>
  <conditionalFormatting sqref="H59">
    <cfRule type="cellIs" dxfId="1671" priority="143" stopIfTrue="1" operator="lessThanOrEqual">
      <formula>0</formula>
    </cfRule>
    <cfRule type="cellIs" dxfId="1670" priority="132" stopIfTrue="1" operator="greaterThan">
      <formula>$F$33</formula>
    </cfRule>
    <cfRule type="cellIs" dxfId="1669" priority="142" stopIfTrue="1" operator="greaterThan">
      <formula>$F$34</formula>
    </cfRule>
    <cfRule type="cellIs" dxfId="1668" priority="141" stopIfTrue="1" operator="lessThanOrEqual">
      <formula>0</formula>
    </cfRule>
    <cfRule type="cellIs" dxfId="1667" priority="140" stopIfTrue="1" operator="greaterThan">
      <formula>$F$36</formula>
    </cfRule>
    <cfRule type="cellIs" dxfId="1666" priority="131" stopIfTrue="1" operator="lessThanOrEqual">
      <formula>0</formula>
    </cfRule>
  </conditionalFormatting>
  <conditionalFormatting sqref="H60:H61">
    <cfRule type="cellIs" dxfId="1665" priority="97" stopIfTrue="1" operator="greaterThan">
      <formula>#REF!</formula>
    </cfRule>
    <cfRule type="cellIs" dxfId="1664" priority="95" stopIfTrue="1" operator="greaterThan">
      <formula>$F$20</formula>
    </cfRule>
    <cfRule type="cellIs" dxfId="1663" priority="96" stopIfTrue="1" operator="lessThanOrEqual">
      <formula>0</formula>
    </cfRule>
    <cfRule type="cellIs" dxfId="1662" priority="98" stopIfTrue="1" operator="lessThanOrEqual">
      <formula>0</formula>
    </cfRule>
    <cfRule type="cellIs" dxfId="1661" priority="86" stopIfTrue="1" operator="lessThanOrEqual">
      <formula>0</formula>
    </cfRule>
    <cfRule type="cellIs" dxfId="1660" priority="87" stopIfTrue="1" operator="greaterThan">
      <formula>#REF!</formula>
    </cfRule>
  </conditionalFormatting>
  <conditionalFormatting sqref="H76 H78:H84">
    <cfRule type="cellIs" dxfId="1659" priority="190" stopIfTrue="1" operator="greaterThan">
      <formula>4.5</formula>
    </cfRule>
    <cfRule type="cellIs" dxfId="1658" priority="191" stopIfTrue="1" operator="lessThanOrEqual">
      <formula>0</formula>
    </cfRule>
  </conditionalFormatting>
  <conditionalFormatting sqref="H52:I53">
    <cfRule type="cellIs" dxfId="1657" priority="16" stopIfTrue="1" operator="lessThanOrEqual">
      <formula>0</formula>
    </cfRule>
  </conditionalFormatting>
  <conditionalFormatting sqref="H52:I54">
    <cfRule type="cellIs" dxfId="1656" priority="13" stopIfTrue="1" operator="greaterThan">
      <formula>#REF!</formula>
    </cfRule>
  </conditionalFormatting>
  <conditionalFormatting sqref="H54:I54">
    <cfRule type="cellIs" dxfId="1655" priority="41" stopIfTrue="1" operator="lessThanOrEqual">
      <formula>0</formula>
    </cfRule>
  </conditionalFormatting>
  <conditionalFormatting sqref="H55:I55">
    <cfRule type="cellIs" dxfId="1654" priority="118" stopIfTrue="1" operator="lessThanOrEqual">
      <formula>0</formula>
    </cfRule>
    <cfRule type="cellIs" dxfId="1653" priority="115" stopIfTrue="1" operator="greaterThan">
      <formula>$F$20</formula>
    </cfRule>
  </conditionalFormatting>
  <conditionalFormatting sqref="H56:I56">
    <cfRule type="cellIs" dxfId="1652" priority="52" stopIfTrue="1" operator="greaterThan">
      <formula>$F$67</formula>
    </cfRule>
    <cfRule type="cellIs" dxfId="1651" priority="55" stopIfTrue="1" operator="lessThanOrEqual">
      <formula>0</formula>
    </cfRule>
  </conditionalFormatting>
  <conditionalFormatting sqref="H57:I58">
    <cfRule type="cellIs" dxfId="1650" priority="104" stopIfTrue="1" operator="lessThanOrEqual">
      <formula>0</formula>
    </cfRule>
    <cfRule type="cellIs" dxfId="1649" priority="101" stopIfTrue="1" operator="greaterThan">
      <formula>#REF!</formula>
    </cfRule>
  </conditionalFormatting>
  <conditionalFormatting sqref="H59:I59">
    <cfRule type="cellIs" dxfId="1648" priority="133" stopIfTrue="1" operator="lessThanOrEqual">
      <formula>0</formula>
    </cfRule>
    <cfRule type="cellIs" dxfId="1647" priority="130" stopIfTrue="1" operator="greaterThan">
      <formula>$F$35</formula>
    </cfRule>
  </conditionalFormatting>
  <conditionalFormatting sqref="H60:I61">
    <cfRule type="cellIs" dxfId="1646" priority="88" stopIfTrue="1" operator="lessThanOrEqual">
      <formula>0</formula>
    </cfRule>
    <cfRule type="cellIs" dxfId="1645" priority="85" stopIfTrue="1" operator="greaterThan">
      <formula>#REF!</formula>
    </cfRule>
  </conditionalFormatting>
  <conditionalFormatting sqref="H65:I72">
    <cfRule type="cellIs" dxfId="1644" priority="66" stopIfTrue="1" operator="greaterThan">
      <formula>$J65</formula>
    </cfRule>
    <cfRule type="cellIs" dxfId="1643" priority="67" stopIfTrue="1" operator="lessThanOrEqual">
      <formula>0</formula>
    </cfRule>
  </conditionalFormatting>
  <conditionalFormatting sqref="H73:I73">
    <cfRule type="cellIs" dxfId="1642" priority="163" operator="greaterThan">
      <formula>5.3</formula>
    </cfRule>
  </conditionalFormatting>
  <conditionalFormatting sqref="H74:I74">
    <cfRule type="cellIs" dxfId="1641" priority="156" stopIfTrue="1" operator="lessThanOrEqual">
      <formula>0</formula>
    </cfRule>
    <cfRule type="cellIs" dxfId="1640" priority="155" stopIfTrue="1" operator="greaterThan">
      <formula>$J74</formula>
    </cfRule>
  </conditionalFormatting>
  <conditionalFormatting sqref="I52:I53">
    <cfRule type="cellIs" dxfId="1639" priority="18" stopIfTrue="1" operator="lessThanOrEqual">
      <formula>0</formula>
    </cfRule>
    <cfRule type="cellIs" dxfId="1638" priority="22" stopIfTrue="1" operator="lessThanOrEqual">
      <formula>0</formula>
    </cfRule>
    <cfRule type="cellIs" dxfId="1637" priority="21" stopIfTrue="1" operator="greaterThan">
      <formula>#REF!</formula>
    </cfRule>
    <cfRule type="cellIs" dxfId="1636" priority="17" stopIfTrue="1" operator="greaterThan">
      <formula>#REF!</formula>
    </cfRule>
    <cfRule type="cellIs" dxfId="1635" priority="20" stopIfTrue="1" operator="lessThanOrEqual">
      <formula>0</formula>
    </cfRule>
    <cfRule type="cellIs" dxfId="1634" priority="19" stopIfTrue="1" operator="greaterThan">
      <formula>#REF!</formula>
    </cfRule>
  </conditionalFormatting>
  <conditionalFormatting sqref="I54">
    <cfRule type="cellIs" dxfId="1633" priority="43" stopIfTrue="1" operator="lessThanOrEqual">
      <formula>0</formula>
    </cfRule>
    <cfRule type="cellIs" dxfId="1632" priority="44" stopIfTrue="1" operator="greaterThan">
      <formula>#REF!</formula>
    </cfRule>
    <cfRule type="cellIs" dxfId="1631" priority="45" stopIfTrue="1" operator="lessThanOrEqual">
      <formula>0</formula>
    </cfRule>
    <cfRule type="cellIs" dxfId="1630" priority="46" stopIfTrue="1" operator="greaterThan">
      <formula>#REF!</formula>
    </cfRule>
    <cfRule type="cellIs" dxfId="1629" priority="47" stopIfTrue="1" operator="lessThanOrEqual">
      <formula>0</formula>
    </cfRule>
    <cfRule type="cellIs" dxfId="1628" priority="42" stopIfTrue="1" operator="greaterThan">
      <formula>#REF!</formula>
    </cfRule>
  </conditionalFormatting>
  <conditionalFormatting sqref="I55">
    <cfRule type="cellIs" dxfId="1627" priority="119" stopIfTrue="1" operator="greaterThan">
      <formula>#REF!</formula>
    </cfRule>
    <cfRule type="cellIs" dxfId="1626" priority="124" stopIfTrue="1" operator="lessThanOrEqual">
      <formula>0</formula>
    </cfRule>
    <cfRule type="cellIs" dxfId="1625" priority="123" stopIfTrue="1" operator="greaterThan">
      <formula>#REF!</formula>
    </cfRule>
    <cfRule type="cellIs" dxfId="1624" priority="122" stopIfTrue="1" operator="lessThanOrEqual">
      <formula>0</formula>
    </cfRule>
    <cfRule type="cellIs" dxfId="1623" priority="120" stopIfTrue="1" operator="lessThanOrEqual">
      <formula>0</formula>
    </cfRule>
    <cfRule type="cellIs" dxfId="1622" priority="121" stopIfTrue="1" operator="greaterThan">
      <formula>$F$20</formula>
    </cfRule>
  </conditionalFormatting>
  <conditionalFormatting sqref="I56">
    <cfRule type="cellIs" dxfId="1621" priority="61" stopIfTrue="1" operator="lessThanOrEqual">
      <formula>0</formula>
    </cfRule>
    <cfRule type="cellIs" dxfId="1620" priority="56" stopIfTrue="1" operator="greaterThan">
      <formula>$F$65</formula>
    </cfRule>
    <cfRule type="cellIs" dxfId="1619" priority="57" stopIfTrue="1" operator="lessThanOrEqual">
      <formula>0</formula>
    </cfRule>
    <cfRule type="cellIs" dxfId="1618" priority="58" stopIfTrue="1" operator="greaterThan">
      <formula>$F$67</formula>
    </cfRule>
    <cfRule type="cellIs" dxfId="1617" priority="59" stopIfTrue="1" operator="lessThanOrEqual">
      <formula>0</formula>
    </cfRule>
    <cfRule type="cellIs" dxfId="1616" priority="60" stopIfTrue="1" operator="greaterThan">
      <formula>$F$65</formula>
    </cfRule>
  </conditionalFormatting>
  <conditionalFormatting sqref="I57:I58">
    <cfRule type="cellIs" dxfId="1615" priority="109" stopIfTrue="1" operator="greaterThan">
      <formula>#REF!</formula>
    </cfRule>
    <cfRule type="cellIs" dxfId="1614" priority="108" stopIfTrue="1" operator="lessThanOrEqual">
      <formula>0</formula>
    </cfRule>
    <cfRule type="cellIs" dxfId="1613" priority="107" stopIfTrue="1" operator="greaterThan">
      <formula>#REF!</formula>
    </cfRule>
    <cfRule type="cellIs" dxfId="1612" priority="106" stopIfTrue="1" operator="lessThanOrEqual">
      <formula>0</formula>
    </cfRule>
    <cfRule type="cellIs" dxfId="1611" priority="105" stopIfTrue="1" operator="greaterThan">
      <formula>#REF!</formula>
    </cfRule>
    <cfRule type="cellIs" dxfId="1610" priority="110" stopIfTrue="1" operator="lessThanOrEqual">
      <formula>0</formula>
    </cfRule>
  </conditionalFormatting>
  <conditionalFormatting sqref="I59">
    <cfRule type="cellIs" dxfId="1609" priority="137" stopIfTrue="1" operator="lessThanOrEqual">
      <formula>0</formula>
    </cfRule>
    <cfRule type="cellIs" dxfId="1608" priority="136" stopIfTrue="1" operator="greaterThan">
      <formula>$F$35</formula>
    </cfRule>
    <cfRule type="cellIs" dxfId="1607" priority="135" stopIfTrue="1" operator="lessThanOrEqual">
      <formula>0</formula>
    </cfRule>
    <cfRule type="cellIs" dxfId="1606" priority="134" stopIfTrue="1" operator="greaterThan">
      <formula>$F$33</formula>
    </cfRule>
    <cfRule type="cellIs" dxfId="1605" priority="139" stopIfTrue="1" operator="lessThanOrEqual">
      <formula>0</formula>
    </cfRule>
    <cfRule type="cellIs" dxfId="1604" priority="138" stopIfTrue="1" operator="greaterThan">
      <formula>$F$33</formula>
    </cfRule>
  </conditionalFormatting>
  <conditionalFormatting sqref="I60:I61">
    <cfRule type="cellIs" dxfId="1603" priority="92" stopIfTrue="1" operator="lessThanOrEqual">
      <formula>0</formula>
    </cfRule>
    <cfRule type="cellIs" dxfId="1602" priority="94" stopIfTrue="1" operator="lessThanOrEqual">
      <formula>0</formula>
    </cfRule>
    <cfRule type="cellIs" dxfId="1601" priority="93" stopIfTrue="1" operator="greaterThan">
      <formula>#REF!</formula>
    </cfRule>
    <cfRule type="cellIs" dxfId="1600" priority="91" stopIfTrue="1" operator="greaterThan">
      <formula>#REF!</formula>
    </cfRule>
    <cfRule type="cellIs" dxfId="1599" priority="90" stopIfTrue="1" operator="lessThanOrEqual">
      <formula>0</formula>
    </cfRule>
    <cfRule type="cellIs" dxfId="1598" priority="89" stopIfTrue="1" operator="greaterThan">
      <formula>#REF!</formula>
    </cfRule>
  </conditionalFormatting>
  <conditionalFormatting sqref="I76:I84">
    <cfRule type="cellIs" dxfId="1597" priority="187" stopIfTrue="1" operator="lessThanOrEqual">
      <formula>0</formula>
    </cfRule>
    <cfRule type="cellIs" dxfId="1596" priority="186" stopIfTrue="1" operator="greaterThan">
      <formula>4.5</formula>
    </cfRule>
  </conditionalFormatting>
  <conditionalFormatting sqref="I10:J20">
    <cfRule type="cellIs" dxfId="1595" priority="29" operator="lessThan">
      <formula>97.9</formula>
    </cfRule>
  </conditionalFormatting>
  <conditionalFormatting sqref="J24:J25">
    <cfRule type="cellIs" dxfId="1594" priority="147" operator="lessThan">
      <formula>98</formula>
    </cfRule>
    <cfRule type="cellIs" dxfId="1593" priority="145" stopIfTrue="1" operator="lessThan">
      <formula>96.8</formula>
    </cfRule>
    <cfRule type="cellIs" dxfId="1592" priority="146" stopIfTrue="1" operator="greaterThan">
      <formula>100</formula>
    </cfRule>
  </conditionalFormatting>
  <conditionalFormatting sqref="J24:J27">
    <cfRule type="cellIs" dxfId="1591" priority="144" operator="lessThan">
      <formula>97.4</formula>
    </cfRule>
  </conditionalFormatting>
  <conditionalFormatting sqref="J28:J29">
    <cfRule type="cellIs" dxfId="1590" priority="148" operator="lessThan">
      <formula>98</formula>
    </cfRule>
  </conditionalFormatting>
  <conditionalFormatting sqref="J30:J31">
    <cfRule type="cellIs" dxfId="1589" priority="149" stopIfTrue="1" operator="lessThan">
      <formula>96.8</formula>
    </cfRule>
    <cfRule type="cellIs" dxfId="1588" priority="150" stopIfTrue="1" operator="greaterThan">
      <formula>100</formula>
    </cfRule>
  </conditionalFormatting>
  <conditionalFormatting sqref="J30:J32">
    <cfRule type="cellIs" dxfId="1587" priority="151" operator="lessThan">
      <formula>98</formula>
    </cfRule>
  </conditionalFormatting>
  <conditionalFormatting sqref="J61">
    <cfRule type="cellIs" dxfId="1586" priority="84" stopIfTrue="1" operator="lessThanOrEqual">
      <formula>0</formula>
    </cfRule>
    <cfRule type="cellIs" dxfId="1585" priority="78" stopIfTrue="1" operator="lessThanOrEqual">
      <formula>0</formula>
    </cfRule>
    <cfRule type="cellIs" dxfId="1584" priority="79" stopIfTrue="1" operator="greaterThan">
      <formula>#REF!</formula>
    </cfRule>
    <cfRule type="cellIs" dxfId="1583" priority="80" stopIfTrue="1" operator="lessThanOrEqual">
      <formula>0</formula>
    </cfRule>
    <cfRule type="cellIs" dxfId="1582" priority="81" stopIfTrue="1" operator="greaterThan">
      <formula>#REF!</formula>
    </cfRule>
    <cfRule type="cellIs" dxfId="1581" priority="82" stopIfTrue="1" operator="lessThanOrEqual">
      <formula>0</formula>
    </cfRule>
    <cfRule type="cellIs" dxfId="1580" priority="83" stopIfTrue="1" operator="greaterThan">
      <formula>#REF!</formula>
    </cfRule>
    <cfRule type="cellIs" dxfId="1579" priority="77" stopIfTrue="1" operator="greaterThan">
      <formula>#REF!</formula>
    </cfRule>
  </conditionalFormatting>
  <conditionalFormatting sqref="J74">
    <cfRule type="cellIs" dxfId="1578" priority="153" stopIfTrue="1" operator="lessThanOrEqual">
      <formula>0</formula>
    </cfRule>
    <cfRule type="cellIs" dxfId="1577" priority="152" stopIfTrue="1" operator="greaterThan">
      <formula>$F74</formula>
    </cfRule>
  </conditionalFormatting>
  <conditionalFormatting sqref="K10:K20">
    <cfRule type="cellIs" dxfId="1576" priority="30" operator="greaterThan">
      <formula>6</formula>
    </cfRule>
    <cfRule type="cellIs" dxfId="1575" priority="32" operator="greaterThan">
      <formula>6.4</formula>
    </cfRule>
    <cfRule type="cellIs" dxfId="1574" priority="31" operator="lessThan">
      <formula>4</formula>
    </cfRule>
  </conditionalFormatting>
  <conditionalFormatting sqref="K52:K61">
    <cfRule type="cellIs" dxfId="1573" priority="27" stopIfTrue="1" operator="lessThan">
      <formula>100%</formula>
    </cfRule>
  </conditionalFormatting>
  <conditionalFormatting sqref="K76:K81">
    <cfRule type="cellIs" dxfId="1572" priority="192" stopIfTrue="1" operator="lessThan">
      <formula>100%</formula>
    </cfRule>
  </conditionalFormatting>
  <conditionalFormatting sqref="K83:K84">
    <cfRule type="cellIs" dxfId="1571" priority="199" stopIfTrue="1" operator="lessThan">
      <formula>100%</formula>
    </cfRule>
  </conditionalFormatting>
  <conditionalFormatting sqref="K65:N73">
    <cfRule type="cellIs" dxfId="1570" priority="129" stopIfTrue="1" operator="lessThan">
      <formula>100%</formula>
    </cfRule>
  </conditionalFormatting>
  <conditionalFormatting sqref="L10:L20">
    <cfRule type="cellIs" dxfId="1569" priority="37" operator="between">
      <formula>61</formula>
      <formula>65</formula>
    </cfRule>
    <cfRule type="cellIs" dxfId="1568" priority="38" operator="greaterThan">
      <formula>65</formula>
    </cfRule>
  </conditionalFormatting>
  <conditionalFormatting sqref="L23:M34">
    <cfRule type="cellIs" dxfId="1567" priority="69" operator="lessThan">
      <formula>97.95</formula>
    </cfRule>
  </conditionalFormatting>
  <conditionalFormatting sqref="L38:N38">
    <cfRule type="cellIs" dxfId="1566" priority="70" operator="notEqual">
      <formula>#REF!</formula>
    </cfRule>
  </conditionalFormatting>
  <conditionalFormatting sqref="L74:N74">
    <cfRule type="cellIs" dxfId="1565" priority="154" stopIfTrue="1" operator="lessThan">
      <formula>100%</formula>
    </cfRule>
  </conditionalFormatting>
  <conditionalFormatting sqref="L76:N84">
    <cfRule type="cellIs" dxfId="1564" priority="177" stopIfTrue="1" operator="lessThan">
      <formula>100%</formula>
    </cfRule>
  </conditionalFormatting>
  <conditionalFormatting sqref="M10:M19">
    <cfRule type="expression" dxfId="1563" priority="35">
      <formula>IF(+(IF(M10&lt;U10,0,IF(M10&gt;V10,0,1)))=0,1)</formula>
    </cfRule>
  </conditionalFormatting>
  <conditionalFormatting sqref="M20:N20">
    <cfRule type="expression" dxfId="1562" priority="207">
      <formula>IF(+(IF(M20&lt;#REF!,0,IF(M20&gt;#REF!,0,1)))=0,1)</formula>
    </cfRule>
  </conditionalFormatting>
  <conditionalFormatting sqref="N10:N19">
    <cfRule type="expression" dxfId="1561" priority="28">
      <formula>IF(+(IF(N10&lt;W10,0,IF(N10&gt;X10,0,1)))=0,1)</formula>
    </cfRule>
  </conditionalFormatting>
  <conditionalFormatting sqref="P6">
    <cfRule type="cellIs" dxfId="1560" priority="173" operator="greaterThanOrEqual">
      <formula>19</formula>
    </cfRule>
  </conditionalFormatting>
  <dataValidations count="1">
    <dataValidation type="list" allowBlank="1" showInputMessage="1" showErrorMessage="1" sqref="R8" xr:uid="{19D69FFA-F94C-4772-819E-838ABEAEED58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1F751-5390-4270-9C0C-3C8980BFADFC}">
  <sheetPr codeName="Sheet15">
    <pageSetUpPr fitToPage="1"/>
  </sheetPr>
  <dimension ref="A1:BE77"/>
  <sheetViews>
    <sheetView topLeftCell="A3" zoomScale="80" zoomScaleNormal="80" workbookViewId="0">
      <selection activeCell="B16" sqref="B16:O16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46044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[4]Brewhouse!$A94</f>
        <v>CA053</v>
      </c>
      <c r="D10" s="279">
        <f>[4]Brewhouse!$AF94</f>
        <v>54.7</v>
      </c>
      <c r="E10" s="279">
        <f>[4]Brewhouse!$AI94</f>
        <v>52.7</v>
      </c>
      <c r="F10" s="278">
        <f>[4]Brewhouse!$V94</f>
        <v>69</v>
      </c>
      <c r="G10" s="279">
        <f>[4]Brewhouse!AG94</f>
        <v>11.7</v>
      </c>
      <c r="H10" s="396">
        <v>11.6</v>
      </c>
      <c r="I10" s="368">
        <f>[4]Brewhouse!$AU94</f>
        <v>102.05296320797829</v>
      </c>
      <c r="J10" s="368">
        <f>[4]Brewhouse!$AV94</f>
        <v>101.70813860659852</v>
      </c>
      <c r="K10" s="281">
        <f>[4]Brewhouse!$Q94</f>
        <v>-1.6572504708097977</v>
      </c>
      <c r="L10" s="276">
        <f>[4]Brewhouse!$P94</f>
        <v>60</v>
      </c>
      <c r="M10" s="397">
        <f>[4]Brewhouse!$U94-[4]Brewhouse!$T94</f>
        <v>0.12847222222222224</v>
      </c>
      <c r="N10" s="370">
        <f>[4]Brewhouse!$Z94</f>
        <v>0.28055555555555556</v>
      </c>
      <c r="O10" s="420" t="str">
        <f>[4]Brewhouse!$AX94</f>
        <v>R. Regis</v>
      </c>
      <c r="P10" s="418"/>
      <c r="R10" s="277" t="str">
        <f t="shared" ref="R10:R21" si="0">B10</f>
        <v>CARIB</v>
      </c>
      <c r="S10" s="474">
        <f t="shared" ref="S10:S21" si="1">VLOOKUP($B10,$R$3:$X$9,2,FALSE)</f>
        <v>11.6</v>
      </c>
      <c r="T10" s="474">
        <f t="shared" ref="T10:T21" si="2">VLOOKUP($B10,$R$3:$X$9,3,FALSE)</f>
        <v>12</v>
      </c>
      <c r="U10" s="297">
        <f t="shared" ref="U10:U21" si="3">VLOOKUP($B10,$R$3:$X$9,4,FALSE)</f>
        <v>0</v>
      </c>
      <c r="V10" s="297">
        <f t="shared" ref="V10:V21" si="4">VLOOKUP($B10,$R$3:$X$9,5,FALSE)</f>
        <v>0.118055555555556</v>
      </c>
      <c r="W10" s="297">
        <f t="shared" ref="W10:W21" si="5">VLOOKUP($B10,$R$3:$X$9,6,FALSE)</f>
        <v>0.22569444444444445</v>
      </c>
      <c r="X10" s="297">
        <f t="shared" ref="X10:X21" si="6">VLOOKUP($B10,$R$3:$X$9,7,FALSE)</f>
        <v>0.2638888888888889</v>
      </c>
      <c r="Y10" s="297">
        <f t="shared" ref="Y10:Y21" si="7">VLOOKUP($B10,$R$3:$Z$9,8,FALSE)</f>
        <v>0</v>
      </c>
      <c r="Z10" s="474">
        <f t="shared" ref="Z10:Z21" si="8">VLOOKUP($B10,$R$3:$Z$9,9,FALSE)</f>
        <v>60</v>
      </c>
    </row>
    <row r="11" spans="2:29" ht="16.5" customHeight="1">
      <c r="B11" s="29" t="s">
        <v>6</v>
      </c>
      <c r="C11" s="366" t="str">
        <f>[4]Brewhouse!$A95</f>
        <v>CA054</v>
      </c>
      <c r="D11" s="279">
        <f>[4]Brewhouse!$AF95</f>
        <v>51.8</v>
      </c>
      <c r="E11" s="279">
        <f>[4]Brewhouse!$AI95</f>
        <v>49.43</v>
      </c>
      <c r="F11" s="278">
        <f>[4]Brewhouse!$V95</f>
        <v>84</v>
      </c>
      <c r="G11" s="279">
        <f>[4]Brewhouse!AG95</f>
        <v>11.6</v>
      </c>
      <c r="H11" s="396">
        <v>11.6</v>
      </c>
      <c r="I11" s="368">
        <f>[4]Brewhouse!$AU95</f>
        <v>95.560767955537841</v>
      </c>
      <c r="J11" s="368">
        <f>[4]Brewhouse!$AV95</f>
        <v>95.238034072211093</v>
      </c>
      <c r="K11" s="281">
        <f>[4]Brewhouse!$Q95</f>
        <v>-2.1599999999999966</v>
      </c>
      <c r="L11" s="276">
        <f>[4]Brewhouse!$P95</f>
        <v>60</v>
      </c>
      <c r="M11" s="397">
        <f>[4]Brewhouse!$U95-[4]Brewhouse!$T95</f>
        <v>0.1333333333333333</v>
      </c>
      <c r="N11" s="370">
        <f>[4]Brewhouse!$Z95</f>
        <v>0.2895833333333333</v>
      </c>
      <c r="O11" s="420" t="str">
        <f>[4]Brewhouse!$AX95</f>
        <v>R.Sookram</v>
      </c>
      <c r="P11" s="418"/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420"/>
      <c r="P12" s="418"/>
      <c r="R12" s="277">
        <f t="shared" si="0"/>
        <v>0</v>
      </c>
      <c r="S12" s="474" t="e">
        <f t="shared" si="1"/>
        <v>#N/A</v>
      </c>
      <c r="T12" s="474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474" t="e">
        <f t="shared" si="8"/>
        <v>#N/A</v>
      </c>
    </row>
    <row r="13" spans="2:29" ht="16.5" customHeight="1">
      <c r="B13" s="33" t="s">
        <v>9</v>
      </c>
      <c r="C13" s="366" t="str">
        <f>[5]Brewhouse!$A62</f>
        <v>ST012</v>
      </c>
      <c r="D13" s="279">
        <f>[5]Brewhouse!$AB62</f>
        <v>50</v>
      </c>
      <c r="E13" s="279">
        <f>[5]Brewhouse!$AG62</f>
        <v>48.3</v>
      </c>
      <c r="F13" s="278">
        <f>[5]Brewhouse!$V62</f>
        <v>51</v>
      </c>
      <c r="G13" s="279">
        <f>[5]Brewhouse!$AE62</f>
        <v>12</v>
      </c>
      <c r="H13" s="396">
        <v>11.8</v>
      </c>
      <c r="I13" s="368">
        <f>[5]Brewhouse!$AS62</f>
        <v>98.239543519521192</v>
      </c>
      <c r="J13" s="368">
        <f>[5]Brewhouse!$AT62</f>
        <v>97.959585454142868</v>
      </c>
      <c r="K13" s="281">
        <f>[5]Brewhouse!$Q62</f>
        <v>3.9500000000000028</v>
      </c>
      <c r="L13" s="276">
        <f>[5]Brewhouse!$P62</f>
        <v>57</v>
      </c>
      <c r="M13" s="374">
        <f>[5]Brewhouse!$U62-[5]Brewhouse!$T62</f>
        <v>0.11805555555555547</v>
      </c>
      <c r="N13" s="370">
        <f>[5]Brewhouse!$AW62</f>
        <v>0.27430555555555552</v>
      </c>
      <c r="O13" s="371" t="str">
        <f>[5]Brewhouse!$AV62</f>
        <v>R.Sookram</v>
      </c>
      <c r="P13" s="418"/>
      <c r="R13" s="277" t="str">
        <f t="shared" si="0"/>
        <v>STAG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33" t="s">
        <v>9</v>
      </c>
      <c r="C14" s="366" t="str">
        <f>[5]Brewhouse!$A63</f>
        <v>ST013</v>
      </c>
      <c r="D14" s="279">
        <f>[5]Brewhouse!$AB63</f>
        <v>52</v>
      </c>
      <c r="E14" s="279">
        <f>[5]Brewhouse!$AG63</f>
        <v>49</v>
      </c>
      <c r="F14" s="278">
        <f>[5]Brewhouse!$V63</f>
        <v>51</v>
      </c>
      <c r="G14" s="279">
        <f>[5]Brewhouse!$AE63</f>
        <v>11.8</v>
      </c>
      <c r="H14" s="396">
        <v>11.7</v>
      </c>
      <c r="I14" s="368">
        <f>[5]Brewhouse!$AS63</f>
        <v>98.533695545018929</v>
      </c>
      <c r="J14" s="368">
        <f>[5]Brewhouse!$AT63</f>
        <v>98.253363096955866</v>
      </c>
      <c r="K14" s="281">
        <f>[5]Brewhouse!$Q63</f>
        <v>3.6057692307692304</v>
      </c>
      <c r="L14" s="276">
        <f>[5]Brewhouse!$P63</f>
        <v>60</v>
      </c>
      <c r="M14" s="374">
        <f>[5]Brewhouse!$U63-[5]Brewhouse!$T63</f>
        <v>0.12569444444444444</v>
      </c>
      <c r="N14" s="370">
        <f>[5]Brewhouse!$AW63</f>
        <v>0.26944444444444449</v>
      </c>
      <c r="O14" s="371" t="str">
        <f>[5]Brewhouse!$AV63</f>
        <v>K. Benjamin</v>
      </c>
      <c r="P14" s="418"/>
      <c r="R14" s="277" t="str">
        <f t="shared" si="0"/>
        <v>STAG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33" t="s">
        <v>9</v>
      </c>
      <c r="C15" s="366" t="str">
        <f>[5]Brewhouse!$A64</f>
        <v>ST014</v>
      </c>
      <c r="D15" s="279">
        <f>[5]Brewhouse!$AB64</f>
        <v>52</v>
      </c>
      <c r="E15" s="279">
        <f>[5]Brewhouse!$AG64</f>
        <v>52.1</v>
      </c>
      <c r="F15" s="278">
        <f>[5]Brewhouse!$V64</f>
        <v>56</v>
      </c>
      <c r="G15" s="279">
        <f>[5]Brewhouse!$AE64</f>
        <v>12</v>
      </c>
      <c r="H15" s="396">
        <v>11.8</v>
      </c>
      <c r="I15" s="368">
        <f>[5]Brewhouse!$AS64</f>
        <v>106.23422780270799</v>
      </c>
      <c r="J15" s="368">
        <f>[5]Brewhouse!$AT64</f>
        <v>105.9316861906054</v>
      </c>
      <c r="K15" s="281">
        <f>[5]Brewhouse!$Q64</f>
        <v>0.33653846153845607</v>
      </c>
      <c r="L15" s="276">
        <f>[5]Brewhouse!$P64</f>
        <v>60</v>
      </c>
      <c r="M15" s="374">
        <f>[5]Brewhouse!$U64-[5]Brewhouse!$T64</f>
        <v>0.13055555555555554</v>
      </c>
      <c r="N15" s="370">
        <f>[5]Brewhouse!$AW64</f>
        <v>0.28125</v>
      </c>
      <c r="O15" s="371" t="str">
        <f>[5]Brewhouse!$AV64</f>
        <v>K. Benjamin</v>
      </c>
      <c r="P15" s="418"/>
      <c r="R15" s="277" t="str">
        <f t="shared" si="0"/>
        <v>STAG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33" t="s">
        <v>9</v>
      </c>
      <c r="C16" s="366" t="str">
        <f>[5]Brewhouse!$A65</f>
        <v>ST015</v>
      </c>
      <c r="D16" s="279">
        <f>[5]Brewhouse!$AB65</f>
        <v>52</v>
      </c>
      <c r="E16" s="279">
        <f>[5]Brewhouse!$AG65</f>
        <v>49.75</v>
      </c>
      <c r="F16" s="278">
        <f>[5]Brewhouse!$V65</f>
        <v>61</v>
      </c>
      <c r="G16" s="279">
        <f>[5]Brewhouse!$AE65</f>
        <v>12</v>
      </c>
      <c r="H16" s="396">
        <v>11.9</v>
      </c>
      <c r="I16" s="368">
        <f>[5]Brewhouse!$AS65</f>
        <v>101.82543081774969</v>
      </c>
      <c r="J16" s="368">
        <f>[5]Brewhouse!$AT65</f>
        <v>101.53573324639275</v>
      </c>
      <c r="K16" s="281">
        <f>[5]Brewhouse!$Q65</f>
        <v>1.1057692307692224</v>
      </c>
      <c r="L16" s="276">
        <f>[5]Brewhouse!$P65</f>
        <v>63</v>
      </c>
      <c r="M16" s="374">
        <f>[5]Brewhouse!$U65-[5]Brewhouse!$T65</f>
        <v>0.11736111111111103</v>
      </c>
      <c r="N16" s="370">
        <f>[5]Brewhouse!$AW65</f>
        <v>0.28611111111111109</v>
      </c>
      <c r="O16" s="371" t="str">
        <f>[5]Brewhouse!$AV65</f>
        <v>K. Benjamin</v>
      </c>
      <c r="P16" s="418" t="s">
        <v>210</v>
      </c>
      <c r="R16" s="277" t="str">
        <f t="shared" si="0"/>
        <v>STAG</v>
      </c>
      <c r="S16" s="474">
        <f t="shared" si="1"/>
        <v>11.6</v>
      </c>
      <c r="T16" s="474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4">
        <f t="shared" si="8"/>
        <v>60</v>
      </c>
    </row>
    <row r="17" spans="1:27" ht="16.5" customHeight="1">
      <c r="B17" s="33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6.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8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ref="R22:R37" si="9">B22</f>
        <v>0</v>
      </c>
      <c r="S22" s="474" t="e">
        <f t="shared" ref="S22:S37" si="10">VLOOKUP($B22,$R$3:$X$9,2,FALSE)</f>
        <v>#N/A</v>
      </c>
      <c r="T22" s="474" t="e">
        <f t="shared" ref="T22:T37" si="11">VLOOKUP($B22,$R$3:$X$9,3,FALSE)</f>
        <v>#N/A</v>
      </c>
      <c r="U22" s="297" t="e">
        <f t="shared" ref="U22:U37" si="12">VLOOKUP($B22,$R$3:$X$9,4,FALSE)</f>
        <v>#N/A</v>
      </c>
      <c r="V22" s="297" t="e">
        <f t="shared" ref="V22:V37" si="13">VLOOKUP($B22,$R$3:$X$9,5,FALSE)</f>
        <v>#N/A</v>
      </c>
      <c r="W22" s="297" t="e">
        <f t="shared" ref="W22:W37" si="14">VLOOKUP($B22,$R$3:$X$9,6,FALSE)</f>
        <v>#N/A</v>
      </c>
      <c r="X22" s="297" t="e">
        <f t="shared" ref="X22:X37" si="15">VLOOKUP($B22,$R$3:$X$9,7,FALSE)</f>
        <v>#N/A</v>
      </c>
      <c r="Y22" s="297" t="e">
        <f t="shared" ref="Y22:Y37" si="16">VLOOKUP($B22,$R$3:$Z$9,8,FALSE)</f>
        <v>#N/A</v>
      </c>
      <c r="Z22" s="474" t="e">
        <f t="shared" ref="Z22:Z37" si="17">VLOOKUP($B22,$R$3:$Z$9,9,FALSE)</f>
        <v>#N/A</v>
      </c>
    </row>
    <row r="23" spans="1:27" ht="16.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9"/>
        <v>0</v>
      </c>
      <c r="S23" s="474" t="e">
        <f t="shared" si="10"/>
        <v>#N/A</v>
      </c>
      <c r="T23" s="474" t="e">
        <f t="shared" si="11"/>
        <v>#N/A</v>
      </c>
      <c r="U23" s="297" t="e">
        <f t="shared" si="12"/>
        <v>#N/A</v>
      </c>
      <c r="V23" s="297" t="e">
        <f t="shared" si="13"/>
        <v>#N/A</v>
      </c>
      <c r="W23" s="297" t="e">
        <f t="shared" si="14"/>
        <v>#N/A</v>
      </c>
      <c r="X23" s="297" t="e">
        <f t="shared" si="15"/>
        <v>#N/A</v>
      </c>
      <c r="Y23" s="297" t="e">
        <f t="shared" si="16"/>
        <v>#N/A</v>
      </c>
      <c r="Z23" s="474" t="e">
        <f t="shared" si="17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40"/>
      <c r="J24" s="540"/>
      <c r="K24" s="540"/>
      <c r="L24" s="540"/>
      <c r="M24" s="540"/>
      <c r="N24" s="540"/>
      <c r="O24" s="1"/>
      <c r="P24" s="12"/>
      <c r="R24" s="277">
        <f t="shared" si="9"/>
        <v>0</v>
      </c>
      <c r="S24" s="474" t="e">
        <f t="shared" si="10"/>
        <v>#N/A</v>
      </c>
      <c r="T24" s="474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474" t="e">
        <f t="shared" si="17"/>
        <v>#N/A</v>
      </c>
    </row>
    <row r="25" spans="1:27" ht="15.75" customHeight="1" thickBot="1">
      <c r="B25" s="388" t="s">
        <v>162</v>
      </c>
      <c r="C25" s="388"/>
      <c r="D25" s="541" t="s">
        <v>35</v>
      </c>
      <c r="E25" s="542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9"/>
        <v xml:space="preserve">BRAND </v>
      </c>
      <c r="S25" s="474" t="e">
        <f t="shared" si="10"/>
        <v>#N/A</v>
      </c>
      <c r="T25" s="474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474" t="e">
        <f t="shared" si="17"/>
        <v>#N/A</v>
      </c>
    </row>
    <row r="26" spans="1:27" ht="15" customHeight="1">
      <c r="A26" s="28"/>
      <c r="B26" s="543"/>
      <c r="C26" s="362"/>
      <c r="D26" s="546"/>
      <c r="E26" s="547"/>
      <c r="F26" s="294"/>
      <c r="G26" s="294"/>
      <c r="H26" s="348"/>
      <c r="I26" s="29" t="s">
        <v>6</v>
      </c>
      <c r="J26" s="280">
        <f>AVERAGE(I10:I11)</f>
        <v>98.806865581758075</v>
      </c>
      <c r="K26" s="284">
        <f>COUNTA([4]Brewhouse!$A$42:$A$95)</f>
        <v>54</v>
      </c>
      <c r="L26" s="305">
        <f>AVERAGE([4]Brewhouse!$AU$42:$AU$95)</f>
        <v>98.244133300629926</v>
      </c>
      <c r="M26" s="305">
        <f>AVERAGE([4]Brewhouse!$AU$42:$AU$95)</f>
        <v>98.244133300629926</v>
      </c>
      <c r="N26" s="30">
        <v>98</v>
      </c>
      <c r="O26" s="11"/>
      <c r="P26" s="31"/>
      <c r="R26" s="277">
        <f t="shared" si="9"/>
        <v>0</v>
      </c>
      <c r="S26" s="474" t="e">
        <f t="shared" si="10"/>
        <v>#N/A</v>
      </c>
      <c r="T26" s="474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474" t="e">
        <f t="shared" si="17"/>
        <v>#N/A</v>
      </c>
    </row>
    <row r="27" spans="1:27" ht="15" customHeight="1">
      <c r="A27" s="28"/>
      <c r="B27" s="544"/>
      <c r="C27" s="362"/>
      <c r="D27" s="548"/>
      <c r="E27" s="532"/>
      <c r="F27" s="294"/>
      <c r="G27" s="294"/>
      <c r="H27" s="348"/>
      <c r="I27" s="33" t="s">
        <v>9</v>
      </c>
      <c r="J27" s="280">
        <f>AVERAGE(I13:I16)</f>
        <v>101.20822442124945</v>
      </c>
      <c r="K27" s="284">
        <f>COUNTA([5]Brewhouse!$A$52:$A$65)</f>
        <v>14</v>
      </c>
      <c r="L27" s="302">
        <f>AVERAGE([5]Brewhouse!$AS$52:$AS$65)</f>
        <v>99.833537203795117</v>
      </c>
      <c r="M27" s="302">
        <f>AVERAGE([5]Brewhouse!$AS$52:$AS$65)</f>
        <v>99.833537203795117</v>
      </c>
      <c r="N27" s="30">
        <v>98</v>
      </c>
      <c r="O27" s="11"/>
      <c r="P27" s="31"/>
      <c r="R27" s="277">
        <f t="shared" si="9"/>
        <v>0</v>
      </c>
      <c r="S27" s="474" t="e">
        <f t="shared" si="10"/>
        <v>#N/A</v>
      </c>
      <c r="T27" s="474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474" t="e">
        <f t="shared" si="17"/>
        <v>#N/A</v>
      </c>
    </row>
    <row r="28" spans="1:27" ht="14.65" customHeight="1">
      <c r="A28" s="28"/>
      <c r="B28" s="544"/>
      <c r="C28" s="362"/>
      <c r="D28" s="536"/>
      <c r="E28" s="537"/>
      <c r="F28" s="294"/>
      <c r="G28" s="294"/>
      <c r="H28" s="348"/>
      <c r="I28" s="34" t="s">
        <v>12</v>
      </c>
      <c r="J28" s="280"/>
      <c r="K28" s="284">
        <f>COUNTA([3]Brewhouse!$A$16:$A$23)</f>
        <v>8</v>
      </c>
      <c r="L28" s="302">
        <f>AVERAGE([3]Brewhouse!$AU$16:$AU$23)</f>
        <v>97.765204759801577</v>
      </c>
      <c r="M28" s="302">
        <f>AVERAGE([3]Brewhouse!$AU$16:$AU$23)</f>
        <v>97.765204759801577</v>
      </c>
      <c r="N28" s="30">
        <v>98</v>
      </c>
      <c r="O28" s="11"/>
      <c r="P28" s="31"/>
      <c r="R28" s="277">
        <f t="shared" si="9"/>
        <v>0</v>
      </c>
      <c r="S28" s="474" t="e">
        <f t="shared" si="10"/>
        <v>#N/A</v>
      </c>
      <c r="T28" s="474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474" t="e">
        <f t="shared" si="17"/>
        <v>#N/A</v>
      </c>
    </row>
    <row r="29" spans="1:27" ht="14.65" customHeight="1">
      <c r="A29" s="28"/>
      <c r="B29" s="544"/>
      <c r="C29" s="362"/>
      <c r="D29" s="531"/>
      <c r="E29" s="532"/>
      <c r="F29" s="294"/>
      <c r="G29" s="294"/>
      <c r="H29" s="348"/>
      <c r="I29" s="22" t="s">
        <v>33</v>
      </c>
      <c r="J29" s="280"/>
      <c r="K29" s="284">
        <f>COUNTA([6]Brewhouse!$A$23:$A$26)</f>
        <v>4</v>
      </c>
      <c r="L29" s="302">
        <f>AVERAGE([6]Brewhouse!$AV$23:$AV$26)</f>
        <v>98.342483899212951</v>
      </c>
      <c r="M29" s="302">
        <f>AVERAGE([6]Brewhouse!$AV$23:$AV$26)</f>
        <v>98.342483899212951</v>
      </c>
      <c r="N29" s="30">
        <v>98</v>
      </c>
      <c r="O29" s="11"/>
      <c r="P29" s="31"/>
      <c r="R29" s="277">
        <f t="shared" si="9"/>
        <v>0</v>
      </c>
      <c r="S29" s="474" t="e">
        <f t="shared" si="10"/>
        <v>#N/A</v>
      </c>
      <c r="T29" s="474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474" t="e">
        <f t="shared" si="17"/>
        <v>#N/A</v>
      </c>
    </row>
    <row r="30" spans="1:27" ht="14.65" customHeight="1">
      <c r="A30" s="28"/>
      <c r="B30" s="544"/>
      <c r="C30" s="362"/>
      <c r="D30" s="536"/>
      <c r="E30" s="537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9"/>
        <v>0</v>
      </c>
      <c r="S30" s="474" t="e">
        <f t="shared" si="10"/>
        <v>#N/A</v>
      </c>
      <c r="T30" s="474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474" t="e">
        <f t="shared" si="17"/>
        <v>#N/A</v>
      </c>
    </row>
    <row r="31" spans="1:27" ht="14.65" customHeight="1">
      <c r="A31" s="28"/>
      <c r="B31" s="544"/>
      <c r="C31" s="362"/>
      <c r="D31" s="531"/>
      <c r="E31" s="532"/>
      <c r="F31" s="417"/>
      <c r="G31" s="294"/>
      <c r="H31" s="348"/>
      <c r="I31" s="36" t="s">
        <v>15</v>
      </c>
      <c r="J31" s="323"/>
      <c r="K31" s="284">
        <f>COUNTA([7]Brewhouse!$A$13:$A$20)</f>
        <v>8</v>
      </c>
      <c r="L31" s="302" t="e">
        <f>AVERAGE([7]Brewhouse!$AT$13:$AT$20)</f>
        <v>#DIV/0!</v>
      </c>
      <c r="M31" s="302" t="e">
        <f>AVERAGE([7]Brewhouse!$AT$13:$AT$20)</f>
        <v>#DIV/0!</v>
      </c>
      <c r="N31" s="30">
        <v>98</v>
      </c>
      <c r="O31" s="11"/>
      <c r="P31" s="31"/>
      <c r="R31" s="277">
        <f t="shared" si="9"/>
        <v>0</v>
      </c>
      <c r="S31" s="474" t="e">
        <f t="shared" si="10"/>
        <v>#N/A</v>
      </c>
      <c r="T31" s="474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474" t="e">
        <f t="shared" si="17"/>
        <v>#N/A</v>
      </c>
      <c r="AA31" s="474"/>
    </row>
    <row r="32" spans="1:27" ht="14.65" customHeight="1">
      <c r="A32" s="28"/>
      <c r="B32" s="544"/>
      <c r="C32" s="362"/>
      <c r="D32" s="536"/>
      <c r="E32" s="537"/>
      <c r="F32" s="417"/>
      <c r="G32" s="294"/>
      <c r="H32" s="348"/>
      <c r="I32" s="37" t="s">
        <v>16</v>
      </c>
      <c r="J32" s="323"/>
      <c r="K32" s="284">
        <f>COUNTA([8]Brewhouse!$A$5:$A$7)</f>
        <v>3</v>
      </c>
      <c r="L32" s="302">
        <f>AVERAGE([8]Brewhouse!$AY$5:$AY$7)</f>
        <v>98.128633252159673</v>
      </c>
      <c r="M32" s="302">
        <f>AVERAGE([8]Brewhouse!$AY$5:$AY$7)</f>
        <v>98.128633252159673</v>
      </c>
      <c r="N32" s="30">
        <v>98</v>
      </c>
      <c r="O32" s="11"/>
      <c r="P32" s="31" t="s">
        <v>41</v>
      </c>
      <c r="R32" s="277">
        <f t="shared" si="9"/>
        <v>0</v>
      </c>
      <c r="S32" s="474" t="e">
        <f t="shared" si="10"/>
        <v>#N/A</v>
      </c>
      <c r="T32" s="474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474" t="e">
        <f t="shared" si="17"/>
        <v>#N/A</v>
      </c>
      <c r="AA32" s="474"/>
    </row>
    <row r="33" spans="1:56" ht="14.65" customHeight="1">
      <c r="A33" s="28"/>
      <c r="B33" s="544"/>
      <c r="C33" s="362"/>
      <c r="D33" s="531"/>
      <c r="E33" s="532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9"/>
        <v>0</v>
      </c>
      <c r="S33" s="474" t="e">
        <f t="shared" si="10"/>
        <v>#N/A</v>
      </c>
      <c r="T33" s="474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4" t="e">
        <f t="shared" si="17"/>
        <v>#N/A</v>
      </c>
      <c r="AA33" s="474"/>
    </row>
    <row r="34" spans="1:56" ht="14.65" customHeight="1">
      <c r="A34" s="28"/>
      <c r="B34" s="544"/>
      <c r="C34" s="349"/>
      <c r="D34" s="536"/>
      <c r="E34" s="537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9"/>
        <v>0</v>
      </c>
      <c r="S34" s="474" t="e">
        <f t="shared" si="10"/>
        <v>#N/A</v>
      </c>
      <c r="T34" s="474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4" t="e">
        <f t="shared" si="17"/>
        <v>#N/A</v>
      </c>
      <c r="AA34" s="474"/>
    </row>
    <row r="35" spans="1:56" ht="15" customHeight="1" thickBot="1">
      <c r="A35" s="28"/>
      <c r="B35" s="544"/>
      <c r="C35" s="349"/>
      <c r="D35" s="531"/>
      <c r="E35" s="532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9"/>
        <v>0</v>
      </c>
      <c r="S35" s="474" t="e">
        <f t="shared" si="10"/>
        <v>#N/A</v>
      </c>
      <c r="T35" s="474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4" t="e">
        <f t="shared" si="17"/>
        <v>#N/A</v>
      </c>
      <c r="AA35" s="474"/>
    </row>
    <row r="36" spans="1:56" ht="15" customHeight="1" thickBot="1">
      <c r="A36" s="28"/>
      <c r="B36" s="544"/>
      <c r="C36" s="349"/>
      <c r="D36" s="546"/>
      <c r="E36" s="547"/>
      <c r="F36" s="294"/>
      <c r="G36" s="294"/>
      <c r="H36" s="348"/>
      <c r="I36" s="1"/>
      <c r="J36" s="39"/>
      <c r="K36" s="404">
        <f>SUM(K26:K35)</f>
        <v>91</v>
      </c>
      <c r="L36" s="405" t="e">
        <f>((L26*K26)+(L27*K27)+(L28*K28)+(L29*K29)+(L30*K30)+(K33*L33)+(L31*K31)+(L32*K32)+(L35*K35))/(K36)</f>
        <v>#DIV/0!</v>
      </c>
      <c r="M36" s="405" t="e">
        <f>L36</f>
        <v>#DIV/0!</v>
      </c>
      <c r="N36" s="40">
        <v>98</v>
      </c>
      <c r="O36" s="11"/>
      <c r="P36" s="31"/>
      <c r="R36" s="277">
        <f t="shared" si="9"/>
        <v>0</v>
      </c>
      <c r="S36" s="474" t="e">
        <f t="shared" si="10"/>
        <v>#N/A</v>
      </c>
      <c r="T36" s="474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4" t="e">
        <f t="shared" si="17"/>
        <v>#N/A</v>
      </c>
      <c r="AA36" s="474"/>
    </row>
    <row r="37" spans="1:56" ht="15.75" thickBot="1">
      <c r="B37" s="545"/>
      <c r="C37" s="350"/>
      <c r="D37" s="548"/>
      <c r="E37" s="532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9"/>
        <v>0</v>
      </c>
      <c r="S37" s="474" t="e">
        <f t="shared" si="10"/>
        <v>#N/A</v>
      </c>
      <c r="T37" s="474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4" t="e">
        <f t="shared" si="17"/>
        <v>#N/A</v>
      </c>
      <c r="AA37" s="474"/>
    </row>
    <row r="38" spans="1:56" ht="15.75" thickBot="1">
      <c r="B38" s="526"/>
      <c r="C38" s="362"/>
      <c r="D38" s="529"/>
      <c r="E38" s="530"/>
      <c r="F38" s="294"/>
      <c r="G38" s="42"/>
      <c r="H38" s="41"/>
      <c r="I38" s="42"/>
      <c r="J38" s="533" t="s">
        <v>129</v>
      </c>
      <c r="K38" s="533"/>
      <c r="L38" s="294"/>
      <c r="M38" s="294"/>
      <c r="N38" s="294"/>
      <c r="O38" s="294"/>
      <c r="P38" s="12"/>
    </row>
    <row r="39" spans="1:56" ht="15.75" thickBot="1">
      <c r="B39" s="527"/>
      <c r="C39" s="362"/>
      <c r="D39" s="531"/>
      <c r="E39" s="532"/>
      <c r="F39" s="294"/>
      <c r="G39" s="42"/>
      <c r="H39" s="42"/>
      <c r="I39" s="42"/>
      <c r="J39" s="292" t="s">
        <v>17</v>
      </c>
      <c r="K39" s="293" t="s">
        <v>147</v>
      </c>
      <c r="L39" s="534" t="s">
        <v>136</v>
      </c>
      <c r="M39" s="534"/>
      <c r="N39" s="535"/>
      <c r="O39" s="294"/>
      <c r="P39" s="12"/>
    </row>
    <row r="40" spans="1:56" ht="15" customHeight="1" thickBot="1">
      <c r="B40" s="527"/>
      <c r="C40" s="349"/>
      <c r="D40" s="536"/>
      <c r="E40" s="537"/>
      <c r="F40" s="294"/>
      <c r="G40" s="42"/>
      <c r="H40" s="42"/>
      <c r="I40" s="42"/>
      <c r="J40" s="287" t="s">
        <v>6</v>
      </c>
      <c r="K40" s="324">
        <v>3</v>
      </c>
      <c r="L40" s="475" t="s">
        <v>37</v>
      </c>
      <c r="M40" s="476" t="s">
        <v>38</v>
      </c>
      <c r="N40" s="476" t="s">
        <v>84</v>
      </c>
      <c r="O40" s="294"/>
      <c r="P40" s="12"/>
    </row>
    <row r="41" spans="1:56" ht="15.75" customHeight="1" thickBot="1">
      <c r="B41" s="527"/>
      <c r="C41" s="349"/>
      <c r="D41" s="531"/>
      <c r="E41" s="532"/>
      <c r="F41" s="294"/>
      <c r="G41" s="42"/>
      <c r="H41" s="42"/>
      <c r="I41" s="42"/>
      <c r="J41" s="345" t="s">
        <v>9</v>
      </c>
      <c r="K41" s="324"/>
      <c r="L41" s="344">
        <f>AVERAGE('Jan 2nd'!K45,'Jan 5th'!K45,'Jan 6th'!K49,'Jan 7th'!K49,'Jan 8th '!K44,'Jan 9th-10th'!J58,'Jan 9th-10th'!K58,'Jan12th '!K50,Jan13th!K45,Jan14th!K53,Jan15th!K50,K50,'Jan16-18th'!I53,'Jan16-18th'!J53,'Jan16-18th'!K53,'Jan19th '!K55,Jan20th!K47)</f>
        <v>5.8235294117647056</v>
      </c>
      <c r="M41" s="325">
        <f>AVERAGE(L41)</f>
        <v>5.8235294117647056</v>
      </c>
      <c r="N41" s="416">
        <v>9.1999999999999993</v>
      </c>
      <c r="O41" s="294"/>
      <c r="P41" s="12"/>
    </row>
    <row r="42" spans="1:56" ht="15" customHeight="1">
      <c r="B42" s="527"/>
      <c r="C42" s="349"/>
      <c r="D42" s="536"/>
      <c r="E42" s="537"/>
      <c r="F42" s="294"/>
      <c r="G42" s="42"/>
      <c r="H42" s="42"/>
      <c r="I42" s="42"/>
      <c r="J42" s="288" t="s">
        <v>40</v>
      </c>
      <c r="K42" s="324">
        <v>4</v>
      </c>
      <c r="L42" s="294"/>
      <c r="M42" s="294"/>
      <c r="N42" s="294"/>
      <c r="O42" s="294"/>
      <c r="P42" s="12"/>
    </row>
    <row r="43" spans="1:56" ht="15" customHeight="1">
      <c r="B43" s="527"/>
      <c r="C43" s="349"/>
      <c r="D43" s="531"/>
      <c r="E43" s="532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7"/>
      <c r="C44" s="349"/>
      <c r="D44" s="536"/>
      <c r="E44" s="537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7"/>
      <c r="C45" s="349"/>
      <c r="D45" s="531"/>
      <c r="E45" s="532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7"/>
      <c r="C46" s="349"/>
      <c r="D46" s="536"/>
      <c r="E46" s="53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8"/>
      <c r="C47" s="350"/>
      <c r="D47" s="538"/>
      <c r="E47" s="539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9"/>
      <c r="E48" s="520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7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11" t="s">
        <v>17</v>
      </c>
      <c r="C53" s="511" t="s">
        <v>44</v>
      </c>
      <c r="D53" s="522" t="s">
        <v>45</v>
      </c>
      <c r="E53" s="524" t="s">
        <v>46</v>
      </c>
      <c r="F53" s="517" t="s">
        <v>47</v>
      </c>
      <c r="G53" s="509" t="s">
        <v>48</v>
      </c>
      <c r="H53" s="511" t="s">
        <v>49</v>
      </c>
      <c r="I53" s="511" t="s">
        <v>50</v>
      </c>
      <c r="J53" s="503" t="s">
        <v>28</v>
      </c>
      <c r="K53" s="513" t="s">
        <v>51</v>
      </c>
      <c r="L53" s="515" t="s">
        <v>52</v>
      </c>
      <c r="M53" s="503" t="s">
        <v>53</v>
      </c>
      <c r="N53" s="13"/>
      <c r="O53" s="13"/>
      <c r="P53" s="50"/>
    </row>
    <row r="54" spans="1:57" ht="28.5" customHeight="1" thickTop="1" thickBot="1">
      <c r="B54" s="512"/>
      <c r="C54" s="521"/>
      <c r="D54" s="523"/>
      <c r="E54" s="525"/>
      <c r="F54" s="518"/>
      <c r="G54" s="510"/>
      <c r="H54" s="512"/>
      <c r="I54" s="512"/>
      <c r="J54" s="504"/>
      <c r="K54" s="514"/>
      <c r="L54" s="516"/>
      <c r="M54" s="504"/>
      <c r="N54" s="13"/>
      <c r="O54" s="13"/>
      <c r="P54" s="50"/>
      <c r="Q54" s="355"/>
      <c r="AB54" s="477">
        <v>43474</v>
      </c>
      <c r="AC54" s="477">
        <v>43475</v>
      </c>
      <c r="AD54" s="477">
        <v>43476</v>
      </c>
      <c r="AE54" s="477">
        <v>43477</v>
      </c>
      <c r="AF54" s="477">
        <v>43478</v>
      </c>
      <c r="AG54" s="477">
        <v>43479</v>
      </c>
      <c r="AH54" s="477">
        <v>43480</v>
      </c>
      <c r="AI54" s="477">
        <v>43481</v>
      </c>
      <c r="AJ54" s="477">
        <v>43482</v>
      </c>
      <c r="AK54" s="477">
        <v>43483</v>
      </c>
      <c r="AL54" s="477">
        <v>43484</v>
      </c>
      <c r="AM54" s="477">
        <v>43485</v>
      </c>
      <c r="AN54" s="477">
        <v>43486</v>
      </c>
      <c r="AO54" s="477">
        <v>43487</v>
      </c>
      <c r="AP54" s="477">
        <v>43488</v>
      </c>
      <c r="AQ54" s="477">
        <v>43489</v>
      </c>
      <c r="AR54" s="477">
        <v>43490</v>
      </c>
      <c r="AS54" s="477">
        <v>43491</v>
      </c>
      <c r="AT54" s="477">
        <v>43492</v>
      </c>
      <c r="AU54" s="477">
        <v>43493</v>
      </c>
      <c r="AV54" s="477">
        <v>43494</v>
      </c>
      <c r="AW54" s="477">
        <v>43495</v>
      </c>
      <c r="AX54" s="477">
        <v>43496</v>
      </c>
    </row>
    <row r="55" spans="1:57" s="54" customFormat="1" ht="37.15" customHeight="1" thickBot="1">
      <c r="B55" s="496"/>
      <c r="C55" s="495"/>
      <c r="D55" s="442"/>
      <c r="E55" s="443"/>
      <c r="F55" s="444"/>
      <c r="G55" s="445"/>
      <c r="H55" s="446"/>
      <c r="I55" s="447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96"/>
      <c r="C56" s="495"/>
      <c r="D56" s="442"/>
      <c r="E56" s="443"/>
      <c r="F56" s="444"/>
      <c r="G56" s="445"/>
      <c r="H56" s="446"/>
      <c r="I56" s="447"/>
      <c r="J56" s="47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customHeight="1" thickBot="1">
      <c r="A57" s="54" t="s">
        <v>187</v>
      </c>
      <c r="B57" s="496"/>
      <c r="C57" s="495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[9]January_2019!L7</f>
        <v>285.8</v>
      </c>
      <c r="AC57" s="57">
        <f>[9]January_2019!M7</f>
        <v>508.1</v>
      </c>
      <c r="AD57" s="57">
        <f>[9]January_2019!N7</f>
        <v>0</v>
      </c>
      <c r="AE57" s="57">
        <f>[9]January_2019!O7</f>
        <v>0</v>
      </c>
      <c r="AF57" s="57">
        <f>[9]January_2019!P7</f>
        <v>109.56666666666666</v>
      </c>
      <c r="AG57" s="57">
        <f>[9]January_2019!Q7</f>
        <v>297.64999999999998</v>
      </c>
      <c r="AH57" s="57">
        <f>[9]January_2019!R7</f>
        <v>122.3</v>
      </c>
      <c r="AI57" s="57">
        <f>[9]January_2019!S7</f>
        <v>0</v>
      </c>
      <c r="AJ57" s="57">
        <f>[9]January_2019!T7</f>
        <v>294.7</v>
      </c>
      <c r="AK57" s="57">
        <f>[9]January_2019!U7</f>
        <v>280.5</v>
      </c>
      <c r="AL57" s="57">
        <f>[9]January_2019!V7</f>
        <v>0</v>
      </c>
      <c r="AM57" s="57">
        <f>[9]January_2019!W7</f>
        <v>0</v>
      </c>
      <c r="AN57" s="57">
        <f>[9]January_2019!X7</f>
        <v>188.25</v>
      </c>
      <c r="AO57" s="57">
        <f>[9]January_2019!Y7</f>
        <v>295.7</v>
      </c>
      <c r="AP57" s="57">
        <f>[9]January_2019!Z7</f>
        <v>257.8</v>
      </c>
      <c r="AQ57" s="57">
        <f>[9]January_2019!AA7</f>
        <v>291.2</v>
      </c>
      <c r="AR57" s="57">
        <f>[9]January_2019!AB7</f>
        <v>187</v>
      </c>
      <c r="AS57" s="57">
        <f>[9]January_2019!AC7</f>
        <v>0</v>
      </c>
      <c r="AT57" s="57">
        <f>[9]January_2019!AD7</f>
        <v>0</v>
      </c>
      <c r="AU57" s="57">
        <f>[9]January_2019!AE7</f>
        <v>485.1</v>
      </c>
      <c r="AV57" s="57">
        <f>[9]January_2019!AF7</f>
        <v>171.55</v>
      </c>
      <c r="AW57" s="57">
        <f>[9]January_2019!AG7</f>
        <v>423.8</v>
      </c>
      <c r="AX57" s="277">
        <f>[9]January_2019!AH7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customHeight="1" thickBot="1">
      <c r="B58" s="494"/>
      <c r="C58" s="430"/>
      <c r="D58" s="431"/>
      <c r="E58" s="432"/>
      <c r="F58" s="433"/>
      <c r="G58" s="434"/>
      <c r="H58" s="428"/>
      <c r="I58" s="42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customHeight="1" thickBot="1">
      <c r="B59" s="497"/>
      <c r="C59" s="495"/>
      <c r="D59" s="442"/>
      <c r="E59" s="443"/>
      <c r="F59" s="444"/>
      <c r="G59" s="445"/>
      <c r="H59" s="458"/>
      <c r="I59" s="458"/>
      <c r="J59" s="448"/>
      <c r="K59" s="460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96"/>
      <c r="C61" s="495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7"/>
      <c r="C64" s="430"/>
      <c r="D64" s="461"/>
      <c r="E64" s="462"/>
      <c r="F64" s="463"/>
      <c r="G64" s="461"/>
      <c r="H64" s="464"/>
      <c r="I64" s="464"/>
      <c r="J64" s="464"/>
      <c r="K64" s="465"/>
      <c r="L64" s="466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05" t="s">
        <v>55</v>
      </c>
      <c r="C66" s="506"/>
      <c r="D66" s="506"/>
      <c r="E66" s="506"/>
      <c r="F66" s="507"/>
      <c r="G66" s="505" t="s">
        <v>56</v>
      </c>
      <c r="H66" s="506"/>
      <c r="I66" s="506"/>
      <c r="J66" s="507"/>
      <c r="K66" s="505" t="s">
        <v>51</v>
      </c>
      <c r="L66" s="506"/>
      <c r="M66" s="506"/>
      <c r="N66" s="508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/>
      <c r="D68" s="76">
        <v>10.90066608746017</v>
      </c>
      <c r="E68" s="76">
        <v>10.90066608746017</v>
      </c>
      <c r="F68" s="66">
        <v>4.8</v>
      </c>
      <c r="G68" s="65"/>
      <c r="H68" s="480">
        <v>10.197758641162071</v>
      </c>
      <c r="I68" s="480">
        <v>10.197758641162071</v>
      </c>
      <c r="J68" s="66">
        <v>4.8</v>
      </c>
      <c r="K68" s="67"/>
      <c r="L68" s="194">
        <v>0.26108855472013365</v>
      </c>
      <c r="M68" s="194">
        <v>0.26108855472013365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6.6263785558913062</v>
      </c>
      <c r="E69" s="76">
        <v>6.6263785558913062</v>
      </c>
      <c r="F69" s="66">
        <v>4.8</v>
      </c>
      <c r="G69" s="65"/>
      <c r="H69" s="76">
        <v>7.0083733221260962</v>
      </c>
      <c r="I69" s="76">
        <v>7.0083733221260962</v>
      </c>
      <c r="J69" s="66">
        <v>4.8</v>
      </c>
      <c r="K69" s="67"/>
      <c r="L69" s="194">
        <v>0.66496686159844054</v>
      </c>
      <c r="M69" s="194">
        <v>0.66496686159844054</v>
      </c>
      <c r="N69" s="68">
        <v>1</v>
      </c>
      <c r="P69" s="69"/>
    </row>
    <row r="70" spans="2:16" ht="15">
      <c r="B70" s="34" t="s">
        <v>40</v>
      </c>
      <c r="C70" s="65"/>
      <c r="D70" s="76"/>
      <c r="E70" s="76"/>
      <c r="F70" s="66">
        <v>5.5</v>
      </c>
      <c r="G70" s="65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22" t="s">
        <v>33</v>
      </c>
      <c r="C71" s="65"/>
      <c r="D71" s="76">
        <v>6.5508684863523392</v>
      </c>
      <c r="E71" s="76">
        <v>6.5508684863523392</v>
      </c>
      <c r="F71" s="66">
        <v>3.3</v>
      </c>
      <c r="G71" s="65"/>
      <c r="H71" s="76">
        <v>5.2086766183151161</v>
      </c>
      <c r="I71" s="76">
        <v>5.2086766183151161</v>
      </c>
      <c r="J71" s="66">
        <v>3.3</v>
      </c>
      <c r="K71" s="67"/>
      <c r="L71" s="194">
        <v>0.6607017543859649</v>
      </c>
      <c r="M71" s="194">
        <v>0.6607017543859649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>
        <v>5.1105651105651271</v>
      </c>
      <c r="E73" s="76">
        <v>5.1105651105651271</v>
      </c>
      <c r="F73" s="70">
        <f>[10]May_2022!$M$43</f>
        <v>3.4878406700073312</v>
      </c>
      <c r="G73" s="282"/>
      <c r="H73" s="76">
        <v>7.9131369535794072</v>
      </c>
      <c r="I73" s="76">
        <v>7.9131369535794072</v>
      </c>
      <c r="J73" s="66">
        <v>5.5</v>
      </c>
      <c r="K73" s="67"/>
      <c r="L73" s="194">
        <v>1.3550877192982456</v>
      </c>
      <c r="M73" s="194">
        <v>1.3550877192982456</v>
      </c>
      <c r="N73" s="68">
        <v>1</v>
      </c>
      <c r="P73" s="69"/>
    </row>
    <row r="74" spans="2:16" ht="15">
      <c r="B74" s="37" t="s">
        <v>16</v>
      </c>
      <c r="C74" s="65"/>
      <c r="D74" s="76">
        <v>2.0590520590520631</v>
      </c>
      <c r="E74" s="76">
        <v>2.0590520590520631</v>
      </c>
      <c r="F74" s="66">
        <v>3.3</v>
      </c>
      <c r="G74" s="282"/>
      <c r="H74" s="76">
        <v>2.1755040108015784</v>
      </c>
      <c r="I74" s="76">
        <v>2.1755040108015784</v>
      </c>
      <c r="J74" s="66">
        <v>3.3</v>
      </c>
      <c r="K74" s="67"/>
      <c r="L74" s="194">
        <v>0.88456140350877199</v>
      </c>
      <c r="M74" s="194">
        <v>0.88456140350877199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7.716884669671499</v>
      </c>
      <c r="E77" s="76">
        <v>7.716884669671499</v>
      </c>
      <c r="F77" s="341">
        <v>5.5</v>
      </c>
      <c r="H77" s="76">
        <v>7.3977546829129937</v>
      </c>
      <c r="I77" s="76">
        <v>7.3977546829129937</v>
      </c>
      <c r="J77" s="341">
        <v>5.5</v>
      </c>
      <c r="L77" s="194">
        <v>0.54338805346700081</v>
      </c>
      <c r="M77" s="194">
        <v>0.54338805346700081</v>
      </c>
      <c r="N77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B38:B47"/>
    <mergeCell ref="D38:E39"/>
    <mergeCell ref="J38:K38"/>
    <mergeCell ref="L39:N39"/>
    <mergeCell ref="D40:E41"/>
    <mergeCell ref="D42:E43"/>
    <mergeCell ref="D44:E45"/>
    <mergeCell ref="D46:E47"/>
    <mergeCell ref="D48:E48"/>
    <mergeCell ref="B53:B54"/>
    <mergeCell ref="C53:C54"/>
    <mergeCell ref="D53:D54"/>
    <mergeCell ref="E53:E54"/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</mergeCells>
  <conditionalFormatting sqref="B48:B49">
    <cfRule type="cellIs" dxfId="1559" priority="74" operator="notBetween">
      <formula>#REF!</formula>
      <formula>#REF!</formula>
    </cfRule>
  </conditionalFormatting>
  <conditionalFormatting sqref="C52">
    <cfRule type="cellIs" dxfId="1558" priority="202" stopIfTrue="1" operator="greaterThan">
      <formula>100</formula>
    </cfRule>
    <cfRule type="cellIs" dxfId="1557" priority="201" stopIfTrue="1" operator="lessThan">
      <formula>96</formula>
    </cfRule>
  </conditionalFormatting>
  <conditionalFormatting sqref="C68:C72">
    <cfRule type="cellIs" dxfId="1556" priority="159" stopIfTrue="1" operator="lessThanOrEqual">
      <formula>0</formula>
    </cfRule>
  </conditionalFormatting>
  <conditionalFormatting sqref="C68:C76">
    <cfRule type="cellIs" dxfId="1555" priority="158" stopIfTrue="1" operator="greaterThan">
      <formula>$F68</formula>
    </cfRule>
  </conditionalFormatting>
  <conditionalFormatting sqref="C69">
    <cfRule type="cellIs" dxfId="1554" priority="205" stopIfTrue="1" operator="greaterThan">
      <formula>$F68</formula>
    </cfRule>
  </conditionalFormatting>
  <conditionalFormatting sqref="C73">
    <cfRule type="cellIs" dxfId="1553" priority="99" stopIfTrue="1" operator="greaterThan">
      <formula>$F72</formula>
    </cfRule>
    <cfRule type="cellIs" dxfId="1552" priority="98" stopIfTrue="1" operator="lessThanOrEqual">
      <formula>0</formula>
    </cfRule>
  </conditionalFormatting>
  <conditionalFormatting sqref="C79:C83">
    <cfRule type="cellIs" dxfId="1551" priority="193" stopIfTrue="1" operator="lessThanOrEqual">
      <formula>0</formula>
    </cfRule>
  </conditionalFormatting>
  <conditionalFormatting sqref="C80:C83">
    <cfRule type="cellIs" dxfId="1550" priority="192" stopIfTrue="1" operator="greaterThan">
      <formula>$F$79</formula>
    </cfRule>
  </conditionalFormatting>
  <conditionalFormatting sqref="C85">
    <cfRule type="cellIs" dxfId="1549" priority="194" stopIfTrue="1" operator="greaterThan">
      <formula>$F$79</formula>
    </cfRule>
    <cfRule type="cellIs" dxfId="1548" priority="195" stopIfTrue="1" operator="lessThanOrEqual">
      <formula>0</formula>
    </cfRule>
  </conditionalFormatting>
  <conditionalFormatting sqref="C79:D79 D81:D87">
    <cfRule type="cellIs" dxfId="1547" priority="187" stopIfTrue="1" operator="greaterThan">
      <formula>4.5</formula>
    </cfRule>
  </conditionalFormatting>
  <conditionalFormatting sqref="D48:D49">
    <cfRule type="cellIs" dxfId="1546" priority="75" operator="notBetween">
      <formula>#REF!</formula>
      <formula>#REF!</formula>
    </cfRule>
  </conditionalFormatting>
  <conditionalFormatting sqref="D68:D75">
    <cfRule type="cellIs" dxfId="1545" priority="167" stopIfTrue="1" operator="lessThanOrEqual">
      <formula>0</formula>
    </cfRule>
  </conditionalFormatting>
  <conditionalFormatting sqref="D79 D81:D87">
    <cfRule type="cellIs" dxfId="1544" priority="188" stopIfTrue="1" operator="lessThanOrEqual">
      <formula>0</formula>
    </cfRule>
  </conditionalFormatting>
  <conditionalFormatting sqref="D80">
    <cfRule type="cellIs" dxfId="1543" priority="180" stopIfTrue="1" operator="lessThanOrEqual">
      <formula>0</formula>
    </cfRule>
    <cfRule type="cellIs" dxfId="1542" priority="179" stopIfTrue="1" operator="greaterThan">
      <formula>$F$79</formula>
    </cfRule>
  </conditionalFormatting>
  <conditionalFormatting sqref="D68:E77">
    <cfRule type="cellIs" dxfId="1541" priority="156" stopIfTrue="1" operator="greaterThan">
      <formula>$F68</formula>
    </cfRule>
  </conditionalFormatting>
  <conditionalFormatting sqref="D76:E76">
    <cfRule type="cellIs" dxfId="1540" priority="166" stopIfTrue="1" operator="lessThanOrEqual">
      <formula>0</formula>
    </cfRule>
  </conditionalFormatting>
  <conditionalFormatting sqref="D77:E77">
    <cfRule type="cellIs" dxfId="1539" priority="157" stopIfTrue="1" operator="lessThanOrEqual">
      <formula>0</formula>
    </cfRule>
  </conditionalFormatting>
  <conditionalFormatting sqref="E10:E23">
    <cfRule type="cellIs" dxfId="1538" priority="32" operator="lessThan">
      <formula>48</formula>
    </cfRule>
  </conditionalFormatting>
  <conditionalFormatting sqref="E51 E52:F52">
    <cfRule type="cellIs" dxfId="1537" priority="184" stopIfTrue="1" operator="greaterThan">
      <formula>100</formula>
    </cfRule>
  </conditionalFormatting>
  <conditionalFormatting sqref="E52">
    <cfRule type="cellIs" dxfId="1536" priority="181" stopIfTrue="1" operator="lessThan">
      <formula>96.8</formula>
    </cfRule>
    <cfRule type="cellIs" dxfId="1535" priority="182" stopIfTrue="1" operator="greaterThan">
      <formula>100</formula>
    </cfRule>
  </conditionalFormatting>
  <conditionalFormatting sqref="E68:E75">
    <cfRule type="cellIs" dxfId="1534" priority="38" stopIfTrue="1" operator="lessThanOrEqual">
      <formula>0</formula>
    </cfRule>
  </conditionalFormatting>
  <conditionalFormatting sqref="E68:E76">
    <cfRule type="cellIs" dxfId="1533" priority="163" stopIfTrue="1" operator="lessThanOrEqual">
      <formula>0</formula>
    </cfRule>
  </conditionalFormatting>
  <conditionalFormatting sqref="E79:E87">
    <cfRule type="cellIs" dxfId="1532" priority="174" stopIfTrue="1" operator="lessThanOrEqual">
      <formula>0</formula>
    </cfRule>
    <cfRule type="cellIs" dxfId="1531" priority="173" stopIfTrue="1" operator="greaterThan">
      <formula>4.5</formula>
    </cfRule>
  </conditionalFormatting>
  <conditionalFormatting sqref="E52:F52 E51">
    <cfRule type="cellIs" dxfId="1530" priority="183" stopIfTrue="1" operator="lessThan">
      <formula>96.5</formula>
    </cfRule>
  </conditionalFormatting>
  <conditionalFormatting sqref="F10:F12 F19:F23">
    <cfRule type="cellIs" dxfId="1529" priority="33" operator="greaterThan">
      <formula>60</formula>
    </cfRule>
  </conditionalFormatting>
  <conditionalFormatting sqref="F52">
    <cfRule type="cellIs" dxfId="1528" priority="199" stopIfTrue="1" operator="lessThan">
      <formula>96.8</formula>
    </cfRule>
    <cfRule type="cellIs" dxfId="1527" priority="200" stopIfTrue="1" operator="greaterThan">
      <formula>100</formula>
    </cfRule>
  </conditionalFormatting>
  <conditionalFormatting sqref="F77">
    <cfRule type="cellIs" dxfId="1526" priority="165" stopIfTrue="1" operator="lessThanOrEqual">
      <formula>0</formula>
    </cfRule>
    <cfRule type="cellIs" dxfId="1525" priority="164" stopIfTrue="1" operator="greaterThan">
      <formula>$F77</formula>
    </cfRule>
  </conditionalFormatting>
  <conditionalFormatting sqref="G10:G22">
    <cfRule type="expression" dxfId="1524" priority="35">
      <formula>IF(+(IF(G10&lt;S10,0,IF(G10&gt;T10,0,1)))=0,1)</formula>
    </cfRule>
  </conditionalFormatting>
  <conditionalFormatting sqref="G68:G69 C74:C76">
    <cfRule type="cellIs" dxfId="1523" priority="169" stopIfTrue="1" operator="lessThanOrEqual">
      <formula>0</formula>
    </cfRule>
  </conditionalFormatting>
  <conditionalFormatting sqref="G68:G69">
    <cfRule type="cellIs" dxfId="1522" priority="160" stopIfTrue="1" operator="greaterThan">
      <formula>$F68</formula>
    </cfRule>
    <cfRule type="cellIs" dxfId="1521" priority="168" stopIfTrue="1" operator="greaterThan">
      <formula>$F68</formula>
    </cfRule>
    <cfRule type="cellIs" dxfId="1520" priority="161" stopIfTrue="1" operator="lessThanOrEqual">
      <formula>0</formula>
    </cfRule>
  </conditionalFormatting>
  <conditionalFormatting sqref="G70">
    <cfRule type="cellIs" dxfId="1519" priority="203" stopIfTrue="1" operator="greaterThan">
      <formula>$F69</formula>
    </cfRule>
    <cfRule type="cellIs" dxfId="1518" priority="204" stopIfTrue="1" operator="lessThanOrEqual">
      <formula>0</formula>
    </cfRule>
  </conditionalFormatting>
  <conditionalFormatting sqref="G71">
    <cfRule type="cellIs" dxfId="1517" priority="73" stopIfTrue="1" operator="lessThanOrEqual">
      <formula>0</formula>
    </cfRule>
    <cfRule type="cellIs" dxfId="1516" priority="70" stopIfTrue="1" operator="greaterThan">
      <formula>$F71</formula>
    </cfRule>
    <cfRule type="cellIs" dxfId="1515" priority="71" stopIfTrue="1" operator="lessThanOrEqual">
      <formula>0</formula>
    </cfRule>
    <cfRule type="cellIs" dxfId="1514" priority="72" stopIfTrue="1" operator="greaterThan">
      <formula>$F71</formula>
    </cfRule>
  </conditionalFormatting>
  <conditionalFormatting sqref="G72:G76">
    <cfRule type="cellIs" dxfId="1513" priority="171" stopIfTrue="1" operator="lessThanOrEqual">
      <formula>0</formula>
    </cfRule>
    <cfRule type="cellIs" dxfId="1512" priority="170" stopIfTrue="1" operator="greaterThan">
      <formula>$J72</formula>
    </cfRule>
  </conditionalFormatting>
  <conditionalFormatting sqref="G81:G86 C84 C86">
    <cfRule type="cellIs" dxfId="1511" priority="196" stopIfTrue="1" operator="greaterThan">
      <formula>4.5</formula>
    </cfRule>
    <cfRule type="cellIs" dxfId="1510" priority="197" stopIfTrue="1" operator="lessThanOrEqual">
      <formula>0</formula>
    </cfRule>
  </conditionalFormatting>
  <conditionalFormatting sqref="G80:H80">
    <cfRule type="cellIs" dxfId="1509" priority="177" stopIfTrue="1" operator="greaterThan">
      <formula>$F$79</formula>
    </cfRule>
    <cfRule type="cellIs" dxfId="1508" priority="178" stopIfTrue="1" operator="lessThanOrEqual">
      <formula>0</formula>
    </cfRule>
  </conditionalFormatting>
  <conditionalFormatting sqref="H10:H22 G23:H23">
    <cfRule type="expression" dxfId="1507" priority="67">
      <formula>IF(+(IF(G10&lt;#REF!,0,IF(G10&gt;#REF!,0,1)))=0,1)</formula>
    </cfRule>
  </conditionalFormatting>
  <conditionalFormatting sqref="H37:H38 H51">
    <cfRule type="cellIs" dxfId="1506" priority="175" stopIfTrue="1" operator="greaterThan">
      <formula>0</formula>
    </cfRule>
  </conditionalFormatting>
  <conditionalFormatting sqref="H55:H56">
    <cfRule type="cellIs" dxfId="1505" priority="24" stopIfTrue="1" operator="greaterThan">
      <formula>#REF!</formula>
    </cfRule>
    <cfRule type="cellIs" dxfId="1504" priority="23" stopIfTrue="1" operator="lessThanOrEqual">
      <formula>0</formula>
    </cfRule>
    <cfRule type="cellIs" dxfId="1503" priority="22" stopIfTrue="1" operator="greaterThan">
      <formula>$F$23</formula>
    </cfRule>
    <cfRule type="cellIs" dxfId="1502" priority="14" stopIfTrue="1" operator="greaterThan">
      <formula>#REF!</formula>
    </cfRule>
    <cfRule type="cellIs" dxfId="1501" priority="13" stopIfTrue="1" operator="lessThanOrEqual">
      <formula>0</formula>
    </cfRule>
  </conditionalFormatting>
  <conditionalFormatting sqref="H55:H57">
    <cfRule type="cellIs" dxfId="1500" priority="25" stopIfTrue="1" operator="lessThanOrEqual">
      <formula>0</formula>
    </cfRule>
  </conditionalFormatting>
  <conditionalFormatting sqref="H57">
    <cfRule type="cellIs" dxfId="1499" priority="49" stopIfTrue="1" operator="greaterThan">
      <formula>#REF!</formula>
    </cfRule>
    <cfRule type="cellIs" dxfId="1498" priority="50" stopIfTrue="1" operator="lessThanOrEqual">
      <formula>0</formula>
    </cfRule>
    <cfRule type="cellIs" dxfId="1497" priority="39" stopIfTrue="1" operator="greaterThan">
      <formula>#REF!</formula>
    </cfRule>
    <cfRule type="cellIs" dxfId="1496" priority="47" stopIfTrue="1" operator="greaterThan">
      <formula>$F$23</formula>
    </cfRule>
    <cfRule type="cellIs" dxfId="1495" priority="48" stopIfTrue="1" operator="lessThanOrEqual">
      <formula>0</formula>
    </cfRule>
  </conditionalFormatting>
  <conditionalFormatting sqref="H58">
    <cfRule type="cellIs" dxfId="1494" priority="126" stopIfTrue="1" operator="greaterThan">
      <formula>#REF!</formula>
    </cfRule>
    <cfRule type="cellIs" dxfId="1493" priority="125" stopIfTrue="1" operator="lessThanOrEqual">
      <formula>0</formula>
    </cfRule>
    <cfRule type="cellIs" dxfId="1492" priority="127" stopIfTrue="1" operator="lessThanOrEqual">
      <formula>0</formula>
    </cfRule>
    <cfRule type="cellIs" dxfId="1491" priority="116" stopIfTrue="1" operator="greaterThan">
      <formula>#REF!</formula>
    </cfRule>
    <cfRule type="cellIs" dxfId="1490" priority="124" stopIfTrue="1" operator="greaterThan">
      <formula>$F$24</formula>
    </cfRule>
    <cfRule type="cellIs" dxfId="1489" priority="115" stopIfTrue="1" operator="lessThanOrEqual">
      <formula>0</formula>
    </cfRule>
  </conditionalFormatting>
  <conditionalFormatting sqref="H59">
    <cfRule type="cellIs" dxfId="1488" priority="64" stopIfTrue="1" operator="lessThanOrEqual">
      <formula>0</formula>
    </cfRule>
    <cfRule type="cellIs" dxfId="1487" priority="62" stopIfTrue="1" operator="lessThanOrEqual">
      <formula>0</formula>
    </cfRule>
    <cfRule type="cellIs" dxfId="1486" priority="52" stopIfTrue="1" operator="lessThanOrEqual">
      <formula>0</formula>
    </cfRule>
    <cfRule type="cellIs" dxfId="1485" priority="53" stopIfTrue="1" operator="greaterThan">
      <formula>$F$68</formula>
    </cfRule>
    <cfRule type="cellIs" dxfId="1484" priority="61" stopIfTrue="1" operator="greaterThan">
      <formula>$F$71</formula>
    </cfRule>
    <cfRule type="cellIs" dxfId="1483" priority="63" stopIfTrue="1" operator="greaterThan">
      <formula>$F$69</formula>
    </cfRule>
  </conditionalFormatting>
  <conditionalFormatting sqref="H60:H61">
    <cfRule type="cellIs" dxfId="1482" priority="101" stopIfTrue="1" operator="lessThanOrEqual">
      <formula>0</formula>
    </cfRule>
    <cfRule type="cellIs" dxfId="1481" priority="102" stopIfTrue="1" operator="greaterThan">
      <formula>#REF!</formula>
    </cfRule>
    <cfRule type="cellIs" dxfId="1480" priority="110" stopIfTrue="1" operator="greaterThan">
      <formula>$F$23</formula>
    </cfRule>
    <cfRule type="cellIs" dxfId="1479" priority="111" stopIfTrue="1" operator="lessThanOrEqual">
      <formula>0</formula>
    </cfRule>
    <cfRule type="cellIs" dxfId="1478" priority="112" stopIfTrue="1" operator="greaterThan">
      <formula>#REF!</formula>
    </cfRule>
    <cfRule type="cellIs" dxfId="1477" priority="113" stopIfTrue="1" operator="lessThanOrEqual">
      <formula>0</formula>
    </cfRule>
  </conditionalFormatting>
  <conditionalFormatting sqref="H62">
    <cfRule type="cellIs" dxfId="1476" priority="142" stopIfTrue="1" operator="lessThanOrEqual">
      <formula>0</formula>
    </cfRule>
    <cfRule type="cellIs" dxfId="1475" priority="131" stopIfTrue="1" operator="greaterThan">
      <formula>$F$36</formula>
    </cfRule>
    <cfRule type="cellIs" dxfId="1474" priority="141" stopIfTrue="1" operator="greaterThan">
      <formula>$F$37</formula>
    </cfRule>
    <cfRule type="cellIs" dxfId="1473" priority="140" stopIfTrue="1" operator="lessThanOrEqual">
      <formula>0</formula>
    </cfRule>
    <cfRule type="cellIs" dxfId="1472" priority="139" stopIfTrue="1" operator="greaterThan">
      <formula>$F$39</formula>
    </cfRule>
    <cfRule type="cellIs" dxfId="1471" priority="130" stopIfTrue="1" operator="lessThanOrEqual">
      <formula>0</formula>
    </cfRule>
  </conditionalFormatting>
  <conditionalFormatting sqref="H63:H64">
    <cfRule type="cellIs" dxfId="1470" priority="96" stopIfTrue="1" operator="greaterThan">
      <formula>#REF!</formula>
    </cfRule>
    <cfRule type="cellIs" dxfId="1469" priority="94" stopIfTrue="1" operator="greaterThan">
      <formula>$F$23</formula>
    </cfRule>
    <cfRule type="cellIs" dxfId="1468" priority="95" stopIfTrue="1" operator="lessThanOrEqual">
      <formula>0</formula>
    </cfRule>
    <cfRule type="cellIs" dxfId="1467" priority="97" stopIfTrue="1" operator="lessThanOrEqual">
      <formula>0</formula>
    </cfRule>
    <cfRule type="cellIs" dxfId="1466" priority="85" stopIfTrue="1" operator="lessThanOrEqual">
      <formula>0</formula>
    </cfRule>
    <cfRule type="cellIs" dxfId="1465" priority="86" stopIfTrue="1" operator="greaterThan">
      <formula>#REF!</formula>
    </cfRule>
  </conditionalFormatting>
  <conditionalFormatting sqref="H79 H81:H87">
    <cfRule type="cellIs" dxfId="1464" priority="189" stopIfTrue="1" operator="greaterThan">
      <formula>4.5</formula>
    </cfRule>
    <cfRule type="cellIs" dxfId="1463" priority="190" stopIfTrue="1" operator="lessThanOrEqual">
      <formula>0</formula>
    </cfRule>
  </conditionalFormatting>
  <conditionalFormatting sqref="H55:I56">
    <cfRule type="cellIs" dxfId="1462" priority="15" stopIfTrue="1" operator="lessThanOrEqual">
      <formula>0</formula>
    </cfRule>
  </conditionalFormatting>
  <conditionalFormatting sqref="H55:I57">
    <cfRule type="cellIs" dxfId="1461" priority="12" stopIfTrue="1" operator="greaterThan">
      <formula>#REF!</formula>
    </cfRule>
  </conditionalFormatting>
  <conditionalFormatting sqref="H57:I57">
    <cfRule type="cellIs" dxfId="1460" priority="40" stopIfTrue="1" operator="lessThanOrEqual">
      <formula>0</formula>
    </cfRule>
  </conditionalFormatting>
  <conditionalFormatting sqref="H58:I58">
    <cfRule type="cellIs" dxfId="1459" priority="117" stopIfTrue="1" operator="lessThanOrEqual">
      <formula>0</formula>
    </cfRule>
    <cfRule type="cellIs" dxfId="1458" priority="114" stopIfTrue="1" operator="greaterThan">
      <formula>$F$23</formula>
    </cfRule>
  </conditionalFormatting>
  <conditionalFormatting sqref="H59:I59">
    <cfRule type="cellIs" dxfId="1457" priority="51" stopIfTrue="1" operator="greaterThan">
      <formula>$F$70</formula>
    </cfRule>
    <cfRule type="cellIs" dxfId="1456" priority="54" stopIfTrue="1" operator="lessThanOrEqual">
      <formula>0</formula>
    </cfRule>
  </conditionalFormatting>
  <conditionalFormatting sqref="H60:I61">
    <cfRule type="cellIs" dxfId="1455" priority="103" stopIfTrue="1" operator="lessThanOrEqual">
      <formula>0</formula>
    </cfRule>
    <cfRule type="cellIs" dxfId="1454" priority="100" stopIfTrue="1" operator="greaterThan">
      <formula>#REF!</formula>
    </cfRule>
  </conditionalFormatting>
  <conditionalFormatting sqref="H62:I62">
    <cfRule type="cellIs" dxfId="1453" priority="132" stopIfTrue="1" operator="lessThanOrEqual">
      <formula>0</formula>
    </cfRule>
    <cfRule type="cellIs" dxfId="1452" priority="129" stopIfTrue="1" operator="greaterThan">
      <formula>$F$38</formula>
    </cfRule>
  </conditionalFormatting>
  <conditionalFormatting sqref="H63:I64">
    <cfRule type="cellIs" dxfId="1451" priority="87" stopIfTrue="1" operator="lessThanOrEqual">
      <formula>0</formula>
    </cfRule>
    <cfRule type="cellIs" dxfId="1450" priority="84" stopIfTrue="1" operator="greaterThan">
      <formula>#REF!</formula>
    </cfRule>
  </conditionalFormatting>
  <conditionalFormatting sqref="H68:I75">
    <cfRule type="cellIs" dxfId="1449" priority="65" stopIfTrue="1" operator="greaterThan">
      <formula>$J68</formula>
    </cfRule>
    <cfRule type="cellIs" dxfId="1448" priority="66" stopIfTrue="1" operator="lessThanOrEqual">
      <formula>0</formula>
    </cfRule>
  </conditionalFormatting>
  <conditionalFormatting sqref="H76:I76">
    <cfRule type="cellIs" dxfId="1447" priority="162" operator="greaterThan">
      <formula>5.3</formula>
    </cfRule>
  </conditionalFormatting>
  <conditionalFormatting sqref="H77:I77">
    <cfRule type="cellIs" dxfId="1446" priority="155" stopIfTrue="1" operator="lessThanOrEqual">
      <formula>0</formula>
    </cfRule>
    <cfRule type="cellIs" dxfId="1445" priority="154" stopIfTrue="1" operator="greaterThan">
      <formula>$J77</formula>
    </cfRule>
  </conditionalFormatting>
  <conditionalFormatting sqref="I55:I56">
    <cfRule type="cellIs" dxfId="1444" priority="17" stopIfTrue="1" operator="lessThanOrEqual">
      <formula>0</formula>
    </cfRule>
    <cfRule type="cellIs" dxfId="1443" priority="21" stopIfTrue="1" operator="lessThanOrEqual">
      <formula>0</formula>
    </cfRule>
    <cfRule type="cellIs" dxfId="1442" priority="20" stopIfTrue="1" operator="greaterThan">
      <formula>#REF!</formula>
    </cfRule>
    <cfRule type="cellIs" dxfId="1441" priority="16" stopIfTrue="1" operator="greaterThan">
      <formula>#REF!</formula>
    </cfRule>
    <cfRule type="cellIs" dxfId="1440" priority="19" stopIfTrue="1" operator="lessThanOrEqual">
      <formula>0</formula>
    </cfRule>
    <cfRule type="cellIs" dxfId="1439" priority="18" stopIfTrue="1" operator="greaterThan">
      <formula>#REF!</formula>
    </cfRule>
  </conditionalFormatting>
  <conditionalFormatting sqref="I57">
    <cfRule type="cellIs" dxfId="1438" priority="42" stopIfTrue="1" operator="lessThanOrEqual">
      <formula>0</formula>
    </cfRule>
    <cfRule type="cellIs" dxfId="1437" priority="43" stopIfTrue="1" operator="greaterThan">
      <formula>#REF!</formula>
    </cfRule>
    <cfRule type="cellIs" dxfId="1436" priority="44" stopIfTrue="1" operator="lessThanOrEqual">
      <formula>0</formula>
    </cfRule>
    <cfRule type="cellIs" dxfId="1435" priority="45" stopIfTrue="1" operator="greaterThan">
      <formula>#REF!</formula>
    </cfRule>
    <cfRule type="cellIs" dxfId="1434" priority="46" stopIfTrue="1" operator="lessThanOrEqual">
      <formula>0</formula>
    </cfRule>
    <cfRule type="cellIs" dxfId="1433" priority="41" stopIfTrue="1" operator="greaterThan">
      <formula>#REF!</formula>
    </cfRule>
  </conditionalFormatting>
  <conditionalFormatting sqref="I58">
    <cfRule type="cellIs" dxfId="1432" priority="118" stopIfTrue="1" operator="greaterThan">
      <formula>#REF!</formula>
    </cfRule>
    <cfRule type="cellIs" dxfId="1431" priority="123" stopIfTrue="1" operator="lessThanOrEqual">
      <formula>0</formula>
    </cfRule>
    <cfRule type="cellIs" dxfId="1430" priority="122" stopIfTrue="1" operator="greaterThan">
      <formula>#REF!</formula>
    </cfRule>
    <cfRule type="cellIs" dxfId="1429" priority="121" stopIfTrue="1" operator="lessThanOrEqual">
      <formula>0</formula>
    </cfRule>
    <cfRule type="cellIs" dxfId="1428" priority="119" stopIfTrue="1" operator="lessThanOrEqual">
      <formula>0</formula>
    </cfRule>
    <cfRule type="cellIs" dxfId="1427" priority="120" stopIfTrue="1" operator="greaterThan">
      <formula>$F$23</formula>
    </cfRule>
  </conditionalFormatting>
  <conditionalFormatting sqref="I59">
    <cfRule type="cellIs" dxfId="1426" priority="60" stopIfTrue="1" operator="lessThanOrEqual">
      <formula>0</formula>
    </cfRule>
    <cfRule type="cellIs" dxfId="1425" priority="55" stopIfTrue="1" operator="greaterThan">
      <formula>$F$68</formula>
    </cfRule>
    <cfRule type="cellIs" dxfId="1424" priority="56" stopIfTrue="1" operator="lessThanOrEqual">
      <formula>0</formula>
    </cfRule>
    <cfRule type="cellIs" dxfId="1423" priority="57" stopIfTrue="1" operator="greaterThan">
      <formula>$F$70</formula>
    </cfRule>
    <cfRule type="cellIs" dxfId="1422" priority="58" stopIfTrue="1" operator="lessThanOrEqual">
      <formula>0</formula>
    </cfRule>
    <cfRule type="cellIs" dxfId="1421" priority="59" stopIfTrue="1" operator="greaterThan">
      <formula>$F$68</formula>
    </cfRule>
  </conditionalFormatting>
  <conditionalFormatting sqref="I60:I61">
    <cfRule type="cellIs" dxfId="1420" priority="108" stopIfTrue="1" operator="greaterThan">
      <formula>#REF!</formula>
    </cfRule>
    <cfRule type="cellIs" dxfId="1419" priority="107" stopIfTrue="1" operator="lessThanOrEqual">
      <formula>0</formula>
    </cfRule>
    <cfRule type="cellIs" dxfId="1418" priority="106" stopIfTrue="1" operator="greaterThan">
      <formula>#REF!</formula>
    </cfRule>
    <cfRule type="cellIs" dxfId="1417" priority="105" stopIfTrue="1" operator="lessThanOrEqual">
      <formula>0</formula>
    </cfRule>
    <cfRule type="cellIs" dxfId="1416" priority="104" stopIfTrue="1" operator="greaterThan">
      <formula>#REF!</formula>
    </cfRule>
    <cfRule type="cellIs" dxfId="1415" priority="109" stopIfTrue="1" operator="lessThanOrEqual">
      <formula>0</formula>
    </cfRule>
  </conditionalFormatting>
  <conditionalFormatting sqref="I62">
    <cfRule type="cellIs" dxfId="1414" priority="136" stopIfTrue="1" operator="lessThanOrEqual">
      <formula>0</formula>
    </cfRule>
    <cfRule type="cellIs" dxfId="1413" priority="135" stopIfTrue="1" operator="greaterThan">
      <formula>$F$38</formula>
    </cfRule>
    <cfRule type="cellIs" dxfId="1412" priority="134" stopIfTrue="1" operator="lessThanOrEqual">
      <formula>0</formula>
    </cfRule>
    <cfRule type="cellIs" dxfId="1411" priority="133" stopIfTrue="1" operator="greaterThan">
      <formula>$F$36</formula>
    </cfRule>
    <cfRule type="cellIs" dxfId="1410" priority="138" stopIfTrue="1" operator="lessThanOrEqual">
      <formula>0</formula>
    </cfRule>
    <cfRule type="cellIs" dxfId="1409" priority="137" stopIfTrue="1" operator="greaterThan">
      <formula>$F$36</formula>
    </cfRule>
  </conditionalFormatting>
  <conditionalFormatting sqref="I63:I64">
    <cfRule type="cellIs" dxfId="1408" priority="91" stopIfTrue="1" operator="lessThanOrEqual">
      <formula>0</formula>
    </cfRule>
    <cfRule type="cellIs" dxfId="1407" priority="93" stopIfTrue="1" operator="lessThanOrEqual">
      <formula>0</formula>
    </cfRule>
    <cfRule type="cellIs" dxfId="1406" priority="92" stopIfTrue="1" operator="greaterThan">
      <formula>#REF!</formula>
    </cfRule>
    <cfRule type="cellIs" dxfId="1405" priority="90" stopIfTrue="1" operator="greaterThan">
      <formula>#REF!</formula>
    </cfRule>
    <cfRule type="cellIs" dxfId="1404" priority="89" stopIfTrue="1" operator="lessThanOrEqual">
      <formula>0</formula>
    </cfRule>
    <cfRule type="cellIs" dxfId="1403" priority="88" stopIfTrue="1" operator="greaterThan">
      <formula>#REF!</formula>
    </cfRule>
  </conditionalFormatting>
  <conditionalFormatting sqref="I79:I87">
    <cfRule type="cellIs" dxfId="1402" priority="186" stopIfTrue="1" operator="lessThanOrEqual">
      <formula>0</formula>
    </cfRule>
    <cfRule type="cellIs" dxfId="1401" priority="185" stopIfTrue="1" operator="greaterThan">
      <formula>4.5</formula>
    </cfRule>
  </conditionalFormatting>
  <conditionalFormatting sqref="I10:J23">
    <cfRule type="cellIs" dxfId="1400" priority="28" operator="lessThan">
      <formula>97.9</formula>
    </cfRule>
  </conditionalFormatting>
  <conditionalFormatting sqref="J28">
    <cfRule type="cellIs" dxfId="1399" priority="146" operator="lessThan">
      <formula>98</formula>
    </cfRule>
    <cfRule type="cellIs" dxfId="1398" priority="144" stopIfTrue="1" operator="lessThan">
      <formula>96.8</formula>
    </cfRule>
    <cfRule type="cellIs" dxfId="1397" priority="145" stopIfTrue="1" operator="greaterThan">
      <formula>100</formula>
    </cfRule>
  </conditionalFormatting>
  <conditionalFormatting sqref="J28:J30">
    <cfRule type="cellIs" dxfId="1396" priority="143" operator="lessThan">
      <formula>97.4</formula>
    </cfRule>
  </conditionalFormatting>
  <conditionalFormatting sqref="J31:J32">
    <cfRule type="cellIs" dxfId="1395" priority="147" operator="lessThan">
      <formula>98</formula>
    </cfRule>
  </conditionalFormatting>
  <conditionalFormatting sqref="J33:J34">
    <cfRule type="cellIs" dxfId="1394" priority="148" stopIfTrue="1" operator="lessThan">
      <formula>96.8</formula>
    </cfRule>
    <cfRule type="cellIs" dxfId="1393" priority="149" stopIfTrue="1" operator="greaterThan">
      <formula>100</formula>
    </cfRule>
  </conditionalFormatting>
  <conditionalFormatting sqref="J33:J35">
    <cfRule type="cellIs" dxfId="1392" priority="150" operator="lessThan">
      <formula>98</formula>
    </cfRule>
  </conditionalFormatting>
  <conditionalFormatting sqref="J64">
    <cfRule type="cellIs" dxfId="1391" priority="83" stopIfTrue="1" operator="lessThanOrEqual">
      <formula>0</formula>
    </cfRule>
    <cfRule type="cellIs" dxfId="1390" priority="77" stopIfTrue="1" operator="lessThanOrEqual">
      <formula>0</formula>
    </cfRule>
    <cfRule type="cellIs" dxfId="1389" priority="78" stopIfTrue="1" operator="greaterThan">
      <formula>#REF!</formula>
    </cfRule>
    <cfRule type="cellIs" dxfId="1388" priority="79" stopIfTrue="1" operator="lessThanOrEqual">
      <formula>0</formula>
    </cfRule>
    <cfRule type="cellIs" dxfId="1387" priority="80" stopIfTrue="1" operator="greaterThan">
      <formula>#REF!</formula>
    </cfRule>
    <cfRule type="cellIs" dxfId="1386" priority="81" stopIfTrue="1" operator="lessThanOrEqual">
      <formula>0</formula>
    </cfRule>
    <cfRule type="cellIs" dxfId="1385" priority="82" stopIfTrue="1" operator="greaterThan">
      <formula>#REF!</formula>
    </cfRule>
    <cfRule type="cellIs" dxfId="1384" priority="76" stopIfTrue="1" operator="greaterThan">
      <formula>#REF!</formula>
    </cfRule>
  </conditionalFormatting>
  <conditionalFormatting sqref="J77">
    <cfRule type="cellIs" dxfId="1383" priority="152" stopIfTrue="1" operator="lessThanOrEqual">
      <formula>0</formula>
    </cfRule>
    <cfRule type="cellIs" dxfId="1382" priority="151" stopIfTrue="1" operator="greaterThan">
      <formula>$F77</formula>
    </cfRule>
  </conditionalFormatting>
  <conditionalFormatting sqref="K10:K23">
    <cfRule type="cellIs" dxfId="1381" priority="29" operator="greaterThan">
      <formula>6</formula>
    </cfRule>
    <cfRule type="cellIs" dxfId="1380" priority="31" operator="greaterThan">
      <formula>6.4</formula>
    </cfRule>
    <cfRule type="cellIs" dxfId="1379" priority="30" operator="lessThan">
      <formula>4</formula>
    </cfRule>
  </conditionalFormatting>
  <conditionalFormatting sqref="K55:K64">
    <cfRule type="cellIs" dxfId="1378" priority="26" stopIfTrue="1" operator="lessThan">
      <formula>100%</formula>
    </cfRule>
  </conditionalFormatting>
  <conditionalFormatting sqref="K79:K84">
    <cfRule type="cellIs" dxfId="1377" priority="191" stopIfTrue="1" operator="lessThan">
      <formula>100%</formula>
    </cfRule>
  </conditionalFormatting>
  <conditionalFormatting sqref="K86:K87">
    <cfRule type="cellIs" dxfId="1376" priority="198" stopIfTrue="1" operator="lessThan">
      <formula>100%</formula>
    </cfRule>
  </conditionalFormatting>
  <conditionalFormatting sqref="K68:N76">
    <cfRule type="cellIs" dxfId="1375" priority="128" stopIfTrue="1" operator="lessThan">
      <formula>100%</formula>
    </cfRule>
  </conditionalFormatting>
  <conditionalFormatting sqref="L10:L23">
    <cfRule type="cellIs" dxfId="1374" priority="36" operator="between">
      <formula>61</formula>
      <formula>65</formula>
    </cfRule>
    <cfRule type="cellIs" dxfId="1373" priority="37" operator="greaterThan">
      <formula>65</formula>
    </cfRule>
  </conditionalFormatting>
  <conditionalFormatting sqref="L26:M37">
    <cfRule type="cellIs" dxfId="1372" priority="68" operator="lessThan">
      <formula>97.95</formula>
    </cfRule>
  </conditionalFormatting>
  <conditionalFormatting sqref="L41:N41">
    <cfRule type="cellIs" dxfId="1371" priority="69" operator="notEqual">
      <formula>#REF!</formula>
    </cfRule>
  </conditionalFormatting>
  <conditionalFormatting sqref="L77:N77">
    <cfRule type="cellIs" dxfId="1370" priority="153" stopIfTrue="1" operator="lessThan">
      <formula>100%</formula>
    </cfRule>
  </conditionalFormatting>
  <conditionalFormatting sqref="L79:N87">
    <cfRule type="cellIs" dxfId="1369" priority="176" stopIfTrue="1" operator="lessThan">
      <formula>100%</formula>
    </cfRule>
  </conditionalFormatting>
  <conditionalFormatting sqref="M10:M22">
    <cfRule type="expression" dxfId="1368" priority="34">
      <formula>IF(+(IF(M10&lt;U10,0,IF(M10&gt;V10,0,1)))=0,1)</formula>
    </cfRule>
  </conditionalFormatting>
  <conditionalFormatting sqref="M23:N23">
    <cfRule type="expression" dxfId="1367" priority="206">
      <formula>IF(+(IF(M23&lt;#REF!,0,IF(M23&gt;#REF!,0,1)))=0,1)</formula>
    </cfRule>
  </conditionalFormatting>
  <conditionalFormatting sqref="N10:N22">
    <cfRule type="expression" dxfId="1366" priority="27">
      <formula>IF(+(IF(N10&lt;W10,0,IF(N10&gt;X10,0,1)))=0,1)</formula>
    </cfRule>
  </conditionalFormatting>
  <conditionalFormatting sqref="P6">
    <cfRule type="cellIs" dxfId="1365" priority="172" operator="greaterThanOrEqual">
      <formula>19</formula>
    </cfRule>
  </conditionalFormatting>
  <dataValidations count="1">
    <dataValidation type="list" allowBlank="1" showInputMessage="1" showErrorMessage="1" sqref="R8" xr:uid="{7540D102-C14E-4874-AAAE-6B019429BAD7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D011-E717-4E6A-ADE0-473C84620A26}">
  <sheetPr codeName="Sheet16">
    <pageSetUpPr fitToPage="1"/>
  </sheetPr>
  <dimension ref="A1:BE75"/>
  <sheetViews>
    <sheetView topLeftCell="A12" zoomScale="70" zoomScaleNormal="70" workbookViewId="0">
      <selection activeCell="P11" sqref="P11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46045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[4]Brewhouse!$A96</f>
        <v>CA055</v>
      </c>
      <c r="D10" s="279">
        <f>[4]Brewhouse!$AF96</f>
        <v>52.8</v>
      </c>
      <c r="E10" s="279">
        <f>[4]Brewhouse!$AI96</f>
        <v>48.7</v>
      </c>
      <c r="F10" s="278">
        <f>[4]Brewhouse!$V96</f>
        <v>51</v>
      </c>
      <c r="G10" s="279">
        <f>[4]Brewhouse!AG96</f>
        <v>11.8</v>
      </c>
      <c r="H10" s="396">
        <v>11.7</v>
      </c>
      <c r="I10" s="368">
        <f>[4]Brewhouse!$AU96</f>
        <v>95.858476381615304</v>
      </c>
      <c r="J10" s="368">
        <f>[4]Brewhouse!$AV96</f>
        <v>95.534737058519667</v>
      </c>
      <c r="K10" s="281">
        <f>[4]Brewhouse!$Q96</f>
        <v>1.735849056603777</v>
      </c>
      <c r="L10" s="276">
        <f>[4]Brewhouse!$P96</f>
        <v>361</v>
      </c>
      <c r="M10" s="397">
        <f>[4]Brewhouse!$U96-[4]Brewhouse!$T96</f>
        <v>0.33194444444444438</v>
      </c>
      <c r="N10" s="370">
        <f>[4]Brewhouse!$Z96</f>
        <v>0.49861111111111101</v>
      </c>
      <c r="O10" s="420" t="str">
        <f>[4]Brewhouse!$AX96</f>
        <v>R. Regis</v>
      </c>
      <c r="P10" s="418"/>
      <c r="R10" s="277" t="str">
        <f t="shared" ref="R10:R35" si="0">B10</f>
        <v>CARIB</v>
      </c>
      <c r="S10" s="474">
        <f t="shared" ref="S10:S35" si="1">VLOOKUP($B10,$R$3:$X$9,2,FALSE)</f>
        <v>11.6</v>
      </c>
      <c r="T10" s="474">
        <f t="shared" ref="T10:T35" si="2">VLOOKUP($B10,$R$3:$X$9,3,FALSE)</f>
        <v>12</v>
      </c>
      <c r="U10" s="297">
        <f t="shared" ref="U10:U35" si="3">VLOOKUP($B10,$R$3:$X$9,4,FALSE)</f>
        <v>0</v>
      </c>
      <c r="V10" s="297">
        <f t="shared" ref="V10:V35" si="4">VLOOKUP($B10,$R$3:$X$9,5,FALSE)</f>
        <v>0.118055555555556</v>
      </c>
      <c r="W10" s="297">
        <f t="shared" ref="W10:W35" si="5">VLOOKUP($B10,$R$3:$X$9,6,FALSE)</f>
        <v>0.22569444444444445</v>
      </c>
      <c r="X10" s="297">
        <f t="shared" ref="X10:X35" si="6">VLOOKUP($B10,$R$3:$X$9,7,FALSE)</f>
        <v>0.2638888888888889</v>
      </c>
      <c r="Y10" s="297">
        <f t="shared" ref="Y10:Y35" si="7">VLOOKUP($B10,$R$3:$Z$9,8,FALSE)</f>
        <v>0</v>
      </c>
      <c r="Z10" s="474">
        <f t="shared" ref="Z10:Z35" si="8">VLOOKUP($B10,$R$3:$Z$9,9,FALSE)</f>
        <v>60</v>
      </c>
    </row>
    <row r="11" spans="2:29" ht="16.5" customHeight="1">
      <c r="B11" s="29" t="s">
        <v>6</v>
      </c>
      <c r="C11" s="366" t="str">
        <f>[4]Brewhouse!$A97</f>
        <v>CA056</v>
      </c>
      <c r="D11" s="279">
        <f>[4]Brewhouse!$AF97</f>
        <v>49.4</v>
      </c>
      <c r="E11" s="279">
        <f>[4]Brewhouse!$AI97</f>
        <v>47.4</v>
      </c>
      <c r="F11" s="278">
        <f>[4]Brewhouse!$V97</f>
        <v>58</v>
      </c>
      <c r="G11" s="279">
        <f>[4]Brewhouse!AG97</f>
        <v>11.8</v>
      </c>
      <c r="H11" s="492">
        <v>12.1</v>
      </c>
      <c r="I11" s="368">
        <f>[4]Brewhouse!$AU97</f>
        <v>93.414689526206047</v>
      </c>
      <c r="J11" s="368">
        <f>[4]Brewhouse!$AV97</f>
        <v>93.099228883794311</v>
      </c>
      <c r="K11" s="281">
        <f>[4]Brewhouse!$Q97</f>
        <v>10.840000000000003</v>
      </c>
      <c r="L11" s="276">
        <f>[4]Brewhouse!$P97</f>
        <v>58</v>
      </c>
      <c r="M11" s="397">
        <f>[4]Brewhouse!$U97-[4]Brewhouse!$T97</f>
        <v>0.12083333333333335</v>
      </c>
      <c r="N11" s="370">
        <f>[4]Brewhouse!$Z97</f>
        <v>0.60833333333333339</v>
      </c>
      <c r="O11" s="420" t="str">
        <f>[4]Brewhouse!$AX97</f>
        <v>R.Sookram</v>
      </c>
      <c r="P11" s="418" t="s">
        <v>211</v>
      </c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[4]Brewhouse!$A98</f>
        <v>CA057</v>
      </c>
      <c r="D12" s="279">
        <f>[4]Brewhouse!$AF98</f>
        <v>51.5</v>
      </c>
      <c r="E12" s="279">
        <f>[4]Brewhouse!$AI98</f>
        <v>49.6</v>
      </c>
      <c r="F12" s="278">
        <f>[4]Brewhouse!$V98</f>
        <v>54</v>
      </c>
      <c r="G12" s="279">
        <f>[4]Brewhouse!AG98</f>
        <v>12</v>
      </c>
      <c r="H12" s="396">
        <v>12</v>
      </c>
      <c r="I12" s="368">
        <f>[4]Brewhouse!$AU98</f>
        <v>99.986346763685134</v>
      </c>
      <c r="J12" s="368">
        <f>[4]Brewhouse!$AV98</f>
        <v>99.648802975664353</v>
      </c>
      <c r="K12" s="281">
        <f>[4]Brewhouse!$Q98</f>
        <v>5.6981132075471628</v>
      </c>
      <c r="L12" s="276">
        <f>[4]Brewhouse!$P98</f>
        <v>58</v>
      </c>
      <c r="M12" s="397">
        <f>[4]Brewhouse!$U98-[4]Brewhouse!$T98</f>
        <v>0.11111111111111116</v>
      </c>
      <c r="N12" s="370">
        <f>[4]Brewhouse!$Z98</f>
        <v>0.39652777777777781</v>
      </c>
      <c r="O12" s="420" t="str">
        <f>[4]Brewhouse!$AX98</f>
        <v>K. Benjamin</v>
      </c>
      <c r="P12" s="418"/>
      <c r="R12" s="277" t="str">
        <f t="shared" si="0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[4]Brewhouse!$A99</f>
        <v>CA058</v>
      </c>
      <c r="D13" s="279">
        <f>[4]Brewhouse!$AF99</f>
        <v>52.1</v>
      </c>
      <c r="E13" s="279">
        <f>[4]Brewhouse!$AI99</f>
        <v>50.2</v>
      </c>
      <c r="F13" s="278">
        <f>[4]Brewhouse!$V99</f>
        <v>55</v>
      </c>
      <c r="G13" s="279">
        <f>[4]Brewhouse!AG99</f>
        <v>11.8</v>
      </c>
      <c r="H13" s="396">
        <v>11.9</v>
      </c>
      <c r="I13" s="368">
        <f>[4]Brewhouse!$AU99</f>
        <v>99.177482096170877</v>
      </c>
      <c r="J13" s="368">
        <f>[4]Brewhouse!$AV99</f>
        <v>98.842614617849193</v>
      </c>
      <c r="K13" s="281">
        <f>[4]Brewhouse!$Q99</f>
        <v>3.0566037735849005</v>
      </c>
      <c r="L13" s="276">
        <f>[4]Brewhouse!$P99</f>
        <v>60</v>
      </c>
      <c r="M13" s="397">
        <f>[4]Brewhouse!$U99-[4]Brewhouse!$T99</f>
        <v>0.11319444444444449</v>
      </c>
      <c r="N13" s="370">
        <f>[4]Brewhouse!$Z99</f>
        <v>0.29722222222222228</v>
      </c>
      <c r="O13" s="420" t="str">
        <f>[4]Brewhouse!$AX99</f>
        <v>K. Benjamin</v>
      </c>
      <c r="P13" s="418" t="s">
        <v>212</v>
      </c>
      <c r="R13" s="277" t="str">
        <f t="shared" si="0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0"/>
        <v>0</v>
      </c>
      <c r="S14" s="474" t="e">
        <f t="shared" si="1"/>
        <v>#N/A</v>
      </c>
      <c r="T14" s="474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4" t="e">
        <f t="shared" si="8"/>
        <v>#N/A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4" t="e">
        <f t="shared" si="1"/>
        <v>#N/A</v>
      </c>
      <c r="T15" s="474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4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8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6.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18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540"/>
      <c r="J22" s="540"/>
      <c r="K22" s="540"/>
      <c r="L22" s="540"/>
      <c r="M22" s="540"/>
      <c r="N22" s="540"/>
      <c r="O22" s="1"/>
      <c r="P22" s="12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5.75" customHeight="1" thickBot="1">
      <c r="B23" s="388" t="s">
        <v>162</v>
      </c>
      <c r="C23" s="388"/>
      <c r="D23" s="541" t="s">
        <v>35</v>
      </c>
      <c r="E23" s="542"/>
      <c r="F23" s="294"/>
      <c r="G23" s="294"/>
      <c r="H23" s="348"/>
      <c r="I23" s="24" t="s">
        <v>17</v>
      </c>
      <c r="J23" s="25"/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0"/>
        <v xml:space="preserve">BRAND 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5" customHeight="1">
      <c r="A24" s="28"/>
      <c r="B24" s="543"/>
      <c r="C24" s="362"/>
      <c r="D24" s="546"/>
      <c r="E24" s="547"/>
      <c r="F24" s="294"/>
      <c r="G24" s="294"/>
      <c r="H24" s="348"/>
      <c r="I24" s="29" t="s">
        <v>6</v>
      </c>
      <c r="J24" s="280">
        <f>AVERAGE(I10:I13)</f>
        <v>97.109248691919348</v>
      </c>
      <c r="K24" s="284">
        <f>COUNTA([4]Brewhouse!$A$42:$A$99)</f>
        <v>58</v>
      </c>
      <c r="L24" s="305">
        <f>AVERAGE([4]Brewhouse!$AU$42:$AU$99)</f>
        <v>98.165865396580912</v>
      </c>
      <c r="M24" s="305">
        <f>AVERAGE([4]Brewhouse!$AU$42:$AU$99)</f>
        <v>98.165865396580912</v>
      </c>
      <c r="N24" s="30">
        <v>98</v>
      </c>
      <c r="O24" s="11"/>
      <c r="P24" s="31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5" customHeight="1">
      <c r="A25" s="28"/>
      <c r="B25" s="544"/>
      <c r="C25" s="362"/>
      <c r="D25" s="548"/>
      <c r="E25" s="532"/>
      <c r="F25" s="294"/>
      <c r="G25" s="294"/>
      <c r="H25" s="348"/>
      <c r="I25" s="33" t="s">
        <v>9</v>
      </c>
      <c r="J25" s="280"/>
      <c r="K25" s="284">
        <f>COUNTA([5]Brewhouse!$A$52:$A$65)</f>
        <v>14</v>
      </c>
      <c r="L25" s="302">
        <f>AVERAGE([5]Brewhouse!$AS$52:$AS$65)</f>
        <v>99.833537203795117</v>
      </c>
      <c r="M25" s="302">
        <f>AVERAGE([5]Brewhouse!$AS$52:$AS$65)</f>
        <v>99.833537203795117</v>
      </c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4.65" customHeight="1">
      <c r="A26" s="28"/>
      <c r="B26" s="544"/>
      <c r="C26" s="362"/>
      <c r="D26" s="536"/>
      <c r="E26" s="537"/>
      <c r="F26" s="294"/>
      <c r="G26" s="294"/>
      <c r="H26" s="348"/>
      <c r="I26" s="34" t="s">
        <v>12</v>
      </c>
      <c r="J26" s="280"/>
      <c r="K26" s="284">
        <f>COUNTA([3]Brewhouse!$A$16:$A$23)</f>
        <v>8</v>
      </c>
      <c r="L26" s="302">
        <f>AVERAGE([3]Brewhouse!$AU$16:$AU$23)</f>
        <v>97.765204759801577</v>
      </c>
      <c r="M26" s="302">
        <f>AVERAGE([3]Brewhouse!$AU$16:$AU$23)</f>
        <v>97.765204759801577</v>
      </c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4.65" customHeight="1">
      <c r="A27" s="28"/>
      <c r="B27" s="544"/>
      <c r="C27" s="362"/>
      <c r="D27" s="531"/>
      <c r="E27" s="532"/>
      <c r="F27" s="294"/>
      <c r="G27" s="294"/>
      <c r="H27" s="348"/>
      <c r="I27" s="22" t="s">
        <v>33</v>
      </c>
      <c r="J27" s="280"/>
      <c r="K27" s="284">
        <f>COUNTA([6]Brewhouse!$A$23:$A$26)</f>
        <v>4</v>
      </c>
      <c r="L27" s="302">
        <f>AVERAGE([6]Brewhouse!$AV$23:$AV$26)</f>
        <v>98.342483899212951</v>
      </c>
      <c r="M27" s="302">
        <f>AVERAGE([6]Brewhouse!$AV$23:$AV$26)</f>
        <v>98.342483899212951</v>
      </c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4.65" customHeight="1">
      <c r="A28" s="28"/>
      <c r="B28" s="544"/>
      <c r="C28" s="362"/>
      <c r="D28" s="536"/>
      <c r="E28" s="537"/>
      <c r="F28" s="417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7" ht="14.65" customHeight="1">
      <c r="A29" s="28"/>
      <c r="B29" s="544"/>
      <c r="C29" s="362"/>
      <c r="D29" s="531"/>
      <c r="E29" s="532"/>
      <c r="F29" s="417"/>
      <c r="G29" s="294"/>
      <c r="H29" s="348"/>
      <c r="I29" s="36" t="s">
        <v>15</v>
      </c>
      <c r="J29" s="323"/>
      <c r="K29" s="284">
        <f>COUNTA([7]Brewhouse!$A$13:$A$20)</f>
        <v>8</v>
      </c>
      <c r="L29" s="302" t="e">
        <f>AVERAGE([7]Brewhouse!$AT$13:$AT$20)</f>
        <v>#DIV/0!</v>
      </c>
      <c r="M29" s="302" t="e">
        <f>AVERAGE([7]Brewhouse!$AT$13:$AT$20)</f>
        <v>#DIV/0!</v>
      </c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  <c r="AA29" s="474"/>
    </row>
    <row r="30" spans="1:27" ht="14.65" customHeight="1">
      <c r="A30" s="28"/>
      <c r="B30" s="544"/>
      <c r="C30" s="362"/>
      <c r="D30" s="536"/>
      <c r="E30" s="537"/>
      <c r="F30" s="417"/>
      <c r="G30" s="294"/>
      <c r="H30" s="348"/>
      <c r="I30" s="37" t="s">
        <v>16</v>
      </c>
      <c r="J30" s="323"/>
      <c r="K30" s="284">
        <f>COUNTA([8]Brewhouse!$A$5:$A$7)</f>
        <v>3</v>
      </c>
      <c r="L30" s="302">
        <f>AVERAGE([8]Brewhouse!$AY$5:$AY$7)</f>
        <v>98.128633252159673</v>
      </c>
      <c r="M30" s="302">
        <f>AVERAGE([8]Brewhouse!$AY$5:$AY$7)</f>
        <v>98.128633252159673</v>
      </c>
      <c r="N30" s="30">
        <v>98</v>
      </c>
      <c r="O30" s="11"/>
      <c r="P30" s="31" t="s">
        <v>41</v>
      </c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4.65" customHeight="1">
      <c r="A31" s="28"/>
      <c r="B31" s="544"/>
      <c r="C31" s="362"/>
      <c r="D31" s="531"/>
      <c r="E31" s="532"/>
      <c r="F31" s="294"/>
      <c r="G31" s="294"/>
      <c r="H31" s="348"/>
      <c r="I31" s="411" t="s">
        <v>158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4.65" customHeight="1">
      <c r="A32" s="28"/>
      <c r="B32" s="544"/>
      <c r="C32" s="349"/>
      <c r="D32" s="536"/>
      <c r="E32" s="537"/>
      <c r="F32" s="294"/>
      <c r="G32" s="294"/>
      <c r="H32" s="348"/>
      <c r="I32" s="410" t="s">
        <v>157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5" customHeight="1" thickBot="1">
      <c r="A33" s="28"/>
      <c r="B33" s="544"/>
      <c r="C33" s="349"/>
      <c r="D33" s="531"/>
      <c r="E33" s="532"/>
      <c r="F33" s="294"/>
      <c r="G33" s="294"/>
      <c r="H33" s="348"/>
      <c r="I33" s="406" t="s">
        <v>156</v>
      </c>
      <c r="J33" s="327"/>
      <c r="K33" s="407"/>
      <c r="L33" s="408"/>
      <c r="M33" s="408"/>
      <c r="N33" s="409">
        <v>98</v>
      </c>
      <c r="O33" s="11"/>
      <c r="P33" s="31"/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5" customHeight="1" thickBot="1">
      <c r="A34" s="28"/>
      <c r="B34" s="544"/>
      <c r="C34" s="349"/>
      <c r="D34" s="546"/>
      <c r="E34" s="547"/>
      <c r="F34" s="294"/>
      <c r="G34" s="294"/>
      <c r="H34" s="348"/>
      <c r="I34" s="1"/>
      <c r="J34" s="39"/>
      <c r="K34" s="404">
        <f>SUM(K24:K33)</f>
        <v>95</v>
      </c>
      <c r="L34" s="405" t="e">
        <f>((L24*K24)+(L25*K25)+(L26*K26)+(L27*K27)+(L28*K28)+(K31*L31)+(L29*K29)+(L30*K30)+(L33*K33))/(K34)</f>
        <v>#DIV/0!</v>
      </c>
      <c r="M34" s="405" t="e">
        <f>L34</f>
        <v>#DIV/0!</v>
      </c>
      <c r="N34" s="40">
        <v>98</v>
      </c>
      <c r="O34" s="11"/>
      <c r="P34" s="31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5.75" thickBot="1">
      <c r="B35" s="545"/>
      <c r="C35" s="350"/>
      <c r="D35" s="548"/>
      <c r="E35" s="532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>
        <f t="shared" si="0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5.75" thickBot="1">
      <c r="B36" s="526"/>
      <c r="C36" s="362"/>
      <c r="D36" s="529"/>
      <c r="E36" s="530"/>
      <c r="F36" s="294"/>
      <c r="G36" s="42"/>
      <c r="H36" s="41"/>
      <c r="I36" s="42"/>
      <c r="J36" s="533" t="s">
        <v>129</v>
      </c>
      <c r="K36" s="533"/>
      <c r="L36" s="294"/>
      <c r="M36" s="294"/>
      <c r="N36" s="294"/>
      <c r="O36" s="294"/>
      <c r="P36" s="12"/>
    </row>
    <row r="37" spans="1:56" ht="15.75" thickBot="1">
      <c r="B37" s="527"/>
      <c r="C37" s="362"/>
      <c r="D37" s="531"/>
      <c r="E37" s="532"/>
      <c r="F37" s="294"/>
      <c r="G37" s="42"/>
      <c r="H37" s="42"/>
      <c r="I37" s="42"/>
      <c r="J37" s="292" t="s">
        <v>17</v>
      </c>
      <c r="K37" s="293" t="s">
        <v>147</v>
      </c>
      <c r="L37" s="534" t="s">
        <v>136</v>
      </c>
      <c r="M37" s="534"/>
      <c r="N37" s="535"/>
      <c r="O37" s="294"/>
      <c r="P37" s="12"/>
    </row>
    <row r="38" spans="1:56" ht="15" customHeight="1" thickBot="1">
      <c r="B38" s="527"/>
      <c r="C38" s="349"/>
      <c r="D38" s="536"/>
      <c r="E38" s="537"/>
      <c r="F38" s="294"/>
      <c r="G38" s="42"/>
      <c r="H38" s="42"/>
      <c r="I38" s="42"/>
      <c r="J38" s="287" t="s">
        <v>6</v>
      </c>
      <c r="K38" s="324">
        <v>4</v>
      </c>
      <c r="L38" s="475" t="s">
        <v>37</v>
      </c>
      <c r="M38" s="476" t="s">
        <v>38</v>
      </c>
      <c r="N38" s="476" t="s">
        <v>84</v>
      </c>
      <c r="O38" s="294"/>
      <c r="P38" s="12"/>
    </row>
    <row r="39" spans="1:56" ht="15.75" customHeight="1" thickBot="1">
      <c r="B39" s="527"/>
      <c r="C39" s="349"/>
      <c r="D39" s="531"/>
      <c r="E39" s="532"/>
      <c r="F39" s="294"/>
      <c r="G39" s="42"/>
      <c r="H39" s="42"/>
      <c r="I39" s="42"/>
      <c r="J39" s="345" t="s">
        <v>9</v>
      </c>
      <c r="K39" s="324"/>
      <c r="L39" s="344">
        <f>AVERAGE('Jan 2nd'!K45,'Jan 5th'!K45,'Jan 6th'!K49,'Jan 7th'!K49,'Jan 8th '!K44,'Jan 9th-10th'!J58,'Jan 9th-10th'!K58,'Jan12th '!K50,Jan13th!K45,Jan14th!K53,Jan15th!K50,K48,'Jan16-18th'!I53,'Jan16-18th'!J53,'Jan16-18th'!K53,'Jan19th '!K55,Jan20th!K47,Jan21st!K50)</f>
        <v>5.7222222222222223</v>
      </c>
      <c r="M39" s="325">
        <f>AVERAGE(L39)</f>
        <v>5.7222222222222223</v>
      </c>
      <c r="N39" s="416">
        <v>9.1999999999999993</v>
      </c>
      <c r="O39" s="294"/>
      <c r="P39" s="12"/>
    </row>
    <row r="40" spans="1:56" ht="15" customHeight="1">
      <c r="B40" s="527"/>
      <c r="C40" s="349"/>
      <c r="D40" s="536"/>
      <c r="E40" s="537"/>
      <c r="F40" s="294"/>
      <c r="G40" s="42"/>
      <c r="H40" s="42"/>
      <c r="I40" s="42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7"/>
      <c r="C41" s="349"/>
      <c r="D41" s="531"/>
      <c r="E41" s="532"/>
      <c r="F41" s="294"/>
      <c r="G41" s="42"/>
      <c r="H41" s="42"/>
      <c r="I41" s="42"/>
      <c r="J41" s="289" t="s">
        <v>33</v>
      </c>
      <c r="K41" s="324"/>
      <c r="L41" s="294"/>
      <c r="M41" s="294"/>
      <c r="N41" s="294"/>
      <c r="O41" s="294"/>
      <c r="P41" s="12"/>
    </row>
    <row r="42" spans="1:56" ht="15">
      <c r="B42" s="527"/>
      <c r="C42" s="349"/>
      <c r="D42" s="536"/>
      <c r="E42" s="537"/>
      <c r="F42" s="294"/>
      <c r="G42" s="42"/>
      <c r="H42" s="42"/>
      <c r="I42" s="42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7"/>
      <c r="C43" s="349"/>
      <c r="D43" s="531"/>
      <c r="E43" s="532"/>
      <c r="F43" s="294"/>
      <c r="G43" s="42"/>
      <c r="H43" s="42"/>
      <c r="I43" s="42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7"/>
      <c r="C44" s="349"/>
      <c r="D44" s="536"/>
      <c r="E44" s="537"/>
      <c r="F44" s="294"/>
      <c r="G44" s="42"/>
      <c r="H44" s="42"/>
      <c r="I44" s="42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.75" thickBot="1">
      <c r="B45" s="528"/>
      <c r="C45" s="350"/>
      <c r="D45" s="538"/>
      <c r="E45" s="539"/>
      <c r="F45" s="294" t="s">
        <v>166</v>
      </c>
      <c r="G45" s="42"/>
      <c r="H45" s="42"/>
      <c r="I45" s="42"/>
      <c r="J45" s="291" t="s">
        <v>148</v>
      </c>
      <c r="K45" s="324"/>
      <c r="L45" s="294"/>
      <c r="M45" s="294"/>
      <c r="N45" s="294" t="s">
        <v>41</v>
      </c>
      <c r="O45" s="294"/>
      <c r="P45" s="12"/>
      <c r="BC45" s="44"/>
      <c r="BD45" s="44"/>
    </row>
    <row r="46" spans="1:56" ht="17.649999999999999" customHeight="1" thickBot="1">
      <c r="B46" s="312" t="s">
        <v>139</v>
      </c>
      <c r="C46" s="313"/>
      <c r="D46" s="519"/>
      <c r="E46" s="520"/>
      <c r="F46" s="294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649999999999999" customHeight="1">
      <c r="B47" s="363"/>
      <c r="C47" s="364"/>
      <c r="D47" s="365"/>
      <c r="E47" s="365"/>
      <c r="F47" s="294"/>
      <c r="G47" s="42"/>
      <c r="H47" s="42"/>
      <c r="I47" s="42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6" customHeight="1">
      <c r="B48" s="45"/>
      <c r="C48" s="11"/>
      <c r="D48" s="11"/>
      <c r="E48" s="46"/>
      <c r="F48" s="294"/>
      <c r="G48" s="42"/>
      <c r="H48" s="42"/>
      <c r="I48" s="42"/>
      <c r="J48" s="346" t="s">
        <v>130</v>
      </c>
      <c r="K48" s="324">
        <f>SUM(K38:K47)</f>
        <v>4</v>
      </c>
      <c r="L48" s="294"/>
      <c r="M48" s="294"/>
      <c r="N48" s="294"/>
      <c r="O48" s="294"/>
      <c r="P48" s="12"/>
    </row>
    <row r="49" spans="1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L49" s="294"/>
      <c r="N49" s="315"/>
      <c r="P49" s="334"/>
    </row>
    <row r="50" spans="1:57" ht="15" customHeight="1" thickBot="1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1"/>
      <c r="O50" s="48"/>
      <c r="P50" s="49"/>
    </row>
    <row r="51" spans="1:57" ht="15" customHeight="1" thickBot="1">
      <c r="B51" s="511" t="s">
        <v>17</v>
      </c>
      <c r="C51" s="511" t="s">
        <v>44</v>
      </c>
      <c r="D51" s="522" t="s">
        <v>45</v>
      </c>
      <c r="E51" s="524" t="s">
        <v>46</v>
      </c>
      <c r="F51" s="517" t="s">
        <v>47</v>
      </c>
      <c r="G51" s="509" t="s">
        <v>48</v>
      </c>
      <c r="H51" s="511" t="s">
        <v>49</v>
      </c>
      <c r="I51" s="511" t="s">
        <v>50</v>
      </c>
      <c r="J51" s="503" t="s">
        <v>28</v>
      </c>
      <c r="K51" s="513" t="s">
        <v>51</v>
      </c>
      <c r="L51" s="515" t="s">
        <v>52</v>
      </c>
      <c r="M51" s="503" t="s">
        <v>53</v>
      </c>
      <c r="N51" s="13"/>
      <c r="O51" s="13"/>
      <c r="P51" s="50"/>
    </row>
    <row r="52" spans="1:57" ht="28.5" customHeight="1" thickTop="1" thickBot="1">
      <c r="B52" s="512"/>
      <c r="C52" s="521"/>
      <c r="D52" s="523"/>
      <c r="E52" s="525"/>
      <c r="F52" s="518"/>
      <c r="G52" s="510"/>
      <c r="H52" s="512"/>
      <c r="I52" s="512"/>
      <c r="J52" s="504"/>
      <c r="K52" s="514"/>
      <c r="L52" s="516"/>
      <c r="M52" s="504"/>
      <c r="N52" s="13"/>
      <c r="O52" s="13"/>
      <c r="P52" s="50"/>
      <c r="Q52" s="355"/>
      <c r="AB52" s="477">
        <v>43474</v>
      </c>
      <c r="AC52" s="477">
        <v>43475</v>
      </c>
      <c r="AD52" s="477">
        <v>43476</v>
      </c>
      <c r="AE52" s="477">
        <v>43477</v>
      </c>
      <c r="AF52" s="477">
        <v>43478</v>
      </c>
      <c r="AG52" s="477">
        <v>43479</v>
      </c>
      <c r="AH52" s="477">
        <v>43480</v>
      </c>
      <c r="AI52" s="477">
        <v>43481</v>
      </c>
      <c r="AJ52" s="477">
        <v>43482</v>
      </c>
      <c r="AK52" s="477">
        <v>43483</v>
      </c>
      <c r="AL52" s="477">
        <v>43484</v>
      </c>
      <c r="AM52" s="477">
        <v>43485</v>
      </c>
      <c r="AN52" s="477">
        <v>43486</v>
      </c>
      <c r="AO52" s="477">
        <v>43487</v>
      </c>
      <c r="AP52" s="477">
        <v>43488</v>
      </c>
      <c r="AQ52" s="477">
        <v>43489</v>
      </c>
      <c r="AR52" s="477">
        <v>43490</v>
      </c>
      <c r="AS52" s="477">
        <v>43491</v>
      </c>
      <c r="AT52" s="477">
        <v>43492</v>
      </c>
      <c r="AU52" s="477">
        <v>43493</v>
      </c>
      <c r="AV52" s="477">
        <v>43494</v>
      </c>
      <c r="AW52" s="477">
        <v>43495</v>
      </c>
      <c r="AX52" s="477">
        <v>43496</v>
      </c>
    </row>
    <row r="53" spans="1:57" s="54" customFormat="1" ht="37.15" customHeight="1" thickBot="1">
      <c r="B53" s="496"/>
      <c r="C53" s="495"/>
      <c r="D53" s="442"/>
      <c r="E53" s="443"/>
      <c r="F53" s="444"/>
      <c r="G53" s="445"/>
      <c r="H53" s="446"/>
      <c r="I53" s="447"/>
      <c r="J53" s="44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14.25" customHeight="1" thickBot="1">
      <c r="B54" s="496"/>
      <c r="C54" s="495"/>
      <c r="D54" s="442"/>
      <c r="E54" s="443"/>
      <c r="F54" s="444"/>
      <c r="G54" s="445"/>
      <c r="H54" s="446"/>
      <c r="I54" s="447"/>
      <c r="J54" s="478"/>
      <c r="K54" s="449"/>
      <c r="L54" s="457"/>
      <c r="M54" s="455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37.15" customHeight="1" thickBot="1">
      <c r="A55" s="54" t="s">
        <v>187</v>
      </c>
      <c r="B55" s="496"/>
      <c r="C55" s="495"/>
      <c r="D55" s="442"/>
      <c r="E55" s="443"/>
      <c r="F55" s="444"/>
      <c r="G55" s="445"/>
      <c r="H55" s="446"/>
      <c r="I55" s="447"/>
      <c r="J55" s="44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>
        <f>[9]January_2019!L7</f>
        <v>285.8</v>
      </c>
      <c r="AC55" s="57">
        <f>[9]January_2019!M7</f>
        <v>508.1</v>
      </c>
      <c r="AD55" s="57">
        <f>[9]January_2019!N7</f>
        <v>0</v>
      </c>
      <c r="AE55" s="57">
        <f>[9]January_2019!O7</f>
        <v>0</v>
      </c>
      <c r="AF55" s="57">
        <f>[9]January_2019!P7</f>
        <v>109.56666666666666</v>
      </c>
      <c r="AG55" s="57">
        <f>[9]January_2019!Q7</f>
        <v>297.64999999999998</v>
      </c>
      <c r="AH55" s="57">
        <f>[9]January_2019!R7</f>
        <v>122.3</v>
      </c>
      <c r="AI55" s="57">
        <f>[9]January_2019!S7</f>
        <v>0</v>
      </c>
      <c r="AJ55" s="57">
        <f>[9]January_2019!T7</f>
        <v>294.7</v>
      </c>
      <c r="AK55" s="57">
        <f>[9]January_2019!U7</f>
        <v>280.5</v>
      </c>
      <c r="AL55" s="57">
        <f>[9]January_2019!V7</f>
        <v>0</v>
      </c>
      <c r="AM55" s="57">
        <f>[9]January_2019!W7</f>
        <v>0</v>
      </c>
      <c r="AN55" s="57">
        <f>[9]January_2019!X7</f>
        <v>188.25</v>
      </c>
      <c r="AO55" s="57">
        <f>[9]January_2019!Y7</f>
        <v>295.7</v>
      </c>
      <c r="AP55" s="57">
        <f>[9]January_2019!Z7</f>
        <v>257.8</v>
      </c>
      <c r="AQ55" s="57">
        <f>[9]January_2019!AA7</f>
        <v>291.2</v>
      </c>
      <c r="AR55" s="57">
        <f>[9]January_2019!AB7</f>
        <v>187</v>
      </c>
      <c r="AS55" s="57">
        <f>[9]January_2019!AC7</f>
        <v>0</v>
      </c>
      <c r="AT55" s="57">
        <f>[9]January_2019!AD7</f>
        <v>0</v>
      </c>
      <c r="AU55" s="57">
        <f>[9]January_2019!AE7</f>
        <v>485.1</v>
      </c>
      <c r="AV55" s="57">
        <f>[9]January_2019!AF7</f>
        <v>171.55</v>
      </c>
      <c r="AW55" s="57">
        <f>[9]January_2019!AG7</f>
        <v>423.8</v>
      </c>
      <c r="AX55" s="277">
        <f>[9]January_2019!AH7</f>
        <v>0</v>
      </c>
      <c r="AY55" s="277"/>
      <c r="AZ55" s="277"/>
      <c r="BA55" s="277"/>
      <c r="BB55" s="277"/>
      <c r="BC55" s="277"/>
      <c r="BD55" s="277"/>
      <c r="BE55" s="277"/>
    </row>
    <row r="56" spans="1:57" s="54" customFormat="1" ht="19.5" customHeight="1" thickBot="1">
      <c r="B56" s="494"/>
      <c r="C56" s="430"/>
      <c r="D56" s="431"/>
      <c r="E56" s="432"/>
      <c r="F56" s="433"/>
      <c r="G56" s="434"/>
      <c r="H56" s="428"/>
      <c r="I56" s="428"/>
      <c r="J56" s="451"/>
      <c r="K56" s="436"/>
      <c r="L56" s="452"/>
      <c r="M56" s="421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8.450000000000003" customHeight="1" thickBot="1">
      <c r="B57" s="497"/>
      <c r="C57" s="495"/>
      <c r="D57" s="442"/>
      <c r="E57" s="443"/>
      <c r="F57" s="444"/>
      <c r="G57" s="445"/>
      <c r="H57" s="458"/>
      <c r="I57" s="458"/>
      <c r="J57" s="448"/>
      <c r="K57" s="460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5" hidden="1">
      <c r="B58" s="453"/>
      <c r="C58" s="430"/>
      <c r="D58" s="431"/>
      <c r="E58" s="432"/>
      <c r="F58" s="433"/>
      <c r="G58" s="434"/>
      <c r="H58" s="435"/>
      <c r="I58" s="450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B59" s="496"/>
      <c r="C59" s="495"/>
      <c r="D59" s="442"/>
      <c r="E59" s="443"/>
      <c r="F59" s="444"/>
      <c r="G59" s="445"/>
      <c r="H59" s="446"/>
      <c r="I59" s="447"/>
      <c r="J59" s="448"/>
      <c r="K59" s="449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6.5" hidden="1" customHeight="1" thickBot="1">
      <c r="B60" s="437"/>
      <c r="C60" s="423"/>
      <c r="D60" s="424"/>
      <c r="E60" s="425"/>
      <c r="F60" s="426"/>
      <c r="G60" s="427"/>
      <c r="H60" s="428"/>
      <c r="I60" s="438"/>
      <c r="J60" s="439"/>
      <c r="K60" s="429"/>
      <c r="L60" s="440"/>
      <c r="M60" s="422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5"/>
      <c r="AC60" s="415"/>
      <c r="AD60" s="415"/>
      <c r="AE60" s="415"/>
      <c r="AF60" s="415"/>
      <c r="AG60" s="415"/>
      <c r="AH60" s="415"/>
      <c r="AI60" s="415"/>
      <c r="AJ60" s="415"/>
      <c r="AK60" s="415"/>
      <c r="AL60" s="415"/>
      <c r="AM60" s="415"/>
      <c r="AN60" s="415"/>
      <c r="AO60" s="415"/>
      <c r="AP60" s="415"/>
      <c r="AQ60" s="415"/>
      <c r="AR60" s="415"/>
      <c r="AS60" s="415"/>
      <c r="AT60" s="415"/>
      <c r="AU60" s="415"/>
      <c r="AV60" s="415"/>
      <c r="AW60" s="415"/>
    </row>
    <row r="61" spans="1:57" s="54" customFormat="1" ht="37.15" hidden="1" customHeight="1" thickBot="1">
      <c r="B61" s="456"/>
      <c r="C61" s="441"/>
      <c r="D61" s="442"/>
      <c r="E61" s="443"/>
      <c r="F61" s="444"/>
      <c r="G61" s="445"/>
      <c r="H61" s="446"/>
      <c r="I61" s="447"/>
      <c r="J61" s="448"/>
      <c r="K61" s="449"/>
      <c r="L61" s="457"/>
      <c r="M61" s="454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customHeight="1">
      <c r="B62" s="467"/>
      <c r="C62" s="430"/>
      <c r="D62" s="461"/>
      <c r="E62" s="462"/>
      <c r="F62" s="463"/>
      <c r="G62" s="461"/>
      <c r="H62" s="464"/>
      <c r="I62" s="464"/>
      <c r="J62" s="464"/>
      <c r="K62" s="465"/>
      <c r="L62" s="466"/>
      <c r="M62" s="50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ht="18" customHeight="1" thickBot="1">
      <c r="B63" s="59"/>
      <c r="C63" s="30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 t="s">
        <v>41</v>
      </c>
      <c r="O63" s="56"/>
      <c r="P63" s="60"/>
    </row>
    <row r="64" spans="1:57" ht="15.75" thickBot="1">
      <c r="B64" s="505" t="s">
        <v>55</v>
      </c>
      <c r="C64" s="506"/>
      <c r="D64" s="506"/>
      <c r="E64" s="506"/>
      <c r="F64" s="507"/>
      <c r="G64" s="505" t="s">
        <v>56</v>
      </c>
      <c r="H64" s="506"/>
      <c r="I64" s="506"/>
      <c r="J64" s="507"/>
      <c r="K64" s="505" t="s">
        <v>51</v>
      </c>
      <c r="L64" s="506"/>
      <c r="M64" s="506"/>
      <c r="N64" s="508"/>
      <c r="O64" s="56"/>
      <c r="P64" s="50"/>
    </row>
    <row r="65" spans="2:16" ht="15">
      <c r="B65" s="61" t="s">
        <v>17</v>
      </c>
      <c r="C65" s="62" t="s">
        <v>36</v>
      </c>
      <c r="D65" s="62" t="s">
        <v>37</v>
      </c>
      <c r="E65" s="62" t="s">
        <v>38</v>
      </c>
      <c r="F65" s="63" t="s">
        <v>39</v>
      </c>
      <c r="G65" s="62" t="s">
        <v>36</v>
      </c>
      <c r="H65" s="62" t="s">
        <v>37</v>
      </c>
      <c r="I65" s="62" t="s">
        <v>38</v>
      </c>
      <c r="J65" s="63" t="s">
        <v>39</v>
      </c>
      <c r="K65" s="62" t="s">
        <v>36</v>
      </c>
      <c r="L65" s="62" t="s">
        <v>37</v>
      </c>
      <c r="M65" s="62" t="s">
        <v>38</v>
      </c>
      <c r="N65" s="63" t="s">
        <v>39</v>
      </c>
      <c r="O65" s="56"/>
      <c r="P65" s="64"/>
    </row>
    <row r="66" spans="2:16" ht="15">
      <c r="B66" s="29" t="s">
        <v>6</v>
      </c>
      <c r="C66" s="282"/>
      <c r="D66" s="76">
        <v>10.90066608746017</v>
      </c>
      <c r="E66" s="76">
        <v>10.90066608746017</v>
      </c>
      <c r="F66" s="66">
        <v>4.8</v>
      </c>
      <c r="G66" s="65"/>
      <c r="H66" s="480">
        <v>10.197758641162071</v>
      </c>
      <c r="I66" s="480">
        <v>10.197758641162071</v>
      </c>
      <c r="J66" s="66">
        <v>4.8</v>
      </c>
      <c r="K66" s="67"/>
      <c r="L66" s="194">
        <v>0.26108855472013365</v>
      </c>
      <c r="M66" s="194">
        <v>0.26108855472013365</v>
      </c>
      <c r="N66" s="68">
        <v>1</v>
      </c>
      <c r="O66" s="56"/>
      <c r="P66" s="69"/>
    </row>
    <row r="67" spans="2:16" ht="15">
      <c r="B67" s="33" t="s">
        <v>9</v>
      </c>
      <c r="C67" s="65"/>
      <c r="D67" s="76">
        <v>6.6263785558913062</v>
      </c>
      <c r="E67" s="76">
        <v>6.6263785558913062</v>
      </c>
      <c r="F67" s="66">
        <v>4.8</v>
      </c>
      <c r="G67" s="65"/>
      <c r="H67" s="76">
        <v>7.0083733221260962</v>
      </c>
      <c r="I67" s="76">
        <v>7.0083733221260962</v>
      </c>
      <c r="J67" s="66">
        <v>4.8</v>
      </c>
      <c r="K67" s="67"/>
      <c r="L67" s="194">
        <v>0.66496686159844054</v>
      </c>
      <c r="M67" s="194">
        <v>0.66496686159844054</v>
      </c>
      <c r="N67" s="68">
        <v>1</v>
      </c>
      <c r="P67" s="69"/>
    </row>
    <row r="68" spans="2:16" ht="15">
      <c r="B68" s="34" t="s">
        <v>40</v>
      </c>
      <c r="C68" s="65"/>
      <c r="D68" s="76"/>
      <c r="E68" s="76"/>
      <c r="F68" s="66">
        <v>5.5</v>
      </c>
      <c r="G68" s="65"/>
      <c r="H68" s="76"/>
      <c r="I68" s="76"/>
      <c r="J68" s="66">
        <v>5.5</v>
      </c>
      <c r="K68" s="67"/>
      <c r="L68" s="194"/>
      <c r="M68" s="194"/>
      <c r="N68" s="68">
        <v>1</v>
      </c>
      <c r="P68" s="69"/>
    </row>
    <row r="69" spans="2:16" ht="15">
      <c r="B69" s="22" t="s">
        <v>33</v>
      </c>
      <c r="C69" s="65"/>
      <c r="D69" s="76">
        <v>6.5508684863523392</v>
      </c>
      <c r="E69" s="76">
        <v>6.5508684863523392</v>
      </c>
      <c r="F69" s="66">
        <v>3.3</v>
      </c>
      <c r="G69" s="65"/>
      <c r="H69" s="76">
        <v>5.2086766183151161</v>
      </c>
      <c r="I69" s="76">
        <v>5.2086766183151161</v>
      </c>
      <c r="J69" s="66">
        <v>3.3</v>
      </c>
      <c r="K69" s="67"/>
      <c r="L69" s="194">
        <v>0.6607017543859649</v>
      </c>
      <c r="M69" s="194">
        <v>0.6607017543859649</v>
      </c>
      <c r="N69" s="68">
        <v>1</v>
      </c>
      <c r="P69" s="69"/>
    </row>
    <row r="70" spans="2:16" ht="15">
      <c r="B70" s="35" t="s">
        <v>164</v>
      </c>
      <c r="C70" s="65"/>
      <c r="D70" s="76"/>
      <c r="E70" s="76"/>
      <c r="F70" s="66">
        <v>3.3</v>
      </c>
      <c r="G70" s="282"/>
      <c r="H70" s="76"/>
      <c r="I70" s="76"/>
      <c r="J70" s="66">
        <v>3</v>
      </c>
      <c r="K70" s="67"/>
      <c r="L70" s="194"/>
      <c r="M70" s="194"/>
      <c r="N70" s="68">
        <v>1</v>
      </c>
      <c r="P70" s="69"/>
    </row>
    <row r="71" spans="2:16" ht="15">
      <c r="B71" s="36" t="s">
        <v>15</v>
      </c>
      <c r="C71" s="65"/>
      <c r="D71" s="76">
        <v>5.1105651105651271</v>
      </c>
      <c r="E71" s="76">
        <v>5.1105651105651271</v>
      </c>
      <c r="F71" s="70">
        <f>[10]May_2022!$M$43</f>
        <v>3.4878406700073312</v>
      </c>
      <c r="G71" s="282"/>
      <c r="H71" s="76">
        <v>7.9131369535794072</v>
      </c>
      <c r="I71" s="76">
        <v>7.9131369535794072</v>
      </c>
      <c r="J71" s="66">
        <v>5.5</v>
      </c>
      <c r="K71" s="67"/>
      <c r="L71" s="194">
        <v>1.3550877192982456</v>
      </c>
      <c r="M71" s="194">
        <v>1.3550877192982456</v>
      </c>
      <c r="N71" s="68">
        <v>1</v>
      </c>
      <c r="P71" s="69"/>
    </row>
    <row r="72" spans="2:16" ht="15">
      <c r="B72" s="37" t="s">
        <v>16</v>
      </c>
      <c r="C72" s="65"/>
      <c r="D72" s="76">
        <v>2.0590520590520631</v>
      </c>
      <c r="E72" s="76">
        <v>2.0590520590520631</v>
      </c>
      <c r="F72" s="66">
        <v>3.3</v>
      </c>
      <c r="G72" s="282"/>
      <c r="H72" s="76">
        <v>2.1755040108015784</v>
      </c>
      <c r="I72" s="76">
        <v>2.1755040108015784</v>
      </c>
      <c r="J72" s="66">
        <v>3.3</v>
      </c>
      <c r="K72" s="67"/>
      <c r="L72" s="194">
        <v>0.88456140350877199</v>
      </c>
      <c r="M72" s="194">
        <v>0.88456140350877199</v>
      </c>
      <c r="N72" s="71">
        <v>1</v>
      </c>
      <c r="P72" s="69"/>
    </row>
    <row r="73" spans="2:16" ht="15.75" thickBot="1">
      <c r="B73" s="38" t="s">
        <v>163</v>
      </c>
      <c r="C73" s="65"/>
      <c r="D73" s="76"/>
      <c r="E73" s="76"/>
      <c r="F73" s="66">
        <v>7.5</v>
      </c>
      <c r="G73" s="282"/>
      <c r="H73" s="76"/>
      <c r="I73" s="76"/>
      <c r="J73" s="66">
        <v>7.5</v>
      </c>
      <c r="K73" s="67"/>
      <c r="L73" s="194"/>
      <c r="M73" s="194"/>
      <c r="N73" s="71">
        <v>1</v>
      </c>
      <c r="P73" s="69"/>
    </row>
    <row r="74" spans="2:16" ht="15.75" thickBot="1">
      <c r="B74" s="414" t="s">
        <v>161</v>
      </c>
      <c r="C74" s="65"/>
      <c r="D74" s="76"/>
      <c r="E74" s="76"/>
      <c r="F74" s="66">
        <v>4.8</v>
      </c>
      <c r="G74" s="282"/>
      <c r="H74" s="76"/>
      <c r="I74" s="76"/>
      <c r="J74" s="66">
        <v>4.8</v>
      </c>
      <c r="K74" s="67"/>
      <c r="L74" s="194"/>
      <c r="M74" s="194"/>
      <c r="N74" s="71">
        <v>1</v>
      </c>
      <c r="O74" s="74"/>
      <c r="P74" s="75"/>
    </row>
    <row r="75" spans="2:16" ht="15">
      <c r="D75" s="76">
        <v>7.716884669671499</v>
      </c>
      <c r="E75" s="76">
        <v>7.716884669671499</v>
      </c>
      <c r="F75" s="341">
        <v>5.5</v>
      </c>
      <c r="H75" s="76">
        <v>7.3977546829129937</v>
      </c>
      <c r="I75" s="76">
        <v>7.3977546829129937</v>
      </c>
      <c r="J75" s="341">
        <v>5.5</v>
      </c>
      <c r="L75" s="194">
        <v>0.54338805346700081</v>
      </c>
      <c r="M75" s="194">
        <v>0.54338805346700081</v>
      </c>
      <c r="N75" s="386">
        <v>1</v>
      </c>
    </row>
  </sheetData>
  <mergeCells count="51">
    <mergeCell ref="M51:M52"/>
    <mergeCell ref="B64:F64"/>
    <mergeCell ref="G64:J64"/>
    <mergeCell ref="K64:N64"/>
    <mergeCell ref="G51:G52"/>
    <mergeCell ref="H51:H52"/>
    <mergeCell ref="I51:I52"/>
    <mergeCell ref="J51:J52"/>
    <mergeCell ref="K51:K52"/>
    <mergeCell ref="L51:L52"/>
    <mergeCell ref="F51:F52"/>
    <mergeCell ref="D46:E46"/>
    <mergeCell ref="B51:B52"/>
    <mergeCell ref="C51:C52"/>
    <mergeCell ref="D51:D52"/>
    <mergeCell ref="E51:E52"/>
    <mergeCell ref="B36:B45"/>
    <mergeCell ref="D36:E37"/>
    <mergeCell ref="J36:K36"/>
    <mergeCell ref="L37:N37"/>
    <mergeCell ref="D38:E39"/>
    <mergeCell ref="D40:E41"/>
    <mergeCell ref="D42:E43"/>
    <mergeCell ref="D44:E45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6:B47">
    <cfRule type="cellIs" dxfId="1364" priority="63" operator="notBetween">
      <formula>#REF!</formula>
      <formula>#REF!</formula>
    </cfRule>
  </conditionalFormatting>
  <conditionalFormatting sqref="C50">
    <cfRule type="cellIs" dxfId="1363" priority="191" stopIfTrue="1" operator="greaterThan">
      <formula>100</formula>
    </cfRule>
    <cfRule type="cellIs" dxfId="1362" priority="190" stopIfTrue="1" operator="lessThan">
      <formula>96</formula>
    </cfRule>
  </conditionalFormatting>
  <conditionalFormatting sqref="C66:C70">
    <cfRule type="cellIs" dxfId="1361" priority="148" stopIfTrue="1" operator="lessThanOrEqual">
      <formula>0</formula>
    </cfRule>
  </conditionalFormatting>
  <conditionalFormatting sqref="C66:C74">
    <cfRule type="cellIs" dxfId="1360" priority="147" stopIfTrue="1" operator="greaterThan">
      <formula>$F66</formula>
    </cfRule>
  </conditionalFormatting>
  <conditionalFormatting sqref="C67">
    <cfRule type="cellIs" dxfId="1359" priority="194" stopIfTrue="1" operator="greaterThan">
      <formula>$F66</formula>
    </cfRule>
  </conditionalFormatting>
  <conditionalFormatting sqref="C71">
    <cfRule type="cellIs" dxfId="1358" priority="88" stopIfTrue="1" operator="greaterThan">
      <formula>$F70</formula>
    </cfRule>
    <cfRule type="cellIs" dxfId="1357" priority="87" stopIfTrue="1" operator="lessThanOrEqual">
      <formula>0</formula>
    </cfRule>
  </conditionalFormatting>
  <conditionalFormatting sqref="C77:C81">
    <cfRule type="cellIs" dxfId="1356" priority="182" stopIfTrue="1" operator="lessThanOrEqual">
      <formula>0</formula>
    </cfRule>
  </conditionalFormatting>
  <conditionalFormatting sqref="C78:C81">
    <cfRule type="cellIs" dxfId="1355" priority="181" stopIfTrue="1" operator="greaterThan">
      <formula>$F$77</formula>
    </cfRule>
  </conditionalFormatting>
  <conditionalFormatting sqref="C83">
    <cfRule type="cellIs" dxfId="1354" priority="183" stopIfTrue="1" operator="greaterThan">
      <formula>$F$77</formula>
    </cfRule>
    <cfRule type="cellIs" dxfId="1353" priority="184" stopIfTrue="1" operator="lessThanOrEqual">
      <formula>0</formula>
    </cfRule>
  </conditionalFormatting>
  <conditionalFormatting sqref="C77:D77 D79:D85">
    <cfRule type="cellIs" dxfId="1352" priority="176" stopIfTrue="1" operator="greaterThan">
      <formula>4.5</formula>
    </cfRule>
  </conditionalFormatting>
  <conditionalFormatting sqref="D46:D47">
    <cfRule type="cellIs" dxfId="1351" priority="64" operator="notBetween">
      <formula>#REF!</formula>
      <formula>#REF!</formula>
    </cfRule>
  </conditionalFormatting>
  <conditionalFormatting sqref="D66:D73">
    <cfRule type="cellIs" dxfId="1350" priority="156" stopIfTrue="1" operator="lessThanOrEqual">
      <formula>0</formula>
    </cfRule>
  </conditionalFormatting>
  <conditionalFormatting sqref="D77 D79:D85">
    <cfRule type="cellIs" dxfId="1349" priority="177" stopIfTrue="1" operator="lessThanOrEqual">
      <formula>0</formula>
    </cfRule>
  </conditionalFormatting>
  <conditionalFormatting sqref="D78">
    <cfRule type="cellIs" dxfId="1348" priority="169" stopIfTrue="1" operator="lessThanOrEqual">
      <formula>0</formula>
    </cfRule>
    <cfRule type="cellIs" dxfId="1347" priority="168" stopIfTrue="1" operator="greaterThan">
      <formula>$F$77</formula>
    </cfRule>
  </conditionalFormatting>
  <conditionalFormatting sqref="D66:E75">
    <cfRule type="cellIs" dxfId="1346" priority="145" stopIfTrue="1" operator="greaterThan">
      <formula>$F66</formula>
    </cfRule>
  </conditionalFormatting>
  <conditionalFormatting sqref="D74:E74">
    <cfRule type="cellIs" dxfId="1345" priority="155" stopIfTrue="1" operator="lessThanOrEqual">
      <formula>0</formula>
    </cfRule>
  </conditionalFormatting>
  <conditionalFormatting sqref="D75:E75">
    <cfRule type="cellIs" dxfId="1344" priority="146" stopIfTrue="1" operator="lessThanOrEqual">
      <formula>0</formula>
    </cfRule>
  </conditionalFormatting>
  <conditionalFormatting sqref="E10:E21">
    <cfRule type="cellIs" dxfId="1343" priority="21" operator="lessThan">
      <formula>48</formula>
    </cfRule>
  </conditionalFormatting>
  <conditionalFormatting sqref="E49 E50:F50">
    <cfRule type="cellIs" dxfId="1342" priority="173" stopIfTrue="1" operator="greaterThan">
      <formula>100</formula>
    </cfRule>
  </conditionalFormatting>
  <conditionalFormatting sqref="E50">
    <cfRule type="cellIs" dxfId="1341" priority="170" stopIfTrue="1" operator="lessThan">
      <formula>96.8</formula>
    </cfRule>
    <cfRule type="cellIs" dxfId="1340" priority="171" stopIfTrue="1" operator="greaterThan">
      <formula>100</formula>
    </cfRule>
  </conditionalFormatting>
  <conditionalFormatting sqref="E66:E73">
    <cfRule type="cellIs" dxfId="1339" priority="27" stopIfTrue="1" operator="lessThanOrEqual">
      <formula>0</formula>
    </cfRule>
  </conditionalFormatting>
  <conditionalFormatting sqref="E66:E74">
    <cfRule type="cellIs" dxfId="1338" priority="152" stopIfTrue="1" operator="lessThanOrEqual">
      <formula>0</formula>
    </cfRule>
  </conditionalFormatting>
  <conditionalFormatting sqref="E77:E85">
    <cfRule type="cellIs" dxfId="1337" priority="163" stopIfTrue="1" operator="lessThanOrEqual">
      <formula>0</formula>
    </cfRule>
    <cfRule type="cellIs" dxfId="1336" priority="162" stopIfTrue="1" operator="greaterThan">
      <formula>4.5</formula>
    </cfRule>
  </conditionalFormatting>
  <conditionalFormatting sqref="E50:F50 E49">
    <cfRule type="cellIs" dxfId="1335" priority="172" stopIfTrue="1" operator="lessThan">
      <formula>96.5</formula>
    </cfRule>
  </conditionalFormatting>
  <conditionalFormatting sqref="F10:F21">
    <cfRule type="cellIs" dxfId="1334" priority="22" operator="greaterThan">
      <formula>60</formula>
    </cfRule>
  </conditionalFormatting>
  <conditionalFormatting sqref="F50">
    <cfRule type="cellIs" dxfId="1333" priority="188" stopIfTrue="1" operator="lessThan">
      <formula>96.8</formula>
    </cfRule>
    <cfRule type="cellIs" dxfId="1332" priority="189" stopIfTrue="1" operator="greaterThan">
      <formula>100</formula>
    </cfRule>
  </conditionalFormatting>
  <conditionalFormatting sqref="F75">
    <cfRule type="cellIs" dxfId="1331" priority="154" stopIfTrue="1" operator="lessThanOrEqual">
      <formula>0</formula>
    </cfRule>
    <cfRule type="cellIs" dxfId="1330" priority="153" stopIfTrue="1" operator="greaterThan">
      <formula>$F75</formula>
    </cfRule>
  </conditionalFormatting>
  <conditionalFormatting sqref="G10:G20">
    <cfRule type="expression" dxfId="1329" priority="24">
      <formula>IF(+(IF(G10&lt;S10,0,IF(G10&gt;T10,0,1)))=0,1)</formula>
    </cfRule>
  </conditionalFormatting>
  <conditionalFormatting sqref="G66:G67 C72:C74">
    <cfRule type="cellIs" dxfId="1328" priority="158" stopIfTrue="1" operator="lessThanOrEqual">
      <formula>0</formula>
    </cfRule>
  </conditionalFormatting>
  <conditionalFormatting sqref="G66:G67">
    <cfRule type="cellIs" dxfId="1327" priority="149" stopIfTrue="1" operator="greaterThan">
      <formula>$F66</formula>
    </cfRule>
    <cfRule type="cellIs" dxfId="1326" priority="157" stopIfTrue="1" operator="greaterThan">
      <formula>$F66</formula>
    </cfRule>
    <cfRule type="cellIs" dxfId="1325" priority="150" stopIfTrue="1" operator="lessThanOrEqual">
      <formula>0</formula>
    </cfRule>
  </conditionalFormatting>
  <conditionalFormatting sqref="G68">
    <cfRule type="cellIs" dxfId="1324" priority="192" stopIfTrue="1" operator="greaterThan">
      <formula>$F67</formula>
    </cfRule>
    <cfRule type="cellIs" dxfId="1323" priority="193" stopIfTrue="1" operator="lessThanOrEqual">
      <formula>0</formula>
    </cfRule>
  </conditionalFormatting>
  <conditionalFormatting sqref="G69">
    <cfRule type="cellIs" dxfId="1322" priority="62" stopIfTrue="1" operator="lessThanOrEqual">
      <formula>0</formula>
    </cfRule>
    <cfRule type="cellIs" dxfId="1321" priority="59" stopIfTrue="1" operator="greaterThan">
      <formula>$F69</formula>
    </cfRule>
    <cfRule type="cellIs" dxfId="1320" priority="60" stopIfTrue="1" operator="lessThanOrEqual">
      <formula>0</formula>
    </cfRule>
    <cfRule type="cellIs" dxfId="1319" priority="61" stopIfTrue="1" operator="greaterThan">
      <formula>$F69</formula>
    </cfRule>
  </conditionalFormatting>
  <conditionalFormatting sqref="G70:G74">
    <cfRule type="cellIs" dxfId="1318" priority="160" stopIfTrue="1" operator="lessThanOrEqual">
      <formula>0</formula>
    </cfRule>
    <cfRule type="cellIs" dxfId="1317" priority="159" stopIfTrue="1" operator="greaterThan">
      <formula>$J70</formula>
    </cfRule>
  </conditionalFormatting>
  <conditionalFormatting sqref="G79:G84 C82 C84">
    <cfRule type="cellIs" dxfId="1316" priority="185" stopIfTrue="1" operator="greaterThan">
      <formula>4.5</formula>
    </cfRule>
    <cfRule type="cellIs" dxfId="1315" priority="186" stopIfTrue="1" operator="lessThanOrEqual">
      <formula>0</formula>
    </cfRule>
  </conditionalFormatting>
  <conditionalFormatting sqref="G78:H78">
    <cfRule type="cellIs" dxfId="1314" priority="166" stopIfTrue="1" operator="greaterThan">
      <formula>$F$77</formula>
    </cfRule>
    <cfRule type="cellIs" dxfId="1313" priority="167" stopIfTrue="1" operator="lessThanOrEqual">
      <formula>0</formula>
    </cfRule>
  </conditionalFormatting>
  <conditionalFormatting sqref="H10:H20 G21:H21">
    <cfRule type="expression" dxfId="1312" priority="56">
      <formula>IF(+(IF(G10&lt;#REF!,0,IF(G10&gt;#REF!,0,1)))=0,1)</formula>
    </cfRule>
  </conditionalFormatting>
  <conditionalFormatting sqref="H35:H36 H49">
    <cfRule type="cellIs" dxfId="1311" priority="164" stopIfTrue="1" operator="greaterThan">
      <formula>0</formula>
    </cfRule>
  </conditionalFormatting>
  <conditionalFormatting sqref="H53:H54">
    <cfRule type="cellIs" dxfId="1310" priority="13" stopIfTrue="1" operator="greaterThan">
      <formula>#REF!</formula>
    </cfRule>
    <cfRule type="cellIs" dxfId="1309" priority="12" stopIfTrue="1" operator="lessThanOrEqual">
      <formula>0</formula>
    </cfRule>
    <cfRule type="cellIs" dxfId="1308" priority="11" stopIfTrue="1" operator="greaterThan">
      <formula>$F$21</formula>
    </cfRule>
    <cfRule type="cellIs" dxfId="1307" priority="3" stopIfTrue="1" operator="greaterThan">
      <formula>#REF!</formula>
    </cfRule>
    <cfRule type="cellIs" dxfId="1306" priority="2" stopIfTrue="1" operator="lessThanOrEqual">
      <formula>0</formula>
    </cfRule>
  </conditionalFormatting>
  <conditionalFormatting sqref="H53:H55">
    <cfRule type="cellIs" dxfId="1305" priority="14" stopIfTrue="1" operator="lessThanOrEqual">
      <formula>0</formula>
    </cfRule>
  </conditionalFormatting>
  <conditionalFormatting sqref="H55">
    <cfRule type="cellIs" dxfId="1304" priority="38" stopIfTrue="1" operator="greaterThan">
      <formula>#REF!</formula>
    </cfRule>
    <cfRule type="cellIs" dxfId="1303" priority="39" stopIfTrue="1" operator="lessThanOrEqual">
      <formula>0</formula>
    </cfRule>
    <cfRule type="cellIs" dxfId="1302" priority="28" stopIfTrue="1" operator="greaterThan">
      <formula>#REF!</formula>
    </cfRule>
    <cfRule type="cellIs" dxfId="1301" priority="36" stopIfTrue="1" operator="greaterThan">
      <formula>$F$21</formula>
    </cfRule>
    <cfRule type="cellIs" dxfId="1300" priority="37" stopIfTrue="1" operator="lessThanOrEqual">
      <formula>0</formula>
    </cfRule>
  </conditionalFormatting>
  <conditionalFormatting sqref="H56">
    <cfRule type="cellIs" dxfId="1299" priority="115" stopIfTrue="1" operator="greaterThan">
      <formula>#REF!</formula>
    </cfRule>
    <cfRule type="cellIs" dxfId="1298" priority="114" stopIfTrue="1" operator="lessThanOrEqual">
      <formula>0</formula>
    </cfRule>
    <cfRule type="cellIs" dxfId="1297" priority="116" stopIfTrue="1" operator="lessThanOrEqual">
      <formula>0</formula>
    </cfRule>
    <cfRule type="cellIs" dxfId="1296" priority="105" stopIfTrue="1" operator="greaterThan">
      <formula>#REF!</formula>
    </cfRule>
    <cfRule type="cellIs" dxfId="1295" priority="113" stopIfTrue="1" operator="greaterThan">
      <formula>$F$22</formula>
    </cfRule>
    <cfRule type="cellIs" dxfId="1294" priority="104" stopIfTrue="1" operator="lessThanOrEqual">
      <formula>0</formula>
    </cfRule>
  </conditionalFormatting>
  <conditionalFormatting sqref="H57">
    <cfRule type="cellIs" dxfId="1293" priority="53" stopIfTrue="1" operator="lessThanOrEqual">
      <formula>0</formula>
    </cfRule>
    <cfRule type="cellIs" dxfId="1292" priority="51" stopIfTrue="1" operator="lessThanOrEqual">
      <formula>0</formula>
    </cfRule>
    <cfRule type="cellIs" dxfId="1291" priority="41" stopIfTrue="1" operator="lessThanOrEqual">
      <formula>0</formula>
    </cfRule>
    <cfRule type="cellIs" dxfId="1290" priority="42" stopIfTrue="1" operator="greaterThan">
      <formula>$F$66</formula>
    </cfRule>
    <cfRule type="cellIs" dxfId="1289" priority="50" stopIfTrue="1" operator="greaterThan">
      <formula>$F$69</formula>
    </cfRule>
    <cfRule type="cellIs" dxfId="1288" priority="52" stopIfTrue="1" operator="greaterThan">
      <formula>$F$67</formula>
    </cfRule>
  </conditionalFormatting>
  <conditionalFormatting sqref="H58:H59">
    <cfRule type="cellIs" dxfId="1287" priority="90" stopIfTrue="1" operator="lessThanOrEqual">
      <formula>0</formula>
    </cfRule>
    <cfRule type="cellIs" dxfId="1286" priority="91" stopIfTrue="1" operator="greaterThan">
      <formula>#REF!</formula>
    </cfRule>
    <cfRule type="cellIs" dxfId="1285" priority="99" stopIfTrue="1" operator="greaterThan">
      <formula>$F$21</formula>
    </cfRule>
    <cfRule type="cellIs" dxfId="1284" priority="100" stopIfTrue="1" operator="lessThanOrEqual">
      <formula>0</formula>
    </cfRule>
    <cfRule type="cellIs" dxfId="1283" priority="101" stopIfTrue="1" operator="greaterThan">
      <formula>#REF!</formula>
    </cfRule>
    <cfRule type="cellIs" dxfId="1282" priority="102" stopIfTrue="1" operator="lessThanOrEqual">
      <formula>0</formula>
    </cfRule>
  </conditionalFormatting>
  <conditionalFormatting sqref="H60">
    <cfRule type="cellIs" dxfId="1281" priority="131" stopIfTrue="1" operator="lessThanOrEqual">
      <formula>0</formula>
    </cfRule>
    <cfRule type="cellIs" dxfId="1280" priority="120" stopIfTrue="1" operator="greaterThan">
      <formula>$F$34</formula>
    </cfRule>
    <cfRule type="cellIs" dxfId="1279" priority="130" stopIfTrue="1" operator="greaterThan">
      <formula>$F$35</formula>
    </cfRule>
    <cfRule type="cellIs" dxfId="1278" priority="129" stopIfTrue="1" operator="lessThanOrEqual">
      <formula>0</formula>
    </cfRule>
    <cfRule type="cellIs" dxfId="1277" priority="128" stopIfTrue="1" operator="greaterThan">
      <formula>$F$37</formula>
    </cfRule>
    <cfRule type="cellIs" dxfId="1276" priority="119" stopIfTrue="1" operator="lessThanOrEqual">
      <formula>0</formula>
    </cfRule>
  </conditionalFormatting>
  <conditionalFormatting sqref="H61:H62">
    <cfRule type="cellIs" dxfId="1275" priority="85" stopIfTrue="1" operator="greaterThan">
      <formula>#REF!</formula>
    </cfRule>
    <cfRule type="cellIs" dxfId="1274" priority="83" stopIfTrue="1" operator="greaterThan">
      <formula>$F$21</formula>
    </cfRule>
    <cfRule type="cellIs" dxfId="1273" priority="84" stopIfTrue="1" operator="lessThanOrEqual">
      <formula>0</formula>
    </cfRule>
    <cfRule type="cellIs" dxfId="1272" priority="86" stopIfTrue="1" operator="lessThanOrEqual">
      <formula>0</formula>
    </cfRule>
    <cfRule type="cellIs" dxfId="1271" priority="74" stopIfTrue="1" operator="lessThanOrEqual">
      <formula>0</formula>
    </cfRule>
    <cfRule type="cellIs" dxfId="1270" priority="75" stopIfTrue="1" operator="greaterThan">
      <formula>#REF!</formula>
    </cfRule>
  </conditionalFormatting>
  <conditionalFormatting sqref="H77 H79:H85">
    <cfRule type="cellIs" dxfId="1269" priority="178" stopIfTrue="1" operator="greaterThan">
      <formula>4.5</formula>
    </cfRule>
    <cfRule type="cellIs" dxfId="1268" priority="179" stopIfTrue="1" operator="lessThanOrEqual">
      <formula>0</formula>
    </cfRule>
  </conditionalFormatting>
  <conditionalFormatting sqref="H53:I54">
    <cfRule type="cellIs" dxfId="1267" priority="4" stopIfTrue="1" operator="lessThanOrEqual">
      <formula>0</formula>
    </cfRule>
  </conditionalFormatting>
  <conditionalFormatting sqref="H53:I55">
    <cfRule type="cellIs" dxfId="1266" priority="1" stopIfTrue="1" operator="greaterThan">
      <formula>#REF!</formula>
    </cfRule>
  </conditionalFormatting>
  <conditionalFormatting sqref="H55:I55">
    <cfRule type="cellIs" dxfId="1265" priority="29" stopIfTrue="1" operator="lessThanOrEqual">
      <formula>0</formula>
    </cfRule>
  </conditionalFormatting>
  <conditionalFormatting sqref="H56:I56">
    <cfRule type="cellIs" dxfId="1264" priority="106" stopIfTrue="1" operator="lessThanOrEqual">
      <formula>0</formula>
    </cfRule>
    <cfRule type="cellIs" dxfId="1263" priority="103" stopIfTrue="1" operator="greaterThan">
      <formula>$F$21</formula>
    </cfRule>
  </conditionalFormatting>
  <conditionalFormatting sqref="H57:I57">
    <cfRule type="cellIs" dxfId="1262" priority="40" stopIfTrue="1" operator="greaterThan">
      <formula>$F$68</formula>
    </cfRule>
    <cfRule type="cellIs" dxfId="1261" priority="43" stopIfTrue="1" operator="lessThanOrEqual">
      <formula>0</formula>
    </cfRule>
  </conditionalFormatting>
  <conditionalFormatting sqref="H58:I59">
    <cfRule type="cellIs" dxfId="1260" priority="92" stopIfTrue="1" operator="lessThanOrEqual">
      <formula>0</formula>
    </cfRule>
    <cfRule type="cellIs" dxfId="1259" priority="89" stopIfTrue="1" operator="greaterThan">
      <formula>#REF!</formula>
    </cfRule>
  </conditionalFormatting>
  <conditionalFormatting sqref="H60:I60">
    <cfRule type="cellIs" dxfId="1258" priority="121" stopIfTrue="1" operator="lessThanOrEqual">
      <formula>0</formula>
    </cfRule>
    <cfRule type="cellIs" dxfId="1257" priority="118" stopIfTrue="1" operator="greaterThan">
      <formula>$F$36</formula>
    </cfRule>
  </conditionalFormatting>
  <conditionalFormatting sqref="H61:I62">
    <cfRule type="cellIs" dxfId="1256" priority="76" stopIfTrue="1" operator="lessThanOrEqual">
      <formula>0</formula>
    </cfRule>
    <cfRule type="cellIs" dxfId="1255" priority="73" stopIfTrue="1" operator="greaterThan">
      <formula>#REF!</formula>
    </cfRule>
  </conditionalFormatting>
  <conditionalFormatting sqref="H66:I73">
    <cfRule type="cellIs" dxfId="1254" priority="54" stopIfTrue="1" operator="greaterThan">
      <formula>$J66</formula>
    </cfRule>
    <cfRule type="cellIs" dxfId="1253" priority="55" stopIfTrue="1" operator="lessThanOrEqual">
      <formula>0</formula>
    </cfRule>
  </conditionalFormatting>
  <conditionalFormatting sqref="H74:I74">
    <cfRule type="cellIs" dxfId="1252" priority="151" operator="greaterThan">
      <formula>5.3</formula>
    </cfRule>
  </conditionalFormatting>
  <conditionalFormatting sqref="H75:I75">
    <cfRule type="cellIs" dxfId="1251" priority="144" stopIfTrue="1" operator="lessThanOrEqual">
      <formula>0</formula>
    </cfRule>
    <cfRule type="cellIs" dxfId="1250" priority="143" stopIfTrue="1" operator="greaterThan">
      <formula>$J75</formula>
    </cfRule>
  </conditionalFormatting>
  <conditionalFormatting sqref="I53:I54">
    <cfRule type="cellIs" dxfId="1249" priority="6" stopIfTrue="1" operator="lessThanOrEqual">
      <formula>0</formula>
    </cfRule>
    <cfRule type="cellIs" dxfId="1248" priority="10" stopIfTrue="1" operator="lessThanOrEqual">
      <formula>0</formula>
    </cfRule>
    <cfRule type="cellIs" dxfId="1247" priority="9" stopIfTrue="1" operator="greaterThan">
      <formula>#REF!</formula>
    </cfRule>
    <cfRule type="cellIs" dxfId="1246" priority="5" stopIfTrue="1" operator="greaterThan">
      <formula>#REF!</formula>
    </cfRule>
    <cfRule type="cellIs" dxfId="1245" priority="8" stopIfTrue="1" operator="lessThanOrEqual">
      <formula>0</formula>
    </cfRule>
    <cfRule type="cellIs" dxfId="1244" priority="7" stopIfTrue="1" operator="greaterThan">
      <formula>#REF!</formula>
    </cfRule>
  </conditionalFormatting>
  <conditionalFormatting sqref="I55">
    <cfRule type="cellIs" dxfId="1243" priority="31" stopIfTrue="1" operator="lessThanOrEqual">
      <formula>0</formula>
    </cfRule>
    <cfRule type="cellIs" dxfId="1242" priority="32" stopIfTrue="1" operator="greaterThan">
      <formula>#REF!</formula>
    </cfRule>
    <cfRule type="cellIs" dxfId="1241" priority="33" stopIfTrue="1" operator="lessThanOrEqual">
      <formula>0</formula>
    </cfRule>
    <cfRule type="cellIs" dxfId="1240" priority="34" stopIfTrue="1" operator="greaterThan">
      <formula>#REF!</formula>
    </cfRule>
    <cfRule type="cellIs" dxfId="1239" priority="35" stopIfTrue="1" operator="lessThanOrEqual">
      <formula>0</formula>
    </cfRule>
    <cfRule type="cellIs" dxfId="1238" priority="30" stopIfTrue="1" operator="greaterThan">
      <formula>#REF!</formula>
    </cfRule>
  </conditionalFormatting>
  <conditionalFormatting sqref="I56">
    <cfRule type="cellIs" dxfId="1237" priority="107" stopIfTrue="1" operator="greaterThan">
      <formula>#REF!</formula>
    </cfRule>
    <cfRule type="cellIs" dxfId="1236" priority="112" stopIfTrue="1" operator="lessThanOrEqual">
      <formula>0</formula>
    </cfRule>
    <cfRule type="cellIs" dxfId="1235" priority="111" stopIfTrue="1" operator="greaterThan">
      <formula>#REF!</formula>
    </cfRule>
    <cfRule type="cellIs" dxfId="1234" priority="110" stopIfTrue="1" operator="lessThanOrEqual">
      <formula>0</formula>
    </cfRule>
    <cfRule type="cellIs" dxfId="1233" priority="108" stopIfTrue="1" operator="lessThanOrEqual">
      <formula>0</formula>
    </cfRule>
    <cfRule type="cellIs" dxfId="1232" priority="109" stopIfTrue="1" operator="greaterThan">
      <formula>$F$21</formula>
    </cfRule>
  </conditionalFormatting>
  <conditionalFormatting sqref="I57">
    <cfRule type="cellIs" dxfId="1231" priority="49" stopIfTrue="1" operator="lessThanOrEqual">
      <formula>0</formula>
    </cfRule>
    <cfRule type="cellIs" dxfId="1230" priority="44" stopIfTrue="1" operator="greaterThan">
      <formula>$F$66</formula>
    </cfRule>
    <cfRule type="cellIs" dxfId="1229" priority="45" stopIfTrue="1" operator="lessThanOrEqual">
      <formula>0</formula>
    </cfRule>
    <cfRule type="cellIs" dxfId="1228" priority="46" stopIfTrue="1" operator="greaterThan">
      <formula>$F$68</formula>
    </cfRule>
    <cfRule type="cellIs" dxfId="1227" priority="47" stopIfTrue="1" operator="lessThanOrEqual">
      <formula>0</formula>
    </cfRule>
    <cfRule type="cellIs" dxfId="1226" priority="48" stopIfTrue="1" operator="greaterThan">
      <formula>$F$66</formula>
    </cfRule>
  </conditionalFormatting>
  <conditionalFormatting sqref="I58:I59">
    <cfRule type="cellIs" dxfId="1225" priority="97" stopIfTrue="1" operator="greaterThan">
      <formula>#REF!</formula>
    </cfRule>
    <cfRule type="cellIs" dxfId="1224" priority="96" stopIfTrue="1" operator="lessThanOrEqual">
      <formula>0</formula>
    </cfRule>
    <cfRule type="cellIs" dxfId="1223" priority="95" stopIfTrue="1" operator="greaterThan">
      <formula>#REF!</formula>
    </cfRule>
    <cfRule type="cellIs" dxfId="1222" priority="94" stopIfTrue="1" operator="lessThanOrEqual">
      <formula>0</formula>
    </cfRule>
    <cfRule type="cellIs" dxfId="1221" priority="93" stopIfTrue="1" operator="greaterThan">
      <formula>#REF!</formula>
    </cfRule>
    <cfRule type="cellIs" dxfId="1220" priority="98" stopIfTrue="1" operator="lessThanOrEqual">
      <formula>0</formula>
    </cfRule>
  </conditionalFormatting>
  <conditionalFormatting sqref="I60">
    <cfRule type="cellIs" dxfId="1219" priority="125" stopIfTrue="1" operator="lessThanOrEqual">
      <formula>0</formula>
    </cfRule>
    <cfRule type="cellIs" dxfId="1218" priority="124" stopIfTrue="1" operator="greaterThan">
      <formula>$F$36</formula>
    </cfRule>
    <cfRule type="cellIs" dxfId="1217" priority="123" stopIfTrue="1" operator="lessThanOrEqual">
      <formula>0</formula>
    </cfRule>
    <cfRule type="cellIs" dxfId="1216" priority="122" stopIfTrue="1" operator="greaterThan">
      <formula>$F$34</formula>
    </cfRule>
    <cfRule type="cellIs" dxfId="1215" priority="127" stopIfTrue="1" operator="lessThanOrEqual">
      <formula>0</formula>
    </cfRule>
    <cfRule type="cellIs" dxfId="1214" priority="126" stopIfTrue="1" operator="greaterThan">
      <formula>$F$34</formula>
    </cfRule>
  </conditionalFormatting>
  <conditionalFormatting sqref="I61:I62">
    <cfRule type="cellIs" dxfId="1213" priority="80" stopIfTrue="1" operator="lessThanOrEqual">
      <formula>0</formula>
    </cfRule>
    <cfRule type="cellIs" dxfId="1212" priority="82" stopIfTrue="1" operator="lessThanOrEqual">
      <formula>0</formula>
    </cfRule>
    <cfRule type="cellIs" dxfId="1211" priority="81" stopIfTrue="1" operator="greaterThan">
      <formula>#REF!</formula>
    </cfRule>
    <cfRule type="cellIs" dxfId="1210" priority="79" stopIfTrue="1" operator="greaterThan">
      <formula>#REF!</formula>
    </cfRule>
    <cfRule type="cellIs" dxfId="1209" priority="78" stopIfTrue="1" operator="lessThanOrEqual">
      <formula>0</formula>
    </cfRule>
    <cfRule type="cellIs" dxfId="1208" priority="77" stopIfTrue="1" operator="greaterThan">
      <formula>#REF!</formula>
    </cfRule>
  </conditionalFormatting>
  <conditionalFormatting sqref="I77:I85">
    <cfRule type="cellIs" dxfId="1207" priority="175" stopIfTrue="1" operator="lessThanOrEqual">
      <formula>0</formula>
    </cfRule>
    <cfRule type="cellIs" dxfId="1206" priority="174" stopIfTrue="1" operator="greaterThan">
      <formula>4.5</formula>
    </cfRule>
  </conditionalFormatting>
  <conditionalFormatting sqref="I10:J21">
    <cfRule type="cellIs" dxfId="1205" priority="17" operator="lessThan">
      <formula>97.9</formula>
    </cfRule>
  </conditionalFormatting>
  <conditionalFormatting sqref="J26">
    <cfRule type="cellIs" dxfId="1204" priority="135" operator="lessThan">
      <formula>98</formula>
    </cfRule>
    <cfRule type="cellIs" dxfId="1203" priority="133" stopIfTrue="1" operator="lessThan">
      <formula>96.8</formula>
    </cfRule>
    <cfRule type="cellIs" dxfId="1202" priority="134" stopIfTrue="1" operator="greaterThan">
      <formula>100</formula>
    </cfRule>
  </conditionalFormatting>
  <conditionalFormatting sqref="J26:J28">
    <cfRule type="cellIs" dxfId="1201" priority="132" operator="lessThan">
      <formula>97.4</formula>
    </cfRule>
  </conditionalFormatting>
  <conditionalFormatting sqref="J29:J30">
    <cfRule type="cellIs" dxfId="1200" priority="136" operator="lessThan">
      <formula>98</formula>
    </cfRule>
  </conditionalFormatting>
  <conditionalFormatting sqref="J31:J32">
    <cfRule type="cellIs" dxfId="1199" priority="137" stopIfTrue="1" operator="lessThan">
      <formula>96.8</formula>
    </cfRule>
    <cfRule type="cellIs" dxfId="1198" priority="138" stopIfTrue="1" operator="greaterThan">
      <formula>100</formula>
    </cfRule>
  </conditionalFormatting>
  <conditionalFormatting sqref="J31:J33">
    <cfRule type="cellIs" dxfId="1197" priority="139" operator="lessThan">
      <formula>98</formula>
    </cfRule>
  </conditionalFormatting>
  <conditionalFormatting sqref="J62">
    <cfRule type="cellIs" dxfId="1196" priority="72" stopIfTrue="1" operator="lessThanOrEqual">
      <formula>0</formula>
    </cfRule>
    <cfRule type="cellIs" dxfId="1195" priority="66" stopIfTrue="1" operator="lessThanOrEqual">
      <formula>0</formula>
    </cfRule>
    <cfRule type="cellIs" dxfId="1194" priority="67" stopIfTrue="1" operator="greaterThan">
      <formula>#REF!</formula>
    </cfRule>
    <cfRule type="cellIs" dxfId="1193" priority="68" stopIfTrue="1" operator="lessThanOrEqual">
      <formula>0</formula>
    </cfRule>
    <cfRule type="cellIs" dxfId="1192" priority="69" stopIfTrue="1" operator="greaterThan">
      <formula>#REF!</formula>
    </cfRule>
    <cfRule type="cellIs" dxfId="1191" priority="70" stopIfTrue="1" operator="lessThanOrEqual">
      <formula>0</formula>
    </cfRule>
    <cfRule type="cellIs" dxfId="1190" priority="71" stopIfTrue="1" operator="greaterThan">
      <formula>#REF!</formula>
    </cfRule>
    <cfRule type="cellIs" dxfId="1189" priority="65" stopIfTrue="1" operator="greaterThan">
      <formula>#REF!</formula>
    </cfRule>
  </conditionalFormatting>
  <conditionalFormatting sqref="J75">
    <cfRule type="cellIs" dxfId="1188" priority="141" stopIfTrue="1" operator="lessThanOrEqual">
      <formula>0</formula>
    </cfRule>
    <cfRule type="cellIs" dxfId="1187" priority="140" stopIfTrue="1" operator="greaterThan">
      <formula>$F75</formula>
    </cfRule>
  </conditionalFormatting>
  <conditionalFormatting sqref="K10:K21">
    <cfRule type="cellIs" dxfId="1186" priority="18" operator="greaterThan">
      <formula>6</formula>
    </cfRule>
    <cfRule type="cellIs" dxfId="1185" priority="20" operator="greaterThan">
      <formula>6.4</formula>
    </cfRule>
    <cfRule type="cellIs" dxfId="1184" priority="19" operator="lessThan">
      <formula>4</formula>
    </cfRule>
  </conditionalFormatting>
  <conditionalFormatting sqref="K53:K62">
    <cfRule type="cellIs" dxfId="1183" priority="15" stopIfTrue="1" operator="lessThan">
      <formula>100%</formula>
    </cfRule>
  </conditionalFormatting>
  <conditionalFormatting sqref="K77:K82">
    <cfRule type="cellIs" dxfId="1182" priority="180" stopIfTrue="1" operator="lessThan">
      <formula>100%</formula>
    </cfRule>
  </conditionalFormatting>
  <conditionalFormatting sqref="K84:K85">
    <cfRule type="cellIs" dxfId="1181" priority="187" stopIfTrue="1" operator="lessThan">
      <formula>100%</formula>
    </cfRule>
  </conditionalFormatting>
  <conditionalFormatting sqref="K66:N74">
    <cfRule type="cellIs" dxfId="1180" priority="117" stopIfTrue="1" operator="lessThan">
      <formula>100%</formula>
    </cfRule>
  </conditionalFormatting>
  <conditionalFormatting sqref="L10:L21">
    <cfRule type="cellIs" dxfId="1179" priority="25" operator="between">
      <formula>61</formula>
      <formula>65</formula>
    </cfRule>
    <cfRule type="cellIs" dxfId="1178" priority="26" operator="greaterThan">
      <formula>65</formula>
    </cfRule>
  </conditionalFormatting>
  <conditionalFormatting sqref="L24:M35">
    <cfRule type="cellIs" dxfId="1177" priority="57" operator="lessThan">
      <formula>97.95</formula>
    </cfRule>
  </conditionalFormatting>
  <conditionalFormatting sqref="L39:N39">
    <cfRule type="cellIs" dxfId="1176" priority="58" operator="notEqual">
      <formula>#REF!</formula>
    </cfRule>
  </conditionalFormatting>
  <conditionalFormatting sqref="L75:N75">
    <cfRule type="cellIs" dxfId="1175" priority="142" stopIfTrue="1" operator="lessThan">
      <formula>100%</formula>
    </cfRule>
  </conditionalFormatting>
  <conditionalFormatting sqref="L77:N85">
    <cfRule type="cellIs" dxfId="1174" priority="165" stopIfTrue="1" operator="lessThan">
      <formula>100%</formula>
    </cfRule>
  </conditionalFormatting>
  <conditionalFormatting sqref="M10:M20">
    <cfRule type="expression" dxfId="1173" priority="23">
      <formula>IF(+(IF(M10&lt;U10,0,IF(M10&gt;V10,0,1)))=0,1)</formula>
    </cfRule>
  </conditionalFormatting>
  <conditionalFormatting sqref="M21:N21">
    <cfRule type="expression" dxfId="1172" priority="195">
      <formula>IF(+(IF(M21&lt;#REF!,0,IF(M21&gt;#REF!,0,1)))=0,1)</formula>
    </cfRule>
  </conditionalFormatting>
  <conditionalFormatting sqref="N10:N20">
    <cfRule type="expression" dxfId="1171" priority="16">
      <formula>IF(+(IF(N10&lt;W10,0,IF(N10&gt;X10,0,1)))=0,1)</formula>
    </cfRule>
  </conditionalFormatting>
  <conditionalFormatting sqref="P6">
    <cfRule type="cellIs" dxfId="1170" priority="161" operator="greaterThanOrEqual">
      <formula>19</formula>
    </cfRule>
  </conditionalFormatting>
  <dataValidations count="1">
    <dataValidation type="list" allowBlank="1" showInputMessage="1" showErrorMessage="1" sqref="R8" xr:uid="{CD4D980E-57AF-41CD-809F-9BEA99A184BC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9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5291E-D1F6-4DE2-A33E-8EBEB8DC5669}">
  <sheetPr>
    <pageSetUpPr fitToPage="1"/>
  </sheetPr>
  <dimension ref="A1:BE77"/>
  <sheetViews>
    <sheetView zoomScale="70" zoomScaleNormal="70" workbookViewId="0">
      <selection activeCell="B13" sqref="B13:O13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46048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[4]Brewhouse!$A100</f>
        <v>CA059</v>
      </c>
      <c r="D10" s="279">
        <f>[4]Brewhouse!$AF100</f>
        <v>52.1</v>
      </c>
      <c r="E10" s="279">
        <f>[4]Brewhouse!$AI100</f>
        <v>49.6</v>
      </c>
      <c r="F10" s="278">
        <f>[4]Brewhouse!$V100</f>
        <v>62</v>
      </c>
      <c r="G10" s="279">
        <f>[4]Brewhouse!AG100</f>
        <v>11.8</v>
      </c>
      <c r="H10" s="396">
        <v>11.9</v>
      </c>
      <c r="I10" s="368">
        <f>[4]Brewhouse!$AU100</f>
        <v>97.509880366294198</v>
      </c>
      <c r="J10" s="368">
        <f>[4]Brewhouse!$AV100</f>
        <v>97.180537401207886</v>
      </c>
      <c r="K10" s="281">
        <f>[4]Brewhouse!$Q100</f>
        <v>4.2692307692307665</v>
      </c>
      <c r="L10" s="276">
        <f>[4]Brewhouse!$P100</f>
        <v>60</v>
      </c>
      <c r="M10" s="397">
        <f>[4]Brewhouse!$U100-[4]Brewhouse!$T100</f>
        <v>0.1159722222222222</v>
      </c>
      <c r="N10" s="370">
        <f>[4]Brewhouse!$Z100</f>
        <v>0.27083333333333337</v>
      </c>
      <c r="O10" s="420" t="str">
        <f>[4]Brewhouse!$AX100</f>
        <v>R.Sookram</v>
      </c>
      <c r="P10" s="418"/>
      <c r="R10" s="277" t="str">
        <f t="shared" ref="R10:R37" si="0">B10</f>
        <v>CARIB</v>
      </c>
      <c r="S10" s="474">
        <f t="shared" ref="S10:S37" si="1">VLOOKUP($B10,$R$3:$X$9,2,FALSE)</f>
        <v>11.6</v>
      </c>
      <c r="T10" s="474">
        <f t="shared" ref="T10:T37" si="2">VLOOKUP($B10,$R$3:$X$9,3,FALSE)</f>
        <v>12</v>
      </c>
      <c r="U10" s="297">
        <f t="shared" ref="U10:U37" si="3">VLOOKUP($B10,$R$3:$X$9,4,FALSE)</f>
        <v>0</v>
      </c>
      <c r="V10" s="297">
        <f t="shared" ref="V10:V37" si="4">VLOOKUP($B10,$R$3:$X$9,5,FALSE)</f>
        <v>0.118055555555556</v>
      </c>
      <c r="W10" s="297">
        <f t="shared" ref="W10:W37" si="5">VLOOKUP($B10,$R$3:$X$9,6,FALSE)</f>
        <v>0.22569444444444445</v>
      </c>
      <c r="X10" s="297">
        <f t="shared" ref="X10:X37" si="6">VLOOKUP($B10,$R$3:$X$9,7,FALSE)</f>
        <v>0.2638888888888889</v>
      </c>
      <c r="Y10" s="297">
        <f t="shared" ref="Y10:Y37" si="7">VLOOKUP($B10,$R$3:$Z$9,8,FALSE)</f>
        <v>0</v>
      </c>
      <c r="Z10" s="474">
        <f t="shared" ref="Z10:Z37" si="8">VLOOKUP($B10,$R$3:$Z$9,9,FALSE)</f>
        <v>60</v>
      </c>
    </row>
    <row r="11" spans="2:29" ht="16.5" customHeight="1">
      <c r="B11" s="29" t="s">
        <v>6</v>
      </c>
      <c r="C11" s="366" t="str">
        <f>[4]Brewhouse!$A101</f>
        <v>CA060</v>
      </c>
      <c r="D11" s="279">
        <f>[4]Brewhouse!$AF101</f>
        <v>53.1</v>
      </c>
      <c r="E11" s="279">
        <f>[4]Brewhouse!$AI101</f>
        <v>51.3</v>
      </c>
      <c r="F11" s="278">
        <f>[4]Brewhouse!$V101</f>
        <v>58</v>
      </c>
      <c r="G11" s="279">
        <f>[4]Brewhouse!AG101</f>
        <v>11.9</v>
      </c>
      <c r="H11" s="396">
        <v>12</v>
      </c>
      <c r="I11" s="368">
        <f>[4]Brewhouse!$AU101</f>
        <v>101.75095732104258</v>
      </c>
      <c r="J11" s="368">
        <f>[4]Brewhouse!$AV101</f>
        <v>101.40728997309179</v>
      </c>
      <c r="K11" s="281">
        <f>[4]Brewhouse!$Q101</f>
        <v>2.5384615384615392</v>
      </c>
      <c r="L11" s="276">
        <f>[4]Brewhouse!$P101</f>
        <v>198</v>
      </c>
      <c r="M11" s="397">
        <f>[4]Brewhouse!$U101-[4]Brewhouse!$T101</f>
        <v>0.11249999999999999</v>
      </c>
      <c r="N11" s="370">
        <f>[4]Brewhouse!$Z101</f>
        <v>0.27499999999999997</v>
      </c>
      <c r="O11" s="420" t="str">
        <f>[4]Brewhouse!$AX101</f>
        <v>R.Sookram</v>
      </c>
      <c r="P11" s="418"/>
      <c r="R11" s="277" t="str">
        <f t="shared" ref="R11:R20" si="9">B11</f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[4]Brewhouse!$A102</f>
        <v>CA061</v>
      </c>
      <c r="D12" s="279">
        <f>[4]Brewhouse!$AF102</f>
        <v>51.3</v>
      </c>
      <c r="E12" s="279">
        <f>[4]Brewhouse!$AI102</f>
        <v>49.5</v>
      </c>
      <c r="F12" s="278">
        <f>[4]Brewhouse!$V102</f>
        <v>59</v>
      </c>
      <c r="G12" s="279">
        <f>[4]Brewhouse!AG102</f>
        <v>12</v>
      </c>
      <c r="H12" s="396">
        <v>11.9</v>
      </c>
      <c r="I12" s="368">
        <f>[4]Brewhouse!$AU102</f>
        <v>99.415120817930529</v>
      </c>
      <c r="J12" s="368">
        <f>[4]Brewhouse!$AV102</f>
        <v>99.079423833166246</v>
      </c>
      <c r="K12" s="281">
        <f>[4]Brewhouse!$Q102</f>
        <v>3.6571428571428601</v>
      </c>
      <c r="L12" s="276">
        <f>[4]Brewhouse!$P102</f>
        <v>60</v>
      </c>
      <c r="M12" s="397">
        <f>[4]Brewhouse!$U102-[4]Brewhouse!$T102</f>
        <v>0.1152777777777777</v>
      </c>
      <c r="N12" s="370">
        <f>[4]Brewhouse!$Z102</f>
        <v>0.27361111111111108</v>
      </c>
      <c r="O12" s="420" t="str">
        <f>[4]Brewhouse!$AX102</f>
        <v>R.Sookram</v>
      </c>
      <c r="P12" s="418"/>
      <c r="R12" s="277" t="str">
        <f t="shared" si="9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[4]Brewhouse!$A103</f>
        <v>CA062</v>
      </c>
      <c r="D13" s="279">
        <f>[4]Brewhouse!$AF103</f>
        <v>51.8</v>
      </c>
      <c r="E13" s="279">
        <f>[4]Brewhouse!$AI103</f>
        <v>50</v>
      </c>
      <c r="F13" s="278">
        <f>[4]Brewhouse!$V103</f>
        <v>57</v>
      </c>
      <c r="G13" s="279">
        <f>[4]Brewhouse!AG103</f>
        <v>11.9</v>
      </c>
      <c r="H13" s="396">
        <v>11.8</v>
      </c>
      <c r="I13" s="368">
        <f>[4]Brewhouse!$AU103</f>
        <v>99.662908503532648</v>
      </c>
      <c r="J13" s="368">
        <f>[4]Brewhouse!$AV103</f>
        <v>99.326402008838414</v>
      </c>
      <c r="K13" s="281">
        <f>[4]Brewhouse!$Q103</f>
        <v>3.622641509433965</v>
      </c>
      <c r="L13" s="276">
        <f>[4]Brewhouse!$P103</f>
        <v>62</v>
      </c>
      <c r="M13" s="397">
        <f>[4]Brewhouse!$U103-[4]Brewhouse!$T103</f>
        <v>0.11458333333333337</v>
      </c>
      <c r="N13" s="370">
        <f>[4]Brewhouse!$Z103</f>
        <v>0.2729166666666667</v>
      </c>
      <c r="O13" s="420" t="str">
        <f>[4]Brewhouse!$AX103</f>
        <v>K. Benjamin</v>
      </c>
      <c r="P13" s="418"/>
      <c r="R13" s="277" t="str">
        <f t="shared" si="9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420"/>
      <c r="P14" s="418"/>
      <c r="R14" s="277">
        <f t="shared" si="9"/>
        <v>0</v>
      </c>
      <c r="S14" s="474" t="e">
        <f t="shared" si="1"/>
        <v>#N/A</v>
      </c>
      <c r="T14" s="474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474" t="e">
        <f t="shared" si="8"/>
        <v>#N/A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9"/>
        <v>0</v>
      </c>
      <c r="S15" s="474" t="e">
        <f t="shared" si="1"/>
        <v>#N/A</v>
      </c>
      <c r="T15" s="474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4" t="e">
        <f t="shared" si="8"/>
        <v>#N/A</v>
      </c>
    </row>
    <row r="16" spans="2:29" ht="16.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9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9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0"/>
      <c r="P18" s="418"/>
      <c r="R18" s="277">
        <f t="shared" si="9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6.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9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0"/>
      <c r="P20" s="418"/>
      <c r="R20" s="277">
        <f t="shared" si="9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6.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8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0"/>
      <c r="P22" s="418"/>
      <c r="R22" s="277">
        <f t="shared" si="0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6.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18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540"/>
      <c r="J24" s="540"/>
      <c r="K24" s="540"/>
      <c r="L24" s="540"/>
      <c r="M24" s="540"/>
      <c r="N24" s="540"/>
      <c r="O24" s="1"/>
      <c r="P24" s="12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5.75" customHeight="1" thickBot="1">
      <c r="B25" s="388" t="s">
        <v>162</v>
      </c>
      <c r="C25" s="388"/>
      <c r="D25" s="541" t="s">
        <v>35</v>
      </c>
      <c r="E25" s="542"/>
      <c r="F25" s="294"/>
      <c r="G25" s="294"/>
      <c r="H25" s="348"/>
      <c r="I25" s="24" t="s">
        <v>17</v>
      </c>
      <c r="J25" s="25"/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 t="shared" si="0"/>
        <v xml:space="preserve">BRAND 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5" customHeight="1">
      <c r="A26" s="28"/>
      <c r="B26" s="543"/>
      <c r="C26" s="362"/>
      <c r="D26" s="546"/>
      <c r="E26" s="547"/>
      <c r="F26" s="294"/>
      <c r="G26" s="294"/>
      <c r="H26" s="348"/>
      <c r="I26" s="29" t="s">
        <v>6</v>
      </c>
      <c r="J26" s="280">
        <f>AVERAGE(I10:I15)</f>
        <v>99.584716752199995</v>
      </c>
      <c r="K26" s="284">
        <f>COUNTA([4]Brewhouse!$A$42:$A$103)</f>
        <v>62</v>
      </c>
      <c r="L26" s="305">
        <f>AVERAGE([4]Brewhouse!$AU$42:$AU$103)</f>
        <v>98.257404193717633</v>
      </c>
      <c r="M26" s="305">
        <f>AVERAGE([4]Brewhouse!$AU$42:$AU$103)</f>
        <v>98.257404193717633</v>
      </c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5" customHeight="1">
      <c r="A27" s="28"/>
      <c r="B27" s="544"/>
      <c r="C27" s="362"/>
      <c r="D27" s="548"/>
      <c r="E27" s="532"/>
      <c r="F27" s="294"/>
      <c r="G27" s="294"/>
      <c r="H27" s="348"/>
      <c r="I27" s="33" t="s">
        <v>9</v>
      </c>
      <c r="J27" s="280"/>
      <c r="K27" s="284">
        <f>COUNTA([5]Brewhouse!$A$52:$A$65)</f>
        <v>14</v>
      </c>
      <c r="L27" s="302">
        <f>AVERAGE([5]Brewhouse!$AS$52:$AS$65)</f>
        <v>99.833537203795117</v>
      </c>
      <c r="M27" s="302">
        <f>AVERAGE([5]Brewhouse!$AS$52:$AS$65)</f>
        <v>99.833537203795117</v>
      </c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4.65" customHeight="1">
      <c r="A28" s="28"/>
      <c r="B28" s="544"/>
      <c r="C28" s="362"/>
      <c r="D28" s="536"/>
      <c r="E28" s="537"/>
      <c r="F28" s="294"/>
      <c r="G28" s="294"/>
      <c r="H28" s="348"/>
      <c r="I28" s="34" t="s">
        <v>12</v>
      </c>
      <c r="J28" s="280"/>
      <c r="K28" s="284">
        <f>COUNTA([3]Brewhouse!$A$16:$A$23)</f>
        <v>8</v>
      </c>
      <c r="L28" s="302">
        <f>AVERAGE([3]Brewhouse!$AU$16:$AU$23)</f>
        <v>97.765204759801577</v>
      </c>
      <c r="M28" s="302">
        <f>AVERAGE([3]Brewhouse!$AU$16:$AU$23)</f>
        <v>97.765204759801577</v>
      </c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7" ht="14.65" customHeight="1">
      <c r="A29" s="28"/>
      <c r="B29" s="544"/>
      <c r="C29" s="362"/>
      <c r="D29" s="531"/>
      <c r="E29" s="532"/>
      <c r="F29" s="294"/>
      <c r="G29" s="294"/>
      <c r="H29" s="348"/>
      <c r="I29" s="22" t="s">
        <v>33</v>
      </c>
      <c r="J29" s="280"/>
      <c r="K29" s="284">
        <f>COUNTA([6]Brewhouse!$A$23:$A$26)</f>
        <v>4</v>
      </c>
      <c r="L29" s="302">
        <f>AVERAGE([6]Brewhouse!$AV$23:$AV$26)</f>
        <v>98.342483899212951</v>
      </c>
      <c r="M29" s="302">
        <f>AVERAGE([6]Brewhouse!$AV$23:$AV$26)</f>
        <v>98.342483899212951</v>
      </c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7" ht="14.65" customHeight="1">
      <c r="A30" s="28"/>
      <c r="B30" s="544"/>
      <c r="C30" s="362"/>
      <c r="D30" s="536"/>
      <c r="E30" s="537"/>
      <c r="F30" s="417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</row>
    <row r="31" spans="1:27" ht="14.65" customHeight="1">
      <c r="A31" s="28"/>
      <c r="B31" s="544"/>
      <c r="C31" s="362"/>
      <c r="D31" s="531"/>
      <c r="E31" s="532"/>
      <c r="F31" s="417"/>
      <c r="G31" s="294"/>
      <c r="H31" s="348"/>
      <c r="I31" s="36" t="s">
        <v>15</v>
      </c>
      <c r="J31" s="323"/>
      <c r="K31" s="284">
        <f>COUNTA([7]Brewhouse!$A$13:$A$20)</f>
        <v>8</v>
      </c>
      <c r="L31" s="302" t="e">
        <f>AVERAGE([7]Brewhouse!$AT$13:$AT$20)</f>
        <v>#DIV/0!</v>
      </c>
      <c r="M31" s="302" t="e">
        <f>AVERAGE([7]Brewhouse!$AT$13:$AT$20)</f>
        <v>#DIV/0!</v>
      </c>
      <c r="N31" s="3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4.65" customHeight="1">
      <c r="A32" s="28"/>
      <c r="B32" s="544"/>
      <c r="C32" s="362"/>
      <c r="D32" s="536"/>
      <c r="E32" s="537"/>
      <c r="F32" s="417"/>
      <c r="G32" s="294"/>
      <c r="H32" s="348"/>
      <c r="I32" s="37" t="s">
        <v>16</v>
      </c>
      <c r="J32" s="323"/>
      <c r="K32" s="284">
        <f>COUNTA([8]Brewhouse!$A$5:$A$7)</f>
        <v>3</v>
      </c>
      <c r="L32" s="302">
        <f>AVERAGE([8]Brewhouse!$AY$5:$AY$7)</f>
        <v>98.128633252159673</v>
      </c>
      <c r="M32" s="302">
        <f>AVERAGE([8]Brewhouse!$AY$5:$AY$7)</f>
        <v>98.128633252159673</v>
      </c>
      <c r="N32" s="30">
        <v>98</v>
      </c>
      <c r="O32" s="11"/>
      <c r="P32" s="31" t="s">
        <v>41</v>
      </c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4.65" customHeight="1">
      <c r="A33" s="28"/>
      <c r="B33" s="544"/>
      <c r="C33" s="362"/>
      <c r="D33" s="531"/>
      <c r="E33" s="532"/>
      <c r="F33" s="294"/>
      <c r="G33" s="294"/>
      <c r="H33" s="348"/>
      <c r="I33" s="411" t="s">
        <v>158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4.65" customHeight="1">
      <c r="A34" s="28"/>
      <c r="B34" s="544"/>
      <c r="C34" s="349"/>
      <c r="D34" s="536"/>
      <c r="E34" s="537"/>
      <c r="F34" s="294"/>
      <c r="G34" s="294"/>
      <c r="H34" s="348"/>
      <c r="I34" s="410" t="s">
        <v>157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5" customHeight="1" thickBot="1">
      <c r="A35" s="28"/>
      <c r="B35" s="544"/>
      <c r="C35" s="349"/>
      <c r="D35" s="531"/>
      <c r="E35" s="532"/>
      <c r="F35" s="294"/>
      <c r="G35" s="294"/>
      <c r="H35" s="348"/>
      <c r="I35" s="406" t="s">
        <v>156</v>
      </c>
      <c r="J35" s="327"/>
      <c r="K35" s="407"/>
      <c r="L35" s="408"/>
      <c r="M35" s="408"/>
      <c r="N35" s="409">
        <v>98</v>
      </c>
      <c r="O35" s="11"/>
      <c r="P35" s="31"/>
      <c r="R35" s="277">
        <f t="shared" si="0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5" customHeight="1" thickBot="1">
      <c r="A36" s="28"/>
      <c r="B36" s="544"/>
      <c r="C36" s="349"/>
      <c r="D36" s="546"/>
      <c r="E36" s="547"/>
      <c r="F36" s="294"/>
      <c r="G36" s="294"/>
      <c r="H36" s="348"/>
      <c r="I36" s="1"/>
      <c r="J36" s="39"/>
      <c r="K36" s="404">
        <f>SUM(K26:K35)</f>
        <v>99</v>
      </c>
      <c r="L36" s="405" t="e">
        <f>((L26*K26)+(L27*K27)+(L28*K28)+(L29*K29)+(L30*K30)+(K33*L33)+(L31*K31)+(L32*K32)+(L35*K35))/(K36)</f>
        <v>#DIV/0!</v>
      </c>
      <c r="M36" s="405" t="e">
        <f>L36</f>
        <v>#DIV/0!</v>
      </c>
      <c r="N36" s="40">
        <v>98</v>
      </c>
      <c r="O36" s="11"/>
      <c r="P36" s="31"/>
      <c r="R36" s="277">
        <f t="shared" si="0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56" ht="15.75" thickBot="1">
      <c r="B37" s="545"/>
      <c r="C37" s="350"/>
      <c r="D37" s="548"/>
      <c r="E37" s="532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>
        <f t="shared" si="0"/>
        <v>0</v>
      </c>
      <c r="S37" s="474" t="e">
        <f t="shared" si="1"/>
        <v>#N/A</v>
      </c>
      <c r="T37" s="474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4" t="e">
        <f t="shared" si="8"/>
        <v>#N/A</v>
      </c>
      <c r="AA37" s="474"/>
    </row>
    <row r="38" spans="1:56" ht="15.75" thickBot="1">
      <c r="B38" s="526"/>
      <c r="C38" s="362"/>
      <c r="D38" s="529"/>
      <c r="E38" s="530"/>
      <c r="F38" s="294"/>
      <c r="G38" s="42"/>
      <c r="H38" s="41"/>
      <c r="I38" s="42"/>
      <c r="J38" s="533" t="s">
        <v>129</v>
      </c>
      <c r="K38" s="533"/>
      <c r="L38" s="294"/>
      <c r="M38" s="294"/>
      <c r="N38" s="294"/>
      <c r="O38" s="294"/>
      <c r="P38" s="12"/>
    </row>
    <row r="39" spans="1:56" ht="15.75" thickBot="1">
      <c r="B39" s="527"/>
      <c r="C39" s="362"/>
      <c r="D39" s="531"/>
      <c r="E39" s="532"/>
      <c r="F39" s="294"/>
      <c r="G39" s="42"/>
      <c r="H39" s="42"/>
      <c r="I39" s="42"/>
      <c r="J39" s="292" t="s">
        <v>17</v>
      </c>
      <c r="K39" s="293" t="s">
        <v>147</v>
      </c>
      <c r="L39" s="534" t="s">
        <v>136</v>
      </c>
      <c r="M39" s="534"/>
      <c r="N39" s="535"/>
      <c r="O39" s="294"/>
      <c r="P39" s="12"/>
    </row>
    <row r="40" spans="1:56" ht="15" customHeight="1" thickBot="1">
      <c r="B40" s="527"/>
      <c r="C40" s="349"/>
      <c r="D40" s="536"/>
      <c r="E40" s="537"/>
      <c r="F40" s="294"/>
      <c r="G40" s="42"/>
      <c r="H40" s="42"/>
      <c r="I40" s="42"/>
      <c r="J40" s="287" t="s">
        <v>6</v>
      </c>
      <c r="K40" s="324">
        <v>4</v>
      </c>
      <c r="L40" s="475" t="s">
        <v>37</v>
      </c>
      <c r="M40" s="476" t="s">
        <v>38</v>
      </c>
      <c r="N40" s="476" t="s">
        <v>84</v>
      </c>
      <c r="O40" s="294"/>
      <c r="P40" s="12"/>
    </row>
    <row r="41" spans="1:56" ht="15.75" customHeight="1" thickBot="1">
      <c r="B41" s="527"/>
      <c r="C41" s="349"/>
      <c r="D41" s="531"/>
      <c r="E41" s="532"/>
      <c r="F41" s="294"/>
      <c r="G41" s="42"/>
      <c r="H41" s="42"/>
      <c r="I41" s="42"/>
      <c r="J41" s="345" t="s">
        <v>9</v>
      </c>
      <c r="K41" s="324"/>
      <c r="L41" s="344">
        <f>AVERAGE('Jan 2nd'!K45,'Jan 5th'!K45,'Jan 6th'!K49,'Jan 7th'!K49,'Jan 8th '!K44,'Jan 9th-10th'!J58,'Jan 9th-10th'!K58,'Jan12th '!K50,Jan13th!K45,Jan14th!K53,Jan15th!K50,K50,'Jan16-18th'!I53,'Jan16-18th'!J53,'Jan16-18th'!K53,'Jan19th '!K55,Jan20th!K47,Jan21st!K50,Jan22nd!K48)</f>
        <v>5.6315789473684212</v>
      </c>
      <c r="M41" s="325">
        <f>AVERAGE(L41)</f>
        <v>5.6315789473684212</v>
      </c>
      <c r="N41" s="416">
        <v>9.1999999999999993</v>
      </c>
      <c r="O41" s="294"/>
      <c r="P41" s="12"/>
    </row>
    <row r="42" spans="1:56" ht="15" customHeight="1">
      <c r="B42" s="527"/>
      <c r="C42" s="349"/>
      <c r="D42" s="536"/>
      <c r="E42" s="537"/>
      <c r="F42" s="294"/>
      <c r="G42" s="42"/>
      <c r="H42" s="42"/>
      <c r="I42" s="42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7"/>
      <c r="C43" s="349"/>
      <c r="D43" s="531"/>
      <c r="E43" s="532"/>
      <c r="F43" s="294"/>
      <c r="G43" s="42"/>
      <c r="H43" s="42"/>
      <c r="I43" s="42"/>
      <c r="J43" s="289" t="s">
        <v>33</v>
      </c>
      <c r="K43" s="324"/>
      <c r="L43" s="294"/>
      <c r="M43" s="294"/>
      <c r="N43" s="294"/>
      <c r="O43" s="294"/>
      <c r="P43" s="12"/>
    </row>
    <row r="44" spans="1:56" ht="15">
      <c r="B44" s="527"/>
      <c r="C44" s="349"/>
      <c r="D44" s="536"/>
      <c r="E44" s="537"/>
      <c r="F44" s="294"/>
      <c r="G44" s="42"/>
      <c r="H44" s="42"/>
      <c r="I44" s="42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7"/>
      <c r="C45" s="349"/>
      <c r="D45" s="531"/>
      <c r="E45" s="532"/>
      <c r="F45" s="294"/>
      <c r="G45" s="42"/>
      <c r="H45" s="42"/>
      <c r="I45" s="42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7"/>
      <c r="C46" s="349"/>
      <c r="D46" s="536"/>
      <c r="E46" s="537"/>
      <c r="F46" s="294"/>
      <c r="G46" s="42"/>
      <c r="H46" s="42"/>
      <c r="I46" s="42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.75" thickBot="1">
      <c r="B47" s="528"/>
      <c r="C47" s="350"/>
      <c r="D47" s="538"/>
      <c r="E47" s="539"/>
      <c r="F47" s="294" t="s">
        <v>166</v>
      </c>
      <c r="G47" s="42"/>
      <c r="H47" s="42"/>
      <c r="I47" s="42"/>
      <c r="J47" s="291" t="s">
        <v>148</v>
      </c>
      <c r="K47" s="324"/>
      <c r="L47" s="294"/>
      <c r="M47" s="294"/>
      <c r="N47" s="294" t="s">
        <v>41</v>
      </c>
      <c r="O47" s="294"/>
      <c r="P47" s="12"/>
      <c r="BC47" s="44"/>
      <c r="BD47" s="44"/>
    </row>
    <row r="48" spans="1:56" ht="17.649999999999999" customHeight="1" thickBot="1">
      <c r="B48" s="312" t="s">
        <v>139</v>
      </c>
      <c r="C48" s="313"/>
      <c r="D48" s="519"/>
      <c r="E48" s="520"/>
      <c r="F48" s="294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1:57" ht="17.649999999999999" customHeight="1">
      <c r="B49" s="363"/>
      <c r="C49" s="364"/>
      <c r="D49" s="365"/>
      <c r="E49" s="365"/>
      <c r="F49" s="294"/>
      <c r="G49" s="42"/>
      <c r="H49" s="42"/>
      <c r="I49" s="42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1:57" ht="15.6" customHeight="1">
      <c r="B50" s="45"/>
      <c r="C50" s="11"/>
      <c r="D50" s="11"/>
      <c r="E50" s="46"/>
      <c r="F50" s="294"/>
      <c r="G50" s="42"/>
      <c r="H50" s="42"/>
      <c r="I50" s="42"/>
      <c r="J50" s="346" t="s">
        <v>130</v>
      </c>
      <c r="K50" s="324">
        <f>SUM(K40:K49)</f>
        <v>4</v>
      </c>
      <c r="L50" s="294"/>
      <c r="M50" s="294"/>
      <c r="N50" s="294"/>
      <c r="O50" s="294"/>
      <c r="P50" s="12"/>
    </row>
    <row r="51" spans="1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L51" s="294"/>
      <c r="N51" s="315"/>
      <c r="P51" s="334"/>
    </row>
    <row r="52" spans="1:57" ht="15" customHeight="1" thickBot="1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1"/>
      <c r="O52" s="48"/>
      <c r="P52" s="49"/>
    </row>
    <row r="53" spans="1:57" ht="15" customHeight="1" thickBot="1">
      <c r="B53" s="511" t="s">
        <v>17</v>
      </c>
      <c r="C53" s="511" t="s">
        <v>44</v>
      </c>
      <c r="D53" s="522" t="s">
        <v>45</v>
      </c>
      <c r="E53" s="524" t="s">
        <v>46</v>
      </c>
      <c r="F53" s="517" t="s">
        <v>47</v>
      </c>
      <c r="G53" s="509" t="s">
        <v>48</v>
      </c>
      <c r="H53" s="511" t="s">
        <v>49</v>
      </c>
      <c r="I53" s="511" t="s">
        <v>50</v>
      </c>
      <c r="J53" s="503" t="s">
        <v>28</v>
      </c>
      <c r="K53" s="513" t="s">
        <v>51</v>
      </c>
      <c r="L53" s="515" t="s">
        <v>52</v>
      </c>
      <c r="M53" s="503" t="s">
        <v>53</v>
      </c>
      <c r="N53" s="13"/>
      <c r="O53" s="13"/>
      <c r="P53" s="50"/>
    </row>
    <row r="54" spans="1:57" ht="28.5" customHeight="1" thickTop="1" thickBot="1">
      <c r="B54" s="512"/>
      <c r="C54" s="521"/>
      <c r="D54" s="523"/>
      <c r="E54" s="525"/>
      <c r="F54" s="518"/>
      <c r="G54" s="510"/>
      <c r="H54" s="512"/>
      <c r="I54" s="512"/>
      <c r="J54" s="504"/>
      <c r="K54" s="514"/>
      <c r="L54" s="516"/>
      <c r="M54" s="504"/>
      <c r="N54" s="13"/>
      <c r="O54" s="13"/>
      <c r="P54" s="50"/>
      <c r="Q54" s="355"/>
      <c r="AB54" s="477">
        <v>43474</v>
      </c>
      <c r="AC54" s="477">
        <v>43475</v>
      </c>
      <c r="AD54" s="477">
        <v>43476</v>
      </c>
      <c r="AE54" s="477">
        <v>43477</v>
      </c>
      <c r="AF54" s="477">
        <v>43478</v>
      </c>
      <c r="AG54" s="477">
        <v>43479</v>
      </c>
      <c r="AH54" s="477">
        <v>43480</v>
      </c>
      <c r="AI54" s="477">
        <v>43481</v>
      </c>
      <c r="AJ54" s="477">
        <v>43482</v>
      </c>
      <c r="AK54" s="477">
        <v>43483</v>
      </c>
      <c r="AL54" s="477">
        <v>43484</v>
      </c>
      <c r="AM54" s="477">
        <v>43485</v>
      </c>
      <c r="AN54" s="477">
        <v>43486</v>
      </c>
      <c r="AO54" s="477">
        <v>43487</v>
      </c>
      <c r="AP54" s="477">
        <v>43488</v>
      </c>
      <c r="AQ54" s="477">
        <v>43489</v>
      </c>
      <c r="AR54" s="477">
        <v>43490</v>
      </c>
      <c r="AS54" s="477">
        <v>43491</v>
      </c>
      <c r="AT54" s="477">
        <v>43492</v>
      </c>
      <c r="AU54" s="477">
        <v>43493</v>
      </c>
      <c r="AV54" s="477">
        <v>43494</v>
      </c>
      <c r="AW54" s="477">
        <v>43495</v>
      </c>
      <c r="AX54" s="477">
        <v>43496</v>
      </c>
    </row>
    <row r="55" spans="1:57" s="54" customFormat="1" ht="37.15" customHeight="1" thickBot="1">
      <c r="B55" s="496" t="str">
        <f>J40</f>
        <v>CARIB</v>
      </c>
      <c r="C55" s="495">
        <v>46045</v>
      </c>
      <c r="D55" s="442">
        <f>[28]January_2026!$Z$3</f>
        <v>203.51</v>
      </c>
      <c r="E55" s="443"/>
      <c r="F55" s="444"/>
      <c r="G55" s="445">
        <f>[28]January_2026!$Z$7</f>
        <v>195</v>
      </c>
      <c r="H55" s="446"/>
      <c r="I55" s="447"/>
      <c r="J55" s="448" t="s">
        <v>150</v>
      </c>
      <c r="K55" s="449">
        <f>[29]January_2026!$Z$18</f>
        <v>0.68421052631578949</v>
      </c>
      <c r="L55" s="457">
        <f>(((D55+E55)-G55)/(D55+E55))*100</f>
        <v>4.1816126971647538</v>
      </c>
      <c r="M55" s="455" t="s">
        <v>213</v>
      </c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14.25" customHeight="1" thickBot="1">
      <c r="B56" s="496"/>
      <c r="C56" s="495"/>
      <c r="D56" s="442"/>
      <c r="E56" s="443"/>
      <c r="F56" s="444"/>
      <c r="G56" s="445"/>
      <c r="H56" s="446"/>
      <c r="I56" s="447"/>
      <c r="J56" s="478"/>
      <c r="K56" s="449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37.15" hidden="1" customHeight="1" thickBot="1">
      <c r="A57" s="54" t="s">
        <v>187</v>
      </c>
      <c r="B57" s="496"/>
      <c r="C57" s="495"/>
      <c r="D57" s="442"/>
      <c r="E57" s="443"/>
      <c r="F57" s="444"/>
      <c r="G57" s="445"/>
      <c r="H57" s="446"/>
      <c r="I57" s="447"/>
      <c r="J57" s="44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>
        <f>[9]January_2019!L7</f>
        <v>285.8</v>
      </c>
      <c r="AC57" s="57">
        <f>[9]January_2019!M7</f>
        <v>508.1</v>
      </c>
      <c r="AD57" s="57">
        <f>[9]January_2019!N7</f>
        <v>0</v>
      </c>
      <c r="AE57" s="57">
        <f>[9]January_2019!O7</f>
        <v>0</v>
      </c>
      <c r="AF57" s="57">
        <f>[9]January_2019!P7</f>
        <v>109.56666666666666</v>
      </c>
      <c r="AG57" s="57">
        <f>[9]January_2019!Q7</f>
        <v>297.64999999999998</v>
      </c>
      <c r="AH57" s="57">
        <f>[9]January_2019!R7</f>
        <v>122.3</v>
      </c>
      <c r="AI57" s="57">
        <f>[9]January_2019!S7</f>
        <v>0</v>
      </c>
      <c r="AJ57" s="57">
        <f>[9]January_2019!T7</f>
        <v>294.7</v>
      </c>
      <c r="AK57" s="57">
        <f>[9]January_2019!U7</f>
        <v>280.5</v>
      </c>
      <c r="AL57" s="57">
        <f>[9]January_2019!V7</f>
        <v>0</v>
      </c>
      <c r="AM57" s="57">
        <f>[9]January_2019!W7</f>
        <v>0</v>
      </c>
      <c r="AN57" s="57">
        <f>[9]January_2019!X7</f>
        <v>188.25</v>
      </c>
      <c r="AO57" s="57">
        <f>[9]January_2019!Y7</f>
        <v>295.7</v>
      </c>
      <c r="AP57" s="57">
        <f>[9]January_2019!Z7</f>
        <v>257.8</v>
      </c>
      <c r="AQ57" s="57">
        <f>[9]January_2019!AA7</f>
        <v>291.2</v>
      </c>
      <c r="AR57" s="57">
        <f>[9]January_2019!AB7</f>
        <v>187</v>
      </c>
      <c r="AS57" s="57">
        <f>[9]January_2019!AC7</f>
        <v>0</v>
      </c>
      <c r="AT57" s="57">
        <f>[9]January_2019!AD7</f>
        <v>0</v>
      </c>
      <c r="AU57" s="57">
        <f>[9]January_2019!AE7</f>
        <v>485.1</v>
      </c>
      <c r="AV57" s="57">
        <f>[9]January_2019!AF7</f>
        <v>171.55</v>
      </c>
      <c r="AW57" s="57">
        <f>[9]January_2019!AG7</f>
        <v>423.8</v>
      </c>
      <c r="AX57" s="277">
        <f>[9]January_2019!AH7</f>
        <v>0</v>
      </c>
      <c r="AY57" s="277"/>
      <c r="AZ57" s="277"/>
      <c r="BA57" s="277"/>
      <c r="BB57" s="277"/>
      <c r="BC57" s="277"/>
      <c r="BD57" s="277"/>
      <c r="BE57" s="277"/>
    </row>
    <row r="58" spans="1:57" s="54" customFormat="1" ht="19.5" hidden="1" customHeight="1" thickBot="1">
      <c r="B58" s="494"/>
      <c r="C58" s="430"/>
      <c r="D58" s="431"/>
      <c r="E58" s="432"/>
      <c r="F58" s="433"/>
      <c r="G58" s="434"/>
      <c r="H58" s="428"/>
      <c r="I58" s="428"/>
      <c r="J58" s="451"/>
      <c r="K58" s="436"/>
      <c r="L58" s="452"/>
      <c r="M58" s="421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8.450000000000003" hidden="1" customHeight="1" thickBot="1">
      <c r="B59" s="497"/>
      <c r="C59" s="495"/>
      <c r="D59" s="442"/>
      <c r="E59" s="443"/>
      <c r="F59" s="444"/>
      <c r="G59" s="445"/>
      <c r="H59" s="458"/>
      <c r="I59" s="458"/>
      <c r="J59" s="448"/>
      <c r="K59" s="460"/>
      <c r="L59" s="457"/>
      <c r="M59" s="455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15" hidden="1">
      <c r="B60" s="453"/>
      <c r="C60" s="430"/>
      <c r="D60" s="431"/>
      <c r="E60" s="432"/>
      <c r="F60" s="433"/>
      <c r="G60" s="434"/>
      <c r="H60" s="435"/>
      <c r="I60" s="450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hidden="1" customHeight="1" thickBot="1">
      <c r="B61" s="496"/>
      <c r="C61" s="495"/>
      <c r="D61" s="442"/>
      <c r="E61" s="443"/>
      <c r="F61" s="444"/>
      <c r="G61" s="445"/>
      <c r="H61" s="446"/>
      <c r="I61" s="447"/>
      <c r="J61" s="448"/>
      <c r="K61" s="449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6.5" hidden="1" customHeight="1" thickBot="1">
      <c r="B62" s="437"/>
      <c r="C62" s="423"/>
      <c r="D62" s="424"/>
      <c r="E62" s="425"/>
      <c r="F62" s="426"/>
      <c r="G62" s="427"/>
      <c r="H62" s="428"/>
      <c r="I62" s="438"/>
      <c r="J62" s="439"/>
      <c r="K62" s="429"/>
      <c r="L62" s="440"/>
      <c r="M62" s="422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5"/>
      <c r="AC62" s="415"/>
      <c r="AD62" s="415"/>
      <c r="AE62" s="415"/>
      <c r="AF62" s="415"/>
      <c r="AG62" s="415"/>
      <c r="AH62" s="415"/>
      <c r="AI62" s="415"/>
      <c r="AJ62" s="415"/>
      <c r="AK62" s="415"/>
      <c r="AL62" s="415"/>
      <c r="AM62" s="415"/>
      <c r="AN62" s="415"/>
      <c r="AO62" s="415"/>
      <c r="AP62" s="415"/>
      <c r="AQ62" s="415"/>
      <c r="AR62" s="415"/>
      <c r="AS62" s="415"/>
      <c r="AT62" s="415"/>
      <c r="AU62" s="415"/>
      <c r="AV62" s="415"/>
      <c r="AW62" s="415"/>
    </row>
    <row r="63" spans="1:57" s="54" customFormat="1" ht="37.15" hidden="1" customHeight="1" thickBot="1">
      <c r="B63" s="456"/>
      <c r="C63" s="441"/>
      <c r="D63" s="442"/>
      <c r="E63" s="443"/>
      <c r="F63" s="444"/>
      <c r="G63" s="445"/>
      <c r="H63" s="446"/>
      <c r="I63" s="447"/>
      <c r="J63" s="448"/>
      <c r="K63" s="449"/>
      <c r="L63" s="457"/>
      <c r="M63" s="454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37.15" customHeight="1">
      <c r="B64" s="467"/>
      <c r="C64" s="430"/>
      <c r="D64" s="461"/>
      <c r="E64" s="462"/>
      <c r="F64" s="463"/>
      <c r="G64" s="461"/>
      <c r="H64" s="464"/>
      <c r="I64" s="464"/>
      <c r="J64" s="464"/>
      <c r="K64" s="465"/>
      <c r="L64" s="466"/>
      <c r="M64" s="50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 t="s">
        <v>41</v>
      </c>
      <c r="O65" s="56"/>
      <c r="P65" s="60"/>
    </row>
    <row r="66" spans="2:16" ht="15.75" thickBot="1">
      <c r="B66" s="505" t="s">
        <v>55</v>
      </c>
      <c r="C66" s="506"/>
      <c r="D66" s="506"/>
      <c r="E66" s="506"/>
      <c r="F66" s="507"/>
      <c r="G66" s="505" t="s">
        <v>56</v>
      </c>
      <c r="H66" s="506"/>
      <c r="I66" s="506"/>
      <c r="J66" s="507"/>
      <c r="K66" s="505" t="s">
        <v>51</v>
      </c>
      <c r="L66" s="506"/>
      <c r="M66" s="506"/>
      <c r="N66" s="508"/>
      <c r="O66" s="56"/>
      <c r="P66" s="50"/>
    </row>
    <row r="67" spans="2:16" ht="15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 t="s">
        <v>36</v>
      </c>
      <c r="L67" s="62" t="s">
        <v>37</v>
      </c>
      <c r="M67" s="62" t="s">
        <v>38</v>
      </c>
      <c r="N67" s="63" t="s">
        <v>39</v>
      </c>
      <c r="O67" s="56"/>
      <c r="P67" s="64"/>
    </row>
    <row r="68" spans="2:16" ht="15">
      <c r="B68" s="29" t="s">
        <v>6</v>
      </c>
      <c r="C68" s="282">
        <f>L55</f>
        <v>4.1816126971647538</v>
      </c>
      <c r="D68" s="76">
        <v>9.8923821608158384</v>
      </c>
      <c r="E68" s="76">
        <v>9.8923821608158384</v>
      </c>
      <c r="F68" s="66">
        <v>4.8</v>
      </c>
      <c r="G68" s="65">
        <f>[28]January_2026!$Z$11</f>
        <v>4.6516947280862624</v>
      </c>
      <c r="H68" s="480">
        <v>9.5838961765062916</v>
      </c>
      <c r="I68" s="480">
        <v>9.5838961765062916</v>
      </c>
      <c r="J68" s="66">
        <v>4.8</v>
      </c>
      <c r="K68" s="67">
        <f>K55</f>
        <v>0.68421052631578949</v>
      </c>
      <c r="L68" s="194">
        <v>0.35086614684860301</v>
      </c>
      <c r="M68" s="194">
        <v>0.35086614684860301</v>
      </c>
      <c r="N68" s="68">
        <v>1</v>
      </c>
      <c r="O68" s="56"/>
      <c r="P68" s="69"/>
    </row>
    <row r="69" spans="2:16" ht="15">
      <c r="B69" s="33" t="s">
        <v>9</v>
      </c>
      <c r="C69" s="65"/>
      <c r="D69" s="76">
        <v>6.6263785558913062</v>
      </c>
      <c r="E69" s="76">
        <v>6.6263785558913062</v>
      </c>
      <c r="F69" s="66">
        <v>4.8</v>
      </c>
      <c r="G69" s="65"/>
      <c r="H69" s="76">
        <v>7.0083733221260962</v>
      </c>
      <c r="I69" s="76">
        <v>7.0083733221260962</v>
      </c>
      <c r="J69" s="66">
        <v>4.8</v>
      </c>
      <c r="K69" s="67"/>
      <c r="L69" s="194">
        <v>0.66496686159844054</v>
      </c>
      <c r="M69" s="194">
        <v>0.66496686159844054</v>
      </c>
      <c r="N69" s="68">
        <v>1</v>
      </c>
      <c r="P69" s="69"/>
    </row>
    <row r="70" spans="2:16" ht="15">
      <c r="B70" s="34" t="s">
        <v>40</v>
      </c>
      <c r="C70" s="65"/>
      <c r="D70" s="76"/>
      <c r="E70" s="76"/>
      <c r="F70" s="66">
        <v>5.5</v>
      </c>
      <c r="G70" s="65"/>
      <c r="H70" s="76"/>
      <c r="I70" s="76"/>
      <c r="J70" s="66">
        <v>5.5</v>
      </c>
      <c r="K70" s="67"/>
      <c r="L70" s="194"/>
      <c r="M70" s="194"/>
      <c r="N70" s="68">
        <v>1</v>
      </c>
      <c r="P70" s="69"/>
    </row>
    <row r="71" spans="2:16" ht="15">
      <c r="B71" s="22" t="s">
        <v>33</v>
      </c>
      <c r="C71" s="65"/>
      <c r="D71" s="76">
        <v>6.5508684863523392</v>
      </c>
      <c r="E71" s="76">
        <v>6.5508684863523392</v>
      </c>
      <c r="F71" s="66">
        <v>3.3</v>
      </c>
      <c r="G71" s="65"/>
      <c r="H71" s="76">
        <v>5.2086766183151161</v>
      </c>
      <c r="I71" s="76">
        <v>5.2086766183151161</v>
      </c>
      <c r="J71" s="66">
        <v>3.3</v>
      </c>
      <c r="K71" s="67"/>
      <c r="L71" s="194">
        <v>0.6607017543859649</v>
      </c>
      <c r="M71" s="194">
        <v>0.6607017543859649</v>
      </c>
      <c r="N71" s="68">
        <v>1</v>
      </c>
      <c r="P71" s="69"/>
    </row>
    <row r="72" spans="2:16" ht="15">
      <c r="B72" s="35" t="s">
        <v>164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K72" s="67"/>
      <c r="L72" s="194"/>
      <c r="M72" s="194"/>
      <c r="N72" s="68">
        <v>1</v>
      </c>
      <c r="P72" s="69"/>
    </row>
    <row r="73" spans="2:16" ht="15">
      <c r="B73" s="36" t="s">
        <v>15</v>
      </c>
      <c r="C73" s="65"/>
      <c r="D73" s="76">
        <v>5.1105651105651271</v>
      </c>
      <c r="E73" s="76">
        <v>5.1105651105651271</v>
      </c>
      <c r="F73" s="70">
        <f>[10]May_2022!$M$43</f>
        <v>3.4878406700073312</v>
      </c>
      <c r="G73" s="282"/>
      <c r="H73" s="76">
        <v>7.9131369535794072</v>
      </c>
      <c r="I73" s="76">
        <v>7.9131369535794072</v>
      </c>
      <c r="J73" s="66">
        <v>5.5</v>
      </c>
      <c r="K73" s="67"/>
      <c r="L73" s="194">
        <v>1.3550877192982456</v>
      </c>
      <c r="M73" s="194">
        <v>1.3550877192982456</v>
      </c>
      <c r="N73" s="68">
        <v>1</v>
      </c>
      <c r="P73" s="69"/>
    </row>
    <row r="74" spans="2:16" ht="15">
      <c r="B74" s="37" t="s">
        <v>16</v>
      </c>
      <c r="C74" s="65"/>
      <c r="D74" s="76">
        <v>2.0590520590520631</v>
      </c>
      <c r="E74" s="76">
        <v>2.0590520590520631</v>
      </c>
      <c r="F74" s="66">
        <v>3.3</v>
      </c>
      <c r="G74" s="282"/>
      <c r="H74" s="76">
        <v>2.1755040108015784</v>
      </c>
      <c r="I74" s="76">
        <v>2.1755040108015784</v>
      </c>
      <c r="J74" s="66">
        <v>3.3</v>
      </c>
      <c r="K74" s="67"/>
      <c r="L74" s="194">
        <v>0.88456140350877199</v>
      </c>
      <c r="M74" s="194">
        <v>0.88456140350877199</v>
      </c>
      <c r="N74" s="71">
        <v>1</v>
      </c>
      <c r="P74" s="69"/>
    </row>
    <row r="75" spans="2:16" ht="15.75" thickBot="1">
      <c r="B75" s="38" t="s">
        <v>163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5.75" thickBot="1">
      <c r="B76" s="414" t="s">
        <v>161</v>
      </c>
      <c r="C76" s="65"/>
      <c r="D76" s="76"/>
      <c r="E76" s="76"/>
      <c r="F76" s="66">
        <v>4.8</v>
      </c>
      <c r="G76" s="282"/>
      <c r="H76" s="76"/>
      <c r="I76" s="76"/>
      <c r="J76" s="66">
        <v>4.8</v>
      </c>
      <c r="K76" s="67"/>
      <c r="L76" s="194"/>
      <c r="M76" s="194"/>
      <c r="N76" s="71">
        <v>1</v>
      </c>
      <c r="O76" s="74"/>
      <c r="P76" s="75"/>
    </row>
    <row r="77" spans="2:16" ht="15">
      <c r="D77" s="76">
        <v>7.5211666053796051</v>
      </c>
      <c r="E77" s="76">
        <v>7.5211666053796051</v>
      </c>
      <c r="F77" s="341">
        <v>5.5</v>
      </c>
      <c r="H77" s="76">
        <v>7.3611989258602879</v>
      </c>
      <c r="I77" s="76">
        <v>7.3611989258602879</v>
      </c>
      <c r="J77" s="341">
        <v>5.5</v>
      </c>
      <c r="L77" s="194">
        <v>0.55860051169590641</v>
      </c>
      <c r="M77" s="194">
        <v>0.55860051169590641</v>
      </c>
      <c r="N77" s="386">
        <v>1</v>
      </c>
    </row>
  </sheetData>
  <mergeCells count="51">
    <mergeCell ref="M53:M54"/>
    <mergeCell ref="B66:F66"/>
    <mergeCell ref="G66:J66"/>
    <mergeCell ref="K66:N66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169" priority="64" operator="notBetween">
      <formula>#REF!</formula>
      <formula>#REF!</formula>
    </cfRule>
  </conditionalFormatting>
  <conditionalFormatting sqref="C52">
    <cfRule type="cellIs" dxfId="1168" priority="192" stopIfTrue="1" operator="greaterThan">
      <formula>100</formula>
    </cfRule>
    <cfRule type="cellIs" dxfId="1167" priority="191" stopIfTrue="1" operator="lessThan">
      <formula>96</formula>
    </cfRule>
  </conditionalFormatting>
  <conditionalFormatting sqref="C68:C72">
    <cfRule type="cellIs" dxfId="1166" priority="149" stopIfTrue="1" operator="lessThanOrEqual">
      <formula>0</formula>
    </cfRule>
  </conditionalFormatting>
  <conditionalFormatting sqref="C68:C76">
    <cfRule type="cellIs" dxfId="1165" priority="148" stopIfTrue="1" operator="greaterThan">
      <formula>$F68</formula>
    </cfRule>
  </conditionalFormatting>
  <conditionalFormatting sqref="C69">
    <cfRule type="cellIs" dxfId="1164" priority="195" stopIfTrue="1" operator="greaterThan">
      <formula>$F68</formula>
    </cfRule>
  </conditionalFormatting>
  <conditionalFormatting sqref="C73">
    <cfRule type="cellIs" dxfId="1163" priority="88" stopIfTrue="1" operator="lessThanOrEqual">
      <formula>0</formula>
    </cfRule>
    <cfRule type="cellIs" dxfId="1162" priority="89" stopIfTrue="1" operator="greaterThan">
      <formula>$F72</formula>
    </cfRule>
  </conditionalFormatting>
  <conditionalFormatting sqref="C79:C83">
    <cfRule type="cellIs" dxfId="1161" priority="183" stopIfTrue="1" operator="lessThanOrEqual">
      <formula>0</formula>
    </cfRule>
  </conditionalFormatting>
  <conditionalFormatting sqref="C80:C83">
    <cfRule type="cellIs" dxfId="1160" priority="182" stopIfTrue="1" operator="greaterThan">
      <formula>$F$79</formula>
    </cfRule>
  </conditionalFormatting>
  <conditionalFormatting sqref="C85">
    <cfRule type="cellIs" dxfId="1159" priority="185" stopIfTrue="1" operator="lessThanOrEqual">
      <formula>0</formula>
    </cfRule>
    <cfRule type="cellIs" dxfId="1158" priority="184" stopIfTrue="1" operator="greaterThan">
      <formula>$F$79</formula>
    </cfRule>
  </conditionalFormatting>
  <conditionalFormatting sqref="C79:D79 D81:D87">
    <cfRule type="cellIs" dxfId="1157" priority="177" stopIfTrue="1" operator="greaterThan">
      <formula>4.5</formula>
    </cfRule>
  </conditionalFormatting>
  <conditionalFormatting sqref="D48:D49">
    <cfRule type="cellIs" dxfId="1156" priority="65" operator="notBetween">
      <formula>#REF!</formula>
      <formula>#REF!</formula>
    </cfRule>
  </conditionalFormatting>
  <conditionalFormatting sqref="D68:D75">
    <cfRule type="cellIs" dxfId="1155" priority="157" stopIfTrue="1" operator="lessThanOrEqual">
      <formula>0</formula>
    </cfRule>
  </conditionalFormatting>
  <conditionalFormatting sqref="D79 D81:D87">
    <cfRule type="cellIs" dxfId="1154" priority="178" stopIfTrue="1" operator="lessThanOrEqual">
      <formula>0</formula>
    </cfRule>
  </conditionalFormatting>
  <conditionalFormatting sqref="D80">
    <cfRule type="cellIs" dxfId="1153" priority="169" stopIfTrue="1" operator="greaterThan">
      <formula>$F$79</formula>
    </cfRule>
    <cfRule type="cellIs" dxfId="1152" priority="170" stopIfTrue="1" operator="lessThanOrEqual">
      <formula>0</formula>
    </cfRule>
  </conditionalFormatting>
  <conditionalFormatting sqref="D68:E77">
    <cfRule type="cellIs" dxfId="1151" priority="146" stopIfTrue="1" operator="greaterThan">
      <formula>$F68</formula>
    </cfRule>
  </conditionalFormatting>
  <conditionalFormatting sqref="D76:E76">
    <cfRule type="cellIs" dxfId="1150" priority="156" stopIfTrue="1" operator="lessThanOrEqual">
      <formula>0</formula>
    </cfRule>
  </conditionalFormatting>
  <conditionalFormatting sqref="D77:E77">
    <cfRule type="cellIs" dxfId="1149" priority="147" stopIfTrue="1" operator="lessThanOrEqual">
      <formula>0</formula>
    </cfRule>
  </conditionalFormatting>
  <conditionalFormatting sqref="E10:E23">
    <cfRule type="cellIs" dxfId="1148" priority="22" operator="lessThan">
      <formula>48</formula>
    </cfRule>
  </conditionalFormatting>
  <conditionalFormatting sqref="E51 E52:F52">
    <cfRule type="cellIs" dxfId="1147" priority="174" stopIfTrue="1" operator="greaterThan">
      <formula>100</formula>
    </cfRule>
  </conditionalFormatting>
  <conditionalFormatting sqref="E52">
    <cfRule type="cellIs" dxfId="1146" priority="171" stopIfTrue="1" operator="lessThan">
      <formula>96.8</formula>
    </cfRule>
    <cfRule type="cellIs" dxfId="1145" priority="172" stopIfTrue="1" operator="greaterThan">
      <formula>100</formula>
    </cfRule>
  </conditionalFormatting>
  <conditionalFormatting sqref="E68:E75">
    <cfRule type="cellIs" dxfId="1144" priority="1" stopIfTrue="1" operator="lessThanOrEqual">
      <formula>0</formula>
    </cfRule>
  </conditionalFormatting>
  <conditionalFormatting sqref="E68:E76">
    <cfRule type="cellIs" dxfId="1143" priority="153" stopIfTrue="1" operator="lessThanOrEqual">
      <formula>0</formula>
    </cfRule>
  </conditionalFormatting>
  <conditionalFormatting sqref="E79:E87">
    <cfRule type="cellIs" dxfId="1142" priority="164" stopIfTrue="1" operator="lessThanOrEqual">
      <formula>0</formula>
    </cfRule>
    <cfRule type="cellIs" dxfId="1141" priority="163" stopIfTrue="1" operator="greaterThan">
      <formula>4.5</formula>
    </cfRule>
  </conditionalFormatting>
  <conditionalFormatting sqref="E52:F52 E51">
    <cfRule type="cellIs" dxfId="1140" priority="173" stopIfTrue="1" operator="lessThan">
      <formula>96.5</formula>
    </cfRule>
  </conditionalFormatting>
  <conditionalFormatting sqref="F10:F23">
    <cfRule type="cellIs" dxfId="1139" priority="23" operator="greaterThan">
      <formula>60</formula>
    </cfRule>
  </conditionalFormatting>
  <conditionalFormatting sqref="F52">
    <cfRule type="cellIs" dxfId="1138" priority="189" stopIfTrue="1" operator="lessThan">
      <formula>96.8</formula>
    </cfRule>
    <cfRule type="cellIs" dxfId="1137" priority="190" stopIfTrue="1" operator="greaterThan">
      <formula>100</formula>
    </cfRule>
  </conditionalFormatting>
  <conditionalFormatting sqref="F77">
    <cfRule type="cellIs" dxfId="1136" priority="155" stopIfTrue="1" operator="lessThanOrEqual">
      <formula>0</formula>
    </cfRule>
    <cfRule type="cellIs" dxfId="1135" priority="154" stopIfTrue="1" operator="greaterThan">
      <formula>$F77</formula>
    </cfRule>
  </conditionalFormatting>
  <conditionalFormatting sqref="G10:G22">
    <cfRule type="expression" dxfId="1134" priority="25">
      <formula>IF(+(IF(G10&lt;S10,0,IF(G10&gt;T10,0,1)))=0,1)</formula>
    </cfRule>
  </conditionalFormatting>
  <conditionalFormatting sqref="G68:G69 C74:C76">
    <cfRule type="cellIs" dxfId="1133" priority="159" stopIfTrue="1" operator="lessThanOrEqual">
      <formula>0</formula>
    </cfRule>
  </conditionalFormatting>
  <conditionalFormatting sqref="G68:G69">
    <cfRule type="cellIs" dxfId="1132" priority="158" stopIfTrue="1" operator="greaterThan">
      <formula>$F68</formula>
    </cfRule>
    <cfRule type="cellIs" dxfId="1131" priority="151" stopIfTrue="1" operator="lessThanOrEqual">
      <formula>0</formula>
    </cfRule>
    <cfRule type="cellIs" dxfId="1130" priority="150" stopIfTrue="1" operator="greaterThan">
      <formula>$F68</formula>
    </cfRule>
  </conditionalFormatting>
  <conditionalFormatting sqref="G70">
    <cfRule type="cellIs" dxfId="1129" priority="194" stopIfTrue="1" operator="lessThanOrEqual">
      <formula>0</formula>
    </cfRule>
    <cfRule type="cellIs" dxfId="1128" priority="193" stopIfTrue="1" operator="greaterThan">
      <formula>$F69</formula>
    </cfRule>
  </conditionalFormatting>
  <conditionalFormatting sqref="G71">
    <cfRule type="cellIs" dxfId="1127" priority="60" stopIfTrue="1" operator="greaterThan">
      <formula>$F71</formula>
    </cfRule>
    <cfRule type="cellIs" dxfId="1126" priority="62" stopIfTrue="1" operator="greaterThan">
      <formula>$F71</formula>
    </cfRule>
    <cfRule type="cellIs" dxfId="1125" priority="61" stopIfTrue="1" operator="lessThanOrEqual">
      <formula>0</formula>
    </cfRule>
    <cfRule type="cellIs" dxfId="1124" priority="63" stopIfTrue="1" operator="lessThanOrEqual">
      <formula>0</formula>
    </cfRule>
  </conditionalFormatting>
  <conditionalFormatting sqref="G72:G76">
    <cfRule type="cellIs" dxfId="1123" priority="161" stopIfTrue="1" operator="lessThanOrEqual">
      <formula>0</formula>
    </cfRule>
    <cfRule type="cellIs" dxfId="1122" priority="160" stopIfTrue="1" operator="greaterThan">
      <formula>$J72</formula>
    </cfRule>
  </conditionalFormatting>
  <conditionalFormatting sqref="G81:G86 C84 C86">
    <cfRule type="cellIs" dxfId="1121" priority="187" stopIfTrue="1" operator="lessThanOrEqual">
      <formula>0</formula>
    </cfRule>
    <cfRule type="cellIs" dxfId="1120" priority="186" stopIfTrue="1" operator="greaterThan">
      <formula>4.5</formula>
    </cfRule>
  </conditionalFormatting>
  <conditionalFormatting sqref="G80:H80">
    <cfRule type="cellIs" dxfId="1119" priority="167" stopIfTrue="1" operator="greaterThan">
      <formula>$F$79</formula>
    </cfRule>
    <cfRule type="cellIs" dxfId="1118" priority="168" stopIfTrue="1" operator="lessThanOrEqual">
      <formula>0</formula>
    </cfRule>
  </conditionalFormatting>
  <conditionalFormatting sqref="H10:H22 G23:H23">
    <cfRule type="expression" dxfId="1117" priority="57">
      <formula>IF(+(IF(G10&lt;#REF!,0,IF(G10&gt;#REF!,0,1)))=0,1)</formula>
    </cfRule>
  </conditionalFormatting>
  <conditionalFormatting sqref="H37:H38 H51">
    <cfRule type="cellIs" dxfId="1116" priority="165" stopIfTrue="1" operator="greaterThan">
      <formula>0</formula>
    </cfRule>
  </conditionalFormatting>
  <conditionalFormatting sqref="H55:H56">
    <cfRule type="cellIs" dxfId="1115" priority="3" stopIfTrue="1" operator="lessThanOrEqual">
      <formula>0</formula>
    </cfRule>
    <cfRule type="cellIs" dxfId="1114" priority="4" stopIfTrue="1" operator="greaterThan">
      <formula>#REF!</formula>
    </cfRule>
    <cfRule type="cellIs" dxfId="1113" priority="12" stopIfTrue="1" operator="greaterThan">
      <formula>$F$23</formula>
    </cfRule>
    <cfRule type="cellIs" dxfId="1112" priority="13" stopIfTrue="1" operator="lessThanOrEqual">
      <formula>0</formula>
    </cfRule>
    <cfRule type="cellIs" dxfId="1111" priority="14" stopIfTrue="1" operator="greaterThan">
      <formula>#REF!</formula>
    </cfRule>
  </conditionalFormatting>
  <conditionalFormatting sqref="H55:H57">
    <cfRule type="cellIs" dxfId="1110" priority="15" stopIfTrue="1" operator="lessThanOrEqual">
      <formula>0</formula>
    </cfRule>
  </conditionalFormatting>
  <conditionalFormatting sqref="H57">
    <cfRule type="cellIs" dxfId="1109" priority="40" stopIfTrue="1" operator="lessThanOrEqual">
      <formula>0</formula>
    </cfRule>
    <cfRule type="cellIs" dxfId="1108" priority="29" stopIfTrue="1" operator="greaterThan">
      <formula>#REF!</formula>
    </cfRule>
    <cfRule type="cellIs" dxfId="1107" priority="37" stopIfTrue="1" operator="greaterThan">
      <formula>$F$23</formula>
    </cfRule>
    <cfRule type="cellIs" dxfId="1106" priority="38" stopIfTrue="1" operator="lessThanOrEqual">
      <formula>0</formula>
    </cfRule>
    <cfRule type="cellIs" dxfId="1105" priority="39" stopIfTrue="1" operator="greaterThan">
      <formula>#REF!</formula>
    </cfRule>
  </conditionalFormatting>
  <conditionalFormatting sqref="H58">
    <cfRule type="cellIs" dxfId="1104" priority="115" stopIfTrue="1" operator="lessThanOrEqual">
      <formula>0</formula>
    </cfRule>
    <cfRule type="cellIs" dxfId="1103" priority="116" stopIfTrue="1" operator="greaterThan">
      <formula>#REF!</formula>
    </cfRule>
    <cfRule type="cellIs" dxfId="1102" priority="117" stopIfTrue="1" operator="lessThanOrEqual">
      <formula>0</formula>
    </cfRule>
    <cfRule type="cellIs" dxfId="1101" priority="114" stopIfTrue="1" operator="greaterThan">
      <formula>$F$24</formula>
    </cfRule>
    <cfRule type="cellIs" dxfId="1100" priority="106" stopIfTrue="1" operator="greaterThan">
      <formula>#REF!</formula>
    </cfRule>
    <cfRule type="cellIs" dxfId="1099" priority="105" stopIfTrue="1" operator="lessThanOrEqual">
      <formula>0</formula>
    </cfRule>
  </conditionalFormatting>
  <conditionalFormatting sqref="H59">
    <cfRule type="cellIs" dxfId="1098" priority="51" stopIfTrue="1" operator="greaterThan">
      <formula>$F$71</formula>
    </cfRule>
    <cfRule type="cellIs" dxfId="1097" priority="42" stopIfTrue="1" operator="lessThanOrEqual">
      <formula>0</formula>
    </cfRule>
    <cfRule type="cellIs" dxfId="1096" priority="43" stopIfTrue="1" operator="greaterThan">
      <formula>$F$68</formula>
    </cfRule>
    <cfRule type="cellIs" dxfId="1095" priority="52" stopIfTrue="1" operator="lessThanOrEqual">
      <formula>0</formula>
    </cfRule>
    <cfRule type="cellIs" dxfId="1094" priority="54" stopIfTrue="1" operator="lessThanOrEqual">
      <formula>0</formula>
    </cfRule>
    <cfRule type="cellIs" dxfId="1093" priority="53" stopIfTrue="1" operator="greaterThan">
      <formula>$F$69</formula>
    </cfRule>
  </conditionalFormatting>
  <conditionalFormatting sqref="H60:H61">
    <cfRule type="cellIs" dxfId="1092" priority="103" stopIfTrue="1" operator="lessThanOrEqual">
      <formula>0</formula>
    </cfRule>
    <cfRule type="cellIs" dxfId="1091" priority="102" stopIfTrue="1" operator="greaterThan">
      <formula>#REF!</formula>
    </cfRule>
    <cfRule type="cellIs" dxfId="1090" priority="92" stopIfTrue="1" operator="greaterThan">
      <formula>#REF!</formula>
    </cfRule>
    <cfRule type="cellIs" dxfId="1089" priority="100" stopIfTrue="1" operator="greaterThan">
      <formula>$F$23</formula>
    </cfRule>
    <cfRule type="cellIs" dxfId="1088" priority="101" stopIfTrue="1" operator="lessThanOrEqual">
      <formula>0</formula>
    </cfRule>
    <cfRule type="cellIs" dxfId="1087" priority="91" stopIfTrue="1" operator="lessThanOrEqual">
      <formula>0</formula>
    </cfRule>
  </conditionalFormatting>
  <conditionalFormatting sqref="H62">
    <cfRule type="cellIs" dxfId="1086" priority="120" stopIfTrue="1" operator="lessThanOrEqual">
      <formula>0</formula>
    </cfRule>
    <cfRule type="cellIs" dxfId="1085" priority="121" stopIfTrue="1" operator="greaterThan">
      <formula>$F$36</formula>
    </cfRule>
    <cfRule type="cellIs" dxfId="1084" priority="132" stopIfTrue="1" operator="lessThanOrEqual">
      <formula>0</formula>
    </cfRule>
    <cfRule type="cellIs" dxfId="1083" priority="129" stopIfTrue="1" operator="greaterThan">
      <formula>$F$39</formula>
    </cfRule>
    <cfRule type="cellIs" dxfId="1082" priority="130" stopIfTrue="1" operator="lessThanOrEqual">
      <formula>0</formula>
    </cfRule>
    <cfRule type="cellIs" dxfId="1081" priority="131" stopIfTrue="1" operator="greaterThan">
      <formula>$F$37</formula>
    </cfRule>
  </conditionalFormatting>
  <conditionalFormatting sqref="H63:H64">
    <cfRule type="cellIs" dxfId="1080" priority="76" stopIfTrue="1" operator="greaterThan">
      <formula>#REF!</formula>
    </cfRule>
    <cfRule type="cellIs" dxfId="1079" priority="85" stopIfTrue="1" operator="lessThanOrEqual">
      <formula>0</formula>
    </cfRule>
    <cfRule type="cellIs" dxfId="1078" priority="84" stopIfTrue="1" operator="greaterThan">
      <formula>$F$23</formula>
    </cfRule>
    <cfRule type="cellIs" dxfId="1077" priority="87" stopIfTrue="1" operator="lessThanOrEqual">
      <formula>0</formula>
    </cfRule>
    <cfRule type="cellIs" dxfId="1076" priority="86" stopIfTrue="1" operator="greaterThan">
      <formula>#REF!</formula>
    </cfRule>
    <cfRule type="cellIs" dxfId="1075" priority="75" stopIfTrue="1" operator="lessThanOrEqual">
      <formula>0</formula>
    </cfRule>
  </conditionalFormatting>
  <conditionalFormatting sqref="H79 H81:H87">
    <cfRule type="cellIs" dxfId="1074" priority="180" stopIfTrue="1" operator="lessThanOrEqual">
      <formula>0</formula>
    </cfRule>
    <cfRule type="cellIs" dxfId="1073" priority="179" stopIfTrue="1" operator="greaterThan">
      <formula>4.5</formula>
    </cfRule>
  </conditionalFormatting>
  <conditionalFormatting sqref="H55:I56">
    <cfRule type="cellIs" dxfId="1072" priority="5" stopIfTrue="1" operator="lessThanOrEqual">
      <formula>0</formula>
    </cfRule>
  </conditionalFormatting>
  <conditionalFormatting sqref="H55:I57">
    <cfRule type="cellIs" dxfId="1071" priority="2" stopIfTrue="1" operator="greaterThan">
      <formula>#REF!</formula>
    </cfRule>
  </conditionalFormatting>
  <conditionalFormatting sqref="H57:I57">
    <cfRule type="cellIs" dxfId="1070" priority="30" stopIfTrue="1" operator="lessThanOrEqual">
      <formula>0</formula>
    </cfRule>
  </conditionalFormatting>
  <conditionalFormatting sqref="H58:I58">
    <cfRule type="cellIs" dxfId="1069" priority="107" stopIfTrue="1" operator="lessThanOrEqual">
      <formula>0</formula>
    </cfRule>
    <cfRule type="cellIs" dxfId="1068" priority="104" stopIfTrue="1" operator="greaterThan">
      <formula>$F$23</formula>
    </cfRule>
  </conditionalFormatting>
  <conditionalFormatting sqref="H59:I59">
    <cfRule type="cellIs" dxfId="1067" priority="44" stopIfTrue="1" operator="lessThanOrEqual">
      <formula>0</formula>
    </cfRule>
    <cfRule type="cellIs" dxfId="1066" priority="41" stopIfTrue="1" operator="greaterThan">
      <formula>$F$70</formula>
    </cfRule>
  </conditionalFormatting>
  <conditionalFormatting sqref="H60:I61">
    <cfRule type="cellIs" dxfId="1065" priority="90" stopIfTrue="1" operator="greaterThan">
      <formula>#REF!</formula>
    </cfRule>
    <cfRule type="cellIs" dxfId="1064" priority="93" stopIfTrue="1" operator="lessThanOrEqual">
      <formula>0</formula>
    </cfRule>
  </conditionalFormatting>
  <conditionalFormatting sqref="H62:I62">
    <cfRule type="cellIs" dxfId="1063" priority="122" stopIfTrue="1" operator="lessThanOrEqual">
      <formula>0</formula>
    </cfRule>
    <cfRule type="cellIs" dxfId="1062" priority="119" stopIfTrue="1" operator="greaterThan">
      <formula>$F$38</formula>
    </cfRule>
  </conditionalFormatting>
  <conditionalFormatting sqref="H63:I64">
    <cfRule type="cellIs" dxfId="1061" priority="77" stopIfTrue="1" operator="lessThanOrEqual">
      <formula>0</formula>
    </cfRule>
    <cfRule type="cellIs" dxfId="1060" priority="74" stopIfTrue="1" operator="greaterThan">
      <formula>#REF!</formula>
    </cfRule>
  </conditionalFormatting>
  <conditionalFormatting sqref="H68:I75">
    <cfRule type="cellIs" dxfId="1059" priority="55" stopIfTrue="1" operator="greaterThan">
      <formula>$J68</formula>
    </cfRule>
    <cfRule type="cellIs" dxfId="1058" priority="56" stopIfTrue="1" operator="lessThanOrEqual">
      <formula>0</formula>
    </cfRule>
  </conditionalFormatting>
  <conditionalFormatting sqref="H76:I76">
    <cfRule type="cellIs" dxfId="1057" priority="152" operator="greaterThan">
      <formula>5.3</formula>
    </cfRule>
  </conditionalFormatting>
  <conditionalFormatting sqref="H77:I77">
    <cfRule type="cellIs" dxfId="1056" priority="144" stopIfTrue="1" operator="greaterThan">
      <formula>$J77</formula>
    </cfRule>
    <cfRule type="cellIs" dxfId="1055" priority="145" stopIfTrue="1" operator="lessThanOrEqual">
      <formula>0</formula>
    </cfRule>
  </conditionalFormatting>
  <conditionalFormatting sqref="I55:I56">
    <cfRule type="cellIs" dxfId="1054" priority="7" stopIfTrue="1" operator="lessThanOrEqual">
      <formula>0</formula>
    </cfRule>
    <cfRule type="cellIs" dxfId="1053" priority="8" stopIfTrue="1" operator="greaterThan">
      <formula>#REF!</formula>
    </cfRule>
    <cfRule type="cellIs" dxfId="1052" priority="9" stopIfTrue="1" operator="lessThanOrEqual">
      <formula>0</formula>
    </cfRule>
    <cfRule type="cellIs" dxfId="1051" priority="10" stopIfTrue="1" operator="greaterThan">
      <formula>#REF!</formula>
    </cfRule>
    <cfRule type="cellIs" dxfId="1050" priority="11" stopIfTrue="1" operator="lessThanOrEqual">
      <formula>0</formula>
    </cfRule>
    <cfRule type="cellIs" dxfId="1049" priority="6" stopIfTrue="1" operator="greaterThan">
      <formula>#REF!</formula>
    </cfRule>
  </conditionalFormatting>
  <conditionalFormatting sqref="I57">
    <cfRule type="cellIs" dxfId="1048" priority="35" stopIfTrue="1" operator="greaterThan">
      <formula>#REF!</formula>
    </cfRule>
    <cfRule type="cellIs" dxfId="1047" priority="34" stopIfTrue="1" operator="lessThanOrEqual">
      <formula>0</formula>
    </cfRule>
    <cfRule type="cellIs" dxfId="1046" priority="33" stopIfTrue="1" operator="greaterThan">
      <formula>#REF!</formula>
    </cfRule>
    <cfRule type="cellIs" dxfId="1045" priority="36" stopIfTrue="1" operator="lessThanOrEqual">
      <formula>0</formula>
    </cfRule>
    <cfRule type="cellIs" dxfId="1044" priority="31" stopIfTrue="1" operator="greaterThan">
      <formula>#REF!</formula>
    </cfRule>
    <cfRule type="cellIs" dxfId="1043" priority="32" stopIfTrue="1" operator="lessThanOrEqual">
      <formula>0</formula>
    </cfRule>
  </conditionalFormatting>
  <conditionalFormatting sqref="I58">
    <cfRule type="cellIs" dxfId="1042" priority="108" stopIfTrue="1" operator="greaterThan">
      <formula>#REF!</formula>
    </cfRule>
    <cfRule type="cellIs" dxfId="1041" priority="110" stopIfTrue="1" operator="greaterThan">
      <formula>$F$23</formula>
    </cfRule>
    <cfRule type="cellIs" dxfId="1040" priority="111" stopIfTrue="1" operator="lessThanOrEqual">
      <formula>0</formula>
    </cfRule>
    <cfRule type="cellIs" dxfId="1039" priority="112" stopIfTrue="1" operator="greaterThan">
      <formula>#REF!</formula>
    </cfRule>
    <cfRule type="cellIs" dxfId="1038" priority="113" stopIfTrue="1" operator="lessThanOrEqual">
      <formula>0</formula>
    </cfRule>
    <cfRule type="cellIs" dxfId="1037" priority="109" stopIfTrue="1" operator="lessThanOrEqual">
      <formula>0</formula>
    </cfRule>
  </conditionalFormatting>
  <conditionalFormatting sqref="I59">
    <cfRule type="cellIs" dxfId="1036" priority="50" stopIfTrue="1" operator="lessThanOrEqual">
      <formula>0</formula>
    </cfRule>
    <cfRule type="cellIs" dxfId="1035" priority="49" stopIfTrue="1" operator="greaterThan">
      <formula>$F$68</formula>
    </cfRule>
    <cfRule type="cellIs" dxfId="1034" priority="45" stopIfTrue="1" operator="greaterThan">
      <formula>$F$68</formula>
    </cfRule>
    <cfRule type="cellIs" dxfId="1033" priority="46" stopIfTrue="1" operator="lessThanOrEqual">
      <formula>0</formula>
    </cfRule>
    <cfRule type="cellIs" dxfId="1032" priority="47" stopIfTrue="1" operator="greaterThan">
      <formula>$F$70</formula>
    </cfRule>
    <cfRule type="cellIs" dxfId="1031" priority="48" stopIfTrue="1" operator="lessThanOrEqual">
      <formula>0</formula>
    </cfRule>
  </conditionalFormatting>
  <conditionalFormatting sqref="I60:I61">
    <cfRule type="cellIs" dxfId="1030" priority="94" stopIfTrue="1" operator="greaterThan">
      <formula>#REF!</formula>
    </cfRule>
    <cfRule type="cellIs" dxfId="1029" priority="99" stopIfTrue="1" operator="lessThanOrEqual">
      <formula>0</formula>
    </cfRule>
    <cfRule type="cellIs" dxfId="1028" priority="95" stopIfTrue="1" operator="lessThanOrEqual">
      <formula>0</formula>
    </cfRule>
    <cfRule type="cellIs" dxfId="1027" priority="96" stopIfTrue="1" operator="greaterThan">
      <formula>#REF!</formula>
    </cfRule>
    <cfRule type="cellIs" dxfId="1026" priority="97" stopIfTrue="1" operator="lessThanOrEqual">
      <formula>0</formula>
    </cfRule>
    <cfRule type="cellIs" dxfId="1025" priority="98" stopIfTrue="1" operator="greaterThan">
      <formula>#REF!</formula>
    </cfRule>
  </conditionalFormatting>
  <conditionalFormatting sqref="I62">
    <cfRule type="cellIs" dxfId="1024" priority="127" stopIfTrue="1" operator="greaterThan">
      <formula>$F$36</formula>
    </cfRule>
    <cfRule type="cellIs" dxfId="1023" priority="128" stopIfTrue="1" operator="lessThanOrEqual">
      <formula>0</formula>
    </cfRule>
    <cfRule type="cellIs" dxfId="1022" priority="123" stopIfTrue="1" operator="greaterThan">
      <formula>$F$36</formula>
    </cfRule>
    <cfRule type="cellIs" dxfId="1021" priority="124" stopIfTrue="1" operator="lessThanOrEqual">
      <formula>0</formula>
    </cfRule>
    <cfRule type="cellIs" dxfId="1020" priority="125" stopIfTrue="1" operator="greaterThan">
      <formula>$F$38</formula>
    </cfRule>
    <cfRule type="cellIs" dxfId="1019" priority="126" stopIfTrue="1" operator="lessThanOrEqual">
      <formula>0</formula>
    </cfRule>
  </conditionalFormatting>
  <conditionalFormatting sqref="I63:I64">
    <cfRule type="cellIs" dxfId="1018" priority="79" stopIfTrue="1" operator="lessThanOrEqual">
      <formula>0</formula>
    </cfRule>
    <cfRule type="cellIs" dxfId="1017" priority="83" stopIfTrue="1" operator="lessThanOrEqual">
      <formula>0</formula>
    </cfRule>
    <cfRule type="cellIs" dxfId="1016" priority="80" stopIfTrue="1" operator="greaterThan">
      <formula>#REF!</formula>
    </cfRule>
    <cfRule type="cellIs" dxfId="1015" priority="78" stopIfTrue="1" operator="greaterThan">
      <formula>#REF!</formula>
    </cfRule>
    <cfRule type="cellIs" dxfId="1014" priority="82" stopIfTrue="1" operator="greaterThan">
      <formula>#REF!</formula>
    </cfRule>
    <cfRule type="cellIs" dxfId="1013" priority="81" stopIfTrue="1" operator="lessThanOrEqual">
      <formula>0</formula>
    </cfRule>
  </conditionalFormatting>
  <conditionalFormatting sqref="I79:I87">
    <cfRule type="cellIs" dxfId="1012" priority="175" stopIfTrue="1" operator="greaterThan">
      <formula>4.5</formula>
    </cfRule>
    <cfRule type="cellIs" dxfId="1011" priority="176" stopIfTrue="1" operator="lessThanOrEqual">
      <formula>0</formula>
    </cfRule>
  </conditionalFormatting>
  <conditionalFormatting sqref="I10:J23">
    <cfRule type="cellIs" dxfId="1010" priority="18" operator="lessThan">
      <formula>97.9</formula>
    </cfRule>
  </conditionalFormatting>
  <conditionalFormatting sqref="J28">
    <cfRule type="cellIs" dxfId="1009" priority="134" stopIfTrue="1" operator="lessThan">
      <formula>96.8</formula>
    </cfRule>
    <cfRule type="cellIs" dxfId="1008" priority="135" stopIfTrue="1" operator="greaterThan">
      <formula>100</formula>
    </cfRule>
    <cfRule type="cellIs" dxfId="1007" priority="136" operator="lessThan">
      <formula>98</formula>
    </cfRule>
  </conditionalFormatting>
  <conditionalFormatting sqref="J28:J30">
    <cfRule type="cellIs" dxfId="1006" priority="133" operator="lessThan">
      <formula>97.4</formula>
    </cfRule>
  </conditionalFormatting>
  <conditionalFormatting sqref="J31:J32">
    <cfRule type="cellIs" dxfId="1005" priority="137" operator="lessThan">
      <formula>98</formula>
    </cfRule>
  </conditionalFormatting>
  <conditionalFormatting sqref="J33:J34">
    <cfRule type="cellIs" dxfId="1004" priority="138" stopIfTrue="1" operator="lessThan">
      <formula>96.8</formula>
    </cfRule>
    <cfRule type="cellIs" dxfId="1003" priority="139" stopIfTrue="1" operator="greaterThan">
      <formula>100</formula>
    </cfRule>
  </conditionalFormatting>
  <conditionalFormatting sqref="J33:J35">
    <cfRule type="cellIs" dxfId="1002" priority="140" operator="lessThan">
      <formula>98</formula>
    </cfRule>
  </conditionalFormatting>
  <conditionalFormatting sqref="J64">
    <cfRule type="cellIs" dxfId="1001" priority="66" stopIfTrue="1" operator="greaterThan">
      <formula>#REF!</formula>
    </cfRule>
    <cfRule type="cellIs" dxfId="1000" priority="68" stopIfTrue="1" operator="greaterThan">
      <formula>#REF!</formula>
    </cfRule>
    <cfRule type="cellIs" dxfId="999" priority="73" stopIfTrue="1" operator="lessThanOrEqual">
      <formula>0</formula>
    </cfRule>
    <cfRule type="cellIs" dxfId="998" priority="72" stopIfTrue="1" operator="greaterThan">
      <formula>#REF!</formula>
    </cfRule>
    <cfRule type="cellIs" dxfId="997" priority="71" stopIfTrue="1" operator="lessThanOrEqual">
      <formula>0</formula>
    </cfRule>
    <cfRule type="cellIs" dxfId="996" priority="70" stopIfTrue="1" operator="greaterThan">
      <formula>#REF!</formula>
    </cfRule>
    <cfRule type="cellIs" dxfId="995" priority="69" stopIfTrue="1" operator="lessThanOrEqual">
      <formula>0</formula>
    </cfRule>
    <cfRule type="cellIs" dxfId="994" priority="67" stopIfTrue="1" operator="lessThanOrEqual">
      <formula>0</formula>
    </cfRule>
  </conditionalFormatting>
  <conditionalFormatting sqref="J77">
    <cfRule type="cellIs" dxfId="993" priority="141" stopIfTrue="1" operator="greaterThan">
      <formula>$F77</formula>
    </cfRule>
    <cfRule type="cellIs" dxfId="992" priority="142" stopIfTrue="1" operator="lessThanOrEqual">
      <formula>0</formula>
    </cfRule>
  </conditionalFormatting>
  <conditionalFormatting sqref="K10:K23">
    <cfRule type="cellIs" dxfId="991" priority="20" operator="lessThan">
      <formula>4</formula>
    </cfRule>
    <cfRule type="cellIs" dxfId="990" priority="19" operator="greaterThan">
      <formula>6</formula>
    </cfRule>
    <cfRule type="cellIs" dxfId="989" priority="21" operator="greaterThan">
      <formula>6.4</formula>
    </cfRule>
  </conditionalFormatting>
  <conditionalFormatting sqref="K55:K64">
    <cfRule type="cellIs" dxfId="988" priority="16" stopIfTrue="1" operator="lessThan">
      <formula>100%</formula>
    </cfRule>
  </conditionalFormatting>
  <conditionalFormatting sqref="K79:K84">
    <cfRule type="cellIs" dxfId="987" priority="181" stopIfTrue="1" operator="lessThan">
      <formula>100%</formula>
    </cfRule>
  </conditionalFormatting>
  <conditionalFormatting sqref="K86:K87">
    <cfRule type="cellIs" dxfId="986" priority="188" stopIfTrue="1" operator="lessThan">
      <formula>100%</formula>
    </cfRule>
  </conditionalFormatting>
  <conditionalFormatting sqref="K68:N76">
    <cfRule type="cellIs" dxfId="985" priority="118" stopIfTrue="1" operator="lessThan">
      <formula>100%</formula>
    </cfRule>
  </conditionalFormatting>
  <conditionalFormatting sqref="L10:L23">
    <cfRule type="cellIs" dxfId="984" priority="27" operator="greaterThan">
      <formula>65</formula>
    </cfRule>
    <cfRule type="cellIs" dxfId="983" priority="26" operator="between">
      <formula>61</formula>
      <formula>65</formula>
    </cfRule>
  </conditionalFormatting>
  <conditionalFormatting sqref="L26:M37">
    <cfRule type="cellIs" dxfId="982" priority="58" operator="lessThan">
      <formula>97.95</formula>
    </cfRule>
  </conditionalFormatting>
  <conditionalFormatting sqref="L41:N41">
    <cfRule type="cellIs" dxfId="981" priority="59" operator="notEqual">
      <formula>#REF!</formula>
    </cfRule>
  </conditionalFormatting>
  <conditionalFormatting sqref="L77:N77">
    <cfRule type="cellIs" dxfId="980" priority="143" stopIfTrue="1" operator="lessThan">
      <formula>100%</formula>
    </cfRule>
  </conditionalFormatting>
  <conditionalFormatting sqref="L79:N87">
    <cfRule type="cellIs" dxfId="979" priority="166" stopIfTrue="1" operator="lessThan">
      <formula>100%</formula>
    </cfRule>
  </conditionalFormatting>
  <conditionalFormatting sqref="M10:M22">
    <cfRule type="expression" dxfId="978" priority="24">
      <formula>IF(+(IF(M10&lt;U10,0,IF(M10&gt;V10,0,1)))=0,1)</formula>
    </cfRule>
  </conditionalFormatting>
  <conditionalFormatting sqref="M23:N23">
    <cfRule type="expression" dxfId="977" priority="196">
      <formula>IF(+(IF(M23&lt;#REF!,0,IF(M23&gt;#REF!,0,1)))=0,1)</formula>
    </cfRule>
  </conditionalFormatting>
  <conditionalFormatting sqref="N10:N22">
    <cfRule type="expression" dxfId="976" priority="17">
      <formula>IF(+(IF(N10&lt;W10,0,IF(N10&gt;X10,0,1)))=0,1)</formula>
    </cfRule>
  </conditionalFormatting>
  <conditionalFormatting sqref="P6">
    <cfRule type="cellIs" dxfId="975" priority="162" operator="greaterThanOrEqual">
      <formula>19</formula>
    </cfRule>
  </conditionalFormatting>
  <dataValidations count="1">
    <dataValidation type="list" allowBlank="1" showInputMessage="1" showErrorMessage="1" sqref="R8" xr:uid="{31D57F50-416B-4460-A5F6-15C641E8DBD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0159F-3A50-469D-A837-1FA3787E7BA7}">
  <sheetPr>
    <pageSetUpPr fitToPage="1"/>
  </sheetPr>
  <dimension ref="A1:BE76"/>
  <sheetViews>
    <sheetView topLeftCell="A5" zoomScale="70" zoomScaleNormal="70" workbookViewId="0">
      <selection activeCell="L54" sqref="L5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46048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2" t="s">
        <v>33</v>
      </c>
      <c r="C10" s="366" t="str">
        <f>[6]Brewhouse!A27</f>
        <v>VM005</v>
      </c>
      <c r="D10" s="279">
        <f>[6]Brewhouse!AE27</f>
        <v>50</v>
      </c>
      <c r="E10" s="279">
        <f>[6]Brewhouse!AJ27</f>
        <v>48</v>
      </c>
      <c r="F10" s="278">
        <f>[6]Brewhouse!X27</f>
        <v>85</v>
      </c>
      <c r="G10" s="279">
        <f>[6]Brewhouse!AH27</f>
        <v>14.2</v>
      </c>
      <c r="H10" s="396">
        <v>14.2</v>
      </c>
      <c r="I10" s="368">
        <f>[6]Brewhouse!AV27</f>
        <v>97.058295684709279</v>
      </c>
      <c r="J10" s="368">
        <f>[6]Brewhouse!AW27</f>
        <v>96.988991636219978</v>
      </c>
      <c r="K10" s="281">
        <f>[6]Brewhouse!S27</f>
        <v>10.120000000000005</v>
      </c>
      <c r="L10" s="276">
        <f>[6]Brewhouse!R27</f>
        <v>59</v>
      </c>
      <c r="M10" s="374">
        <f>[6]Brewhouse!$W27-[6]Brewhouse!$V27</f>
        <v>0.16388888888888889</v>
      </c>
      <c r="N10" s="370">
        <f>[6]Brewhouse!AB27</f>
        <v>0.31805555555555554</v>
      </c>
      <c r="O10" s="371" t="str">
        <f>[6]Brewhouse!$AZ27</f>
        <v>K. Benjamin</v>
      </c>
      <c r="P10" s="418"/>
      <c r="R10" s="277" t="str">
        <f t="shared" ref="R10:R36" si="0">B10</f>
        <v>VITAMALT</v>
      </c>
      <c r="S10" s="474">
        <f t="shared" ref="S10:S36" si="1">VLOOKUP($B10,$R$3:$X$9,2,FALSE)</f>
        <v>14.2</v>
      </c>
      <c r="T10" s="474">
        <f t="shared" ref="T10:T36" si="2">VLOOKUP($B10,$R$3:$X$9,3,FALSE)</f>
        <v>14.6</v>
      </c>
      <c r="U10" s="297">
        <f t="shared" ref="U10:U36" si="3">VLOOKUP($B10,$R$3:$X$9,4,FALSE)</f>
        <v>0</v>
      </c>
      <c r="V10" s="297">
        <f t="shared" ref="V10:V36" si="4">VLOOKUP($B10,$R$3:$X$9,5,FALSE)</f>
        <v>0.13905092592592591</v>
      </c>
      <c r="W10" s="297">
        <f t="shared" ref="W10:W36" si="5">VLOOKUP($B10,$R$3:$X$9,6,FALSE)</f>
        <v>0.26041666666666669</v>
      </c>
      <c r="X10" s="297">
        <f t="shared" ref="X10:X36" si="6">VLOOKUP($B10,$R$3:$X$9,7,FALSE)</f>
        <v>0.2951388888888889</v>
      </c>
      <c r="Y10" s="297">
        <f t="shared" ref="Y10:Y36" si="7">VLOOKUP($B10,$R$3:$Z$9,8,FALSE)</f>
        <v>0</v>
      </c>
      <c r="Z10" s="474">
        <f t="shared" ref="Z10:Z36" si="8">VLOOKUP($B10,$R$3:$Z$9,9,FALSE)</f>
        <v>75</v>
      </c>
    </row>
    <row r="11" spans="2:29" ht="16.5" customHeight="1">
      <c r="B11" s="22" t="s">
        <v>33</v>
      </c>
      <c r="C11" s="366" t="str">
        <f>[6]Brewhouse!A28</f>
        <v>VM006</v>
      </c>
      <c r="D11" s="279">
        <f>[6]Brewhouse!AE28</f>
        <v>50</v>
      </c>
      <c r="E11" s="279">
        <f>[6]Brewhouse!AJ28</f>
        <v>48.4</v>
      </c>
      <c r="F11" s="278">
        <f>[6]Brewhouse!X28</f>
        <v>86</v>
      </c>
      <c r="G11" s="279">
        <f>[6]Brewhouse!AH28</f>
        <v>14.2</v>
      </c>
      <c r="H11" s="396">
        <v>14.2</v>
      </c>
      <c r="I11" s="368">
        <f>[6]Brewhouse!AV28</f>
        <v>97.867114815415192</v>
      </c>
      <c r="J11" s="368">
        <f>[6]Brewhouse!AW28</f>
        <v>97.797233233188479</v>
      </c>
      <c r="K11" s="281">
        <f>[6]Brewhouse!S28</f>
        <v>5.5200000000000102</v>
      </c>
      <c r="L11" s="276">
        <f>[6]Brewhouse!R28</f>
        <v>61</v>
      </c>
      <c r="M11" s="374">
        <f>[6]Brewhouse!$W28-[6]Brewhouse!$V28</f>
        <v>0.14930555555555558</v>
      </c>
      <c r="N11" s="370">
        <f>[6]Brewhouse!AB28</f>
        <v>0.32152777777777775</v>
      </c>
      <c r="O11" s="371" t="str">
        <f>[6]Brewhouse!$AZ28</f>
        <v>R. Regis</v>
      </c>
      <c r="P11" s="418"/>
      <c r="R11" s="277" t="str">
        <f t="shared" ref="R11:R22" si="9">B11</f>
        <v>VITAMALT</v>
      </c>
      <c r="S11" s="474">
        <f t="shared" si="1"/>
        <v>14.2</v>
      </c>
      <c r="T11" s="474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474">
        <f t="shared" si="8"/>
        <v>75</v>
      </c>
    </row>
    <row r="12" spans="2:29" ht="16.5" customHeight="1">
      <c r="B12" s="22" t="s">
        <v>33</v>
      </c>
      <c r="C12" s="366" t="str">
        <f>[6]Brewhouse!A29</f>
        <v>VM007</v>
      </c>
      <c r="D12" s="279">
        <f>[6]Brewhouse!AE29</f>
        <v>50</v>
      </c>
      <c r="E12" s="279">
        <f>[6]Brewhouse!AJ29</f>
        <v>47</v>
      </c>
      <c r="F12" s="278">
        <f>[6]Brewhouse!X29</f>
        <v>85</v>
      </c>
      <c r="G12" s="279">
        <f>[6]Brewhouse!AH29</f>
        <v>14.6</v>
      </c>
      <c r="H12" s="396">
        <v>14.6</v>
      </c>
      <c r="I12" s="368">
        <f>[6]Brewhouse!AV29</f>
        <v>98.093597805251179</v>
      </c>
      <c r="J12" s="368">
        <f>[6]Brewhouse!AW29</f>
        <v>98.024146694048667</v>
      </c>
      <c r="K12" s="281">
        <f>[6]Brewhouse!S29</f>
        <v>5.1200000000000045</v>
      </c>
      <c r="L12" s="276">
        <f>[6]Brewhouse!R29</f>
        <v>59</v>
      </c>
      <c r="M12" s="374">
        <f>[6]Brewhouse!$W29-[6]Brewhouse!$V29</f>
        <v>0.14652777777777776</v>
      </c>
      <c r="N12" s="370">
        <f>[6]Brewhouse!AB29</f>
        <v>0.32291666666666663</v>
      </c>
      <c r="O12" s="371" t="str">
        <f>[6]Brewhouse!$AZ29</f>
        <v>R. Regis</v>
      </c>
      <c r="P12" s="418"/>
      <c r="R12" s="277" t="str">
        <f t="shared" si="9"/>
        <v>VITAMALT</v>
      </c>
      <c r="S12" s="474">
        <f t="shared" si="1"/>
        <v>14.2</v>
      </c>
      <c r="T12" s="474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474">
        <f t="shared" si="8"/>
        <v>75</v>
      </c>
    </row>
    <row r="13" spans="2:29" ht="16.5" customHeight="1">
      <c r="B13" s="22" t="s">
        <v>33</v>
      </c>
      <c r="C13" s="366" t="str">
        <f>[6]Brewhouse!A30</f>
        <v>VM008</v>
      </c>
      <c r="D13" s="279">
        <f>[6]Brewhouse!AE30</f>
        <v>50</v>
      </c>
      <c r="E13" s="279">
        <f>[6]Brewhouse!AJ30</f>
        <v>49.4</v>
      </c>
      <c r="F13" s="278">
        <f>[6]Brewhouse!X30</f>
        <v>85</v>
      </c>
      <c r="G13" s="279">
        <f>[6]Brewhouse!AH30</f>
        <v>14.6</v>
      </c>
      <c r="H13" s="396">
        <v>14.6</v>
      </c>
      <c r="I13" s="368">
        <f>[6]Brewhouse!AV30</f>
        <v>102.88783663744221</v>
      </c>
      <c r="J13" s="368">
        <f>[6]Brewhouse!AW30</f>
        <v>102.81437003091489</v>
      </c>
      <c r="K13" s="281">
        <f>[6]Brewhouse!S30</f>
        <v>10.120000000000005</v>
      </c>
      <c r="L13" s="276">
        <f>[6]Brewhouse!R30</f>
        <v>60</v>
      </c>
      <c r="M13" s="374">
        <f>[6]Brewhouse!$W30-[6]Brewhouse!$V30</f>
        <v>0.15833333333333344</v>
      </c>
      <c r="N13" s="370">
        <f>[6]Brewhouse!AB30</f>
        <v>0.31875000000000003</v>
      </c>
      <c r="O13" s="371" t="str">
        <f>[6]Brewhouse!$AZ30</f>
        <v>R. Regis</v>
      </c>
      <c r="P13" s="418"/>
      <c r="R13" s="277" t="str">
        <f t="shared" si="9"/>
        <v>VITAMALT</v>
      </c>
      <c r="S13" s="474">
        <f t="shared" si="1"/>
        <v>14.2</v>
      </c>
      <c r="T13" s="474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474">
        <f t="shared" si="8"/>
        <v>75</v>
      </c>
    </row>
    <row r="14" spans="2:29" ht="16.5" customHeight="1">
      <c r="B14" s="22" t="s">
        <v>33</v>
      </c>
      <c r="C14" s="366" t="str">
        <f>[6]Brewhouse!A31</f>
        <v>VM009</v>
      </c>
      <c r="D14" s="279">
        <f>[6]Brewhouse!AE31</f>
        <v>50</v>
      </c>
      <c r="E14" s="279">
        <f>[6]Brewhouse!AJ31</f>
        <v>49</v>
      </c>
      <c r="F14" s="278">
        <f>[6]Brewhouse!X31</f>
        <v>88</v>
      </c>
      <c r="G14" s="498">
        <f>[6]Brewhouse!AH31</f>
        <v>13.9</v>
      </c>
      <c r="H14" s="492">
        <v>13.9</v>
      </c>
      <c r="I14" s="368">
        <f>[6]Brewhouse!AV31</f>
        <v>96.899121806418265</v>
      </c>
      <c r="J14" s="368">
        <f>[6]Brewhouse!AW31</f>
        <v>96.829931415335594</v>
      </c>
      <c r="K14" s="281">
        <f>[6]Brewhouse!S31</f>
        <v>4.1200000000000045</v>
      </c>
      <c r="L14" s="276">
        <f>[6]Brewhouse!R31</f>
        <v>57</v>
      </c>
      <c r="M14" s="374">
        <f>[6]Brewhouse!$W31-[6]Brewhouse!$V31</f>
        <v>0.15625</v>
      </c>
      <c r="N14" s="370">
        <f>[6]Brewhouse!AB31</f>
        <v>0.3125</v>
      </c>
      <c r="O14" s="371" t="str">
        <f>[6]Brewhouse!$AZ31</f>
        <v>R.Sookram</v>
      </c>
      <c r="P14" s="418"/>
      <c r="R14" s="277" t="str">
        <f t="shared" si="9"/>
        <v>VITAMALT</v>
      </c>
      <c r="S14" s="474">
        <f t="shared" si="1"/>
        <v>14.2</v>
      </c>
      <c r="T14" s="474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474">
        <f t="shared" si="8"/>
        <v>75</v>
      </c>
    </row>
    <row r="15" spans="2:29" ht="16.5" customHeight="1">
      <c r="B15" s="22" t="s">
        <v>33</v>
      </c>
      <c r="C15" s="366" t="str">
        <f>[6]Brewhouse!A32</f>
        <v>VM010</v>
      </c>
      <c r="D15" s="279">
        <f>[6]Brewhouse!AE32</f>
        <v>50</v>
      </c>
      <c r="E15" s="279">
        <f>[6]Brewhouse!AJ32</f>
        <v>49</v>
      </c>
      <c r="F15" s="278">
        <f>[6]Brewhouse!X32</f>
        <v>64</v>
      </c>
      <c r="G15" s="498">
        <f>[6]Brewhouse!AH32</f>
        <v>14.1</v>
      </c>
      <c r="H15" s="492">
        <v>14.1</v>
      </c>
      <c r="I15" s="368">
        <f>[6]Brewhouse!AV32</f>
        <v>98.250925468415389</v>
      </c>
      <c r="J15" s="368">
        <f>[6]Brewhouse!AW32</f>
        <v>98.180474186374965</v>
      </c>
      <c r="K15" s="281">
        <f>[6]Brewhouse!S32</f>
        <v>3.3199999999999932</v>
      </c>
      <c r="L15" s="276">
        <f>[6]Brewhouse!R32</f>
        <v>58</v>
      </c>
      <c r="M15" s="374">
        <f>[6]Brewhouse!$W32-[6]Brewhouse!$V32</f>
        <v>0.12986111111111098</v>
      </c>
      <c r="N15" s="370">
        <f>[6]Brewhouse!AB32</f>
        <v>0.29861111111111105</v>
      </c>
      <c r="O15" s="371" t="str">
        <f>[6]Brewhouse!$AZ32</f>
        <v>R.Sookram</v>
      </c>
      <c r="P15" s="418"/>
      <c r="R15" s="277" t="str">
        <f t="shared" si="9"/>
        <v>VITAMALT</v>
      </c>
      <c r="S15" s="474">
        <f t="shared" si="1"/>
        <v>14.2</v>
      </c>
      <c r="T15" s="474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474">
        <f t="shared" si="8"/>
        <v>75</v>
      </c>
    </row>
    <row r="16" spans="2:29" ht="16.5" customHeight="1">
      <c r="B16" s="22" t="s">
        <v>33</v>
      </c>
      <c r="C16" s="366" t="str">
        <f>[6]Brewhouse!A33</f>
        <v>VM011</v>
      </c>
      <c r="D16" s="279">
        <f>[6]Brewhouse!AE33</f>
        <v>50</v>
      </c>
      <c r="E16" s="279">
        <f>[6]Brewhouse!AJ33</f>
        <v>47.57</v>
      </c>
      <c r="F16" s="278">
        <f>[6]Brewhouse!X33</f>
        <v>73</v>
      </c>
      <c r="G16" s="279">
        <f>[6]Brewhouse!AH33</f>
        <v>14.3</v>
      </c>
      <c r="H16" s="396">
        <v>14.4</v>
      </c>
      <c r="I16" s="368">
        <f>[6]Brewhouse!AV33</f>
        <v>96.894670333550806</v>
      </c>
      <c r="J16" s="368">
        <f>[6]Brewhouse!AW33</f>
        <v>96.825483121022714</v>
      </c>
      <c r="K16" s="281">
        <f>[6]Brewhouse!S33</f>
        <v>3.5200000000000098</v>
      </c>
      <c r="L16" s="276">
        <f>[6]Brewhouse!R33</f>
        <v>60</v>
      </c>
      <c r="M16" s="374">
        <f>[6]Brewhouse!$W33-[6]Brewhouse!$V33</f>
        <v>0.14861111111111103</v>
      </c>
      <c r="N16" s="370">
        <f>[6]Brewhouse!AB33</f>
        <v>0.31527777777777766</v>
      </c>
      <c r="O16" s="371" t="str">
        <f>[6]Brewhouse!$AZ33</f>
        <v>K. Benjamin</v>
      </c>
      <c r="P16" s="418"/>
      <c r="R16" s="277" t="str">
        <f t="shared" si="9"/>
        <v>VITAMALT</v>
      </c>
      <c r="S16" s="474">
        <f t="shared" si="1"/>
        <v>14.2</v>
      </c>
      <c r="T16" s="474">
        <f t="shared" si="2"/>
        <v>14.6</v>
      </c>
      <c r="U16" s="297">
        <f t="shared" si="3"/>
        <v>0</v>
      </c>
      <c r="V16" s="297">
        <f t="shared" si="4"/>
        <v>0.13905092592592591</v>
      </c>
      <c r="W16" s="297">
        <f t="shared" si="5"/>
        <v>0.26041666666666669</v>
      </c>
      <c r="X16" s="297">
        <f t="shared" si="6"/>
        <v>0.2951388888888889</v>
      </c>
      <c r="Y16" s="297">
        <f t="shared" si="7"/>
        <v>0</v>
      </c>
      <c r="Z16" s="474">
        <f t="shared" si="8"/>
        <v>75</v>
      </c>
    </row>
    <row r="17" spans="1:27" ht="16.5" customHeight="1">
      <c r="B17" s="22" t="s">
        <v>33</v>
      </c>
      <c r="C17" s="366" t="str">
        <f>[6]Brewhouse!A34</f>
        <v>VM012</v>
      </c>
      <c r="D17" s="367"/>
      <c r="E17" s="279">
        <f>[6]Brewhouse!AJ34</f>
        <v>48</v>
      </c>
      <c r="F17" s="278">
        <f>[6]Brewhouse!X34</f>
        <v>60</v>
      </c>
      <c r="G17" s="279">
        <f>[6]Brewhouse!AH34</f>
        <v>14.4</v>
      </c>
      <c r="H17" s="396">
        <v>14.4</v>
      </c>
      <c r="I17" s="368">
        <f>[6]Brewhouse!AV34</f>
        <v>98.444969429182507</v>
      </c>
      <c r="J17" s="368">
        <f>[6]Brewhouse!AW34</f>
        <v>98.37437900701957</v>
      </c>
      <c r="K17" s="392"/>
      <c r="L17" s="276">
        <f>[6]Brewhouse!R34</f>
        <v>61</v>
      </c>
      <c r="M17" s="374">
        <f>[6]Brewhouse!$W34-[6]Brewhouse!$V34</f>
        <v>0.14236111111111116</v>
      </c>
      <c r="N17" s="370">
        <f>[6]Brewhouse!AB34</f>
        <v>0.2895833333333333</v>
      </c>
      <c r="O17" s="371" t="str">
        <f>[6]Brewhouse!$AZ34</f>
        <v>K. Benjamin</v>
      </c>
      <c r="P17" s="418"/>
      <c r="R17" s="277" t="str">
        <f t="shared" si="9"/>
        <v>VITAMALT</v>
      </c>
      <c r="S17" s="474">
        <f t="shared" si="1"/>
        <v>14.2</v>
      </c>
      <c r="T17" s="474">
        <f t="shared" si="2"/>
        <v>14.6</v>
      </c>
      <c r="U17" s="297">
        <f t="shared" si="3"/>
        <v>0</v>
      </c>
      <c r="V17" s="297">
        <f t="shared" si="4"/>
        <v>0.13905092592592591</v>
      </c>
      <c r="W17" s="297">
        <f t="shared" si="5"/>
        <v>0.26041666666666669</v>
      </c>
      <c r="X17" s="297">
        <f t="shared" si="6"/>
        <v>0.2951388888888889</v>
      </c>
      <c r="Y17" s="297">
        <f t="shared" si="7"/>
        <v>0</v>
      </c>
      <c r="Z17" s="474">
        <f t="shared" si="8"/>
        <v>75</v>
      </c>
    </row>
    <row r="18" spans="1:27" ht="16.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6.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8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0"/>
      <c r="P21" s="418"/>
      <c r="R21" s="277">
        <f t="shared" si="9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6.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18"/>
      <c r="R22" s="277">
        <f t="shared" si="9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540"/>
      <c r="J23" s="540"/>
      <c r="K23" s="540"/>
      <c r="L23" s="540"/>
      <c r="M23" s="540"/>
      <c r="N23" s="540"/>
      <c r="O23" s="1"/>
      <c r="P23" s="12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5.75" customHeight="1" thickBot="1">
      <c r="B24" s="388" t="s">
        <v>162</v>
      </c>
      <c r="C24" s="388"/>
      <c r="D24" s="541" t="s">
        <v>35</v>
      </c>
      <c r="E24" s="542"/>
      <c r="F24" s="294"/>
      <c r="G24" s="294"/>
      <c r="H24" s="348"/>
      <c r="I24" s="24" t="s">
        <v>17</v>
      </c>
      <c r="J24" s="25"/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 xml:space="preserve">BRAND 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5" customHeight="1">
      <c r="A25" s="28"/>
      <c r="B25" s="543"/>
      <c r="C25" s="362"/>
      <c r="D25" s="546"/>
      <c r="E25" s="547"/>
      <c r="F25" s="294"/>
      <c r="G25" s="294"/>
      <c r="H25" s="348"/>
      <c r="I25" s="29" t="s">
        <v>6</v>
      </c>
      <c r="J25" s="280"/>
      <c r="K25" s="284">
        <f>COUNTA([4]Brewhouse!$A$42:$A$103)</f>
        <v>62</v>
      </c>
      <c r="L25" s="305">
        <f>AVERAGE([4]Brewhouse!$AU$42:$AU$103)</f>
        <v>98.257404193717633</v>
      </c>
      <c r="M25" s="305">
        <f>AVERAGE([4]Brewhouse!$AU$42:$AU$103)</f>
        <v>98.257404193717633</v>
      </c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5" customHeight="1">
      <c r="A26" s="28"/>
      <c r="B26" s="544"/>
      <c r="C26" s="362"/>
      <c r="D26" s="548"/>
      <c r="E26" s="532"/>
      <c r="F26" s="294"/>
      <c r="G26" s="294"/>
      <c r="H26" s="348"/>
      <c r="I26" s="33" t="s">
        <v>9</v>
      </c>
      <c r="J26" s="280"/>
      <c r="K26" s="284">
        <f>COUNTA([5]Brewhouse!$A$52:$A$65)</f>
        <v>14</v>
      </c>
      <c r="L26" s="302">
        <f>AVERAGE([5]Brewhouse!$AS$52:$AS$65)</f>
        <v>99.833537203795117</v>
      </c>
      <c r="M26" s="302">
        <f>AVERAGE([5]Brewhouse!$AS$52:$AS$65)</f>
        <v>99.833537203795117</v>
      </c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4.65" customHeight="1">
      <c r="A27" s="28"/>
      <c r="B27" s="544"/>
      <c r="C27" s="362"/>
      <c r="D27" s="536"/>
      <c r="E27" s="537"/>
      <c r="F27" s="294"/>
      <c r="G27" s="294"/>
      <c r="H27" s="348"/>
      <c r="I27" s="34" t="s">
        <v>12</v>
      </c>
      <c r="J27" s="280"/>
      <c r="K27" s="284">
        <f>COUNTA([3]Brewhouse!$A$16:$A$23)</f>
        <v>8</v>
      </c>
      <c r="L27" s="302">
        <f>AVERAGE([3]Brewhouse!$AU$16:$AU$23)</f>
        <v>97.765204759801577</v>
      </c>
      <c r="M27" s="302">
        <f>AVERAGE([3]Brewhouse!$AU$16:$AU$23)</f>
        <v>97.765204759801577</v>
      </c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4.65" customHeight="1">
      <c r="A28" s="28"/>
      <c r="B28" s="544"/>
      <c r="C28" s="362"/>
      <c r="D28" s="531"/>
      <c r="E28" s="532"/>
      <c r="F28" s="294"/>
      <c r="G28" s="294"/>
      <c r="H28" s="348"/>
      <c r="I28" s="22" t="s">
        <v>33</v>
      </c>
      <c r="J28" s="280">
        <f>AVERAGE(I10:I17)</f>
        <v>98.299566497548113</v>
      </c>
      <c r="K28" s="284">
        <f>COUNTA([6]Brewhouse!$A$23:$A$34)</f>
        <v>12</v>
      </c>
      <c r="L28" s="302">
        <f>AVERAGE([6]Brewhouse!$AV$23:$AV$34)</f>
        <v>98.31387229810305</v>
      </c>
      <c r="M28" s="302">
        <f>AVERAGE([6]Brewhouse!$AV$23:$AV$34)</f>
        <v>98.31387229810305</v>
      </c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7" ht="14.65" customHeight="1">
      <c r="A29" s="28"/>
      <c r="B29" s="544"/>
      <c r="C29" s="362"/>
      <c r="D29" s="536"/>
      <c r="E29" s="537"/>
      <c r="F29" s="417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7" ht="14.65" customHeight="1">
      <c r="A30" s="28"/>
      <c r="B30" s="544"/>
      <c r="C30" s="362"/>
      <c r="D30" s="531"/>
      <c r="E30" s="532"/>
      <c r="F30" s="417"/>
      <c r="G30" s="294"/>
      <c r="H30" s="348"/>
      <c r="I30" s="36" t="s">
        <v>15</v>
      </c>
      <c r="J30" s="323"/>
      <c r="K30" s="284">
        <f>COUNTA([7]Brewhouse!$A$13:$A$20)</f>
        <v>8</v>
      </c>
      <c r="L30" s="302" t="e">
        <f>AVERAGE([7]Brewhouse!$AT$13:$AT$20)</f>
        <v>#DIV/0!</v>
      </c>
      <c r="M30" s="302" t="e">
        <f>AVERAGE([7]Brewhouse!$AT$13:$AT$20)</f>
        <v>#DIV/0!</v>
      </c>
      <c r="N30" s="30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4.65" customHeight="1">
      <c r="A31" s="28"/>
      <c r="B31" s="544"/>
      <c r="C31" s="362"/>
      <c r="D31" s="536"/>
      <c r="E31" s="537"/>
      <c r="F31" s="417"/>
      <c r="G31" s="294"/>
      <c r="H31" s="348"/>
      <c r="I31" s="37" t="s">
        <v>16</v>
      </c>
      <c r="J31" s="323"/>
      <c r="K31" s="284">
        <f>COUNTA([8]Brewhouse!$A$5:$A$7)</f>
        <v>3</v>
      </c>
      <c r="L31" s="302">
        <f>AVERAGE([8]Brewhouse!$AY$5:$AY$7)</f>
        <v>98.128633252159673</v>
      </c>
      <c r="M31" s="302">
        <f>AVERAGE([8]Brewhouse!$AY$5:$AY$7)</f>
        <v>98.128633252159673</v>
      </c>
      <c r="N31" s="30">
        <v>98</v>
      </c>
      <c r="O31" s="11"/>
      <c r="P31" s="31" t="s">
        <v>41</v>
      </c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4.65" customHeight="1">
      <c r="A32" s="28"/>
      <c r="B32" s="544"/>
      <c r="C32" s="362"/>
      <c r="D32" s="531"/>
      <c r="E32" s="532"/>
      <c r="F32" s="294"/>
      <c r="G32" s="294"/>
      <c r="H32" s="348"/>
      <c r="I32" s="411" t="s">
        <v>158</v>
      </c>
      <c r="J32" s="326"/>
      <c r="K32" s="284"/>
      <c r="L32" s="305"/>
      <c r="M32" s="305"/>
      <c r="N32" s="30">
        <v>98</v>
      </c>
      <c r="O32" s="11"/>
      <c r="P32" s="31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4.65" customHeight="1">
      <c r="A33" s="28"/>
      <c r="B33" s="544"/>
      <c r="C33" s="349"/>
      <c r="D33" s="536"/>
      <c r="E33" s="537"/>
      <c r="F33" s="294"/>
      <c r="G33" s="294"/>
      <c r="H33" s="348"/>
      <c r="I33" s="410" t="s">
        <v>157</v>
      </c>
      <c r="J33" s="326"/>
      <c r="K33" s="284"/>
      <c r="L33" s="305"/>
      <c r="M33" s="305"/>
      <c r="N33" s="30">
        <v>98</v>
      </c>
      <c r="O33" s="11"/>
      <c r="P33" s="31"/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5" customHeight="1" thickBot="1">
      <c r="A34" s="28"/>
      <c r="B34" s="544"/>
      <c r="C34" s="349"/>
      <c r="D34" s="531"/>
      <c r="E34" s="532"/>
      <c r="F34" s="294"/>
      <c r="G34" s="294"/>
      <c r="H34" s="348"/>
      <c r="I34" s="406" t="s">
        <v>156</v>
      </c>
      <c r="J34" s="327"/>
      <c r="K34" s="407"/>
      <c r="L34" s="408"/>
      <c r="M34" s="408"/>
      <c r="N34" s="409">
        <v>98</v>
      </c>
      <c r="O34" s="11"/>
      <c r="P34" s="31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5" customHeight="1" thickBot="1">
      <c r="A35" s="28"/>
      <c r="B35" s="544"/>
      <c r="C35" s="349"/>
      <c r="D35" s="546"/>
      <c r="E35" s="547"/>
      <c r="F35" s="294"/>
      <c r="G35" s="294"/>
      <c r="H35" s="348"/>
      <c r="I35" s="1"/>
      <c r="J35" s="39"/>
      <c r="K35" s="404">
        <f>SUM(K25:K34)</f>
        <v>107</v>
      </c>
      <c r="L35" s="405" t="e">
        <f>((L25*K25)+(L26*K26)+(L27*K27)+(L28*K28)+(L29*K29)+(K32*L32)+(L30*K30)+(L31*K31)+(L34*K34))/(K35)</f>
        <v>#DIV/0!</v>
      </c>
      <c r="M35" s="405" t="e">
        <f>L35</f>
        <v>#DIV/0!</v>
      </c>
      <c r="N35" s="40">
        <v>98</v>
      </c>
      <c r="O35" s="11"/>
      <c r="P35" s="31"/>
      <c r="R35" s="277">
        <f t="shared" si="0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5.75" thickBot="1">
      <c r="B36" s="545"/>
      <c r="C36" s="350"/>
      <c r="D36" s="548"/>
      <c r="E36" s="532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>
        <f t="shared" si="0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56" ht="15.75" thickBot="1">
      <c r="B37" s="526"/>
      <c r="C37" s="362"/>
      <c r="D37" s="529"/>
      <c r="E37" s="530"/>
      <c r="F37" s="294"/>
      <c r="G37" s="42"/>
      <c r="H37" s="41"/>
      <c r="I37" s="42"/>
      <c r="J37" s="533" t="s">
        <v>129</v>
      </c>
      <c r="K37" s="533"/>
      <c r="L37" s="294"/>
      <c r="M37" s="294"/>
      <c r="N37" s="294"/>
      <c r="O37" s="294"/>
      <c r="P37" s="12"/>
    </row>
    <row r="38" spans="1:56" ht="15.75" thickBot="1">
      <c r="B38" s="527"/>
      <c r="C38" s="362"/>
      <c r="D38" s="531"/>
      <c r="E38" s="532"/>
      <c r="F38" s="294"/>
      <c r="G38" s="42"/>
      <c r="H38" s="42"/>
      <c r="I38" s="42"/>
      <c r="J38" s="292" t="s">
        <v>17</v>
      </c>
      <c r="K38" s="293" t="s">
        <v>147</v>
      </c>
      <c r="L38" s="534" t="s">
        <v>136</v>
      </c>
      <c r="M38" s="534"/>
      <c r="N38" s="535"/>
      <c r="O38" s="294"/>
      <c r="P38" s="12"/>
    </row>
    <row r="39" spans="1:56" ht="15" customHeight="1" thickBot="1">
      <c r="B39" s="527"/>
      <c r="C39" s="349"/>
      <c r="D39" s="536"/>
      <c r="E39" s="537"/>
      <c r="F39" s="294"/>
      <c r="G39" s="42"/>
      <c r="H39" s="42"/>
      <c r="I39" s="42"/>
      <c r="J39" s="287" t="s">
        <v>6</v>
      </c>
      <c r="K39" s="324"/>
      <c r="L39" s="475" t="s">
        <v>37</v>
      </c>
      <c r="M39" s="476" t="s">
        <v>38</v>
      </c>
      <c r="N39" s="476" t="s">
        <v>84</v>
      </c>
      <c r="O39" s="294"/>
      <c r="P39" s="12"/>
    </row>
    <row r="40" spans="1:56" ht="15.75" customHeight="1" thickBot="1">
      <c r="B40" s="527"/>
      <c r="C40" s="349"/>
      <c r="D40" s="531"/>
      <c r="E40" s="532"/>
      <c r="F40" s="294"/>
      <c r="G40" s="42"/>
      <c r="H40" s="42"/>
      <c r="I40" s="42"/>
      <c r="J40" s="345" t="s">
        <v>9</v>
      </c>
      <c r="K40" s="324"/>
      <c r="L40" s="344">
        <f>AVERAGE('Jan 2nd'!K45,'Jan 5th'!K45,'Jan 6th'!K49,'Jan 7th'!K49,'Jan 8th '!K44,'Jan 9th-10th'!J58,'Jan 9th-10th'!K58,'Jan12th '!K50,Jan13th!K45,Jan14th!K53,Jan15th!K50,K49,'Jan16-18th'!I53,'Jan16-18th'!J53,'Jan16-18th'!K53,'Jan19th '!K55,Jan20th!K47,Jan21st!K50,Jan22nd!K48,Jan23rd!K50)</f>
        <v>5.75</v>
      </c>
      <c r="M40" s="325">
        <f>AVERAGE(L40)</f>
        <v>5.75</v>
      </c>
      <c r="N40" s="416">
        <v>9.1999999999999993</v>
      </c>
      <c r="O40" s="294"/>
      <c r="P40" s="12"/>
    </row>
    <row r="41" spans="1:56" ht="15" customHeight="1">
      <c r="B41" s="527"/>
      <c r="C41" s="349"/>
      <c r="D41" s="536"/>
      <c r="E41" s="537"/>
      <c r="F41" s="294"/>
      <c r="G41" s="42"/>
      <c r="H41" s="42"/>
      <c r="I41" s="42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7"/>
      <c r="C42" s="349"/>
      <c r="D42" s="531"/>
      <c r="E42" s="532"/>
      <c r="F42" s="294"/>
      <c r="G42" s="42"/>
      <c r="H42" s="42"/>
      <c r="I42" s="42"/>
      <c r="J42" s="289" t="s">
        <v>33</v>
      </c>
      <c r="K42" s="324">
        <v>8</v>
      </c>
      <c r="L42" s="294"/>
      <c r="M42" s="294"/>
      <c r="N42" s="294"/>
      <c r="O42" s="294"/>
      <c r="P42" s="12"/>
    </row>
    <row r="43" spans="1:56" ht="15">
      <c r="B43" s="527"/>
      <c r="C43" s="349"/>
      <c r="D43" s="536"/>
      <c r="E43" s="537"/>
      <c r="F43" s="294"/>
      <c r="G43" s="42"/>
      <c r="H43" s="42"/>
      <c r="I43" s="42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5">
      <c r="B44" s="527"/>
      <c r="C44" s="349"/>
      <c r="D44" s="531"/>
      <c r="E44" s="532"/>
      <c r="F44" s="294"/>
      <c r="G44" s="42"/>
      <c r="H44" s="42"/>
      <c r="I44" s="42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5">
      <c r="B45" s="527"/>
      <c r="C45" s="349"/>
      <c r="D45" s="536"/>
      <c r="E45" s="537"/>
      <c r="F45" s="294"/>
      <c r="G45" s="42"/>
      <c r="H45" s="42"/>
      <c r="I45" s="42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.75" thickBot="1">
      <c r="B46" s="528"/>
      <c r="C46" s="350"/>
      <c r="D46" s="538"/>
      <c r="E46" s="539"/>
      <c r="F46" s="294" t="s">
        <v>166</v>
      </c>
      <c r="G46" s="42"/>
      <c r="H46" s="42"/>
      <c r="I46" s="42"/>
      <c r="J46" s="291" t="s">
        <v>148</v>
      </c>
      <c r="K46" s="324"/>
      <c r="L46" s="294"/>
      <c r="M46" s="294"/>
      <c r="N46" s="294" t="s">
        <v>41</v>
      </c>
      <c r="O46" s="294"/>
      <c r="P46" s="12"/>
      <c r="BC46" s="44"/>
      <c r="BD46" s="44"/>
    </row>
    <row r="47" spans="1:56" ht="17.649999999999999" customHeight="1" thickBot="1">
      <c r="B47" s="312" t="s">
        <v>139</v>
      </c>
      <c r="C47" s="313"/>
      <c r="D47" s="519"/>
      <c r="E47" s="520"/>
      <c r="F47" s="294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649999999999999" customHeight="1">
      <c r="B48" s="363"/>
      <c r="C48" s="364"/>
      <c r="D48" s="365"/>
      <c r="E48" s="365"/>
      <c r="F48" s="294"/>
      <c r="G48" s="42"/>
      <c r="H48" s="42"/>
      <c r="I48" s="42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1:57" ht="15.6" customHeight="1">
      <c r="B49" s="45"/>
      <c r="C49" s="11"/>
      <c r="D49" s="11"/>
      <c r="E49" s="46"/>
      <c r="F49" s="294"/>
      <c r="G49" s="42"/>
      <c r="H49" s="42"/>
      <c r="I49" s="42"/>
      <c r="J49" s="346" t="s">
        <v>130</v>
      </c>
      <c r="K49" s="324">
        <f>SUM(K39:K48)</f>
        <v>8</v>
      </c>
      <c r="L49" s="294"/>
      <c r="M49" s="294"/>
      <c r="N49" s="294"/>
      <c r="O49" s="294"/>
      <c r="P49" s="12"/>
    </row>
    <row r="50" spans="1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L50" s="294"/>
      <c r="N50" s="315"/>
      <c r="P50" s="334"/>
    </row>
    <row r="51" spans="1:57" ht="15" customHeight="1" thickBot="1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1"/>
      <c r="O51" s="48"/>
      <c r="P51" s="49"/>
    </row>
    <row r="52" spans="1:57" ht="15" customHeight="1" thickBot="1">
      <c r="B52" s="511" t="s">
        <v>17</v>
      </c>
      <c r="C52" s="511" t="s">
        <v>44</v>
      </c>
      <c r="D52" s="522" t="s">
        <v>45</v>
      </c>
      <c r="E52" s="524" t="s">
        <v>46</v>
      </c>
      <c r="F52" s="517" t="s">
        <v>47</v>
      </c>
      <c r="G52" s="509" t="s">
        <v>48</v>
      </c>
      <c r="H52" s="511" t="s">
        <v>49</v>
      </c>
      <c r="I52" s="511" t="s">
        <v>50</v>
      </c>
      <c r="J52" s="503" t="s">
        <v>28</v>
      </c>
      <c r="K52" s="513" t="s">
        <v>51</v>
      </c>
      <c r="L52" s="515" t="s">
        <v>52</v>
      </c>
      <c r="M52" s="503" t="s">
        <v>53</v>
      </c>
      <c r="N52" s="13"/>
      <c r="O52" s="13"/>
      <c r="P52" s="50"/>
    </row>
    <row r="53" spans="1:57" ht="28.5" customHeight="1" thickTop="1" thickBot="1">
      <c r="B53" s="512"/>
      <c r="C53" s="521"/>
      <c r="D53" s="523"/>
      <c r="E53" s="525"/>
      <c r="F53" s="518"/>
      <c r="G53" s="510"/>
      <c r="H53" s="512"/>
      <c r="I53" s="512"/>
      <c r="J53" s="504"/>
      <c r="K53" s="514"/>
      <c r="L53" s="516"/>
      <c r="M53" s="504"/>
      <c r="N53" s="13"/>
      <c r="O53" s="13"/>
      <c r="P53" s="50"/>
      <c r="Q53" s="355"/>
      <c r="AB53" s="477">
        <v>43474</v>
      </c>
      <c r="AC53" s="477">
        <v>43475</v>
      </c>
      <c r="AD53" s="477">
        <v>43476</v>
      </c>
      <c r="AE53" s="477">
        <v>43477</v>
      </c>
      <c r="AF53" s="477">
        <v>43478</v>
      </c>
      <c r="AG53" s="477">
        <v>43479</v>
      </c>
      <c r="AH53" s="477">
        <v>43480</v>
      </c>
      <c r="AI53" s="477">
        <v>43481</v>
      </c>
      <c r="AJ53" s="477">
        <v>43482</v>
      </c>
      <c r="AK53" s="477">
        <v>43483</v>
      </c>
      <c r="AL53" s="477">
        <v>43484</v>
      </c>
      <c r="AM53" s="477">
        <v>43485</v>
      </c>
      <c r="AN53" s="477">
        <v>43486</v>
      </c>
      <c r="AO53" s="477">
        <v>43487</v>
      </c>
      <c r="AP53" s="477">
        <v>43488</v>
      </c>
      <c r="AQ53" s="477">
        <v>43489</v>
      </c>
      <c r="AR53" s="477">
        <v>43490</v>
      </c>
      <c r="AS53" s="477">
        <v>43491</v>
      </c>
      <c r="AT53" s="477">
        <v>43492</v>
      </c>
      <c r="AU53" s="477">
        <v>43493</v>
      </c>
      <c r="AV53" s="477">
        <v>43494</v>
      </c>
      <c r="AW53" s="477">
        <v>43495</v>
      </c>
      <c r="AX53" s="477">
        <v>43496</v>
      </c>
    </row>
    <row r="54" spans="1:57" s="54" customFormat="1" ht="37.15" customHeight="1" thickBot="1">
      <c r="B54" s="496" t="str">
        <f>J39</f>
        <v>CARIB</v>
      </c>
      <c r="C54" s="495">
        <v>46048</v>
      </c>
      <c r="D54" s="442">
        <f>[28]January_2026!$AC$3</f>
        <v>197.89</v>
      </c>
      <c r="E54" s="443"/>
      <c r="F54" s="444"/>
      <c r="G54" s="445">
        <f>[28]January_2026!$AC$7</f>
        <v>184.1</v>
      </c>
      <c r="H54" s="446"/>
      <c r="I54" s="447"/>
      <c r="J54" s="448" t="s">
        <v>150</v>
      </c>
      <c r="K54" s="449">
        <f>[29]January_2026!$AC$18</f>
        <v>0.64596491228070174</v>
      </c>
      <c r="L54" s="457">
        <f>(((D54+E54)-G54)/(D54+E54))*100</f>
        <v>6.9685178634594944</v>
      </c>
      <c r="M54" s="455" t="s">
        <v>213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277"/>
      <c r="AY54" s="277"/>
      <c r="AZ54" s="277"/>
      <c r="BA54" s="277"/>
      <c r="BB54" s="277"/>
      <c r="BC54" s="277"/>
      <c r="BD54" s="277"/>
      <c r="BE54" s="277"/>
    </row>
    <row r="55" spans="1:57" s="54" customFormat="1" ht="14.25" customHeight="1" thickBot="1">
      <c r="B55" s="496"/>
      <c r="C55" s="495"/>
      <c r="D55" s="442"/>
      <c r="E55" s="443"/>
      <c r="F55" s="444"/>
      <c r="G55" s="445"/>
      <c r="H55" s="446"/>
      <c r="I55" s="447"/>
      <c r="J55" s="478"/>
      <c r="K55" s="449"/>
      <c r="L55" s="457"/>
      <c r="M55" s="455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7.15" hidden="1" customHeight="1" thickBot="1">
      <c r="A56" s="54" t="s">
        <v>187</v>
      </c>
      <c r="B56" s="496" t="str">
        <f>J39</f>
        <v>CARIB</v>
      </c>
      <c r="C56" s="495">
        <v>46048</v>
      </c>
      <c r="D56" s="442"/>
      <c r="E56" s="443"/>
      <c r="F56" s="444"/>
      <c r="G56" s="445"/>
      <c r="H56" s="446"/>
      <c r="I56" s="447"/>
      <c r="J56" s="448" t="s">
        <v>150</v>
      </c>
      <c r="K56" s="449"/>
      <c r="L56" s="457"/>
      <c r="M56" s="455" t="s">
        <v>200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>
        <f>[9]January_2019!L7</f>
        <v>285.8</v>
      </c>
      <c r="AC56" s="57">
        <f>[9]January_2019!M7</f>
        <v>508.1</v>
      </c>
      <c r="AD56" s="57">
        <f>[9]January_2019!N7</f>
        <v>0</v>
      </c>
      <c r="AE56" s="57">
        <f>[9]January_2019!O7</f>
        <v>0</v>
      </c>
      <c r="AF56" s="57">
        <f>[9]January_2019!P7</f>
        <v>109.56666666666666</v>
      </c>
      <c r="AG56" s="57">
        <f>[9]January_2019!Q7</f>
        <v>297.64999999999998</v>
      </c>
      <c r="AH56" s="57">
        <f>[9]January_2019!R7</f>
        <v>122.3</v>
      </c>
      <c r="AI56" s="57">
        <f>[9]January_2019!S7</f>
        <v>0</v>
      </c>
      <c r="AJ56" s="57">
        <f>[9]January_2019!T7</f>
        <v>294.7</v>
      </c>
      <c r="AK56" s="57">
        <f>[9]January_2019!U7</f>
        <v>280.5</v>
      </c>
      <c r="AL56" s="57">
        <f>[9]January_2019!V7</f>
        <v>0</v>
      </c>
      <c r="AM56" s="57">
        <f>[9]January_2019!W7</f>
        <v>0</v>
      </c>
      <c r="AN56" s="57">
        <f>[9]January_2019!X7</f>
        <v>188.25</v>
      </c>
      <c r="AO56" s="57">
        <f>[9]January_2019!Y7</f>
        <v>295.7</v>
      </c>
      <c r="AP56" s="57">
        <f>[9]January_2019!Z7</f>
        <v>257.8</v>
      </c>
      <c r="AQ56" s="57">
        <f>[9]January_2019!AA7</f>
        <v>291.2</v>
      </c>
      <c r="AR56" s="57">
        <f>[9]January_2019!AB7</f>
        <v>187</v>
      </c>
      <c r="AS56" s="57">
        <f>[9]January_2019!AC7</f>
        <v>0</v>
      </c>
      <c r="AT56" s="57">
        <f>[9]January_2019!AD7</f>
        <v>0</v>
      </c>
      <c r="AU56" s="57">
        <f>[9]January_2019!AE7</f>
        <v>485.1</v>
      </c>
      <c r="AV56" s="57">
        <f>[9]January_2019!AF7</f>
        <v>171.55</v>
      </c>
      <c r="AW56" s="57">
        <f>[9]January_2019!AG7</f>
        <v>423.8</v>
      </c>
      <c r="AX56" s="277">
        <f>[9]January_2019!AH7</f>
        <v>0</v>
      </c>
      <c r="AY56" s="277"/>
      <c r="AZ56" s="277"/>
      <c r="BA56" s="277"/>
      <c r="BB56" s="277"/>
      <c r="BC56" s="277"/>
      <c r="BD56" s="277"/>
      <c r="BE56" s="277"/>
    </row>
    <row r="57" spans="1:57" s="54" customFormat="1" ht="19.5" hidden="1" customHeight="1" thickBot="1">
      <c r="A57" s="54" t="str">
        <f>J39</f>
        <v>CARIB</v>
      </c>
      <c r="B57" s="494"/>
      <c r="C57" s="430"/>
      <c r="D57" s="431"/>
      <c r="E57" s="432"/>
      <c r="F57" s="433"/>
      <c r="G57" s="434"/>
      <c r="H57" s="428"/>
      <c r="I57" s="428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8.450000000000003" hidden="1" customHeight="1" thickBot="1">
      <c r="B58" s="497"/>
      <c r="C58" s="495"/>
      <c r="D58" s="442"/>
      <c r="E58" s="443"/>
      <c r="F58" s="444"/>
      <c r="G58" s="445"/>
      <c r="H58" s="458"/>
      <c r="I58" s="458"/>
      <c r="J58" s="448"/>
      <c r="K58" s="460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5.75" hidden="1" thickBot="1">
      <c r="B59" s="453"/>
      <c r="C59" s="430"/>
      <c r="D59" s="431"/>
      <c r="E59" s="432"/>
      <c r="F59" s="433"/>
      <c r="G59" s="434"/>
      <c r="H59" s="435"/>
      <c r="I59" s="450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7.15" hidden="1" customHeight="1" thickBot="1">
      <c r="B60" s="496"/>
      <c r="C60" s="495"/>
      <c r="D60" s="442"/>
      <c r="E60" s="443"/>
      <c r="F60" s="444"/>
      <c r="G60" s="445"/>
      <c r="H60" s="446"/>
      <c r="I60" s="447"/>
      <c r="J60" s="448"/>
      <c r="K60" s="449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6.5" hidden="1" customHeight="1" thickBot="1">
      <c r="B61" s="437"/>
      <c r="C61" s="423"/>
      <c r="D61" s="424"/>
      <c r="E61" s="425"/>
      <c r="F61" s="426"/>
      <c r="G61" s="427"/>
      <c r="H61" s="428"/>
      <c r="I61" s="438"/>
      <c r="J61" s="439"/>
      <c r="K61" s="429"/>
      <c r="L61" s="440"/>
      <c r="M61" s="422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5"/>
      <c r="AC61" s="415"/>
      <c r="AD61" s="415"/>
      <c r="AE61" s="415"/>
      <c r="AF61" s="415"/>
      <c r="AG61" s="415"/>
      <c r="AH61" s="415"/>
      <c r="AI61" s="415"/>
      <c r="AJ61" s="415"/>
      <c r="AK61" s="415"/>
      <c r="AL61" s="415"/>
      <c r="AM61" s="415"/>
      <c r="AN61" s="415"/>
      <c r="AO61" s="415"/>
      <c r="AP61" s="415"/>
      <c r="AQ61" s="415"/>
      <c r="AR61" s="415"/>
      <c r="AS61" s="415"/>
      <c r="AT61" s="415"/>
      <c r="AU61" s="415"/>
      <c r="AV61" s="415"/>
      <c r="AW61" s="415"/>
    </row>
    <row r="62" spans="1:57" s="54" customFormat="1" ht="37.15" hidden="1" customHeight="1" thickBot="1">
      <c r="B62" s="456"/>
      <c r="C62" s="441"/>
      <c r="D62" s="442"/>
      <c r="E62" s="443"/>
      <c r="F62" s="444"/>
      <c r="G62" s="445"/>
      <c r="H62" s="446"/>
      <c r="I62" s="447"/>
      <c r="J62" s="448"/>
      <c r="K62" s="449"/>
      <c r="L62" s="457"/>
      <c r="M62" s="454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customHeight="1">
      <c r="B63" s="467"/>
      <c r="C63" s="430"/>
      <c r="D63" s="461"/>
      <c r="E63" s="462"/>
      <c r="F63" s="463"/>
      <c r="G63" s="461"/>
      <c r="H63" s="464"/>
      <c r="I63" s="464"/>
      <c r="J63" s="464"/>
      <c r="K63" s="465"/>
      <c r="L63" s="466"/>
      <c r="M63" s="50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ht="18" customHeight="1" thickBot="1">
      <c r="B64" s="59"/>
      <c r="C64" s="30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 t="s">
        <v>41</v>
      </c>
      <c r="O64" s="56"/>
      <c r="P64" s="60"/>
    </row>
    <row r="65" spans="2:16" ht="15.75" thickBot="1">
      <c r="B65" s="505" t="s">
        <v>55</v>
      </c>
      <c r="C65" s="506"/>
      <c r="D65" s="506"/>
      <c r="E65" s="506"/>
      <c r="F65" s="507"/>
      <c r="G65" s="505" t="s">
        <v>56</v>
      </c>
      <c r="H65" s="506"/>
      <c r="I65" s="506"/>
      <c r="J65" s="507"/>
      <c r="K65" s="505" t="s">
        <v>51</v>
      </c>
      <c r="L65" s="506"/>
      <c r="M65" s="506"/>
      <c r="N65" s="508"/>
      <c r="O65" s="56"/>
      <c r="P65" s="50"/>
    </row>
    <row r="66" spans="2:16" ht="15">
      <c r="B66" s="61" t="s">
        <v>17</v>
      </c>
      <c r="C66" s="62" t="s">
        <v>36</v>
      </c>
      <c r="D66" s="62" t="s">
        <v>37</v>
      </c>
      <c r="E66" s="62" t="s">
        <v>38</v>
      </c>
      <c r="F66" s="63" t="s">
        <v>39</v>
      </c>
      <c r="G66" s="62" t="s">
        <v>36</v>
      </c>
      <c r="H66" s="62" t="s">
        <v>37</v>
      </c>
      <c r="I66" s="62" t="s">
        <v>38</v>
      </c>
      <c r="J66" s="63" t="s">
        <v>39</v>
      </c>
      <c r="K66" s="62" t="s">
        <v>36</v>
      </c>
      <c r="L66" s="62" t="s">
        <v>37</v>
      </c>
      <c r="M66" s="62" t="s">
        <v>38</v>
      </c>
      <c r="N66" s="63" t="s">
        <v>39</v>
      </c>
      <c r="O66" s="56"/>
      <c r="P66" s="64"/>
    </row>
    <row r="67" spans="2:16" ht="15">
      <c r="B67" s="29" t="s">
        <v>6</v>
      </c>
      <c r="C67" s="282">
        <f>L54</f>
        <v>6.9685178634594944</v>
      </c>
      <c r="D67" s="76">
        <v>9.8923821608158384</v>
      </c>
      <c r="E67" s="76">
        <v>9.8923821608158384</v>
      </c>
      <c r="F67" s="66">
        <v>4.8</v>
      </c>
      <c r="G67" s="65">
        <f>[28]January_2026!$AC$11</f>
        <v>9.2793960255049761</v>
      </c>
      <c r="H67" s="480">
        <v>9.5838961765062916</v>
      </c>
      <c r="I67" s="480">
        <v>9.5838961765062916</v>
      </c>
      <c r="J67" s="66">
        <v>4.8</v>
      </c>
      <c r="K67" s="67">
        <f>K54</f>
        <v>0.64596491228070174</v>
      </c>
      <c r="L67" s="194">
        <v>0.35086614684860301</v>
      </c>
      <c r="M67" s="194">
        <v>0.35086614684860301</v>
      </c>
      <c r="N67" s="68">
        <v>1</v>
      </c>
      <c r="O67" s="56"/>
      <c r="P67" s="69"/>
    </row>
    <row r="68" spans="2:16" ht="15">
      <c r="B68" s="33" t="s">
        <v>9</v>
      </c>
      <c r="C68" s="65"/>
      <c r="D68" s="76">
        <v>6.6263785558913062</v>
      </c>
      <c r="E68" s="76">
        <v>6.6263785558913062</v>
      </c>
      <c r="F68" s="66">
        <v>4.8</v>
      </c>
      <c r="G68" s="65"/>
      <c r="H68" s="76">
        <v>7.0083733221260962</v>
      </c>
      <c r="I68" s="76">
        <v>7.0083733221260962</v>
      </c>
      <c r="J68" s="66">
        <v>4.8</v>
      </c>
      <c r="K68" s="67"/>
      <c r="L68" s="194">
        <v>0.66496686159844054</v>
      </c>
      <c r="M68" s="194">
        <v>0.66496686159844054</v>
      </c>
      <c r="N68" s="68">
        <v>1</v>
      </c>
      <c r="P68" s="69"/>
    </row>
    <row r="69" spans="2:16" ht="15">
      <c r="B69" s="34" t="s">
        <v>40</v>
      </c>
      <c r="C69" s="65"/>
      <c r="D69" s="76"/>
      <c r="E69" s="76"/>
      <c r="F69" s="66">
        <v>5.5</v>
      </c>
      <c r="G69" s="65"/>
      <c r="H69" s="76"/>
      <c r="I69" s="76"/>
      <c r="J69" s="66">
        <v>5.5</v>
      </c>
      <c r="K69" s="67"/>
      <c r="L69" s="194"/>
      <c r="M69" s="194"/>
      <c r="N69" s="68">
        <v>1</v>
      </c>
      <c r="P69" s="69"/>
    </row>
    <row r="70" spans="2:16" ht="15">
      <c r="B70" s="22" t="s">
        <v>33</v>
      </c>
      <c r="C70" s="65"/>
      <c r="D70" s="76">
        <v>6.5508684863523392</v>
      </c>
      <c r="E70" s="76">
        <v>6.5508684863523392</v>
      </c>
      <c r="F70" s="66">
        <v>3.3</v>
      </c>
      <c r="G70" s="65"/>
      <c r="H70" s="76">
        <v>5.2086766183151161</v>
      </c>
      <c r="I70" s="76">
        <v>5.2086766183151161</v>
      </c>
      <c r="J70" s="66">
        <v>3.3</v>
      </c>
      <c r="K70" s="67"/>
      <c r="L70" s="194">
        <v>0.6607017543859649</v>
      </c>
      <c r="M70" s="194">
        <v>0.6607017543859649</v>
      </c>
      <c r="N70" s="68">
        <v>1</v>
      </c>
      <c r="P70" s="69"/>
    </row>
    <row r="71" spans="2:16" ht="15">
      <c r="B71" s="35" t="s">
        <v>164</v>
      </c>
      <c r="C71" s="65"/>
      <c r="D71" s="76"/>
      <c r="E71" s="76"/>
      <c r="F71" s="66">
        <v>3.3</v>
      </c>
      <c r="G71" s="282"/>
      <c r="H71" s="76"/>
      <c r="I71" s="76"/>
      <c r="J71" s="66">
        <v>3</v>
      </c>
      <c r="K71" s="67"/>
      <c r="L71" s="194"/>
      <c r="M71" s="194"/>
      <c r="N71" s="68">
        <v>1</v>
      </c>
      <c r="P71" s="69"/>
    </row>
    <row r="72" spans="2:16" ht="15">
      <c r="B72" s="36" t="s">
        <v>15</v>
      </c>
      <c r="C72" s="65"/>
      <c r="D72" s="76">
        <v>5.1105651105651271</v>
      </c>
      <c r="E72" s="76">
        <v>5.1105651105651271</v>
      </c>
      <c r="F72" s="70">
        <f>[10]May_2022!$M$43</f>
        <v>3.4878406700073312</v>
      </c>
      <c r="G72" s="282"/>
      <c r="H72" s="76">
        <v>7.9131369535794072</v>
      </c>
      <c r="I72" s="76">
        <v>7.9131369535794072</v>
      </c>
      <c r="J72" s="66">
        <v>5.5</v>
      </c>
      <c r="K72" s="67"/>
      <c r="L72" s="194">
        <v>1.3550877192982456</v>
      </c>
      <c r="M72" s="194">
        <v>1.3550877192982456</v>
      </c>
      <c r="N72" s="68">
        <v>1</v>
      </c>
      <c r="P72" s="69"/>
    </row>
    <row r="73" spans="2:16" ht="15">
      <c r="B73" s="37" t="s">
        <v>16</v>
      </c>
      <c r="C73" s="65"/>
      <c r="D73" s="76">
        <v>2.0590520590520631</v>
      </c>
      <c r="E73" s="76">
        <v>2.0590520590520631</v>
      </c>
      <c r="F73" s="66">
        <v>3.3</v>
      </c>
      <c r="G73" s="282"/>
      <c r="H73" s="76">
        <v>2.1755040108015784</v>
      </c>
      <c r="I73" s="76">
        <v>2.1755040108015784</v>
      </c>
      <c r="J73" s="66">
        <v>3.3</v>
      </c>
      <c r="K73" s="67"/>
      <c r="L73" s="194">
        <v>0.88456140350877199</v>
      </c>
      <c r="M73" s="194">
        <v>0.88456140350877199</v>
      </c>
      <c r="N73" s="71">
        <v>1</v>
      </c>
      <c r="P73" s="69"/>
    </row>
    <row r="74" spans="2:16" ht="15.75" thickBot="1">
      <c r="B74" s="38" t="s">
        <v>163</v>
      </c>
      <c r="C74" s="65"/>
      <c r="D74" s="76"/>
      <c r="E74" s="76"/>
      <c r="F74" s="66">
        <v>7.5</v>
      </c>
      <c r="G74" s="282"/>
      <c r="H74" s="76"/>
      <c r="I74" s="76"/>
      <c r="J74" s="66">
        <v>7.5</v>
      </c>
      <c r="K74" s="67"/>
      <c r="L74" s="194"/>
      <c r="M74" s="194"/>
      <c r="N74" s="71">
        <v>1</v>
      </c>
      <c r="P74" s="69"/>
    </row>
    <row r="75" spans="2:16" ht="15.75" thickBot="1">
      <c r="B75" s="414" t="s">
        <v>161</v>
      </c>
      <c r="C75" s="65"/>
      <c r="D75" s="76"/>
      <c r="E75" s="76"/>
      <c r="F75" s="66">
        <v>4.8</v>
      </c>
      <c r="G75" s="282"/>
      <c r="H75" s="76"/>
      <c r="I75" s="76"/>
      <c r="J75" s="66">
        <v>4.8</v>
      </c>
      <c r="K75" s="67"/>
      <c r="L75" s="194"/>
      <c r="M75" s="194"/>
      <c r="N75" s="71">
        <v>1</v>
      </c>
      <c r="O75" s="74"/>
      <c r="P75" s="75"/>
    </row>
    <row r="76" spans="2:16" ht="15">
      <c r="D76" s="76">
        <v>7.5211666053796051</v>
      </c>
      <c r="E76" s="76">
        <v>7.5211666053796051</v>
      </c>
      <c r="F76" s="341">
        <v>5.5</v>
      </c>
      <c r="H76" s="76">
        <v>7.3611989258602879</v>
      </c>
      <c r="I76" s="76">
        <v>7.3611989258602879</v>
      </c>
      <c r="J76" s="341">
        <v>5.5</v>
      </c>
      <c r="L76" s="194">
        <v>0.55860051169590641</v>
      </c>
      <c r="M76" s="194">
        <v>0.55860051169590641</v>
      </c>
      <c r="N76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65:F65"/>
    <mergeCell ref="G65:J65"/>
    <mergeCell ref="K65:N65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974" priority="75" operator="notBetween">
      <formula>#REF!</formula>
      <formula>#REF!</formula>
    </cfRule>
  </conditionalFormatting>
  <conditionalFormatting sqref="C51">
    <cfRule type="cellIs" dxfId="973" priority="203" stopIfTrue="1" operator="greaterThan">
      <formula>100</formula>
    </cfRule>
    <cfRule type="cellIs" dxfId="972" priority="202" stopIfTrue="1" operator="lessThan">
      <formula>96</formula>
    </cfRule>
  </conditionalFormatting>
  <conditionalFormatting sqref="C67:C71">
    <cfRule type="cellIs" dxfId="971" priority="160" stopIfTrue="1" operator="lessThanOrEqual">
      <formula>0</formula>
    </cfRule>
  </conditionalFormatting>
  <conditionalFormatting sqref="C67:C75">
    <cfRule type="cellIs" dxfId="970" priority="159" stopIfTrue="1" operator="greaterThan">
      <formula>$F67</formula>
    </cfRule>
  </conditionalFormatting>
  <conditionalFormatting sqref="C68">
    <cfRule type="cellIs" dxfId="969" priority="206" stopIfTrue="1" operator="greaterThan">
      <formula>$F67</formula>
    </cfRule>
  </conditionalFormatting>
  <conditionalFormatting sqref="C72">
    <cfRule type="cellIs" dxfId="968" priority="99" stopIfTrue="1" operator="lessThanOrEqual">
      <formula>0</formula>
    </cfRule>
    <cfRule type="cellIs" dxfId="967" priority="100" stopIfTrue="1" operator="greaterThan">
      <formula>$F71</formula>
    </cfRule>
  </conditionalFormatting>
  <conditionalFormatting sqref="C78:C82">
    <cfRule type="cellIs" dxfId="966" priority="194" stopIfTrue="1" operator="lessThanOrEqual">
      <formula>0</formula>
    </cfRule>
  </conditionalFormatting>
  <conditionalFormatting sqref="C79:C82">
    <cfRule type="cellIs" dxfId="965" priority="193" stopIfTrue="1" operator="greaterThan">
      <formula>$F$78</formula>
    </cfRule>
  </conditionalFormatting>
  <conditionalFormatting sqref="C84">
    <cfRule type="cellIs" dxfId="964" priority="196" stopIfTrue="1" operator="lessThanOrEqual">
      <formula>0</formula>
    </cfRule>
    <cfRule type="cellIs" dxfId="963" priority="195" stopIfTrue="1" operator="greaterThan">
      <formula>$F$78</formula>
    </cfRule>
  </conditionalFormatting>
  <conditionalFormatting sqref="C78:D78 D80:D86">
    <cfRule type="cellIs" dxfId="962" priority="188" stopIfTrue="1" operator="greaterThan">
      <formula>4.5</formula>
    </cfRule>
  </conditionalFormatting>
  <conditionalFormatting sqref="D47:D48">
    <cfRule type="cellIs" dxfId="961" priority="76" operator="notBetween">
      <formula>#REF!</formula>
      <formula>#REF!</formula>
    </cfRule>
  </conditionalFormatting>
  <conditionalFormatting sqref="D67:D74">
    <cfRule type="cellIs" dxfId="960" priority="168" stopIfTrue="1" operator="lessThanOrEqual">
      <formula>0</formula>
    </cfRule>
  </conditionalFormatting>
  <conditionalFormatting sqref="D78 D80:D86">
    <cfRule type="cellIs" dxfId="959" priority="189" stopIfTrue="1" operator="lessThanOrEqual">
      <formula>0</formula>
    </cfRule>
  </conditionalFormatting>
  <conditionalFormatting sqref="D79">
    <cfRule type="cellIs" dxfId="958" priority="180" stopIfTrue="1" operator="greaterThan">
      <formula>$F$78</formula>
    </cfRule>
    <cfRule type="cellIs" dxfId="957" priority="181" stopIfTrue="1" operator="lessThanOrEqual">
      <formula>0</formula>
    </cfRule>
  </conditionalFormatting>
  <conditionalFormatting sqref="D67:E76">
    <cfRule type="cellIs" dxfId="956" priority="157" stopIfTrue="1" operator="greaterThan">
      <formula>$F67</formula>
    </cfRule>
  </conditionalFormatting>
  <conditionalFormatting sqref="D75:E75">
    <cfRule type="cellIs" dxfId="955" priority="167" stopIfTrue="1" operator="lessThanOrEqual">
      <formula>0</formula>
    </cfRule>
  </conditionalFormatting>
  <conditionalFormatting sqref="D76:E76">
    <cfRule type="cellIs" dxfId="954" priority="158" stopIfTrue="1" operator="lessThanOrEqual">
      <formula>0</formula>
    </cfRule>
  </conditionalFormatting>
  <conditionalFormatting sqref="E10:E22">
    <cfRule type="cellIs" dxfId="953" priority="34" operator="lessThan">
      <formula>48</formula>
    </cfRule>
  </conditionalFormatting>
  <conditionalFormatting sqref="E50 E51:F51">
    <cfRule type="cellIs" dxfId="952" priority="185" stopIfTrue="1" operator="greaterThan">
      <formula>100</formula>
    </cfRule>
  </conditionalFormatting>
  <conditionalFormatting sqref="E51">
    <cfRule type="cellIs" dxfId="951" priority="182" stopIfTrue="1" operator="lessThan">
      <formula>96.8</formula>
    </cfRule>
    <cfRule type="cellIs" dxfId="950" priority="183" stopIfTrue="1" operator="greaterThan">
      <formula>100</formula>
    </cfRule>
  </conditionalFormatting>
  <conditionalFormatting sqref="E67:E74">
    <cfRule type="cellIs" dxfId="949" priority="13" stopIfTrue="1" operator="lessThanOrEqual">
      <formula>0</formula>
    </cfRule>
  </conditionalFormatting>
  <conditionalFormatting sqref="E67:E75">
    <cfRule type="cellIs" dxfId="948" priority="164" stopIfTrue="1" operator="lessThanOrEqual">
      <formula>0</formula>
    </cfRule>
  </conditionalFormatting>
  <conditionalFormatting sqref="E78:E86">
    <cfRule type="cellIs" dxfId="947" priority="175" stopIfTrue="1" operator="lessThanOrEqual">
      <formula>0</formula>
    </cfRule>
    <cfRule type="cellIs" dxfId="946" priority="174" stopIfTrue="1" operator="greaterThan">
      <formula>4.5</formula>
    </cfRule>
  </conditionalFormatting>
  <conditionalFormatting sqref="E51:F51 E50">
    <cfRule type="cellIs" dxfId="945" priority="184" stopIfTrue="1" operator="lessThan">
      <formula>96.5</formula>
    </cfRule>
  </conditionalFormatting>
  <conditionalFormatting sqref="F10:F22">
    <cfRule type="cellIs" dxfId="944" priority="35" operator="greaterThan">
      <formula>60</formula>
    </cfRule>
  </conditionalFormatting>
  <conditionalFormatting sqref="F51">
    <cfRule type="cellIs" dxfId="943" priority="200" stopIfTrue="1" operator="lessThan">
      <formula>96.8</formula>
    </cfRule>
    <cfRule type="cellIs" dxfId="942" priority="201" stopIfTrue="1" operator="greaterThan">
      <formula>100</formula>
    </cfRule>
  </conditionalFormatting>
  <conditionalFormatting sqref="F76">
    <cfRule type="cellIs" dxfId="941" priority="166" stopIfTrue="1" operator="lessThanOrEqual">
      <formula>0</formula>
    </cfRule>
    <cfRule type="cellIs" dxfId="940" priority="165" stopIfTrue="1" operator="greaterThan">
      <formula>$F76</formula>
    </cfRule>
  </conditionalFormatting>
  <conditionalFormatting sqref="G21">
    <cfRule type="expression" dxfId="939" priority="37">
      <formula>IF(+(IF(G21&lt;S21,0,IF(G21&gt;T21,0,1)))=0,1)</formula>
    </cfRule>
  </conditionalFormatting>
  <conditionalFormatting sqref="G67:G68 C73:C75">
    <cfRule type="cellIs" dxfId="938" priority="170" stopIfTrue="1" operator="lessThanOrEqual">
      <formula>0</formula>
    </cfRule>
  </conditionalFormatting>
  <conditionalFormatting sqref="G67:G68">
    <cfRule type="cellIs" dxfId="937" priority="169" stopIfTrue="1" operator="greaterThan">
      <formula>$F67</formula>
    </cfRule>
    <cfRule type="cellIs" dxfId="936" priority="162" stopIfTrue="1" operator="lessThanOrEqual">
      <formula>0</formula>
    </cfRule>
    <cfRule type="cellIs" dxfId="935" priority="161" stopIfTrue="1" operator="greaterThan">
      <formula>$F67</formula>
    </cfRule>
  </conditionalFormatting>
  <conditionalFormatting sqref="G69">
    <cfRule type="cellIs" dxfId="934" priority="205" stopIfTrue="1" operator="lessThanOrEqual">
      <formula>0</formula>
    </cfRule>
    <cfRule type="cellIs" dxfId="933" priority="204" stopIfTrue="1" operator="greaterThan">
      <formula>$F68</formula>
    </cfRule>
  </conditionalFormatting>
  <conditionalFormatting sqref="G70">
    <cfRule type="cellIs" dxfId="932" priority="71" stopIfTrue="1" operator="greaterThan">
      <formula>$F70</formula>
    </cfRule>
    <cfRule type="cellIs" dxfId="931" priority="73" stopIfTrue="1" operator="greaterThan">
      <formula>$F70</formula>
    </cfRule>
    <cfRule type="cellIs" dxfId="930" priority="72" stopIfTrue="1" operator="lessThanOrEqual">
      <formula>0</formula>
    </cfRule>
    <cfRule type="cellIs" dxfId="929" priority="74" stopIfTrue="1" operator="lessThanOrEqual">
      <formula>0</formula>
    </cfRule>
  </conditionalFormatting>
  <conditionalFormatting sqref="G71:G75">
    <cfRule type="cellIs" dxfId="928" priority="172" stopIfTrue="1" operator="lessThanOrEqual">
      <formula>0</formula>
    </cfRule>
    <cfRule type="cellIs" dxfId="927" priority="171" stopIfTrue="1" operator="greaterThan">
      <formula>$J71</formula>
    </cfRule>
  </conditionalFormatting>
  <conditionalFormatting sqref="G80:G85 C83 C85">
    <cfRule type="cellIs" dxfId="926" priority="198" stopIfTrue="1" operator="lessThanOrEqual">
      <formula>0</formula>
    </cfRule>
    <cfRule type="cellIs" dxfId="925" priority="197" stopIfTrue="1" operator="greaterThan">
      <formula>4.5</formula>
    </cfRule>
  </conditionalFormatting>
  <conditionalFormatting sqref="G10:H16 G17:G20 H17:H21 G22:H22">
    <cfRule type="expression" dxfId="924" priority="68">
      <formula>IF(+(IF(G10&lt;#REF!,0,IF(G10&gt;#REF!,0,1)))=0,1)</formula>
    </cfRule>
  </conditionalFormatting>
  <conditionalFormatting sqref="G79:H79">
    <cfRule type="cellIs" dxfId="923" priority="178" stopIfTrue="1" operator="greaterThan">
      <formula>$F$78</formula>
    </cfRule>
    <cfRule type="cellIs" dxfId="922" priority="179" stopIfTrue="1" operator="lessThanOrEqual">
      <formula>0</formula>
    </cfRule>
  </conditionalFormatting>
  <conditionalFormatting sqref="H36:H37 H50">
    <cfRule type="cellIs" dxfId="921" priority="176" stopIfTrue="1" operator="greaterThan">
      <formula>0</formula>
    </cfRule>
  </conditionalFormatting>
  <conditionalFormatting sqref="H54:H55">
    <cfRule type="cellIs" dxfId="920" priority="15" stopIfTrue="1" operator="lessThanOrEqual">
      <formula>0</formula>
    </cfRule>
    <cfRule type="cellIs" dxfId="919" priority="16" stopIfTrue="1" operator="greaterThan">
      <formula>#REF!</formula>
    </cfRule>
    <cfRule type="cellIs" dxfId="918" priority="24" stopIfTrue="1" operator="greaterThan">
      <formula>$F$22</formula>
    </cfRule>
    <cfRule type="cellIs" dxfId="917" priority="25" stopIfTrue="1" operator="lessThanOrEqual">
      <formula>0</formula>
    </cfRule>
    <cfRule type="cellIs" dxfId="916" priority="26" stopIfTrue="1" operator="greaterThan">
      <formula>#REF!</formula>
    </cfRule>
  </conditionalFormatting>
  <conditionalFormatting sqref="H54:H56">
    <cfRule type="cellIs" dxfId="915" priority="27" stopIfTrue="1" operator="lessThanOrEqual">
      <formula>0</formula>
    </cfRule>
  </conditionalFormatting>
  <conditionalFormatting sqref="H56">
    <cfRule type="cellIs" dxfId="914" priority="51" stopIfTrue="1" operator="lessThanOrEqual">
      <formula>0</formula>
    </cfRule>
    <cfRule type="cellIs" dxfId="913" priority="40" stopIfTrue="1" operator="greaterThan">
      <formula>#REF!</formula>
    </cfRule>
    <cfRule type="cellIs" dxfId="912" priority="48" stopIfTrue="1" operator="greaterThan">
      <formula>$F$22</formula>
    </cfRule>
    <cfRule type="cellIs" dxfId="911" priority="49" stopIfTrue="1" operator="lessThanOrEqual">
      <formula>0</formula>
    </cfRule>
    <cfRule type="cellIs" dxfId="910" priority="50" stopIfTrue="1" operator="greaterThan">
      <formula>#REF!</formula>
    </cfRule>
  </conditionalFormatting>
  <conditionalFormatting sqref="H57">
    <cfRule type="cellIs" dxfId="909" priority="126" stopIfTrue="1" operator="lessThanOrEqual">
      <formula>0</formula>
    </cfRule>
    <cfRule type="cellIs" dxfId="908" priority="127" stopIfTrue="1" operator="greaterThan">
      <formula>#REF!</formula>
    </cfRule>
    <cfRule type="cellIs" dxfId="907" priority="128" stopIfTrue="1" operator="lessThanOrEqual">
      <formula>0</formula>
    </cfRule>
    <cfRule type="cellIs" dxfId="906" priority="125" stopIfTrue="1" operator="greaterThan">
      <formula>$F$23</formula>
    </cfRule>
    <cfRule type="cellIs" dxfId="905" priority="117" stopIfTrue="1" operator="greaterThan">
      <formula>#REF!</formula>
    </cfRule>
    <cfRule type="cellIs" dxfId="904" priority="116" stopIfTrue="1" operator="lessThanOrEqual">
      <formula>0</formula>
    </cfRule>
  </conditionalFormatting>
  <conditionalFormatting sqref="H58">
    <cfRule type="cellIs" dxfId="903" priority="62" stopIfTrue="1" operator="greaterThan">
      <formula>$F$70</formula>
    </cfRule>
    <cfRule type="cellIs" dxfId="902" priority="53" stopIfTrue="1" operator="lessThanOrEqual">
      <formula>0</formula>
    </cfRule>
    <cfRule type="cellIs" dxfId="901" priority="54" stopIfTrue="1" operator="greaterThan">
      <formula>$F$67</formula>
    </cfRule>
    <cfRule type="cellIs" dxfId="900" priority="63" stopIfTrue="1" operator="lessThanOrEqual">
      <formula>0</formula>
    </cfRule>
    <cfRule type="cellIs" dxfId="899" priority="65" stopIfTrue="1" operator="lessThanOrEqual">
      <formula>0</formula>
    </cfRule>
    <cfRule type="cellIs" dxfId="898" priority="64" stopIfTrue="1" operator="greaterThan">
      <formula>$F$68</formula>
    </cfRule>
  </conditionalFormatting>
  <conditionalFormatting sqref="H59:H60">
    <cfRule type="cellIs" dxfId="897" priority="114" stopIfTrue="1" operator="lessThanOrEqual">
      <formula>0</formula>
    </cfRule>
    <cfRule type="cellIs" dxfId="896" priority="113" stopIfTrue="1" operator="greaterThan">
      <formula>#REF!</formula>
    </cfRule>
    <cfRule type="cellIs" dxfId="895" priority="103" stopIfTrue="1" operator="greaterThan">
      <formula>#REF!</formula>
    </cfRule>
    <cfRule type="cellIs" dxfId="894" priority="111" stopIfTrue="1" operator="greaterThan">
      <formula>$F$22</formula>
    </cfRule>
    <cfRule type="cellIs" dxfId="893" priority="112" stopIfTrue="1" operator="lessThanOrEqual">
      <formula>0</formula>
    </cfRule>
    <cfRule type="cellIs" dxfId="892" priority="102" stopIfTrue="1" operator="lessThanOrEqual">
      <formula>0</formula>
    </cfRule>
  </conditionalFormatting>
  <conditionalFormatting sqref="H61">
    <cfRule type="cellIs" dxfId="891" priority="131" stopIfTrue="1" operator="lessThanOrEqual">
      <formula>0</formula>
    </cfRule>
    <cfRule type="cellIs" dxfId="890" priority="132" stopIfTrue="1" operator="greaterThan">
      <formula>$F$35</formula>
    </cfRule>
    <cfRule type="cellIs" dxfId="889" priority="143" stopIfTrue="1" operator="lessThanOrEqual">
      <formula>0</formula>
    </cfRule>
    <cfRule type="cellIs" dxfId="888" priority="140" stopIfTrue="1" operator="greaterThan">
      <formula>$F$38</formula>
    </cfRule>
    <cfRule type="cellIs" dxfId="887" priority="141" stopIfTrue="1" operator="lessThanOrEqual">
      <formula>0</formula>
    </cfRule>
    <cfRule type="cellIs" dxfId="886" priority="142" stopIfTrue="1" operator="greaterThan">
      <formula>$F$36</formula>
    </cfRule>
  </conditionalFormatting>
  <conditionalFormatting sqref="H62:H63">
    <cfRule type="cellIs" dxfId="885" priority="87" stopIfTrue="1" operator="greaterThan">
      <formula>#REF!</formula>
    </cfRule>
    <cfRule type="cellIs" dxfId="884" priority="96" stopIfTrue="1" operator="lessThanOrEqual">
      <formula>0</formula>
    </cfRule>
    <cfRule type="cellIs" dxfId="883" priority="95" stopIfTrue="1" operator="greaterThan">
      <formula>$F$22</formula>
    </cfRule>
    <cfRule type="cellIs" dxfId="882" priority="98" stopIfTrue="1" operator="lessThanOrEqual">
      <formula>0</formula>
    </cfRule>
    <cfRule type="cellIs" dxfId="881" priority="97" stopIfTrue="1" operator="greaterThan">
      <formula>#REF!</formula>
    </cfRule>
    <cfRule type="cellIs" dxfId="880" priority="86" stopIfTrue="1" operator="lessThanOrEqual">
      <formula>0</formula>
    </cfRule>
  </conditionalFormatting>
  <conditionalFormatting sqref="H78 H80:H86">
    <cfRule type="cellIs" dxfId="879" priority="191" stopIfTrue="1" operator="lessThanOrEqual">
      <formula>0</formula>
    </cfRule>
    <cfRule type="cellIs" dxfId="878" priority="190" stopIfTrue="1" operator="greaterThan">
      <formula>4.5</formula>
    </cfRule>
  </conditionalFormatting>
  <conditionalFormatting sqref="H54:I55">
    <cfRule type="cellIs" dxfId="877" priority="17" stopIfTrue="1" operator="lessThanOrEqual">
      <formula>0</formula>
    </cfRule>
  </conditionalFormatting>
  <conditionalFormatting sqref="H54:I56">
    <cfRule type="cellIs" dxfId="876" priority="14" stopIfTrue="1" operator="greaterThan">
      <formula>#REF!</formula>
    </cfRule>
  </conditionalFormatting>
  <conditionalFormatting sqref="H56:I56">
    <cfRule type="cellIs" dxfId="875" priority="41" stopIfTrue="1" operator="lessThanOrEqual">
      <formula>0</formula>
    </cfRule>
  </conditionalFormatting>
  <conditionalFormatting sqref="H57:I57">
    <cfRule type="cellIs" dxfId="874" priority="118" stopIfTrue="1" operator="lessThanOrEqual">
      <formula>0</formula>
    </cfRule>
    <cfRule type="cellIs" dxfId="873" priority="115" stopIfTrue="1" operator="greaterThan">
      <formula>$F$22</formula>
    </cfRule>
  </conditionalFormatting>
  <conditionalFormatting sqref="H58:I58">
    <cfRule type="cellIs" dxfId="872" priority="55" stopIfTrue="1" operator="lessThanOrEqual">
      <formula>0</formula>
    </cfRule>
    <cfRule type="cellIs" dxfId="871" priority="52" stopIfTrue="1" operator="greaterThan">
      <formula>$F$69</formula>
    </cfRule>
  </conditionalFormatting>
  <conditionalFormatting sqref="H59:I60">
    <cfRule type="cellIs" dxfId="870" priority="101" stopIfTrue="1" operator="greaterThan">
      <formula>#REF!</formula>
    </cfRule>
    <cfRule type="cellIs" dxfId="869" priority="104" stopIfTrue="1" operator="lessThanOrEqual">
      <formula>0</formula>
    </cfRule>
  </conditionalFormatting>
  <conditionalFormatting sqref="H61:I61">
    <cfRule type="cellIs" dxfId="868" priority="133" stopIfTrue="1" operator="lessThanOrEqual">
      <formula>0</formula>
    </cfRule>
    <cfRule type="cellIs" dxfId="867" priority="130" stopIfTrue="1" operator="greaterThan">
      <formula>$F$37</formula>
    </cfRule>
  </conditionalFormatting>
  <conditionalFormatting sqref="H62:I63">
    <cfRule type="cellIs" dxfId="866" priority="88" stopIfTrue="1" operator="lessThanOrEqual">
      <formula>0</formula>
    </cfRule>
    <cfRule type="cellIs" dxfId="865" priority="85" stopIfTrue="1" operator="greaterThan">
      <formula>#REF!</formula>
    </cfRule>
  </conditionalFormatting>
  <conditionalFormatting sqref="H67:I74">
    <cfRule type="cellIs" dxfId="864" priority="66" stopIfTrue="1" operator="greaterThan">
      <formula>$J67</formula>
    </cfRule>
    <cfRule type="cellIs" dxfId="863" priority="67" stopIfTrue="1" operator="lessThanOrEqual">
      <formula>0</formula>
    </cfRule>
  </conditionalFormatting>
  <conditionalFormatting sqref="H75:I75">
    <cfRule type="cellIs" dxfId="862" priority="163" operator="greaterThan">
      <formula>5.3</formula>
    </cfRule>
  </conditionalFormatting>
  <conditionalFormatting sqref="H76:I76">
    <cfRule type="cellIs" dxfId="861" priority="155" stopIfTrue="1" operator="greaterThan">
      <formula>$J76</formula>
    </cfRule>
    <cfRule type="cellIs" dxfId="860" priority="156" stopIfTrue="1" operator="lessThanOrEqual">
      <formula>0</formula>
    </cfRule>
  </conditionalFormatting>
  <conditionalFormatting sqref="I54:I55">
    <cfRule type="cellIs" dxfId="859" priority="19" stopIfTrue="1" operator="lessThanOrEqual">
      <formula>0</formula>
    </cfRule>
    <cfRule type="cellIs" dxfId="858" priority="20" stopIfTrue="1" operator="greaterThan">
      <formula>#REF!</formula>
    </cfRule>
    <cfRule type="cellIs" dxfId="857" priority="21" stopIfTrue="1" operator="lessThanOrEqual">
      <formula>0</formula>
    </cfRule>
    <cfRule type="cellIs" dxfId="856" priority="22" stopIfTrue="1" operator="greaterThan">
      <formula>#REF!</formula>
    </cfRule>
    <cfRule type="cellIs" dxfId="855" priority="23" stopIfTrue="1" operator="lessThanOrEqual">
      <formula>0</formula>
    </cfRule>
    <cfRule type="cellIs" dxfId="854" priority="18" stopIfTrue="1" operator="greaterThan">
      <formula>#REF!</formula>
    </cfRule>
  </conditionalFormatting>
  <conditionalFormatting sqref="I56">
    <cfRule type="cellIs" dxfId="853" priority="46" stopIfTrue="1" operator="greaterThan">
      <formula>#REF!</formula>
    </cfRule>
    <cfRule type="cellIs" dxfId="852" priority="45" stopIfTrue="1" operator="lessThanOrEqual">
      <formula>0</formula>
    </cfRule>
    <cfRule type="cellIs" dxfId="851" priority="44" stopIfTrue="1" operator="greaterThan">
      <formula>#REF!</formula>
    </cfRule>
    <cfRule type="cellIs" dxfId="850" priority="47" stopIfTrue="1" operator="lessThanOrEqual">
      <formula>0</formula>
    </cfRule>
    <cfRule type="cellIs" dxfId="849" priority="42" stopIfTrue="1" operator="greaterThan">
      <formula>#REF!</formula>
    </cfRule>
    <cfRule type="cellIs" dxfId="848" priority="43" stopIfTrue="1" operator="lessThanOrEqual">
      <formula>0</formula>
    </cfRule>
  </conditionalFormatting>
  <conditionalFormatting sqref="I57">
    <cfRule type="cellIs" dxfId="847" priority="119" stopIfTrue="1" operator="greaterThan">
      <formula>#REF!</formula>
    </cfRule>
    <cfRule type="cellIs" dxfId="846" priority="121" stopIfTrue="1" operator="greaterThan">
      <formula>$F$22</formula>
    </cfRule>
    <cfRule type="cellIs" dxfId="845" priority="122" stopIfTrue="1" operator="lessThanOrEqual">
      <formula>0</formula>
    </cfRule>
    <cfRule type="cellIs" dxfId="844" priority="123" stopIfTrue="1" operator="greaterThan">
      <formula>#REF!</formula>
    </cfRule>
    <cfRule type="cellIs" dxfId="843" priority="124" stopIfTrue="1" operator="lessThanOrEqual">
      <formula>0</formula>
    </cfRule>
    <cfRule type="cellIs" dxfId="842" priority="120" stopIfTrue="1" operator="lessThanOrEqual">
      <formula>0</formula>
    </cfRule>
  </conditionalFormatting>
  <conditionalFormatting sqref="I58">
    <cfRule type="cellIs" dxfId="841" priority="61" stopIfTrue="1" operator="lessThanOrEqual">
      <formula>0</formula>
    </cfRule>
    <cfRule type="cellIs" dxfId="840" priority="60" stopIfTrue="1" operator="greaterThan">
      <formula>$F$67</formula>
    </cfRule>
    <cfRule type="cellIs" dxfId="839" priority="56" stopIfTrue="1" operator="greaterThan">
      <formula>$F$67</formula>
    </cfRule>
    <cfRule type="cellIs" dxfId="838" priority="57" stopIfTrue="1" operator="lessThanOrEqual">
      <formula>0</formula>
    </cfRule>
    <cfRule type="cellIs" dxfId="837" priority="58" stopIfTrue="1" operator="greaterThan">
      <formula>$F$69</formula>
    </cfRule>
    <cfRule type="cellIs" dxfId="836" priority="59" stopIfTrue="1" operator="lessThanOrEqual">
      <formula>0</formula>
    </cfRule>
  </conditionalFormatting>
  <conditionalFormatting sqref="I59:I60">
    <cfRule type="cellIs" dxfId="835" priority="105" stopIfTrue="1" operator="greaterThan">
      <formula>#REF!</formula>
    </cfRule>
    <cfRule type="cellIs" dxfId="834" priority="110" stopIfTrue="1" operator="lessThanOrEqual">
      <formula>0</formula>
    </cfRule>
    <cfRule type="cellIs" dxfId="833" priority="106" stopIfTrue="1" operator="lessThanOrEqual">
      <formula>0</formula>
    </cfRule>
    <cfRule type="cellIs" dxfId="832" priority="107" stopIfTrue="1" operator="greaterThan">
      <formula>#REF!</formula>
    </cfRule>
    <cfRule type="cellIs" dxfId="831" priority="108" stopIfTrue="1" operator="lessThanOrEqual">
      <formula>0</formula>
    </cfRule>
    <cfRule type="cellIs" dxfId="830" priority="109" stopIfTrue="1" operator="greaterThan">
      <formula>#REF!</formula>
    </cfRule>
  </conditionalFormatting>
  <conditionalFormatting sqref="I61">
    <cfRule type="cellIs" dxfId="829" priority="138" stopIfTrue="1" operator="greaterThan">
      <formula>$F$35</formula>
    </cfRule>
    <cfRule type="cellIs" dxfId="828" priority="139" stopIfTrue="1" operator="lessThanOrEqual">
      <formula>0</formula>
    </cfRule>
    <cfRule type="cellIs" dxfId="827" priority="134" stopIfTrue="1" operator="greaterThan">
      <formula>$F$35</formula>
    </cfRule>
    <cfRule type="cellIs" dxfId="826" priority="135" stopIfTrue="1" operator="lessThanOrEqual">
      <formula>0</formula>
    </cfRule>
    <cfRule type="cellIs" dxfId="825" priority="136" stopIfTrue="1" operator="greaterThan">
      <formula>$F$37</formula>
    </cfRule>
    <cfRule type="cellIs" dxfId="824" priority="137" stopIfTrue="1" operator="lessThanOrEqual">
      <formula>0</formula>
    </cfRule>
  </conditionalFormatting>
  <conditionalFormatting sqref="I62:I63">
    <cfRule type="cellIs" dxfId="823" priority="90" stopIfTrue="1" operator="lessThanOrEqual">
      <formula>0</formula>
    </cfRule>
    <cfRule type="cellIs" dxfId="822" priority="94" stopIfTrue="1" operator="lessThanOrEqual">
      <formula>0</formula>
    </cfRule>
    <cfRule type="cellIs" dxfId="821" priority="91" stopIfTrue="1" operator="greaterThan">
      <formula>#REF!</formula>
    </cfRule>
    <cfRule type="cellIs" dxfId="820" priority="89" stopIfTrue="1" operator="greaterThan">
      <formula>#REF!</formula>
    </cfRule>
    <cfRule type="cellIs" dxfId="819" priority="93" stopIfTrue="1" operator="greaterThan">
      <formula>#REF!</formula>
    </cfRule>
    <cfRule type="cellIs" dxfId="818" priority="92" stopIfTrue="1" operator="lessThanOrEqual">
      <formula>0</formula>
    </cfRule>
  </conditionalFormatting>
  <conditionalFormatting sqref="I78:I86">
    <cfRule type="cellIs" dxfId="817" priority="186" stopIfTrue="1" operator="greaterThan">
      <formula>4.5</formula>
    </cfRule>
    <cfRule type="cellIs" dxfId="816" priority="187" stopIfTrue="1" operator="lessThanOrEqual">
      <formula>0</formula>
    </cfRule>
  </conditionalFormatting>
  <conditionalFormatting sqref="I10:J22">
    <cfRule type="cellIs" dxfId="815" priority="30" operator="lessThan">
      <formula>97.9</formula>
    </cfRule>
  </conditionalFormatting>
  <conditionalFormatting sqref="J27">
    <cfRule type="cellIs" dxfId="814" priority="145" stopIfTrue="1" operator="lessThan">
      <formula>96.8</formula>
    </cfRule>
    <cfRule type="cellIs" dxfId="813" priority="146" stopIfTrue="1" operator="greaterThan">
      <formula>100</formula>
    </cfRule>
    <cfRule type="cellIs" dxfId="812" priority="147" operator="lessThan">
      <formula>98</formula>
    </cfRule>
  </conditionalFormatting>
  <conditionalFormatting sqref="J27:J29">
    <cfRule type="cellIs" dxfId="811" priority="144" operator="lessThan">
      <formula>97.4</formula>
    </cfRule>
  </conditionalFormatting>
  <conditionalFormatting sqref="J30:J31">
    <cfRule type="cellIs" dxfId="810" priority="148" operator="lessThan">
      <formula>98</formula>
    </cfRule>
  </conditionalFormatting>
  <conditionalFormatting sqref="J32:J33">
    <cfRule type="cellIs" dxfId="809" priority="149" stopIfTrue="1" operator="lessThan">
      <formula>96.8</formula>
    </cfRule>
    <cfRule type="cellIs" dxfId="808" priority="150" stopIfTrue="1" operator="greaterThan">
      <formula>100</formula>
    </cfRule>
  </conditionalFormatting>
  <conditionalFormatting sqref="J32:J34">
    <cfRule type="cellIs" dxfId="807" priority="151" operator="lessThan">
      <formula>98</formula>
    </cfRule>
  </conditionalFormatting>
  <conditionalFormatting sqref="J63">
    <cfRule type="cellIs" dxfId="806" priority="77" stopIfTrue="1" operator="greaterThan">
      <formula>#REF!</formula>
    </cfRule>
    <cfRule type="cellIs" dxfId="805" priority="79" stopIfTrue="1" operator="greaterThan">
      <formula>#REF!</formula>
    </cfRule>
    <cfRule type="cellIs" dxfId="804" priority="84" stopIfTrue="1" operator="lessThanOrEqual">
      <formula>0</formula>
    </cfRule>
    <cfRule type="cellIs" dxfId="803" priority="83" stopIfTrue="1" operator="greaterThan">
      <formula>#REF!</formula>
    </cfRule>
    <cfRule type="cellIs" dxfId="802" priority="82" stopIfTrue="1" operator="lessThanOrEqual">
      <formula>0</formula>
    </cfRule>
    <cfRule type="cellIs" dxfId="801" priority="81" stopIfTrue="1" operator="greaterThan">
      <formula>#REF!</formula>
    </cfRule>
    <cfRule type="cellIs" dxfId="800" priority="80" stopIfTrue="1" operator="lessThanOrEqual">
      <formula>0</formula>
    </cfRule>
    <cfRule type="cellIs" dxfId="799" priority="78" stopIfTrue="1" operator="lessThanOrEqual">
      <formula>0</formula>
    </cfRule>
  </conditionalFormatting>
  <conditionalFormatting sqref="J76">
    <cfRule type="cellIs" dxfId="798" priority="152" stopIfTrue="1" operator="greaterThan">
      <formula>$F76</formula>
    </cfRule>
    <cfRule type="cellIs" dxfId="797" priority="153" stopIfTrue="1" operator="lessThanOrEqual">
      <formula>0</formula>
    </cfRule>
  </conditionalFormatting>
  <conditionalFormatting sqref="K10:K22">
    <cfRule type="cellIs" dxfId="796" priority="32" operator="lessThan">
      <formula>4</formula>
    </cfRule>
    <cfRule type="cellIs" dxfId="795" priority="31" operator="greaterThan">
      <formula>6</formula>
    </cfRule>
    <cfRule type="cellIs" dxfId="794" priority="33" operator="greaterThan">
      <formula>6.4</formula>
    </cfRule>
  </conditionalFormatting>
  <conditionalFormatting sqref="K54:K63">
    <cfRule type="cellIs" dxfId="793" priority="28" stopIfTrue="1" operator="lessThan">
      <formula>100%</formula>
    </cfRule>
  </conditionalFormatting>
  <conditionalFormatting sqref="K78:K83">
    <cfRule type="cellIs" dxfId="792" priority="192" stopIfTrue="1" operator="lessThan">
      <formula>100%</formula>
    </cfRule>
  </conditionalFormatting>
  <conditionalFormatting sqref="K85:K86">
    <cfRule type="cellIs" dxfId="791" priority="199" stopIfTrue="1" operator="lessThan">
      <formula>100%</formula>
    </cfRule>
  </conditionalFormatting>
  <conditionalFormatting sqref="K67:N75">
    <cfRule type="cellIs" dxfId="790" priority="129" stopIfTrue="1" operator="lessThan">
      <formula>100%</formula>
    </cfRule>
  </conditionalFormatting>
  <conditionalFormatting sqref="L10:L22">
    <cfRule type="cellIs" dxfId="789" priority="39" operator="greaterThan">
      <formula>65</formula>
    </cfRule>
    <cfRule type="cellIs" dxfId="788" priority="38" operator="between">
      <formula>61</formula>
      <formula>65</formula>
    </cfRule>
  </conditionalFormatting>
  <conditionalFormatting sqref="L25:M36">
    <cfRule type="cellIs" dxfId="787" priority="69" operator="lessThan">
      <formula>97.95</formula>
    </cfRule>
  </conditionalFormatting>
  <conditionalFormatting sqref="L40:N40">
    <cfRule type="cellIs" dxfId="786" priority="70" operator="notEqual">
      <formula>#REF!</formula>
    </cfRule>
  </conditionalFormatting>
  <conditionalFormatting sqref="L76:N76">
    <cfRule type="cellIs" dxfId="785" priority="154" stopIfTrue="1" operator="lessThan">
      <formula>100%</formula>
    </cfRule>
  </conditionalFormatting>
  <conditionalFormatting sqref="L78:N86">
    <cfRule type="cellIs" dxfId="784" priority="177" stopIfTrue="1" operator="lessThan">
      <formula>100%</formula>
    </cfRule>
  </conditionalFormatting>
  <conditionalFormatting sqref="M10:M21">
    <cfRule type="expression" dxfId="783" priority="36">
      <formula>IF(+(IF(M10&lt;U10,0,IF(M10&gt;V10,0,1)))=0,1)</formula>
    </cfRule>
  </conditionalFormatting>
  <conditionalFormatting sqref="M22:N22">
    <cfRule type="expression" dxfId="782" priority="207">
      <formula>IF(+(IF(M22&lt;#REF!,0,IF(M22&gt;#REF!,0,1)))=0,1)</formula>
    </cfRule>
  </conditionalFormatting>
  <conditionalFormatting sqref="N10:N21">
    <cfRule type="expression" dxfId="781" priority="29">
      <formula>IF(+(IF(N10&lt;W10,0,IF(N10&gt;X10,0,1)))=0,1)</formula>
    </cfRule>
  </conditionalFormatting>
  <conditionalFormatting sqref="P6">
    <cfRule type="cellIs" dxfId="780" priority="173" operator="greaterThanOrEqual">
      <formula>19</formula>
    </cfRule>
  </conditionalFormatting>
  <dataValidations count="1">
    <dataValidation type="list" allowBlank="1" showInputMessage="1" showErrorMessage="1" sqref="R8" xr:uid="{7F596D20-420F-4D78-80E5-D53CFE498520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0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8C43-E2AF-42D9-BA4A-0114A5EA6F2C}">
  <sheetPr>
    <pageSetUpPr fitToPage="1"/>
  </sheetPr>
  <dimension ref="A1:BE79"/>
  <sheetViews>
    <sheetView topLeftCell="A5" zoomScale="70" zoomScaleNormal="70" workbookViewId="0">
      <selection activeCell="G10" sqref="G10:G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46050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5">
      <c r="B10" s="33" t="s">
        <v>9</v>
      </c>
      <c r="C10" s="366" t="str">
        <f>[5]Brewhouse!$A66</f>
        <v>ST016</v>
      </c>
      <c r="D10" s="279">
        <f>[5]Brewhouse!$AB66</f>
        <v>52</v>
      </c>
      <c r="E10" s="279">
        <f>[5]Brewhouse!$AG66</f>
        <v>48.6</v>
      </c>
      <c r="F10" s="278">
        <f>[5]Brewhouse!$V66</f>
        <v>56</v>
      </c>
      <c r="G10" s="279">
        <f>[5]Brewhouse!$AE66</f>
        <v>11.6</v>
      </c>
      <c r="H10" s="396">
        <v>11.6</v>
      </c>
      <c r="I10" s="368">
        <f>[5]Brewhouse!$AS66</f>
        <v>95.866364717151924</v>
      </c>
      <c r="J10" s="368">
        <f>[5]Brewhouse!$AT66</f>
        <v>95.593530217826483</v>
      </c>
      <c r="K10" s="281">
        <f>[5]Brewhouse!$Q66</f>
        <v>3.9903846153846074</v>
      </c>
      <c r="L10" s="276">
        <f>[5]Brewhouse!$P66</f>
        <v>61</v>
      </c>
      <c r="M10" s="374">
        <f>[5]Brewhouse!$U66-[5]Brewhouse!$T66</f>
        <v>0.12430555555555556</v>
      </c>
      <c r="N10" s="370">
        <f>[5]Brewhouse!$AW66</f>
        <v>0.2722222222222222</v>
      </c>
      <c r="O10" s="371" t="str">
        <f>[5]Brewhouse!$AV66</f>
        <v>K. Benjamin</v>
      </c>
      <c r="P10" s="357"/>
      <c r="R10" s="277" t="str">
        <f t="shared" ref="R10" si="0">B10</f>
        <v>STAG</v>
      </c>
      <c r="S10" s="474">
        <f t="shared" ref="S10:S20" si="1">VLOOKUP($B10,$R$3:$X$9,2,FALSE)</f>
        <v>11.6</v>
      </c>
      <c r="T10" s="474">
        <f t="shared" ref="T10:T20" si="2">VLOOKUP($B10,$R$3:$X$9,3,FALSE)</f>
        <v>12</v>
      </c>
      <c r="U10" s="297">
        <f t="shared" ref="U10:U20" si="3">VLOOKUP($B10,$R$3:$X$9,4,FALSE)</f>
        <v>0</v>
      </c>
      <c r="V10" s="297">
        <f t="shared" ref="V10:V20" si="4">VLOOKUP($B10,$R$3:$X$9,5,FALSE)</f>
        <v>0.118055555555556</v>
      </c>
      <c r="W10" s="297">
        <f t="shared" ref="W10:W20" si="5">VLOOKUP($B10,$R$3:$X$9,6,FALSE)</f>
        <v>0.22569444444444445</v>
      </c>
      <c r="X10" s="297">
        <f t="shared" ref="X10:X20" si="6">VLOOKUP($B10,$R$3:$X$9,7,FALSE)</f>
        <v>0.2638888888888889</v>
      </c>
      <c r="Y10" s="297">
        <f t="shared" ref="Y10:Y20" si="7">VLOOKUP($B10,$R$3:$Z$9,8,FALSE)</f>
        <v>0</v>
      </c>
      <c r="Z10" s="474">
        <f t="shared" ref="Z10:Z20" si="8">VLOOKUP($B10,$R$3:$Z$9,9,FALSE)</f>
        <v>60</v>
      </c>
    </row>
    <row r="11" spans="2:29" ht="16.5" customHeight="1">
      <c r="B11" s="33" t="s">
        <v>9</v>
      </c>
      <c r="C11" s="366" t="str">
        <f>[5]Brewhouse!$A67</f>
        <v>ST017</v>
      </c>
      <c r="D11" s="279">
        <f>[5]Brewhouse!$AB67</f>
        <v>52.1</v>
      </c>
      <c r="E11" s="279">
        <f>[5]Brewhouse!$AG67</f>
        <v>50.9</v>
      </c>
      <c r="F11" s="278">
        <f>[5]Brewhouse!$V67</f>
        <v>58</v>
      </c>
      <c r="G11" s="279">
        <f>[5]Brewhouse!$AE67</f>
        <v>12</v>
      </c>
      <c r="H11" s="396">
        <v>12</v>
      </c>
      <c r="I11" s="368">
        <f>[5]Brewhouse!$AS67</f>
        <v>103.14086541165727</v>
      </c>
      <c r="J11" s="368">
        <f>[5]Brewhouse!$AT67</f>
        <v>102.84665137387978</v>
      </c>
      <c r="K11" s="281">
        <f>[5]Brewhouse!$Q67</f>
        <v>3.7907869481765859</v>
      </c>
      <c r="L11" s="276">
        <f>[5]Brewhouse!$P67</f>
        <v>61</v>
      </c>
      <c r="M11" s="374">
        <f>[5]Brewhouse!$U67-[5]Brewhouse!$T67</f>
        <v>0.12708333333333333</v>
      </c>
      <c r="N11" s="370">
        <f>[5]Brewhouse!$AW67</f>
        <v>0.29166666666666663</v>
      </c>
      <c r="O11" s="371" t="str">
        <f>[5]Brewhouse!$AV67</f>
        <v>R. Regis</v>
      </c>
      <c r="P11" s="418"/>
      <c r="R11" s="277" t="str">
        <f t="shared" ref="R11:R20" si="9">B11</f>
        <v>STAG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33" t="s">
        <v>9</v>
      </c>
      <c r="C12" s="366" t="str">
        <f>[5]Brewhouse!$A68</f>
        <v>ST018</v>
      </c>
      <c r="D12" s="279">
        <f>[5]Brewhouse!$AB68</f>
        <v>52.1</v>
      </c>
      <c r="E12" s="279">
        <f>[5]Brewhouse!$AG68</f>
        <v>49.8</v>
      </c>
      <c r="F12" s="278">
        <f>[5]Brewhouse!$V68</f>
        <v>59</v>
      </c>
      <c r="G12" s="279">
        <f>[5]Brewhouse!$AE68</f>
        <v>11.7</v>
      </c>
      <c r="H12" s="396">
        <v>11.8</v>
      </c>
      <c r="I12" s="368">
        <f>[5]Brewhouse!$AS68</f>
        <v>98.629167060203699</v>
      </c>
      <c r="J12" s="368">
        <f>[5]Brewhouse!$AT68</f>
        <v>98.348098665432886</v>
      </c>
      <c r="K12" s="281">
        <f>[5]Brewhouse!$Q68</f>
        <v>3.2149712092130458</v>
      </c>
      <c r="L12" s="276">
        <f>[5]Brewhouse!$P68</f>
        <v>60</v>
      </c>
      <c r="M12" s="374">
        <f>[5]Brewhouse!$U68-[5]Brewhouse!$T68</f>
        <v>0.12013888888888891</v>
      </c>
      <c r="N12" s="370">
        <f>[5]Brewhouse!$AW68</f>
        <v>0.26597222222222228</v>
      </c>
      <c r="O12" s="371" t="str">
        <f>[5]Brewhouse!$AV68</f>
        <v>R. Regis</v>
      </c>
      <c r="P12" s="418"/>
      <c r="R12" s="277" t="str">
        <f t="shared" si="9"/>
        <v>STAG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33" t="s">
        <v>9</v>
      </c>
      <c r="C13" s="366" t="str">
        <f>[5]Brewhouse!$A69</f>
        <v>ST019</v>
      </c>
      <c r="D13" s="279">
        <f>[5]Brewhouse!$AB69</f>
        <v>0</v>
      </c>
      <c r="E13" s="279">
        <f>[5]Brewhouse!$AG69</f>
        <v>49.1</v>
      </c>
      <c r="F13" s="278">
        <f>[5]Brewhouse!$V69</f>
        <v>59</v>
      </c>
      <c r="G13" s="279">
        <f>[5]Brewhouse!$AE69</f>
        <v>11.8</v>
      </c>
      <c r="H13" s="396">
        <v>11.8</v>
      </c>
      <c r="I13" s="368">
        <f>[5]Brewhouse!$AS69</f>
        <v>98.859186647542359</v>
      </c>
      <c r="J13" s="368">
        <f>[5]Brewhouse!$AT69</f>
        <v>98.578021949844754</v>
      </c>
      <c r="K13" s="392"/>
      <c r="L13" s="276">
        <f>[5]Brewhouse!$P69</f>
        <v>57</v>
      </c>
      <c r="M13" s="374">
        <f>[5]Brewhouse!$U69-[5]Brewhouse!$T69</f>
        <v>0.11319444444444449</v>
      </c>
      <c r="N13" s="370">
        <f>[5]Brewhouse!$AW69</f>
        <v>0.25694444444444448</v>
      </c>
      <c r="O13" s="371" t="str">
        <f>[5]Brewhouse!$AV69</f>
        <v>R.Sookram</v>
      </c>
      <c r="P13" s="418"/>
      <c r="R13" s="277" t="str">
        <f t="shared" si="9"/>
        <v>STAG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33" t="s">
        <v>9</v>
      </c>
      <c r="C14" s="366" t="str">
        <f>[5]Brewhouse!$A70</f>
        <v>ST020</v>
      </c>
      <c r="D14" s="279">
        <f>[5]Brewhouse!$AB70</f>
        <v>52.1</v>
      </c>
      <c r="E14" s="279">
        <f>[5]Brewhouse!$AG70</f>
        <v>48.7</v>
      </c>
      <c r="F14" s="278">
        <f>[5]Brewhouse!$V70</f>
        <v>59</v>
      </c>
      <c r="G14" s="279">
        <f>[5]Brewhouse!$AE70</f>
        <v>11.7</v>
      </c>
      <c r="H14" s="396">
        <v>11.7</v>
      </c>
      <c r="I14" s="368">
        <f>[5]Brewhouse!$AS70</f>
        <v>96.813810190504412</v>
      </c>
      <c r="J14" s="368">
        <f>[5]Brewhouse!$AT70</f>
        <v>96.538187888542865</v>
      </c>
      <c r="K14" s="281">
        <f>[5]Brewhouse!$Q70</f>
        <v>4.3666026871401122</v>
      </c>
      <c r="L14" s="276">
        <f>[5]Brewhouse!$P70</f>
        <v>57</v>
      </c>
      <c r="M14" s="374">
        <f>[5]Brewhouse!$U70-[5]Brewhouse!$T70</f>
        <v>0.1298611111111112</v>
      </c>
      <c r="N14" s="370">
        <f>[5]Brewhouse!$AW70</f>
        <v>0.26944444444444449</v>
      </c>
      <c r="O14" s="371" t="str">
        <f>[5]Brewhouse!$AV70</f>
        <v>R.Sookram</v>
      </c>
      <c r="P14" s="418"/>
      <c r="R14" s="277" t="str">
        <f t="shared" si="9"/>
        <v>STAG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33" t="s">
        <v>9</v>
      </c>
      <c r="C15" s="366" t="str">
        <f>[5]Brewhouse!$A71</f>
        <v>ST021</v>
      </c>
      <c r="D15" s="279">
        <f>[5]Brewhouse!$AB71</f>
        <v>52.1</v>
      </c>
      <c r="E15" s="279">
        <f>[5]Brewhouse!$AG71</f>
        <v>49.3</v>
      </c>
      <c r="F15" s="278">
        <f>[5]Brewhouse!$V71</f>
        <v>53</v>
      </c>
      <c r="G15" s="279">
        <f>[5]Brewhouse!$AE71</f>
        <v>11.8</v>
      </c>
      <c r="H15" s="396">
        <v>11.8</v>
      </c>
      <c r="I15" s="368">
        <f>[5]Brewhouse!$AS71</f>
        <v>99.638493421142599</v>
      </c>
      <c r="J15" s="368">
        <f>[5]Brewhouse!$AT71</f>
        <v>99.355397314453782</v>
      </c>
      <c r="K15" s="281">
        <f>[5]Brewhouse!$Q71</f>
        <v>3.5988483685220727</v>
      </c>
      <c r="L15" s="276">
        <f>[5]Brewhouse!$P71</f>
        <v>60</v>
      </c>
      <c r="M15" s="374">
        <f>[5]Brewhouse!$U71-[5]Brewhouse!$T71</f>
        <v>0.11388888888888893</v>
      </c>
      <c r="N15" s="370">
        <f>[5]Brewhouse!$AW71</f>
        <v>0.27777777777777779</v>
      </c>
      <c r="O15" s="371" t="str">
        <f>[5]Brewhouse!$AV71</f>
        <v>R.Sookram</v>
      </c>
      <c r="P15" s="418"/>
      <c r="R15" s="277" t="str">
        <f t="shared" si="9"/>
        <v>STAG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33" t="s">
        <v>9</v>
      </c>
      <c r="C16" s="366" t="str">
        <f>[5]Brewhouse!$A72</f>
        <v>ST022</v>
      </c>
      <c r="D16" s="279">
        <f>[5]Brewhouse!$AB72</f>
        <v>52</v>
      </c>
      <c r="E16" s="279">
        <f>[5]Brewhouse!$AG72</f>
        <v>50.1</v>
      </c>
      <c r="F16" s="278">
        <f>[5]Brewhouse!$V72</f>
        <v>52</v>
      </c>
      <c r="G16" s="279">
        <f>[5]Brewhouse!$AE72</f>
        <v>11.8</v>
      </c>
      <c r="H16" s="396">
        <v>11.8</v>
      </c>
      <c r="I16" s="368">
        <f>[5]Brewhouse!$AS72</f>
        <v>99.741578008131555</v>
      </c>
      <c r="J16" s="368">
        <f>[5]Brewhouse!$AT72</f>
        <v>99.457060593206364</v>
      </c>
      <c r="K16" s="281">
        <f>[5]Brewhouse!$Q72</f>
        <v>2.0673076923076841</v>
      </c>
      <c r="L16" s="276">
        <f>[5]Brewhouse!$P72</f>
        <v>63</v>
      </c>
      <c r="M16" s="374">
        <f>[5]Brewhouse!$U72-[5]Brewhouse!$T72</f>
        <v>0.11597222222222237</v>
      </c>
      <c r="N16" s="370">
        <f>[5]Brewhouse!$AW72</f>
        <v>0.27361111111111114</v>
      </c>
      <c r="O16" s="371" t="str">
        <f>[5]Brewhouse!$AV72</f>
        <v>K. Benjamin</v>
      </c>
      <c r="P16" s="418"/>
      <c r="R16" s="277" t="str">
        <f t="shared" si="9"/>
        <v>STAG</v>
      </c>
      <c r="S16" s="474">
        <f t="shared" si="1"/>
        <v>11.6</v>
      </c>
      <c r="T16" s="474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4">
        <f t="shared" si="8"/>
        <v>60</v>
      </c>
    </row>
    <row r="17" spans="1:26" ht="16.5" customHeight="1">
      <c r="B17" s="33" t="s">
        <v>9</v>
      </c>
      <c r="C17" s="366" t="str">
        <f>[5]Brewhouse!$A73</f>
        <v>ST023</v>
      </c>
      <c r="D17" s="279">
        <f>[5]Brewhouse!$AB73</f>
        <v>52</v>
      </c>
      <c r="E17" s="279">
        <f>[5]Brewhouse!$AG73</f>
        <v>50.4</v>
      </c>
      <c r="F17" s="278">
        <f>[5]Brewhouse!$V73</f>
        <v>53</v>
      </c>
      <c r="G17" s="279">
        <f>[5]Brewhouse!$AE73</f>
        <v>11.8</v>
      </c>
      <c r="H17" s="396">
        <v>11.7</v>
      </c>
      <c r="I17" s="368">
        <f>[5]Brewhouse!$AS73</f>
        <v>100.21398306039248</v>
      </c>
      <c r="J17" s="368">
        <f>[5]Brewhouse!$AT73</f>
        <v>99.928025137408738</v>
      </c>
      <c r="K17" s="281">
        <f>[5]Brewhouse!$Q73</f>
        <v>1.1057692307692224</v>
      </c>
      <c r="L17" s="276">
        <f>[5]Brewhouse!$P73</f>
        <v>60</v>
      </c>
      <c r="M17" s="374">
        <f>[5]Brewhouse!$U73-[5]Brewhouse!$T73</f>
        <v>0.11388888888888893</v>
      </c>
      <c r="N17" s="370">
        <f>[5]Brewhouse!$AW73</f>
        <v>0.2680555555555556</v>
      </c>
      <c r="O17" s="371" t="str">
        <f>[5]Brewhouse!$AV73</f>
        <v>K. Benjamin</v>
      </c>
      <c r="P17" s="418"/>
      <c r="R17" s="277" t="str">
        <f t="shared" si="9"/>
        <v>STAG</v>
      </c>
      <c r="S17" s="474">
        <f t="shared" si="1"/>
        <v>11.6</v>
      </c>
      <c r="T17" s="474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4">
        <f t="shared" si="8"/>
        <v>60</v>
      </c>
    </row>
    <row r="18" spans="1:26" ht="16.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6" ht="16.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6" ht="16.5" hidden="1" customHeight="1">
      <c r="B20" s="33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6" ht="16.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ref="R21:R39" si="10">B21</f>
        <v>0</v>
      </c>
      <c r="S21" s="474" t="e">
        <f t="shared" ref="S21:S39" si="11">VLOOKUP($B21,$R$3:$X$9,2,FALSE)</f>
        <v>#N/A</v>
      </c>
      <c r="T21" s="474" t="e">
        <f t="shared" ref="T21:T39" si="12">VLOOKUP($B21,$R$3:$X$9,3,FALSE)</f>
        <v>#N/A</v>
      </c>
      <c r="U21" s="297" t="e">
        <f t="shared" ref="U21:U39" si="13">VLOOKUP($B21,$R$3:$X$9,4,FALSE)</f>
        <v>#N/A</v>
      </c>
      <c r="V21" s="297" t="e">
        <f t="shared" ref="V21:V39" si="14">VLOOKUP($B21,$R$3:$X$9,5,FALSE)</f>
        <v>#N/A</v>
      </c>
      <c r="W21" s="297" t="e">
        <f t="shared" ref="W21:W39" si="15">VLOOKUP($B21,$R$3:$X$9,6,FALSE)</f>
        <v>#N/A</v>
      </c>
      <c r="X21" s="297" t="e">
        <f t="shared" ref="X21:X39" si="16">VLOOKUP($B21,$R$3:$X$9,7,FALSE)</f>
        <v>#N/A</v>
      </c>
      <c r="Y21" s="297" t="e">
        <f t="shared" ref="Y21:Y39" si="17">VLOOKUP($B21,$R$3:$Z$9,8,FALSE)</f>
        <v>#N/A</v>
      </c>
      <c r="Z21" s="474" t="e">
        <f t="shared" ref="Z21:Z39" si="18">VLOOKUP($B21,$R$3:$Z$9,9,FALSE)</f>
        <v>#N/A</v>
      </c>
    </row>
    <row r="22" spans="1:26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10"/>
        <v>0</v>
      </c>
      <c r="S22" s="474" t="e">
        <f t="shared" si="11"/>
        <v>#N/A</v>
      </c>
      <c r="T22" s="474" t="e">
        <f t="shared" si="12"/>
        <v>#N/A</v>
      </c>
      <c r="U22" s="297" t="e">
        <f t="shared" si="13"/>
        <v>#N/A</v>
      </c>
      <c r="V22" s="297" t="e">
        <f t="shared" si="14"/>
        <v>#N/A</v>
      </c>
      <c r="W22" s="297" t="e">
        <f t="shared" si="15"/>
        <v>#N/A</v>
      </c>
      <c r="X22" s="297" t="e">
        <f t="shared" si="16"/>
        <v>#N/A</v>
      </c>
      <c r="Y22" s="297" t="e">
        <f t="shared" si="17"/>
        <v>#N/A</v>
      </c>
      <c r="Z22" s="474" t="e">
        <f t="shared" si="18"/>
        <v>#N/A</v>
      </c>
    </row>
    <row r="23" spans="1:26" ht="16.5" hidden="1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18"/>
      <c r="R23" s="277">
        <f t="shared" si="10"/>
        <v>0</v>
      </c>
      <c r="S23" s="474" t="e">
        <f t="shared" si="11"/>
        <v>#N/A</v>
      </c>
      <c r="T23" s="474" t="e">
        <f t="shared" si="12"/>
        <v>#N/A</v>
      </c>
      <c r="U23" s="297" t="e">
        <f t="shared" si="13"/>
        <v>#N/A</v>
      </c>
      <c r="V23" s="297" t="e">
        <f t="shared" si="14"/>
        <v>#N/A</v>
      </c>
      <c r="W23" s="297" t="e">
        <f t="shared" si="15"/>
        <v>#N/A</v>
      </c>
      <c r="X23" s="297" t="e">
        <f t="shared" si="16"/>
        <v>#N/A</v>
      </c>
      <c r="Y23" s="297" t="e">
        <f t="shared" si="17"/>
        <v>#N/A</v>
      </c>
      <c r="Z23" s="474" t="e">
        <f t="shared" si="18"/>
        <v>#N/A</v>
      </c>
    </row>
    <row r="24" spans="1:26" ht="18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0"/>
      <c r="P24" s="418"/>
      <c r="R24" s="277">
        <f t="shared" si="10"/>
        <v>0</v>
      </c>
      <c r="S24" s="474" t="e">
        <f t="shared" si="11"/>
        <v>#N/A</v>
      </c>
      <c r="T24" s="474" t="e">
        <f t="shared" si="12"/>
        <v>#N/A</v>
      </c>
      <c r="U24" s="297" t="e">
        <f t="shared" si="13"/>
        <v>#N/A</v>
      </c>
      <c r="V24" s="297" t="e">
        <f t="shared" si="14"/>
        <v>#N/A</v>
      </c>
      <c r="W24" s="297" t="e">
        <f t="shared" si="15"/>
        <v>#N/A</v>
      </c>
      <c r="X24" s="297" t="e">
        <f t="shared" si="16"/>
        <v>#N/A</v>
      </c>
      <c r="Y24" s="297" t="e">
        <f t="shared" si="17"/>
        <v>#N/A</v>
      </c>
      <c r="Z24" s="474" t="e">
        <f t="shared" si="18"/>
        <v>#N/A</v>
      </c>
    </row>
    <row r="25" spans="1:26" ht="16.5" hidden="1" customHeight="1">
      <c r="B25" s="22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18"/>
      <c r="R25" s="277">
        <f t="shared" si="10"/>
        <v>0</v>
      </c>
      <c r="S25" s="474" t="e">
        <f t="shared" si="11"/>
        <v>#N/A</v>
      </c>
      <c r="T25" s="474" t="e">
        <f t="shared" si="12"/>
        <v>#N/A</v>
      </c>
      <c r="U25" s="297" t="e">
        <f t="shared" si="13"/>
        <v>#N/A</v>
      </c>
      <c r="V25" s="297" t="e">
        <f t="shared" si="14"/>
        <v>#N/A</v>
      </c>
      <c r="W25" s="297" t="e">
        <f t="shared" si="15"/>
        <v>#N/A</v>
      </c>
      <c r="X25" s="297" t="e">
        <f t="shared" si="16"/>
        <v>#N/A</v>
      </c>
      <c r="Y25" s="297" t="e">
        <f t="shared" si="17"/>
        <v>#N/A</v>
      </c>
      <c r="Z25" s="474" t="e">
        <f t="shared" si="18"/>
        <v>#N/A</v>
      </c>
    </row>
    <row r="26" spans="1:26" ht="15.75" customHeight="1" thickBot="1">
      <c r="B26" s="358"/>
      <c r="C26" s="358"/>
      <c r="D26" s="358"/>
      <c r="E26" s="358"/>
      <c r="F26" s="294"/>
      <c r="G26" s="294"/>
      <c r="H26" s="348"/>
      <c r="I26" s="540"/>
      <c r="J26" s="540"/>
      <c r="K26" s="540"/>
      <c r="L26" s="540"/>
      <c r="M26" s="540"/>
      <c r="N26" s="540"/>
      <c r="O26" s="1"/>
      <c r="P26" s="12"/>
      <c r="R26" s="277">
        <f t="shared" si="10"/>
        <v>0</v>
      </c>
      <c r="S26" s="474" t="e">
        <f t="shared" si="11"/>
        <v>#N/A</v>
      </c>
      <c r="T26" s="474" t="e">
        <f t="shared" si="12"/>
        <v>#N/A</v>
      </c>
      <c r="U26" s="297" t="e">
        <f t="shared" si="13"/>
        <v>#N/A</v>
      </c>
      <c r="V26" s="297" t="e">
        <f t="shared" si="14"/>
        <v>#N/A</v>
      </c>
      <c r="W26" s="297" t="e">
        <f t="shared" si="15"/>
        <v>#N/A</v>
      </c>
      <c r="X26" s="297" t="e">
        <f t="shared" si="16"/>
        <v>#N/A</v>
      </c>
      <c r="Y26" s="297" t="e">
        <f t="shared" si="17"/>
        <v>#N/A</v>
      </c>
      <c r="Z26" s="474" t="e">
        <f t="shared" si="18"/>
        <v>#N/A</v>
      </c>
    </row>
    <row r="27" spans="1:26" ht="15.75" customHeight="1" thickBot="1">
      <c r="B27" s="388" t="s">
        <v>162</v>
      </c>
      <c r="C27" s="388"/>
      <c r="D27" s="541" t="s">
        <v>35</v>
      </c>
      <c r="E27" s="542"/>
      <c r="F27" s="294"/>
      <c r="G27" s="294"/>
      <c r="H27" s="348"/>
      <c r="I27" s="24" t="s">
        <v>17</v>
      </c>
      <c r="J27" s="25"/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 t="shared" si="10"/>
        <v xml:space="preserve">BRAND </v>
      </c>
      <c r="S27" s="474" t="e">
        <f t="shared" si="11"/>
        <v>#N/A</v>
      </c>
      <c r="T27" s="474" t="e">
        <f t="shared" si="12"/>
        <v>#N/A</v>
      </c>
      <c r="U27" s="297" t="e">
        <f t="shared" si="13"/>
        <v>#N/A</v>
      </c>
      <c r="V27" s="297" t="e">
        <f t="shared" si="14"/>
        <v>#N/A</v>
      </c>
      <c r="W27" s="297" t="e">
        <f t="shared" si="15"/>
        <v>#N/A</v>
      </c>
      <c r="X27" s="297" t="e">
        <f t="shared" si="16"/>
        <v>#N/A</v>
      </c>
      <c r="Y27" s="297" t="e">
        <f t="shared" si="17"/>
        <v>#N/A</v>
      </c>
      <c r="Z27" s="474" t="e">
        <f t="shared" si="18"/>
        <v>#N/A</v>
      </c>
    </row>
    <row r="28" spans="1:26" ht="15" customHeight="1">
      <c r="A28" s="28"/>
      <c r="B28" s="543"/>
      <c r="C28" s="362"/>
      <c r="D28" s="546"/>
      <c r="E28" s="547"/>
      <c r="F28" s="294"/>
      <c r="G28" s="294"/>
      <c r="H28" s="348"/>
      <c r="I28" s="29" t="s">
        <v>6</v>
      </c>
      <c r="J28" s="280"/>
      <c r="K28" s="284">
        <f>COUNTA([4]Brewhouse!$A$42:$A$103)</f>
        <v>62</v>
      </c>
      <c r="L28" s="305">
        <f>AVERAGE([4]Brewhouse!$AU$42:$AU$103)</f>
        <v>98.257404193717633</v>
      </c>
      <c r="M28" s="305">
        <f>AVERAGE([4]Brewhouse!$AU$42:$AU$103)</f>
        <v>98.257404193717633</v>
      </c>
      <c r="N28" s="30">
        <v>98</v>
      </c>
      <c r="O28" s="11"/>
      <c r="P28" s="31"/>
      <c r="R28" s="277">
        <f t="shared" si="10"/>
        <v>0</v>
      </c>
      <c r="S28" s="474" t="e">
        <f t="shared" si="11"/>
        <v>#N/A</v>
      </c>
      <c r="T28" s="474" t="e">
        <f t="shared" si="12"/>
        <v>#N/A</v>
      </c>
      <c r="U28" s="297" t="e">
        <f t="shared" si="13"/>
        <v>#N/A</v>
      </c>
      <c r="V28" s="297" t="e">
        <f t="shared" si="14"/>
        <v>#N/A</v>
      </c>
      <c r="W28" s="297" t="e">
        <f t="shared" si="15"/>
        <v>#N/A</v>
      </c>
      <c r="X28" s="297" t="e">
        <f t="shared" si="16"/>
        <v>#N/A</v>
      </c>
      <c r="Y28" s="297" t="e">
        <f t="shared" si="17"/>
        <v>#N/A</v>
      </c>
      <c r="Z28" s="474" t="e">
        <f t="shared" si="18"/>
        <v>#N/A</v>
      </c>
    </row>
    <row r="29" spans="1:26" ht="15" customHeight="1">
      <c r="A29" s="28"/>
      <c r="B29" s="544"/>
      <c r="C29" s="362"/>
      <c r="D29" s="548"/>
      <c r="E29" s="532"/>
      <c r="F29" s="294"/>
      <c r="G29" s="294"/>
      <c r="H29" s="348"/>
      <c r="I29" s="33" t="s">
        <v>9</v>
      </c>
      <c r="J29" s="280">
        <f>AVERAGE(I11:I17)</f>
        <v>99.576726257082058</v>
      </c>
      <c r="K29" s="284">
        <f>COUNTA([5]Brewhouse!$A$52:$A$73)</f>
        <v>22</v>
      </c>
      <c r="L29" s="302">
        <f>AVERAGE([5]Brewhouse!$AS$52:$AS$73)</f>
        <v>99.571498607720827</v>
      </c>
      <c r="M29" s="302" t="e">
        <f>AVERAGE([5]Brewhouse!$AS$52:$AS$735)</f>
        <v>#DIV/0!</v>
      </c>
      <c r="N29" s="30">
        <v>98</v>
      </c>
      <c r="O29" s="11"/>
      <c r="P29" s="31"/>
      <c r="R29" s="277">
        <f t="shared" si="10"/>
        <v>0</v>
      </c>
      <c r="S29" s="474" t="e">
        <f t="shared" si="11"/>
        <v>#N/A</v>
      </c>
      <c r="T29" s="474" t="e">
        <f t="shared" si="12"/>
        <v>#N/A</v>
      </c>
      <c r="U29" s="297" t="e">
        <f t="shared" si="13"/>
        <v>#N/A</v>
      </c>
      <c r="V29" s="297" t="e">
        <f t="shared" si="14"/>
        <v>#N/A</v>
      </c>
      <c r="W29" s="297" t="e">
        <f t="shared" si="15"/>
        <v>#N/A</v>
      </c>
      <c r="X29" s="297" t="e">
        <f t="shared" si="16"/>
        <v>#N/A</v>
      </c>
      <c r="Y29" s="297" t="e">
        <f t="shared" si="17"/>
        <v>#N/A</v>
      </c>
      <c r="Z29" s="474" t="e">
        <f t="shared" si="18"/>
        <v>#N/A</v>
      </c>
    </row>
    <row r="30" spans="1:26" ht="14.65" customHeight="1">
      <c r="A30" s="28"/>
      <c r="B30" s="544"/>
      <c r="C30" s="362"/>
      <c r="D30" s="536"/>
      <c r="E30" s="537"/>
      <c r="F30" s="294"/>
      <c r="G30" s="294"/>
      <c r="H30" s="348"/>
      <c r="I30" s="34" t="s">
        <v>12</v>
      </c>
      <c r="J30" s="280"/>
      <c r="K30" s="284">
        <f>COUNTA([3]Brewhouse!$A$16:$A$23)</f>
        <v>8</v>
      </c>
      <c r="L30" s="302">
        <f>AVERAGE([3]Brewhouse!$AU$16:$AU$23)</f>
        <v>97.765204759801577</v>
      </c>
      <c r="M30" s="302">
        <f>AVERAGE([3]Brewhouse!$AU$16:$AU$23)</f>
        <v>97.765204759801577</v>
      </c>
      <c r="N30" s="30">
        <v>98</v>
      </c>
      <c r="O30" s="11"/>
      <c r="P30" s="31"/>
      <c r="R30" s="277">
        <f t="shared" si="10"/>
        <v>0</v>
      </c>
      <c r="S30" s="474" t="e">
        <f t="shared" si="11"/>
        <v>#N/A</v>
      </c>
      <c r="T30" s="474" t="e">
        <f t="shared" si="12"/>
        <v>#N/A</v>
      </c>
      <c r="U30" s="297" t="e">
        <f t="shared" si="13"/>
        <v>#N/A</v>
      </c>
      <c r="V30" s="297" t="e">
        <f t="shared" si="14"/>
        <v>#N/A</v>
      </c>
      <c r="W30" s="297" t="e">
        <f t="shared" si="15"/>
        <v>#N/A</v>
      </c>
      <c r="X30" s="297" t="e">
        <f t="shared" si="16"/>
        <v>#N/A</v>
      </c>
      <c r="Y30" s="297" t="e">
        <f t="shared" si="17"/>
        <v>#N/A</v>
      </c>
      <c r="Z30" s="474" t="e">
        <f t="shared" si="18"/>
        <v>#N/A</v>
      </c>
    </row>
    <row r="31" spans="1:26" ht="14.65" customHeight="1">
      <c r="A31" s="28"/>
      <c r="B31" s="544"/>
      <c r="C31" s="362"/>
      <c r="D31" s="531"/>
      <c r="E31" s="532"/>
      <c r="F31" s="294"/>
      <c r="G31" s="294"/>
      <c r="H31" s="348"/>
      <c r="I31" s="22" t="s">
        <v>33</v>
      </c>
      <c r="J31" s="280"/>
      <c r="K31" s="284">
        <f>COUNTA([6]Brewhouse!$A$23:$A$34)</f>
        <v>12</v>
      </c>
      <c r="L31" s="302">
        <f>AVERAGE([6]Brewhouse!$AV$23:$AV$34)</f>
        <v>98.31387229810305</v>
      </c>
      <c r="M31" s="302">
        <f>AVERAGE([6]Brewhouse!$AV$23:$AV$34)</f>
        <v>98.31387229810305</v>
      </c>
      <c r="N31" s="30">
        <v>98</v>
      </c>
      <c r="O31" s="11"/>
      <c r="P31" s="31"/>
      <c r="R31" s="277">
        <f t="shared" si="10"/>
        <v>0</v>
      </c>
      <c r="S31" s="474" t="e">
        <f t="shared" si="11"/>
        <v>#N/A</v>
      </c>
      <c r="T31" s="474" t="e">
        <f t="shared" si="12"/>
        <v>#N/A</v>
      </c>
      <c r="U31" s="297" t="e">
        <f t="shared" si="13"/>
        <v>#N/A</v>
      </c>
      <c r="V31" s="297" t="e">
        <f t="shared" si="14"/>
        <v>#N/A</v>
      </c>
      <c r="W31" s="297" t="e">
        <f t="shared" si="15"/>
        <v>#N/A</v>
      </c>
      <c r="X31" s="297" t="e">
        <f t="shared" si="16"/>
        <v>#N/A</v>
      </c>
      <c r="Y31" s="297" t="e">
        <f t="shared" si="17"/>
        <v>#N/A</v>
      </c>
      <c r="Z31" s="474" t="e">
        <f t="shared" si="18"/>
        <v>#N/A</v>
      </c>
    </row>
    <row r="32" spans="1:26" ht="14.65" customHeight="1">
      <c r="A32" s="28"/>
      <c r="B32" s="544"/>
      <c r="C32" s="362"/>
      <c r="D32" s="536"/>
      <c r="E32" s="537"/>
      <c r="F32" s="417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>
        <f t="shared" si="10"/>
        <v>0</v>
      </c>
      <c r="S32" s="474" t="e">
        <f t="shared" si="11"/>
        <v>#N/A</v>
      </c>
      <c r="T32" s="474" t="e">
        <f t="shared" si="12"/>
        <v>#N/A</v>
      </c>
      <c r="U32" s="297" t="e">
        <f t="shared" si="13"/>
        <v>#N/A</v>
      </c>
      <c r="V32" s="297" t="e">
        <f t="shared" si="14"/>
        <v>#N/A</v>
      </c>
      <c r="W32" s="297" t="e">
        <f t="shared" si="15"/>
        <v>#N/A</v>
      </c>
      <c r="X32" s="297" t="e">
        <f t="shared" si="16"/>
        <v>#N/A</v>
      </c>
      <c r="Y32" s="297" t="e">
        <f t="shared" si="17"/>
        <v>#N/A</v>
      </c>
      <c r="Z32" s="474" t="e">
        <f t="shared" si="18"/>
        <v>#N/A</v>
      </c>
    </row>
    <row r="33" spans="1:56" ht="14.65" customHeight="1">
      <c r="A33" s="28"/>
      <c r="B33" s="544"/>
      <c r="C33" s="362"/>
      <c r="D33" s="531"/>
      <c r="E33" s="532"/>
      <c r="F33" s="417"/>
      <c r="G33" s="294"/>
      <c r="H33" s="348"/>
      <c r="I33" s="36" t="s">
        <v>15</v>
      </c>
      <c r="J33" s="323"/>
      <c r="K33" s="284">
        <f>COUNTA([7]Brewhouse!$A$13:$A$20)</f>
        <v>8</v>
      </c>
      <c r="L33" s="302" t="e">
        <f>AVERAGE([7]Brewhouse!$AT$13:$AT$20)</f>
        <v>#DIV/0!</v>
      </c>
      <c r="M33" s="302" t="e">
        <f>AVERAGE([7]Brewhouse!$AT$13:$AT$20)</f>
        <v>#DIV/0!</v>
      </c>
      <c r="N33" s="30">
        <v>98</v>
      </c>
      <c r="O33" s="11"/>
      <c r="P33" s="31"/>
      <c r="R33" s="277">
        <f t="shared" si="10"/>
        <v>0</v>
      </c>
      <c r="S33" s="474" t="e">
        <f t="shared" si="11"/>
        <v>#N/A</v>
      </c>
      <c r="T33" s="474" t="e">
        <f t="shared" si="12"/>
        <v>#N/A</v>
      </c>
      <c r="U33" s="297" t="e">
        <f t="shared" si="13"/>
        <v>#N/A</v>
      </c>
      <c r="V33" s="297" t="e">
        <f t="shared" si="14"/>
        <v>#N/A</v>
      </c>
      <c r="W33" s="297" t="e">
        <f t="shared" si="15"/>
        <v>#N/A</v>
      </c>
      <c r="X33" s="297" t="e">
        <f t="shared" si="16"/>
        <v>#N/A</v>
      </c>
      <c r="Y33" s="297" t="e">
        <f t="shared" si="17"/>
        <v>#N/A</v>
      </c>
      <c r="Z33" s="474" t="e">
        <f t="shared" si="18"/>
        <v>#N/A</v>
      </c>
      <c r="AA33" s="474"/>
    </row>
    <row r="34" spans="1:56" ht="14.65" customHeight="1">
      <c r="A34" s="28"/>
      <c r="B34" s="544"/>
      <c r="C34" s="362"/>
      <c r="D34" s="536"/>
      <c r="E34" s="537"/>
      <c r="F34" s="417"/>
      <c r="G34" s="294"/>
      <c r="H34" s="348"/>
      <c r="I34" s="37" t="s">
        <v>16</v>
      </c>
      <c r="J34" s="323"/>
      <c r="K34" s="284">
        <f>COUNTA([8]Brewhouse!$A$5:$A$7)</f>
        <v>3</v>
      </c>
      <c r="L34" s="302">
        <f>AVERAGE([8]Brewhouse!$AY$5:$AY$7)</f>
        <v>98.128633252159673</v>
      </c>
      <c r="M34" s="302">
        <f>AVERAGE([8]Brewhouse!$AY$5:$AY$7)</f>
        <v>98.128633252159673</v>
      </c>
      <c r="N34" s="30">
        <v>98</v>
      </c>
      <c r="O34" s="11"/>
      <c r="P34" s="31" t="s">
        <v>41</v>
      </c>
      <c r="R34" s="277">
        <f t="shared" si="10"/>
        <v>0</v>
      </c>
      <c r="S34" s="474" t="e">
        <f t="shared" si="11"/>
        <v>#N/A</v>
      </c>
      <c r="T34" s="474" t="e">
        <f t="shared" si="12"/>
        <v>#N/A</v>
      </c>
      <c r="U34" s="297" t="e">
        <f t="shared" si="13"/>
        <v>#N/A</v>
      </c>
      <c r="V34" s="297" t="e">
        <f t="shared" si="14"/>
        <v>#N/A</v>
      </c>
      <c r="W34" s="297" t="e">
        <f t="shared" si="15"/>
        <v>#N/A</v>
      </c>
      <c r="X34" s="297" t="e">
        <f t="shared" si="16"/>
        <v>#N/A</v>
      </c>
      <c r="Y34" s="297" t="e">
        <f t="shared" si="17"/>
        <v>#N/A</v>
      </c>
      <c r="Z34" s="474" t="e">
        <f t="shared" si="18"/>
        <v>#N/A</v>
      </c>
      <c r="AA34" s="474"/>
    </row>
    <row r="35" spans="1:56" ht="14.65" customHeight="1">
      <c r="A35" s="28"/>
      <c r="B35" s="544"/>
      <c r="C35" s="362"/>
      <c r="D35" s="531"/>
      <c r="E35" s="532"/>
      <c r="F35" s="294"/>
      <c r="G35" s="294"/>
      <c r="H35" s="348"/>
      <c r="I35" s="411" t="s">
        <v>158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10"/>
        <v>0</v>
      </c>
      <c r="S35" s="474" t="e">
        <f t="shared" si="11"/>
        <v>#N/A</v>
      </c>
      <c r="T35" s="474" t="e">
        <f t="shared" si="12"/>
        <v>#N/A</v>
      </c>
      <c r="U35" s="297" t="e">
        <f t="shared" si="13"/>
        <v>#N/A</v>
      </c>
      <c r="V35" s="297" t="e">
        <f t="shared" si="14"/>
        <v>#N/A</v>
      </c>
      <c r="W35" s="297" t="e">
        <f t="shared" si="15"/>
        <v>#N/A</v>
      </c>
      <c r="X35" s="297" t="e">
        <f t="shared" si="16"/>
        <v>#N/A</v>
      </c>
      <c r="Y35" s="297" t="e">
        <f t="shared" si="17"/>
        <v>#N/A</v>
      </c>
      <c r="Z35" s="474" t="e">
        <f t="shared" si="18"/>
        <v>#N/A</v>
      </c>
      <c r="AA35" s="474"/>
    </row>
    <row r="36" spans="1:56" ht="14.65" customHeight="1">
      <c r="A36" s="28"/>
      <c r="B36" s="544"/>
      <c r="C36" s="349"/>
      <c r="D36" s="536"/>
      <c r="E36" s="537"/>
      <c r="F36" s="294"/>
      <c r="G36" s="294"/>
      <c r="H36" s="348"/>
      <c r="I36" s="410" t="s">
        <v>157</v>
      </c>
      <c r="J36" s="326"/>
      <c r="K36" s="284"/>
      <c r="L36" s="305"/>
      <c r="M36" s="305"/>
      <c r="N36" s="30">
        <v>98</v>
      </c>
      <c r="O36" s="11"/>
      <c r="P36" s="31"/>
      <c r="R36" s="277">
        <f t="shared" si="10"/>
        <v>0</v>
      </c>
      <c r="S36" s="474" t="e">
        <f t="shared" si="11"/>
        <v>#N/A</v>
      </c>
      <c r="T36" s="474" t="e">
        <f t="shared" si="12"/>
        <v>#N/A</v>
      </c>
      <c r="U36" s="297" t="e">
        <f t="shared" si="13"/>
        <v>#N/A</v>
      </c>
      <c r="V36" s="297" t="e">
        <f t="shared" si="14"/>
        <v>#N/A</v>
      </c>
      <c r="W36" s="297" t="e">
        <f t="shared" si="15"/>
        <v>#N/A</v>
      </c>
      <c r="X36" s="297" t="e">
        <f t="shared" si="16"/>
        <v>#N/A</v>
      </c>
      <c r="Y36" s="297" t="e">
        <f t="shared" si="17"/>
        <v>#N/A</v>
      </c>
      <c r="Z36" s="474" t="e">
        <f t="shared" si="18"/>
        <v>#N/A</v>
      </c>
      <c r="AA36" s="474"/>
    </row>
    <row r="37" spans="1:56" ht="15" customHeight="1" thickBot="1">
      <c r="A37" s="28"/>
      <c r="B37" s="544"/>
      <c r="C37" s="349"/>
      <c r="D37" s="531"/>
      <c r="E37" s="532"/>
      <c r="F37" s="294"/>
      <c r="G37" s="294"/>
      <c r="H37" s="348"/>
      <c r="I37" s="406" t="s">
        <v>156</v>
      </c>
      <c r="J37" s="327"/>
      <c r="K37" s="407"/>
      <c r="L37" s="408"/>
      <c r="M37" s="408"/>
      <c r="N37" s="409">
        <v>98</v>
      </c>
      <c r="O37" s="11"/>
      <c r="P37" s="31"/>
      <c r="R37" s="277">
        <f t="shared" si="10"/>
        <v>0</v>
      </c>
      <c r="S37" s="474" t="e">
        <f t="shared" si="11"/>
        <v>#N/A</v>
      </c>
      <c r="T37" s="474" t="e">
        <f t="shared" si="12"/>
        <v>#N/A</v>
      </c>
      <c r="U37" s="297" t="e">
        <f t="shared" si="13"/>
        <v>#N/A</v>
      </c>
      <c r="V37" s="297" t="e">
        <f t="shared" si="14"/>
        <v>#N/A</v>
      </c>
      <c r="W37" s="297" t="e">
        <f t="shared" si="15"/>
        <v>#N/A</v>
      </c>
      <c r="X37" s="297" t="e">
        <f t="shared" si="16"/>
        <v>#N/A</v>
      </c>
      <c r="Y37" s="297" t="e">
        <f t="shared" si="17"/>
        <v>#N/A</v>
      </c>
      <c r="Z37" s="474" t="e">
        <f t="shared" si="18"/>
        <v>#N/A</v>
      </c>
      <c r="AA37" s="474"/>
    </row>
    <row r="38" spans="1:56" ht="15" customHeight="1" thickBot="1">
      <c r="A38" s="28"/>
      <c r="B38" s="544"/>
      <c r="C38" s="349"/>
      <c r="D38" s="546"/>
      <c r="E38" s="547"/>
      <c r="F38" s="294"/>
      <c r="G38" s="294"/>
      <c r="H38" s="348"/>
      <c r="I38" s="1"/>
      <c r="J38" s="39"/>
      <c r="K38" s="404">
        <f>SUM(K28:K37)</f>
        <v>115</v>
      </c>
      <c r="L38" s="405" t="e">
        <f>((L28*K28)+(L29*K29)+(L30*K30)+(L31*K31)+(L32*K32)+(K35*L35)+(L33*K33)+(L34*K34)+(L37*K37))/(K38)</f>
        <v>#DIV/0!</v>
      </c>
      <c r="M38" s="405" t="e">
        <f>L38</f>
        <v>#DIV/0!</v>
      </c>
      <c r="N38" s="40">
        <v>98</v>
      </c>
      <c r="O38" s="11"/>
      <c r="P38" s="31"/>
      <c r="R38" s="277">
        <f t="shared" si="10"/>
        <v>0</v>
      </c>
      <c r="S38" s="474" t="e">
        <f t="shared" si="11"/>
        <v>#N/A</v>
      </c>
      <c r="T38" s="474" t="e">
        <f t="shared" si="12"/>
        <v>#N/A</v>
      </c>
      <c r="U38" s="297" t="e">
        <f t="shared" si="13"/>
        <v>#N/A</v>
      </c>
      <c r="V38" s="297" t="e">
        <f t="shared" si="14"/>
        <v>#N/A</v>
      </c>
      <c r="W38" s="297" t="e">
        <f t="shared" si="15"/>
        <v>#N/A</v>
      </c>
      <c r="X38" s="297" t="e">
        <f t="shared" si="16"/>
        <v>#N/A</v>
      </c>
      <c r="Y38" s="297" t="e">
        <f t="shared" si="17"/>
        <v>#N/A</v>
      </c>
      <c r="Z38" s="474" t="e">
        <f t="shared" si="18"/>
        <v>#N/A</v>
      </c>
      <c r="AA38" s="474"/>
    </row>
    <row r="39" spans="1:56" ht="15.75" thickBot="1">
      <c r="B39" s="545"/>
      <c r="C39" s="350"/>
      <c r="D39" s="548"/>
      <c r="E39" s="532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>
        <f t="shared" si="10"/>
        <v>0</v>
      </c>
      <c r="S39" s="474" t="e">
        <f t="shared" si="11"/>
        <v>#N/A</v>
      </c>
      <c r="T39" s="474" t="e">
        <f t="shared" si="12"/>
        <v>#N/A</v>
      </c>
      <c r="U39" s="297" t="e">
        <f t="shared" si="13"/>
        <v>#N/A</v>
      </c>
      <c r="V39" s="297" t="e">
        <f t="shared" si="14"/>
        <v>#N/A</v>
      </c>
      <c r="W39" s="297" t="e">
        <f t="shared" si="15"/>
        <v>#N/A</v>
      </c>
      <c r="X39" s="297" t="e">
        <f t="shared" si="16"/>
        <v>#N/A</v>
      </c>
      <c r="Y39" s="297" t="e">
        <f t="shared" si="17"/>
        <v>#N/A</v>
      </c>
      <c r="Z39" s="474" t="e">
        <f t="shared" si="18"/>
        <v>#N/A</v>
      </c>
      <c r="AA39" s="474"/>
    </row>
    <row r="40" spans="1:56" ht="15.75" thickBot="1">
      <c r="B40" s="526"/>
      <c r="C40" s="362"/>
      <c r="D40" s="529"/>
      <c r="E40" s="530"/>
      <c r="F40" s="294"/>
      <c r="G40" s="42"/>
      <c r="H40" s="41"/>
      <c r="I40" s="42"/>
      <c r="J40" s="533" t="s">
        <v>129</v>
      </c>
      <c r="K40" s="533"/>
      <c r="L40" s="294"/>
      <c r="M40" s="294"/>
      <c r="N40" s="294"/>
      <c r="O40" s="294"/>
      <c r="P40" s="12"/>
    </row>
    <row r="41" spans="1:56" ht="15.75" thickBot="1">
      <c r="B41" s="527"/>
      <c r="C41" s="362"/>
      <c r="D41" s="531"/>
      <c r="E41" s="532"/>
      <c r="F41" s="294"/>
      <c r="G41" s="42"/>
      <c r="H41" s="42"/>
      <c r="I41" s="42"/>
      <c r="J41" s="292" t="s">
        <v>17</v>
      </c>
      <c r="K41" s="293" t="s">
        <v>147</v>
      </c>
      <c r="L41" s="534" t="s">
        <v>136</v>
      </c>
      <c r="M41" s="534"/>
      <c r="N41" s="535"/>
      <c r="O41" s="294"/>
      <c r="P41" s="12"/>
    </row>
    <row r="42" spans="1:56" ht="15" customHeight="1" thickBot="1">
      <c r="B42" s="527"/>
      <c r="C42" s="349"/>
      <c r="D42" s="536"/>
      <c r="E42" s="537"/>
      <c r="F42" s="294"/>
      <c r="G42" s="42"/>
      <c r="H42" s="42"/>
      <c r="I42" s="42"/>
      <c r="J42" s="287" t="s">
        <v>6</v>
      </c>
      <c r="K42" s="324"/>
      <c r="L42" s="475" t="s">
        <v>37</v>
      </c>
      <c r="M42" s="476" t="s">
        <v>38</v>
      </c>
      <c r="N42" s="476" t="s">
        <v>84</v>
      </c>
      <c r="O42" s="294"/>
      <c r="P42" s="12"/>
    </row>
    <row r="43" spans="1:56" ht="15.75" customHeight="1" thickBot="1">
      <c r="B43" s="527"/>
      <c r="C43" s="349"/>
      <c r="D43" s="531"/>
      <c r="E43" s="532"/>
      <c r="F43" s="294"/>
      <c r="G43" s="42"/>
      <c r="H43" s="42"/>
      <c r="I43" s="42"/>
      <c r="J43" s="345" t="s">
        <v>9</v>
      </c>
      <c r="K43" s="324">
        <f>COUNTA(C10:C17)</f>
        <v>8</v>
      </c>
      <c r="L43" s="344">
        <f>AVERAGE('Jan 2nd'!K45,'Jan 5th'!K45,'Jan 6th'!K49,'Jan 7th'!K49,'Jan 8th '!K44,'Jan 9th-10th'!J58,'Jan 9th-10th'!K58,'Jan12th '!K50,Jan13th!K45,Jan14th!K53,Jan15th!K50,K52,'Jan16-18th'!I53,'Jan16-18th'!J53,'Jan16-18th'!K53,'Jan19th '!K55,Jan20th!K47,Jan21st!K50,Jan22nd!K48,Jan23rd!K50,Jan26th!K49)</f>
        <v>5.8571428571428568</v>
      </c>
      <c r="M43" s="325">
        <f>AVERAGE(L43)</f>
        <v>5.8571428571428568</v>
      </c>
      <c r="N43" s="416">
        <v>9.1999999999999993</v>
      </c>
      <c r="O43" s="294"/>
      <c r="P43" s="12"/>
    </row>
    <row r="44" spans="1:56" ht="15" customHeight="1">
      <c r="B44" s="527"/>
      <c r="C44" s="349"/>
      <c r="D44" s="536"/>
      <c r="E44" s="537"/>
      <c r="F44" s="294"/>
      <c r="G44" s="42"/>
      <c r="H44" s="42"/>
      <c r="I44" s="42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27"/>
      <c r="C45" s="349"/>
      <c r="D45" s="531"/>
      <c r="E45" s="532"/>
      <c r="F45" s="294"/>
      <c r="G45" s="42"/>
      <c r="H45" s="42"/>
      <c r="I45" s="42"/>
      <c r="J45" s="289" t="s">
        <v>33</v>
      </c>
      <c r="K45" s="324"/>
      <c r="L45" s="294"/>
      <c r="M45" s="294"/>
      <c r="N45" s="294"/>
      <c r="O45" s="294"/>
      <c r="P45" s="12"/>
    </row>
    <row r="46" spans="1:56" ht="15">
      <c r="B46" s="527"/>
      <c r="C46" s="349"/>
      <c r="D46" s="536"/>
      <c r="E46" s="537"/>
      <c r="F46" s="294"/>
      <c r="G46" s="42"/>
      <c r="H46" s="42"/>
      <c r="I46" s="42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7"/>
      <c r="C47" s="349"/>
      <c r="D47" s="531"/>
      <c r="E47" s="532"/>
      <c r="F47" s="294"/>
      <c r="G47" s="42"/>
      <c r="H47" s="42"/>
      <c r="I47" s="42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5">
      <c r="B48" s="527"/>
      <c r="C48" s="349"/>
      <c r="D48" s="536"/>
      <c r="E48" s="537"/>
      <c r="F48" s="294"/>
      <c r="G48" s="42"/>
      <c r="H48" s="42"/>
      <c r="I48" s="42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1:57" ht="15.75" thickBot="1">
      <c r="B49" s="528"/>
      <c r="C49" s="350"/>
      <c r="D49" s="538"/>
      <c r="E49" s="539"/>
      <c r="F49" s="294" t="s">
        <v>166</v>
      </c>
      <c r="G49" s="42"/>
      <c r="H49" s="42"/>
      <c r="I49" s="42"/>
      <c r="J49" s="291" t="s">
        <v>148</v>
      </c>
      <c r="K49" s="324"/>
      <c r="L49" s="294"/>
      <c r="M49" s="294"/>
      <c r="N49" s="294" t="s">
        <v>41</v>
      </c>
      <c r="O49" s="294"/>
      <c r="P49" s="12"/>
      <c r="BC49" s="44"/>
      <c r="BD49" s="44"/>
    </row>
    <row r="50" spans="1:57" ht="17.649999999999999" customHeight="1" thickBot="1">
      <c r="B50" s="312" t="s">
        <v>139</v>
      </c>
      <c r="C50" s="313"/>
      <c r="D50" s="519"/>
      <c r="E50" s="520"/>
      <c r="F50" s="294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1:57" ht="17.649999999999999" customHeight="1">
      <c r="B51" s="363"/>
      <c r="C51" s="364"/>
      <c r="D51" s="365"/>
      <c r="E51" s="365"/>
      <c r="F51" s="294"/>
      <c r="G51" s="42"/>
      <c r="H51" s="42"/>
      <c r="I51" s="42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1:57" ht="15.6" customHeight="1">
      <c r="B52" s="45"/>
      <c r="C52" s="11"/>
      <c r="D52" s="11"/>
      <c r="E52" s="46"/>
      <c r="F52" s="294"/>
      <c r="G52" s="42"/>
      <c r="H52" s="42"/>
      <c r="I52" s="42"/>
      <c r="J52" s="346" t="s">
        <v>130</v>
      </c>
      <c r="K52" s="324">
        <f>SUM(K42:K51)</f>
        <v>8</v>
      </c>
      <c r="L52" s="294"/>
      <c r="M52" s="294"/>
      <c r="N52" s="294"/>
      <c r="O52" s="294"/>
      <c r="P52" s="12"/>
    </row>
    <row r="53" spans="1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L53" s="294"/>
      <c r="N53" s="315"/>
      <c r="P53" s="334"/>
    </row>
    <row r="54" spans="1:57" ht="15" customHeight="1" thickBot="1"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1"/>
      <c r="O54" s="48"/>
      <c r="P54" s="49"/>
    </row>
    <row r="55" spans="1:57" ht="15" customHeight="1" thickBot="1">
      <c r="B55" s="511" t="s">
        <v>17</v>
      </c>
      <c r="C55" s="511" t="s">
        <v>44</v>
      </c>
      <c r="D55" s="522" t="s">
        <v>45</v>
      </c>
      <c r="E55" s="524" t="s">
        <v>46</v>
      </c>
      <c r="F55" s="517" t="s">
        <v>47</v>
      </c>
      <c r="G55" s="509" t="s">
        <v>48</v>
      </c>
      <c r="H55" s="511" t="s">
        <v>49</v>
      </c>
      <c r="I55" s="511" t="s">
        <v>50</v>
      </c>
      <c r="J55" s="503" t="s">
        <v>28</v>
      </c>
      <c r="K55" s="513" t="s">
        <v>51</v>
      </c>
      <c r="L55" s="515" t="s">
        <v>52</v>
      </c>
      <c r="M55" s="503" t="s">
        <v>53</v>
      </c>
      <c r="N55" s="13"/>
      <c r="O55" s="13"/>
      <c r="P55" s="50"/>
    </row>
    <row r="56" spans="1:57" ht="28.5" customHeight="1" thickTop="1" thickBot="1">
      <c r="B56" s="512"/>
      <c r="C56" s="521"/>
      <c r="D56" s="523"/>
      <c r="E56" s="525"/>
      <c r="F56" s="518"/>
      <c r="G56" s="510"/>
      <c r="H56" s="512"/>
      <c r="I56" s="512"/>
      <c r="J56" s="504"/>
      <c r="K56" s="514"/>
      <c r="L56" s="516"/>
      <c r="M56" s="504"/>
      <c r="N56" s="13"/>
      <c r="O56" s="13"/>
      <c r="P56" s="50"/>
      <c r="Q56" s="355"/>
      <c r="AB56" s="477">
        <v>43474</v>
      </c>
      <c r="AC56" s="477">
        <v>43475</v>
      </c>
      <c r="AD56" s="477">
        <v>43476</v>
      </c>
      <c r="AE56" s="477">
        <v>43477</v>
      </c>
      <c r="AF56" s="477">
        <v>43478</v>
      </c>
      <c r="AG56" s="477">
        <v>43479</v>
      </c>
      <c r="AH56" s="477">
        <v>43480</v>
      </c>
      <c r="AI56" s="477">
        <v>43481</v>
      </c>
      <c r="AJ56" s="477">
        <v>43482</v>
      </c>
      <c r="AK56" s="477">
        <v>43483</v>
      </c>
      <c r="AL56" s="477">
        <v>43484</v>
      </c>
      <c r="AM56" s="477">
        <v>43485</v>
      </c>
      <c r="AN56" s="477">
        <v>43486</v>
      </c>
      <c r="AO56" s="477">
        <v>43487</v>
      </c>
      <c r="AP56" s="477">
        <v>43488</v>
      </c>
      <c r="AQ56" s="477">
        <v>43489</v>
      </c>
      <c r="AR56" s="477">
        <v>43490</v>
      </c>
      <c r="AS56" s="477">
        <v>43491</v>
      </c>
      <c r="AT56" s="477">
        <v>43492</v>
      </c>
      <c r="AU56" s="477">
        <v>43493</v>
      </c>
      <c r="AV56" s="477">
        <v>43494</v>
      </c>
      <c r="AW56" s="477">
        <v>43495</v>
      </c>
      <c r="AX56" s="477">
        <v>43496</v>
      </c>
    </row>
    <row r="57" spans="1:57" s="54" customFormat="1" ht="37.15" customHeight="1" thickBot="1">
      <c r="B57" s="496"/>
      <c r="C57" s="495"/>
      <c r="D57" s="442"/>
      <c r="E57" s="443"/>
      <c r="F57" s="444"/>
      <c r="G57" s="445"/>
      <c r="H57" s="446"/>
      <c r="I57" s="447"/>
      <c r="J57" s="448"/>
      <c r="K57" s="449"/>
      <c r="L57" s="499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14.25" customHeight="1" thickBot="1">
      <c r="B58" s="496"/>
      <c r="C58" s="495"/>
      <c r="D58" s="442"/>
      <c r="E58" s="443"/>
      <c r="F58" s="444"/>
      <c r="G58" s="445"/>
      <c r="H58" s="446"/>
      <c r="I58" s="447"/>
      <c r="J58" s="47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37.15" hidden="1" customHeight="1" thickBot="1">
      <c r="A59" s="54" t="s">
        <v>187</v>
      </c>
      <c r="B59" s="496" t="str">
        <f>J42</f>
        <v>CARIB</v>
      </c>
      <c r="C59" s="495">
        <v>46048</v>
      </c>
      <c r="D59" s="442"/>
      <c r="E59" s="443"/>
      <c r="F59" s="444"/>
      <c r="G59" s="445"/>
      <c r="H59" s="446"/>
      <c r="I59" s="447"/>
      <c r="J59" s="448" t="s">
        <v>150</v>
      </c>
      <c r="K59" s="449"/>
      <c r="L59" s="457"/>
      <c r="M59" s="455" t="s">
        <v>200</v>
      </c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>
        <f>[9]January_2019!L7</f>
        <v>285.8</v>
      </c>
      <c r="AC59" s="57">
        <f>[9]January_2019!M7</f>
        <v>508.1</v>
      </c>
      <c r="AD59" s="57">
        <f>[9]January_2019!N7</f>
        <v>0</v>
      </c>
      <c r="AE59" s="57">
        <f>[9]January_2019!O7</f>
        <v>0</v>
      </c>
      <c r="AF59" s="57">
        <f>[9]January_2019!P7</f>
        <v>109.56666666666666</v>
      </c>
      <c r="AG59" s="57">
        <f>[9]January_2019!Q7</f>
        <v>297.64999999999998</v>
      </c>
      <c r="AH59" s="57">
        <f>[9]January_2019!R7</f>
        <v>122.3</v>
      </c>
      <c r="AI59" s="57">
        <f>[9]January_2019!S7</f>
        <v>0</v>
      </c>
      <c r="AJ59" s="57">
        <f>[9]January_2019!T7</f>
        <v>294.7</v>
      </c>
      <c r="AK59" s="57">
        <f>[9]January_2019!U7</f>
        <v>280.5</v>
      </c>
      <c r="AL59" s="57">
        <f>[9]January_2019!V7</f>
        <v>0</v>
      </c>
      <c r="AM59" s="57">
        <f>[9]January_2019!W7</f>
        <v>0</v>
      </c>
      <c r="AN59" s="57">
        <f>[9]January_2019!X7</f>
        <v>188.25</v>
      </c>
      <c r="AO59" s="57">
        <f>[9]January_2019!Y7</f>
        <v>295.7</v>
      </c>
      <c r="AP59" s="57">
        <f>[9]January_2019!Z7</f>
        <v>257.8</v>
      </c>
      <c r="AQ59" s="57">
        <f>[9]January_2019!AA7</f>
        <v>291.2</v>
      </c>
      <c r="AR59" s="57">
        <f>[9]January_2019!AB7</f>
        <v>187</v>
      </c>
      <c r="AS59" s="57">
        <f>[9]January_2019!AC7</f>
        <v>0</v>
      </c>
      <c r="AT59" s="57">
        <f>[9]January_2019!AD7</f>
        <v>0</v>
      </c>
      <c r="AU59" s="57">
        <f>[9]January_2019!AE7</f>
        <v>485.1</v>
      </c>
      <c r="AV59" s="57">
        <f>[9]January_2019!AF7</f>
        <v>171.55</v>
      </c>
      <c r="AW59" s="57">
        <f>[9]January_2019!AG7</f>
        <v>423.8</v>
      </c>
      <c r="AX59" s="277">
        <f>[9]January_2019!AH7</f>
        <v>0</v>
      </c>
      <c r="AY59" s="277"/>
      <c r="AZ59" s="277"/>
      <c r="BA59" s="277"/>
      <c r="BB59" s="277"/>
      <c r="BC59" s="277"/>
      <c r="BD59" s="277"/>
      <c r="BE59" s="277"/>
    </row>
    <row r="60" spans="1:57" s="54" customFormat="1" ht="19.5" hidden="1" customHeight="1" thickBot="1">
      <c r="A60" s="54" t="str">
        <f>J42</f>
        <v>CARIB</v>
      </c>
      <c r="B60" s="494"/>
      <c r="C60" s="430"/>
      <c r="D60" s="431"/>
      <c r="E60" s="432"/>
      <c r="F60" s="433"/>
      <c r="G60" s="434"/>
      <c r="H60" s="428"/>
      <c r="I60" s="428"/>
      <c r="J60" s="451"/>
      <c r="K60" s="436"/>
      <c r="L60" s="452"/>
      <c r="M60" s="421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8.450000000000003" hidden="1" customHeight="1" thickBot="1">
      <c r="B61" s="497"/>
      <c r="C61" s="495"/>
      <c r="D61" s="442"/>
      <c r="E61" s="443"/>
      <c r="F61" s="444"/>
      <c r="G61" s="445"/>
      <c r="H61" s="458"/>
      <c r="I61" s="458"/>
      <c r="J61" s="448"/>
      <c r="K61" s="460"/>
      <c r="L61" s="457"/>
      <c r="M61" s="455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5" hidden="1">
      <c r="B62" s="453"/>
      <c r="C62" s="430"/>
      <c r="D62" s="431"/>
      <c r="E62" s="432"/>
      <c r="F62" s="433"/>
      <c r="G62" s="434"/>
      <c r="H62" s="435"/>
      <c r="I62" s="450"/>
      <c r="J62" s="451"/>
      <c r="K62" s="436"/>
      <c r="L62" s="452"/>
      <c r="M62" s="421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hidden="1" customHeight="1" thickBot="1">
      <c r="B63" s="496"/>
      <c r="C63" s="495"/>
      <c r="D63" s="442"/>
      <c r="E63" s="443"/>
      <c r="F63" s="444"/>
      <c r="G63" s="445"/>
      <c r="H63" s="446"/>
      <c r="I63" s="447"/>
      <c r="J63" s="448"/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  <c r="AS63" s="57"/>
      <c r="AT63" s="57"/>
      <c r="AU63" s="57"/>
      <c r="AV63" s="57"/>
      <c r="AW63" s="57"/>
      <c r="AX63" s="277"/>
      <c r="AY63" s="277"/>
      <c r="AZ63" s="277"/>
      <c r="BA63" s="277"/>
      <c r="BB63" s="277"/>
      <c r="BC63" s="277"/>
      <c r="BD63" s="277"/>
      <c r="BE63" s="277"/>
    </row>
    <row r="64" spans="1:57" s="54" customFormat="1" ht="16.5" hidden="1" customHeight="1" thickBot="1">
      <c r="B64" s="437"/>
      <c r="C64" s="423"/>
      <c r="D64" s="424"/>
      <c r="E64" s="425"/>
      <c r="F64" s="426"/>
      <c r="G64" s="427"/>
      <c r="H64" s="428"/>
      <c r="I64" s="438"/>
      <c r="J64" s="439"/>
      <c r="K64" s="429"/>
      <c r="L64" s="440"/>
      <c r="M64" s="422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5"/>
      <c r="AC64" s="415"/>
      <c r="AD64" s="415"/>
      <c r="AE64" s="415"/>
      <c r="AF64" s="415"/>
      <c r="AG64" s="415"/>
      <c r="AH64" s="415"/>
      <c r="AI64" s="415"/>
      <c r="AJ64" s="415"/>
      <c r="AK64" s="415"/>
      <c r="AL64" s="415"/>
      <c r="AM64" s="415"/>
      <c r="AN64" s="415"/>
      <c r="AO64" s="415"/>
      <c r="AP64" s="415"/>
      <c r="AQ64" s="415"/>
      <c r="AR64" s="415"/>
      <c r="AS64" s="415"/>
      <c r="AT64" s="415"/>
      <c r="AU64" s="415"/>
      <c r="AV64" s="415"/>
      <c r="AW64" s="415"/>
    </row>
    <row r="65" spans="2:57" s="54" customFormat="1" ht="37.15" hidden="1" customHeight="1" thickBot="1">
      <c r="B65" s="456"/>
      <c r="C65" s="441"/>
      <c r="D65" s="442"/>
      <c r="E65" s="443"/>
      <c r="F65" s="444"/>
      <c r="G65" s="445"/>
      <c r="H65" s="446"/>
      <c r="I65" s="447"/>
      <c r="J65" s="448"/>
      <c r="K65" s="449"/>
      <c r="L65" s="457"/>
      <c r="M65" s="454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37.15" customHeight="1">
      <c r="B66" s="467"/>
      <c r="C66" s="430"/>
      <c r="D66" s="461"/>
      <c r="E66" s="462"/>
      <c r="F66" s="463"/>
      <c r="G66" s="461"/>
      <c r="H66" s="464"/>
      <c r="I66" s="464"/>
      <c r="J66" s="464"/>
      <c r="K66" s="465"/>
      <c r="L66" s="466"/>
      <c r="M66" s="50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ht="18" customHeight="1" thickBot="1">
      <c r="B67" s="59"/>
      <c r="C67" s="30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 t="s">
        <v>41</v>
      </c>
      <c r="O67" s="56"/>
      <c r="P67" s="60"/>
    </row>
    <row r="68" spans="2:57" ht="15.75" thickBot="1">
      <c r="B68" s="505" t="s">
        <v>55</v>
      </c>
      <c r="C68" s="506"/>
      <c r="D68" s="506"/>
      <c r="E68" s="506"/>
      <c r="F68" s="507"/>
      <c r="G68" s="505" t="s">
        <v>56</v>
      </c>
      <c r="H68" s="506"/>
      <c r="I68" s="506"/>
      <c r="J68" s="507"/>
      <c r="K68" s="505" t="s">
        <v>51</v>
      </c>
      <c r="L68" s="506"/>
      <c r="M68" s="506"/>
      <c r="N68" s="508"/>
      <c r="O68" s="56"/>
      <c r="P68" s="50"/>
    </row>
    <row r="69" spans="2:57" ht="15">
      <c r="B69" s="61" t="s">
        <v>17</v>
      </c>
      <c r="C69" s="62" t="s">
        <v>36</v>
      </c>
      <c r="D69" s="62" t="s">
        <v>37</v>
      </c>
      <c r="E69" s="62" t="s">
        <v>38</v>
      </c>
      <c r="F69" s="63" t="s">
        <v>39</v>
      </c>
      <c r="G69" s="62" t="s">
        <v>36</v>
      </c>
      <c r="H69" s="62" t="s">
        <v>37</v>
      </c>
      <c r="I69" s="62" t="s">
        <v>38</v>
      </c>
      <c r="J69" s="63" t="s">
        <v>39</v>
      </c>
      <c r="K69" s="62" t="s">
        <v>36</v>
      </c>
      <c r="L69" s="62" t="s">
        <v>37</v>
      </c>
      <c r="M69" s="62" t="s">
        <v>38</v>
      </c>
      <c r="N69" s="63" t="s">
        <v>39</v>
      </c>
      <c r="O69" s="56"/>
      <c r="P69" s="64"/>
    </row>
    <row r="70" spans="2:57" ht="15">
      <c r="B70" s="29" t="s">
        <v>6</v>
      </c>
      <c r="C70" s="282"/>
      <c r="D70" s="76">
        <v>9.0987146573707616</v>
      </c>
      <c r="E70" s="76">
        <v>9.0987146573707616</v>
      </c>
      <c r="F70" s="66">
        <v>4.8</v>
      </c>
      <c r="G70" s="65"/>
      <c r="H70" s="480">
        <v>9.0677024266236756</v>
      </c>
      <c r="I70" s="480">
        <v>9.0677024266236756</v>
      </c>
      <c r="J70" s="66">
        <v>4.8</v>
      </c>
      <c r="K70" s="67"/>
      <c r="L70" s="194">
        <v>0.38595497076023394</v>
      </c>
      <c r="M70" s="194">
        <v>0.38595497076023394</v>
      </c>
      <c r="N70" s="68">
        <v>1</v>
      </c>
      <c r="O70" s="56"/>
      <c r="P70" s="69"/>
    </row>
    <row r="71" spans="2:57" ht="15">
      <c r="B71" s="33" t="s">
        <v>9</v>
      </c>
      <c r="C71" s="65"/>
      <c r="D71" s="76">
        <v>6.6263785558913062</v>
      </c>
      <c r="E71" s="76">
        <v>6.6263785558913062</v>
      </c>
      <c r="F71" s="66">
        <v>4.8</v>
      </c>
      <c r="G71" s="65"/>
      <c r="H71" s="76">
        <v>7.0083733221260962</v>
      </c>
      <c r="I71" s="76">
        <v>7.0083733221260962</v>
      </c>
      <c r="J71" s="66">
        <v>4.8</v>
      </c>
      <c r="K71" s="67"/>
      <c r="L71" s="194">
        <v>0.66496686159844054</v>
      </c>
      <c r="M71" s="194">
        <v>0.66496686159844054</v>
      </c>
      <c r="N71" s="68">
        <v>1</v>
      </c>
      <c r="P71" s="69"/>
    </row>
    <row r="72" spans="2:57" ht="15">
      <c r="B72" s="34" t="s">
        <v>40</v>
      </c>
      <c r="C72" s="65"/>
      <c r="D72" s="76"/>
      <c r="E72" s="76"/>
      <c r="F72" s="66">
        <v>5.5</v>
      </c>
      <c r="G72" s="65"/>
      <c r="H72" s="76"/>
      <c r="I72" s="76"/>
      <c r="J72" s="66">
        <v>5.5</v>
      </c>
      <c r="K72" s="67"/>
      <c r="L72" s="194"/>
      <c r="M72" s="194"/>
      <c r="N72" s="68">
        <v>1</v>
      </c>
      <c r="P72" s="69"/>
    </row>
    <row r="73" spans="2:57" ht="15">
      <c r="B73" s="22" t="s">
        <v>33</v>
      </c>
      <c r="C73" s="65"/>
      <c r="D73" s="76">
        <v>6.5508684863523392</v>
      </c>
      <c r="E73" s="76">
        <v>6.5508684863523392</v>
      </c>
      <c r="F73" s="66">
        <v>3.3</v>
      </c>
      <c r="G73" s="65"/>
      <c r="H73" s="76">
        <v>5.2086766183151161</v>
      </c>
      <c r="I73" s="76">
        <v>5.2086766183151161</v>
      </c>
      <c r="J73" s="66">
        <v>3.3</v>
      </c>
      <c r="K73" s="67"/>
      <c r="L73" s="194">
        <v>0.6607017543859649</v>
      </c>
      <c r="M73" s="194">
        <v>0.6607017543859649</v>
      </c>
      <c r="N73" s="68">
        <v>1</v>
      </c>
      <c r="P73" s="69"/>
    </row>
    <row r="74" spans="2:57" ht="15">
      <c r="B74" s="35" t="s">
        <v>164</v>
      </c>
      <c r="C74" s="65"/>
      <c r="D74" s="76"/>
      <c r="E74" s="76"/>
      <c r="F74" s="66">
        <v>3.3</v>
      </c>
      <c r="G74" s="282"/>
      <c r="H74" s="76"/>
      <c r="I74" s="76"/>
      <c r="J74" s="66">
        <v>3</v>
      </c>
      <c r="K74" s="67"/>
      <c r="L74" s="194"/>
      <c r="M74" s="194"/>
      <c r="N74" s="68">
        <v>1</v>
      </c>
      <c r="P74" s="69"/>
    </row>
    <row r="75" spans="2:57" ht="15">
      <c r="B75" s="36" t="s">
        <v>15</v>
      </c>
      <c r="C75" s="65"/>
      <c r="D75" s="76">
        <v>5.1105651105651271</v>
      </c>
      <c r="E75" s="76">
        <v>5.1105651105651271</v>
      </c>
      <c r="F75" s="70">
        <f>[10]May_2022!$M$43</f>
        <v>3.4878406700073312</v>
      </c>
      <c r="G75" s="282"/>
      <c r="H75" s="76">
        <v>7.9131369535794072</v>
      </c>
      <c r="I75" s="76">
        <v>7.9131369535794072</v>
      </c>
      <c r="J75" s="66">
        <v>5.5</v>
      </c>
      <c r="K75" s="67"/>
      <c r="L75" s="194">
        <v>1.3550877192982456</v>
      </c>
      <c r="M75" s="194">
        <v>1.3550877192982456</v>
      </c>
      <c r="N75" s="68">
        <v>1</v>
      </c>
      <c r="P75" s="69"/>
    </row>
    <row r="76" spans="2:57" ht="15">
      <c r="B76" s="37" t="s">
        <v>16</v>
      </c>
      <c r="C76" s="65"/>
      <c r="D76" s="76"/>
      <c r="E76" s="76"/>
      <c r="F76" s="66">
        <v>3.3</v>
      </c>
      <c r="G76" s="282"/>
      <c r="H76" s="76">
        <v>2.1755040108015784</v>
      </c>
      <c r="I76" s="76">
        <v>2.1755040108015784</v>
      </c>
      <c r="J76" s="66">
        <v>3.3</v>
      </c>
      <c r="K76" s="67"/>
      <c r="L76" s="194">
        <v>0.88456140350877199</v>
      </c>
      <c r="M76" s="194">
        <v>0.88456140350877199</v>
      </c>
      <c r="N76" s="71">
        <v>1</v>
      </c>
      <c r="P76" s="69"/>
    </row>
    <row r="77" spans="2:57" ht="15.75" thickBot="1">
      <c r="B77" s="38" t="s">
        <v>163</v>
      </c>
      <c r="C77" s="65"/>
      <c r="D77" s="76"/>
      <c r="E77" s="76"/>
      <c r="F77" s="66">
        <v>7.5</v>
      </c>
      <c r="G77" s="282"/>
      <c r="H77" s="76"/>
      <c r="I77" s="76"/>
      <c r="J77" s="66">
        <v>7.5</v>
      </c>
      <c r="K77" s="67"/>
      <c r="L77" s="194"/>
      <c r="M77" s="194"/>
      <c r="N77" s="71">
        <v>1</v>
      </c>
      <c r="P77" s="69"/>
    </row>
    <row r="78" spans="2:57" ht="15.75" thickBot="1">
      <c r="B78" s="414" t="s">
        <v>161</v>
      </c>
      <c r="C78" s="65"/>
      <c r="D78" s="76"/>
      <c r="E78" s="76"/>
      <c r="F78" s="66">
        <v>4.8</v>
      </c>
      <c r="G78" s="282"/>
      <c r="H78" s="76"/>
      <c r="I78" s="76"/>
      <c r="J78" s="66">
        <v>4.8</v>
      </c>
      <c r="K78" s="67"/>
      <c r="L78" s="194"/>
      <c r="M78" s="194"/>
      <c r="N78" s="71">
        <v>1</v>
      </c>
      <c r="O78" s="74"/>
      <c r="P78" s="75"/>
    </row>
    <row r="79" spans="2:57" ht="15">
      <c r="D79" s="76">
        <v>7.22530442607352</v>
      </c>
      <c r="E79" s="76">
        <v>7.22530442607352</v>
      </c>
      <c r="F79" s="341">
        <v>5.5</v>
      </c>
      <c r="H79" s="76">
        <v>7.212974456492657</v>
      </c>
      <c r="I79" s="76">
        <v>7.212974456492657</v>
      </c>
      <c r="J79" s="341">
        <v>5.5</v>
      </c>
      <c r="L79" s="194">
        <v>0.56702132782937731</v>
      </c>
      <c r="M79" s="194">
        <v>0.56702132782937731</v>
      </c>
      <c r="N79" s="386">
        <v>1</v>
      </c>
    </row>
  </sheetData>
  <mergeCells count="51">
    <mergeCell ref="M55:M56"/>
    <mergeCell ref="B68:F68"/>
    <mergeCell ref="G68:J68"/>
    <mergeCell ref="K68:N68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779" priority="75" operator="notBetween">
      <formula>#REF!</formula>
      <formula>#REF!</formula>
    </cfRule>
  </conditionalFormatting>
  <conditionalFormatting sqref="C54">
    <cfRule type="cellIs" dxfId="778" priority="203" stopIfTrue="1" operator="greaterThan">
      <formula>100</formula>
    </cfRule>
    <cfRule type="cellIs" dxfId="777" priority="202" stopIfTrue="1" operator="lessThan">
      <formula>96</formula>
    </cfRule>
  </conditionalFormatting>
  <conditionalFormatting sqref="C70:C74">
    <cfRule type="cellIs" dxfId="776" priority="160" stopIfTrue="1" operator="lessThanOrEqual">
      <formula>0</formula>
    </cfRule>
  </conditionalFormatting>
  <conditionalFormatting sqref="C70:C78">
    <cfRule type="cellIs" dxfId="775" priority="159" stopIfTrue="1" operator="greaterThan">
      <formula>$F70</formula>
    </cfRule>
  </conditionalFormatting>
  <conditionalFormatting sqref="C71">
    <cfRule type="cellIs" dxfId="774" priority="206" stopIfTrue="1" operator="greaterThan">
      <formula>$F70</formula>
    </cfRule>
  </conditionalFormatting>
  <conditionalFormatting sqref="C75">
    <cfRule type="cellIs" dxfId="773" priority="99" stopIfTrue="1" operator="lessThanOrEqual">
      <formula>0</formula>
    </cfRule>
    <cfRule type="cellIs" dxfId="772" priority="100" stopIfTrue="1" operator="greaterThan">
      <formula>$F74</formula>
    </cfRule>
  </conditionalFormatting>
  <conditionalFormatting sqref="C81:C85">
    <cfRule type="cellIs" dxfId="771" priority="194" stopIfTrue="1" operator="lessThanOrEqual">
      <formula>0</formula>
    </cfRule>
  </conditionalFormatting>
  <conditionalFormatting sqref="C82:C85">
    <cfRule type="cellIs" dxfId="770" priority="193" stopIfTrue="1" operator="greaterThan">
      <formula>$F$81</formula>
    </cfRule>
  </conditionalFormatting>
  <conditionalFormatting sqref="C87">
    <cfRule type="cellIs" dxfId="769" priority="196" stopIfTrue="1" operator="lessThanOrEqual">
      <formula>0</formula>
    </cfRule>
    <cfRule type="cellIs" dxfId="768" priority="195" stopIfTrue="1" operator="greaterThan">
      <formula>$F$81</formula>
    </cfRule>
  </conditionalFormatting>
  <conditionalFormatting sqref="C81:D81 D83:D89">
    <cfRule type="cellIs" dxfId="767" priority="188" stopIfTrue="1" operator="greaterThan">
      <formula>4.5</formula>
    </cfRule>
  </conditionalFormatting>
  <conditionalFormatting sqref="D50:D51">
    <cfRule type="cellIs" dxfId="766" priority="76" operator="notBetween">
      <formula>#REF!</formula>
      <formula>#REF!</formula>
    </cfRule>
  </conditionalFormatting>
  <conditionalFormatting sqref="D70:D77">
    <cfRule type="cellIs" dxfId="765" priority="168" stopIfTrue="1" operator="lessThanOrEqual">
      <formula>0</formula>
    </cfRule>
  </conditionalFormatting>
  <conditionalFormatting sqref="D81 D83:D89">
    <cfRule type="cellIs" dxfId="764" priority="189" stopIfTrue="1" operator="lessThanOrEqual">
      <formula>0</formula>
    </cfRule>
  </conditionalFormatting>
  <conditionalFormatting sqref="D82">
    <cfRule type="cellIs" dxfId="763" priority="180" stopIfTrue="1" operator="greaterThan">
      <formula>$F$81</formula>
    </cfRule>
    <cfRule type="cellIs" dxfId="762" priority="181" stopIfTrue="1" operator="lessThanOrEqual">
      <formula>0</formula>
    </cfRule>
  </conditionalFormatting>
  <conditionalFormatting sqref="D70:E79">
    <cfRule type="cellIs" dxfId="761" priority="157" stopIfTrue="1" operator="greaterThan">
      <formula>$F70</formula>
    </cfRule>
  </conditionalFormatting>
  <conditionalFormatting sqref="D78:E78">
    <cfRule type="cellIs" dxfId="760" priority="167" stopIfTrue="1" operator="lessThanOrEqual">
      <formula>0</formula>
    </cfRule>
  </conditionalFormatting>
  <conditionalFormatting sqref="D79:E79">
    <cfRule type="cellIs" dxfId="759" priority="158" stopIfTrue="1" operator="lessThanOrEqual">
      <formula>0</formula>
    </cfRule>
  </conditionalFormatting>
  <conditionalFormatting sqref="E10:E25">
    <cfRule type="cellIs" dxfId="758" priority="34" operator="lessThan">
      <formula>48</formula>
    </cfRule>
  </conditionalFormatting>
  <conditionalFormatting sqref="E53 E54:F54">
    <cfRule type="cellIs" dxfId="757" priority="185" stopIfTrue="1" operator="greaterThan">
      <formula>100</formula>
    </cfRule>
  </conditionalFormatting>
  <conditionalFormatting sqref="E54">
    <cfRule type="cellIs" dxfId="756" priority="182" stopIfTrue="1" operator="lessThan">
      <formula>96.8</formula>
    </cfRule>
    <cfRule type="cellIs" dxfId="755" priority="183" stopIfTrue="1" operator="greaterThan">
      <formula>100</formula>
    </cfRule>
  </conditionalFormatting>
  <conditionalFormatting sqref="E70:E77">
    <cfRule type="cellIs" dxfId="754" priority="1" stopIfTrue="1" operator="lessThanOrEqual">
      <formula>0</formula>
    </cfRule>
  </conditionalFormatting>
  <conditionalFormatting sqref="E70:E78">
    <cfRule type="cellIs" dxfId="753" priority="164" stopIfTrue="1" operator="lessThanOrEqual">
      <formula>0</formula>
    </cfRule>
  </conditionalFormatting>
  <conditionalFormatting sqref="E81:E89">
    <cfRule type="cellIs" dxfId="752" priority="175" stopIfTrue="1" operator="lessThanOrEqual">
      <formula>0</formula>
    </cfRule>
    <cfRule type="cellIs" dxfId="751" priority="174" stopIfTrue="1" operator="greaterThan">
      <formula>4.5</formula>
    </cfRule>
  </conditionalFormatting>
  <conditionalFormatting sqref="E54:F54 E53">
    <cfRule type="cellIs" dxfId="750" priority="184" stopIfTrue="1" operator="lessThan">
      <formula>96.5</formula>
    </cfRule>
  </conditionalFormatting>
  <conditionalFormatting sqref="F21:F25">
    <cfRule type="cellIs" dxfId="749" priority="35" operator="greaterThan">
      <formula>60</formula>
    </cfRule>
  </conditionalFormatting>
  <conditionalFormatting sqref="F54">
    <cfRule type="cellIs" dxfId="748" priority="200" stopIfTrue="1" operator="lessThan">
      <formula>96.8</formula>
    </cfRule>
    <cfRule type="cellIs" dxfId="747" priority="201" stopIfTrue="1" operator="greaterThan">
      <formula>100</formula>
    </cfRule>
  </conditionalFormatting>
  <conditionalFormatting sqref="F79">
    <cfRule type="cellIs" dxfId="746" priority="166" stopIfTrue="1" operator="lessThanOrEqual">
      <formula>0</formula>
    </cfRule>
    <cfRule type="cellIs" dxfId="745" priority="165" stopIfTrue="1" operator="greaterThan">
      <formula>$F79</formula>
    </cfRule>
  </conditionalFormatting>
  <conditionalFormatting sqref="G10:G20 G24">
    <cfRule type="expression" dxfId="744" priority="37">
      <formula>IF(+(IF(G10&lt;S10,0,IF(G10&gt;T10,0,1)))=0,1)</formula>
    </cfRule>
  </conditionalFormatting>
  <conditionalFormatting sqref="G70:G71 C76:C78">
    <cfRule type="cellIs" dxfId="743" priority="170" stopIfTrue="1" operator="lessThanOrEqual">
      <formula>0</formula>
    </cfRule>
  </conditionalFormatting>
  <conditionalFormatting sqref="G70:G71">
    <cfRule type="cellIs" dxfId="742" priority="169" stopIfTrue="1" operator="greaterThan">
      <formula>$F70</formula>
    </cfRule>
    <cfRule type="cellIs" dxfId="741" priority="162" stopIfTrue="1" operator="lessThanOrEqual">
      <formula>0</formula>
    </cfRule>
    <cfRule type="cellIs" dxfId="740" priority="161" stopIfTrue="1" operator="greaterThan">
      <formula>$F70</formula>
    </cfRule>
  </conditionalFormatting>
  <conditionalFormatting sqref="G72">
    <cfRule type="cellIs" dxfId="739" priority="205" stopIfTrue="1" operator="lessThanOrEqual">
      <formula>0</formula>
    </cfRule>
    <cfRule type="cellIs" dxfId="738" priority="204" stopIfTrue="1" operator="greaterThan">
      <formula>$F71</formula>
    </cfRule>
  </conditionalFormatting>
  <conditionalFormatting sqref="G73">
    <cfRule type="cellIs" dxfId="737" priority="71" stopIfTrue="1" operator="greaterThan">
      <formula>$F73</formula>
    </cfRule>
    <cfRule type="cellIs" dxfId="736" priority="73" stopIfTrue="1" operator="greaterThan">
      <formula>$F73</formula>
    </cfRule>
    <cfRule type="cellIs" dxfId="735" priority="72" stopIfTrue="1" operator="lessThanOrEqual">
      <formula>0</formula>
    </cfRule>
    <cfRule type="cellIs" dxfId="734" priority="74" stopIfTrue="1" operator="lessThanOrEqual">
      <formula>0</formula>
    </cfRule>
  </conditionalFormatting>
  <conditionalFormatting sqref="G74:G78">
    <cfRule type="cellIs" dxfId="733" priority="172" stopIfTrue="1" operator="lessThanOrEqual">
      <formula>0</formula>
    </cfRule>
    <cfRule type="cellIs" dxfId="732" priority="171" stopIfTrue="1" operator="greaterThan">
      <formula>$J74</formula>
    </cfRule>
  </conditionalFormatting>
  <conditionalFormatting sqref="G83:G88 C86 C88">
    <cfRule type="cellIs" dxfId="731" priority="198" stopIfTrue="1" operator="lessThanOrEqual">
      <formula>0</formula>
    </cfRule>
    <cfRule type="cellIs" dxfId="730" priority="197" stopIfTrue="1" operator="greaterThan">
      <formula>4.5</formula>
    </cfRule>
  </conditionalFormatting>
  <conditionalFormatting sqref="G82:H82">
    <cfRule type="cellIs" dxfId="729" priority="178" stopIfTrue="1" operator="greaterThan">
      <formula>$F$81</formula>
    </cfRule>
    <cfRule type="cellIs" dxfId="728" priority="179" stopIfTrue="1" operator="lessThanOrEqual">
      <formula>0</formula>
    </cfRule>
  </conditionalFormatting>
  <conditionalFormatting sqref="H10:H24 G21:G23 G25:H25">
    <cfRule type="expression" dxfId="727" priority="68">
      <formula>IF(+(IF(G10&lt;#REF!,0,IF(G10&gt;#REF!,0,1)))=0,1)</formula>
    </cfRule>
  </conditionalFormatting>
  <conditionalFormatting sqref="H39:H40 H53">
    <cfRule type="cellIs" dxfId="726" priority="176" stopIfTrue="1" operator="greaterThan">
      <formula>0</formula>
    </cfRule>
  </conditionalFormatting>
  <conditionalFormatting sqref="H57:H58">
    <cfRule type="cellIs" dxfId="725" priority="15" stopIfTrue="1" operator="lessThanOrEqual">
      <formula>0</formula>
    </cfRule>
    <cfRule type="cellIs" dxfId="724" priority="16" stopIfTrue="1" operator="greaterThan">
      <formula>#REF!</formula>
    </cfRule>
    <cfRule type="cellIs" dxfId="723" priority="24" stopIfTrue="1" operator="greaterThan">
      <formula>$F$25</formula>
    </cfRule>
    <cfRule type="cellIs" dxfId="722" priority="25" stopIfTrue="1" operator="lessThanOrEqual">
      <formula>0</formula>
    </cfRule>
    <cfRule type="cellIs" dxfId="721" priority="26" stopIfTrue="1" operator="greaterThan">
      <formula>#REF!</formula>
    </cfRule>
  </conditionalFormatting>
  <conditionalFormatting sqref="H57:H59">
    <cfRule type="cellIs" dxfId="720" priority="27" stopIfTrue="1" operator="lessThanOrEqual">
      <formula>0</formula>
    </cfRule>
  </conditionalFormatting>
  <conditionalFormatting sqref="H59">
    <cfRule type="cellIs" dxfId="719" priority="51" stopIfTrue="1" operator="lessThanOrEqual">
      <formula>0</formula>
    </cfRule>
    <cfRule type="cellIs" dxfId="718" priority="40" stopIfTrue="1" operator="greaterThan">
      <formula>#REF!</formula>
    </cfRule>
    <cfRule type="cellIs" dxfId="717" priority="48" stopIfTrue="1" operator="greaterThan">
      <formula>$F$25</formula>
    </cfRule>
    <cfRule type="cellIs" dxfId="716" priority="49" stopIfTrue="1" operator="lessThanOrEqual">
      <formula>0</formula>
    </cfRule>
    <cfRule type="cellIs" dxfId="715" priority="50" stopIfTrue="1" operator="greaterThan">
      <formula>#REF!</formula>
    </cfRule>
  </conditionalFormatting>
  <conditionalFormatting sqref="H60">
    <cfRule type="cellIs" dxfId="714" priority="126" stopIfTrue="1" operator="lessThanOrEqual">
      <formula>0</formula>
    </cfRule>
    <cfRule type="cellIs" dxfId="713" priority="127" stopIfTrue="1" operator="greaterThan">
      <formula>#REF!</formula>
    </cfRule>
    <cfRule type="cellIs" dxfId="712" priority="128" stopIfTrue="1" operator="lessThanOrEqual">
      <formula>0</formula>
    </cfRule>
    <cfRule type="cellIs" dxfId="711" priority="125" stopIfTrue="1" operator="greaterThan">
      <formula>$F$26</formula>
    </cfRule>
    <cfRule type="cellIs" dxfId="710" priority="117" stopIfTrue="1" operator="greaterThan">
      <formula>#REF!</formula>
    </cfRule>
    <cfRule type="cellIs" dxfId="709" priority="116" stopIfTrue="1" operator="lessThanOrEqual">
      <formula>0</formula>
    </cfRule>
  </conditionalFormatting>
  <conditionalFormatting sqref="H61">
    <cfRule type="cellIs" dxfId="708" priority="62" stopIfTrue="1" operator="greaterThan">
      <formula>$F$73</formula>
    </cfRule>
    <cfRule type="cellIs" dxfId="707" priority="53" stopIfTrue="1" operator="lessThanOrEqual">
      <formula>0</formula>
    </cfRule>
    <cfRule type="cellIs" dxfId="706" priority="54" stopIfTrue="1" operator="greaterThan">
      <formula>$F$70</formula>
    </cfRule>
    <cfRule type="cellIs" dxfId="705" priority="63" stopIfTrue="1" operator="lessThanOrEqual">
      <formula>0</formula>
    </cfRule>
    <cfRule type="cellIs" dxfId="704" priority="65" stopIfTrue="1" operator="lessThanOrEqual">
      <formula>0</formula>
    </cfRule>
    <cfRule type="cellIs" dxfId="703" priority="64" stopIfTrue="1" operator="greaterThan">
      <formula>$F$71</formula>
    </cfRule>
  </conditionalFormatting>
  <conditionalFormatting sqref="H62:H63">
    <cfRule type="cellIs" dxfId="702" priority="114" stopIfTrue="1" operator="lessThanOrEqual">
      <formula>0</formula>
    </cfRule>
    <cfRule type="cellIs" dxfId="701" priority="113" stopIfTrue="1" operator="greaterThan">
      <formula>#REF!</formula>
    </cfRule>
    <cfRule type="cellIs" dxfId="700" priority="103" stopIfTrue="1" operator="greaterThan">
      <formula>#REF!</formula>
    </cfRule>
    <cfRule type="cellIs" dxfId="699" priority="111" stopIfTrue="1" operator="greaterThan">
      <formula>$F$25</formula>
    </cfRule>
    <cfRule type="cellIs" dxfId="698" priority="112" stopIfTrue="1" operator="lessThanOrEqual">
      <formula>0</formula>
    </cfRule>
    <cfRule type="cellIs" dxfId="697" priority="102" stopIfTrue="1" operator="lessThanOrEqual">
      <formula>0</formula>
    </cfRule>
  </conditionalFormatting>
  <conditionalFormatting sqref="H64">
    <cfRule type="cellIs" dxfId="696" priority="131" stopIfTrue="1" operator="lessThanOrEqual">
      <formula>0</formula>
    </cfRule>
    <cfRule type="cellIs" dxfId="695" priority="132" stopIfTrue="1" operator="greaterThan">
      <formula>$F$38</formula>
    </cfRule>
    <cfRule type="cellIs" dxfId="694" priority="143" stopIfTrue="1" operator="lessThanOrEqual">
      <formula>0</formula>
    </cfRule>
    <cfRule type="cellIs" dxfId="693" priority="140" stopIfTrue="1" operator="greaterThan">
      <formula>$F$41</formula>
    </cfRule>
    <cfRule type="cellIs" dxfId="692" priority="141" stopIfTrue="1" operator="lessThanOrEqual">
      <formula>0</formula>
    </cfRule>
    <cfRule type="cellIs" dxfId="691" priority="142" stopIfTrue="1" operator="greaterThan">
      <formula>$F$39</formula>
    </cfRule>
  </conditionalFormatting>
  <conditionalFormatting sqref="H65:H66">
    <cfRule type="cellIs" dxfId="690" priority="87" stopIfTrue="1" operator="greaterThan">
      <formula>#REF!</formula>
    </cfRule>
    <cfRule type="cellIs" dxfId="689" priority="96" stopIfTrue="1" operator="lessThanOrEqual">
      <formula>0</formula>
    </cfRule>
    <cfRule type="cellIs" dxfId="688" priority="95" stopIfTrue="1" operator="greaterThan">
      <formula>$F$25</formula>
    </cfRule>
    <cfRule type="cellIs" dxfId="687" priority="98" stopIfTrue="1" operator="lessThanOrEqual">
      <formula>0</formula>
    </cfRule>
    <cfRule type="cellIs" dxfId="686" priority="97" stopIfTrue="1" operator="greaterThan">
      <formula>#REF!</formula>
    </cfRule>
    <cfRule type="cellIs" dxfId="685" priority="86" stopIfTrue="1" operator="lessThanOrEqual">
      <formula>0</formula>
    </cfRule>
  </conditionalFormatting>
  <conditionalFormatting sqref="H81 H83:H89">
    <cfRule type="cellIs" dxfId="684" priority="191" stopIfTrue="1" operator="lessThanOrEqual">
      <formula>0</formula>
    </cfRule>
    <cfRule type="cellIs" dxfId="683" priority="190" stopIfTrue="1" operator="greaterThan">
      <formula>4.5</formula>
    </cfRule>
  </conditionalFormatting>
  <conditionalFormatting sqref="H57:I58">
    <cfRule type="cellIs" dxfId="682" priority="17" stopIfTrue="1" operator="lessThanOrEqual">
      <formula>0</formula>
    </cfRule>
  </conditionalFormatting>
  <conditionalFormatting sqref="H57:I59">
    <cfRule type="cellIs" dxfId="681" priority="14" stopIfTrue="1" operator="greaterThan">
      <formula>#REF!</formula>
    </cfRule>
  </conditionalFormatting>
  <conditionalFormatting sqref="H59:I59">
    <cfRule type="cellIs" dxfId="680" priority="41" stopIfTrue="1" operator="lessThanOrEqual">
      <formula>0</formula>
    </cfRule>
  </conditionalFormatting>
  <conditionalFormatting sqref="H60:I60">
    <cfRule type="cellIs" dxfId="679" priority="118" stopIfTrue="1" operator="lessThanOrEqual">
      <formula>0</formula>
    </cfRule>
    <cfRule type="cellIs" dxfId="678" priority="115" stopIfTrue="1" operator="greaterThan">
      <formula>$F$25</formula>
    </cfRule>
  </conditionalFormatting>
  <conditionalFormatting sqref="H61:I61">
    <cfRule type="cellIs" dxfId="677" priority="55" stopIfTrue="1" operator="lessThanOrEqual">
      <formula>0</formula>
    </cfRule>
    <cfRule type="cellIs" dxfId="676" priority="52" stopIfTrue="1" operator="greaterThan">
      <formula>$F$72</formula>
    </cfRule>
  </conditionalFormatting>
  <conditionalFormatting sqref="H62:I63">
    <cfRule type="cellIs" dxfId="675" priority="101" stopIfTrue="1" operator="greaterThan">
      <formula>#REF!</formula>
    </cfRule>
    <cfRule type="cellIs" dxfId="674" priority="104" stopIfTrue="1" operator="lessThanOrEqual">
      <formula>0</formula>
    </cfRule>
  </conditionalFormatting>
  <conditionalFormatting sqref="H64:I64">
    <cfRule type="cellIs" dxfId="673" priority="133" stopIfTrue="1" operator="lessThanOrEqual">
      <formula>0</formula>
    </cfRule>
    <cfRule type="cellIs" dxfId="672" priority="130" stopIfTrue="1" operator="greaterThan">
      <formula>$F$40</formula>
    </cfRule>
  </conditionalFormatting>
  <conditionalFormatting sqref="H65:I66">
    <cfRule type="cellIs" dxfId="671" priority="88" stopIfTrue="1" operator="lessThanOrEqual">
      <formula>0</formula>
    </cfRule>
    <cfRule type="cellIs" dxfId="670" priority="85" stopIfTrue="1" operator="greaterThan">
      <formula>#REF!</formula>
    </cfRule>
  </conditionalFormatting>
  <conditionalFormatting sqref="H70:I77">
    <cfRule type="cellIs" dxfId="669" priority="66" stopIfTrue="1" operator="greaterThan">
      <formula>$J70</formula>
    </cfRule>
    <cfRule type="cellIs" dxfId="668" priority="67" stopIfTrue="1" operator="lessThanOrEqual">
      <formula>0</formula>
    </cfRule>
  </conditionalFormatting>
  <conditionalFormatting sqref="H78:I78">
    <cfRule type="cellIs" dxfId="667" priority="163" operator="greaterThan">
      <formula>5.3</formula>
    </cfRule>
  </conditionalFormatting>
  <conditionalFormatting sqref="H79:I79">
    <cfRule type="cellIs" dxfId="666" priority="155" stopIfTrue="1" operator="greaterThan">
      <formula>$J79</formula>
    </cfRule>
    <cfRule type="cellIs" dxfId="665" priority="156" stopIfTrue="1" operator="lessThanOrEqual">
      <formula>0</formula>
    </cfRule>
  </conditionalFormatting>
  <conditionalFormatting sqref="I57:I58">
    <cfRule type="cellIs" dxfId="664" priority="19" stopIfTrue="1" operator="lessThanOrEqual">
      <formula>0</formula>
    </cfRule>
    <cfRule type="cellIs" dxfId="663" priority="20" stopIfTrue="1" operator="greaterThan">
      <formula>#REF!</formula>
    </cfRule>
    <cfRule type="cellIs" dxfId="662" priority="21" stopIfTrue="1" operator="lessThanOrEqual">
      <formula>0</formula>
    </cfRule>
    <cfRule type="cellIs" dxfId="661" priority="22" stopIfTrue="1" operator="greaterThan">
      <formula>#REF!</formula>
    </cfRule>
    <cfRule type="cellIs" dxfId="660" priority="23" stopIfTrue="1" operator="lessThanOrEqual">
      <formula>0</formula>
    </cfRule>
    <cfRule type="cellIs" dxfId="659" priority="18" stopIfTrue="1" operator="greaterThan">
      <formula>#REF!</formula>
    </cfRule>
  </conditionalFormatting>
  <conditionalFormatting sqref="I59">
    <cfRule type="cellIs" dxfId="658" priority="46" stopIfTrue="1" operator="greaterThan">
      <formula>#REF!</formula>
    </cfRule>
    <cfRule type="cellIs" dxfId="657" priority="45" stopIfTrue="1" operator="lessThanOrEqual">
      <formula>0</formula>
    </cfRule>
    <cfRule type="cellIs" dxfId="656" priority="44" stopIfTrue="1" operator="greaterThan">
      <formula>#REF!</formula>
    </cfRule>
    <cfRule type="cellIs" dxfId="655" priority="47" stopIfTrue="1" operator="lessThanOrEqual">
      <formula>0</formula>
    </cfRule>
    <cfRule type="cellIs" dxfId="654" priority="42" stopIfTrue="1" operator="greaterThan">
      <formula>#REF!</formula>
    </cfRule>
    <cfRule type="cellIs" dxfId="653" priority="43" stopIfTrue="1" operator="lessThanOrEqual">
      <formula>0</formula>
    </cfRule>
  </conditionalFormatting>
  <conditionalFormatting sqref="I60">
    <cfRule type="cellIs" dxfId="652" priority="119" stopIfTrue="1" operator="greaterThan">
      <formula>#REF!</formula>
    </cfRule>
    <cfRule type="cellIs" dxfId="651" priority="121" stopIfTrue="1" operator="greaterThan">
      <formula>$F$25</formula>
    </cfRule>
    <cfRule type="cellIs" dxfId="650" priority="122" stopIfTrue="1" operator="lessThanOrEqual">
      <formula>0</formula>
    </cfRule>
    <cfRule type="cellIs" dxfId="649" priority="123" stopIfTrue="1" operator="greaterThan">
      <formula>#REF!</formula>
    </cfRule>
    <cfRule type="cellIs" dxfId="648" priority="124" stopIfTrue="1" operator="lessThanOrEqual">
      <formula>0</formula>
    </cfRule>
    <cfRule type="cellIs" dxfId="647" priority="120" stopIfTrue="1" operator="lessThanOrEqual">
      <formula>0</formula>
    </cfRule>
  </conditionalFormatting>
  <conditionalFormatting sqref="I61">
    <cfRule type="cellIs" dxfId="646" priority="61" stopIfTrue="1" operator="lessThanOrEqual">
      <formula>0</formula>
    </cfRule>
    <cfRule type="cellIs" dxfId="645" priority="60" stopIfTrue="1" operator="greaterThan">
      <formula>$F$70</formula>
    </cfRule>
    <cfRule type="cellIs" dxfId="644" priority="56" stopIfTrue="1" operator="greaterThan">
      <formula>$F$70</formula>
    </cfRule>
    <cfRule type="cellIs" dxfId="643" priority="57" stopIfTrue="1" operator="lessThanOrEqual">
      <formula>0</formula>
    </cfRule>
    <cfRule type="cellIs" dxfId="642" priority="58" stopIfTrue="1" operator="greaterThan">
      <formula>$F$72</formula>
    </cfRule>
    <cfRule type="cellIs" dxfId="641" priority="59" stopIfTrue="1" operator="lessThanOrEqual">
      <formula>0</formula>
    </cfRule>
  </conditionalFormatting>
  <conditionalFormatting sqref="I62:I63">
    <cfRule type="cellIs" dxfId="640" priority="105" stopIfTrue="1" operator="greaterThan">
      <formula>#REF!</formula>
    </cfRule>
    <cfRule type="cellIs" dxfId="639" priority="110" stopIfTrue="1" operator="lessThanOrEqual">
      <formula>0</formula>
    </cfRule>
    <cfRule type="cellIs" dxfId="638" priority="106" stopIfTrue="1" operator="lessThanOrEqual">
      <formula>0</formula>
    </cfRule>
    <cfRule type="cellIs" dxfId="637" priority="107" stopIfTrue="1" operator="greaterThan">
      <formula>#REF!</formula>
    </cfRule>
    <cfRule type="cellIs" dxfId="636" priority="108" stopIfTrue="1" operator="lessThanOrEqual">
      <formula>0</formula>
    </cfRule>
    <cfRule type="cellIs" dxfId="635" priority="109" stopIfTrue="1" operator="greaterThan">
      <formula>#REF!</formula>
    </cfRule>
  </conditionalFormatting>
  <conditionalFormatting sqref="I64">
    <cfRule type="cellIs" dxfId="634" priority="138" stopIfTrue="1" operator="greaterThan">
      <formula>$F$38</formula>
    </cfRule>
    <cfRule type="cellIs" dxfId="633" priority="139" stopIfTrue="1" operator="lessThanOrEqual">
      <formula>0</formula>
    </cfRule>
    <cfRule type="cellIs" dxfId="632" priority="134" stopIfTrue="1" operator="greaterThan">
      <formula>$F$38</formula>
    </cfRule>
    <cfRule type="cellIs" dxfId="631" priority="135" stopIfTrue="1" operator="lessThanOrEqual">
      <formula>0</formula>
    </cfRule>
    <cfRule type="cellIs" dxfId="630" priority="136" stopIfTrue="1" operator="greaterThan">
      <formula>$F$40</formula>
    </cfRule>
    <cfRule type="cellIs" dxfId="629" priority="137" stopIfTrue="1" operator="lessThanOrEqual">
      <formula>0</formula>
    </cfRule>
  </conditionalFormatting>
  <conditionalFormatting sqref="I65:I66">
    <cfRule type="cellIs" dxfId="628" priority="90" stopIfTrue="1" operator="lessThanOrEqual">
      <formula>0</formula>
    </cfRule>
    <cfRule type="cellIs" dxfId="627" priority="94" stopIfTrue="1" operator="lessThanOrEqual">
      <formula>0</formula>
    </cfRule>
    <cfRule type="cellIs" dxfId="626" priority="91" stopIfTrue="1" operator="greaterThan">
      <formula>#REF!</formula>
    </cfRule>
    <cfRule type="cellIs" dxfId="625" priority="89" stopIfTrue="1" operator="greaterThan">
      <formula>#REF!</formula>
    </cfRule>
    <cfRule type="cellIs" dxfId="624" priority="93" stopIfTrue="1" operator="greaterThan">
      <formula>#REF!</formula>
    </cfRule>
    <cfRule type="cellIs" dxfId="623" priority="92" stopIfTrue="1" operator="lessThanOrEqual">
      <formula>0</formula>
    </cfRule>
  </conditionalFormatting>
  <conditionalFormatting sqref="I81:I89">
    <cfRule type="cellIs" dxfId="622" priority="186" stopIfTrue="1" operator="greaterThan">
      <formula>4.5</formula>
    </cfRule>
    <cfRule type="cellIs" dxfId="621" priority="187" stopIfTrue="1" operator="lessThanOrEqual">
      <formula>0</formula>
    </cfRule>
  </conditionalFormatting>
  <conditionalFormatting sqref="I10:J25">
    <cfRule type="cellIs" dxfId="620" priority="30" operator="lessThan">
      <formula>97.9</formula>
    </cfRule>
  </conditionalFormatting>
  <conditionalFormatting sqref="J30">
    <cfRule type="cellIs" dxfId="619" priority="145" stopIfTrue="1" operator="lessThan">
      <formula>96.8</formula>
    </cfRule>
    <cfRule type="cellIs" dxfId="618" priority="146" stopIfTrue="1" operator="greaterThan">
      <formula>100</formula>
    </cfRule>
    <cfRule type="cellIs" dxfId="617" priority="147" operator="lessThan">
      <formula>98</formula>
    </cfRule>
  </conditionalFormatting>
  <conditionalFormatting sqref="J30:J32">
    <cfRule type="cellIs" dxfId="616" priority="144" operator="lessThan">
      <formula>97.4</formula>
    </cfRule>
  </conditionalFormatting>
  <conditionalFormatting sqref="J33:J34">
    <cfRule type="cellIs" dxfId="615" priority="148" operator="lessThan">
      <formula>98</formula>
    </cfRule>
  </conditionalFormatting>
  <conditionalFormatting sqref="J35:J36">
    <cfRule type="cellIs" dxfId="614" priority="149" stopIfTrue="1" operator="lessThan">
      <formula>96.8</formula>
    </cfRule>
    <cfRule type="cellIs" dxfId="613" priority="150" stopIfTrue="1" operator="greaterThan">
      <formula>100</formula>
    </cfRule>
  </conditionalFormatting>
  <conditionalFormatting sqref="J35:J37">
    <cfRule type="cellIs" dxfId="612" priority="151" operator="lessThan">
      <formula>98</formula>
    </cfRule>
  </conditionalFormatting>
  <conditionalFormatting sqref="J66">
    <cfRule type="cellIs" dxfId="611" priority="77" stopIfTrue="1" operator="greaterThan">
      <formula>#REF!</formula>
    </cfRule>
    <cfRule type="cellIs" dxfId="610" priority="79" stopIfTrue="1" operator="greaterThan">
      <formula>#REF!</formula>
    </cfRule>
    <cfRule type="cellIs" dxfId="609" priority="84" stopIfTrue="1" operator="lessThanOrEqual">
      <formula>0</formula>
    </cfRule>
    <cfRule type="cellIs" dxfId="608" priority="83" stopIfTrue="1" operator="greaterThan">
      <formula>#REF!</formula>
    </cfRule>
    <cfRule type="cellIs" dxfId="607" priority="82" stopIfTrue="1" operator="lessThanOrEqual">
      <formula>0</formula>
    </cfRule>
    <cfRule type="cellIs" dxfId="606" priority="81" stopIfTrue="1" operator="greaterThan">
      <formula>#REF!</formula>
    </cfRule>
    <cfRule type="cellIs" dxfId="605" priority="80" stopIfTrue="1" operator="lessThanOrEqual">
      <formula>0</formula>
    </cfRule>
    <cfRule type="cellIs" dxfId="604" priority="78" stopIfTrue="1" operator="lessThanOrEqual">
      <formula>0</formula>
    </cfRule>
  </conditionalFormatting>
  <conditionalFormatting sqref="J79">
    <cfRule type="cellIs" dxfId="603" priority="152" stopIfTrue="1" operator="greaterThan">
      <formula>$F79</formula>
    </cfRule>
    <cfRule type="cellIs" dxfId="602" priority="153" stopIfTrue="1" operator="lessThanOrEqual">
      <formula>0</formula>
    </cfRule>
  </conditionalFormatting>
  <conditionalFormatting sqref="K10:K25">
    <cfRule type="cellIs" dxfId="601" priority="32" operator="lessThan">
      <formula>4</formula>
    </cfRule>
    <cfRule type="cellIs" dxfId="600" priority="31" operator="greaterThan">
      <formula>6</formula>
    </cfRule>
    <cfRule type="cellIs" dxfId="599" priority="33" operator="greaterThan">
      <formula>6.4</formula>
    </cfRule>
  </conditionalFormatting>
  <conditionalFormatting sqref="K57:K66">
    <cfRule type="cellIs" dxfId="598" priority="28" stopIfTrue="1" operator="lessThan">
      <formula>100%</formula>
    </cfRule>
  </conditionalFormatting>
  <conditionalFormatting sqref="K81:K86">
    <cfRule type="cellIs" dxfId="597" priority="192" stopIfTrue="1" operator="lessThan">
      <formula>100%</formula>
    </cfRule>
  </conditionalFormatting>
  <conditionalFormatting sqref="K88:K89">
    <cfRule type="cellIs" dxfId="596" priority="199" stopIfTrue="1" operator="lessThan">
      <formula>100%</formula>
    </cfRule>
  </conditionalFormatting>
  <conditionalFormatting sqref="K70:N78">
    <cfRule type="cellIs" dxfId="595" priority="129" stopIfTrue="1" operator="lessThan">
      <formula>100%</formula>
    </cfRule>
  </conditionalFormatting>
  <conditionalFormatting sqref="L10:L25">
    <cfRule type="cellIs" dxfId="594" priority="39" operator="greaterThan">
      <formula>65</formula>
    </cfRule>
    <cfRule type="cellIs" dxfId="593" priority="38" operator="between">
      <formula>61</formula>
      <formula>65</formula>
    </cfRule>
  </conditionalFormatting>
  <conditionalFormatting sqref="L28:M39">
    <cfRule type="cellIs" dxfId="592" priority="69" operator="lessThan">
      <formula>97.95</formula>
    </cfRule>
  </conditionalFormatting>
  <conditionalFormatting sqref="L43:N43">
    <cfRule type="cellIs" dxfId="591" priority="70" operator="notEqual">
      <formula>#REF!</formula>
    </cfRule>
  </conditionalFormatting>
  <conditionalFormatting sqref="L79:N79">
    <cfRule type="cellIs" dxfId="590" priority="154" stopIfTrue="1" operator="lessThan">
      <formula>100%</formula>
    </cfRule>
  </conditionalFormatting>
  <conditionalFormatting sqref="L81:N89">
    <cfRule type="cellIs" dxfId="589" priority="177" stopIfTrue="1" operator="lessThan">
      <formula>100%</formula>
    </cfRule>
  </conditionalFormatting>
  <conditionalFormatting sqref="M10:M24">
    <cfRule type="expression" dxfId="588" priority="36">
      <formula>IF(+(IF(M10&lt;U10,0,IF(M10&gt;V10,0,1)))=0,1)</formula>
    </cfRule>
  </conditionalFormatting>
  <conditionalFormatting sqref="M25:N25">
    <cfRule type="expression" dxfId="587" priority="207">
      <formula>IF(+(IF(M25&lt;#REF!,0,IF(M25&gt;#REF!,0,1)))=0,1)</formula>
    </cfRule>
  </conditionalFormatting>
  <conditionalFormatting sqref="N10:N24">
    <cfRule type="expression" dxfId="586" priority="29">
      <formula>IF(+(IF(N10&lt;W10,0,IF(N10&gt;X10,0,1)))=0,1)</formula>
    </cfRule>
  </conditionalFormatting>
  <conditionalFormatting sqref="P6">
    <cfRule type="cellIs" dxfId="585" priority="173" operator="greaterThanOrEqual">
      <formula>19</formula>
    </cfRule>
  </conditionalFormatting>
  <dataValidations count="1">
    <dataValidation type="list" allowBlank="1" showInputMessage="1" showErrorMessage="1" sqref="R8" xr:uid="{02E93516-D154-4D08-BD21-AD65203DB463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3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9FB4-D31B-42F4-AA77-07132163CE4C}">
  <sheetPr>
    <pageSetUpPr fitToPage="1"/>
  </sheetPr>
  <dimension ref="A1:BE78"/>
  <sheetViews>
    <sheetView topLeftCell="A38" zoomScale="70" zoomScaleNormal="70" workbookViewId="0">
      <selection activeCell="B17" sqref="B17:O1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46050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33" t="s">
        <v>9</v>
      </c>
      <c r="C10" s="366" t="str">
        <f>[5]Brewhouse!$A74</f>
        <v>ST024</v>
      </c>
      <c r="D10" s="279">
        <f>[5]Brewhouse!$AB74</f>
        <v>52</v>
      </c>
      <c r="E10" s="279">
        <f>[5]Brewhouse!$AG74</f>
        <v>49.6</v>
      </c>
      <c r="F10" s="278">
        <f>[5]Brewhouse!$V74</f>
        <v>56</v>
      </c>
      <c r="G10" s="279">
        <f>[5]Brewhouse!$AE74</f>
        <v>11.6</v>
      </c>
      <c r="H10" s="396">
        <v>11.7</v>
      </c>
      <c r="I10" s="368">
        <f>[5]Brewhouse!$AS74</f>
        <v>95.650862133364953</v>
      </c>
      <c r="J10" s="368">
        <f>[5]Brewhouse!$AT74</f>
        <v>96.829754609428889</v>
      </c>
      <c r="K10" s="281">
        <f>[5]Brewhouse!$Q74</f>
        <v>3.0288461538461453</v>
      </c>
      <c r="L10" s="276">
        <f>[5]Brewhouse!$P74</f>
        <v>58</v>
      </c>
      <c r="M10" s="374">
        <f>[5]Brewhouse!$U74-[5]Brewhouse!$T74</f>
        <v>0.12361111111111112</v>
      </c>
      <c r="N10" s="370">
        <f>[5]Brewhouse!$AW74</f>
        <v>0.26944444444444443</v>
      </c>
      <c r="O10" s="371" t="str">
        <f>[5]Brewhouse!$AV74</f>
        <v>K. Benjamin</v>
      </c>
      <c r="P10" s="418"/>
      <c r="R10" s="277" t="str">
        <f t="shared" ref="R10:R38" si="0">B10</f>
        <v>STAG</v>
      </c>
      <c r="S10" s="474">
        <f t="shared" ref="S10:S38" si="1">VLOOKUP($B10,$R$3:$X$9,2,FALSE)</f>
        <v>11.6</v>
      </c>
      <c r="T10" s="474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474">
        <f t="shared" ref="Z10:Z38" si="8">VLOOKUP($B10,$R$3:$Z$9,9,FALSE)</f>
        <v>60</v>
      </c>
    </row>
    <row r="11" spans="2:29" ht="16.5" customHeight="1">
      <c r="B11" s="33" t="s">
        <v>9</v>
      </c>
      <c r="C11" s="366" t="str">
        <f>[5]Brewhouse!$A75</f>
        <v>ST025</v>
      </c>
      <c r="D11" s="279">
        <f>[5]Brewhouse!$AB75</f>
        <v>52.1</v>
      </c>
      <c r="E11" s="279">
        <f>[5]Brewhouse!$AG75</f>
        <v>49.1</v>
      </c>
      <c r="F11" s="278">
        <f>[5]Brewhouse!$V75</f>
        <v>56</v>
      </c>
      <c r="G11" s="279">
        <f>[5]Brewhouse!$AE75</f>
        <v>11.9</v>
      </c>
      <c r="H11" s="396">
        <v>11.9</v>
      </c>
      <c r="I11" s="368">
        <f>[5]Brewhouse!$AS75</f>
        <v>98.001099487384138</v>
      </c>
      <c r="J11" s="368">
        <f>[5]Brewhouse!$AT75</f>
        <v>99.206574608011522</v>
      </c>
      <c r="K11" s="281">
        <f>[5]Brewhouse!$Q75</f>
        <v>3.7907869481765859</v>
      </c>
      <c r="L11" s="276">
        <f>[5]Brewhouse!$P75</f>
        <v>60</v>
      </c>
      <c r="M11" s="374">
        <f>[5]Brewhouse!$U75-[5]Brewhouse!$T75</f>
        <v>0.11527777777777776</v>
      </c>
      <c r="N11" s="370">
        <f>[5]Brewhouse!$AW75</f>
        <v>0.26874999999999999</v>
      </c>
      <c r="O11" s="371" t="str">
        <f>[5]Brewhouse!$AV75</f>
        <v>R. Regis</v>
      </c>
      <c r="P11" s="418"/>
      <c r="R11" s="277" t="str">
        <f t="shared" ref="R11:R23" si="9">B11</f>
        <v>STAG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33" t="s">
        <v>9</v>
      </c>
      <c r="C12" s="366" t="str">
        <f>[5]Brewhouse!$A76</f>
        <v>ST026</v>
      </c>
      <c r="D12" s="279">
        <f>[5]Brewhouse!$AB76</f>
        <v>52</v>
      </c>
      <c r="E12" s="279">
        <f>[5]Brewhouse!$AG76</f>
        <v>49.7</v>
      </c>
      <c r="F12" s="278">
        <f>[5]Brewhouse!$V76</f>
        <v>56</v>
      </c>
      <c r="G12" s="279">
        <f>[5]Brewhouse!$AE76</f>
        <v>11.8</v>
      </c>
      <c r="H12" s="396">
        <v>11.8</v>
      </c>
      <c r="I12" s="368">
        <f>[5]Brewhouse!$AS76</f>
        <v>97.461393370976353</v>
      </c>
      <c r="J12" s="368">
        <f>[5]Brewhouse!$AT76</f>
        <v>98.662992245156801</v>
      </c>
      <c r="K12" s="281">
        <f>[5]Brewhouse!$Q76</f>
        <v>5.1442307692307638</v>
      </c>
      <c r="L12" s="276">
        <f>[5]Brewhouse!$P76</f>
        <v>60</v>
      </c>
      <c r="M12" s="374">
        <f>[5]Brewhouse!$U76-[5]Brewhouse!$T76</f>
        <v>0.11875000000000002</v>
      </c>
      <c r="N12" s="370">
        <f>[5]Brewhouse!$AW76</f>
        <v>0.27013888888888887</v>
      </c>
      <c r="O12" s="371" t="str">
        <f>[5]Brewhouse!$AV76</f>
        <v>R. Regis</v>
      </c>
      <c r="P12" s="418"/>
      <c r="R12" s="277" t="str">
        <f t="shared" si="9"/>
        <v>STAG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33" t="s">
        <v>9</v>
      </c>
      <c r="C13" s="366" t="str">
        <f>[5]Brewhouse!$A77</f>
        <v>ST027</v>
      </c>
      <c r="D13" s="279">
        <f>[5]Brewhouse!$AB77</f>
        <v>52.1</v>
      </c>
      <c r="E13" s="279">
        <f>[5]Brewhouse!$AG77</f>
        <v>49.6</v>
      </c>
      <c r="F13" s="278">
        <f>[5]Brewhouse!$V77</f>
        <v>60</v>
      </c>
      <c r="G13" s="279">
        <f>[5]Brewhouse!$AE77</f>
        <v>11.9</v>
      </c>
      <c r="H13" s="396">
        <v>11.9</v>
      </c>
      <c r="I13" s="368">
        <f>[5]Brewhouse!$AS77</f>
        <v>98.255217290461545</v>
      </c>
      <c r="J13" s="368">
        <f>[5]Brewhouse!$AT77</f>
        <v>99.466208324042057</v>
      </c>
      <c r="K13" s="281">
        <f>[5]Brewhouse!$Q77</f>
        <v>2.8310940499040331</v>
      </c>
      <c r="L13" s="276">
        <f>[5]Brewhouse!$P77</f>
        <v>63</v>
      </c>
      <c r="M13" s="374">
        <f>[5]Brewhouse!$U77-[5]Brewhouse!$T77</f>
        <v>0.11805555555555558</v>
      </c>
      <c r="N13" s="370">
        <f>[5]Brewhouse!$AW77</f>
        <v>0.26250000000000001</v>
      </c>
      <c r="O13" s="371" t="str">
        <f>[5]Brewhouse!$AV77</f>
        <v>R. Regis</v>
      </c>
      <c r="P13" s="418"/>
      <c r="R13" s="277" t="str">
        <f t="shared" si="9"/>
        <v>STAG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33" t="s">
        <v>9</v>
      </c>
      <c r="C14" s="366" t="str">
        <f>[5]Brewhouse!$A78</f>
        <v>ST028</v>
      </c>
      <c r="D14" s="279">
        <f>[5]Brewhouse!$AB78</f>
        <v>52.1</v>
      </c>
      <c r="E14" s="279">
        <f>[5]Brewhouse!$AG78</f>
        <v>50</v>
      </c>
      <c r="F14" s="278">
        <f>[5]Brewhouse!$V78</f>
        <v>60</v>
      </c>
      <c r="G14" s="279">
        <f>[5]Brewhouse!$AE78</f>
        <v>11.9</v>
      </c>
      <c r="H14" s="396">
        <v>11.9</v>
      </c>
      <c r="I14" s="368">
        <f>[5]Brewhouse!$AS78</f>
        <v>99.546243435804755</v>
      </c>
      <c r="J14" s="368">
        <f>[5]Brewhouse!$AT78</f>
        <v>100.77153601851514</v>
      </c>
      <c r="K14" s="281">
        <f>[5]Brewhouse!$Q78</f>
        <v>5.326295585412665</v>
      </c>
      <c r="L14" s="276">
        <f>[5]Brewhouse!$P78</f>
        <v>57</v>
      </c>
      <c r="M14" s="374">
        <f>[5]Brewhouse!$U78-[5]Brewhouse!$T78</f>
        <v>0.13263888888888886</v>
      </c>
      <c r="N14" s="370">
        <f>[5]Brewhouse!$AW78</f>
        <v>0.28749999999999998</v>
      </c>
      <c r="O14" s="371" t="str">
        <f>[5]Brewhouse!$AV78</f>
        <v>R.Sookram</v>
      </c>
      <c r="P14" s="418"/>
      <c r="R14" s="277" t="str">
        <f t="shared" si="9"/>
        <v>STAG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33" t="s">
        <v>9</v>
      </c>
      <c r="C15" s="366" t="str">
        <f>[5]Brewhouse!$A79</f>
        <v>ST029</v>
      </c>
      <c r="D15" s="279">
        <f>[5]Brewhouse!$AB79</f>
        <v>52.1</v>
      </c>
      <c r="E15" s="279">
        <f>[5]Brewhouse!$AG79</f>
        <v>49.7</v>
      </c>
      <c r="F15" s="278">
        <f>[5]Brewhouse!$V79</f>
        <v>58</v>
      </c>
      <c r="G15" s="279">
        <f>[5]Brewhouse!$AE79</f>
        <v>11.9</v>
      </c>
      <c r="H15" s="396">
        <v>12.2</v>
      </c>
      <c r="I15" s="368">
        <f>[5]Brewhouse!$AS79</f>
        <v>98.33017402501261</v>
      </c>
      <c r="J15" s="368">
        <f>[5]Brewhouse!$AT79</f>
        <v>99.542484072301647</v>
      </c>
      <c r="K15" s="281">
        <f>[5]Brewhouse!$Q79</f>
        <v>3.5988483685220727</v>
      </c>
      <c r="L15" s="276">
        <f>[5]Brewhouse!$P79</f>
        <v>59</v>
      </c>
      <c r="M15" s="374">
        <f>[5]Brewhouse!$U79-[5]Brewhouse!$T79</f>
        <v>0.11527777777777781</v>
      </c>
      <c r="N15" s="370">
        <f>[5]Brewhouse!$AW79</f>
        <v>0.2729166666666667</v>
      </c>
      <c r="O15" s="371" t="str">
        <f>[5]Brewhouse!$AV79</f>
        <v>R.Sookram</v>
      </c>
      <c r="P15" s="418"/>
      <c r="R15" s="277" t="str">
        <f t="shared" si="9"/>
        <v>STAG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33" t="s">
        <v>9</v>
      </c>
      <c r="C16" s="366" t="str">
        <f>[5]Brewhouse!$A80</f>
        <v>ST030</v>
      </c>
      <c r="D16" s="279">
        <f>[5]Brewhouse!$AB80</f>
        <v>52</v>
      </c>
      <c r="E16" s="279">
        <f>[5]Brewhouse!$AG80</f>
        <v>48.9</v>
      </c>
      <c r="F16" s="278">
        <f>[5]Brewhouse!$V80</f>
        <v>53</v>
      </c>
      <c r="G16" s="279">
        <f>[5]Brewhouse!$AE80</f>
        <v>12.1</v>
      </c>
      <c r="H16" s="396">
        <v>12.2</v>
      </c>
      <c r="I16" s="368">
        <f>[5]Brewhouse!$AS80</f>
        <v>98.333997846966298</v>
      </c>
      <c r="J16" s="368">
        <f>[5]Brewhouse!$AT80</f>
        <v>99.546749244630277</v>
      </c>
      <c r="K16" s="281">
        <f>[5]Brewhouse!$Q80</f>
        <v>3.9903846153846074</v>
      </c>
      <c r="L16" s="276">
        <f>[5]Brewhouse!$P80</f>
        <v>46</v>
      </c>
      <c r="M16" s="374">
        <f>[5]Brewhouse!$U80-[5]Brewhouse!$T80</f>
        <v>0.11944444444444446</v>
      </c>
      <c r="N16" s="370">
        <f>[5]Brewhouse!$AW80</f>
        <v>0.26597222222222217</v>
      </c>
      <c r="O16" s="371" t="str">
        <f>[5]Brewhouse!$AV80</f>
        <v>K. Benjamin</v>
      </c>
      <c r="P16" s="418"/>
      <c r="R16" s="277" t="str">
        <f t="shared" si="9"/>
        <v>STAG</v>
      </c>
      <c r="S16" s="474">
        <f t="shared" si="1"/>
        <v>11.6</v>
      </c>
      <c r="T16" s="474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474">
        <f t="shared" si="8"/>
        <v>60</v>
      </c>
    </row>
    <row r="17" spans="1:27" ht="16.5" customHeight="1">
      <c r="B17" s="33" t="s">
        <v>9</v>
      </c>
      <c r="C17" s="366" t="str">
        <f>[5]Brewhouse!$A81</f>
        <v>ST031</v>
      </c>
      <c r="D17" s="279">
        <f>[5]Brewhouse!$AB81</f>
        <v>52</v>
      </c>
      <c r="E17" s="279">
        <f>[5]Brewhouse!$AG81</f>
        <v>49.6</v>
      </c>
      <c r="F17" s="278">
        <f>[5]Brewhouse!$V81</f>
        <v>52</v>
      </c>
      <c r="G17" s="279">
        <f>[5]Brewhouse!$AE81</f>
        <v>11.9</v>
      </c>
      <c r="H17" s="396">
        <v>11.9</v>
      </c>
      <c r="I17" s="368">
        <f>[5]Brewhouse!$AS81</f>
        <v>94.60432549058099</v>
      </c>
      <c r="J17" s="368">
        <f>[5]Brewhouse!$AT81</f>
        <v>95.767243319910293</v>
      </c>
      <c r="K17" s="281">
        <f>[5]Brewhouse!$Q81</f>
        <v>2.6442307692307692</v>
      </c>
      <c r="L17" s="276">
        <f>[5]Brewhouse!$P81</f>
        <v>61</v>
      </c>
      <c r="M17" s="374">
        <f>[5]Brewhouse!$U81-[5]Brewhouse!$T81</f>
        <v>0.11250000000000004</v>
      </c>
      <c r="N17" s="370">
        <f>[5]Brewhouse!$AW81</f>
        <v>0.26527777777777783</v>
      </c>
      <c r="O17" s="371" t="str">
        <f>[5]Brewhouse!$AV81</f>
        <v>K. Benjamin</v>
      </c>
      <c r="P17" s="418"/>
      <c r="R17" s="277" t="str">
        <f t="shared" si="9"/>
        <v>STAG</v>
      </c>
      <c r="S17" s="474">
        <f t="shared" si="1"/>
        <v>11.6</v>
      </c>
      <c r="T17" s="474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474">
        <f t="shared" si="8"/>
        <v>60</v>
      </c>
    </row>
    <row r="18" spans="1:27" ht="16.5" customHeight="1">
      <c r="B18" s="33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9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6.5" customHeight="1">
      <c r="B19" s="33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74"/>
      <c r="N19" s="370"/>
      <c r="O19" s="371"/>
      <c r="P19" s="418"/>
      <c r="R19" s="277">
        <f t="shared" si="9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hidden="1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74"/>
      <c r="N20" s="370"/>
      <c r="O20" s="371"/>
      <c r="P20" s="418"/>
      <c r="R20" s="277">
        <f t="shared" si="9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6.5" hidden="1" customHeight="1">
      <c r="B21" s="22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18"/>
      <c r="R21" s="277">
        <f t="shared" si="9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6.5" hidden="1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18"/>
      <c r="R22" s="277">
        <f t="shared" si="9"/>
        <v>0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8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0"/>
      <c r="P23" s="418"/>
      <c r="R23" s="277">
        <f t="shared" si="9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6.5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18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540"/>
      <c r="J25" s="540"/>
      <c r="K25" s="540"/>
      <c r="L25" s="540"/>
      <c r="M25" s="540"/>
      <c r="N25" s="540"/>
      <c r="O25" s="1"/>
      <c r="P25" s="12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5.75" customHeight="1" thickBot="1">
      <c r="B26" s="388" t="s">
        <v>162</v>
      </c>
      <c r="C26" s="388"/>
      <c r="D26" s="541" t="s">
        <v>35</v>
      </c>
      <c r="E26" s="542"/>
      <c r="F26" s="294"/>
      <c r="G26" s="294"/>
      <c r="H26" s="348"/>
      <c r="I26" s="24" t="s">
        <v>17</v>
      </c>
      <c r="J26" s="25"/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0"/>
        <v xml:space="preserve">BRAND 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5" customHeight="1">
      <c r="A27" s="28"/>
      <c r="B27" s="543"/>
      <c r="C27" s="362"/>
      <c r="D27" s="546"/>
      <c r="E27" s="547"/>
      <c r="F27" s="294"/>
      <c r="G27" s="294"/>
      <c r="H27" s="348"/>
      <c r="I27" s="29" t="s">
        <v>6</v>
      </c>
      <c r="J27" s="280"/>
      <c r="K27" s="284">
        <f>COUNTA([4]Brewhouse!$A$42:$A$103)</f>
        <v>62</v>
      </c>
      <c r="L27" s="305">
        <f>AVERAGE([4]Brewhouse!$AU$42:$AU$103)</f>
        <v>98.257404193717633</v>
      </c>
      <c r="M27" s="305">
        <f>AVERAGE([4]Brewhouse!$AU$42:$AU$103)</f>
        <v>98.257404193717633</v>
      </c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5" customHeight="1">
      <c r="A28" s="28"/>
      <c r="B28" s="544"/>
      <c r="C28" s="362"/>
      <c r="D28" s="548"/>
      <c r="E28" s="532"/>
      <c r="F28" s="294"/>
      <c r="G28" s="294"/>
      <c r="H28" s="348"/>
      <c r="I28" s="33" t="s">
        <v>9</v>
      </c>
      <c r="J28" s="280">
        <f>AVERAGE(I10:I17)</f>
        <v>97.522914135068959</v>
      </c>
      <c r="K28" s="284">
        <f>COUNTA([5]Brewhouse!$A$52:$A$81)</f>
        <v>30</v>
      </c>
      <c r="L28" s="302">
        <f>AVERAGE([5]Brewhouse!$AS$52:$AS$81)</f>
        <v>99.025209415013663</v>
      </c>
      <c r="M28" s="302" t="e">
        <f>AVERAGE([5]Brewhouse!$AS$52:$AS$781)</f>
        <v>#DIV/0!</v>
      </c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7" ht="14.65" customHeight="1">
      <c r="A29" s="28"/>
      <c r="B29" s="544"/>
      <c r="C29" s="362"/>
      <c r="D29" s="536"/>
      <c r="E29" s="537"/>
      <c r="F29" s="294"/>
      <c r="G29" s="294"/>
      <c r="H29" s="348"/>
      <c r="I29" s="34" t="s">
        <v>12</v>
      </c>
      <c r="J29" s="280"/>
      <c r="K29" s="284">
        <f>COUNTA([3]Brewhouse!$A$16:$A$23)</f>
        <v>8</v>
      </c>
      <c r="L29" s="302">
        <f>AVERAGE([3]Brewhouse!$AU$16:$AU$23)</f>
        <v>97.765204759801577</v>
      </c>
      <c r="M29" s="302">
        <f>AVERAGE([3]Brewhouse!$AU$16:$AU$23)</f>
        <v>97.765204759801577</v>
      </c>
      <c r="N29" s="30">
        <v>98</v>
      </c>
      <c r="O29" s="11"/>
      <c r="P29" s="31"/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7" ht="14.65" customHeight="1">
      <c r="A30" s="28"/>
      <c r="B30" s="544"/>
      <c r="C30" s="362"/>
      <c r="D30" s="531"/>
      <c r="E30" s="532"/>
      <c r="F30" s="294"/>
      <c r="G30" s="294"/>
      <c r="H30" s="348"/>
      <c r="I30" s="22" t="s">
        <v>33</v>
      </c>
      <c r="J30" s="280"/>
      <c r="K30" s="284">
        <f>COUNTA([6]Brewhouse!$A$23:$A$34)</f>
        <v>12</v>
      </c>
      <c r="L30" s="302">
        <f>AVERAGE([6]Brewhouse!$AV$23:$AV$34)</f>
        <v>98.31387229810305</v>
      </c>
      <c r="M30" s="302">
        <f>AVERAGE([6]Brewhouse!$AV$23:$AV$34)</f>
        <v>98.31387229810305</v>
      </c>
      <c r="N30" s="30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</row>
    <row r="31" spans="1:27" ht="14.65" customHeight="1">
      <c r="A31" s="28"/>
      <c r="B31" s="544"/>
      <c r="C31" s="362"/>
      <c r="D31" s="536"/>
      <c r="E31" s="537"/>
      <c r="F31" s="417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</row>
    <row r="32" spans="1:27" ht="14.65" customHeight="1">
      <c r="A32" s="28"/>
      <c r="B32" s="544"/>
      <c r="C32" s="362"/>
      <c r="D32" s="531"/>
      <c r="E32" s="532"/>
      <c r="F32" s="417"/>
      <c r="G32" s="294"/>
      <c r="H32" s="348"/>
      <c r="I32" s="36" t="s">
        <v>15</v>
      </c>
      <c r="J32" s="323"/>
      <c r="K32" s="284">
        <f>COUNTA([7]Brewhouse!$A$13:$A$20)</f>
        <v>8</v>
      </c>
      <c r="L32" s="302" t="e">
        <f>AVERAGE([7]Brewhouse!$AT$13:$AT$20)</f>
        <v>#DIV/0!</v>
      </c>
      <c r="M32" s="302" t="e">
        <f>AVERAGE([7]Brewhouse!$AT$13:$AT$20)</f>
        <v>#DIV/0!</v>
      </c>
      <c r="N32" s="30">
        <v>98</v>
      </c>
      <c r="O32" s="11"/>
      <c r="P32" s="31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4.65" customHeight="1">
      <c r="A33" s="28"/>
      <c r="B33" s="544"/>
      <c r="C33" s="362"/>
      <c r="D33" s="536"/>
      <c r="E33" s="537"/>
      <c r="F33" s="417"/>
      <c r="G33" s="294"/>
      <c r="H33" s="348"/>
      <c r="I33" s="37" t="s">
        <v>16</v>
      </c>
      <c r="J33" s="323"/>
      <c r="K33" s="284">
        <f>COUNTA([8]Brewhouse!$A$5:$A$7)</f>
        <v>3</v>
      </c>
      <c r="L33" s="302">
        <f>AVERAGE([8]Brewhouse!$AY$5:$AY$7)</f>
        <v>98.128633252159673</v>
      </c>
      <c r="M33" s="302">
        <f>AVERAGE([8]Brewhouse!$AY$5:$AY$7)</f>
        <v>98.128633252159673</v>
      </c>
      <c r="N33" s="30">
        <v>98</v>
      </c>
      <c r="O33" s="11"/>
      <c r="P33" s="31" t="s">
        <v>41</v>
      </c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4.65" customHeight="1">
      <c r="A34" s="28"/>
      <c r="B34" s="544"/>
      <c r="C34" s="362"/>
      <c r="D34" s="531"/>
      <c r="E34" s="532"/>
      <c r="F34" s="294"/>
      <c r="G34" s="294"/>
      <c r="H34" s="348"/>
      <c r="I34" s="411" t="s">
        <v>158</v>
      </c>
      <c r="J34" s="326"/>
      <c r="K34" s="284"/>
      <c r="L34" s="305"/>
      <c r="M34" s="305"/>
      <c r="N34" s="30">
        <v>98</v>
      </c>
      <c r="O34" s="11"/>
      <c r="P34" s="31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4.65" customHeight="1">
      <c r="A35" s="28"/>
      <c r="B35" s="544"/>
      <c r="C35" s="349"/>
      <c r="D35" s="536"/>
      <c r="E35" s="537"/>
      <c r="F35" s="294"/>
      <c r="G35" s="294"/>
      <c r="H35" s="348"/>
      <c r="I35" s="410" t="s">
        <v>157</v>
      </c>
      <c r="J35" s="326"/>
      <c r="K35" s="284"/>
      <c r="L35" s="305"/>
      <c r="M35" s="305"/>
      <c r="N35" s="30">
        <v>98</v>
      </c>
      <c r="O35" s="11"/>
      <c r="P35" s="31"/>
      <c r="R35" s="277">
        <f t="shared" si="0"/>
        <v>0</v>
      </c>
      <c r="S35" s="474" t="e">
        <f t="shared" si="1"/>
        <v>#N/A</v>
      </c>
      <c r="T35" s="474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474" t="e">
        <f t="shared" si="8"/>
        <v>#N/A</v>
      </c>
      <c r="AA35" s="474"/>
    </row>
    <row r="36" spans="1:56" ht="15" customHeight="1" thickBot="1">
      <c r="A36" s="28"/>
      <c r="B36" s="544"/>
      <c r="C36" s="349"/>
      <c r="D36" s="531"/>
      <c r="E36" s="532"/>
      <c r="F36" s="294"/>
      <c r="G36" s="294"/>
      <c r="H36" s="348"/>
      <c r="I36" s="406" t="s">
        <v>156</v>
      </c>
      <c r="J36" s="327"/>
      <c r="K36" s="407"/>
      <c r="L36" s="408"/>
      <c r="M36" s="408"/>
      <c r="N36" s="409">
        <v>98</v>
      </c>
      <c r="O36" s="11"/>
      <c r="P36" s="31"/>
      <c r="R36" s="277">
        <f t="shared" si="0"/>
        <v>0</v>
      </c>
      <c r="S36" s="474" t="e">
        <f t="shared" si="1"/>
        <v>#N/A</v>
      </c>
      <c r="T36" s="474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474" t="e">
        <f t="shared" si="8"/>
        <v>#N/A</v>
      </c>
      <c r="AA36" s="474"/>
    </row>
    <row r="37" spans="1:56" ht="15" customHeight="1" thickBot="1">
      <c r="A37" s="28"/>
      <c r="B37" s="544"/>
      <c r="C37" s="349"/>
      <c r="D37" s="546"/>
      <c r="E37" s="547"/>
      <c r="F37" s="294"/>
      <c r="G37" s="294"/>
      <c r="H37" s="348"/>
      <c r="I37" s="1"/>
      <c r="J37" s="39"/>
      <c r="K37" s="404">
        <f>SUM(K27:K36)</f>
        <v>123</v>
      </c>
      <c r="L37" s="405" t="e">
        <f>((L27*K27)+(L28*K28)+(L29*K29)+(L30*K30)+(L31*K31)+(K34*L34)+(L32*K32)+(L33*K33)+(L36*K36))/(K37)</f>
        <v>#DIV/0!</v>
      </c>
      <c r="M37" s="405" t="e">
        <f>L37</f>
        <v>#DIV/0!</v>
      </c>
      <c r="N37" s="40">
        <v>98</v>
      </c>
      <c r="O37" s="11"/>
      <c r="P37" s="31"/>
      <c r="R37" s="277">
        <f t="shared" si="0"/>
        <v>0</v>
      </c>
      <c r="S37" s="474" t="e">
        <f t="shared" si="1"/>
        <v>#N/A</v>
      </c>
      <c r="T37" s="474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474" t="e">
        <f t="shared" si="8"/>
        <v>#N/A</v>
      </c>
      <c r="AA37" s="474"/>
    </row>
    <row r="38" spans="1:56" ht="15.75" thickBot="1">
      <c r="B38" s="545"/>
      <c r="C38" s="350"/>
      <c r="D38" s="548"/>
      <c r="E38" s="532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>
        <f t="shared" si="0"/>
        <v>0</v>
      </c>
      <c r="S38" s="474" t="e">
        <f t="shared" si="1"/>
        <v>#N/A</v>
      </c>
      <c r="T38" s="474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474" t="e">
        <f t="shared" si="8"/>
        <v>#N/A</v>
      </c>
      <c r="AA38" s="474"/>
    </row>
    <row r="39" spans="1:56" ht="15.75" thickBot="1">
      <c r="B39" s="526"/>
      <c r="C39" s="362"/>
      <c r="D39" s="529"/>
      <c r="E39" s="530"/>
      <c r="F39" s="294"/>
      <c r="G39" s="42"/>
      <c r="H39" s="41"/>
      <c r="I39" s="42"/>
      <c r="J39" s="533" t="s">
        <v>129</v>
      </c>
      <c r="K39" s="533"/>
      <c r="L39" s="294"/>
      <c r="M39" s="294"/>
      <c r="N39" s="294"/>
      <c r="O39" s="294"/>
      <c r="P39" s="12"/>
    </row>
    <row r="40" spans="1:56" ht="15.75" thickBot="1">
      <c r="B40" s="527"/>
      <c r="C40" s="362"/>
      <c r="D40" s="531"/>
      <c r="E40" s="532"/>
      <c r="F40" s="294"/>
      <c r="G40" s="42"/>
      <c r="H40" s="42"/>
      <c r="I40" s="42"/>
      <c r="J40" s="292" t="s">
        <v>17</v>
      </c>
      <c r="K40" s="293" t="s">
        <v>147</v>
      </c>
      <c r="L40" s="534" t="s">
        <v>136</v>
      </c>
      <c r="M40" s="534"/>
      <c r="N40" s="535"/>
      <c r="O40" s="294"/>
      <c r="P40" s="12"/>
    </row>
    <row r="41" spans="1:56" ht="15" customHeight="1" thickBot="1">
      <c r="B41" s="527"/>
      <c r="C41" s="349"/>
      <c r="D41" s="536"/>
      <c r="E41" s="537"/>
      <c r="F41" s="294"/>
      <c r="G41" s="42"/>
      <c r="H41" s="42"/>
      <c r="I41" s="42"/>
      <c r="J41" s="287" t="s">
        <v>6</v>
      </c>
      <c r="K41" s="324"/>
      <c r="L41" s="475" t="s">
        <v>37</v>
      </c>
      <c r="M41" s="476" t="s">
        <v>38</v>
      </c>
      <c r="N41" s="476" t="s">
        <v>84</v>
      </c>
      <c r="O41" s="294"/>
      <c r="P41" s="12"/>
    </row>
    <row r="42" spans="1:56" ht="15.75" customHeight="1" thickBot="1">
      <c r="B42" s="527"/>
      <c r="C42" s="349"/>
      <c r="D42" s="531"/>
      <c r="E42" s="532"/>
      <c r="F42" s="294"/>
      <c r="G42" s="42"/>
      <c r="H42" s="42"/>
      <c r="I42" s="42"/>
      <c r="J42" s="345" t="s">
        <v>9</v>
      </c>
      <c r="K42" s="324">
        <v>8</v>
      </c>
      <c r="L42" s="344">
        <f>AVERAGE('Jan 2nd'!K45,'Jan 5th'!K45,'Jan 6th'!K49,'Jan 7th'!K49,'Jan 8th '!K44,'Jan 9th-10th'!J58,'Jan 9th-10th'!K58,'Jan12th '!K50,Jan13th!K45,Jan14th!K53,Jan15th!K50,K51,'Jan16-18th'!I53,'Jan16-18th'!J53,'Jan16-18th'!K53,'Jan19th '!K55,Jan20th!K47,Jan21st!K50,Jan22nd!K48,Jan23rd!K50,Jan26th!K49,Jan27th!K52)</f>
        <v>5.9545454545454541</v>
      </c>
      <c r="M42" s="325">
        <f>AVERAGE(L42)</f>
        <v>5.9545454545454541</v>
      </c>
      <c r="N42" s="416">
        <v>9.1999999999999993</v>
      </c>
      <c r="O42" s="294"/>
      <c r="P42" s="12"/>
    </row>
    <row r="43" spans="1:56" ht="15" customHeight="1">
      <c r="B43" s="527"/>
      <c r="C43" s="349"/>
      <c r="D43" s="536"/>
      <c r="E43" s="537"/>
      <c r="F43" s="294"/>
      <c r="G43" s="42"/>
      <c r="H43" s="42"/>
      <c r="I43" s="42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27"/>
      <c r="C44" s="349"/>
      <c r="D44" s="531"/>
      <c r="E44" s="532"/>
      <c r="F44" s="294"/>
      <c r="G44" s="42"/>
      <c r="H44" s="42"/>
      <c r="I44" s="42"/>
      <c r="J44" s="289" t="s">
        <v>33</v>
      </c>
      <c r="K44" s="324"/>
      <c r="L44" s="294"/>
      <c r="M44" s="294"/>
      <c r="N44" s="294"/>
      <c r="O44" s="294"/>
      <c r="P44" s="12"/>
    </row>
    <row r="45" spans="1:56" ht="15">
      <c r="B45" s="527"/>
      <c r="C45" s="349"/>
      <c r="D45" s="536"/>
      <c r="E45" s="537"/>
      <c r="F45" s="294"/>
      <c r="G45" s="42"/>
      <c r="H45" s="42"/>
      <c r="I45" s="42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5">
      <c r="B46" s="527"/>
      <c r="C46" s="349"/>
      <c r="D46" s="531"/>
      <c r="E46" s="532"/>
      <c r="F46" s="294"/>
      <c r="G46" s="42"/>
      <c r="H46" s="42"/>
      <c r="I46" s="42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5">
      <c r="B47" s="527"/>
      <c r="C47" s="349"/>
      <c r="D47" s="536"/>
      <c r="E47" s="537"/>
      <c r="F47" s="294"/>
      <c r="G47" s="42"/>
      <c r="H47" s="42"/>
      <c r="I47" s="42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thickBot="1">
      <c r="B48" s="528"/>
      <c r="C48" s="350"/>
      <c r="D48" s="538"/>
      <c r="E48" s="539"/>
      <c r="F48" s="294" t="s">
        <v>166</v>
      </c>
      <c r="G48" s="42"/>
      <c r="H48" s="42"/>
      <c r="I48" s="42"/>
      <c r="J48" s="291" t="s">
        <v>148</v>
      </c>
      <c r="K48" s="324"/>
      <c r="L48" s="294"/>
      <c r="M48" s="294"/>
      <c r="N48" s="294" t="s">
        <v>41</v>
      </c>
      <c r="O48" s="294"/>
      <c r="P48" s="12"/>
      <c r="BC48" s="44"/>
      <c r="BD48" s="44"/>
    </row>
    <row r="49" spans="1:57" ht="17.649999999999999" customHeight="1" thickBot="1">
      <c r="B49" s="312" t="s">
        <v>139</v>
      </c>
      <c r="C49" s="313"/>
      <c r="D49" s="519"/>
      <c r="E49" s="520"/>
      <c r="F49" s="29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1:57" ht="17.649999999999999" customHeight="1">
      <c r="B50" s="363"/>
      <c r="C50" s="364"/>
      <c r="D50" s="365"/>
      <c r="E50" s="365"/>
      <c r="F50" s="294"/>
      <c r="G50" s="42"/>
      <c r="H50" s="42"/>
      <c r="I50" s="42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1:57" ht="15.6" customHeight="1">
      <c r="B51" s="45"/>
      <c r="C51" s="11"/>
      <c r="D51" s="11"/>
      <c r="E51" s="46"/>
      <c r="F51" s="294"/>
      <c r="G51" s="42"/>
      <c r="H51" s="42"/>
      <c r="I51" s="42"/>
      <c r="J51" s="346" t="s">
        <v>130</v>
      </c>
      <c r="K51" s="324">
        <f>SUM(K41:K50)</f>
        <v>8</v>
      </c>
      <c r="L51" s="294"/>
      <c r="M51" s="294"/>
      <c r="N51" s="294"/>
      <c r="O51" s="294"/>
      <c r="P51" s="12"/>
    </row>
    <row r="52" spans="1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L52" s="294"/>
      <c r="N52" s="315"/>
      <c r="P52" s="334"/>
    </row>
    <row r="53" spans="1:57" ht="15" customHeight="1" thickBot="1"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1"/>
      <c r="O53" s="48"/>
      <c r="P53" s="49"/>
    </row>
    <row r="54" spans="1:57" ht="15" customHeight="1" thickBot="1">
      <c r="B54" s="511" t="s">
        <v>17</v>
      </c>
      <c r="C54" s="511" t="s">
        <v>44</v>
      </c>
      <c r="D54" s="522" t="s">
        <v>45</v>
      </c>
      <c r="E54" s="524" t="s">
        <v>46</v>
      </c>
      <c r="F54" s="517" t="s">
        <v>47</v>
      </c>
      <c r="G54" s="509" t="s">
        <v>48</v>
      </c>
      <c r="H54" s="511" t="s">
        <v>49</v>
      </c>
      <c r="I54" s="511" t="s">
        <v>50</v>
      </c>
      <c r="J54" s="503" t="s">
        <v>28</v>
      </c>
      <c r="K54" s="513" t="s">
        <v>51</v>
      </c>
      <c r="L54" s="515" t="s">
        <v>52</v>
      </c>
      <c r="M54" s="503" t="s">
        <v>53</v>
      </c>
      <c r="N54" s="13"/>
      <c r="O54" s="13"/>
      <c r="P54" s="50"/>
    </row>
    <row r="55" spans="1:57" ht="28.5" customHeight="1" thickTop="1" thickBot="1">
      <c r="B55" s="512"/>
      <c r="C55" s="521"/>
      <c r="D55" s="523"/>
      <c r="E55" s="525"/>
      <c r="F55" s="518"/>
      <c r="G55" s="510"/>
      <c r="H55" s="512"/>
      <c r="I55" s="512"/>
      <c r="J55" s="504"/>
      <c r="K55" s="514"/>
      <c r="L55" s="516"/>
      <c r="M55" s="504"/>
      <c r="N55" s="13"/>
      <c r="O55" s="13"/>
      <c r="P55" s="50"/>
      <c r="Q55" s="355"/>
      <c r="AB55" s="477">
        <v>43474</v>
      </c>
      <c r="AC55" s="477">
        <v>43475</v>
      </c>
      <c r="AD55" s="477">
        <v>43476</v>
      </c>
      <c r="AE55" s="477">
        <v>43477</v>
      </c>
      <c r="AF55" s="477">
        <v>43478</v>
      </c>
      <c r="AG55" s="477">
        <v>43479</v>
      </c>
      <c r="AH55" s="477">
        <v>43480</v>
      </c>
      <c r="AI55" s="477">
        <v>43481</v>
      </c>
      <c r="AJ55" s="477">
        <v>43482</v>
      </c>
      <c r="AK55" s="477">
        <v>43483</v>
      </c>
      <c r="AL55" s="477">
        <v>43484</v>
      </c>
      <c r="AM55" s="477">
        <v>43485</v>
      </c>
      <c r="AN55" s="477">
        <v>43486</v>
      </c>
      <c r="AO55" s="477">
        <v>43487</v>
      </c>
      <c r="AP55" s="477">
        <v>43488</v>
      </c>
      <c r="AQ55" s="477">
        <v>43489</v>
      </c>
      <c r="AR55" s="477">
        <v>43490</v>
      </c>
      <c r="AS55" s="477">
        <v>43491</v>
      </c>
      <c r="AT55" s="477">
        <v>43492</v>
      </c>
      <c r="AU55" s="477">
        <v>43493</v>
      </c>
      <c r="AV55" s="477">
        <v>43494</v>
      </c>
      <c r="AW55" s="477">
        <v>43495</v>
      </c>
      <c r="AX55" s="477">
        <v>43496</v>
      </c>
    </row>
    <row r="56" spans="1:57" s="54" customFormat="1" ht="37.15" customHeight="1" thickBot="1">
      <c r="B56" s="500" t="str">
        <f>J44</f>
        <v>VITAMALT</v>
      </c>
      <c r="C56" s="495">
        <v>46050</v>
      </c>
      <c r="D56" s="442">
        <f>[28]January_2026!$AE$65</f>
        <v>386.37</v>
      </c>
      <c r="E56" s="443">
        <f>SUM([30]VITAMALT!$J$10:$J$17)</f>
        <v>16.399999999999999</v>
      </c>
      <c r="F56" s="444"/>
      <c r="G56" s="445">
        <f>[28]January_2026!$AE$70</f>
        <v>385.3</v>
      </c>
      <c r="H56" s="446"/>
      <c r="I56" s="447"/>
      <c r="J56" s="448" t="s">
        <v>215</v>
      </c>
      <c r="K56" s="449">
        <f>[29]January_2026!$AE$60</f>
        <v>0.67596491228070177</v>
      </c>
      <c r="L56" s="457">
        <f>(((D56+E56)-G56)/(D56+E56))*100</f>
        <v>4.3374630682523456</v>
      </c>
      <c r="M56" s="455" t="s">
        <v>214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14.25" customHeight="1" thickBot="1">
      <c r="B57" s="496"/>
      <c r="C57" s="495"/>
      <c r="D57" s="442"/>
      <c r="E57" s="443"/>
      <c r="F57" s="444"/>
      <c r="G57" s="445"/>
      <c r="H57" s="446"/>
      <c r="I57" s="447"/>
      <c r="J57" s="478"/>
      <c r="K57" s="449"/>
      <c r="L57" s="457"/>
      <c r="M57" s="455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A58" s="54" t="s">
        <v>187</v>
      </c>
      <c r="B58" s="496" t="str">
        <f>J41</f>
        <v>CARIB</v>
      </c>
      <c r="C58" s="495">
        <v>46048</v>
      </c>
      <c r="D58" s="442"/>
      <c r="E58" s="443"/>
      <c r="F58" s="444"/>
      <c r="G58" s="445"/>
      <c r="H58" s="446"/>
      <c r="I58" s="447"/>
      <c r="J58" s="448" t="s">
        <v>150</v>
      </c>
      <c r="K58" s="449"/>
      <c r="L58" s="457"/>
      <c r="M58" s="455" t="s">
        <v>200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>
        <f>[9]January_2019!L7</f>
        <v>285.8</v>
      </c>
      <c r="AC58" s="57">
        <f>[9]January_2019!M7</f>
        <v>508.1</v>
      </c>
      <c r="AD58" s="57">
        <f>[9]January_2019!N7</f>
        <v>0</v>
      </c>
      <c r="AE58" s="57">
        <f>[9]January_2019!O7</f>
        <v>0</v>
      </c>
      <c r="AF58" s="57">
        <f>[9]January_2019!P7</f>
        <v>109.56666666666666</v>
      </c>
      <c r="AG58" s="57">
        <f>[9]January_2019!Q7</f>
        <v>297.64999999999998</v>
      </c>
      <c r="AH58" s="57">
        <f>[9]January_2019!R7</f>
        <v>122.3</v>
      </c>
      <c r="AI58" s="57">
        <f>[9]January_2019!S7</f>
        <v>0</v>
      </c>
      <c r="AJ58" s="57">
        <f>[9]January_2019!T7</f>
        <v>294.7</v>
      </c>
      <c r="AK58" s="57">
        <f>[9]January_2019!U7</f>
        <v>280.5</v>
      </c>
      <c r="AL58" s="57">
        <f>[9]January_2019!V7</f>
        <v>0</v>
      </c>
      <c r="AM58" s="57">
        <f>[9]January_2019!W7</f>
        <v>0</v>
      </c>
      <c r="AN58" s="57">
        <f>[9]January_2019!X7</f>
        <v>188.25</v>
      </c>
      <c r="AO58" s="57">
        <f>[9]January_2019!Y7</f>
        <v>295.7</v>
      </c>
      <c r="AP58" s="57">
        <f>[9]January_2019!Z7</f>
        <v>257.8</v>
      </c>
      <c r="AQ58" s="57">
        <f>[9]January_2019!AA7</f>
        <v>291.2</v>
      </c>
      <c r="AR58" s="57">
        <f>[9]January_2019!AB7</f>
        <v>187</v>
      </c>
      <c r="AS58" s="57">
        <f>[9]January_2019!AC7</f>
        <v>0</v>
      </c>
      <c r="AT58" s="57">
        <f>[9]January_2019!AD7</f>
        <v>0</v>
      </c>
      <c r="AU58" s="57">
        <f>[9]January_2019!AE7</f>
        <v>485.1</v>
      </c>
      <c r="AV58" s="57">
        <f>[9]January_2019!AF7</f>
        <v>171.55</v>
      </c>
      <c r="AW58" s="57">
        <f>[9]January_2019!AG7</f>
        <v>423.8</v>
      </c>
      <c r="AX58" s="277">
        <f>[9]January_2019!AH7</f>
        <v>0</v>
      </c>
      <c r="AY58" s="277"/>
      <c r="AZ58" s="277"/>
      <c r="BA58" s="277"/>
      <c r="BB58" s="277"/>
      <c r="BC58" s="277"/>
      <c r="BD58" s="277"/>
      <c r="BE58" s="277"/>
    </row>
    <row r="59" spans="1:57" s="54" customFormat="1" ht="19.5" hidden="1" customHeight="1" thickBot="1">
      <c r="A59" s="54" t="str">
        <f>J41</f>
        <v>CARIB</v>
      </c>
      <c r="B59" s="494"/>
      <c r="C59" s="430"/>
      <c r="D59" s="431"/>
      <c r="E59" s="432"/>
      <c r="F59" s="433"/>
      <c r="G59" s="434"/>
      <c r="H59" s="428"/>
      <c r="I59" s="428"/>
      <c r="J59" s="451"/>
      <c r="K59" s="436"/>
      <c r="L59" s="452"/>
      <c r="M59" s="421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277"/>
      <c r="AY59" s="277"/>
      <c r="AZ59" s="277"/>
      <c r="BA59" s="277"/>
      <c r="BB59" s="277"/>
      <c r="BC59" s="277"/>
      <c r="BD59" s="277"/>
      <c r="BE59" s="277"/>
    </row>
    <row r="60" spans="1:57" s="54" customFormat="1" ht="38.450000000000003" hidden="1" customHeight="1" thickBot="1">
      <c r="B60" s="497"/>
      <c r="C60" s="495"/>
      <c r="D60" s="442"/>
      <c r="E60" s="443"/>
      <c r="F60" s="444"/>
      <c r="G60" s="445"/>
      <c r="H60" s="458"/>
      <c r="I60" s="458"/>
      <c r="J60" s="448"/>
      <c r="K60" s="460"/>
      <c r="L60" s="457"/>
      <c r="M60" s="455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15" hidden="1">
      <c r="B61" s="453"/>
      <c r="C61" s="430"/>
      <c r="D61" s="431"/>
      <c r="E61" s="432"/>
      <c r="F61" s="433"/>
      <c r="G61" s="434"/>
      <c r="H61" s="435"/>
      <c r="I61" s="450"/>
      <c r="J61" s="451"/>
      <c r="K61" s="436"/>
      <c r="L61" s="452"/>
      <c r="M61" s="421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37.15" hidden="1" customHeight="1" thickBot="1">
      <c r="B62" s="496"/>
      <c r="C62" s="495"/>
      <c r="D62" s="442"/>
      <c r="E62" s="443"/>
      <c r="F62" s="444"/>
      <c r="G62" s="445"/>
      <c r="H62" s="446"/>
      <c r="I62" s="447"/>
      <c r="J62" s="44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16.5" hidden="1" customHeight="1" thickBot="1">
      <c r="B63" s="437"/>
      <c r="C63" s="423"/>
      <c r="D63" s="424"/>
      <c r="E63" s="425"/>
      <c r="F63" s="426"/>
      <c r="G63" s="427"/>
      <c r="H63" s="428"/>
      <c r="I63" s="438"/>
      <c r="J63" s="439"/>
      <c r="K63" s="429"/>
      <c r="L63" s="440"/>
      <c r="M63" s="422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5"/>
      <c r="AC63" s="415"/>
      <c r="AD63" s="415"/>
      <c r="AE63" s="415"/>
      <c r="AF63" s="415"/>
      <c r="AG63" s="415"/>
      <c r="AH63" s="415"/>
      <c r="AI63" s="415"/>
      <c r="AJ63" s="415"/>
      <c r="AK63" s="415"/>
      <c r="AL63" s="415"/>
      <c r="AM63" s="415"/>
      <c r="AN63" s="415"/>
      <c r="AO63" s="415"/>
      <c r="AP63" s="415"/>
      <c r="AQ63" s="415"/>
      <c r="AR63" s="415"/>
      <c r="AS63" s="415"/>
      <c r="AT63" s="415"/>
      <c r="AU63" s="415"/>
      <c r="AV63" s="415"/>
      <c r="AW63" s="415"/>
    </row>
    <row r="64" spans="1:57" s="54" customFormat="1" ht="37.15" hidden="1" customHeight="1" thickBot="1">
      <c r="B64" s="456"/>
      <c r="C64" s="441"/>
      <c r="D64" s="442"/>
      <c r="E64" s="443"/>
      <c r="F64" s="444"/>
      <c r="G64" s="445"/>
      <c r="H64" s="446"/>
      <c r="I64" s="447"/>
      <c r="J64" s="448"/>
      <c r="K64" s="449"/>
      <c r="L64" s="457"/>
      <c r="M64" s="454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7.15" customHeight="1">
      <c r="B65" s="467"/>
      <c r="C65" s="430"/>
      <c r="D65" s="461"/>
      <c r="E65" s="462"/>
      <c r="F65" s="463"/>
      <c r="G65" s="461"/>
      <c r="H65" s="464"/>
      <c r="I65" s="464"/>
      <c r="J65" s="464"/>
      <c r="K65" s="465"/>
      <c r="L65" s="466"/>
      <c r="M65" s="50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 t="s">
        <v>41</v>
      </c>
      <c r="O66" s="56"/>
      <c r="P66" s="60"/>
    </row>
    <row r="67" spans="2:57" ht="15.75" thickBot="1">
      <c r="B67" s="505" t="s">
        <v>55</v>
      </c>
      <c r="C67" s="506"/>
      <c r="D67" s="506"/>
      <c r="E67" s="506"/>
      <c r="F67" s="507"/>
      <c r="G67" s="505" t="s">
        <v>56</v>
      </c>
      <c r="H67" s="506"/>
      <c r="I67" s="506"/>
      <c r="J67" s="507"/>
      <c r="K67" s="505" t="s">
        <v>51</v>
      </c>
      <c r="L67" s="506"/>
      <c r="M67" s="506"/>
      <c r="N67" s="508"/>
      <c r="O67" s="56"/>
      <c r="P67" s="50"/>
    </row>
    <row r="68" spans="2:57" ht="15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57" ht="15">
      <c r="B69" s="29" t="s">
        <v>6</v>
      </c>
      <c r="C69" s="282"/>
      <c r="D69" s="76">
        <v>9.0987146573707616</v>
      </c>
      <c r="E69" s="76">
        <v>9.0987146573707616</v>
      </c>
      <c r="F69" s="66">
        <v>4.8</v>
      </c>
      <c r="G69" s="65"/>
      <c r="H69" s="480">
        <v>9.0677024266236756</v>
      </c>
      <c r="I69" s="480">
        <v>9.0677024266236756</v>
      </c>
      <c r="J69" s="66">
        <v>4.8</v>
      </c>
      <c r="K69" s="67"/>
      <c r="L69" s="194">
        <v>0.38595497076023394</v>
      </c>
      <c r="M69" s="194">
        <v>0.38595497076023394</v>
      </c>
      <c r="N69" s="68">
        <v>1</v>
      </c>
      <c r="O69" s="56"/>
      <c r="P69" s="69"/>
    </row>
    <row r="70" spans="2:57" ht="15">
      <c r="B70" s="33" t="s">
        <v>9</v>
      </c>
      <c r="C70" s="65"/>
      <c r="D70" s="76">
        <v>6.6263785558913062</v>
      </c>
      <c r="E70" s="76">
        <v>6.6263785558913062</v>
      </c>
      <c r="F70" s="66">
        <v>4.8</v>
      </c>
      <c r="G70" s="65"/>
      <c r="H70" s="76">
        <v>7.0083733221260962</v>
      </c>
      <c r="I70" s="76">
        <v>7.0083733221260962</v>
      </c>
      <c r="J70" s="66">
        <v>4.8</v>
      </c>
      <c r="K70" s="67"/>
      <c r="L70" s="194">
        <v>0.66496686159844054</v>
      </c>
      <c r="M70" s="194">
        <v>0.66496686159844054</v>
      </c>
      <c r="N70" s="68">
        <v>1</v>
      </c>
      <c r="P70" s="69"/>
    </row>
    <row r="71" spans="2:57" ht="15">
      <c r="B71" s="34" t="s">
        <v>40</v>
      </c>
      <c r="C71" s="65"/>
      <c r="D71" s="76"/>
      <c r="E71" s="76"/>
      <c r="F71" s="66">
        <v>5.5</v>
      </c>
      <c r="G71" s="65"/>
      <c r="H71" s="76"/>
      <c r="I71" s="76"/>
      <c r="J71" s="66">
        <v>5.5</v>
      </c>
      <c r="K71" s="67"/>
      <c r="L71" s="194"/>
      <c r="M71" s="194"/>
      <c r="N71" s="68">
        <v>1</v>
      </c>
      <c r="P71" s="69"/>
    </row>
    <row r="72" spans="2:57" ht="15">
      <c r="B72" s="22" t="s">
        <v>33</v>
      </c>
      <c r="C72" s="65">
        <f>L56</f>
        <v>4.3374630682523456</v>
      </c>
      <c r="D72" s="76">
        <v>5.0755456997699637</v>
      </c>
      <c r="E72" s="76">
        <v>5.0755456997699637</v>
      </c>
      <c r="F72" s="66">
        <v>3.3</v>
      </c>
      <c r="G72" s="65">
        <f>[28]January_2026!$AE$74</f>
        <v>4.3487153015779345</v>
      </c>
      <c r="H72" s="76">
        <v>4.6359882890480018</v>
      </c>
      <c r="I72" s="76">
        <v>4.6359882890480018</v>
      </c>
      <c r="J72" s="66">
        <v>3.3</v>
      </c>
      <c r="K72" s="67">
        <f>K56</f>
        <v>0.67596491228070177</v>
      </c>
      <c r="L72" s="194">
        <v>0.66833333333333345</v>
      </c>
      <c r="M72" s="194">
        <v>0.66833333333333345</v>
      </c>
      <c r="N72" s="68">
        <v>1</v>
      </c>
      <c r="P72" s="69"/>
    </row>
    <row r="73" spans="2:57" ht="15">
      <c r="B73" s="35" t="s">
        <v>164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K73" s="67"/>
      <c r="L73" s="194"/>
      <c r="M73" s="194"/>
      <c r="N73" s="68">
        <v>1</v>
      </c>
      <c r="P73" s="69"/>
    </row>
    <row r="74" spans="2:57" ht="15">
      <c r="B74" s="36" t="s">
        <v>15</v>
      </c>
      <c r="C74" s="65"/>
      <c r="D74" s="76">
        <v>5.1105651105651271</v>
      </c>
      <c r="E74" s="76">
        <v>5.1105651105651271</v>
      </c>
      <c r="F74" s="70">
        <f>[10]May_2022!$M$43</f>
        <v>3.4878406700073312</v>
      </c>
      <c r="G74" s="282"/>
      <c r="H74" s="76">
        <v>7.9131369535794072</v>
      </c>
      <c r="I74" s="76">
        <v>7.9131369535794072</v>
      </c>
      <c r="J74" s="66">
        <v>5.5</v>
      </c>
      <c r="K74" s="67"/>
      <c r="L74" s="194">
        <v>1.3550877192982456</v>
      </c>
      <c r="M74" s="194">
        <v>1.3550877192982456</v>
      </c>
      <c r="N74" s="68">
        <v>1</v>
      </c>
      <c r="P74" s="69"/>
    </row>
    <row r="75" spans="2:57" ht="15">
      <c r="B75" s="37" t="s">
        <v>16</v>
      </c>
      <c r="C75" s="65"/>
      <c r="D75" s="76">
        <v>2.0590520590520631</v>
      </c>
      <c r="E75" s="76">
        <v>2.0590520590520631</v>
      </c>
      <c r="F75" s="66">
        <v>3.3</v>
      </c>
      <c r="G75" s="282"/>
      <c r="H75" s="76">
        <v>2.1755040108015784</v>
      </c>
      <c r="I75" s="76">
        <v>2.1755040108015784</v>
      </c>
      <c r="J75" s="66">
        <v>3.3</v>
      </c>
      <c r="K75" s="67"/>
      <c r="L75" s="194">
        <v>0.88456140350877199</v>
      </c>
      <c r="M75" s="194">
        <v>0.88456140350877199</v>
      </c>
      <c r="N75" s="71">
        <v>1</v>
      </c>
      <c r="P75" s="69"/>
    </row>
    <row r="76" spans="2:57" ht="15.75" thickBot="1">
      <c r="B76" s="38" t="s">
        <v>163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57" ht="15.75" thickBot="1">
      <c r="B77" s="414" t="s">
        <v>161</v>
      </c>
      <c r="C77" s="65"/>
      <c r="D77" s="76"/>
      <c r="E77" s="76"/>
      <c r="F77" s="66">
        <v>4.8</v>
      </c>
      <c r="G77" s="282"/>
      <c r="H77" s="76"/>
      <c r="I77" s="76"/>
      <c r="J77" s="66">
        <v>4.8</v>
      </c>
      <c r="K77" s="67"/>
      <c r="L77" s="194"/>
      <c r="M77" s="194"/>
      <c r="N77" s="71">
        <v>1</v>
      </c>
      <c r="O77" s="74"/>
      <c r="P77" s="75"/>
    </row>
    <row r="78" spans="2:57" ht="15">
      <c r="D78" s="76">
        <v>6.9943814647898712</v>
      </c>
      <c r="E78" s="76">
        <v>6.9943814647898712</v>
      </c>
      <c r="F78" s="341">
        <v>5.5</v>
      </c>
      <c r="H78" s="76">
        <v>6.9227810490474644</v>
      </c>
      <c r="I78" s="76">
        <v>6.9227810490474644</v>
      </c>
      <c r="J78" s="341">
        <v>5.5</v>
      </c>
      <c r="L78" s="194">
        <v>0.5730737491877842</v>
      </c>
      <c r="M78" s="194">
        <v>0.5730737491877842</v>
      </c>
      <c r="N78" s="386">
        <v>1</v>
      </c>
    </row>
  </sheetData>
  <mergeCells count="51">
    <mergeCell ref="M54:M55"/>
    <mergeCell ref="B67:F67"/>
    <mergeCell ref="G67:J67"/>
    <mergeCell ref="K67:N67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584" priority="64" operator="notBetween">
      <formula>#REF!</formula>
      <formula>#REF!</formula>
    </cfRule>
  </conditionalFormatting>
  <conditionalFormatting sqref="C53">
    <cfRule type="cellIs" dxfId="583" priority="192" stopIfTrue="1" operator="greaterThan">
      <formula>100</formula>
    </cfRule>
    <cfRule type="cellIs" dxfId="582" priority="191" stopIfTrue="1" operator="lessThan">
      <formula>96</formula>
    </cfRule>
  </conditionalFormatting>
  <conditionalFormatting sqref="C69:C73">
    <cfRule type="cellIs" dxfId="581" priority="149" stopIfTrue="1" operator="lessThanOrEqual">
      <formula>0</formula>
    </cfRule>
  </conditionalFormatting>
  <conditionalFormatting sqref="C69:C77">
    <cfRule type="cellIs" dxfId="580" priority="148" stopIfTrue="1" operator="greaterThan">
      <formula>$F69</formula>
    </cfRule>
  </conditionalFormatting>
  <conditionalFormatting sqref="C70">
    <cfRule type="cellIs" dxfId="579" priority="195" stopIfTrue="1" operator="greaterThan">
      <formula>$F69</formula>
    </cfRule>
  </conditionalFormatting>
  <conditionalFormatting sqref="C74">
    <cfRule type="cellIs" dxfId="578" priority="88" stopIfTrue="1" operator="lessThanOrEqual">
      <formula>0</formula>
    </cfRule>
    <cfRule type="cellIs" dxfId="577" priority="89" stopIfTrue="1" operator="greaterThan">
      <formula>$F73</formula>
    </cfRule>
  </conditionalFormatting>
  <conditionalFormatting sqref="C80:C84">
    <cfRule type="cellIs" dxfId="576" priority="183" stopIfTrue="1" operator="lessThanOrEqual">
      <formula>0</formula>
    </cfRule>
  </conditionalFormatting>
  <conditionalFormatting sqref="C81:C84">
    <cfRule type="cellIs" dxfId="575" priority="182" stopIfTrue="1" operator="greaterThan">
      <formula>$F$80</formula>
    </cfRule>
  </conditionalFormatting>
  <conditionalFormatting sqref="C86">
    <cfRule type="cellIs" dxfId="574" priority="185" stopIfTrue="1" operator="lessThanOrEqual">
      <formula>0</formula>
    </cfRule>
    <cfRule type="cellIs" dxfId="573" priority="184" stopIfTrue="1" operator="greaterThan">
      <formula>$F$80</formula>
    </cfRule>
  </conditionalFormatting>
  <conditionalFormatting sqref="C80:D80 D82:D88">
    <cfRule type="cellIs" dxfId="572" priority="177" stopIfTrue="1" operator="greaterThan">
      <formula>4.5</formula>
    </cfRule>
  </conditionalFormatting>
  <conditionalFormatting sqref="D49:D50">
    <cfRule type="cellIs" dxfId="571" priority="65" operator="notBetween">
      <formula>#REF!</formula>
      <formula>#REF!</formula>
    </cfRule>
  </conditionalFormatting>
  <conditionalFormatting sqref="D69:D76">
    <cfRule type="cellIs" dxfId="570" priority="157" stopIfTrue="1" operator="lessThanOrEqual">
      <formula>0</formula>
    </cfRule>
  </conditionalFormatting>
  <conditionalFormatting sqref="D80 D82:D88">
    <cfRule type="cellIs" dxfId="569" priority="178" stopIfTrue="1" operator="lessThanOrEqual">
      <formula>0</formula>
    </cfRule>
  </conditionalFormatting>
  <conditionalFormatting sqref="D81">
    <cfRule type="cellIs" dxfId="568" priority="169" stopIfTrue="1" operator="greaterThan">
      <formula>$F$80</formula>
    </cfRule>
    <cfRule type="cellIs" dxfId="567" priority="170" stopIfTrue="1" operator="lessThanOrEqual">
      <formula>0</formula>
    </cfRule>
  </conditionalFormatting>
  <conditionalFormatting sqref="D69:E78">
    <cfRule type="cellIs" dxfId="566" priority="146" stopIfTrue="1" operator="greaterThan">
      <formula>$F69</formula>
    </cfRule>
  </conditionalFormatting>
  <conditionalFormatting sqref="D77:E77">
    <cfRule type="cellIs" dxfId="565" priority="156" stopIfTrue="1" operator="lessThanOrEqual">
      <formula>0</formula>
    </cfRule>
  </conditionalFormatting>
  <conditionalFormatting sqref="D78:E78">
    <cfRule type="cellIs" dxfId="564" priority="147" stopIfTrue="1" operator="lessThanOrEqual">
      <formula>0</formula>
    </cfRule>
  </conditionalFormatting>
  <conditionalFormatting sqref="E10:E24">
    <cfRule type="cellIs" dxfId="563" priority="23" operator="lessThan">
      <formula>48</formula>
    </cfRule>
  </conditionalFormatting>
  <conditionalFormatting sqref="E52 E53:F53">
    <cfRule type="cellIs" dxfId="562" priority="174" stopIfTrue="1" operator="greaterThan">
      <formula>100</formula>
    </cfRule>
  </conditionalFormatting>
  <conditionalFormatting sqref="E53">
    <cfRule type="cellIs" dxfId="561" priority="171" stopIfTrue="1" operator="lessThan">
      <formula>96.8</formula>
    </cfRule>
    <cfRule type="cellIs" dxfId="560" priority="172" stopIfTrue="1" operator="greaterThan">
      <formula>100</formula>
    </cfRule>
  </conditionalFormatting>
  <conditionalFormatting sqref="E69:E76">
    <cfRule type="cellIs" dxfId="559" priority="1" stopIfTrue="1" operator="lessThanOrEqual">
      <formula>0</formula>
    </cfRule>
  </conditionalFormatting>
  <conditionalFormatting sqref="E69:E77">
    <cfRule type="cellIs" dxfId="558" priority="153" stopIfTrue="1" operator="lessThanOrEqual">
      <formula>0</formula>
    </cfRule>
  </conditionalFormatting>
  <conditionalFormatting sqref="E80:E88">
    <cfRule type="cellIs" dxfId="557" priority="164" stopIfTrue="1" operator="lessThanOrEqual">
      <formula>0</formula>
    </cfRule>
    <cfRule type="cellIs" dxfId="556" priority="163" stopIfTrue="1" operator="greaterThan">
      <formula>4.5</formula>
    </cfRule>
  </conditionalFormatting>
  <conditionalFormatting sqref="E53:F53 E52">
    <cfRule type="cellIs" dxfId="555" priority="173" stopIfTrue="1" operator="lessThan">
      <formula>96.5</formula>
    </cfRule>
  </conditionalFormatting>
  <conditionalFormatting sqref="F20:F24">
    <cfRule type="cellIs" dxfId="554" priority="24" operator="greaterThan">
      <formula>60</formula>
    </cfRule>
  </conditionalFormatting>
  <conditionalFormatting sqref="F53">
    <cfRule type="cellIs" dxfId="553" priority="189" stopIfTrue="1" operator="lessThan">
      <formula>96.8</formula>
    </cfRule>
    <cfRule type="cellIs" dxfId="552" priority="190" stopIfTrue="1" operator="greaterThan">
      <formula>100</formula>
    </cfRule>
  </conditionalFormatting>
  <conditionalFormatting sqref="F78">
    <cfRule type="cellIs" dxfId="551" priority="155" stopIfTrue="1" operator="lessThanOrEqual">
      <formula>0</formula>
    </cfRule>
    <cfRule type="cellIs" dxfId="550" priority="154" stopIfTrue="1" operator="greaterThan">
      <formula>$F78</formula>
    </cfRule>
  </conditionalFormatting>
  <conditionalFormatting sqref="G10:G19 G23">
    <cfRule type="expression" dxfId="549" priority="26">
      <formula>IF(+(IF(G10&lt;S10,0,IF(G10&gt;T10,0,1)))=0,1)</formula>
    </cfRule>
  </conditionalFormatting>
  <conditionalFormatting sqref="G69:G70 C75:C77">
    <cfRule type="cellIs" dxfId="548" priority="159" stopIfTrue="1" operator="lessThanOrEqual">
      <formula>0</formula>
    </cfRule>
  </conditionalFormatting>
  <conditionalFormatting sqref="G69:G70">
    <cfRule type="cellIs" dxfId="547" priority="158" stopIfTrue="1" operator="greaterThan">
      <formula>$F69</formula>
    </cfRule>
    <cfRule type="cellIs" dxfId="546" priority="151" stopIfTrue="1" operator="lessThanOrEqual">
      <formula>0</formula>
    </cfRule>
    <cfRule type="cellIs" dxfId="545" priority="150" stopIfTrue="1" operator="greaterThan">
      <formula>$F69</formula>
    </cfRule>
  </conditionalFormatting>
  <conditionalFormatting sqref="G71">
    <cfRule type="cellIs" dxfId="544" priority="194" stopIfTrue="1" operator="lessThanOrEqual">
      <formula>0</formula>
    </cfRule>
    <cfRule type="cellIs" dxfId="543" priority="193" stopIfTrue="1" operator="greaterThan">
      <formula>$F70</formula>
    </cfRule>
  </conditionalFormatting>
  <conditionalFormatting sqref="G72">
    <cfRule type="cellIs" dxfId="542" priority="60" stopIfTrue="1" operator="greaterThan">
      <formula>$F72</formula>
    </cfRule>
    <cfRule type="cellIs" dxfId="541" priority="62" stopIfTrue="1" operator="greaterThan">
      <formula>$F72</formula>
    </cfRule>
    <cfRule type="cellIs" dxfId="540" priority="61" stopIfTrue="1" operator="lessThanOrEqual">
      <formula>0</formula>
    </cfRule>
    <cfRule type="cellIs" dxfId="539" priority="63" stopIfTrue="1" operator="lessThanOrEqual">
      <formula>0</formula>
    </cfRule>
  </conditionalFormatting>
  <conditionalFormatting sqref="G73:G77">
    <cfRule type="cellIs" dxfId="538" priority="161" stopIfTrue="1" operator="lessThanOrEqual">
      <formula>0</formula>
    </cfRule>
    <cfRule type="cellIs" dxfId="537" priority="160" stopIfTrue="1" operator="greaterThan">
      <formula>$J73</formula>
    </cfRule>
  </conditionalFormatting>
  <conditionalFormatting sqref="G82:G87 C85 C87">
    <cfRule type="cellIs" dxfId="536" priority="187" stopIfTrue="1" operator="lessThanOrEqual">
      <formula>0</formula>
    </cfRule>
    <cfRule type="cellIs" dxfId="535" priority="186" stopIfTrue="1" operator="greaterThan">
      <formula>4.5</formula>
    </cfRule>
  </conditionalFormatting>
  <conditionalFormatting sqref="G81:H81">
    <cfRule type="cellIs" dxfId="534" priority="167" stopIfTrue="1" operator="greaterThan">
      <formula>$F$80</formula>
    </cfRule>
    <cfRule type="cellIs" dxfId="533" priority="168" stopIfTrue="1" operator="lessThanOrEqual">
      <formula>0</formula>
    </cfRule>
  </conditionalFormatting>
  <conditionalFormatting sqref="H10:H23 G20:G22 G24:H24">
    <cfRule type="expression" dxfId="532" priority="57">
      <formula>IF(+(IF(G10&lt;#REF!,0,IF(G10&gt;#REF!,0,1)))=0,1)</formula>
    </cfRule>
  </conditionalFormatting>
  <conditionalFormatting sqref="H38:H39 H52">
    <cfRule type="cellIs" dxfId="531" priority="165" stopIfTrue="1" operator="greaterThan">
      <formula>0</formula>
    </cfRule>
  </conditionalFormatting>
  <conditionalFormatting sqref="H56:H57">
    <cfRule type="cellIs" dxfId="530" priority="4" stopIfTrue="1" operator="lessThanOrEqual">
      <formula>0</formula>
    </cfRule>
    <cfRule type="cellIs" dxfId="529" priority="5" stopIfTrue="1" operator="greaterThan">
      <formula>#REF!</formula>
    </cfRule>
    <cfRule type="cellIs" dxfId="528" priority="13" stopIfTrue="1" operator="greaterThan">
      <formula>$F$24</formula>
    </cfRule>
    <cfRule type="cellIs" dxfId="527" priority="14" stopIfTrue="1" operator="lessThanOrEqual">
      <formula>0</formula>
    </cfRule>
    <cfRule type="cellIs" dxfId="526" priority="15" stopIfTrue="1" operator="greaterThan">
      <formula>#REF!</formula>
    </cfRule>
  </conditionalFormatting>
  <conditionalFormatting sqref="H56:H58">
    <cfRule type="cellIs" dxfId="525" priority="16" stopIfTrue="1" operator="lessThanOrEqual">
      <formula>0</formula>
    </cfRule>
  </conditionalFormatting>
  <conditionalFormatting sqref="H58">
    <cfRule type="cellIs" dxfId="524" priority="40" stopIfTrue="1" operator="lessThanOrEqual">
      <formula>0</formula>
    </cfRule>
    <cfRule type="cellIs" dxfId="523" priority="29" stopIfTrue="1" operator="greaterThan">
      <formula>#REF!</formula>
    </cfRule>
    <cfRule type="cellIs" dxfId="522" priority="37" stopIfTrue="1" operator="greaterThan">
      <formula>$F$24</formula>
    </cfRule>
    <cfRule type="cellIs" dxfId="521" priority="38" stopIfTrue="1" operator="lessThanOrEqual">
      <formula>0</formula>
    </cfRule>
    <cfRule type="cellIs" dxfId="520" priority="39" stopIfTrue="1" operator="greaterThan">
      <formula>#REF!</formula>
    </cfRule>
  </conditionalFormatting>
  <conditionalFormatting sqref="H59">
    <cfRule type="cellIs" dxfId="519" priority="115" stopIfTrue="1" operator="lessThanOrEqual">
      <formula>0</formula>
    </cfRule>
    <cfRule type="cellIs" dxfId="518" priority="116" stopIfTrue="1" operator="greaterThan">
      <formula>#REF!</formula>
    </cfRule>
    <cfRule type="cellIs" dxfId="517" priority="117" stopIfTrue="1" operator="lessThanOrEqual">
      <formula>0</formula>
    </cfRule>
    <cfRule type="cellIs" dxfId="516" priority="114" stopIfTrue="1" operator="greaterThan">
      <formula>$F$25</formula>
    </cfRule>
    <cfRule type="cellIs" dxfId="515" priority="106" stopIfTrue="1" operator="greaterThan">
      <formula>#REF!</formula>
    </cfRule>
    <cfRule type="cellIs" dxfId="514" priority="105" stopIfTrue="1" operator="lessThanOrEqual">
      <formula>0</formula>
    </cfRule>
  </conditionalFormatting>
  <conditionalFormatting sqref="H60">
    <cfRule type="cellIs" dxfId="513" priority="51" stopIfTrue="1" operator="greaterThan">
      <formula>$F$72</formula>
    </cfRule>
    <cfRule type="cellIs" dxfId="512" priority="42" stopIfTrue="1" operator="lessThanOrEqual">
      <formula>0</formula>
    </cfRule>
    <cfRule type="cellIs" dxfId="511" priority="43" stopIfTrue="1" operator="greaterThan">
      <formula>$F$69</formula>
    </cfRule>
    <cfRule type="cellIs" dxfId="510" priority="52" stopIfTrue="1" operator="lessThanOrEqual">
      <formula>0</formula>
    </cfRule>
    <cfRule type="cellIs" dxfId="509" priority="54" stopIfTrue="1" operator="lessThanOrEqual">
      <formula>0</formula>
    </cfRule>
    <cfRule type="cellIs" dxfId="508" priority="53" stopIfTrue="1" operator="greaterThan">
      <formula>$F$70</formula>
    </cfRule>
  </conditionalFormatting>
  <conditionalFormatting sqref="H61:H62">
    <cfRule type="cellIs" dxfId="507" priority="103" stopIfTrue="1" operator="lessThanOrEqual">
      <formula>0</formula>
    </cfRule>
    <cfRule type="cellIs" dxfId="506" priority="102" stopIfTrue="1" operator="greaterThan">
      <formula>#REF!</formula>
    </cfRule>
    <cfRule type="cellIs" dxfId="505" priority="92" stopIfTrue="1" operator="greaterThan">
      <formula>#REF!</formula>
    </cfRule>
    <cfRule type="cellIs" dxfId="504" priority="100" stopIfTrue="1" operator="greaterThan">
      <formula>$F$24</formula>
    </cfRule>
    <cfRule type="cellIs" dxfId="503" priority="101" stopIfTrue="1" operator="lessThanOrEqual">
      <formula>0</formula>
    </cfRule>
    <cfRule type="cellIs" dxfId="502" priority="91" stopIfTrue="1" operator="lessThanOrEqual">
      <formula>0</formula>
    </cfRule>
  </conditionalFormatting>
  <conditionalFormatting sqref="H63">
    <cfRule type="cellIs" dxfId="501" priority="120" stopIfTrue="1" operator="lessThanOrEqual">
      <formula>0</formula>
    </cfRule>
    <cfRule type="cellIs" dxfId="500" priority="121" stopIfTrue="1" operator="greaterThan">
      <formula>$F$37</formula>
    </cfRule>
    <cfRule type="cellIs" dxfId="499" priority="132" stopIfTrue="1" operator="lessThanOrEqual">
      <formula>0</formula>
    </cfRule>
    <cfRule type="cellIs" dxfId="498" priority="129" stopIfTrue="1" operator="greaterThan">
      <formula>$F$40</formula>
    </cfRule>
    <cfRule type="cellIs" dxfId="497" priority="130" stopIfTrue="1" operator="lessThanOrEqual">
      <formula>0</formula>
    </cfRule>
    <cfRule type="cellIs" dxfId="496" priority="131" stopIfTrue="1" operator="greaterThan">
      <formula>$F$38</formula>
    </cfRule>
  </conditionalFormatting>
  <conditionalFormatting sqref="H64:H65">
    <cfRule type="cellIs" dxfId="495" priority="76" stopIfTrue="1" operator="greaterThan">
      <formula>#REF!</formula>
    </cfRule>
    <cfRule type="cellIs" dxfId="494" priority="85" stopIfTrue="1" operator="lessThanOrEqual">
      <formula>0</formula>
    </cfRule>
    <cfRule type="cellIs" dxfId="493" priority="84" stopIfTrue="1" operator="greaterThan">
      <formula>$F$24</formula>
    </cfRule>
    <cfRule type="cellIs" dxfId="492" priority="87" stopIfTrue="1" operator="lessThanOrEqual">
      <formula>0</formula>
    </cfRule>
    <cfRule type="cellIs" dxfId="491" priority="86" stopIfTrue="1" operator="greaterThan">
      <formula>#REF!</formula>
    </cfRule>
    <cfRule type="cellIs" dxfId="490" priority="75" stopIfTrue="1" operator="lessThanOrEqual">
      <formula>0</formula>
    </cfRule>
  </conditionalFormatting>
  <conditionalFormatting sqref="H80 H82:H88">
    <cfRule type="cellIs" dxfId="489" priority="180" stopIfTrue="1" operator="lessThanOrEqual">
      <formula>0</formula>
    </cfRule>
    <cfRule type="cellIs" dxfId="488" priority="179" stopIfTrue="1" operator="greaterThan">
      <formula>4.5</formula>
    </cfRule>
  </conditionalFormatting>
  <conditionalFormatting sqref="H56:I57">
    <cfRule type="cellIs" dxfId="487" priority="6" stopIfTrue="1" operator="lessThanOrEqual">
      <formula>0</formula>
    </cfRule>
  </conditionalFormatting>
  <conditionalFormatting sqref="H56:I58">
    <cfRule type="cellIs" dxfId="486" priority="3" stopIfTrue="1" operator="greaterThan">
      <formula>#REF!</formula>
    </cfRule>
  </conditionalFormatting>
  <conditionalFormatting sqref="H58:I58">
    <cfRule type="cellIs" dxfId="485" priority="30" stopIfTrue="1" operator="lessThanOrEqual">
      <formula>0</formula>
    </cfRule>
  </conditionalFormatting>
  <conditionalFormatting sqref="H59:I59">
    <cfRule type="cellIs" dxfId="484" priority="107" stopIfTrue="1" operator="lessThanOrEqual">
      <formula>0</formula>
    </cfRule>
    <cfRule type="cellIs" dxfId="483" priority="104" stopIfTrue="1" operator="greaterThan">
      <formula>$F$24</formula>
    </cfRule>
  </conditionalFormatting>
  <conditionalFormatting sqref="H60:I60">
    <cfRule type="cellIs" dxfId="482" priority="44" stopIfTrue="1" operator="lessThanOrEqual">
      <formula>0</formula>
    </cfRule>
    <cfRule type="cellIs" dxfId="481" priority="41" stopIfTrue="1" operator="greaterThan">
      <formula>$F$71</formula>
    </cfRule>
  </conditionalFormatting>
  <conditionalFormatting sqref="H61:I62">
    <cfRule type="cellIs" dxfId="480" priority="90" stopIfTrue="1" operator="greaterThan">
      <formula>#REF!</formula>
    </cfRule>
    <cfRule type="cellIs" dxfId="479" priority="93" stopIfTrue="1" operator="lessThanOrEqual">
      <formula>0</formula>
    </cfRule>
  </conditionalFormatting>
  <conditionalFormatting sqref="H63:I63">
    <cfRule type="cellIs" dxfId="478" priority="122" stopIfTrue="1" operator="lessThanOrEqual">
      <formula>0</formula>
    </cfRule>
    <cfRule type="cellIs" dxfId="477" priority="119" stopIfTrue="1" operator="greaterThan">
      <formula>$F$39</formula>
    </cfRule>
  </conditionalFormatting>
  <conditionalFormatting sqref="H64:I65">
    <cfRule type="cellIs" dxfId="476" priority="77" stopIfTrue="1" operator="lessThanOrEqual">
      <formula>0</formula>
    </cfRule>
    <cfRule type="cellIs" dxfId="475" priority="74" stopIfTrue="1" operator="greaterThan">
      <formula>#REF!</formula>
    </cfRule>
  </conditionalFormatting>
  <conditionalFormatting sqref="H69:I76">
    <cfRule type="cellIs" dxfId="474" priority="55" stopIfTrue="1" operator="greaterThan">
      <formula>$J69</formula>
    </cfRule>
    <cfRule type="cellIs" dxfId="473" priority="56" stopIfTrue="1" operator="lessThanOrEqual">
      <formula>0</formula>
    </cfRule>
  </conditionalFormatting>
  <conditionalFormatting sqref="H77:I77">
    <cfRule type="cellIs" dxfId="472" priority="152" operator="greaterThan">
      <formula>5.3</formula>
    </cfRule>
  </conditionalFormatting>
  <conditionalFormatting sqref="H78:I78">
    <cfRule type="cellIs" dxfId="471" priority="144" stopIfTrue="1" operator="greaterThan">
      <formula>$J78</formula>
    </cfRule>
    <cfRule type="cellIs" dxfId="470" priority="145" stopIfTrue="1" operator="lessThanOrEqual">
      <formula>0</formula>
    </cfRule>
  </conditionalFormatting>
  <conditionalFormatting sqref="I56:I57">
    <cfRule type="cellIs" dxfId="469" priority="8" stopIfTrue="1" operator="lessThanOrEqual">
      <formula>0</formula>
    </cfRule>
    <cfRule type="cellIs" dxfId="468" priority="9" stopIfTrue="1" operator="greaterThan">
      <formula>#REF!</formula>
    </cfRule>
    <cfRule type="cellIs" dxfId="467" priority="10" stopIfTrue="1" operator="lessThanOrEqual">
      <formula>0</formula>
    </cfRule>
    <cfRule type="cellIs" dxfId="466" priority="11" stopIfTrue="1" operator="greaterThan">
      <formula>#REF!</formula>
    </cfRule>
    <cfRule type="cellIs" dxfId="465" priority="12" stopIfTrue="1" operator="lessThanOrEqual">
      <formula>0</formula>
    </cfRule>
    <cfRule type="cellIs" dxfId="464" priority="7" stopIfTrue="1" operator="greaterThan">
      <formula>#REF!</formula>
    </cfRule>
  </conditionalFormatting>
  <conditionalFormatting sqref="I58">
    <cfRule type="cellIs" dxfId="463" priority="35" stopIfTrue="1" operator="greaterThan">
      <formula>#REF!</formula>
    </cfRule>
    <cfRule type="cellIs" dxfId="462" priority="34" stopIfTrue="1" operator="lessThanOrEqual">
      <formula>0</formula>
    </cfRule>
    <cfRule type="cellIs" dxfId="461" priority="33" stopIfTrue="1" operator="greaterThan">
      <formula>#REF!</formula>
    </cfRule>
    <cfRule type="cellIs" dxfId="460" priority="36" stopIfTrue="1" operator="lessThanOrEqual">
      <formula>0</formula>
    </cfRule>
    <cfRule type="cellIs" dxfId="459" priority="31" stopIfTrue="1" operator="greaterThan">
      <formula>#REF!</formula>
    </cfRule>
    <cfRule type="cellIs" dxfId="458" priority="32" stopIfTrue="1" operator="lessThanOrEqual">
      <formula>0</formula>
    </cfRule>
  </conditionalFormatting>
  <conditionalFormatting sqref="I59">
    <cfRule type="cellIs" dxfId="457" priority="108" stopIfTrue="1" operator="greaterThan">
      <formula>#REF!</formula>
    </cfRule>
    <cfRule type="cellIs" dxfId="456" priority="110" stopIfTrue="1" operator="greaterThan">
      <formula>$F$24</formula>
    </cfRule>
    <cfRule type="cellIs" dxfId="455" priority="111" stopIfTrue="1" operator="lessThanOrEqual">
      <formula>0</formula>
    </cfRule>
    <cfRule type="cellIs" dxfId="454" priority="112" stopIfTrue="1" operator="greaterThan">
      <formula>#REF!</formula>
    </cfRule>
    <cfRule type="cellIs" dxfId="453" priority="113" stopIfTrue="1" operator="lessThanOrEqual">
      <formula>0</formula>
    </cfRule>
    <cfRule type="cellIs" dxfId="452" priority="109" stopIfTrue="1" operator="lessThanOrEqual">
      <formula>0</formula>
    </cfRule>
  </conditionalFormatting>
  <conditionalFormatting sqref="I60">
    <cfRule type="cellIs" dxfId="451" priority="50" stopIfTrue="1" operator="lessThanOrEqual">
      <formula>0</formula>
    </cfRule>
    <cfRule type="cellIs" dxfId="450" priority="49" stopIfTrue="1" operator="greaterThan">
      <formula>$F$69</formula>
    </cfRule>
    <cfRule type="cellIs" dxfId="449" priority="45" stopIfTrue="1" operator="greaterThan">
      <formula>$F$69</formula>
    </cfRule>
    <cfRule type="cellIs" dxfId="448" priority="46" stopIfTrue="1" operator="lessThanOrEqual">
      <formula>0</formula>
    </cfRule>
    <cfRule type="cellIs" dxfId="447" priority="47" stopIfTrue="1" operator="greaterThan">
      <formula>$F$71</formula>
    </cfRule>
    <cfRule type="cellIs" dxfId="446" priority="48" stopIfTrue="1" operator="lessThanOrEqual">
      <formula>0</formula>
    </cfRule>
  </conditionalFormatting>
  <conditionalFormatting sqref="I61:I62">
    <cfRule type="cellIs" dxfId="445" priority="94" stopIfTrue="1" operator="greaterThan">
      <formula>#REF!</formula>
    </cfRule>
    <cfRule type="cellIs" dxfId="444" priority="99" stopIfTrue="1" operator="lessThanOrEqual">
      <formula>0</formula>
    </cfRule>
    <cfRule type="cellIs" dxfId="443" priority="95" stopIfTrue="1" operator="lessThanOrEqual">
      <formula>0</formula>
    </cfRule>
    <cfRule type="cellIs" dxfId="442" priority="96" stopIfTrue="1" operator="greaterThan">
      <formula>#REF!</formula>
    </cfRule>
    <cfRule type="cellIs" dxfId="441" priority="97" stopIfTrue="1" operator="lessThanOrEqual">
      <formula>0</formula>
    </cfRule>
    <cfRule type="cellIs" dxfId="440" priority="98" stopIfTrue="1" operator="greaterThan">
      <formula>#REF!</formula>
    </cfRule>
  </conditionalFormatting>
  <conditionalFormatting sqref="I63">
    <cfRule type="cellIs" dxfId="439" priority="127" stopIfTrue="1" operator="greaterThan">
      <formula>$F$37</formula>
    </cfRule>
    <cfRule type="cellIs" dxfId="438" priority="128" stopIfTrue="1" operator="lessThanOrEqual">
      <formula>0</formula>
    </cfRule>
    <cfRule type="cellIs" dxfId="437" priority="123" stopIfTrue="1" operator="greaterThan">
      <formula>$F$37</formula>
    </cfRule>
    <cfRule type="cellIs" dxfId="436" priority="124" stopIfTrue="1" operator="lessThanOrEqual">
      <formula>0</formula>
    </cfRule>
    <cfRule type="cellIs" dxfId="435" priority="125" stopIfTrue="1" operator="greaterThan">
      <formula>$F$39</formula>
    </cfRule>
    <cfRule type="cellIs" dxfId="434" priority="126" stopIfTrue="1" operator="lessThanOrEqual">
      <formula>0</formula>
    </cfRule>
  </conditionalFormatting>
  <conditionalFormatting sqref="I64:I65">
    <cfRule type="cellIs" dxfId="433" priority="79" stopIfTrue="1" operator="lessThanOrEqual">
      <formula>0</formula>
    </cfRule>
    <cfRule type="cellIs" dxfId="432" priority="83" stopIfTrue="1" operator="lessThanOrEqual">
      <formula>0</formula>
    </cfRule>
    <cfRule type="cellIs" dxfId="431" priority="80" stopIfTrue="1" operator="greaterThan">
      <formula>#REF!</formula>
    </cfRule>
    <cfRule type="cellIs" dxfId="430" priority="78" stopIfTrue="1" operator="greaterThan">
      <formula>#REF!</formula>
    </cfRule>
    <cfRule type="cellIs" dxfId="429" priority="82" stopIfTrue="1" operator="greaterThan">
      <formula>#REF!</formula>
    </cfRule>
    <cfRule type="cellIs" dxfId="428" priority="81" stopIfTrue="1" operator="lessThanOrEqual">
      <formula>0</formula>
    </cfRule>
  </conditionalFormatting>
  <conditionalFormatting sqref="I80:I88">
    <cfRule type="cellIs" dxfId="427" priority="175" stopIfTrue="1" operator="greaterThan">
      <formula>4.5</formula>
    </cfRule>
    <cfRule type="cellIs" dxfId="426" priority="176" stopIfTrue="1" operator="lessThanOrEqual">
      <formula>0</formula>
    </cfRule>
  </conditionalFormatting>
  <conditionalFormatting sqref="I10:J24">
    <cfRule type="cellIs" dxfId="425" priority="19" operator="lessThan">
      <formula>97.9</formula>
    </cfRule>
  </conditionalFormatting>
  <conditionalFormatting sqref="J29">
    <cfRule type="cellIs" dxfId="424" priority="134" stopIfTrue="1" operator="lessThan">
      <formula>96.8</formula>
    </cfRule>
    <cfRule type="cellIs" dxfId="423" priority="135" stopIfTrue="1" operator="greaterThan">
      <formula>100</formula>
    </cfRule>
    <cfRule type="cellIs" dxfId="422" priority="136" operator="lessThan">
      <formula>98</formula>
    </cfRule>
  </conditionalFormatting>
  <conditionalFormatting sqref="J29:J31">
    <cfRule type="cellIs" dxfId="421" priority="133" operator="lessThan">
      <formula>97.4</formula>
    </cfRule>
  </conditionalFormatting>
  <conditionalFormatting sqref="J32:J33">
    <cfRule type="cellIs" dxfId="420" priority="137" operator="lessThan">
      <formula>98</formula>
    </cfRule>
  </conditionalFormatting>
  <conditionalFormatting sqref="J34:J35">
    <cfRule type="cellIs" dxfId="419" priority="138" stopIfTrue="1" operator="lessThan">
      <formula>96.8</formula>
    </cfRule>
    <cfRule type="cellIs" dxfId="418" priority="139" stopIfTrue="1" operator="greaterThan">
      <formula>100</formula>
    </cfRule>
  </conditionalFormatting>
  <conditionalFormatting sqref="J34:J36">
    <cfRule type="cellIs" dxfId="417" priority="140" operator="lessThan">
      <formula>98</formula>
    </cfRule>
  </conditionalFormatting>
  <conditionalFormatting sqref="J65">
    <cfRule type="cellIs" dxfId="416" priority="66" stopIfTrue="1" operator="greaterThan">
      <formula>#REF!</formula>
    </cfRule>
    <cfRule type="cellIs" dxfId="415" priority="68" stopIfTrue="1" operator="greaterThan">
      <formula>#REF!</formula>
    </cfRule>
    <cfRule type="cellIs" dxfId="414" priority="73" stopIfTrue="1" operator="lessThanOrEqual">
      <formula>0</formula>
    </cfRule>
    <cfRule type="cellIs" dxfId="413" priority="72" stopIfTrue="1" operator="greaterThan">
      <formula>#REF!</formula>
    </cfRule>
    <cfRule type="cellIs" dxfId="412" priority="71" stopIfTrue="1" operator="lessThanOrEqual">
      <formula>0</formula>
    </cfRule>
    <cfRule type="cellIs" dxfId="411" priority="70" stopIfTrue="1" operator="greaterThan">
      <formula>#REF!</formula>
    </cfRule>
    <cfRule type="cellIs" dxfId="410" priority="69" stopIfTrue="1" operator="lessThanOrEqual">
      <formula>0</formula>
    </cfRule>
    <cfRule type="cellIs" dxfId="409" priority="67" stopIfTrue="1" operator="lessThanOrEqual">
      <formula>0</formula>
    </cfRule>
  </conditionalFormatting>
  <conditionalFormatting sqref="J78">
    <cfRule type="cellIs" dxfId="408" priority="141" stopIfTrue="1" operator="greaterThan">
      <formula>$F78</formula>
    </cfRule>
    <cfRule type="cellIs" dxfId="407" priority="142" stopIfTrue="1" operator="lessThanOrEqual">
      <formula>0</formula>
    </cfRule>
  </conditionalFormatting>
  <conditionalFormatting sqref="K10:K24">
    <cfRule type="cellIs" dxfId="406" priority="21" operator="lessThan">
      <formula>4</formula>
    </cfRule>
    <cfRule type="cellIs" dxfId="405" priority="20" operator="greaterThan">
      <formula>6</formula>
    </cfRule>
    <cfRule type="cellIs" dxfId="404" priority="22" operator="greaterThan">
      <formula>6.4</formula>
    </cfRule>
  </conditionalFormatting>
  <conditionalFormatting sqref="K56:K65">
    <cfRule type="cellIs" dxfId="403" priority="17" stopIfTrue="1" operator="lessThan">
      <formula>100%</formula>
    </cfRule>
  </conditionalFormatting>
  <conditionalFormatting sqref="K80:K85">
    <cfRule type="cellIs" dxfId="402" priority="181" stopIfTrue="1" operator="lessThan">
      <formula>100%</formula>
    </cfRule>
  </conditionalFormatting>
  <conditionalFormatting sqref="K87:K88">
    <cfRule type="cellIs" dxfId="401" priority="188" stopIfTrue="1" operator="lessThan">
      <formula>100%</formula>
    </cfRule>
  </conditionalFormatting>
  <conditionalFormatting sqref="K69:N77">
    <cfRule type="cellIs" dxfId="400" priority="118" stopIfTrue="1" operator="lessThan">
      <formula>100%</formula>
    </cfRule>
  </conditionalFormatting>
  <conditionalFormatting sqref="L10:L24">
    <cfRule type="cellIs" dxfId="399" priority="28" operator="greaterThan">
      <formula>65</formula>
    </cfRule>
    <cfRule type="cellIs" dxfId="398" priority="27" operator="between">
      <formula>61</formula>
      <formula>65</formula>
    </cfRule>
  </conditionalFormatting>
  <conditionalFormatting sqref="L27:M38">
    <cfRule type="cellIs" dxfId="397" priority="58" operator="lessThan">
      <formula>97.95</formula>
    </cfRule>
  </conditionalFormatting>
  <conditionalFormatting sqref="L42:N42">
    <cfRule type="cellIs" dxfId="396" priority="59" operator="notEqual">
      <formula>#REF!</formula>
    </cfRule>
  </conditionalFormatting>
  <conditionalFormatting sqref="L78:N78">
    <cfRule type="cellIs" dxfId="395" priority="143" stopIfTrue="1" operator="lessThan">
      <formula>100%</formula>
    </cfRule>
  </conditionalFormatting>
  <conditionalFormatting sqref="L80:N88">
    <cfRule type="cellIs" dxfId="394" priority="166" stopIfTrue="1" operator="lessThan">
      <formula>100%</formula>
    </cfRule>
  </conditionalFormatting>
  <conditionalFormatting sqref="M10:M23">
    <cfRule type="expression" dxfId="393" priority="25">
      <formula>IF(+(IF(M10&lt;U10,0,IF(M10&gt;V10,0,1)))=0,1)</formula>
    </cfRule>
  </conditionalFormatting>
  <conditionalFormatting sqref="M24:N24">
    <cfRule type="expression" dxfId="392" priority="196">
      <formula>IF(+(IF(M24&lt;#REF!,0,IF(M24&gt;#REF!,0,1)))=0,1)</formula>
    </cfRule>
  </conditionalFormatting>
  <conditionalFormatting sqref="N10:N23">
    <cfRule type="expression" dxfId="391" priority="18">
      <formula>IF(+(IF(N10&lt;W10,0,IF(N10&gt;X10,0,1)))=0,1)</formula>
    </cfRule>
  </conditionalFormatting>
  <conditionalFormatting sqref="P6">
    <cfRule type="cellIs" dxfId="390" priority="162" operator="greaterThanOrEqual">
      <formula>19</formula>
    </cfRule>
  </conditionalFormatting>
  <dataValidations count="1">
    <dataValidation type="list" allowBlank="1" showInputMessage="1" showErrorMessage="1" sqref="R8" xr:uid="{BA4D33D5-4309-46B2-8878-E7128961CB5E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F630-544D-414E-B743-91AF2EC1ECF5}">
  <sheetPr>
    <pageSetUpPr fitToPage="1"/>
  </sheetPr>
  <dimension ref="A1:BE74"/>
  <sheetViews>
    <sheetView topLeftCell="A19" zoomScale="70" zoomScaleNormal="70" workbookViewId="0">
      <selection activeCell="J54" sqref="J54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46052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[4]Brewhouse!$A104</f>
        <v>CA063</v>
      </c>
      <c r="D10" s="279">
        <f>[4]Brewhouse!$AF104</f>
        <v>49.8</v>
      </c>
      <c r="E10" s="279">
        <f>[4]Brewhouse!$AI104</f>
        <v>47.7</v>
      </c>
      <c r="F10" s="278">
        <f>[4]Brewhouse!$V104</f>
        <v>62</v>
      </c>
      <c r="G10" s="279">
        <f>[4]Brewhouse!AG104</f>
        <v>12.3</v>
      </c>
      <c r="H10" s="492">
        <v>12.2</v>
      </c>
      <c r="I10" s="368">
        <f>[4]Brewhouse!$AU104</f>
        <v>96.575602446302355</v>
      </c>
      <c r="J10" s="368">
        <f>[4]Brewhouse!$AV104</f>
        <v>97.985075246242317</v>
      </c>
      <c r="K10" s="281">
        <f>[4]Brewhouse!$Q104</f>
        <v>7.5706214689265598</v>
      </c>
      <c r="L10" s="276">
        <f>[4]Brewhouse!$P104</f>
        <v>60</v>
      </c>
      <c r="M10" s="397">
        <f>[4]Brewhouse!$U104-[4]Brewhouse!$T104</f>
        <v>0.125</v>
      </c>
      <c r="N10" s="370">
        <f>[4]Brewhouse!$Z104</f>
        <v>0.2722222222222222</v>
      </c>
      <c r="O10" s="420" t="str">
        <f>[4]Brewhouse!$AX104</f>
        <v>R. Regis</v>
      </c>
      <c r="P10" s="418"/>
      <c r="R10" s="277" t="str">
        <f t="shared" ref="R10:R34" si="0">B10</f>
        <v>CARIB</v>
      </c>
      <c r="S10" s="474">
        <f t="shared" ref="S10:S34" si="1">VLOOKUP($B10,$R$3:$X$9,2,FALSE)</f>
        <v>11.6</v>
      </c>
      <c r="T10" s="474">
        <f t="shared" ref="T10:T34" si="2">VLOOKUP($B10,$R$3:$X$9,3,FALSE)</f>
        <v>12</v>
      </c>
      <c r="U10" s="297">
        <f t="shared" ref="U10:U34" si="3">VLOOKUP($B10,$R$3:$X$9,4,FALSE)</f>
        <v>0</v>
      </c>
      <c r="V10" s="297">
        <f t="shared" ref="V10:V34" si="4">VLOOKUP($B10,$R$3:$X$9,5,FALSE)</f>
        <v>0.118055555555556</v>
      </c>
      <c r="W10" s="297">
        <f t="shared" ref="W10:W34" si="5">VLOOKUP($B10,$R$3:$X$9,6,FALSE)</f>
        <v>0.22569444444444445</v>
      </c>
      <c r="X10" s="297">
        <f t="shared" ref="X10:X34" si="6">VLOOKUP($B10,$R$3:$X$9,7,FALSE)</f>
        <v>0.2638888888888889</v>
      </c>
      <c r="Y10" s="297">
        <f t="shared" ref="Y10:Y34" si="7">VLOOKUP($B10,$R$3:$Z$9,8,FALSE)</f>
        <v>0</v>
      </c>
      <c r="Z10" s="474">
        <f t="shared" ref="Z10:Z34" si="8">VLOOKUP($B10,$R$3:$Z$9,9,FALSE)</f>
        <v>60</v>
      </c>
    </row>
    <row r="11" spans="2:29" ht="16.5" customHeight="1">
      <c r="B11" s="29" t="s">
        <v>6</v>
      </c>
      <c r="C11" s="366" t="str">
        <f>[4]Brewhouse!$A105</f>
        <v>CA064</v>
      </c>
      <c r="D11" s="279">
        <f>[4]Brewhouse!$AF105</f>
        <v>50.9</v>
      </c>
      <c r="E11" s="279">
        <f>[4]Brewhouse!$AI105</f>
        <v>48.9</v>
      </c>
      <c r="F11" s="278">
        <f>[4]Brewhouse!$V105</f>
        <v>56</v>
      </c>
      <c r="G11" s="279">
        <f>[4]Brewhouse!AG105</f>
        <v>11.9</v>
      </c>
      <c r="H11" s="396">
        <v>11.9</v>
      </c>
      <c r="I11" s="368">
        <f>[4]Brewhouse!$AU105</f>
        <v>95.507567677953077</v>
      </c>
      <c r="J11" s="368">
        <f>[4]Brewhouse!$AV105</f>
        <v>96.901565422382689</v>
      </c>
      <c r="K11" s="281">
        <f>[4]Brewhouse!$Q105</f>
        <v>5.4990583804143158</v>
      </c>
      <c r="L11" s="276">
        <f>[4]Brewhouse!$P105</f>
        <v>57</v>
      </c>
      <c r="M11" s="397">
        <f>[4]Brewhouse!$U105-[4]Brewhouse!$T105</f>
        <v>0.10902777777777783</v>
      </c>
      <c r="N11" s="370">
        <f>[4]Brewhouse!$Z105</f>
        <v>0.26250000000000007</v>
      </c>
      <c r="O11" s="420" t="str">
        <f>[4]Brewhouse!$AX105</f>
        <v>R.Sookram</v>
      </c>
      <c r="P11" s="418"/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[4]Brewhouse!$A106</f>
        <v>CA065</v>
      </c>
      <c r="D12" s="279">
        <f>[4]Brewhouse!$AF106</f>
        <v>54.5</v>
      </c>
      <c r="E12" s="279">
        <f>[4]Brewhouse!$AI106</f>
        <v>49.4</v>
      </c>
      <c r="F12" s="278">
        <f>[4]Brewhouse!$V106</f>
        <v>70</v>
      </c>
      <c r="G12" s="279">
        <f>[4]Brewhouse!AG106</f>
        <v>12</v>
      </c>
      <c r="H12" s="396">
        <v>12</v>
      </c>
      <c r="I12" s="368">
        <f>[4]Brewhouse!$AU106</f>
        <v>97.819710364525065</v>
      </c>
      <c r="J12" s="368">
        <f>[4]Brewhouse!$AV106</f>
        <v>99.246993286246351</v>
      </c>
      <c r="K12" s="281">
        <f>[4]Brewhouse!$Q106</f>
        <v>3.6158192090395511</v>
      </c>
      <c r="L12" s="276">
        <f>[4]Brewhouse!$P106</f>
        <v>59</v>
      </c>
      <c r="M12" s="397">
        <f>[4]Brewhouse!$U106-[4]Brewhouse!$T106</f>
        <v>0.12847222222222232</v>
      </c>
      <c r="N12" s="370">
        <f>[4]Brewhouse!$Z106</f>
        <v>0.27430555555555558</v>
      </c>
      <c r="O12" s="420" t="str">
        <f>[4]Brewhouse!$AX106</f>
        <v>R.Sookram</v>
      </c>
      <c r="P12" s="418"/>
      <c r="R12" s="277" t="str">
        <f t="shared" si="0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[4]Brewhouse!$A107</f>
        <v>CA066</v>
      </c>
      <c r="D13" s="279">
        <f>[4]Brewhouse!$AF107</f>
        <v>0</v>
      </c>
      <c r="E13" s="279">
        <f>[4]Brewhouse!$AI107</f>
        <v>49.4</v>
      </c>
      <c r="F13" s="278">
        <f>[4]Brewhouse!$V107</f>
        <v>61</v>
      </c>
      <c r="G13" s="279">
        <f>[4]Brewhouse!AG107</f>
        <v>11.7</v>
      </c>
      <c r="H13" s="396">
        <v>11.7</v>
      </c>
      <c r="I13" s="368">
        <f>[4]Brewhouse!$AU107</f>
        <v>93.737546450558312</v>
      </c>
      <c r="J13" s="368">
        <f>[4]Brewhouse!$AV107</f>
        <v>95.106690097525984</v>
      </c>
      <c r="K13" s="281">
        <f>[4]Brewhouse!$Q107</f>
        <v>101.35593220338983</v>
      </c>
      <c r="L13" s="276">
        <f>[4]Brewhouse!$P107</f>
        <v>57</v>
      </c>
      <c r="M13" s="397">
        <f>[4]Brewhouse!$U107-[4]Brewhouse!$T107</f>
        <v>0.12083333333333324</v>
      </c>
      <c r="N13" s="370">
        <f>[4]Brewhouse!$Z107</f>
        <v>0.26944444444444438</v>
      </c>
      <c r="O13" s="420" t="str">
        <f>[4]Brewhouse!$AX107</f>
        <v>R.Sookram</v>
      </c>
      <c r="P13" s="418"/>
      <c r="R13" s="277" t="str">
        <f t="shared" si="0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 t="s">
        <v>6</v>
      </c>
      <c r="C14" s="366" t="str">
        <f>[4]Brewhouse!$A108</f>
        <v>CA067</v>
      </c>
      <c r="D14" s="279">
        <f>[4]Brewhouse!$AF108</f>
        <v>52</v>
      </c>
      <c r="E14" s="279">
        <f>[4]Brewhouse!$AI108</f>
        <v>49.5</v>
      </c>
      <c r="F14" s="278">
        <f>[4]Brewhouse!$V108</f>
        <v>57</v>
      </c>
      <c r="G14" s="279">
        <f>[4]Brewhouse!AG108</f>
        <v>11.9</v>
      </c>
      <c r="H14" s="367"/>
      <c r="I14" s="368">
        <f>[4]Brewhouse!$AU108</f>
        <v>96.679439674001571</v>
      </c>
      <c r="J14" s="368">
        <f>[4]Brewhouse!$AV108</f>
        <v>98.090541685234015</v>
      </c>
      <c r="K14" s="281">
        <f>[4]Brewhouse!$Q108</f>
        <v>4.7547169811320682</v>
      </c>
      <c r="L14" s="276">
        <f>[4]Brewhouse!$P108</f>
        <v>61</v>
      </c>
      <c r="M14" s="397">
        <f>[4]Brewhouse!$U108-[4]Brewhouse!$T108</f>
        <v>0.12708333333333321</v>
      </c>
      <c r="N14" s="370">
        <f>[4]Brewhouse!$Z108</f>
        <v>0.2763888888888888</v>
      </c>
      <c r="O14" s="420" t="str">
        <f>[4]Brewhouse!$AX108</f>
        <v>K. Benjamin</v>
      </c>
      <c r="P14" s="418"/>
      <c r="R14" s="277" t="str">
        <f t="shared" si="0"/>
        <v>CARIB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420"/>
      <c r="P15" s="418"/>
      <c r="R15" s="277">
        <f t="shared" si="0"/>
        <v>0</v>
      </c>
      <c r="S15" s="474" t="e">
        <f t="shared" si="1"/>
        <v>#N/A</v>
      </c>
      <c r="T15" s="474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474" t="e">
        <f t="shared" si="8"/>
        <v>#N/A</v>
      </c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7" ht="16.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0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7" ht="16.5" customHeight="1">
      <c r="B18" s="22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18"/>
      <c r="R18" s="277">
        <f t="shared" si="0"/>
        <v>0</v>
      </c>
      <c r="S18" s="474" t="e">
        <f t="shared" si="1"/>
        <v>#N/A</v>
      </c>
      <c r="T18" s="474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474" t="e">
        <f t="shared" si="8"/>
        <v>#N/A</v>
      </c>
    </row>
    <row r="19" spans="1:27" ht="18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420"/>
      <c r="P19" s="418"/>
      <c r="R19" s="277">
        <f t="shared" si="0"/>
        <v>0</v>
      </c>
      <c r="S19" s="474" t="e">
        <f t="shared" si="1"/>
        <v>#N/A</v>
      </c>
      <c r="T19" s="474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474" t="e">
        <f t="shared" si="8"/>
        <v>#N/A</v>
      </c>
    </row>
    <row r="20" spans="1:27" ht="16.5" customHeight="1">
      <c r="B20" s="22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18"/>
      <c r="R20" s="277">
        <f t="shared" si="0"/>
        <v>0</v>
      </c>
      <c r="S20" s="474" t="e">
        <f t="shared" si="1"/>
        <v>#N/A</v>
      </c>
      <c r="T20" s="474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474" t="e">
        <f t="shared" si="8"/>
        <v>#N/A</v>
      </c>
    </row>
    <row r="21" spans="1:27" ht="15.75" customHeight="1" thickBot="1">
      <c r="B21" s="358"/>
      <c r="C21" s="358"/>
      <c r="D21" s="358"/>
      <c r="E21" s="358"/>
      <c r="F21" s="294"/>
      <c r="G21" s="294"/>
      <c r="H21" s="348"/>
      <c r="I21" s="540"/>
      <c r="J21" s="540"/>
      <c r="K21" s="540"/>
      <c r="L21" s="540"/>
      <c r="M21" s="540"/>
      <c r="N21" s="540"/>
      <c r="O21" s="1"/>
      <c r="P21" s="12"/>
      <c r="R21" s="277">
        <f t="shared" si="0"/>
        <v>0</v>
      </c>
      <c r="S21" s="474" t="e">
        <f t="shared" si="1"/>
        <v>#N/A</v>
      </c>
      <c r="T21" s="474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474" t="e">
        <f t="shared" si="8"/>
        <v>#N/A</v>
      </c>
    </row>
    <row r="22" spans="1:27" ht="15.75" customHeight="1" thickBot="1">
      <c r="B22" s="388" t="s">
        <v>162</v>
      </c>
      <c r="C22" s="388"/>
      <c r="D22" s="541" t="s">
        <v>35</v>
      </c>
      <c r="E22" s="542"/>
      <c r="F22" s="294"/>
      <c r="G22" s="294"/>
      <c r="H22" s="348"/>
      <c r="I22" s="24" t="s">
        <v>17</v>
      </c>
      <c r="J22" s="25"/>
      <c r="K22" s="26" t="s">
        <v>138</v>
      </c>
      <c r="L22" s="25" t="s">
        <v>37</v>
      </c>
      <c r="M22" s="25" t="s">
        <v>38</v>
      </c>
      <c r="N22" s="27" t="s">
        <v>39</v>
      </c>
      <c r="O22" s="294"/>
      <c r="P22" s="12"/>
      <c r="R22" s="277" t="str">
        <f t="shared" si="0"/>
        <v xml:space="preserve">BRAND </v>
      </c>
      <c r="S22" s="474" t="e">
        <f t="shared" si="1"/>
        <v>#N/A</v>
      </c>
      <c r="T22" s="474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474" t="e">
        <f t="shared" si="8"/>
        <v>#N/A</v>
      </c>
    </row>
    <row r="23" spans="1:27" ht="15" customHeight="1">
      <c r="A23" s="28"/>
      <c r="B23" s="543"/>
      <c r="C23" s="362"/>
      <c r="D23" s="546"/>
      <c r="E23" s="547"/>
      <c r="F23" s="294"/>
      <c r="G23" s="294"/>
      <c r="H23" s="348"/>
      <c r="I23" s="29" t="s">
        <v>6</v>
      </c>
      <c r="J23" s="280">
        <f>AVERAGE(I10:I14)</f>
        <v>96.063973322668076</v>
      </c>
      <c r="K23" s="284">
        <f>COUNTA([4]Brewhouse!$A$42:$A$108)</f>
        <v>67</v>
      </c>
      <c r="L23" s="305">
        <f>AVERAGE([4]Brewhouse!$AU$42:$AU$108)</f>
        <v>98.09371532274379</v>
      </c>
      <c r="M23" s="305">
        <f>AVERAGE([4]Brewhouse!$AU$42:$AU$108)</f>
        <v>98.09371532274379</v>
      </c>
      <c r="N23" s="30">
        <v>98</v>
      </c>
      <c r="O23" s="11"/>
      <c r="P23" s="31"/>
      <c r="R23" s="277">
        <f t="shared" si="0"/>
        <v>0</v>
      </c>
      <c r="S23" s="474" t="e">
        <f t="shared" si="1"/>
        <v>#N/A</v>
      </c>
      <c r="T23" s="474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474" t="e">
        <f t="shared" si="8"/>
        <v>#N/A</v>
      </c>
    </row>
    <row r="24" spans="1:27" ht="15" customHeight="1">
      <c r="A24" s="28"/>
      <c r="B24" s="544"/>
      <c r="C24" s="362"/>
      <c r="D24" s="548"/>
      <c r="E24" s="532"/>
      <c r="F24" s="294"/>
      <c r="G24" s="294"/>
      <c r="H24" s="348"/>
      <c r="I24" s="33" t="s">
        <v>9</v>
      </c>
      <c r="J24" s="280"/>
      <c r="K24" s="284">
        <f>COUNTA([5]Brewhouse!$A$52:$A$81)</f>
        <v>30</v>
      </c>
      <c r="L24" s="302">
        <f>AVERAGE([5]Brewhouse!$AS$52:$AS$81)</f>
        <v>99.025209415013663</v>
      </c>
      <c r="M24" s="302" t="e">
        <f>AVERAGE([5]Brewhouse!$AS$52:$AS$781)</f>
        <v>#DIV/0!</v>
      </c>
      <c r="N24" s="30">
        <v>98</v>
      </c>
      <c r="O24" s="11"/>
      <c r="P24" s="31"/>
      <c r="R24" s="277">
        <f t="shared" si="0"/>
        <v>0</v>
      </c>
      <c r="S24" s="474" t="e">
        <f t="shared" si="1"/>
        <v>#N/A</v>
      </c>
      <c r="T24" s="474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474" t="e">
        <f t="shared" si="8"/>
        <v>#N/A</v>
      </c>
    </row>
    <row r="25" spans="1:27" ht="14.65" customHeight="1">
      <c r="A25" s="28"/>
      <c r="B25" s="544"/>
      <c r="C25" s="362"/>
      <c r="D25" s="536"/>
      <c r="E25" s="537"/>
      <c r="F25" s="294"/>
      <c r="G25" s="294"/>
      <c r="H25" s="348"/>
      <c r="I25" s="34" t="s">
        <v>12</v>
      </c>
      <c r="J25" s="280"/>
      <c r="K25" s="284">
        <f>COUNTA([3]Brewhouse!$A$16:$A$23)</f>
        <v>8</v>
      </c>
      <c r="L25" s="302">
        <f>AVERAGE([3]Brewhouse!$AU$16:$AU$23)</f>
        <v>97.765204759801577</v>
      </c>
      <c r="M25" s="302">
        <f>AVERAGE([3]Brewhouse!$AU$16:$AU$23)</f>
        <v>97.765204759801577</v>
      </c>
      <c r="N25" s="30">
        <v>98</v>
      </c>
      <c r="O25" s="11"/>
      <c r="P25" s="31"/>
      <c r="R25" s="277">
        <f t="shared" si="0"/>
        <v>0</v>
      </c>
      <c r="S25" s="474" t="e">
        <f t="shared" si="1"/>
        <v>#N/A</v>
      </c>
      <c r="T25" s="474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474" t="e">
        <f t="shared" si="8"/>
        <v>#N/A</v>
      </c>
    </row>
    <row r="26" spans="1:27" ht="14.65" customHeight="1">
      <c r="A26" s="28"/>
      <c r="B26" s="544"/>
      <c r="C26" s="362"/>
      <c r="D26" s="531"/>
      <c r="E26" s="532"/>
      <c r="F26" s="294"/>
      <c r="G26" s="294"/>
      <c r="H26" s="348"/>
      <c r="I26" s="22" t="s">
        <v>33</v>
      </c>
      <c r="J26" s="280"/>
      <c r="K26" s="284">
        <f>COUNTA([6]Brewhouse!$A$23:$A$34)</f>
        <v>12</v>
      </c>
      <c r="L26" s="302">
        <f>AVERAGE([6]Brewhouse!$AV$23:$AV$34)</f>
        <v>98.31387229810305</v>
      </c>
      <c r="M26" s="302">
        <f>AVERAGE([6]Brewhouse!$AV$23:$AV$34)</f>
        <v>98.31387229810305</v>
      </c>
      <c r="N26" s="30">
        <v>98</v>
      </c>
      <c r="O26" s="11"/>
      <c r="P26" s="31"/>
      <c r="R26" s="277">
        <f t="shared" si="0"/>
        <v>0</v>
      </c>
      <c r="S26" s="474" t="e">
        <f t="shared" si="1"/>
        <v>#N/A</v>
      </c>
      <c r="T26" s="474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474" t="e">
        <f t="shared" si="8"/>
        <v>#N/A</v>
      </c>
    </row>
    <row r="27" spans="1:27" ht="14.65" customHeight="1">
      <c r="A27" s="28"/>
      <c r="B27" s="544"/>
      <c r="C27" s="362"/>
      <c r="D27" s="536"/>
      <c r="E27" s="537"/>
      <c r="F27" s="417"/>
      <c r="G27" s="294"/>
      <c r="H27" s="348"/>
      <c r="I27" s="35" t="s">
        <v>29</v>
      </c>
      <c r="J27" s="280"/>
      <c r="K27" s="284"/>
      <c r="L27" s="302"/>
      <c r="M27" s="302"/>
      <c r="N27" s="30">
        <v>98</v>
      </c>
      <c r="O27" s="11"/>
      <c r="P27" s="31"/>
      <c r="R27" s="277">
        <f t="shared" si="0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7" ht="14.65" customHeight="1">
      <c r="A28" s="28"/>
      <c r="B28" s="544"/>
      <c r="C28" s="362"/>
      <c r="D28" s="531"/>
      <c r="E28" s="532"/>
      <c r="F28" s="417"/>
      <c r="G28" s="294"/>
      <c r="H28" s="348"/>
      <c r="I28" s="36" t="s">
        <v>15</v>
      </c>
      <c r="J28" s="323"/>
      <c r="K28" s="284">
        <f>COUNTA([7]Brewhouse!$A$13:$A$20)</f>
        <v>8</v>
      </c>
      <c r="L28" s="302" t="e">
        <f>AVERAGE([7]Brewhouse!$AT$13:$AT$20)</f>
        <v>#DIV/0!</v>
      </c>
      <c r="M28" s="302" t="e">
        <f>AVERAGE([7]Brewhouse!$AT$13:$AT$20)</f>
        <v>#DIV/0!</v>
      </c>
      <c r="N28" s="30">
        <v>98</v>
      </c>
      <c r="O28" s="11"/>
      <c r="P28" s="31"/>
      <c r="R28" s="277">
        <f t="shared" si="0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  <c r="AA28" s="474"/>
    </row>
    <row r="29" spans="1:27" ht="14.65" customHeight="1">
      <c r="A29" s="28"/>
      <c r="B29" s="544"/>
      <c r="C29" s="362"/>
      <c r="D29" s="536"/>
      <c r="E29" s="537"/>
      <c r="F29" s="417"/>
      <c r="G29" s="294"/>
      <c r="H29" s="348"/>
      <c r="I29" s="37" t="s">
        <v>16</v>
      </c>
      <c r="J29" s="323"/>
      <c r="K29" s="284">
        <f>COUNTA([8]Brewhouse!$A$5:$A$7)</f>
        <v>3</v>
      </c>
      <c r="L29" s="302">
        <f>AVERAGE([8]Brewhouse!$AY$5:$AY$7)</f>
        <v>98.128633252159673</v>
      </c>
      <c r="M29" s="302">
        <f>AVERAGE([8]Brewhouse!$AY$5:$AY$7)</f>
        <v>98.128633252159673</v>
      </c>
      <c r="N29" s="30">
        <v>98</v>
      </c>
      <c r="O29" s="11"/>
      <c r="P29" s="31" t="s">
        <v>41</v>
      </c>
      <c r="R29" s="277">
        <f t="shared" si="0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  <c r="AA29" s="474"/>
    </row>
    <row r="30" spans="1:27" ht="14.65" customHeight="1">
      <c r="A30" s="28"/>
      <c r="B30" s="544"/>
      <c r="C30" s="362"/>
      <c r="D30" s="531"/>
      <c r="E30" s="532"/>
      <c r="F30" s="294"/>
      <c r="G30" s="294"/>
      <c r="H30" s="348"/>
      <c r="I30" s="411" t="s">
        <v>158</v>
      </c>
      <c r="J30" s="326"/>
      <c r="K30" s="284"/>
      <c r="L30" s="305"/>
      <c r="M30" s="305"/>
      <c r="N30" s="30">
        <v>98</v>
      </c>
      <c r="O30" s="11"/>
      <c r="P30" s="31"/>
      <c r="R30" s="277">
        <f t="shared" si="0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  <c r="AA30" s="474"/>
    </row>
    <row r="31" spans="1:27" ht="14.65" customHeight="1">
      <c r="A31" s="28"/>
      <c r="B31" s="544"/>
      <c r="C31" s="349"/>
      <c r="D31" s="536"/>
      <c r="E31" s="537"/>
      <c r="F31" s="294"/>
      <c r="G31" s="294"/>
      <c r="H31" s="348"/>
      <c r="I31" s="410" t="s">
        <v>157</v>
      </c>
      <c r="J31" s="326"/>
      <c r="K31" s="284"/>
      <c r="L31" s="305"/>
      <c r="M31" s="305"/>
      <c r="N31" s="30">
        <v>98</v>
      </c>
      <c r="O31" s="11"/>
      <c r="P31" s="31"/>
      <c r="R31" s="277">
        <f t="shared" si="0"/>
        <v>0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  <c r="AA31" s="474"/>
    </row>
    <row r="32" spans="1:27" ht="15" customHeight="1" thickBot="1">
      <c r="A32" s="28"/>
      <c r="B32" s="544"/>
      <c r="C32" s="349"/>
      <c r="D32" s="531"/>
      <c r="E32" s="532"/>
      <c r="F32" s="294"/>
      <c r="G32" s="294"/>
      <c r="H32" s="348"/>
      <c r="I32" s="406" t="s">
        <v>156</v>
      </c>
      <c r="J32" s="327"/>
      <c r="K32" s="407"/>
      <c r="L32" s="408"/>
      <c r="M32" s="408"/>
      <c r="N32" s="409">
        <v>98</v>
      </c>
      <c r="O32" s="11"/>
      <c r="P32" s="31"/>
      <c r="R32" s="277">
        <f t="shared" si="0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  <c r="AA32" s="474"/>
    </row>
    <row r="33" spans="1:56" ht="15" customHeight="1" thickBot="1">
      <c r="A33" s="28"/>
      <c r="B33" s="544"/>
      <c r="C33" s="349"/>
      <c r="D33" s="546"/>
      <c r="E33" s="547"/>
      <c r="F33" s="294"/>
      <c r="G33" s="294"/>
      <c r="H33" s="348"/>
      <c r="I33" s="1"/>
      <c r="J33" s="39"/>
      <c r="K33" s="404">
        <f>SUM(K23:K32)</f>
        <v>128</v>
      </c>
      <c r="L33" s="405" t="e">
        <f>((L23*K23)+(L24*K24)+(L25*K25)+(L26*K26)+(L27*K27)+(K30*L30)+(L28*K28)+(L29*K29)+(L32*K32))/(K33)</f>
        <v>#DIV/0!</v>
      </c>
      <c r="M33" s="405" t="e">
        <f>L33</f>
        <v>#DIV/0!</v>
      </c>
      <c r="N33" s="40">
        <v>98</v>
      </c>
      <c r="O33" s="11"/>
      <c r="P33" s="31"/>
      <c r="R33" s="277">
        <f t="shared" si="0"/>
        <v>0</v>
      </c>
      <c r="S33" s="474" t="e">
        <f t="shared" si="1"/>
        <v>#N/A</v>
      </c>
      <c r="T33" s="474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474" t="e">
        <f t="shared" si="8"/>
        <v>#N/A</v>
      </c>
      <c r="AA33" s="474"/>
    </row>
    <row r="34" spans="1:56" ht="15.75" thickBot="1">
      <c r="B34" s="545"/>
      <c r="C34" s="350"/>
      <c r="D34" s="548"/>
      <c r="E34" s="532"/>
      <c r="F34" s="294"/>
      <c r="G34" s="42"/>
      <c r="H34" s="41"/>
      <c r="I34" s="42"/>
      <c r="J34" s="42"/>
      <c r="K34" s="351"/>
      <c r="L34" s="348"/>
      <c r="M34" s="348"/>
      <c r="N34" s="11"/>
      <c r="O34" s="294"/>
      <c r="P34" s="12"/>
      <c r="R34" s="277">
        <f t="shared" si="0"/>
        <v>0</v>
      </c>
      <c r="S34" s="474" t="e">
        <f t="shared" si="1"/>
        <v>#N/A</v>
      </c>
      <c r="T34" s="474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474" t="e">
        <f t="shared" si="8"/>
        <v>#N/A</v>
      </c>
      <c r="AA34" s="474"/>
    </row>
    <row r="35" spans="1:56" ht="15.75" thickBot="1">
      <c r="B35" s="526"/>
      <c r="C35" s="362"/>
      <c r="D35" s="529"/>
      <c r="E35" s="530"/>
      <c r="F35" s="294"/>
      <c r="G35" s="42"/>
      <c r="H35" s="41"/>
      <c r="I35" s="42"/>
      <c r="J35" s="533" t="s">
        <v>129</v>
      </c>
      <c r="K35" s="533"/>
      <c r="L35" s="294"/>
      <c r="M35" s="294"/>
      <c r="N35" s="294"/>
      <c r="O35" s="294"/>
      <c r="P35" s="12"/>
    </row>
    <row r="36" spans="1:56" ht="15.75" thickBot="1">
      <c r="B36" s="527"/>
      <c r="C36" s="362"/>
      <c r="D36" s="531"/>
      <c r="E36" s="532"/>
      <c r="F36" s="294"/>
      <c r="G36" s="42"/>
      <c r="H36" s="42"/>
      <c r="I36" s="42"/>
      <c r="J36" s="292" t="s">
        <v>17</v>
      </c>
      <c r="K36" s="293" t="s">
        <v>147</v>
      </c>
      <c r="L36" s="534" t="s">
        <v>136</v>
      </c>
      <c r="M36" s="534"/>
      <c r="N36" s="535"/>
      <c r="O36" s="294"/>
      <c r="P36" s="12"/>
    </row>
    <row r="37" spans="1:56" ht="15" customHeight="1" thickBot="1">
      <c r="B37" s="527"/>
      <c r="C37" s="349"/>
      <c r="D37" s="536"/>
      <c r="E37" s="537"/>
      <c r="F37" s="294"/>
      <c r="G37" s="42"/>
      <c r="H37" s="42"/>
      <c r="I37" s="42"/>
      <c r="J37" s="287" t="s">
        <v>6</v>
      </c>
      <c r="K37" s="324">
        <v>5</v>
      </c>
      <c r="L37" s="475" t="s">
        <v>37</v>
      </c>
      <c r="M37" s="476" t="s">
        <v>38</v>
      </c>
      <c r="N37" s="476" t="s">
        <v>84</v>
      </c>
      <c r="O37" s="294"/>
      <c r="P37" s="12"/>
    </row>
    <row r="38" spans="1:56" ht="15.75" customHeight="1" thickBot="1">
      <c r="B38" s="527"/>
      <c r="C38" s="349"/>
      <c r="D38" s="531"/>
      <c r="E38" s="532"/>
      <c r="F38" s="294"/>
      <c r="G38" s="42"/>
      <c r="H38" s="42"/>
      <c r="I38" s="42"/>
      <c r="J38" s="345" t="s">
        <v>9</v>
      </c>
      <c r="K38" s="324"/>
      <c r="L38" s="344">
        <f>AVERAGE('Jan 2nd'!K45,'Jan 5th'!K45,'Jan 6th'!K49,'Jan 7th'!K49,'Jan 8th '!K44,'Jan 9th-10th'!J58,'Jan 9th-10th'!K58,'Jan12th '!K50,Jan13th!K45,Jan14th!K53,Jan15th!K50,K47,'Jan16-18th'!I53,'Jan16-18th'!J53,'Jan16-18th'!K53,'Jan19th '!K55,Jan20th!K47,Jan21st!K50,Jan22nd!K48,Jan23rd!K50,Jan26th!K49,Jan27th!K52,Jan28th!K51)</f>
        <v>5.9130434782608692</v>
      </c>
      <c r="M38" s="325">
        <f>AVERAGE(L38)</f>
        <v>5.9130434782608692</v>
      </c>
      <c r="N38" s="416">
        <v>9.1999999999999993</v>
      </c>
      <c r="O38" s="294"/>
      <c r="P38" s="12"/>
    </row>
    <row r="39" spans="1:56" ht="15" customHeight="1">
      <c r="B39" s="527"/>
      <c r="C39" s="349"/>
      <c r="D39" s="536"/>
      <c r="E39" s="537"/>
      <c r="F39" s="294"/>
      <c r="G39" s="42"/>
      <c r="H39" s="42"/>
      <c r="I39" s="42"/>
      <c r="J39" s="288" t="s">
        <v>40</v>
      </c>
      <c r="K39" s="324"/>
      <c r="L39" s="294"/>
      <c r="M39" s="294"/>
      <c r="N39" s="294"/>
      <c r="O39" s="294"/>
      <c r="P39" s="12"/>
    </row>
    <row r="40" spans="1:56" ht="15" customHeight="1">
      <c r="B40" s="527"/>
      <c r="C40" s="349"/>
      <c r="D40" s="531"/>
      <c r="E40" s="532"/>
      <c r="F40" s="294"/>
      <c r="G40" s="42"/>
      <c r="H40" s="42"/>
      <c r="I40" s="42"/>
      <c r="J40" s="289" t="s">
        <v>33</v>
      </c>
      <c r="K40" s="324"/>
      <c r="L40" s="294"/>
      <c r="M40" s="294"/>
      <c r="N40" s="294"/>
      <c r="O40" s="294"/>
      <c r="P40" s="12"/>
    </row>
    <row r="41" spans="1:56" ht="15">
      <c r="B41" s="527"/>
      <c r="C41" s="349"/>
      <c r="D41" s="536"/>
      <c r="E41" s="537"/>
      <c r="F41" s="294"/>
      <c r="G41" s="42"/>
      <c r="H41" s="42"/>
      <c r="I41" s="42"/>
      <c r="J41" s="290" t="s">
        <v>16</v>
      </c>
      <c r="K41" s="324"/>
      <c r="L41" s="294"/>
      <c r="M41" s="294"/>
      <c r="N41" s="294"/>
      <c r="O41" s="294"/>
      <c r="P41" s="12"/>
      <c r="BC41" s="44"/>
      <c r="BD41" s="44"/>
    </row>
    <row r="42" spans="1:56" ht="15">
      <c r="B42" s="527"/>
      <c r="C42" s="349"/>
      <c r="D42" s="531"/>
      <c r="E42" s="532"/>
      <c r="F42" s="294"/>
      <c r="G42" s="42"/>
      <c r="H42" s="42"/>
      <c r="I42" s="42"/>
      <c r="J42" s="291" t="s">
        <v>15</v>
      </c>
      <c r="K42" s="324"/>
      <c r="L42" s="294"/>
      <c r="M42" s="294"/>
      <c r="N42" s="294"/>
      <c r="O42" s="294"/>
      <c r="P42" s="12"/>
      <c r="BC42" s="44"/>
      <c r="BD42" s="44"/>
    </row>
    <row r="43" spans="1:56" ht="15">
      <c r="B43" s="527"/>
      <c r="C43" s="349"/>
      <c r="D43" s="536"/>
      <c r="E43" s="537"/>
      <c r="F43" s="294"/>
      <c r="G43" s="42"/>
      <c r="H43" s="42"/>
      <c r="I43" s="42"/>
      <c r="J43" s="291" t="s">
        <v>149</v>
      </c>
      <c r="K43" s="324"/>
      <c r="L43" s="294"/>
      <c r="M43" s="294"/>
      <c r="N43" s="294"/>
      <c r="O43" s="294"/>
      <c r="P43" s="12"/>
      <c r="BC43" s="44"/>
      <c r="BD43" s="44"/>
    </row>
    <row r="44" spans="1:56" ht="15.75" thickBot="1">
      <c r="B44" s="528"/>
      <c r="C44" s="350"/>
      <c r="D44" s="538"/>
      <c r="E44" s="539"/>
      <c r="F44" s="294" t="s">
        <v>166</v>
      </c>
      <c r="G44" s="42"/>
      <c r="H44" s="42"/>
      <c r="I44" s="42"/>
      <c r="J44" s="291" t="s">
        <v>148</v>
      </c>
      <c r="K44" s="324"/>
      <c r="L44" s="294"/>
      <c r="M44" s="294"/>
      <c r="N44" s="294" t="s">
        <v>41</v>
      </c>
      <c r="O44" s="294"/>
      <c r="P44" s="12"/>
      <c r="BC44" s="44"/>
      <c r="BD44" s="44"/>
    </row>
    <row r="45" spans="1:56" ht="17.649999999999999" customHeight="1" thickBot="1">
      <c r="B45" s="312" t="s">
        <v>139</v>
      </c>
      <c r="C45" s="313"/>
      <c r="D45" s="519"/>
      <c r="E45" s="520"/>
      <c r="F45" s="294"/>
      <c r="J45" s="295" t="s">
        <v>134</v>
      </c>
      <c r="K45" s="324"/>
      <c r="L45" s="294"/>
      <c r="M45" s="294"/>
      <c r="N45" s="294"/>
      <c r="O45" s="294"/>
      <c r="P45" s="12"/>
      <c r="BC45" s="44"/>
      <c r="BD45" s="44"/>
    </row>
    <row r="46" spans="1:56" ht="17.649999999999999" customHeight="1">
      <c r="B46" s="363"/>
      <c r="C46" s="364"/>
      <c r="D46" s="365"/>
      <c r="E46" s="365"/>
      <c r="F46" s="294"/>
      <c r="G46" s="42"/>
      <c r="H46" s="42"/>
      <c r="I46" s="42"/>
      <c r="J46" s="295" t="s">
        <v>131</v>
      </c>
      <c r="K46" s="324"/>
      <c r="L46" s="294"/>
      <c r="M46" s="294"/>
      <c r="N46" s="294"/>
      <c r="O46" s="294"/>
      <c r="P46" s="12"/>
      <c r="BC46" s="44"/>
      <c r="BD46" s="44"/>
    </row>
    <row r="47" spans="1:56" ht="15.6" customHeight="1">
      <c r="B47" s="45"/>
      <c r="C47" s="11"/>
      <c r="D47" s="11"/>
      <c r="E47" s="46"/>
      <c r="F47" s="294"/>
      <c r="G47" s="42"/>
      <c r="H47" s="42"/>
      <c r="I47" s="42"/>
      <c r="J47" s="346" t="s">
        <v>130</v>
      </c>
      <c r="K47" s="324">
        <f>SUM(K37:K46)</f>
        <v>5</v>
      </c>
      <c r="L47" s="294"/>
      <c r="M47" s="294"/>
      <c r="N47" s="294"/>
      <c r="O47" s="294"/>
      <c r="P47" s="12"/>
    </row>
    <row r="48" spans="1:56" ht="20.25" customHeight="1">
      <c r="B48" s="15" t="s">
        <v>42</v>
      </c>
      <c r="C48" s="1" t="s">
        <v>43</v>
      </c>
      <c r="D48" s="1"/>
      <c r="E48" s="1"/>
      <c r="F48" s="294"/>
      <c r="G48" s="42"/>
      <c r="H48" s="41"/>
      <c r="L48" s="294"/>
      <c r="N48" s="315"/>
      <c r="P48" s="334"/>
    </row>
    <row r="49" spans="1:57" ht="15" customHeight="1" thickBot="1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1"/>
      <c r="O49" s="48"/>
      <c r="P49" s="49"/>
    </row>
    <row r="50" spans="1:57" ht="15" customHeight="1" thickBot="1">
      <c r="B50" s="511" t="s">
        <v>17</v>
      </c>
      <c r="C50" s="511" t="s">
        <v>44</v>
      </c>
      <c r="D50" s="522" t="s">
        <v>45</v>
      </c>
      <c r="E50" s="524" t="s">
        <v>46</v>
      </c>
      <c r="F50" s="517" t="s">
        <v>47</v>
      </c>
      <c r="G50" s="509" t="s">
        <v>48</v>
      </c>
      <c r="H50" s="511" t="s">
        <v>49</v>
      </c>
      <c r="I50" s="511" t="s">
        <v>50</v>
      </c>
      <c r="J50" s="503" t="s">
        <v>28</v>
      </c>
      <c r="K50" s="513" t="s">
        <v>51</v>
      </c>
      <c r="L50" s="515" t="s">
        <v>52</v>
      </c>
      <c r="M50" s="503" t="s">
        <v>53</v>
      </c>
      <c r="N50" s="13"/>
      <c r="O50" s="13"/>
      <c r="P50" s="50"/>
    </row>
    <row r="51" spans="1:57" ht="28.5" customHeight="1" thickTop="1" thickBot="1">
      <c r="B51" s="512"/>
      <c r="C51" s="521"/>
      <c r="D51" s="523"/>
      <c r="E51" s="525"/>
      <c r="F51" s="518"/>
      <c r="G51" s="510"/>
      <c r="H51" s="512"/>
      <c r="I51" s="512"/>
      <c r="J51" s="504"/>
      <c r="K51" s="514"/>
      <c r="L51" s="516"/>
      <c r="M51" s="504"/>
      <c r="N51" s="13"/>
      <c r="O51" s="13"/>
      <c r="P51" s="50"/>
      <c r="Q51" s="355"/>
      <c r="AB51" s="477">
        <v>43474</v>
      </c>
      <c r="AC51" s="477">
        <v>43475</v>
      </c>
      <c r="AD51" s="477">
        <v>43476</v>
      </c>
      <c r="AE51" s="477">
        <v>43477</v>
      </c>
      <c r="AF51" s="477">
        <v>43478</v>
      </c>
      <c r="AG51" s="477">
        <v>43479</v>
      </c>
      <c r="AH51" s="477">
        <v>43480</v>
      </c>
      <c r="AI51" s="477">
        <v>43481</v>
      </c>
      <c r="AJ51" s="477">
        <v>43482</v>
      </c>
      <c r="AK51" s="477">
        <v>43483</v>
      </c>
      <c r="AL51" s="477">
        <v>43484</v>
      </c>
      <c r="AM51" s="477">
        <v>43485</v>
      </c>
      <c r="AN51" s="477">
        <v>43486</v>
      </c>
      <c r="AO51" s="477">
        <v>43487</v>
      </c>
      <c r="AP51" s="477">
        <v>43488</v>
      </c>
      <c r="AQ51" s="477">
        <v>43489</v>
      </c>
      <c r="AR51" s="477">
        <v>43490</v>
      </c>
      <c r="AS51" s="477">
        <v>43491</v>
      </c>
      <c r="AT51" s="477">
        <v>43492</v>
      </c>
      <c r="AU51" s="477">
        <v>43493</v>
      </c>
      <c r="AV51" s="477">
        <v>43494</v>
      </c>
      <c r="AW51" s="477">
        <v>43495</v>
      </c>
      <c r="AX51" s="477">
        <v>43496</v>
      </c>
    </row>
    <row r="52" spans="1:57" s="54" customFormat="1" ht="37.15" customHeight="1" thickBot="1">
      <c r="B52" s="501" t="str">
        <f>I25</f>
        <v>GUINNESS</v>
      </c>
      <c r="C52" s="495">
        <v>46051</v>
      </c>
      <c r="D52" s="442">
        <f>[28]January_2026!$AF$23</f>
        <v>214.1</v>
      </c>
      <c r="E52" s="443">
        <f>[30]GUINNESS!$S$10</f>
        <v>4.5999999999999996</v>
      </c>
      <c r="F52" s="444"/>
      <c r="G52" s="445">
        <f>[28]January_2026!$AF$28</f>
        <v>195.5</v>
      </c>
      <c r="H52" s="446"/>
      <c r="I52" s="447"/>
      <c r="J52" s="448" t="s">
        <v>150</v>
      </c>
      <c r="K52" s="449"/>
      <c r="L52" s="457">
        <f>(((D52+E52)-G52)/(D52+E52))*100</f>
        <v>10.608139003200726</v>
      </c>
      <c r="M52" s="455" t="s">
        <v>218</v>
      </c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277"/>
      <c r="AY52" s="277"/>
      <c r="AZ52" s="277"/>
      <c r="BA52" s="277"/>
      <c r="BB52" s="277"/>
      <c r="BC52" s="277"/>
      <c r="BD52" s="277"/>
      <c r="BE52" s="277"/>
    </row>
    <row r="53" spans="1:57" s="54" customFormat="1" ht="14.25" customHeight="1" thickBot="1">
      <c r="B53" s="496"/>
      <c r="C53" s="495"/>
      <c r="D53" s="442"/>
      <c r="E53" s="443"/>
      <c r="F53" s="444"/>
      <c r="G53" s="445"/>
      <c r="H53" s="446"/>
      <c r="I53" s="447"/>
      <c r="J53" s="478"/>
      <c r="K53" s="449"/>
      <c r="L53" s="457"/>
      <c r="M53" s="455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277"/>
      <c r="AY53" s="277"/>
      <c r="AZ53" s="277"/>
      <c r="BA53" s="277"/>
      <c r="BB53" s="277"/>
      <c r="BC53" s="277"/>
      <c r="BD53" s="277"/>
      <c r="BE53" s="277"/>
    </row>
    <row r="54" spans="1:57" s="54" customFormat="1" ht="37.15" customHeight="1" thickBot="1">
      <c r="A54" s="54" t="s">
        <v>187</v>
      </c>
      <c r="B54" s="496" t="str">
        <f>J37</f>
        <v>CARIB</v>
      </c>
      <c r="C54" s="495">
        <v>46051</v>
      </c>
      <c r="D54" s="442">
        <f>[28]January_2026!$AF$3</f>
        <v>201.10000000000002</v>
      </c>
      <c r="E54" s="443"/>
      <c r="F54" s="444"/>
      <c r="G54" s="445" t="e">
        <f>[28]January_2026!$AF$7</f>
        <v>#REF!</v>
      </c>
      <c r="H54" s="446"/>
      <c r="I54" s="447"/>
      <c r="J54" s="448" t="s">
        <v>180</v>
      </c>
      <c r="K54" s="449"/>
      <c r="L54" s="457" t="e">
        <f>(((D54+E54)-G54)/(D54+E54))*100</f>
        <v>#REF!</v>
      </c>
      <c r="M54" s="502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>
        <f>[9]January_2019!L7</f>
        <v>285.8</v>
      </c>
      <c r="AC54" s="57">
        <f>[9]January_2019!M7</f>
        <v>508.1</v>
      </c>
      <c r="AD54" s="57">
        <f>[9]January_2019!N7</f>
        <v>0</v>
      </c>
      <c r="AE54" s="57">
        <f>[9]January_2019!O7</f>
        <v>0</v>
      </c>
      <c r="AF54" s="57">
        <f>[9]January_2019!P7</f>
        <v>109.56666666666666</v>
      </c>
      <c r="AG54" s="57">
        <f>[9]January_2019!Q7</f>
        <v>297.64999999999998</v>
      </c>
      <c r="AH54" s="57">
        <f>[9]January_2019!R7</f>
        <v>122.3</v>
      </c>
      <c r="AI54" s="57">
        <f>[9]January_2019!S7</f>
        <v>0</v>
      </c>
      <c r="AJ54" s="57">
        <f>[9]January_2019!T7</f>
        <v>294.7</v>
      </c>
      <c r="AK54" s="57">
        <f>[9]January_2019!U7</f>
        <v>280.5</v>
      </c>
      <c r="AL54" s="57">
        <f>[9]January_2019!V7</f>
        <v>0</v>
      </c>
      <c r="AM54" s="57">
        <f>[9]January_2019!W7</f>
        <v>0</v>
      </c>
      <c r="AN54" s="57">
        <f>[9]January_2019!X7</f>
        <v>188.25</v>
      </c>
      <c r="AO54" s="57">
        <f>[9]January_2019!Y7</f>
        <v>295.7</v>
      </c>
      <c r="AP54" s="57">
        <f>[9]January_2019!Z7</f>
        <v>257.8</v>
      </c>
      <c r="AQ54" s="57">
        <f>[9]January_2019!AA7</f>
        <v>291.2</v>
      </c>
      <c r="AR54" s="57">
        <f>[9]January_2019!AB7</f>
        <v>187</v>
      </c>
      <c r="AS54" s="57">
        <f>[9]January_2019!AC7</f>
        <v>0</v>
      </c>
      <c r="AT54" s="57">
        <f>[9]January_2019!AD7</f>
        <v>0</v>
      </c>
      <c r="AU54" s="57">
        <f>[9]January_2019!AE7</f>
        <v>485.1</v>
      </c>
      <c r="AV54" s="57">
        <f>[9]January_2019!AF7</f>
        <v>171.55</v>
      </c>
      <c r="AW54" s="57">
        <f>[9]January_2019!AG7</f>
        <v>423.8</v>
      </c>
      <c r="AX54" s="277">
        <f>[9]January_2019!AH7</f>
        <v>0</v>
      </c>
      <c r="AY54" s="277"/>
      <c r="AZ54" s="277"/>
      <c r="BA54" s="277"/>
      <c r="BB54" s="277"/>
      <c r="BC54" s="277"/>
      <c r="BD54" s="277"/>
      <c r="BE54" s="277"/>
    </row>
    <row r="55" spans="1:57" s="54" customFormat="1" ht="19.5" hidden="1" customHeight="1" thickBot="1">
      <c r="B55" s="494"/>
      <c r="C55" s="430"/>
      <c r="D55" s="431"/>
      <c r="E55" s="432"/>
      <c r="F55" s="433"/>
      <c r="G55" s="434"/>
      <c r="H55" s="428"/>
      <c r="I55" s="428"/>
      <c r="J55" s="451"/>
      <c r="K55" s="436"/>
      <c r="L55" s="452"/>
      <c r="M55" s="421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277"/>
      <c r="AY55" s="277"/>
      <c r="AZ55" s="277"/>
      <c r="BA55" s="277"/>
      <c r="BB55" s="277"/>
      <c r="BC55" s="277"/>
      <c r="BD55" s="277"/>
      <c r="BE55" s="277"/>
    </row>
    <row r="56" spans="1:57" s="54" customFormat="1" ht="38.450000000000003" hidden="1" customHeight="1" thickBot="1">
      <c r="B56" s="497"/>
      <c r="C56" s="495"/>
      <c r="D56" s="442"/>
      <c r="E56" s="443"/>
      <c r="F56" s="444"/>
      <c r="G56" s="445"/>
      <c r="H56" s="458"/>
      <c r="I56" s="458"/>
      <c r="J56" s="448"/>
      <c r="K56" s="460"/>
      <c r="L56" s="457"/>
      <c r="M56" s="455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277"/>
      <c r="AY56" s="277"/>
      <c r="AZ56" s="277"/>
      <c r="BA56" s="277"/>
      <c r="BB56" s="277"/>
      <c r="BC56" s="277"/>
      <c r="BD56" s="277"/>
      <c r="BE56" s="277"/>
    </row>
    <row r="57" spans="1:57" s="54" customFormat="1" ht="15.75" hidden="1" thickBot="1">
      <c r="B57" s="453"/>
      <c r="C57" s="430"/>
      <c r="D57" s="431"/>
      <c r="E57" s="432"/>
      <c r="F57" s="433"/>
      <c r="G57" s="434"/>
      <c r="H57" s="435"/>
      <c r="I57" s="450"/>
      <c r="J57" s="451"/>
      <c r="K57" s="436"/>
      <c r="L57" s="452"/>
      <c r="M57" s="421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277"/>
      <c r="AY57" s="277"/>
      <c r="AZ57" s="277"/>
      <c r="BA57" s="277"/>
      <c r="BB57" s="277"/>
      <c r="BC57" s="277"/>
      <c r="BD57" s="277"/>
      <c r="BE57" s="277"/>
    </row>
    <row r="58" spans="1:57" s="54" customFormat="1" ht="37.15" hidden="1" customHeight="1" thickBot="1">
      <c r="B58" s="496"/>
      <c r="C58" s="495"/>
      <c r="D58" s="442"/>
      <c r="E58" s="443"/>
      <c r="F58" s="444"/>
      <c r="G58" s="445"/>
      <c r="H58" s="446"/>
      <c r="I58" s="447"/>
      <c r="J58" s="448"/>
      <c r="K58" s="449"/>
      <c r="L58" s="457"/>
      <c r="M58" s="455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277"/>
      <c r="AY58" s="277"/>
      <c r="AZ58" s="277"/>
      <c r="BA58" s="277"/>
      <c r="BB58" s="277"/>
      <c r="BC58" s="277"/>
      <c r="BD58" s="277"/>
      <c r="BE58" s="277"/>
    </row>
    <row r="59" spans="1:57" s="54" customFormat="1" ht="16.5" hidden="1" customHeight="1" thickBot="1">
      <c r="B59" s="437"/>
      <c r="C59" s="423"/>
      <c r="D59" s="424"/>
      <c r="E59" s="425"/>
      <c r="F59" s="426"/>
      <c r="G59" s="427"/>
      <c r="H59" s="428"/>
      <c r="I59" s="438"/>
      <c r="J59" s="439"/>
      <c r="K59" s="429"/>
      <c r="L59" s="440"/>
      <c r="M59" s="422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5"/>
      <c r="AC59" s="415"/>
      <c r="AD59" s="415"/>
      <c r="AE59" s="415"/>
      <c r="AF59" s="415"/>
      <c r="AG59" s="415"/>
      <c r="AH59" s="415"/>
      <c r="AI59" s="415"/>
      <c r="AJ59" s="415"/>
      <c r="AK59" s="415"/>
      <c r="AL59" s="415"/>
      <c r="AM59" s="415"/>
      <c r="AN59" s="415"/>
      <c r="AO59" s="415"/>
      <c r="AP59" s="415"/>
      <c r="AQ59" s="415"/>
      <c r="AR59" s="415"/>
      <c r="AS59" s="415"/>
      <c r="AT59" s="415"/>
      <c r="AU59" s="415"/>
      <c r="AV59" s="415"/>
      <c r="AW59" s="415"/>
    </row>
    <row r="60" spans="1:57" s="54" customFormat="1" ht="37.15" hidden="1" customHeight="1" thickBot="1">
      <c r="B60" s="456"/>
      <c r="C60" s="441"/>
      <c r="D60" s="442"/>
      <c r="E60" s="443"/>
      <c r="F60" s="444"/>
      <c r="G60" s="445"/>
      <c r="H60" s="446"/>
      <c r="I60" s="447"/>
      <c r="J60" s="448"/>
      <c r="K60" s="449"/>
      <c r="L60" s="457"/>
      <c r="M60" s="454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277"/>
      <c r="AY60" s="277"/>
      <c r="AZ60" s="277"/>
      <c r="BA60" s="277"/>
      <c r="BB60" s="277"/>
      <c r="BC60" s="277"/>
      <c r="BD60" s="277"/>
      <c r="BE60" s="277"/>
    </row>
    <row r="61" spans="1:57" s="54" customFormat="1" ht="37.15" customHeight="1">
      <c r="B61" s="467"/>
      <c r="C61" s="430"/>
      <c r="D61" s="461"/>
      <c r="E61" s="462"/>
      <c r="F61" s="463"/>
      <c r="G61" s="461"/>
      <c r="H61" s="464"/>
      <c r="I61" s="464"/>
      <c r="J61" s="464"/>
      <c r="K61" s="465"/>
      <c r="L61" s="466"/>
      <c r="M61" s="50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 t="s">
        <v>41</v>
      </c>
      <c r="O62" s="56"/>
      <c r="P62" s="60"/>
    </row>
    <row r="63" spans="1:57" ht="15.75" thickBot="1">
      <c r="B63" s="505" t="s">
        <v>55</v>
      </c>
      <c r="C63" s="506"/>
      <c r="D63" s="506"/>
      <c r="E63" s="506"/>
      <c r="F63" s="507"/>
      <c r="G63" s="505" t="s">
        <v>56</v>
      </c>
      <c r="H63" s="506"/>
      <c r="I63" s="506"/>
      <c r="J63" s="507"/>
      <c r="K63" s="505" t="s">
        <v>51</v>
      </c>
      <c r="L63" s="506"/>
      <c r="M63" s="506"/>
      <c r="N63" s="508"/>
      <c r="O63" s="56"/>
      <c r="P63" s="50"/>
    </row>
    <row r="64" spans="1:57" ht="15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 ht="15">
      <c r="B65" s="29" t="s">
        <v>6</v>
      </c>
      <c r="C65" s="282" t="e">
        <f>L54</f>
        <v>#REF!</v>
      </c>
      <c r="D65" s="76">
        <v>9.0987146573707616</v>
      </c>
      <c r="E65" s="76">
        <v>9.0987146573707616</v>
      </c>
      <c r="F65" s="66">
        <v>4.8</v>
      </c>
      <c r="G65" s="65"/>
      <c r="H65" s="480">
        <v>9.0677024266236756</v>
      </c>
      <c r="I65" s="480">
        <v>9.0677024266236756</v>
      </c>
      <c r="J65" s="66">
        <v>4.8</v>
      </c>
      <c r="K65" s="67"/>
      <c r="L65" s="194">
        <v>0.38595497076023394</v>
      </c>
      <c r="M65" s="194">
        <v>0.38595497076023394</v>
      </c>
      <c r="N65" s="68">
        <v>1</v>
      </c>
      <c r="O65" s="56"/>
      <c r="P65" s="69"/>
    </row>
    <row r="66" spans="2:16" ht="15">
      <c r="B66" s="33" t="s">
        <v>9</v>
      </c>
      <c r="C66" s="65"/>
      <c r="D66" s="76">
        <v>6.6263785558913062</v>
      </c>
      <c r="E66" s="76">
        <v>6.6263785558913062</v>
      </c>
      <c r="F66" s="66">
        <v>4.8</v>
      </c>
      <c r="G66" s="65"/>
      <c r="H66" s="76">
        <v>7.0083733221260962</v>
      </c>
      <c r="I66" s="76">
        <v>7.0083733221260962</v>
      </c>
      <c r="J66" s="66">
        <v>4.8</v>
      </c>
      <c r="K66" s="67"/>
      <c r="L66" s="194">
        <v>0.66496686159844054</v>
      </c>
      <c r="M66" s="194">
        <v>0.66496686159844054</v>
      </c>
      <c r="N66" s="68">
        <v>1</v>
      </c>
      <c r="P66" s="69"/>
    </row>
    <row r="67" spans="2:16" ht="15">
      <c r="B67" s="34" t="s">
        <v>40</v>
      </c>
      <c r="C67" s="65"/>
      <c r="D67" s="76"/>
      <c r="E67" s="76"/>
      <c r="F67" s="66">
        <v>5.5</v>
      </c>
      <c r="G67" s="65"/>
      <c r="H67" s="76"/>
      <c r="I67" s="76"/>
      <c r="J67" s="66">
        <v>5.5</v>
      </c>
      <c r="K67" s="67"/>
      <c r="L67" s="194"/>
      <c r="M67" s="194"/>
      <c r="N67" s="68">
        <v>1</v>
      </c>
      <c r="P67" s="69"/>
    </row>
    <row r="68" spans="2:16" ht="15">
      <c r="B68" s="22" t="s">
        <v>33</v>
      </c>
      <c r="C68" s="65"/>
      <c r="D68" s="76">
        <v>5.0755456997699637</v>
      </c>
      <c r="E68" s="76">
        <v>5.0755456997699637</v>
      </c>
      <c r="F68" s="66">
        <v>3.3</v>
      </c>
      <c r="G68" s="65"/>
      <c r="H68" s="76">
        <v>4.6359882890480018</v>
      </c>
      <c r="I68" s="76">
        <v>4.6359882890480018</v>
      </c>
      <c r="J68" s="66">
        <v>3.3</v>
      </c>
      <c r="K68" s="67"/>
      <c r="L68" s="194">
        <v>0.66833333333333345</v>
      </c>
      <c r="M68" s="194">
        <v>0.66833333333333345</v>
      </c>
      <c r="N68" s="68">
        <v>1</v>
      </c>
      <c r="P68" s="69"/>
    </row>
    <row r="69" spans="2:16" ht="15">
      <c r="B69" s="35" t="s">
        <v>164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K69" s="67"/>
      <c r="L69" s="194"/>
      <c r="M69" s="194"/>
      <c r="N69" s="68">
        <v>1</v>
      </c>
      <c r="P69" s="69"/>
    </row>
    <row r="70" spans="2:16" ht="15">
      <c r="B70" s="36" t="s">
        <v>15</v>
      </c>
      <c r="C70" s="65"/>
      <c r="D70" s="76">
        <v>5.1105651105651271</v>
      </c>
      <c r="E70" s="76">
        <v>5.1105651105651271</v>
      </c>
      <c r="F70" s="70">
        <f>[10]May_2022!$M$43</f>
        <v>3.4878406700073312</v>
      </c>
      <c r="G70" s="282"/>
      <c r="H70" s="76">
        <v>7.9131369535794072</v>
      </c>
      <c r="I70" s="76">
        <v>7.9131369535794072</v>
      </c>
      <c r="J70" s="66">
        <v>5.5</v>
      </c>
      <c r="K70" s="67"/>
      <c r="L70" s="194">
        <v>1.3550877192982456</v>
      </c>
      <c r="M70" s="194">
        <v>1.3550877192982456</v>
      </c>
      <c r="N70" s="68">
        <v>1</v>
      </c>
      <c r="P70" s="69"/>
    </row>
    <row r="71" spans="2:16" ht="15">
      <c r="B71" s="37" t="s">
        <v>16</v>
      </c>
      <c r="C71" s="65"/>
      <c r="D71" s="76">
        <v>2.0590520590520631</v>
      </c>
      <c r="E71" s="76">
        <v>2.0590520590520631</v>
      </c>
      <c r="F71" s="66">
        <v>3.3</v>
      </c>
      <c r="G71" s="282"/>
      <c r="H71" s="76">
        <v>2.1755040108015784</v>
      </c>
      <c r="I71" s="76">
        <v>2.1755040108015784</v>
      </c>
      <c r="J71" s="66">
        <v>3.3</v>
      </c>
      <c r="K71" s="67"/>
      <c r="L71" s="194">
        <v>0.88456140350877199</v>
      </c>
      <c r="M71" s="194">
        <v>0.88456140350877199</v>
      </c>
      <c r="N71" s="71">
        <v>1</v>
      </c>
      <c r="P71" s="69"/>
    </row>
    <row r="72" spans="2:16" ht="15.75" thickBot="1">
      <c r="B72" s="38" t="s">
        <v>163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5.75" thickBot="1">
      <c r="B73" s="414" t="s">
        <v>161</v>
      </c>
      <c r="C73" s="65"/>
      <c r="D73" s="76"/>
      <c r="E73" s="76"/>
      <c r="F73" s="66">
        <v>4.8</v>
      </c>
      <c r="G73" s="282"/>
      <c r="H73" s="76"/>
      <c r="I73" s="76"/>
      <c r="J73" s="66">
        <v>4.8</v>
      </c>
      <c r="K73" s="67"/>
      <c r="L73" s="194"/>
      <c r="M73" s="194"/>
      <c r="N73" s="71">
        <v>1</v>
      </c>
      <c r="O73" s="74"/>
      <c r="P73" s="75"/>
    </row>
    <row r="74" spans="2:16" ht="15">
      <c r="D74" s="76">
        <v>6.9943814647898712</v>
      </c>
      <c r="E74" s="76">
        <v>6.9943814647898712</v>
      </c>
      <c r="F74" s="341">
        <v>5.5</v>
      </c>
      <c r="H74" s="76">
        <v>6.9227810490474644</v>
      </c>
      <c r="I74" s="76">
        <v>6.9227810490474644</v>
      </c>
      <c r="J74" s="341">
        <v>5.5</v>
      </c>
      <c r="L74" s="194">
        <v>0.5730737491877842</v>
      </c>
      <c r="M74" s="194">
        <v>0.5730737491877842</v>
      </c>
      <c r="N74" s="386">
        <v>1</v>
      </c>
    </row>
  </sheetData>
  <mergeCells count="51">
    <mergeCell ref="M50:M51"/>
    <mergeCell ref="B63:F63"/>
    <mergeCell ref="G63:J63"/>
    <mergeCell ref="K63:N63"/>
    <mergeCell ref="G50:G51"/>
    <mergeCell ref="H50:H51"/>
    <mergeCell ref="I50:I51"/>
    <mergeCell ref="J50:J51"/>
    <mergeCell ref="K50:K51"/>
    <mergeCell ref="L50:L51"/>
    <mergeCell ref="F50:F51"/>
    <mergeCell ref="D45:E45"/>
    <mergeCell ref="B50:B51"/>
    <mergeCell ref="C50:C51"/>
    <mergeCell ref="D50:D51"/>
    <mergeCell ref="E50:E51"/>
    <mergeCell ref="B35:B44"/>
    <mergeCell ref="D35:E36"/>
    <mergeCell ref="J35:K35"/>
    <mergeCell ref="L36:N36"/>
    <mergeCell ref="D37:E38"/>
    <mergeCell ref="D39:E40"/>
    <mergeCell ref="D41:E42"/>
    <mergeCell ref="D43:E44"/>
    <mergeCell ref="I21:N21"/>
    <mergeCell ref="D22:E22"/>
    <mergeCell ref="B23:B34"/>
    <mergeCell ref="D23:E24"/>
    <mergeCell ref="D25:E26"/>
    <mergeCell ref="D27:E28"/>
    <mergeCell ref="D29:E30"/>
    <mergeCell ref="D31:E32"/>
    <mergeCell ref="D33:E3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5:B46">
    <cfRule type="cellIs" dxfId="389" priority="75" operator="notBetween">
      <formula>#REF!</formula>
      <formula>#REF!</formula>
    </cfRule>
  </conditionalFormatting>
  <conditionalFormatting sqref="C49">
    <cfRule type="cellIs" dxfId="388" priority="203" stopIfTrue="1" operator="greaterThan">
      <formula>100</formula>
    </cfRule>
    <cfRule type="cellIs" dxfId="387" priority="202" stopIfTrue="1" operator="lessThan">
      <formula>96</formula>
    </cfRule>
  </conditionalFormatting>
  <conditionalFormatting sqref="C65:C69">
    <cfRule type="cellIs" dxfId="386" priority="160" stopIfTrue="1" operator="lessThanOrEqual">
      <formula>0</formula>
    </cfRule>
  </conditionalFormatting>
  <conditionalFormatting sqref="C65:C73">
    <cfRule type="cellIs" dxfId="385" priority="159" stopIfTrue="1" operator="greaterThan">
      <formula>$F65</formula>
    </cfRule>
  </conditionalFormatting>
  <conditionalFormatting sqref="C66">
    <cfRule type="cellIs" dxfId="384" priority="206" stopIfTrue="1" operator="greaterThan">
      <formula>$F65</formula>
    </cfRule>
  </conditionalFormatting>
  <conditionalFormatting sqref="C70">
    <cfRule type="cellIs" dxfId="383" priority="99" stopIfTrue="1" operator="lessThanOrEqual">
      <formula>0</formula>
    </cfRule>
    <cfRule type="cellIs" dxfId="382" priority="100" stopIfTrue="1" operator="greaterThan">
      <formula>$F69</formula>
    </cfRule>
  </conditionalFormatting>
  <conditionalFormatting sqref="C76:C80">
    <cfRule type="cellIs" dxfId="381" priority="194" stopIfTrue="1" operator="lessThanOrEqual">
      <formula>0</formula>
    </cfRule>
  </conditionalFormatting>
  <conditionalFormatting sqref="C77:C80">
    <cfRule type="cellIs" dxfId="380" priority="193" stopIfTrue="1" operator="greaterThan">
      <formula>$F$76</formula>
    </cfRule>
  </conditionalFormatting>
  <conditionalFormatting sqref="C82">
    <cfRule type="cellIs" dxfId="379" priority="196" stopIfTrue="1" operator="lessThanOrEqual">
      <formula>0</formula>
    </cfRule>
    <cfRule type="cellIs" dxfId="378" priority="195" stopIfTrue="1" operator="greaterThan">
      <formula>$F$76</formula>
    </cfRule>
  </conditionalFormatting>
  <conditionalFormatting sqref="C76:D76 D78:D84">
    <cfRule type="cellIs" dxfId="377" priority="188" stopIfTrue="1" operator="greaterThan">
      <formula>4.5</formula>
    </cfRule>
  </conditionalFormatting>
  <conditionalFormatting sqref="D45:D46">
    <cfRule type="cellIs" dxfId="376" priority="76" operator="notBetween">
      <formula>#REF!</formula>
      <formula>#REF!</formula>
    </cfRule>
  </conditionalFormatting>
  <conditionalFormatting sqref="D65:D72">
    <cfRule type="cellIs" dxfId="375" priority="168" stopIfTrue="1" operator="lessThanOrEqual">
      <formula>0</formula>
    </cfRule>
  </conditionalFormatting>
  <conditionalFormatting sqref="D76 D78:D84">
    <cfRule type="cellIs" dxfId="374" priority="189" stopIfTrue="1" operator="lessThanOrEqual">
      <formula>0</formula>
    </cfRule>
  </conditionalFormatting>
  <conditionalFormatting sqref="D77">
    <cfRule type="cellIs" dxfId="373" priority="180" stopIfTrue="1" operator="greaterThan">
      <formula>$F$76</formula>
    </cfRule>
    <cfRule type="cellIs" dxfId="372" priority="181" stopIfTrue="1" operator="lessThanOrEqual">
      <formula>0</formula>
    </cfRule>
  </conditionalFormatting>
  <conditionalFormatting sqref="D65:E74">
    <cfRule type="cellIs" dxfId="371" priority="157" stopIfTrue="1" operator="greaterThan">
      <formula>$F65</formula>
    </cfRule>
  </conditionalFormatting>
  <conditionalFormatting sqref="D73:E73">
    <cfRule type="cellIs" dxfId="370" priority="167" stopIfTrue="1" operator="lessThanOrEqual">
      <formula>0</formula>
    </cfRule>
  </conditionalFormatting>
  <conditionalFormatting sqref="D74:E74">
    <cfRule type="cellIs" dxfId="369" priority="158" stopIfTrue="1" operator="lessThanOrEqual">
      <formula>0</formula>
    </cfRule>
  </conditionalFormatting>
  <conditionalFormatting sqref="E10:E20">
    <cfRule type="cellIs" dxfId="368" priority="34" operator="lessThan">
      <formula>48</formula>
    </cfRule>
  </conditionalFormatting>
  <conditionalFormatting sqref="E48 E49:F49">
    <cfRule type="cellIs" dxfId="367" priority="185" stopIfTrue="1" operator="greaterThan">
      <formula>100</formula>
    </cfRule>
  </conditionalFormatting>
  <conditionalFormatting sqref="E49">
    <cfRule type="cellIs" dxfId="366" priority="182" stopIfTrue="1" operator="lessThan">
      <formula>96.8</formula>
    </cfRule>
    <cfRule type="cellIs" dxfId="365" priority="183" stopIfTrue="1" operator="greaterThan">
      <formula>100</formula>
    </cfRule>
  </conditionalFormatting>
  <conditionalFormatting sqref="E65:E72">
    <cfRule type="cellIs" dxfId="364" priority="13" stopIfTrue="1" operator="lessThanOrEqual">
      <formula>0</formula>
    </cfRule>
  </conditionalFormatting>
  <conditionalFormatting sqref="E65:E73">
    <cfRule type="cellIs" dxfId="363" priority="164" stopIfTrue="1" operator="lessThanOrEqual">
      <formula>0</formula>
    </cfRule>
  </conditionalFormatting>
  <conditionalFormatting sqref="E76:E84">
    <cfRule type="cellIs" dxfId="362" priority="175" stopIfTrue="1" operator="lessThanOrEqual">
      <formula>0</formula>
    </cfRule>
    <cfRule type="cellIs" dxfId="361" priority="174" stopIfTrue="1" operator="greaterThan">
      <formula>4.5</formula>
    </cfRule>
  </conditionalFormatting>
  <conditionalFormatting sqref="E49:F49 E48">
    <cfRule type="cellIs" dxfId="360" priority="184" stopIfTrue="1" operator="lessThan">
      <formula>96.5</formula>
    </cfRule>
  </conditionalFormatting>
  <conditionalFormatting sqref="F10:F20">
    <cfRule type="cellIs" dxfId="359" priority="35" operator="greaterThan">
      <formula>60</formula>
    </cfRule>
  </conditionalFormatting>
  <conditionalFormatting sqref="F49">
    <cfRule type="cellIs" dxfId="358" priority="200" stopIfTrue="1" operator="lessThan">
      <formula>96.8</formula>
    </cfRule>
    <cfRule type="cellIs" dxfId="357" priority="201" stopIfTrue="1" operator="greaterThan">
      <formula>100</formula>
    </cfRule>
  </conditionalFormatting>
  <conditionalFormatting sqref="F74">
    <cfRule type="cellIs" dxfId="356" priority="166" stopIfTrue="1" operator="lessThanOrEqual">
      <formula>0</formula>
    </cfRule>
    <cfRule type="cellIs" dxfId="355" priority="165" stopIfTrue="1" operator="greaterThan">
      <formula>$F74</formula>
    </cfRule>
  </conditionalFormatting>
  <conditionalFormatting sqref="G10:G17 G19">
    <cfRule type="expression" dxfId="354" priority="37">
      <formula>IF(+(IF(G10&lt;S10,0,IF(G10&gt;T10,0,1)))=0,1)</formula>
    </cfRule>
  </conditionalFormatting>
  <conditionalFormatting sqref="G65:G66 C71:C73">
    <cfRule type="cellIs" dxfId="353" priority="170" stopIfTrue="1" operator="lessThanOrEqual">
      <formula>0</formula>
    </cfRule>
  </conditionalFormatting>
  <conditionalFormatting sqref="G65:G66">
    <cfRule type="cellIs" dxfId="352" priority="169" stopIfTrue="1" operator="greaterThan">
      <formula>$F65</formula>
    </cfRule>
    <cfRule type="cellIs" dxfId="351" priority="162" stopIfTrue="1" operator="lessThanOrEqual">
      <formula>0</formula>
    </cfRule>
    <cfRule type="cellIs" dxfId="350" priority="161" stopIfTrue="1" operator="greaterThan">
      <formula>$F65</formula>
    </cfRule>
  </conditionalFormatting>
  <conditionalFormatting sqref="G67">
    <cfRule type="cellIs" dxfId="349" priority="205" stopIfTrue="1" operator="lessThanOrEqual">
      <formula>0</formula>
    </cfRule>
    <cfRule type="cellIs" dxfId="348" priority="204" stopIfTrue="1" operator="greaterThan">
      <formula>$F66</formula>
    </cfRule>
  </conditionalFormatting>
  <conditionalFormatting sqref="G68">
    <cfRule type="cellIs" dxfId="347" priority="71" stopIfTrue="1" operator="greaterThan">
      <formula>$F68</formula>
    </cfRule>
    <cfRule type="cellIs" dxfId="346" priority="73" stopIfTrue="1" operator="greaterThan">
      <formula>$F68</formula>
    </cfRule>
    <cfRule type="cellIs" dxfId="345" priority="72" stopIfTrue="1" operator="lessThanOrEqual">
      <formula>0</formula>
    </cfRule>
    <cfRule type="cellIs" dxfId="344" priority="74" stopIfTrue="1" operator="lessThanOrEqual">
      <formula>0</formula>
    </cfRule>
  </conditionalFormatting>
  <conditionalFormatting sqref="G69:G73">
    <cfRule type="cellIs" dxfId="343" priority="172" stopIfTrue="1" operator="lessThanOrEqual">
      <formula>0</formula>
    </cfRule>
    <cfRule type="cellIs" dxfId="342" priority="171" stopIfTrue="1" operator="greaterThan">
      <formula>$J69</formula>
    </cfRule>
  </conditionalFormatting>
  <conditionalFormatting sqref="G78:G83 C81 C83">
    <cfRule type="cellIs" dxfId="341" priority="198" stopIfTrue="1" operator="lessThanOrEqual">
      <formula>0</formula>
    </cfRule>
    <cfRule type="cellIs" dxfId="340" priority="197" stopIfTrue="1" operator="greaterThan">
      <formula>4.5</formula>
    </cfRule>
  </conditionalFormatting>
  <conditionalFormatting sqref="G77:H77">
    <cfRule type="cellIs" dxfId="339" priority="178" stopIfTrue="1" operator="greaterThan">
      <formula>$F$76</formula>
    </cfRule>
    <cfRule type="cellIs" dxfId="338" priority="179" stopIfTrue="1" operator="lessThanOrEqual">
      <formula>0</formula>
    </cfRule>
  </conditionalFormatting>
  <conditionalFormatting sqref="H10:H19 G18 G20:H20">
    <cfRule type="expression" dxfId="337" priority="68">
      <formula>IF(+(IF(G10&lt;#REF!,0,IF(G10&gt;#REF!,0,1)))=0,1)</formula>
    </cfRule>
  </conditionalFormatting>
  <conditionalFormatting sqref="H34:H35 H48">
    <cfRule type="cellIs" dxfId="336" priority="176" stopIfTrue="1" operator="greaterThan">
      <formula>0</formula>
    </cfRule>
  </conditionalFormatting>
  <conditionalFormatting sqref="H52:H53">
    <cfRule type="cellIs" dxfId="335" priority="15" stopIfTrue="1" operator="lessThanOrEqual">
      <formula>0</formula>
    </cfRule>
    <cfRule type="cellIs" dxfId="334" priority="16" stopIfTrue="1" operator="greaterThan">
      <formula>#REF!</formula>
    </cfRule>
    <cfRule type="cellIs" dxfId="333" priority="24" stopIfTrue="1" operator="greaterThan">
      <formula>$F$20</formula>
    </cfRule>
    <cfRule type="cellIs" dxfId="332" priority="25" stopIfTrue="1" operator="lessThanOrEqual">
      <formula>0</formula>
    </cfRule>
    <cfRule type="cellIs" dxfId="331" priority="26" stopIfTrue="1" operator="greaterThan">
      <formula>#REF!</formula>
    </cfRule>
  </conditionalFormatting>
  <conditionalFormatting sqref="H52:H54">
    <cfRule type="cellIs" dxfId="330" priority="27" stopIfTrue="1" operator="lessThanOrEqual">
      <formula>0</formula>
    </cfRule>
  </conditionalFormatting>
  <conditionalFormatting sqref="H54">
    <cfRule type="cellIs" dxfId="329" priority="51" stopIfTrue="1" operator="lessThanOrEqual">
      <formula>0</formula>
    </cfRule>
    <cfRule type="cellIs" dxfId="328" priority="40" stopIfTrue="1" operator="greaterThan">
      <formula>#REF!</formula>
    </cfRule>
    <cfRule type="cellIs" dxfId="327" priority="48" stopIfTrue="1" operator="greaterThan">
      <formula>$F$20</formula>
    </cfRule>
    <cfRule type="cellIs" dxfId="326" priority="49" stopIfTrue="1" operator="lessThanOrEqual">
      <formula>0</formula>
    </cfRule>
    <cfRule type="cellIs" dxfId="325" priority="50" stopIfTrue="1" operator="greaterThan">
      <formula>#REF!</formula>
    </cfRule>
  </conditionalFormatting>
  <conditionalFormatting sqref="H55">
    <cfRule type="cellIs" dxfId="324" priority="126" stopIfTrue="1" operator="lessThanOrEqual">
      <formula>0</formula>
    </cfRule>
    <cfRule type="cellIs" dxfId="323" priority="127" stopIfTrue="1" operator="greaterThan">
      <formula>#REF!</formula>
    </cfRule>
    <cfRule type="cellIs" dxfId="322" priority="128" stopIfTrue="1" operator="lessThanOrEqual">
      <formula>0</formula>
    </cfRule>
    <cfRule type="cellIs" dxfId="321" priority="125" stopIfTrue="1" operator="greaterThan">
      <formula>$F$21</formula>
    </cfRule>
    <cfRule type="cellIs" dxfId="320" priority="117" stopIfTrue="1" operator="greaterThan">
      <formula>#REF!</formula>
    </cfRule>
    <cfRule type="cellIs" dxfId="319" priority="116" stopIfTrue="1" operator="lessThanOrEqual">
      <formula>0</formula>
    </cfRule>
  </conditionalFormatting>
  <conditionalFormatting sqref="H56">
    <cfRule type="cellIs" dxfId="318" priority="62" stopIfTrue="1" operator="greaterThan">
      <formula>$F$68</formula>
    </cfRule>
    <cfRule type="cellIs" dxfId="317" priority="53" stopIfTrue="1" operator="lessThanOrEqual">
      <formula>0</formula>
    </cfRule>
    <cfRule type="cellIs" dxfId="316" priority="54" stopIfTrue="1" operator="greaterThan">
      <formula>$F$65</formula>
    </cfRule>
    <cfRule type="cellIs" dxfId="315" priority="63" stopIfTrue="1" operator="lessThanOrEqual">
      <formula>0</formula>
    </cfRule>
    <cfRule type="cellIs" dxfId="314" priority="65" stopIfTrue="1" operator="lessThanOrEqual">
      <formula>0</formula>
    </cfRule>
    <cfRule type="cellIs" dxfId="313" priority="64" stopIfTrue="1" operator="greaterThan">
      <formula>$F$66</formula>
    </cfRule>
  </conditionalFormatting>
  <conditionalFormatting sqref="H57:H58">
    <cfRule type="cellIs" dxfId="312" priority="114" stopIfTrue="1" operator="lessThanOrEqual">
      <formula>0</formula>
    </cfRule>
    <cfRule type="cellIs" dxfId="311" priority="113" stopIfTrue="1" operator="greaterThan">
      <formula>#REF!</formula>
    </cfRule>
    <cfRule type="cellIs" dxfId="310" priority="103" stopIfTrue="1" operator="greaterThan">
      <formula>#REF!</formula>
    </cfRule>
    <cfRule type="cellIs" dxfId="309" priority="111" stopIfTrue="1" operator="greaterThan">
      <formula>$F$20</formula>
    </cfRule>
    <cfRule type="cellIs" dxfId="308" priority="112" stopIfTrue="1" operator="lessThanOrEqual">
      <formula>0</formula>
    </cfRule>
    <cfRule type="cellIs" dxfId="307" priority="102" stopIfTrue="1" operator="lessThanOrEqual">
      <formula>0</formula>
    </cfRule>
  </conditionalFormatting>
  <conditionalFormatting sqref="H59">
    <cfRule type="cellIs" dxfId="306" priority="131" stopIfTrue="1" operator="lessThanOrEqual">
      <formula>0</formula>
    </cfRule>
    <cfRule type="cellIs" dxfId="305" priority="132" stopIfTrue="1" operator="greaterThan">
      <formula>$F$33</formula>
    </cfRule>
    <cfRule type="cellIs" dxfId="304" priority="143" stopIfTrue="1" operator="lessThanOrEqual">
      <formula>0</formula>
    </cfRule>
    <cfRule type="cellIs" dxfId="303" priority="140" stopIfTrue="1" operator="greaterThan">
      <formula>$F$36</formula>
    </cfRule>
    <cfRule type="cellIs" dxfId="302" priority="141" stopIfTrue="1" operator="lessThanOrEqual">
      <formula>0</formula>
    </cfRule>
    <cfRule type="cellIs" dxfId="301" priority="142" stopIfTrue="1" operator="greaterThan">
      <formula>$F$34</formula>
    </cfRule>
  </conditionalFormatting>
  <conditionalFormatting sqref="H60:H61">
    <cfRule type="cellIs" dxfId="300" priority="87" stopIfTrue="1" operator="greaterThan">
      <formula>#REF!</formula>
    </cfRule>
    <cfRule type="cellIs" dxfId="299" priority="96" stopIfTrue="1" operator="lessThanOrEqual">
      <formula>0</formula>
    </cfRule>
    <cfRule type="cellIs" dxfId="298" priority="95" stopIfTrue="1" operator="greaterThan">
      <formula>$F$20</formula>
    </cfRule>
    <cfRule type="cellIs" dxfId="297" priority="98" stopIfTrue="1" operator="lessThanOrEqual">
      <formula>0</formula>
    </cfRule>
    <cfRule type="cellIs" dxfId="296" priority="97" stopIfTrue="1" operator="greaterThan">
      <formula>#REF!</formula>
    </cfRule>
    <cfRule type="cellIs" dxfId="295" priority="86" stopIfTrue="1" operator="lessThanOrEqual">
      <formula>0</formula>
    </cfRule>
  </conditionalFormatting>
  <conditionalFormatting sqref="H76 H78:H84">
    <cfRule type="cellIs" dxfId="294" priority="191" stopIfTrue="1" operator="lessThanOrEqual">
      <formula>0</formula>
    </cfRule>
    <cfRule type="cellIs" dxfId="293" priority="190" stopIfTrue="1" operator="greaterThan">
      <formula>4.5</formula>
    </cfRule>
  </conditionalFormatting>
  <conditionalFormatting sqref="H52:I53">
    <cfRule type="cellIs" dxfId="292" priority="17" stopIfTrue="1" operator="lessThanOrEqual">
      <formula>0</formula>
    </cfRule>
  </conditionalFormatting>
  <conditionalFormatting sqref="H52:I54">
    <cfRule type="cellIs" dxfId="291" priority="14" stopIfTrue="1" operator="greaterThan">
      <formula>#REF!</formula>
    </cfRule>
  </conditionalFormatting>
  <conditionalFormatting sqref="H54:I54">
    <cfRule type="cellIs" dxfId="290" priority="41" stopIfTrue="1" operator="lessThanOrEqual">
      <formula>0</formula>
    </cfRule>
  </conditionalFormatting>
  <conditionalFormatting sqref="H55:I55">
    <cfRule type="cellIs" dxfId="289" priority="118" stopIfTrue="1" operator="lessThanOrEqual">
      <formula>0</formula>
    </cfRule>
    <cfRule type="cellIs" dxfId="288" priority="115" stopIfTrue="1" operator="greaterThan">
      <formula>$F$20</formula>
    </cfRule>
  </conditionalFormatting>
  <conditionalFormatting sqref="H56:I56">
    <cfRule type="cellIs" dxfId="287" priority="55" stopIfTrue="1" operator="lessThanOrEqual">
      <formula>0</formula>
    </cfRule>
    <cfRule type="cellIs" dxfId="286" priority="52" stopIfTrue="1" operator="greaterThan">
      <formula>$F$67</formula>
    </cfRule>
  </conditionalFormatting>
  <conditionalFormatting sqref="H57:I58">
    <cfRule type="cellIs" dxfId="285" priority="101" stopIfTrue="1" operator="greaterThan">
      <formula>#REF!</formula>
    </cfRule>
    <cfRule type="cellIs" dxfId="284" priority="104" stopIfTrue="1" operator="lessThanOrEqual">
      <formula>0</formula>
    </cfRule>
  </conditionalFormatting>
  <conditionalFormatting sqref="H59:I59">
    <cfRule type="cellIs" dxfId="283" priority="133" stopIfTrue="1" operator="lessThanOrEqual">
      <formula>0</formula>
    </cfRule>
    <cfRule type="cellIs" dxfId="282" priority="130" stopIfTrue="1" operator="greaterThan">
      <formula>$F$35</formula>
    </cfRule>
  </conditionalFormatting>
  <conditionalFormatting sqref="H60:I61">
    <cfRule type="cellIs" dxfId="281" priority="88" stopIfTrue="1" operator="lessThanOrEqual">
      <formula>0</formula>
    </cfRule>
    <cfRule type="cellIs" dxfId="280" priority="85" stopIfTrue="1" operator="greaterThan">
      <formula>#REF!</formula>
    </cfRule>
  </conditionalFormatting>
  <conditionalFormatting sqref="H65:I72">
    <cfRule type="cellIs" dxfId="279" priority="66" stopIfTrue="1" operator="greaterThan">
      <formula>$J65</formula>
    </cfRule>
    <cfRule type="cellIs" dxfId="278" priority="67" stopIfTrue="1" operator="lessThanOrEqual">
      <formula>0</formula>
    </cfRule>
  </conditionalFormatting>
  <conditionalFormatting sqref="H73:I73">
    <cfRule type="cellIs" dxfId="277" priority="163" operator="greaterThan">
      <formula>5.3</formula>
    </cfRule>
  </conditionalFormatting>
  <conditionalFormatting sqref="H74:I74">
    <cfRule type="cellIs" dxfId="276" priority="155" stopIfTrue="1" operator="greaterThan">
      <formula>$J74</formula>
    </cfRule>
    <cfRule type="cellIs" dxfId="275" priority="156" stopIfTrue="1" operator="lessThanOrEqual">
      <formula>0</formula>
    </cfRule>
  </conditionalFormatting>
  <conditionalFormatting sqref="I52:I53">
    <cfRule type="cellIs" dxfId="274" priority="19" stopIfTrue="1" operator="lessThanOrEqual">
      <formula>0</formula>
    </cfRule>
    <cfRule type="cellIs" dxfId="273" priority="20" stopIfTrue="1" operator="greaterThan">
      <formula>#REF!</formula>
    </cfRule>
    <cfRule type="cellIs" dxfId="272" priority="21" stopIfTrue="1" operator="lessThanOrEqual">
      <formula>0</formula>
    </cfRule>
    <cfRule type="cellIs" dxfId="271" priority="22" stopIfTrue="1" operator="greaterThan">
      <formula>#REF!</formula>
    </cfRule>
    <cfRule type="cellIs" dxfId="270" priority="23" stopIfTrue="1" operator="lessThanOrEqual">
      <formula>0</formula>
    </cfRule>
    <cfRule type="cellIs" dxfId="269" priority="18" stopIfTrue="1" operator="greaterThan">
      <formula>#REF!</formula>
    </cfRule>
  </conditionalFormatting>
  <conditionalFormatting sqref="I54">
    <cfRule type="cellIs" dxfId="268" priority="46" stopIfTrue="1" operator="greaterThan">
      <formula>#REF!</formula>
    </cfRule>
    <cfRule type="cellIs" dxfId="267" priority="45" stopIfTrue="1" operator="lessThanOrEqual">
      <formula>0</formula>
    </cfRule>
    <cfRule type="cellIs" dxfId="266" priority="44" stopIfTrue="1" operator="greaterThan">
      <formula>#REF!</formula>
    </cfRule>
    <cfRule type="cellIs" dxfId="265" priority="47" stopIfTrue="1" operator="lessThanOrEqual">
      <formula>0</formula>
    </cfRule>
    <cfRule type="cellIs" dxfId="264" priority="42" stopIfTrue="1" operator="greaterThan">
      <formula>#REF!</formula>
    </cfRule>
    <cfRule type="cellIs" dxfId="263" priority="43" stopIfTrue="1" operator="lessThanOrEqual">
      <formula>0</formula>
    </cfRule>
  </conditionalFormatting>
  <conditionalFormatting sqref="I55">
    <cfRule type="cellIs" dxfId="262" priority="119" stopIfTrue="1" operator="greaterThan">
      <formula>#REF!</formula>
    </cfRule>
    <cfRule type="cellIs" dxfId="261" priority="121" stopIfTrue="1" operator="greaterThan">
      <formula>$F$20</formula>
    </cfRule>
    <cfRule type="cellIs" dxfId="260" priority="122" stopIfTrue="1" operator="lessThanOrEqual">
      <formula>0</formula>
    </cfRule>
    <cfRule type="cellIs" dxfId="259" priority="123" stopIfTrue="1" operator="greaterThan">
      <formula>#REF!</formula>
    </cfRule>
    <cfRule type="cellIs" dxfId="258" priority="124" stopIfTrue="1" operator="lessThanOrEqual">
      <formula>0</formula>
    </cfRule>
    <cfRule type="cellIs" dxfId="257" priority="120" stopIfTrue="1" operator="lessThanOrEqual">
      <formula>0</formula>
    </cfRule>
  </conditionalFormatting>
  <conditionalFormatting sqref="I56">
    <cfRule type="cellIs" dxfId="256" priority="61" stopIfTrue="1" operator="lessThanOrEqual">
      <formula>0</formula>
    </cfRule>
    <cfRule type="cellIs" dxfId="255" priority="60" stopIfTrue="1" operator="greaterThan">
      <formula>$F$65</formula>
    </cfRule>
    <cfRule type="cellIs" dxfId="254" priority="56" stopIfTrue="1" operator="greaterThan">
      <formula>$F$65</formula>
    </cfRule>
    <cfRule type="cellIs" dxfId="253" priority="57" stopIfTrue="1" operator="lessThanOrEqual">
      <formula>0</formula>
    </cfRule>
    <cfRule type="cellIs" dxfId="252" priority="58" stopIfTrue="1" operator="greaterThan">
      <formula>$F$67</formula>
    </cfRule>
    <cfRule type="cellIs" dxfId="251" priority="59" stopIfTrue="1" operator="lessThanOrEqual">
      <formula>0</formula>
    </cfRule>
  </conditionalFormatting>
  <conditionalFormatting sqref="I57:I58">
    <cfRule type="cellIs" dxfId="250" priority="105" stopIfTrue="1" operator="greaterThan">
      <formula>#REF!</formula>
    </cfRule>
    <cfRule type="cellIs" dxfId="249" priority="110" stopIfTrue="1" operator="lessThanOrEqual">
      <formula>0</formula>
    </cfRule>
    <cfRule type="cellIs" dxfId="248" priority="106" stopIfTrue="1" operator="lessThanOrEqual">
      <formula>0</formula>
    </cfRule>
    <cfRule type="cellIs" dxfId="247" priority="107" stopIfTrue="1" operator="greaterThan">
      <formula>#REF!</formula>
    </cfRule>
    <cfRule type="cellIs" dxfId="246" priority="108" stopIfTrue="1" operator="lessThanOrEqual">
      <formula>0</formula>
    </cfRule>
    <cfRule type="cellIs" dxfId="245" priority="109" stopIfTrue="1" operator="greaterThan">
      <formula>#REF!</formula>
    </cfRule>
  </conditionalFormatting>
  <conditionalFormatting sqref="I59">
    <cfRule type="cellIs" dxfId="244" priority="138" stopIfTrue="1" operator="greaterThan">
      <formula>$F$33</formula>
    </cfRule>
    <cfRule type="cellIs" dxfId="243" priority="139" stopIfTrue="1" operator="lessThanOrEqual">
      <formula>0</formula>
    </cfRule>
    <cfRule type="cellIs" dxfId="242" priority="134" stopIfTrue="1" operator="greaterThan">
      <formula>$F$33</formula>
    </cfRule>
    <cfRule type="cellIs" dxfId="241" priority="135" stopIfTrue="1" operator="lessThanOrEqual">
      <formula>0</formula>
    </cfRule>
    <cfRule type="cellIs" dxfId="240" priority="136" stopIfTrue="1" operator="greaterThan">
      <formula>$F$35</formula>
    </cfRule>
    <cfRule type="cellIs" dxfId="239" priority="137" stopIfTrue="1" operator="lessThanOrEqual">
      <formula>0</formula>
    </cfRule>
  </conditionalFormatting>
  <conditionalFormatting sqref="I60:I61">
    <cfRule type="cellIs" dxfId="238" priority="90" stopIfTrue="1" operator="lessThanOrEqual">
      <formula>0</formula>
    </cfRule>
    <cfRule type="cellIs" dxfId="237" priority="94" stopIfTrue="1" operator="lessThanOrEqual">
      <formula>0</formula>
    </cfRule>
    <cfRule type="cellIs" dxfId="236" priority="91" stopIfTrue="1" operator="greaterThan">
      <formula>#REF!</formula>
    </cfRule>
    <cfRule type="cellIs" dxfId="235" priority="89" stopIfTrue="1" operator="greaterThan">
      <formula>#REF!</formula>
    </cfRule>
    <cfRule type="cellIs" dxfId="234" priority="93" stopIfTrue="1" operator="greaterThan">
      <formula>#REF!</formula>
    </cfRule>
    <cfRule type="cellIs" dxfId="233" priority="92" stopIfTrue="1" operator="lessThanOrEqual">
      <formula>0</formula>
    </cfRule>
  </conditionalFormatting>
  <conditionalFormatting sqref="I76:I84">
    <cfRule type="cellIs" dxfId="232" priority="186" stopIfTrue="1" operator="greaterThan">
      <formula>4.5</formula>
    </cfRule>
    <cfRule type="cellIs" dxfId="231" priority="187" stopIfTrue="1" operator="lessThanOrEqual">
      <formula>0</formula>
    </cfRule>
  </conditionalFormatting>
  <conditionalFormatting sqref="I10:J20">
    <cfRule type="cellIs" dxfId="230" priority="30" operator="lessThan">
      <formula>97.9</formula>
    </cfRule>
  </conditionalFormatting>
  <conditionalFormatting sqref="J25">
    <cfRule type="cellIs" dxfId="229" priority="145" stopIfTrue="1" operator="lessThan">
      <formula>96.8</formula>
    </cfRule>
    <cfRule type="cellIs" dxfId="228" priority="146" stopIfTrue="1" operator="greaterThan">
      <formula>100</formula>
    </cfRule>
    <cfRule type="cellIs" dxfId="227" priority="147" operator="lessThan">
      <formula>98</formula>
    </cfRule>
  </conditionalFormatting>
  <conditionalFormatting sqref="J25:J27">
    <cfRule type="cellIs" dxfId="226" priority="144" operator="lessThan">
      <formula>97.4</formula>
    </cfRule>
  </conditionalFormatting>
  <conditionalFormatting sqref="J28:J29">
    <cfRule type="cellIs" dxfId="225" priority="148" operator="lessThan">
      <formula>98</formula>
    </cfRule>
  </conditionalFormatting>
  <conditionalFormatting sqref="J30:J31">
    <cfRule type="cellIs" dxfId="224" priority="149" stopIfTrue="1" operator="lessThan">
      <formula>96.8</formula>
    </cfRule>
    <cfRule type="cellIs" dxfId="223" priority="150" stopIfTrue="1" operator="greaterThan">
      <formula>100</formula>
    </cfRule>
  </conditionalFormatting>
  <conditionalFormatting sqref="J30:J32">
    <cfRule type="cellIs" dxfId="222" priority="151" operator="lessThan">
      <formula>98</formula>
    </cfRule>
  </conditionalFormatting>
  <conditionalFormatting sqref="J61">
    <cfRule type="cellIs" dxfId="221" priority="77" stopIfTrue="1" operator="greaterThan">
      <formula>#REF!</formula>
    </cfRule>
    <cfRule type="cellIs" dxfId="220" priority="79" stopIfTrue="1" operator="greaterThan">
      <formula>#REF!</formula>
    </cfRule>
    <cfRule type="cellIs" dxfId="219" priority="84" stopIfTrue="1" operator="lessThanOrEqual">
      <formula>0</formula>
    </cfRule>
    <cfRule type="cellIs" dxfId="218" priority="83" stopIfTrue="1" operator="greaterThan">
      <formula>#REF!</formula>
    </cfRule>
    <cfRule type="cellIs" dxfId="217" priority="82" stopIfTrue="1" operator="lessThanOrEqual">
      <formula>0</formula>
    </cfRule>
    <cfRule type="cellIs" dxfId="216" priority="81" stopIfTrue="1" operator="greaterThan">
      <formula>#REF!</formula>
    </cfRule>
    <cfRule type="cellIs" dxfId="215" priority="80" stopIfTrue="1" operator="lessThanOrEqual">
      <formula>0</formula>
    </cfRule>
    <cfRule type="cellIs" dxfId="214" priority="78" stopIfTrue="1" operator="lessThanOrEqual">
      <formula>0</formula>
    </cfRule>
  </conditionalFormatting>
  <conditionalFormatting sqref="J74">
    <cfRule type="cellIs" dxfId="213" priority="152" stopIfTrue="1" operator="greaterThan">
      <formula>$F74</formula>
    </cfRule>
    <cfRule type="cellIs" dxfId="212" priority="153" stopIfTrue="1" operator="lessThanOrEqual">
      <formula>0</formula>
    </cfRule>
  </conditionalFormatting>
  <conditionalFormatting sqref="K10:K20">
    <cfRule type="cellIs" dxfId="211" priority="32" operator="lessThan">
      <formula>4</formula>
    </cfRule>
    <cfRule type="cellIs" dxfId="210" priority="31" operator="greaterThan">
      <formula>6</formula>
    </cfRule>
    <cfRule type="cellIs" dxfId="209" priority="33" operator="greaterThan">
      <formula>6.4</formula>
    </cfRule>
  </conditionalFormatting>
  <conditionalFormatting sqref="K52:K61">
    <cfRule type="cellIs" dxfId="208" priority="28" stopIfTrue="1" operator="lessThan">
      <formula>100%</formula>
    </cfRule>
  </conditionalFormatting>
  <conditionalFormatting sqref="K76:K81">
    <cfRule type="cellIs" dxfId="207" priority="192" stopIfTrue="1" operator="lessThan">
      <formula>100%</formula>
    </cfRule>
  </conditionalFormatting>
  <conditionalFormatting sqref="K83:K84">
    <cfRule type="cellIs" dxfId="206" priority="199" stopIfTrue="1" operator="lessThan">
      <formula>100%</formula>
    </cfRule>
  </conditionalFormatting>
  <conditionalFormatting sqref="K65:N73">
    <cfRule type="cellIs" dxfId="205" priority="129" stopIfTrue="1" operator="lessThan">
      <formula>100%</formula>
    </cfRule>
  </conditionalFormatting>
  <conditionalFormatting sqref="L10:L20">
    <cfRule type="cellIs" dxfId="204" priority="39" operator="greaterThan">
      <formula>65</formula>
    </cfRule>
    <cfRule type="cellIs" dxfId="203" priority="38" operator="between">
      <formula>61</formula>
      <formula>65</formula>
    </cfRule>
  </conditionalFormatting>
  <conditionalFormatting sqref="L23:M34">
    <cfRule type="cellIs" dxfId="202" priority="69" operator="lessThan">
      <formula>97.95</formula>
    </cfRule>
  </conditionalFormatting>
  <conditionalFormatting sqref="L38:N38">
    <cfRule type="cellIs" dxfId="201" priority="70" operator="notEqual">
      <formula>#REF!</formula>
    </cfRule>
  </conditionalFormatting>
  <conditionalFormatting sqref="L74:N74">
    <cfRule type="cellIs" dxfId="200" priority="154" stopIfTrue="1" operator="lessThan">
      <formula>100%</formula>
    </cfRule>
  </conditionalFormatting>
  <conditionalFormatting sqref="L76:N84">
    <cfRule type="cellIs" dxfId="199" priority="177" stopIfTrue="1" operator="lessThan">
      <formula>100%</formula>
    </cfRule>
  </conditionalFormatting>
  <conditionalFormatting sqref="M10:M19">
    <cfRule type="expression" dxfId="198" priority="36">
      <formula>IF(+(IF(M10&lt;U10,0,IF(M10&gt;V10,0,1)))=0,1)</formula>
    </cfRule>
  </conditionalFormatting>
  <conditionalFormatting sqref="M20:N20">
    <cfRule type="expression" dxfId="197" priority="207">
      <formula>IF(+(IF(M20&lt;#REF!,0,IF(M20&gt;#REF!,0,1)))=0,1)</formula>
    </cfRule>
  </conditionalFormatting>
  <conditionalFormatting sqref="N10:N19">
    <cfRule type="expression" dxfId="196" priority="29">
      <formula>IF(+(IF(N10&lt;W10,0,IF(N10&gt;X10,0,1)))=0,1)</formula>
    </cfRule>
  </conditionalFormatting>
  <conditionalFormatting sqref="P6">
    <cfRule type="cellIs" dxfId="195" priority="173" operator="greaterThanOrEqual">
      <formula>19</formula>
    </cfRule>
  </conditionalFormatting>
  <dataValidations count="1">
    <dataValidation type="list" allowBlank="1" showInputMessage="1" showErrorMessage="1" sqref="R8" xr:uid="{A57DF0D4-F718-43B9-87A3-F25DCB3D1BEA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A2A5-55C4-4BA2-BAA7-A74E823B47CF}">
  <sheetPr>
    <pageSetUpPr fitToPage="1"/>
  </sheetPr>
  <dimension ref="A1:BE83"/>
  <sheetViews>
    <sheetView topLeftCell="A16" zoomScale="70" zoomScaleNormal="70" workbookViewId="0">
      <selection activeCell="K37" sqref="K37"/>
    </sheetView>
  </sheetViews>
  <sheetFormatPr defaultColWidth="9.42578125" defaultRowHeight="14.25"/>
  <cols>
    <col min="1" max="1" width="7.140625" style="275" customWidth="1"/>
    <col min="2" max="2" width="31.28515625" style="275" customWidth="1"/>
    <col min="3" max="3" width="22.28515625" style="275" customWidth="1"/>
    <col min="4" max="5" width="15.28515625" style="275" customWidth="1"/>
    <col min="6" max="6" width="16.7109375" style="275" customWidth="1"/>
    <col min="7" max="7" width="24.85546875" style="275" customWidth="1"/>
    <col min="8" max="8" width="24.7109375" style="275" customWidth="1"/>
    <col min="9" max="9" width="28" style="275" customWidth="1"/>
    <col min="10" max="10" width="31.7109375" style="275" customWidth="1"/>
    <col min="11" max="11" width="26.28515625" style="275" customWidth="1"/>
    <col min="12" max="12" width="14.85546875" style="275" customWidth="1"/>
    <col min="13" max="13" width="24.140625" style="275" customWidth="1"/>
    <col min="14" max="14" width="11.42578125" style="275" customWidth="1"/>
    <col min="15" max="15" width="17.5703125" style="275" customWidth="1"/>
    <col min="16" max="16" width="88" style="6" customWidth="1"/>
    <col min="17" max="17" width="16.5703125" style="275" customWidth="1"/>
    <col min="18" max="18" width="15.7109375" style="275" bestFit="1" customWidth="1"/>
    <col min="19" max="19" width="12.42578125" style="275" customWidth="1"/>
    <col min="20" max="20" width="15" style="275" customWidth="1"/>
    <col min="21" max="21" width="12" style="275" customWidth="1"/>
    <col min="22" max="22" width="10.42578125" style="275" customWidth="1"/>
    <col min="23" max="23" width="11.42578125" style="275" customWidth="1"/>
    <col min="24" max="24" width="10.42578125" style="275" customWidth="1"/>
    <col min="25" max="25" width="8.42578125" style="275" customWidth="1"/>
    <col min="26" max="26" width="9.5703125" style="275" customWidth="1"/>
    <col min="27" max="27" width="8.42578125" style="275" customWidth="1"/>
    <col min="28" max="29" width="7.5703125" style="275" customWidth="1"/>
    <col min="30" max="51" width="9.42578125" style="275"/>
    <col min="52" max="52" width="1.5703125" style="275" customWidth="1"/>
    <col min="53" max="54" width="9.42578125" style="275"/>
    <col min="55" max="56" width="15.42578125" style="275" customWidth="1"/>
    <col min="57" max="16384" width="9.42578125" style="275"/>
  </cols>
  <sheetData>
    <row r="1" spans="2:29" ht="1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469"/>
      <c r="S1" s="564" t="s">
        <v>0</v>
      </c>
      <c r="T1" s="564"/>
      <c r="U1" s="564" t="s">
        <v>1</v>
      </c>
      <c r="V1" s="564"/>
      <c r="W1" s="564" t="s">
        <v>2</v>
      </c>
      <c r="X1" s="564"/>
      <c r="Y1" s="564" t="s">
        <v>124</v>
      </c>
      <c r="Z1" s="564"/>
    </row>
    <row r="2" spans="2:29" ht="15">
      <c r="B2" s="565" t="s">
        <v>3</v>
      </c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4"/>
      <c r="R2" s="469"/>
      <c r="S2" s="469" t="s">
        <v>4</v>
      </c>
      <c r="T2" s="469" t="s">
        <v>5</v>
      </c>
      <c r="U2" s="469" t="s">
        <v>4</v>
      </c>
      <c r="V2" s="469" t="s">
        <v>5</v>
      </c>
      <c r="W2" s="469" t="s">
        <v>4</v>
      </c>
      <c r="X2" s="469" t="s">
        <v>5</v>
      </c>
      <c r="Y2" s="469" t="s">
        <v>4</v>
      </c>
      <c r="Z2" s="469" t="s">
        <v>5</v>
      </c>
    </row>
    <row r="3" spans="2:29" ht="14.25" customHeight="1">
      <c r="B3" s="5"/>
      <c r="R3" s="469" t="s">
        <v>6</v>
      </c>
      <c r="S3" s="470">
        <v>11.6</v>
      </c>
      <c r="T3" s="471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472">
        <v>0</v>
      </c>
      <c r="Z3" s="470">
        <v>60</v>
      </c>
      <c r="AB3" s="275" t="s">
        <v>135</v>
      </c>
    </row>
    <row r="4" spans="2:29" ht="30.75" customHeight="1">
      <c r="B4" s="301" t="s">
        <v>133</v>
      </c>
      <c r="C4" s="419">
        <v>46055</v>
      </c>
      <c r="J4" s="398" t="s">
        <v>168</v>
      </c>
      <c r="K4" s="398"/>
      <c r="L4" s="11"/>
      <c r="M4" s="562" t="s">
        <v>8</v>
      </c>
      <c r="N4" s="563"/>
      <c r="P4" s="12"/>
      <c r="R4" s="469" t="s">
        <v>9</v>
      </c>
      <c r="S4" s="470">
        <v>11.6</v>
      </c>
      <c r="T4" s="471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472">
        <v>0</v>
      </c>
      <c r="Z4" s="470">
        <v>60</v>
      </c>
      <c r="AA4" s="13"/>
      <c r="AB4" s="13"/>
      <c r="AC4" s="13"/>
    </row>
    <row r="5" spans="2:29" ht="12.75" customHeight="1" thickBot="1">
      <c r="B5" s="1"/>
      <c r="C5" s="551"/>
      <c r="D5" s="551"/>
      <c r="J5" s="403"/>
      <c r="K5" s="403"/>
      <c r="L5" s="11"/>
      <c r="M5" s="14" t="s">
        <v>10</v>
      </c>
      <c r="N5" s="14" t="s">
        <v>11</v>
      </c>
      <c r="P5" s="12"/>
      <c r="R5" s="469" t="s">
        <v>12</v>
      </c>
      <c r="S5" s="470">
        <v>17</v>
      </c>
      <c r="T5" s="471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472">
        <v>0</v>
      </c>
      <c r="Z5" s="473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176</v>
      </c>
      <c r="K6" s="400"/>
      <c r="L6" s="311" t="s">
        <v>14</v>
      </c>
      <c r="M6" s="340"/>
      <c r="N6" s="340"/>
      <c r="P6" s="16"/>
      <c r="R6" s="469" t="s">
        <v>15</v>
      </c>
      <c r="S6" s="470">
        <v>13.3</v>
      </c>
      <c r="T6" s="471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472">
        <v>0</v>
      </c>
      <c r="Z6" s="473"/>
      <c r="AA6" s="13"/>
      <c r="AB6" s="13"/>
      <c r="AC6" s="13"/>
    </row>
    <row r="7" spans="2:29" ht="13.35" customHeight="1" thickBot="1">
      <c r="J7" s="401"/>
      <c r="K7" s="402"/>
      <c r="R7" s="469" t="s">
        <v>16</v>
      </c>
      <c r="S7" s="470">
        <v>17</v>
      </c>
      <c r="T7" s="471">
        <v>17.399999999999999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472">
        <v>0</v>
      </c>
      <c r="Z7" s="473">
        <v>85</v>
      </c>
      <c r="AA7" s="13"/>
      <c r="AB7" s="13"/>
      <c r="AC7" s="13"/>
    </row>
    <row r="8" spans="2:29" ht="25.5" customHeight="1">
      <c r="B8" s="513" t="s">
        <v>17</v>
      </c>
      <c r="C8" s="524" t="s">
        <v>18</v>
      </c>
      <c r="D8" s="524" t="s">
        <v>19</v>
      </c>
      <c r="E8" s="356" t="s">
        <v>20</v>
      </c>
      <c r="F8" s="356" t="s">
        <v>21</v>
      </c>
      <c r="G8" s="524" t="s">
        <v>22</v>
      </c>
      <c r="H8" s="553" t="s">
        <v>144</v>
      </c>
      <c r="I8" s="524" t="s">
        <v>165</v>
      </c>
      <c r="J8" s="555" t="s">
        <v>23</v>
      </c>
      <c r="K8" s="557" t="s">
        <v>142</v>
      </c>
      <c r="L8" s="559" t="s">
        <v>24</v>
      </c>
      <c r="M8" s="359" t="s">
        <v>25</v>
      </c>
      <c r="N8" s="17" t="s">
        <v>26</v>
      </c>
      <c r="O8" s="517" t="s">
        <v>155</v>
      </c>
      <c r="P8" s="549"/>
      <c r="R8" s="469" t="s">
        <v>125</v>
      </c>
      <c r="S8" s="470">
        <v>16.600000000000001</v>
      </c>
      <c r="T8" s="471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472">
        <v>0</v>
      </c>
      <c r="Z8" s="473"/>
    </row>
    <row r="9" spans="2:29" ht="36.6" customHeight="1">
      <c r="B9" s="552"/>
      <c r="C9" s="550"/>
      <c r="D9" s="550"/>
      <c r="E9" s="357" t="s">
        <v>30</v>
      </c>
      <c r="F9" s="357" t="s">
        <v>31</v>
      </c>
      <c r="G9" s="550"/>
      <c r="H9" s="554"/>
      <c r="I9" s="550"/>
      <c r="J9" s="556"/>
      <c r="K9" s="558"/>
      <c r="L9" s="560"/>
      <c r="M9" s="20" t="s">
        <v>32</v>
      </c>
      <c r="N9" s="21" t="s">
        <v>41</v>
      </c>
      <c r="O9" s="561"/>
      <c r="P9" s="550"/>
      <c r="R9" s="469" t="s">
        <v>33</v>
      </c>
      <c r="S9" s="470">
        <v>14.2</v>
      </c>
      <c r="T9" s="471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472">
        <v>0</v>
      </c>
      <c r="Z9" s="473">
        <v>75</v>
      </c>
    </row>
    <row r="10" spans="2:29" ht="16.5" customHeight="1">
      <c r="B10" s="29" t="s">
        <v>6</v>
      </c>
      <c r="C10" s="366" t="str">
        <f>[4]Brewhouse!$A109</f>
        <v>CA068</v>
      </c>
      <c r="D10" s="279">
        <f>[4]Brewhouse!$AF109</f>
        <v>51.4</v>
      </c>
      <c r="E10" s="279">
        <f>[4]Brewhouse!$AI109</f>
        <v>49.5</v>
      </c>
      <c r="F10" s="278">
        <f>[4]Brewhouse!$V109</f>
        <v>58</v>
      </c>
      <c r="G10" s="279">
        <f>[4]Brewhouse!AG109</f>
        <v>12</v>
      </c>
      <c r="H10" s="396"/>
      <c r="I10" s="368">
        <f>[4]Brewhouse!$AU109</f>
        <v>96.344074013646235</v>
      </c>
      <c r="J10" s="368">
        <f>[4]Brewhouse!$AV109</f>
        <v>97.751399581433091</v>
      </c>
      <c r="K10" s="281">
        <f>[4]Brewhouse!$Q109</f>
        <v>5.8867924528301838</v>
      </c>
      <c r="L10" s="276">
        <f>[4]Brewhouse!$P109</f>
        <v>61</v>
      </c>
      <c r="M10" s="397">
        <f>[4]Brewhouse!$U109-[4]Brewhouse!$T109</f>
        <v>0.12361111111111112</v>
      </c>
      <c r="N10" s="370">
        <f>[4]Brewhouse!$Z109</f>
        <v>0.26944444444444443</v>
      </c>
      <c r="O10" s="420" t="str">
        <f>[4]Brewhouse!$AX109</f>
        <v>K. Benjamin</v>
      </c>
      <c r="P10" s="418"/>
      <c r="R10" s="277" t="str">
        <f t="shared" ref="R10:R20" si="0">B10</f>
        <v>CARIB</v>
      </c>
      <c r="S10" s="474">
        <f t="shared" ref="S10:S32" si="1">VLOOKUP($B10,$R$3:$X$9,2,FALSE)</f>
        <v>11.6</v>
      </c>
      <c r="T10" s="474">
        <f t="shared" ref="T10:T32" si="2">VLOOKUP($B10,$R$3:$X$9,3,FALSE)</f>
        <v>12</v>
      </c>
      <c r="U10" s="297">
        <f t="shared" ref="U10:U32" si="3">VLOOKUP($B10,$R$3:$X$9,4,FALSE)</f>
        <v>0</v>
      </c>
      <c r="V10" s="297">
        <f t="shared" ref="V10:V32" si="4">VLOOKUP($B10,$R$3:$X$9,5,FALSE)</f>
        <v>0.118055555555556</v>
      </c>
      <c r="W10" s="297">
        <f t="shared" ref="W10:W32" si="5">VLOOKUP($B10,$R$3:$X$9,6,FALSE)</f>
        <v>0.22569444444444445</v>
      </c>
      <c r="X10" s="297">
        <f t="shared" ref="X10:X32" si="6">VLOOKUP($B10,$R$3:$X$9,7,FALSE)</f>
        <v>0.2638888888888889</v>
      </c>
      <c r="Y10" s="297">
        <f t="shared" ref="Y10:Y32" si="7">VLOOKUP($B10,$R$3:$Z$9,8,FALSE)</f>
        <v>0</v>
      </c>
      <c r="Z10" s="474">
        <f t="shared" ref="Z10:Z32" si="8">VLOOKUP($B10,$R$3:$Z$9,9,FALSE)</f>
        <v>60</v>
      </c>
    </row>
    <row r="11" spans="2:29" ht="16.5" customHeight="1">
      <c r="B11" s="29" t="s">
        <v>6</v>
      </c>
      <c r="C11" s="366" t="str">
        <f>[4]Brewhouse!$A110</f>
        <v>CA069</v>
      </c>
      <c r="D11" s="279">
        <f>[4]Brewhouse!$AF110</f>
        <v>52</v>
      </c>
      <c r="E11" s="279">
        <f>[4]Brewhouse!$AI110</f>
        <v>50.2</v>
      </c>
      <c r="F11" s="278">
        <f>[4]Brewhouse!$V110</f>
        <v>61</v>
      </c>
      <c r="G11" s="279">
        <f>[4]Brewhouse!AG110</f>
        <v>11.9</v>
      </c>
      <c r="H11" s="396"/>
      <c r="I11" s="368">
        <f>[4]Brewhouse!$AU110</f>
        <v>96.969073122994232</v>
      </c>
      <c r="J11" s="368">
        <f>[4]Brewhouse!$AV110</f>
        <v>98.385416898204056</v>
      </c>
      <c r="K11" s="281">
        <f>[4]Brewhouse!$Q110</f>
        <v>3.4274952919020718</v>
      </c>
      <c r="L11" s="276">
        <f>[4]Brewhouse!$P110</f>
        <v>60</v>
      </c>
      <c r="M11" s="397">
        <f>[4]Brewhouse!$U110-[4]Brewhouse!$T110</f>
        <v>0.11458333333333331</v>
      </c>
      <c r="N11" s="370">
        <f>[4]Brewhouse!$Z110</f>
        <v>0.27083333333333331</v>
      </c>
      <c r="O11" s="420" t="str">
        <f>[4]Brewhouse!$AX110</f>
        <v>R. Regis</v>
      </c>
      <c r="P11" s="418"/>
      <c r="R11" s="277" t="str">
        <f t="shared" si="0"/>
        <v>CARIB</v>
      </c>
      <c r="S11" s="474">
        <f t="shared" si="1"/>
        <v>11.6</v>
      </c>
      <c r="T11" s="474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474">
        <f t="shared" si="8"/>
        <v>60</v>
      </c>
    </row>
    <row r="12" spans="2:29" ht="16.5" customHeight="1">
      <c r="B12" s="29" t="s">
        <v>6</v>
      </c>
      <c r="C12" s="366" t="str">
        <f>[4]Brewhouse!$A111</f>
        <v>CA070</v>
      </c>
      <c r="D12" s="279">
        <f>[4]Brewhouse!$AF111</f>
        <v>52.7</v>
      </c>
      <c r="E12" s="279">
        <f>[4]Brewhouse!$AI111</f>
        <v>49.7</v>
      </c>
      <c r="F12" s="278">
        <f>[4]Brewhouse!$V111</f>
        <v>62</v>
      </c>
      <c r="G12" s="279">
        <f>[4]Brewhouse!AG111</f>
        <v>12</v>
      </c>
      <c r="H12" s="396"/>
      <c r="I12" s="368">
        <f>[4]Brewhouse!$AU111</f>
        <v>98.413757188601139</v>
      </c>
      <c r="J12" s="368">
        <f>[4]Brewhouse!$AV111</f>
        <v>99.849707820373368</v>
      </c>
      <c r="K12" s="281">
        <f>[4]Brewhouse!$Q111</f>
        <v>6.0640301318267396</v>
      </c>
      <c r="L12" s="276">
        <f>[4]Brewhouse!$P111</f>
        <v>60</v>
      </c>
      <c r="M12" s="397">
        <f>[4]Brewhouse!$U111-[4]Brewhouse!$T111</f>
        <v>0.13541666666666674</v>
      </c>
      <c r="N12" s="370">
        <f>[4]Brewhouse!$Z111</f>
        <v>0.27847222222222229</v>
      </c>
      <c r="O12" s="420" t="str">
        <f>[4]Brewhouse!$AX111</f>
        <v>R. Regis</v>
      </c>
      <c r="P12" s="418"/>
      <c r="R12" s="277" t="str">
        <f t="shared" si="0"/>
        <v>CARIB</v>
      </c>
      <c r="S12" s="474">
        <f t="shared" si="1"/>
        <v>11.6</v>
      </c>
      <c r="T12" s="474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474">
        <f t="shared" si="8"/>
        <v>60</v>
      </c>
    </row>
    <row r="13" spans="2:29" ht="16.5" customHeight="1">
      <c r="B13" s="29" t="s">
        <v>6</v>
      </c>
      <c r="C13" s="366" t="str">
        <f>[4]Brewhouse!$A112</f>
        <v>CA071</v>
      </c>
      <c r="D13" s="279">
        <f>[4]Brewhouse!$AF112</f>
        <v>50.7</v>
      </c>
      <c r="E13" s="279">
        <f>[4]Brewhouse!$AI112</f>
        <v>49.9</v>
      </c>
      <c r="F13" s="278">
        <f>[4]Brewhouse!$V112</f>
        <v>58</v>
      </c>
      <c r="G13" s="279">
        <f>[4]Brewhouse!AG112</f>
        <v>11.8</v>
      </c>
      <c r="H13" s="396"/>
      <c r="I13" s="368">
        <f>[4]Brewhouse!$AU112</f>
        <v>96.361633561905379</v>
      </c>
      <c r="J13" s="368">
        <f>[4]Brewhouse!$AV112</f>
        <v>97.768322909682936</v>
      </c>
      <c r="K13" s="281">
        <f>[4]Brewhouse!$Q112</f>
        <v>5.8757062146892611</v>
      </c>
      <c r="L13" s="276">
        <f>[4]Brewhouse!$P112</f>
        <v>57</v>
      </c>
      <c r="M13" s="397">
        <f>[4]Brewhouse!$U112-[4]Brewhouse!$T112</f>
        <v>0.11666666666666659</v>
      </c>
      <c r="N13" s="370">
        <f>[4]Brewhouse!$Z112</f>
        <v>0.42499999999999993</v>
      </c>
      <c r="O13" s="420" t="str">
        <f>[4]Brewhouse!$AX112</f>
        <v>R.Sookram</v>
      </c>
      <c r="P13" s="418"/>
      <c r="R13" s="277" t="str">
        <f t="shared" si="0"/>
        <v>CARIB</v>
      </c>
      <c r="S13" s="474">
        <f t="shared" si="1"/>
        <v>11.6</v>
      </c>
      <c r="T13" s="474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474">
        <f t="shared" si="8"/>
        <v>60</v>
      </c>
    </row>
    <row r="14" spans="2:29" ht="16.5" customHeight="1">
      <c r="B14" s="29" t="s">
        <v>6</v>
      </c>
      <c r="C14" s="366" t="str">
        <f>[4]Brewhouse!$A113</f>
        <v>CA072</v>
      </c>
      <c r="D14" s="279">
        <f>[4]Brewhouse!$AF113</f>
        <v>52.4</v>
      </c>
      <c r="E14" s="279">
        <f>[4]Brewhouse!$AI113</f>
        <v>50.5</v>
      </c>
      <c r="F14" s="278">
        <f>[4]Brewhouse!$V113</f>
        <v>60</v>
      </c>
      <c r="G14" s="279">
        <f>[4]Brewhouse!AG113</f>
        <v>11.8</v>
      </c>
      <c r="H14" s="396"/>
      <c r="I14" s="368">
        <f>[4]Brewhouse!$AU113</f>
        <v>97.5202904784814</v>
      </c>
      <c r="J14" s="368">
        <f>[4]Brewhouse!$AV113</f>
        <v>98.943893926633024</v>
      </c>
      <c r="K14" s="281">
        <f>[4]Brewhouse!$Q113</f>
        <v>4.9340866290018788</v>
      </c>
      <c r="L14" s="276">
        <f>[4]Brewhouse!$P113</f>
        <v>58</v>
      </c>
      <c r="M14" s="397">
        <f>[4]Brewhouse!$U113-[4]Brewhouse!$T113</f>
        <v>0.11597222222222214</v>
      </c>
      <c r="N14" s="370">
        <f>[4]Brewhouse!$Z113</f>
        <v>0.26597222222222217</v>
      </c>
      <c r="O14" s="420" t="str">
        <f>[4]Brewhouse!$AX113</f>
        <v>R.Sookram</v>
      </c>
      <c r="P14" s="418"/>
      <c r="R14" s="277" t="str">
        <f t="shared" si="0"/>
        <v>CARIB</v>
      </c>
      <c r="S14" s="474">
        <f t="shared" si="1"/>
        <v>11.6</v>
      </c>
      <c r="T14" s="474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474">
        <f t="shared" si="8"/>
        <v>60</v>
      </c>
    </row>
    <row r="15" spans="2:29" ht="16.5" customHeight="1">
      <c r="B15" s="29" t="s">
        <v>6</v>
      </c>
      <c r="C15" s="366" t="str">
        <f>[4]Brewhouse!$A114</f>
        <v>CA073</v>
      </c>
      <c r="D15" s="279">
        <f>[4]Brewhouse!$AF114</f>
        <v>51.3</v>
      </c>
      <c r="E15" s="279">
        <f>[4]Brewhouse!$AI114</f>
        <v>49.6</v>
      </c>
      <c r="F15" s="278">
        <f>[4]Brewhouse!$V114</f>
        <v>62</v>
      </c>
      <c r="G15" s="279">
        <f>[4]Brewhouse!AG114</f>
        <v>12</v>
      </c>
      <c r="H15" s="396"/>
      <c r="I15" s="368">
        <f>[4]Brewhouse!$AU114</f>
        <v>97.851490534465384</v>
      </c>
      <c r="J15" s="368">
        <f>[4]Brewhouse!$AV114</f>
        <v>99.279584285354446</v>
      </c>
      <c r="K15" s="281">
        <f>[4]Brewhouse!$Q114</f>
        <v>4.7457627118644128</v>
      </c>
      <c r="L15" s="276">
        <f>[4]Brewhouse!$P114</f>
        <v>57</v>
      </c>
      <c r="M15" s="397">
        <f>[4]Brewhouse!$U114-[4]Brewhouse!$T114</f>
        <v>0.11041666666666661</v>
      </c>
      <c r="N15" s="370">
        <f>[4]Brewhouse!$Z114</f>
        <v>0.26736111111111116</v>
      </c>
      <c r="O15" s="420" t="str">
        <f>[4]Brewhouse!$AX114</f>
        <v>R.Sookram</v>
      </c>
      <c r="P15" s="418"/>
      <c r="R15" s="277" t="str">
        <f t="shared" si="0"/>
        <v>CARIB</v>
      </c>
      <c r="S15" s="474">
        <f t="shared" si="1"/>
        <v>11.6</v>
      </c>
      <c r="T15" s="474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474">
        <f t="shared" si="8"/>
        <v>60</v>
      </c>
    </row>
    <row r="16" spans="2:29" ht="16.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420"/>
      <c r="P16" s="418"/>
      <c r="R16" s="277">
        <f t="shared" si="0"/>
        <v>0</v>
      </c>
      <c r="S16" s="474" t="e">
        <f t="shared" si="1"/>
        <v>#N/A</v>
      </c>
      <c r="T16" s="474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474" t="e">
        <f t="shared" si="8"/>
        <v>#N/A</v>
      </c>
    </row>
    <row r="17" spans="1:26" ht="16.5" customHeight="1">
      <c r="B17" s="489">
        <v>46053</v>
      </c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0"/>
      <c r="P17" s="418"/>
      <c r="R17" s="277">
        <f t="shared" si="0"/>
        <v>46053</v>
      </c>
      <c r="S17" s="474" t="e">
        <f t="shared" si="1"/>
        <v>#N/A</v>
      </c>
      <c r="T17" s="474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474" t="e">
        <f t="shared" si="8"/>
        <v>#N/A</v>
      </c>
    </row>
    <row r="18" spans="1:26" ht="16.5" customHeight="1">
      <c r="B18" s="29" t="s">
        <v>6</v>
      </c>
      <c r="C18" s="366" t="str">
        <f>[4]Brewhouse!$A115</f>
        <v>CA074</v>
      </c>
      <c r="D18" s="279">
        <f>[4]Brewhouse!$AF115</f>
        <v>51.7</v>
      </c>
      <c r="E18" s="279">
        <f>[4]Brewhouse!$AI115</f>
        <v>50.2</v>
      </c>
      <c r="F18" s="278">
        <f>[4]Brewhouse!$V115</f>
        <v>59</v>
      </c>
      <c r="G18" s="279">
        <f>[4]Brewhouse!AG115</f>
        <v>11.8</v>
      </c>
      <c r="H18" s="396"/>
      <c r="I18" s="368">
        <f>[4]Brewhouse!$AU115</f>
        <v>96.702752232561977</v>
      </c>
      <c r="J18" s="368">
        <f>[4]Brewhouse!$AV115</f>
        <v>98.114646857467719</v>
      </c>
      <c r="K18" s="281">
        <f>[4]Brewhouse!$Q115</f>
        <v>3.992467043314496</v>
      </c>
      <c r="L18" s="276">
        <f>[4]Brewhouse!$P115</f>
        <v>57</v>
      </c>
      <c r="M18" s="397">
        <f>[4]Brewhouse!$U115-[4]Brewhouse!$T115</f>
        <v>0.11805555555555558</v>
      </c>
      <c r="N18" s="370">
        <f>[4]Brewhouse!$Z115</f>
        <v>0.2729166666666667</v>
      </c>
      <c r="O18" s="420" t="str">
        <f>[4]Brewhouse!$AX115</f>
        <v>R.Sookram</v>
      </c>
      <c r="P18" s="418"/>
      <c r="R18" s="277" t="str">
        <f t="shared" si="0"/>
        <v>CARIB</v>
      </c>
      <c r="S18" s="474">
        <f t="shared" si="1"/>
        <v>11.6</v>
      </c>
      <c r="T18" s="474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474">
        <f t="shared" si="8"/>
        <v>60</v>
      </c>
    </row>
    <row r="19" spans="1:26" ht="16.5" customHeight="1">
      <c r="B19" s="29" t="s">
        <v>6</v>
      </c>
      <c r="C19" s="366" t="str">
        <f>[4]Brewhouse!$A116</f>
        <v>CA075</v>
      </c>
      <c r="D19" s="279">
        <f>[4]Brewhouse!$AF116</f>
        <v>52.1</v>
      </c>
      <c r="E19" s="279">
        <f>[4]Brewhouse!$AI116</f>
        <v>49.1</v>
      </c>
      <c r="F19" s="278">
        <f>[4]Brewhouse!$V116</f>
        <v>61</v>
      </c>
      <c r="G19" s="279">
        <f>[4]Brewhouse!AG116</f>
        <v>11.9</v>
      </c>
      <c r="H19" s="396"/>
      <c r="I19" s="368">
        <f>[4]Brewhouse!$AU116</f>
        <v>96.254729187993746</v>
      </c>
      <c r="J19" s="368">
        <f>[4]Brewhouse!$AV116</f>
        <v>97.65929164332654</v>
      </c>
      <c r="K19" s="281">
        <f>[4]Brewhouse!$Q116</f>
        <v>3.2391713747645925</v>
      </c>
      <c r="L19" s="276">
        <f>[4]Brewhouse!$P116</f>
        <v>62</v>
      </c>
      <c r="M19" s="397">
        <f>[4]Brewhouse!$U116-[4]Brewhouse!$T116</f>
        <v>0.11597222222222225</v>
      </c>
      <c r="N19" s="370">
        <f>[4]Brewhouse!$Z116</f>
        <v>0.26319444444444445</v>
      </c>
      <c r="O19" s="420" t="str">
        <f>[4]Brewhouse!$AX116</f>
        <v>D. Gomaz</v>
      </c>
      <c r="P19" s="418"/>
      <c r="R19" s="277" t="str">
        <f t="shared" si="0"/>
        <v>CARIB</v>
      </c>
      <c r="S19" s="474">
        <f t="shared" si="1"/>
        <v>11.6</v>
      </c>
      <c r="T19" s="474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474">
        <f t="shared" si="8"/>
        <v>60</v>
      </c>
    </row>
    <row r="20" spans="1:26" ht="16.5" customHeight="1">
      <c r="B20" s="29" t="s">
        <v>6</v>
      </c>
      <c r="C20" s="366" t="str">
        <f>[4]Brewhouse!$A117</f>
        <v>CA076</v>
      </c>
      <c r="D20" s="279">
        <f>[4]Brewhouse!$AF117</f>
        <v>51.6</v>
      </c>
      <c r="E20" s="279">
        <f>[4]Brewhouse!$AI117</f>
        <v>50.1</v>
      </c>
      <c r="F20" s="278">
        <f>[4]Brewhouse!$V117</f>
        <v>63</v>
      </c>
      <c r="G20" s="279">
        <f>[4]Brewhouse!AG117</f>
        <v>11.9</v>
      </c>
      <c r="H20" s="396"/>
      <c r="I20" s="368">
        <f>[4]Brewhouse!$AU117</f>
        <v>98.215110637851069</v>
      </c>
      <c r="J20" s="368">
        <f>[4]Brewhouse!$AV117</f>
        <v>99.648279253170273</v>
      </c>
      <c r="K20" s="281">
        <f>[4]Brewhouse!$Q117</f>
        <v>4.1807909604519748</v>
      </c>
      <c r="L20" s="276">
        <f>[4]Brewhouse!$P117</f>
        <v>60</v>
      </c>
      <c r="M20" s="397">
        <f>[4]Brewhouse!$U117-[4]Brewhouse!$T117</f>
        <v>0.11180555555555555</v>
      </c>
      <c r="N20" s="370">
        <f>[4]Brewhouse!$Z117</f>
        <v>0.25902777777777775</v>
      </c>
      <c r="O20" s="420" t="str">
        <f>[4]Brewhouse!$AX117</f>
        <v>D. Gomaz</v>
      </c>
      <c r="P20" s="418"/>
      <c r="R20" s="277" t="str">
        <f t="shared" si="0"/>
        <v>CARIB</v>
      </c>
      <c r="S20" s="474">
        <f t="shared" si="1"/>
        <v>11.6</v>
      </c>
      <c r="T20" s="474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474">
        <f t="shared" si="8"/>
        <v>60</v>
      </c>
    </row>
    <row r="21" spans="1:26" ht="16.5" customHeight="1">
      <c r="B21" s="29" t="s">
        <v>6</v>
      </c>
      <c r="C21" s="366" t="str">
        <f>[4]Brewhouse!$A118</f>
        <v>CA077</v>
      </c>
      <c r="D21" s="279">
        <f>[4]Brewhouse!$AF118</f>
        <v>51.4</v>
      </c>
      <c r="E21" s="279">
        <f>[4]Brewhouse!$AI118</f>
        <v>49.8</v>
      </c>
      <c r="F21" s="278">
        <f>[4]Brewhouse!$V118</f>
        <v>66</v>
      </c>
      <c r="G21" s="279">
        <f>[4]Brewhouse!AG118</f>
        <v>11.7</v>
      </c>
      <c r="H21" s="396"/>
      <c r="I21" s="368">
        <f>[4]Brewhouse!$AU118</f>
        <v>95.664747463751866</v>
      </c>
      <c r="J21" s="368">
        <f>[4]Brewhouse!$AV118</f>
        <v>97.060926789045283</v>
      </c>
      <c r="K21" s="281">
        <f>[4]Brewhouse!$Q118</f>
        <v>4.5574387947269335</v>
      </c>
      <c r="L21" s="276">
        <f>[4]Brewhouse!$P118</f>
        <v>60</v>
      </c>
      <c r="M21" s="397">
        <f>[4]Brewhouse!$U118-[4]Brewhouse!$T118</f>
        <v>0.11597222222222225</v>
      </c>
      <c r="N21" s="370">
        <f>[4]Brewhouse!$Z118</f>
        <v>0.2583333333333333</v>
      </c>
      <c r="O21" s="420" t="str">
        <f>[4]Brewhouse!$AX118</f>
        <v>D. Gomaz</v>
      </c>
      <c r="P21" s="418"/>
      <c r="R21" s="277" t="str">
        <f t="shared" ref="R21:R43" si="9">B21</f>
        <v>CARIB</v>
      </c>
      <c r="S21" s="474">
        <f t="shared" ref="S21:S43" si="10">VLOOKUP($B21,$R$3:$X$9,2,FALSE)</f>
        <v>11.6</v>
      </c>
      <c r="T21" s="474">
        <f t="shared" ref="T21:T43" si="11">VLOOKUP($B21,$R$3:$X$9,3,FALSE)</f>
        <v>12</v>
      </c>
      <c r="U21" s="297">
        <f t="shared" ref="U21:U43" si="12">VLOOKUP($B21,$R$3:$X$9,4,FALSE)</f>
        <v>0</v>
      </c>
      <c r="V21" s="297">
        <f t="shared" ref="V21:V43" si="13">VLOOKUP($B21,$R$3:$X$9,5,FALSE)</f>
        <v>0.118055555555556</v>
      </c>
      <c r="W21" s="297">
        <f t="shared" ref="W21:W43" si="14">VLOOKUP($B21,$R$3:$X$9,6,FALSE)</f>
        <v>0.22569444444444445</v>
      </c>
      <c r="X21" s="297">
        <f t="shared" ref="X21:X43" si="15">VLOOKUP($B21,$R$3:$X$9,7,FALSE)</f>
        <v>0.2638888888888889</v>
      </c>
      <c r="Y21" s="297">
        <f t="shared" ref="Y21:Y43" si="16">VLOOKUP($B21,$R$3:$Z$9,8,FALSE)</f>
        <v>0</v>
      </c>
      <c r="Z21" s="474">
        <f t="shared" ref="Z21:Z43" si="17">VLOOKUP($B21,$R$3:$Z$9,9,FALSE)</f>
        <v>60</v>
      </c>
    </row>
    <row r="22" spans="1:26" ht="16.5" customHeight="1">
      <c r="B22" s="29" t="s">
        <v>6</v>
      </c>
      <c r="C22" s="366" t="str">
        <f>[4]Brewhouse!$A119</f>
        <v>CA078</v>
      </c>
      <c r="D22" s="279">
        <f>[4]Brewhouse!$AF119</f>
        <v>51.3</v>
      </c>
      <c r="E22" s="279">
        <f>[4]Brewhouse!$AI119</f>
        <v>49.7</v>
      </c>
      <c r="F22" s="278">
        <f>[4]Brewhouse!$V119</f>
        <v>61</v>
      </c>
      <c r="G22" s="279">
        <f>[4]Brewhouse!AG119</f>
        <v>11.7</v>
      </c>
      <c r="H22" s="396"/>
      <c r="I22" s="368">
        <f>[4]Brewhouse!$AU119</f>
        <v>95.472649577278474</v>
      </c>
      <c r="J22" s="368">
        <f>[4]Brewhouse!$AV119</f>
        <v>96.866025329629522</v>
      </c>
      <c r="K22" s="281">
        <f>[4]Brewhouse!$Q119</f>
        <v>4.7457627118644128</v>
      </c>
      <c r="L22" s="276">
        <f>[4]Brewhouse!$P119</f>
        <v>59</v>
      </c>
      <c r="M22" s="397">
        <f>[4]Brewhouse!$U119-[4]Brewhouse!$T119</f>
        <v>0.10902777777777772</v>
      </c>
      <c r="N22" s="370">
        <f>[4]Brewhouse!$Z119</f>
        <v>0.25486111111111109</v>
      </c>
      <c r="O22" s="420" t="str">
        <f>[4]Brewhouse!$AX119</f>
        <v>D. Gomaz</v>
      </c>
      <c r="P22" s="418"/>
      <c r="R22" s="277" t="str">
        <f t="shared" si="9"/>
        <v>CARIB</v>
      </c>
      <c r="S22" s="474">
        <f t="shared" si="1"/>
        <v>11.6</v>
      </c>
      <c r="T22" s="474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474">
        <f t="shared" si="8"/>
        <v>60</v>
      </c>
    </row>
    <row r="23" spans="1:26" ht="16.5" customHeight="1">
      <c r="B23" s="29" t="s">
        <v>6</v>
      </c>
      <c r="C23" s="366" t="str">
        <f>[4]Brewhouse!$A120</f>
        <v>CA079</v>
      </c>
      <c r="D23" s="279">
        <f>[4]Brewhouse!$AF120</f>
        <v>49.7</v>
      </c>
      <c r="E23" s="279">
        <f>[4]Brewhouse!$AI120</f>
        <v>47.9</v>
      </c>
      <c r="F23" s="278">
        <f>[4]Brewhouse!$V120</f>
        <v>65</v>
      </c>
      <c r="G23" s="279">
        <f>[4]Brewhouse!AG120</f>
        <v>11.8</v>
      </c>
      <c r="H23" s="396"/>
      <c r="I23" s="368">
        <f>[4]Brewhouse!$AU120</f>
        <v>92.499443839985332</v>
      </c>
      <c r="J23" s="368">
        <f>[4]Brewhouse!$AV120</f>
        <v>93.849752853182622</v>
      </c>
      <c r="K23" s="281">
        <f>[4]Brewhouse!$Q120</f>
        <v>7.7589453860640258</v>
      </c>
      <c r="L23" s="276">
        <f>[4]Brewhouse!$P120</f>
        <v>57</v>
      </c>
      <c r="M23" s="397">
        <f>[4]Brewhouse!$U120-[4]Brewhouse!$T120</f>
        <v>0.13124999999999998</v>
      </c>
      <c r="N23" s="370">
        <f>[4]Brewhouse!$Z120</f>
        <v>0.27083333333333337</v>
      </c>
      <c r="O23" s="420" t="str">
        <f>[4]Brewhouse!$AX120</f>
        <v>G.Mason</v>
      </c>
      <c r="P23" s="418"/>
      <c r="R23" s="277" t="str">
        <f t="shared" si="9"/>
        <v>CARIB</v>
      </c>
      <c r="S23" s="474">
        <f t="shared" si="1"/>
        <v>11.6</v>
      </c>
      <c r="T23" s="474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474">
        <f t="shared" si="8"/>
        <v>60</v>
      </c>
    </row>
    <row r="24" spans="1:26" ht="16.5" customHeight="1">
      <c r="B24" s="29" t="s">
        <v>6</v>
      </c>
      <c r="C24" s="366" t="str">
        <f>[4]Brewhouse!$A121</f>
        <v>CA080</v>
      </c>
      <c r="D24" s="279">
        <f>[4]Brewhouse!$AF121</f>
        <v>53</v>
      </c>
      <c r="E24" s="279">
        <f>[4]Brewhouse!$AI121</f>
        <v>51.1</v>
      </c>
      <c r="F24" s="278">
        <f>[4]Brewhouse!$V121</f>
        <v>62</v>
      </c>
      <c r="G24" s="279">
        <f>[4]Brewhouse!AG121</f>
        <v>12</v>
      </c>
      <c r="H24" s="396"/>
      <c r="I24" s="368">
        <f>[4]Brewhouse!$AU121</f>
        <v>101.81766752472274</v>
      </c>
      <c r="J24" s="368">
        <f>[4]Brewhouse!$AV121</f>
        <v>103.30267645572633</v>
      </c>
      <c r="K24" s="281">
        <f>[4]Brewhouse!$Q121</f>
        <v>4.7457627118644128</v>
      </c>
      <c r="L24" s="276">
        <f>[4]Brewhouse!$P121</f>
        <v>57</v>
      </c>
      <c r="M24" s="397">
        <f>[4]Brewhouse!$U121-[4]Brewhouse!$T121</f>
        <v>0.11597222222222225</v>
      </c>
      <c r="N24" s="370">
        <f>[4]Brewhouse!$Z121</f>
        <v>0.26875000000000004</v>
      </c>
      <c r="O24" s="420" t="str">
        <f>[4]Brewhouse!$AX121</f>
        <v>G.Mason</v>
      </c>
      <c r="P24" s="418"/>
      <c r="R24" s="277" t="str">
        <f t="shared" si="9"/>
        <v>CARIB</v>
      </c>
      <c r="S24" s="474">
        <f t="shared" si="1"/>
        <v>11.6</v>
      </c>
      <c r="T24" s="474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474">
        <f t="shared" si="8"/>
        <v>60</v>
      </c>
    </row>
    <row r="25" spans="1:26" ht="16.5" customHeight="1">
      <c r="B25" s="29" t="s">
        <v>6</v>
      </c>
      <c r="C25" s="366" t="str">
        <f>[4]Brewhouse!$A122</f>
        <v>CA081</v>
      </c>
      <c r="D25" s="279">
        <f>[4]Brewhouse!$AF122</f>
        <v>52.3</v>
      </c>
      <c r="E25" s="279">
        <f>[4]Brewhouse!$AI122</f>
        <v>50.5</v>
      </c>
      <c r="F25" s="278">
        <f>[4]Brewhouse!$V122</f>
        <v>58</v>
      </c>
      <c r="G25" s="279">
        <f>[4]Brewhouse!AG122</f>
        <v>12</v>
      </c>
      <c r="H25" s="396"/>
      <c r="I25" s="368">
        <f>[4]Brewhouse!$AU122</f>
        <v>99.504012001826652</v>
      </c>
      <c r="J25" s="368">
        <f>[4]Brewhouse!$AV122</f>
        <v>100.95634056242785</v>
      </c>
      <c r="K25" s="281">
        <f>[4]Brewhouse!$Q122</f>
        <v>4.5574387947269335</v>
      </c>
      <c r="L25" s="276">
        <f>[4]Brewhouse!$P122</f>
        <v>57</v>
      </c>
      <c r="M25" s="397">
        <f>[4]Brewhouse!$U122-[4]Brewhouse!$T122</f>
        <v>0.11111111111111094</v>
      </c>
      <c r="N25" s="370">
        <f>[4]Brewhouse!$Z122</f>
        <v>0.27013888888888882</v>
      </c>
      <c r="O25" s="420" t="str">
        <f>[4]Brewhouse!$AX122</f>
        <v>G.Mason</v>
      </c>
      <c r="P25" s="418"/>
      <c r="R25" s="277" t="str">
        <f t="shared" si="9"/>
        <v>CARIB</v>
      </c>
      <c r="S25" s="474">
        <f t="shared" si="1"/>
        <v>11.6</v>
      </c>
      <c r="T25" s="474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474">
        <f t="shared" si="8"/>
        <v>60</v>
      </c>
    </row>
    <row r="26" spans="1:26" ht="16.5" customHeight="1">
      <c r="B26" s="29" t="s">
        <v>6</v>
      </c>
      <c r="C26" s="366" t="str">
        <f>[4]Brewhouse!$A123</f>
        <v>CA082</v>
      </c>
      <c r="D26" s="279">
        <f>[4]Brewhouse!$AF123</f>
        <v>52.7</v>
      </c>
      <c r="E26" s="279">
        <f>[4]Brewhouse!$AI123</f>
        <v>50.9</v>
      </c>
      <c r="F26" s="278">
        <f>[4]Brewhouse!$V123</f>
        <v>59</v>
      </c>
      <c r="G26" s="279">
        <f>[4]Brewhouse!AG123</f>
        <v>11.9</v>
      </c>
      <c r="H26" s="396"/>
      <c r="I26" s="368">
        <f>[4]Brewhouse!$AU123</f>
        <v>99.783415797736893</v>
      </c>
      <c r="J26" s="368">
        <f>[4]Brewhouse!$AV123</f>
        <v>101.23946934104522</v>
      </c>
      <c r="K26" s="281">
        <f>[4]Brewhouse!$Q123</f>
        <v>4.3773584905660385</v>
      </c>
      <c r="L26" s="276">
        <f>[4]Brewhouse!$P123</f>
        <v>57</v>
      </c>
      <c r="M26" s="397">
        <f>[4]Brewhouse!$U123-[4]Brewhouse!$T123</f>
        <v>0.11319444444444438</v>
      </c>
      <c r="N26" s="370">
        <f>[4]Brewhouse!$Z123</f>
        <v>0.27569444444444446</v>
      </c>
      <c r="O26" s="420" t="str">
        <f>[4]Brewhouse!$AX123</f>
        <v>G.Mason</v>
      </c>
      <c r="P26" s="418"/>
      <c r="R26" s="277" t="str">
        <f t="shared" si="9"/>
        <v>CARIB</v>
      </c>
      <c r="S26" s="474">
        <f t="shared" si="1"/>
        <v>11.6</v>
      </c>
      <c r="T26" s="474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474">
        <f t="shared" si="8"/>
        <v>60</v>
      </c>
    </row>
    <row r="27" spans="1:26" ht="16.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420"/>
      <c r="P27" s="418"/>
      <c r="R27" s="277">
        <f t="shared" si="9"/>
        <v>0</v>
      </c>
      <c r="S27" s="474" t="e">
        <f t="shared" si="1"/>
        <v>#N/A</v>
      </c>
      <c r="T27" s="474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474" t="e">
        <f t="shared" si="8"/>
        <v>#N/A</v>
      </c>
    </row>
    <row r="28" spans="1:26" ht="18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420"/>
      <c r="P28" s="418"/>
      <c r="R28" s="277">
        <f t="shared" si="9"/>
        <v>0</v>
      </c>
      <c r="S28" s="474" t="e">
        <f t="shared" si="1"/>
        <v>#N/A</v>
      </c>
      <c r="T28" s="474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474" t="e">
        <f t="shared" si="8"/>
        <v>#N/A</v>
      </c>
    </row>
    <row r="29" spans="1:26" ht="16.5" customHeight="1">
      <c r="B29" s="22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18"/>
      <c r="R29" s="277">
        <f t="shared" si="9"/>
        <v>0</v>
      </c>
      <c r="S29" s="474" t="e">
        <f t="shared" si="1"/>
        <v>#N/A</v>
      </c>
      <c r="T29" s="474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474" t="e">
        <f t="shared" si="8"/>
        <v>#N/A</v>
      </c>
    </row>
    <row r="30" spans="1:26" ht="15.75" customHeight="1" thickBot="1">
      <c r="B30" s="358"/>
      <c r="C30" s="358"/>
      <c r="D30" s="358"/>
      <c r="E30" s="358"/>
      <c r="F30" s="294"/>
      <c r="G30" s="294"/>
      <c r="H30" s="348"/>
      <c r="I30" s="540"/>
      <c r="J30" s="540"/>
      <c r="K30" s="540"/>
      <c r="L30" s="540"/>
      <c r="M30" s="540"/>
      <c r="N30" s="540"/>
      <c r="O30" s="1"/>
      <c r="P30" s="12"/>
      <c r="R30" s="277">
        <f t="shared" si="9"/>
        <v>0</v>
      </c>
      <c r="S30" s="474" t="e">
        <f t="shared" si="1"/>
        <v>#N/A</v>
      </c>
      <c r="T30" s="474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474" t="e">
        <f t="shared" si="8"/>
        <v>#N/A</v>
      </c>
    </row>
    <row r="31" spans="1:26" ht="15.75" customHeight="1" thickBot="1">
      <c r="B31" s="388" t="s">
        <v>162</v>
      </c>
      <c r="C31" s="388"/>
      <c r="D31" s="541" t="s">
        <v>35</v>
      </c>
      <c r="E31" s="542"/>
      <c r="F31" s="294"/>
      <c r="G31" s="294"/>
      <c r="H31" s="348"/>
      <c r="I31" s="24" t="s">
        <v>17</v>
      </c>
      <c r="J31" s="25"/>
      <c r="K31" s="26" t="s">
        <v>138</v>
      </c>
      <c r="L31" s="25" t="s">
        <v>37</v>
      </c>
      <c r="M31" s="25" t="s">
        <v>38</v>
      </c>
      <c r="N31" s="27" t="s">
        <v>39</v>
      </c>
      <c r="O31" s="294"/>
      <c r="P31" s="12"/>
      <c r="R31" s="277" t="str">
        <f t="shared" si="9"/>
        <v xml:space="preserve">BRAND </v>
      </c>
      <c r="S31" s="474" t="e">
        <f t="shared" si="1"/>
        <v>#N/A</v>
      </c>
      <c r="T31" s="474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474" t="e">
        <f t="shared" si="8"/>
        <v>#N/A</v>
      </c>
    </row>
    <row r="32" spans="1:26" ht="15" customHeight="1">
      <c r="A32" s="28"/>
      <c r="B32" s="543"/>
      <c r="C32" s="362"/>
      <c r="D32" s="546"/>
      <c r="E32" s="547"/>
      <c r="F32" s="294"/>
      <c r="G32" s="294"/>
      <c r="H32" s="348"/>
      <c r="I32" s="29" t="s">
        <v>6</v>
      </c>
      <c r="J32" s="280">
        <f>AVERAGE(I10:I27)</f>
        <v>97.291656477586827</v>
      </c>
      <c r="K32" s="284">
        <f>COUNTA([4]Brewhouse!$A$42:$A$123)</f>
        <v>82</v>
      </c>
      <c r="L32" s="305">
        <f>AVERAGE([4]Brewhouse!$AU$42:$AU$123)</f>
        <v>97.94699724131263</v>
      </c>
      <c r="M32" s="305">
        <f>AVERAGE([4]Brewhouse!$AU$42:$AU$123)</f>
        <v>97.94699724131263</v>
      </c>
      <c r="N32" s="30">
        <v>98</v>
      </c>
      <c r="O32" s="11"/>
      <c r="P32" s="31"/>
      <c r="R32" s="277">
        <f t="shared" si="9"/>
        <v>0</v>
      </c>
      <c r="S32" s="474" t="e">
        <f t="shared" si="1"/>
        <v>#N/A</v>
      </c>
      <c r="T32" s="474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474" t="e">
        <f t="shared" si="8"/>
        <v>#N/A</v>
      </c>
    </row>
    <row r="33" spans="1:27" ht="15" customHeight="1">
      <c r="A33" s="28"/>
      <c r="B33" s="544"/>
      <c r="C33" s="362"/>
      <c r="D33" s="548"/>
      <c r="E33" s="532"/>
      <c r="F33" s="294"/>
      <c r="G33" s="294"/>
      <c r="H33" s="348"/>
      <c r="I33" s="33" t="s">
        <v>9</v>
      </c>
      <c r="J33" s="280"/>
      <c r="K33" s="284">
        <f>COUNTA([5]Brewhouse!$A$52:$A$81)</f>
        <v>30</v>
      </c>
      <c r="L33" s="302">
        <f>AVERAGE([5]Brewhouse!$AS$52:$AS$81)</f>
        <v>99.025209415013663</v>
      </c>
      <c r="M33" s="302">
        <f>AVERAGE([5]Brewhouse!$AS$52:$AS$81)</f>
        <v>99.025209415013663</v>
      </c>
      <c r="N33" s="30">
        <v>98</v>
      </c>
      <c r="O33" s="11"/>
      <c r="P33" s="31"/>
      <c r="R33" s="277">
        <f t="shared" ref="R33" si="18">B33</f>
        <v>0</v>
      </c>
      <c r="S33" s="474" t="e">
        <f t="shared" si="10"/>
        <v>#N/A</v>
      </c>
      <c r="T33" s="474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474" t="e">
        <f t="shared" si="17"/>
        <v>#N/A</v>
      </c>
    </row>
    <row r="34" spans="1:27" ht="14.65" customHeight="1">
      <c r="A34" s="28"/>
      <c r="B34" s="544"/>
      <c r="C34" s="362"/>
      <c r="D34" s="536"/>
      <c r="E34" s="537"/>
      <c r="F34" s="294"/>
      <c r="G34" s="294"/>
      <c r="H34" s="348"/>
      <c r="I34" s="34" t="s">
        <v>12</v>
      </c>
      <c r="J34" s="280"/>
      <c r="K34" s="284">
        <f>COUNTA([3]Brewhouse!$A$16:$A$23)</f>
        <v>8</v>
      </c>
      <c r="L34" s="302">
        <f>AVERAGE([3]Brewhouse!$AU$16:$AU$23)</f>
        <v>97.765204759801577</v>
      </c>
      <c r="M34" s="302">
        <f>AVERAGE([3]Brewhouse!$AU$16:$AU$23)</f>
        <v>97.765204759801577</v>
      </c>
      <c r="N34" s="30">
        <v>98</v>
      </c>
      <c r="O34" s="11"/>
      <c r="P34" s="31"/>
      <c r="R34" s="277">
        <f t="shared" si="9"/>
        <v>0</v>
      </c>
      <c r="S34" s="474" t="e">
        <f t="shared" si="10"/>
        <v>#N/A</v>
      </c>
      <c r="T34" s="474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474" t="e">
        <f t="shared" si="17"/>
        <v>#N/A</v>
      </c>
    </row>
    <row r="35" spans="1:27" ht="14.65" customHeight="1">
      <c r="A35" s="28"/>
      <c r="B35" s="544"/>
      <c r="C35" s="362"/>
      <c r="D35" s="531"/>
      <c r="E35" s="532"/>
      <c r="F35" s="294"/>
      <c r="G35" s="294"/>
      <c r="H35" s="348"/>
      <c r="I35" s="22" t="s">
        <v>33</v>
      </c>
      <c r="J35" s="280"/>
      <c r="K35" s="284">
        <f>COUNTA([6]Brewhouse!$A$23:$A$34)</f>
        <v>12</v>
      </c>
      <c r="L35" s="302">
        <f>AVERAGE([6]Brewhouse!$AV$23:$AV$34)</f>
        <v>98.31387229810305</v>
      </c>
      <c r="M35" s="302">
        <f>AVERAGE([6]Brewhouse!$AV$23:$AV$34)</f>
        <v>98.31387229810305</v>
      </c>
      <c r="N35" s="30">
        <v>98</v>
      </c>
      <c r="O35" s="11"/>
      <c r="P35" s="31"/>
      <c r="R35" s="277">
        <f t="shared" si="9"/>
        <v>0</v>
      </c>
      <c r="S35" s="474" t="e">
        <f t="shared" si="10"/>
        <v>#N/A</v>
      </c>
      <c r="T35" s="474" t="e">
        <f t="shared" si="11"/>
        <v>#N/A</v>
      </c>
      <c r="U35" s="297" t="e">
        <f t="shared" si="12"/>
        <v>#N/A</v>
      </c>
      <c r="V35" s="297" t="e">
        <f t="shared" si="13"/>
        <v>#N/A</v>
      </c>
      <c r="W35" s="297" t="e">
        <f t="shared" si="14"/>
        <v>#N/A</v>
      </c>
      <c r="X35" s="297" t="e">
        <f t="shared" si="15"/>
        <v>#N/A</v>
      </c>
      <c r="Y35" s="297" t="e">
        <f t="shared" si="16"/>
        <v>#N/A</v>
      </c>
      <c r="Z35" s="474" t="e">
        <f t="shared" si="17"/>
        <v>#N/A</v>
      </c>
    </row>
    <row r="36" spans="1:27" ht="14.65" customHeight="1">
      <c r="A36" s="28"/>
      <c r="B36" s="544"/>
      <c r="C36" s="362"/>
      <c r="D36" s="536"/>
      <c r="E36" s="537"/>
      <c r="F36" s="417"/>
      <c r="G36" s="294"/>
      <c r="H36" s="348"/>
      <c r="I36" s="35" t="s">
        <v>29</v>
      </c>
      <c r="J36" s="280"/>
      <c r="K36" s="284"/>
      <c r="L36" s="302"/>
      <c r="M36" s="302"/>
      <c r="N36" s="30">
        <v>98</v>
      </c>
      <c r="O36" s="11"/>
      <c r="P36" s="31"/>
      <c r="R36" s="277">
        <f t="shared" si="9"/>
        <v>0</v>
      </c>
      <c r="S36" s="474" t="e">
        <f t="shared" si="10"/>
        <v>#N/A</v>
      </c>
      <c r="T36" s="474" t="e">
        <f t="shared" si="11"/>
        <v>#N/A</v>
      </c>
      <c r="U36" s="297" t="e">
        <f t="shared" si="12"/>
        <v>#N/A</v>
      </c>
      <c r="V36" s="297" t="e">
        <f t="shared" si="13"/>
        <v>#N/A</v>
      </c>
      <c r="W36" s="297" t="e">
        <f t="shared" si="14"/>
        <v>#N/A</v>
      </c>
      <c r="X36" s="297" t="e">
        <f t="shared" si="15"/>
        <v>#N/A</v>
      </c>
      <c r="Y36" s="297" t="e">
        <f t="shared" si="16"/>
        <v>#N/A</v>
      </c>
      <c r="Z36" s="474" t="e">
        <f t="shared" si="17"/>
        <v>#N/A</v>
      </c>
    </row>
    <row r="37" spans="1:27" ht="14.65" customHeight="1">
      <c r="A37" s="28"/>
      <c r="B37" s="544"/>
      <c r="C37" s="362"/>
      <c r="D37" s="531"/>
      <c r="E37" s="532"/>
      <c r="F37" s="417"/>
      <c r="G37" s="294"/>
      <c r="H37" s="348"/>
      <c r="I37" s="36" t="s">
        <v>15</v>
      </c>
      <c r="J37" s="323"/>
      <c r="K37" s="284">
        <f>COUNTA([7]Brewhouse!$A$4:$A$11)</f>
        <v>8</v>
      </c>
      <c r="L37" s="302">
        <f>AVERAGE([7]Brewhouse!$AT$4:$AT$11)</f>
        <v>92.826224508052405</v>
      </c>
      <c r="M37" s="302">
        <f>AVERAGE([7]Brewhouse!$AT$4:$AT$11)</f>
        <v>92.826224508052405</v>
      </c>
      <c r="N37" s="30">
        <v>98</v>
      </c>
      <c r="O37" s="11"/>
      <c r="P37" s="31"/>
      <c r="R37" s="277">
        <f t="shared" si="9"/>
        <v>0</v>
      </c>
      <c r="S37" s="474" t="e">
        <f t="shared" si="10"/>
        <v>#N/A</v>
      </c>
      <c r="T37" s="474" t="e">
        <f t="shared" si="11"/>
        <v>#N/A</v>
      </c>
      <c r="U37" s="297" t="e">
        <f t="shared" si="12"/>
        <v>#N/A</v>
      </c>
      <c r="V37" s="297" t="e">
        <f t="shared" si="13"/>
        <v>#N/A</v>
      </c>
      <c r="W37" s="297" t="e">
        <f t="shared" si="14"/>
        <v>#N/A</v>
      </c>
      <c r="X37" s="297" t="e">
        <f t="shared" si="15"/>
        <v>#N/A</v>
      </c>
      <c r="Y37" s="297" t="e">
        <f t="shared" si="16"/>
        <v>#N/A</v>
      </c>
      <c r="Z37" s="474" t="e">
        <f t="shared" si="17"/>
        <v>#N/A</v>
      </c>
      <c r="AA37" s="474"/>
    </row>
    <row r="38" spans="1:27" ht="14.65" customHeight="1">
      <c r="A38" s="28"/>
      <c r="B38" s="544"/>
      <c r="C38" s="362"/>
      <c r="D38" s="536"/>
      <c r="E38" s="537"/>
      <c r="F38" s="417"/>
      <c r="G38" s="294"/>
      <c r="H38" s="348"/>
      <c r="I38" s="37" t="s">
        <v>16</v>
      </c>
      <c r="J38" s="323"/>
      <c r="K38" s="284">
        <f>COUNTA([8]Brewhouse!$A$5:$A$14)</f>
        <v>10</v>
      </c>
      <c r="L38" s="302">
        <f>AVERAGE([8]Brewhouse!$AY$5:$AY$14)</f>
        <v>96.729830241810802</v>
      </c>
      <c r="M38" s="302">
        <f>AVERAGE([8]Brewhouse!$AY$5:$AY$14)</f>
        <v>96.729830241810802</v>
      </c>
      <c r="N38" s="30">
        <v>98</v>
      </c>
      <c r="O38" s="11"/>
      <c r="P38" s="31" t="s">
        <v>41</v>
      </c>
      <c r="R38" s="277">
        <f t="shared" si="9"/>
        <v>0</v>
      </c>
      <c r="S38" s="474" t="e">
        <f t="shared" si="10"/>
        <v>#N/A</v>
      </c>
      <c r="T38" s="474" t="e">
        <f t="shared" si="11"/>
        <v>#N/A</v>
      </c>
      <c r="U38" s="297" t="e">
        <f t="shared" si="12"/>
        <v>#N/A</v>
      </c>
      <c r="V38" s="297" t="e">
        <f t="shared" si="13"/>
        <v>#N/A</v>
      </c>
      <c r="W38" s="297" t="e">
        <f t="shared" si="14"/>
        <v>#N/A</v>
      </c>
      <c r="X38" s="297" t="e">
        <f t="shared" si="15"/>
        <v>#N/A</v>
      </c>
      <c r="Y38" s="297" t="e">
        <f t="shared" si="16"/>
        <v>#N/A</v>
      </c>
      <c r="Z38" s="474" t="e">
        <f t="shared" si="17"/>
        <v>#N/A</v>
      </c>
      <c r="AA38" s="474"/>
    </row>
    <row r="39" spans="1:27" ht="14.65" customHeight="1">
      <c r="A39" s="28"/>
      <c r="B39" s="544"/>
      <c r="C39" s="362"/>
      <c r="D39" s="531"/>
      <c r="E39" s="532"/>
      <c r="F39" s="294"/>
      <c r="G39" s="294"/>
      <c r="H39" s="348"/>
      <c r="I39" s="411" t="s">
        <v>158</v>
      </c>
      <c r="J39" s="326"/>
      <c r="K39" s="284"/>
      <c r="L39" s="305"/>
      <c r="M39" s="305"/>
      <c r="N39" s="30">
        <v>98</v>
      </c>
      <c r="O39" s="11"/>
      <c r="P39" s="31"/>
      <c r="R39" s="277">
        <f t="shared" si="9"/>
        <v>0</v>
      </c>
      <c r="S39" s="474" t="e">
        <f t="shared" si="10"/>
        <v>#N/A</v>
      </c>
      <c r="T39" s="474" t="e">
        <f t="shared" si="11"/>
        <v>#N/A</v>
      </c>
      <c r="U39" s="297" t="e">
        <f t="shared" si="12"/>
        <v>#N/A</v>
      </c>
      <c r="V39" s="297" t="e">
        <f t="shared" si="13"/>
        <v>#N/A</v>
      </c>
      <c r="W39" s="297" t="e">
        <f t="shared" si="14"/>
        <v>#N/A</v>
      </c>
      <c r="X39" s="297" t="e">
        <f t="shared" si="15"/>
        <v>#N/A</v>
      </c>
      <c r="Y39" s="297" t="e">
        <f t="shared" si="16"/>
        <v>#N/A</v>
      </c>
      <c r="Z39" s="474" t="e">
        <f t="shared" si="17"/>
        <v>#N/A</v>
      </c>
      <c r="AA39" s="474"/>
    </row>
    <row r="40" spans="1:27" ht="14.65" customHeight="1">
      <c r="A40" s="28"/>
      <c r="B40" s="544"/>
      <c r="C40" s="349"/>
      <c r="D40" s="536"/>
      <c r="E40" s="537"/>
      <c r="F40" s="294"/>
      <c r="G40" s="294"/>
      <c r="H40" s="348"/>
      <c r="I40" s="410" t="s">
        <v>157</v>
      </c>
      <c r="J40" s="326"/>
      <c r="K40" s="284"/>
      <c r="L40" s="305"/>
      <c r="M40" s="305"/>
      <c r="N40" s="30">
        <v>98</v>
      </c>
      <c r="O40" s="11"/>
      <c r="P40" s="31"/>
      <c r="R40" s="277">
        <f t="shared" si="9"/>
        <v>0</v>
      </c>
      <c r="S40" s="474" t="e">
        <f t="shared" si="10"/>
        <v>#N/A</v>
      </c>
      <c r="T40" s="474" t="e">
        <f t="shared" si="11"/>
        <v>#N/A</v>
      </c>
      <c r="U40" s="297" t="e">
        <f t="shared" si="12"/>
        <v>#N/A</v>
      </c>
      <c r="V40" s="297" t="e">
        <f t="shared" si="13"/>
        <v>#N/A</v>
      </c>
      <c r="W40" s="297" t="e">
        <f t="shared" si="14"/>
        <v>#N/A</v>
      </c>
      <c r="X40" s="297" t="e">
        <f t="shared" si="15"/>
        <v>#N/A</v>
      </c>
      <c r="Y40" s="297" t="e">
        <f t="shared" si="16"/>
        <v>#N/A</v>
      </c>
      <c r="Z40" s="474" t="e">
        <f t="shared" si="17"/>
        <v>#N/A</v>
      </c>
      <c r="AA40" s="474"/>
    </row>
    <row r="41" spans="1:27" ht="15" customHeight="1" thickBot="1">
      <c r="A41" s="28"/>
      <c r="B41" s="544"/>
      <c r="C41" s="349"/>
      <c r="D41" s="531"/>
      <c r="E41" s="532"/>
      <c r="F41" s="294"/>
      <c r="G41" s="294"/>
      <c r="H41" s="348"/>
      <c r="I41" s="406" t="s">
        <v>156</v>
      </c>
      <c r="J41" s="327"/>
      <c r="K41" s="407"/>
      <c r="L41" s="408"/>
      <c r="M41" s="408"/>
      <c r="N41" s="409">
        <v>98</v>
      </c>
      <c r="O41" s="11"/>
      <c r="P41" s="31"/>
      <c r="R41" s="277">
        <f t="shared" si="9"/>
        <v>0</v>
      </c>
      <c r="S41" s="474" t="e">
        <f t="shared" si="10"/>
        <v>#N/A</v>
      </c>
      <c r="T41" s="474" t="e">
        <f t="shared" si="11"/>
        <v>#N/A</v>
      </c>
      <c r="U41" s="297" t="e">
        <f t="shared" si="12"/>
        <v>#N/A</v>
      </c>
      <c r="V41" s="297" t="e">
        <f t="shared" si="13"/>
        <v>#N/A</v>
      </c>
      <c r="W41" s="297" t="e">
        <f t="shared" si="14"/>
        <v>#N/A</v>
      </c>
      <c r="X41" s="297" t="e">
        <f t="shared" si="15"/>
        <v>#N/A</v>
      </c>
      <c r="Y41" s="297" t="e">
        <f t="shared" si="16"/>
        <v>#N/A</v>
      </c>
      <c r="Z41" s="474" t="e">
        <f t="shared" si="17"/>
        <v>#N/A</v>
      </c>
      <c r="AA41" s="474"/>
    </row>
    <row r="42" spans="1:27" ht="15" customHeight="1" thickBot="1">
      <c r="A42" s="28"/>
      <c r="B42" s="544"/>
      <c r="C42" s="349"/>
      <c r="D42" s="546"/>
      <c r="E42" s="547"/>
      <c r="F42" s="294"/>
      <c r="G42" s="294"/>
      <c r="H42" s="348"/>
      <c r="I42" s="1"/>
      <c r="J42" s="39"/>
      <c r="K42" s="404">
        <f>SUM(K32:K41)</f>
        <v>150</v>
      </c>
      <c r="L42" s="405">
        <f>((L32*K32)+(L33*K33)+(L34*K34)+(L35*K35)+(L36*K36)+(K39*L39)+(L37*K37)+(L38*K38)+(L41*K41))/(K42)</f>
        <v>97.828041735841467</v>
      </c>
      <c r="M42" s="405">
        <f>L42</f>
        <v>97.828041735841467</v>
      </c>
      <c r="N42" s="40">
        <v>98</v>
      </c>
      <c r="O42" s="11"/>
      <c r="P42" s="31"/>
      <c r="R42" s="277">
        <f t="shared" si="9"/>
        <v>0</v>
      </c>
      <c r="S42" s="474" t="e">
        <f t="shared" si="10"/>
        <v>#N/A</v>
      </c>
      <c r="T42" s="474" t="e">
        <f t="shared" si="11"/>
        <v>#N/A</v>
      </c>
      <c r="U42" s="297" t="e">
        <f t="shared" si="12"/>
        <v>#N/A</v>
      </c>
      <c r="V42" s="297" t="e">
        <f t="shared" si="13"/>
        <v>#N/A</v>
      </c>
      <c r="W42" s="297" t="e">
        <f t="shared" si="14"/>
        <v>#N/A</v>
      </c>
      <c r="X42" s="297" t="e">
        <f t="shared" si="15"/>
        <v>#N/A</v>
      </c>
      <c r="Y42" s="297" t="e">
        <f t="shared" si="16"/>
        <v>#N/A</v>
      </c>
      <c r="Z42" s="474" t="e">
        <f t="shared" si="17"/>
        <v>#N/A</v>
      </c>
      <c r="AA42" s="474"/>
    </row>
    <row r="43" spans="1:27" ht="15.75" thickBot="1">
      <c r="B43" s="545"/>
      <c r="C43" s="350"/>
      <c r="D43" s="548"/>
      <c r="E43" s="532"/>
      <c r="F43" s="294"/>
      <c r="G43" s="42"/>
      <c r="H43" s="41"/>
      <c r="I43" s="42"/>
      <c r="J43" s="42"/>
      <c r="K43" s="351"/>
      <c r="L43" s="348"/>
      <c r="M43" s="348"/>
      <c r="N43" s="11"/>
      <c r="O43" s="294"/>
      <c r="P43" s="12"/>
      <c r="R43" s="277">
        <f t="shared" si="9"/>
        <v>0</v>
      </c>
      <c r="S43" s="474" t="e">
        <f t="shared" si="10"/>
        <v>#N/A</v>
      </c>
      <c r="T43" s="474" t="e">
        <f t="shared" si="11"/>
        <v>#N/A</v>
      </c>
      <c r="U43" s="297" t="e">
        <f t="shared" si="12"/>
        <v>#N/A</v>
      </c>
      <c r="V43" s="297" t="e">
        <f t="shared" si="13"/>
        <v>#N/A</v>
      </c>
      <c r="W43" s="297" t="e">
        <f t="shared" si="14"/>
        <v>#N/A</v>
      </c>
      <c r="X43" s="297" t="e">
        <f t="shared" si="15"/>
        <v>#N/A</v>
      </c>
      <c r="Y43" s="297" t="e">
        <f t="shared" si="16"/>
        <v>#N/A</v>
      </c>
      <c r="Z43" s="474" t="e">
        <f t="shared" si="17"/>
        <v>#N/A</v>
      </c>
      <c r="AA43" s="474"/>
    </row>
    <row r="44" spans="1:27" ht="15.75" thickBot="1">
      <c r="B44" s="526"/>
      <c r="C44" s="362"/>
      <c r="D44" s="529"/>
      <c r="E44" s="530"/>
      <c r="F44" s="294"/>
      <c r="G44" s="42"/>
      <c r="H44" s="41"/>
      <c r="I44" s="42"/>
      <c r="J44" s="533" t="s">
        <v>129</v>
      </c>
      <c r="K44" s="533"/>
      <c r="L44" s="294"/>
      <c r="M44" s="294"/>
      <c r="N44" s="294"/>
      <c r="O44" s="294"/>
      <c r="P44" s="12"/>
    </row>
    <row r="45" spans="1:27" ht="15.75" thickBot="1">
      <c r="B45" s="527"/>
      <c r="C45" s="362"/>
      <c r="D45" s="531"/>
      <c r="E45" s="532"/>
      <c r="F45" s="294"/>
      <c r="G45" s="42"/>
      <c r="H45" s="42"/>
      <c r="I45" s="292" t="s">
        <v>17</v>
      </c>
      <c r="J45" s="293" t="s">
        <v>147</v>
      </c>
      <c r="K45" s="293" t="s">
        <v>216</v>
      </c>
      <c r="L45" s="534" t="s">
        <v>136</v>
      </c>
      <c r="M45" s="534"/>
      <c r="N45" s="535"/>
      <c r="O45" s="294"/>
      <c r="P45" s="12"/>
    </row>
    <row r="46" spans="1:27" ht="15" customHeight="1" thickBot="1">
      <c r="B46" s="527"/>
      <c r="C46" s="349"/>
      <c r="D46" s="536"/>
      <c r="E46" s="537"/>
      <c r="F46" s="294"/>
      <c r="G46" s="42"/>
      <c r="H46" s="42"/>
      <c r="I46" s="287" t="s">
        <v>6</v>
      </c>
      <c r="J46" s="324">
        <v>6</v>
      </c>
      <c r="K46" s="324">
        <v>9</v>
      </c>
      <c r="L46" s="475" t="s">
        <v>37</v>
      </c>
      <c r="M46" s="476" t="s">
        <v>38</v>
      </c>
      <c r="N46" s="476" t="s">
        <v>84</v>
      </c>
      <c r="O46" s="294"/>
      <c r="P46" s="12"/>
    </row>
    <row r="47" spans="1:27" ht="15.75" customHeight="1" thickBot="1">
      <c r="B47" s="527"/>
      <c r="C47" s="349"/>
      <c r="D47" s="531"/>
      <c r="E47" s="532"/>
      <c r="F47" s="294"/>
      <c r="G47" s="42"/>
      <c r="H47" s="42"/>
      <c r="I47" s="345" t="s">
        <v>9</v>
      </c>
      <c r="J47" s="324"/>
      <c r="K47" s="324"/>
      <c r="L47" s="344">
        <f>AVERAGE('Jan 2nd'!K45,'Jan 5th'!K45,'Jan 6th'!K49,'Jan 7th'!K49,'Jan 8th '!K44,'Jan 9th-10th'!J58,'Jan 9th-10th'!K58,'Jan12th '!K50,Jan13th!K45,Jan14th!K53,Jan15th!K50,K56,'Jan16-18th'!I53,'Jan16-18th'!J53,'Jan16-18th'!K53,'Jan19th '!K55,Jan20th!K47,Jan21st!K50,Jan22nd!K48,Jan23rd!K50,Jan26th!K49,Jan27th!K52,Jan28th!K51)</f>
        <v>6.0869565217391308</v>
      </c>
      <c r="M47" s="325">
        <f>AVERAGE(L47)</f>
        <v>6.0869565217391308</v>
      </c>
      <c r="N47" s="416">
        <v>9.1999999999999993</v>
      </c>
      <c r="O47" s="294"/>
      <c r="P47" s="12"/>
    </row>
    <row r="48" spans="1:27" ht="15" customHeight="1">
      <c r="B48" s="527"/>
      <c r="C48" s="349"/>
      <c r="D48" s="536"/>
      <c r="E48" s="537"/>
      <c r="F48" s="294"/>
      <c r="G48" s="42"/>
      <c r="H48" s="42"/>
      <c r="I48" s="288" t="s">
        <v>40</v>
      </c>
      <c r="J48" s="324"/>
      <c r="K48" s="324"/>
      <c r="L48" s="294"/>
      <c r="M48" s="294"/>
      <c r="N48" s="294"/>
      <c r="O48" s="294"/>
      <c r="P48" s="12"/>
    </row>
    <row r="49" spans="1:57" ht="15" customHeight="1">
      <c r="B49" s="527"/>
      <c r="C49" s="349"/>
      <c r="D49" s="531"/>
      <c r="E49" s="532"/>
      <c r="F49" s="294"/>
      <c r="G49" s="42"/>
      <c r="H49" s="42"/>
      <c r="I49" s="289" t="s">
        <v>33</v>
      </c>
      <c r="J49" s="324"/>
      <c r="K49" s="324"/>
      <c r="L49" s="294"/>
      <c r="M49" s="294"/>
      <c r="N49" s="294"/>
      <c r="O49" s="294"/>
      <c r="P49" s="12"/>
    </row>
    <row r="50" spans="1:57" ht="15">
      <c r="B50" s="527"/>
      <c r="C50" s="349"/>
      <c r="D50" s="536"/>
      <c r="E50" s="537"/>
      <c r="F50" s="294"/>
      <c r="G50" s="42"/>
      <c r="H50" s="42"/>
      <c r="I50" s="290" t="s">
        <v>16</v>
      </c>
      <c r="J50" s="324"/>
      <c r="K50" s="324"/>
      <c r="L50" s="294"/>
      <c r="M50" s="294"/>
      <c r="N50" s="294"/>
      <c r="O50" s="294"/>
      <c r="P50" s="12"/>
      <c r="BC50" s="44"/>
      <c r="BD50" s="44"/>
    </row>
    <row r="51" spans="1:57" ht="15">
      <c r="B51" s="527"/>
      <c r="C51" s="349"/>
      <c r="D51" s="531"/>
      <c r="E51" s="532"/>
      <c r="F51" s="294"/>
      <c r="G51" s="42"/>
      <c r="H51" s="42"/>
      <c r="I51" s="291" t="s">
        <v>15</v>
      </c>
      <c r="J51" s="324"/>
      <c r="K51" s="324"/>
      <c r="L51" s="294"/>
      <c r="M51" s="294"/>
      <c r="N51" s="294"/>
      <c r="O51" s="294"/>
      <c r="P51" s="12"/>
      <c r="BC51" s="44"/>
      <c r="BD51" s="44"/>
    </row>
    <row r="52" spans="1:57" ht="15">
      <c r="B52" s="527"/>
      <c r="C52" s="349"/>
      <c r="D52" s="536"/>
      <c r="E52" s="537"/>
      <c r="F52" s="294"/>
      <c r="G52" s="42"/>
      <c r="H52" s="42"/>
      <c r="I52" s="291" t="s">
        <v>149</v>
      </c>
      <c r="J52" s="324"/>
      <c r="K52" s="324"/>
      <c r="L52" s="294"/>
      <c r="M52" s="294"/>
      <c r="N52" s="294"/>
      <c r="O52" s="294"/>
      <c r="P52" s="12"/>
      <c r="BC52" s="44"/>
      <c r="BD52" s="44"/>
    </row>
    <row r="53" spans="1:57" ht="15.75" thickBot="1">
      <c r="B53" s="528"/>
      <c r="C53" s="350"/>
      <c r="D53" s="538"/>
      <c r="E53" s="539"/>
      <c r="F53" s="294" t="s">
        <v>166</v>
      </c>
      <c r="G53" s="42"/>
      <c r="H53" s="42"/>
      <c r="I53" s="291" t="s">
        <v>148</v>
      </c>
      <c r="J53" s="324"/>
      <c r="K53" s="324"/>
      <c r="L53" s="294"/>
      <c r="M53" s="294"/>
      <c r="N53" s="294" t="s">
        <v>41</v>
      </c>
      <c r="O53" s="294"/>
      <c r="P53" s="12"/>
      <c r="BC53" s="44"/>
      <c r="BD53" s="44"/>
    </row>
    <row r="54" spans="1:57" ht="17.649999999999999" customHeight="1" thickBot="1">
      <c r="B54" s="312" t="s">
        <v>139</v>
      </c>
      <c r="C54" s="313"/>
      <c r="D54" s="519"/>
      <c r="E54" s="520"/>
      <c r="F54" s="294"/>
      <c r="I54" s="295" t="s">
        <v>134</v>
      </c>
      <c r="J54" s="324"/>
      <c r="K54" s="324"/>
      <c r="L54" s="294"/>
      <c r="M54" s="294"/>
      <c r="N54" s="294"/>
      <c r="O54" s="294"/>
      <c r="P54" s="12"/>
      <c r="BC54" s="44"/>
      <c r="BD54" s="44"/>
    </row>
    <row r="55" spans="1:57" ht="17.649999999999999" customHeight="1">
      <c r="B55" s="363"/>
      <c r="C55" s="364"/>
      <c r="D55" s="365"/>
      <c r="E55" s="365"/>
      <c r="F55" s="294"/>
      <c r="G55" s="42"/>
      <c r="H55" s="42"/>
      <c r="I55" s="295" t="s">
        <v>131</v>
      </c>
      <c r="J55" s="324"/>
      <c r="K55" s="324"/>
      <c r="L55" s="294"/>
      <c r="M55" s="294"/>
      <c r="N55" s="294"/>
      <c r="O55" s="294"/>
      <c r="P55" s="12"/>
      <c r="BC55" s="44"/>
      <c r="BD55" s="44"/>
    </row>
    <row r="56" spans="1:57" ht="15.6" customHeight="1">
      <c r="B56" s="45"/>
      <c r="C56" s="11"/>
      <c r="D56" s="11"/>
      <c r="E56" s="46"/>
      <c r="F56" s="294"/>
      <c r="G56" s="42"/>
      <c r="H56" s="42"/>
      <c r="I56" s="346" t="s">
        <v>130</v>
      </c>
      <c r="J56" s="324">
        <f>SUM(J46:J55)</f>
        <v>6</v>
      </c>
      <c r="K56" s="324">
        <f>SUM(K46:K55)</f>
        <v>9</v>
      </c>
      <c r="L56" s="294"/>
      <c r="M56" s="294"/>
      <c r="N56" s="294"/>
      <c r="O56" s="294"/>
      <c r="P56" s="12"/>
    </row>
    <row r="57" spans="1:57" ht="20.25" customHeight="1">
      <c r="B57" s="15" t="s">
        <v>42</v>
      </c>
      <c r="C57" s="1" t="s">
        <v>43</v>
      </c>
      <c r="D57" s="1"/>
      <c r="E57" s="1"/>
      <c r="F57" s="294"/>
      <c r="G57" s="42"/>
      <c r="H57" s="41"/>
      <c r="L57" s="294"/>
      <c r="N57" s="315"/>
      <c r="P57" s="334"/>
    </row>
    <row r="58" spans="1:57" ht="15" customHeight="1" thickBot="1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1"/>
      <c r="O58" s="48"/>
      <c r="P58" s="49"/>
    </row>
    <row r="59" spans="1:57" ht="15" customHeight="1" thickBot="1">
      <c r="B59" s="511" t="s">
        <v>17</v>
      </c>
      <c r="C59" s="511" t="s">
        <v>44</v>
      </c>
      <c r="D59" s="522" t="s">
        <v>45</v>
      </c>
      <c r="E59" s="524" t="s">
        <v>46</v>
      </c>
      <c r="F59" s="517" t="s">
        <v>47</v>
      </c>
      <c r="G59" s="509" t="s">
        <v>48</v>
      </c>
      <c r="H59" s="511" t="s">
        <v>49</v>
      </c>
      <c r="I59" s="511" t="s">
        <v>50</v>
      </c>
      <c r="J59" s="503" t="s">
        <v>28</v>
      </c>
      <c r="K59" s="513" t="s">
        <v>51</v>
      </c>
      <c r="L59" s="515" t="s">
        <v>52</v>
      </c>
      <c r="M59" s="503" t="s">
        <v>53</v>
      </c>
      <c r="N59" s="13"/>
      <c r="O59" s="13"/>
      <c r="P59" s="50"/>
    </row>
    <row r="60" spans="1:57" ht="28.5" customHeight="1" thickTop="1" thickBot="1">
      <c r="B60" s="512"/>
      <c r="C60" s="521"/>
      <c r="D60" s="523"/>
      <c r="E60" s="525"/>
      <c r="F60" s="518"/>
      <c r="G60" s="510"/>
      <c r="H60" s="512"/>
      <c r="I60" s="512"/>
      <c r="J60" s="504"/>
      <c r="K60" s="514"/>
      <c r="L60" s="516"/>
      <c r="M60" s="504"/>
      <c r="N60" s="13"/>
      <c r="O60" s="13"/>
      <c r="P60" s="50"/>
      <c r="Q60" s="355"/>
      <c r="AB60" s="477">
        <v>43474</v>
      </c>
      <c r="AC60" s="477">
        <v>43475</v>
      </c>
      <c r="AD60" s="477">
        <v>43476</v>
      </c>
      <c r="AE60" s="477">
        <v>43477</v>
      </c>
      <c r="AF60" s="477">
        <v>43478</v>
      </c>
      <c r="AG60" s="477">
        <v>43479</v>
      </c>
      <c r="AH60" s="477">
        <v>43480</v>
      </c>
      <c r="AI60" s="477">
        <v>43481</v>
      </c>
      <c r="AJ60" s="477">
        <v>43482</v>
      </c>
      <c r="AK60" s="477">
        <v>43483</v>
      </c>
      <c r="AL60" s="477">
        <v>43484</v>
      </c>
      <c r="AM60" s="477">
        <v>43485</v>
      </c>
      <c r="AN60" s="477">
        <v>43486</v>
      </c>
      <c r="AO60" s="477">
        <v>43487</v>
      </c>
      <c r="AP60" s="477">
        <v>43488</v>
      </c>
      <c r="AQ60" s="477">
        <v>43489</v>
      </c>
      <c r="AR60" s="477">
        <v>43490</v>
      </c>
      <c r="AS60" s="477">
        <v>43491</v>
      </c>
      <c r="AT60" s="477">
        <v>43492</v>
      </c>
      <c r="AU60" s="477">
        <v>43493</v>
      </c>
      <c r="AV60" s="477">
        <v>43494</v>
      </c>
      <c r="AW60" s="477">
        <v>43495</v>
      </c>
      <c r="AX60" s="477">
        <v>43496</v>
      </c>
    </row>
    <row r="61" spans="1:57" s="54" customFormat="1" ht="37.15" customHeight="1" thickBot="1">
      <c r="B61" s="497" t="str">
        <f>I47</f>
        <v>STAG</v>
      </c>
      <c r="C61" s="495">
        <v>46052</v>
      </c>
      <c r="D61" s="442">
        <f>[28]January_2026!$AG$13</f>
        <v>500.93</v>
      </c>
      <c r="E61" s="443"/>
      <c r="F61" s="444"/>
      <c r="G61" s="445" t="e">
        <f>[28]January_2026!$AG$17</f>
        <v>#REF!</v>
      </c>
      <c r="H61" s="446"/>
      <c r="I61" s="447"/>
      <c r="J61" s="448" t="s">
        <v>217</v>
      </c>
      <c r="K61" s="449" t="e">
        <f>[29]January_2026!$AG$25</f>
        <v>#REF!</v>
      </c>
      <c r="L61" s="478" t="e">
        <f>(((D61+E61)-G61)/(D61+E61))*100</f>
        <v>#REF!</v>
      </c>
      <c r="M61" s="455" t="s">
        <v>181</v>
      </c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277"/>
      <c r="AY61" s="277"/>
      <c r="AZ61" s="277"/>
      <c r="BA61" s="277"/>
      <c r="BB61" s="277"/>
      <c r="BC61" s="277"/>
      <c r="BD61" s="277"/>
      <c r="BE61" s="277"/>
    </row>
    <row r="62" spans="1:57" s="54" customFormat="1" ht="14.25" customHeight="1" thickBot="1">
      <c r="B62" s="496"/>
      <c r="C62" s="495"/>
      <c r="D62" s="442"/>
      <c r="E62" s="443"/>
      <c r="F62" s="444"/>
      <c r="G62" s="445"/>
      <c r="H62" s="446"/>
      <c r="I62" s="447"/>
      <c r="J62" s="478"/>
      <c r="K62" s="449"/>
      <c r="L62" s="457"/>
      <c r="M62" s="455"/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277"/>
      <c r="AY62" s="277"/>
      <c r="AZ62" s="277"/>
      <c r="BA62" s="277"/>
      <c r="BB62" s="277"/>
      <c r="BC62" s="277"/>
      <c r="BD62" s="277"/>
      <c r="BE62" s="277"/>
    </row>
    <row r="63" spans="1:57" s="54" customFormat="1" ht="37.15" hidden="1" customHeight="1" thickBot="1">
      <c r="A63" s="54" t="s">
        <v>187</v>
      </c>
      <c r="B63" s="496"/>
      <c r="C63" s="495"/>
      <c r="D63" s="442"/>
      <c r="E63" s="443"/>
      <c r="F63" s="444"/>
      <c r="G63" s="445"/>
      <c r="H63" s="446"/>
      <c r="I63" s="447"/>
      <c r="J63" s="448" t="s">
        <v>180</v>
      </c>
      <c r="K63" s="449"/>
      <c r="L63" s="457"/>
      <c r="M63" s="455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57">
        <f>[9]January_2019!L7</f>
        <v>285.8</v>
      </c>
      <c r="AC63" s="57">
        <f>[9]January_2019!M7</f>
        <v>508.1</v>
      </c>
      <c r="AD63" s="57">
        <f>[9]January_2019!N7</f>
        <v>0</v>
      </c>
      <c r="AE63" s="57">
        <f>[9]January_2019!O7</f>
        <v>0</v>
      </c>
      <c r="AF63" s="57">
        <f>[9]January_2019!P7</f>
        <v>109.56666666666666</v>
      </c>
      <c r="AG63" s="57">
        <f>[9]January_2019!Q7</f>
        <v>297.64999999999998</v>
      </c>
      <c r="AH63" s="57">
        <f>[9]January_2019!R7</f>
        <v>122.3</v>
      </c>
      <c r="AI63" s="57">
        <f>[9]January_2019!S7</f>
        <v>0</v>
      </c>
      <c r="AJ63" s="57">
        <f>[9]January_2019!T7</f>
        <v>294.7</v>
      </c>
      <c r="AK63" s="57">
        <f>[9]January_2019!U7</f>
        <v>280.5</v>
      </c>
      <c r="AL63" s="57">
        <f>[9]January_2019!V7</f>
        <v>0</v>
      </c>
      <c r="AM63" s="57">
        <f>[9]January_2019!W7</f>
        <v>0</v>
      </c>
      <c r="AN63" s="57">
        <f>[9]January_2019!X7</f>
        <v>188.25</v>
      </c>
      <c r="AO63" s="57">
        <f>[9]January_2019!Y7</f>
        <v>295.7</v>
      </c>
      <c r="AP63" s="57">
        <f>[9]January_2019!Z7</f>
        <v>257.8</v>
      </c>
      <c r="AQ63" s="57">
        <f>[9]January_2019!AA7</f>
        <v>291.2</v>
      </c>
      <c r="AR63" s="57">
        <f>[9]January_2019!AB7</f>
        <v>187</v>
      </c>
      <c r="AS63" s="57">
        <f>[9]January_2019!AC7</f>
        <v>0</v>
      </c>
      <c r="AT63" s="57">
        <f>[9]January_2019!AD7</f>
        <v>0</v>
      </c>
      <c r="AU63" s="57">
        <f>[9]January_2019!AE7</f>
        <v>485.1</v>
      </c>
      <c r="AV63" s="57">
        <f>[9]January_2019!AF7</f>
        <v>171.55</v>
      </c>
      <c r="AW63" s="57">
        <f>[9]January_2019!AG7</f>
        <v>423.8</v>
      </c>
      <c r="AX63" s="277">
        <f>[9]January_2019!AH7</f>
        <v>0</v>
      </c>
      <c r="AY63" s="277"/>
      <c r="AZ63" s="277"/>
      <c r="BA63" s="277"/>
      <c r="BB63" s="277"/>
      <c r="BC63" s="277"/>
      <c r="BD63" s="277"/>
      <c r="BE63" s="277"/>
    </row>
    <row r="64" spans="1:57" s="54" customFormat="1" ht="19.5" hidden="1" customHeight="1" thickBot="1">
      <c r="B64" s="494"/>
      <c r="C64" s="430"/>
      <c r="D64" s="431"/>
      <c r="E64" s="432"/>
      <c r="F64" s="433"/>
      <c r="G64" s="434"/>
      <c r="H64" s="428"/>
      <c r="I64" s="428"/>
      <c r="J64" s="451"/>
      <c r="K64" s="436"/>
      <c r="L64" s="452"/>
      <c r="M64" s="421"/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277"/>
      <c r="AY64" s="277"/>
      <c r="AZ64" s="277"/>
      <c r="BA64" s="277"/>
      <c r="BB64" s="277"/>
      <c r="BC64" s="277"/>
      <c r="BD64" s="277"/>
      <c r="BE64" s="277"/>
    </row>
    <row r="65" spans="2:57" s="54" customFormat="1" ht="38.450000000000003" hidden="1" customHeight="1" thickBot="1">
      <c r="B65" s="497"/>
      <c r="C65" s="495"/>
      <c r="D65" s="442"/>
      <c r="E65" s="443"/>
      <c r="F65" s="444"/>
      <c r="G65" s="445"/>
      <c r="H65" s="458"/>
      <c r="I65" s="458"/>
      <c r="J65" s="448"/>
      <c r="K65" s="460"/>
      <c r="L65" s="457"/>
      <c r="M65" s="455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277"/>
      <c r="AY65" s="277"/>
      <c r="AZ65" s="277"/>
      <c r="BA65" s="277"/>
      <c r="BB65" s="277"/>
      <c r="BC65" s="277"/>
      <c r="BD65" s="277"/>
      <c r="BE65" s="277"/>
    </row>
    <row r="66" spans="2:57" s="54" customFormat="1" ht="15" hidden="1">
      <c r="B66" s="453"/>
      <c r="C66" s="430"/>
      <c r="D66" s="431"/>
      <c r="E66" s="432"/>
      <c r="F66" s="433"/>
      <c r="G66" s="434"/>
      <c r="H66" s="435"/>
      <c r="I66" s="450"/>
      <c r="J66" s="451"/>
      <c r="K66" s="436"/>
      <c r="L66" s="452"/>
      <c r="M66" s="421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T66" s="57"/>
      <c r="AU66" s="57"/>
      <c r="AV66" s="57"/>
      <c r="AW66" s="57"/>
      <c r="AX66" s="277"/>
      <c r="AY66" s="277"/>
      <c r="AZ66" s="277"/>
      <c r="BA66" s="277"/>
      <c r="BB66" s="277"/>
      <c r="BC66" s="277"/>
      <c r="BD66" s="277"/>
      <c r="BE66" s="277"/>
    </row>
    <row r="67" spans="2:57" s="54" customFormat="1" ht="37.15" hidden="1" customHeight="1" thickBot="1">
      <c r="B67" s="496"/>
      <c r="C67" s="495"/>
      <c r="D67" s="442"/>
      <c r="E67" s="443"/>
      <c r="F67" s="444"/>
      <c r="G67" s="445"/>
      <c r="H67" s="446"/>
      <c r="I67" s="447"/>
      <c r="J67" s="448"/>
      <c r="K67" s="449"/>
      <c r="L67" s="457"/>
      <c r="M67" s="455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  <c r="AS67" s="57"/>
      <c r="AT67" s="57"/>
      <c r="AU67" s="57"/>
      <c r="AV67" s="57"/>
      <c r="AW67" s="57"/>
      <c r="AX67" s="277"/>
      <c r="AY67" s="277"/>
      <c r="AZ67" s="277"/>
      <c r="BA67" s="277"/>
      <c r="BB67" s="277"/>
      <c r="BC67" s="277"/>
      <c r="BD67" s="277"/>
      <c r="BE67" s="277"/>
    </row>
    <row r="68" spans="2:57" s="54" customFormat="1" ht="16.5" hidden="1" customHeight="1" thickBot="1">
      <c r="B68" s="437"/>
      <c r="C68" s="423"/>
      <c r="D68" s="424"/>
      <c r="E68" s="425"/>
      <c r="F68" s="426"/>
      <c r="G68" s="427"/>
      <c r="H68" s="428"/>
      <c r="I68" s="438"/>
      <c r="J68" s="439"/>
      <c r="K68" s="429"/>
      <c r="L68" s="440"/>
      <c r="M68" s="422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5"/>
      <c r="AC68" s="415"/>
      <c r="AD68" s="415"/>
      <c r="AE68" s="415"/>
      <c r="AF68" s="415"/>
      <c r="AG68" s="415"/>
      <c r="AH68" s="415"/>
      <c r="AI68" s="415"/>
      <c r="AJ68" s="415"/>
      <c r="AK68" s="415"/>
      <c r="AL68" s="415"/>
      <c r="AM68" s="415"/>
      <c r="AN68" s="415"/>
      <c r="AO68" s="415"/>
      <c r="AP68" s="415"/>
      <c r="AQ68" s="415"/>
      <c r="AR68" s="415"/>
      <c r="AS68" s="415"/>
      <c r="AT68" s="415"/>
      <c r="AU68" s="415"/>
      <c r="AV68" s="415"/>
      <c r="AW68" s="415"/>
    </row>
    <row r="69" spans="2:57" s="54" customFormat="1" ht="37.15" hidden="1" customHeight="1" thickBot="1">
      <c r="B69" s="456"/>
      <c r="C69" s="441"/>
      <c r="D69" s="442"/>
      <c r="E69" s="443"/>
      <c r="F69" s="444"/>
      <c r="G69" s="445"/>
      <c r="H69" s="446"/>
      <c r="I69" s="447"/>
      <c r="J69" s="448"/>
      <c r="K69" s="449"/>
      <c r="L69" s="457"/>
      <c r="M69" s="454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277"/>
      <c r="AY69" s="277"/>
      <c r="AZ69" s="277"/>
      <c r="BA69" s="277"/>
      <c r="BB69" s="277"/>
      <c r="BC69" s="277"/>
      <c r="BD69" s="277"/>
      <c r="BE69" s="277"/>
    </row>
    <row r="70" spans="2:57" s="54" customFormat="1" ht="37.15" customHeight="1">
      <c r="B70" s="467"/>
      <c r="C70" s="430"/>
      <c r="D70" s="461"/>
      <c r="E70" s="462"/>
      <c r="F70" s="463"/>
      <c r="G70" s="461"/>
      <c r="H70" s="464"/>
      <c r="I70" s="464"/>
      <c r="J70" s="464"/>
      <c r="K70" s="465"/>
      <c r="L70" s="466"/>
      <c r="M70" s="50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277"/>
      <c r="AY70" s="277"/>
      <c r="AZ70" s="277"/>
      <c r="BA70" s="277"/>
      <c r="BB70" s="277"/>
      <c r="BC70" s="277"/>
      <c r="BD70" s="277"/>
      <c r="BE70" s="277"/>
    </row>
    <row r="71" spans="2:57" ht="18" customHeight="1" thickBot="1">
      <c r="B71" s="59"/>
      <c r="C71" s="30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 t="s">
        <v>41</v>
      </c>
      <c r="O71" s="56"/>
      <c r="P71" s="60"/>
    </row>
    <row r="72" spans="2:57" ht="15.75" thickBot="1">
      <c r="B72" s="505" t="s">
        <v>55</v>
      </c>
      <c r="C72" s="506"/>
      <c r="D72" s="506"/>
      <c r="E72" s="506"/>
      <c r="F72" s="507"/>
      <c r="G72" s="505" t="s">
        <v>56</v>
      </c>
      <c r="H72" s="506"/>
      <c r="I72" s="506"/>
      <c r="J72" s="507"/>
      <c r="K72" s="505" t="s">
        <v>51</v>
      </c>
      <c r="L72" s="506"/>
      <c r="M72" s="506"/>
      <c r="N72" s="508"/>
      <c r="O72" s="56"/>
      <c r="P72" s="50"/>
    </row>
    <row r="73" spans="2:57" ht="15">
      <c r="B73" s="61" t="s">
        <v>17</v>
      </c>
      <c r="C73" s="62" t="s">
        <v>36</v>
      </c>
      <c r="D73" s="62" t="s">
        <v>37</v>
      </c>
      <c r="E73" s="62" t="s">
        <v>38</v>
      </c>
      <c r="F73" s="63" t="s">
        <v>39</v>
      </c>
      <c r="G73" s="62" t="s">
        <v>36</v>
      </c>
      <c r="H73" s="62" t="s">
        <v>37</v>
      </c>
      <c r="I73" s="62" t="s">
        <v>38</v>
      </c>
      <c r="J73" s="63" t="s">
        <v>39</v>
      </c>
      <c r="K73" s="62" t="s">
        <v>36</v>
      </c>
      <c r="L73" s="62" t="s">
        <v>37</v>
      </c>
      <c r="M73" s="62" t="s">
        <v>38</v>
      </c>
      <c r="N73" s="63" t="s">
        <v>39</v>
      </c>
      <c r="O73" s="56"/>
      <c r="P73" s="64"/>
    </row>
    <row r="74" spans="2:57" ht="15">
      <c r="B74" s="29" t="s">
        <v>6</v>
      </c>
      <c r="C74" s="282"/>
      <c r="D74" s="76">
        <v>8.9604969886660122</v>
      </c>
      <c r="E74" s="76">
        <v>8.9604969886660122</v>
      </c>
      <c r="F74" s="66">
        <v>4.8</v>
      </c>
      <c r="G74" s="65"/>
      <c r="H74" s="480">
        <v>8.9007122559093954</v>
      </c>
      <c r="I74" s="480">
        <v>8.9007122559093954</v>
      </c>
      <c r="J74" s="66">
        <v>4.8</v>
      </c>
      <c r="K74" s="67"/>
      <c r="L74" s="194">
        <v>0.41029399255715049</v>
      </c>
      <c r="M74" s="194">
        <v>0.41029399255715049</v>
      </c>
      <c r="N74" s="68">
        <v>1</v>
      </c>
      <c r="O74" s="56"/>
      <c r="P74" s="69"/>
    </row>
    <row r="75" spans="2:57" ht="15">
      <c r="B75" s="33" t="s">
        <v>9</v>
      </c>
      <c r="C75" s="65" t="e">
        <f>L61</f>
        <v>#REF!</v>
      </c>
      <c r="D75" s="76">
        <v>6.0460527097870944</v>
      </c>
      <c r="E75" s="76">
        <v>6.0460527097870944</v>
      </c>
      <c r="F75" s="66">
        <v>4.8</v>
      </c>
      <c r="G75" s="65">
        <f>[28]January_2026!$AG$11</f>
        <v>0</v>
      </c>
      <c r="H75" s="76">
        <v>6.6612521752018941</v>
      </c>
      <c r="I75" s="76">
        <v>6.6612521752018941</v>
      </c>
      <c r="J75" s="66">
        <v>4.8</v>
      </c>
      <c r="K75" s="67" t="e">
        <f>K61</f>
        <v>#REF!</v>
      </c>
      <c r="L75" s="194">
        <v>0.60344005847953208</v>
      </c>
      <c r="M75" s="194">
        <v>0.60344005847953208</v>
      </c>
      <c r="N75" s="68">
        <v>1</v>
      </c>
      <c r="P75" s="69"/>
    </row>
    <row r="76" spans="2:57" ht="15">
      <c r="B76" s="34" t="s">
        <v>40</v>
      </c>
      <c r="C76" s="65"/>
      <c r="D76" s="76">
        <v>10.608139003200726</v>
      </c>
      <c r="E76" s="76">
        <v>10.608139003200726</v>
      </c>
      <c r="F76" s="66">
        <v>5.5</v>
      </c>
      <c r="G76" s="65"/>
      <c r="H76" s="76">
        <v>11.382808901098844</v>
      </c>
      <c r="I76" s="76">
        <v>11.382808901098844</v>
      </c>
      <c r="J76" s="66">
        <v>5.5</v>
      </c>
      <c r="K76" s="67"/>
      <c r="L76" s="194">
        <v>0.68596491228070178</v>
      </c>
      <c r="M76" s="194">
        <v>0.68596491228070178</v>
      </c>
      <c r="N76" s="68">
        <v>1</v>
      </c>
      <c r="P76" s="69"/>
    </row>
    <row r="77" spans="2:57" ht="15">
      <c r="B77" s="22" t="s">
        <v>33</v>
      </c>
      <c r="C77" s="65"/>
      <c r="D77" s="76">
        <v>5.0755456997699637</v>
      </c>
      <c r="E77" s="76">
        <v>5.0755456997699637</v>
      </c>
      <c r="F77" s="66">
        <v>3.3</v>
      </c>
      <c r="G77" s="65"/>
      <c r="H77" s="76">
        <v>4.6359882890480018</v>
      </c>
      <c r="I77" s="76">
        <v>4.6359882890480018</v>
      </c>
      <c r="J77" s="66">
        <v>3.3</v>
      </c>
      <c r="K77" s="67"/>
      <c r="L77" s="194">
        <v>0.66833333333333345</v>
      </c>
      <c r="M77" s="194">
        <v>0.66833333333333345</v>
      </c>
      <c r="N77" s="68">
        <v>1</v>
      </c>
      <c r="P77" s="69"/>
    </row>
    <row r="78" spans="2:57" ht="15">
      <c r="B78" s="35" t="s">
        <v>164</v>
      </c>
      <c r="C78" s="65"/>
      <c r="D78" s="76"/>
      <c r="E78" s="76"/>
      <c r="F78" s="66">
        <v>3.3</v>
      </c>
      <c r="G78" s="282"/>
      <c r="H78" s="76"/>
      <c r="I78" s="76"/>
      <c r="J78" s="66">
        <v>3</v>
      </c>
      <c r="K78" s="67"/>
      <c r="L78" s="194"/>
      <c r="M78" s="194"/>
      <c r="N78" s="68">
        <v>1</v>
      </c>
      <c r="P78" s="69"/>
    </row>
    <row r="79" spans="2:57" ht="15">
      <c r="B79" s="36" t="s">
        <v>15</v>
      </c>
      <c r="C79" s="65"/>
      <c r="D79" s="76">
        <v>5.1105651105651271</v>
      </c>
      <c r="E79" s="76">
        <v>5.1105651105651271</v>
      </c>
      <c r="F79" s="70">
        <f>[10]May_2022!$M$43</f>
        <v>3.4878406700073312</v>
      </c>
      <c r="G79" s="282"/>
      <c r="H79" s="76">
        <v>7.9131369535794072</v>
      </c>
      <c r="I79" s="76">
        <v>7.9131369535794072</v>
      </c>
      <c r="J79" s="66">
        <v>5.5</v>
      </c>
      <c r="K79" s="67"/>
      <c r="L79" s="194">
        <v>1.3550877192982456</v>
      </c>
      <c r="M79" s="194">
        <v>1.3550877192982456</v>
      </c>
      <c r="N79" s="68">
        <v>1</v>
      </c>
      <c r="P79" s="69"/>
    </row>
    <row r="80" spans="2:57" ht="15">
      <c r="B80" s="37" t="s">
        <v>16</v>
      </c>
      <c r="C80" s="65"/>
      <c r="D80" s="76">
        <v>2.0590520590520631</v>
      </c>
      <c r="E80" s="76">
        <v>2.0590520590520631</v>
      </c>
      <c r="F80" s="66">
        <v>3.3</v>
      </c>
      <c r="G80" s="282"/>
      <c r="H80" s="76">
        <v>2.1755040108015784</v>
      </c>
      <c r="I80" s="76">
        <v>2.1755040108015784</v>
      </c>
      <c r="J80" s="66">
        <v>3.3</v>
      </c>
      <c r="K80" s="67"/>
      <c r="L80" s="194">
        <v>0.88456140350877199</v>
      </c>
      <c r="M80" s="194">
        <v>0.88456140350877199</v>
      </c>
      <c r="N80" s="71">
        <v>1</v>
      </c>
      <c r="P80" s="69"/>
    </row>
    <row r="81" spans="2:16" ht="15.75" thickBot="1">
      <c r="B81" s="38" t="s">
        <v>163</v>
      </c>
      <c r="C81" s="65"/>
      <c r="D81" s="76"/>
      <c r="E81" s="76"/>
      <c r="F81" s="66">
        <v>7.5</v>
      </c>
      <c r="G81" s="282"/>
      <c r="H81" s="76"/>
      <c r="I81" s="76"/>
      <c r="J81" s="66">
        <v>7.5</v>
      </c>
      <c r="K81" s="67"/>
      <c r="L81" s="194"/>
      <c r="M81" s="194"/>
      <c r="N81" s="71">
        <v>1</v>
      </c>
      <c r="P81" s="69"/>
    </row>
    <row r="82" spans="2:16" ht="15.75" thickBot="1">
      <c r="B82" s="414" t="s">
        <v>161</v>
      </c>
      <c r="C82" s="65"/>
      <c r="D82" s="76"/>
      <c r="E82" s="76"/>
      <c r="F82" s="66">
        <v>4.8</v>
      </c>
      <c r="G82" s="282"/>
      <c r="H82" s="76"/>
      <c r="I82" s="76"/>
      <c r="J82" s="66">
        <v>4.8</v>
      </c>
      <c r="K82" s="67"/>
      <c r="L82" s="194"/>
      <c r="M82" s="194"/>
      <c r="N82" s="71">
        <v>1</v>
      </c>
      <c r="O82" s="74"/>
      <c r="P82" s="75"/>
    </row>
    <row r="83" spans="2:16" ht="15">
      <c r="D83" s="76">
        <v>6.9445400268227537</v>
      </c>
      <c r="E83" s="76">
        <v>6.9445400268227537</v>
      </c>
      <c r="F83" s="341">
        <v>5.5</v>
      </c>
      <c r="H83" s="76">
        <v>7.0641596759410783</v>
      </c>
      <c r="I83" s="76">
        <v>7.0641596759410783</v>
      </c>
      <c r="J83" s="341">
        <v>5.5</v>
      </c>
      <c r="L83" s="194">
        <v>0.57494458368142576</v>
      </c>
      <c r="M83" s="194">
        <v>0.57494458368142576</v>
      </c>
      <c r="N83" s="386">
        <v>1</v>
      </c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0:N30"/>
    <mergeCell ref="D31:E31"/>
    <mergeCell ref="B32:B43"/>
    <mergeCell ref="D32:E33"/>
    <mergeCell ref="D34:E35"/>
    <mergeCell ref="D36:E37"/>
    <mergeCell ref="D38:E39"/>
    <mergeCell ref="D40:E41"/>
    <mergeCell ref="D42:E43"/>
    <mergeCell ref="B44:B53"/>
    <mergeCell ref="D44:E45"/>
    <mergeCell ref="J44:K44"/>
    <mergeCell ref="L45:N45"/>
    <mergeCell ref="D46:E47"/>
    <mergeCell ref="D48:E49"/>
    <mergeCell ref="D50:E51"/>
    <mergeCell ref="D52:E53"/>
    <mergeCell ref="D54:E54"/>
    <mergeCell ref="B59:B60"/>
    <mergeCell ref="C59:C60"/>
    <mergeCell ref="D59:D60"/>
    <mergeCell ref="E59:E60"/>
    <mergeCell ref="M59:M60"/>
    <mergeCell ref="B72:F72"/>
    <mergeCell ref="G72:J72"/>
    <mergeCell ref="K72:N72"/>
    <mergeCell ref="G59:G60"/>
    <mergeCell ref="H59:H60"/>
    <mergeCell ref="I59:I60"/>
    <mergeCell ref="J59:J60"/>
    <mergeCell ref="K59:K60"/>
    <mergeCell ref="L59:L60"/>
    <mergeCell ref="F59:F60"/>
  </mergeCells>
  <conditionalFormatting sqref="B54:B55">
    <cfRule type="cellIs" dxfId="194" priority="65" operator="notBetween">
      <formula>#REF!</formula>
      <formula>#REF!</formula>
    </cfRule>
  </conditionalFormatting>
  <conditionalFormatting sqref="C58">
    <cfRule type="cellIs" dxfId="193" priority="193" stopIfTrue="1" operator="greaterThan">
      <formula>100</formula>
    </cfRule>
    <cfRule type="cellIs" dxfId="192" priority="192" stopIfTrue="1" operator="lessThan">
      <formula>96</formula>
    </cfRule>
  </conditionalFormatting>
  <conditionalFormatting sqref="C74:C78">
    <cfRule type="cellIs" dxfId="191" priority="150" stopIfTrue="1" operator="lessThanOrEqual">
      <formula>0</formula>
    </cfRule>
  </conditionalFormatting>
  <conditionalFormatting sqref="C74:C82">
    <cfRule type="cellIs" dxfId="190" priority="149" stopIfTrue="1" operator="greaterThan">
      <formula>$F74</formula>
    </cfRule>
  </conditionalFormatting>
  <conditionalFormatting sqref="C75">
    <cfRule type="cellIs" dxfId="189" priority="196" stopIfTrue="1" operator="greaterThan">
      <formula>$F74</formula>
    </cfRule>
  </conditionalFormatting>
  <conditionalFormatting sqref="C79">
    <cfRule type="cellIs" dxfId="188" priority="89" stopIfTrue="1" operator="lessThanOrEqual">
      <formula>0</formula>
    </cfRule>
    <cfRule type="cellIs" dxfId="187" priority="90" stopIfTrue="1" operator="greaterThan">
      <formula>$F78</formula>
    </cfRule>
  </conditionalFormatting>
  <conditionalFormatting sqref="C85:C89">
    <cfRule type="cellIs" dxfId="186" priority="184" stopIfTrue="1" operator="lessThanOrEqual">
      <formula>0</formula>
    </cfRule>
  </conditionalFormatting>
  <conditionalFormatting sqref="C86:C89">
    <cfRule type="cellIs" dxfId="185" priority="183" stopIfTrue="1" operator="greaterThan">
      <formula>$F$85</formula>
    </cfRule>
  </conditionalFormatting>
  <conditionalFormatting sqref="C91">
    <cfRule type="cellIs" dxfId="184" priority="186" stopIfTrue="1" operator="lessThanOrEqual">
      <formula>0</formula>
    </cfRule>
    <cfRule type="cellIs" dxfId="183" priority="185" stopIfTrue="1" operator="greaterThan">
      <formula>$F$85</formula>
    </cfRule>
  </conditionalFormatting>
  <conditionalFormatting sqref="C85:D85 D87:D93">
    <cfRule type="cellIs" dxfId="182" priority="178" stopIfTrue="1" operator="greaterThan">
      <formula>4.5</formula>
    </cfRule>
  </conditionalFormatting>
  <conditionalFormatting sqref="D54:D55">
    <cfRule type="cellIs" dxfId="181" priority="66" operator="notBetween">
      <formula>#REF!</formula>
      <formula>#REF!</formula>
    </cfRule>
  </conditionalFormatting>
  <conditionalFormatting sqref="D74:D81">
    <cfRule type="cellIs" dxfId="180" priority="158" stopIfTrue="1" operator="lessThanOrEqual">
      <formula>0</formula>
    </cfRule>
  </conditionalFormatting>
  <conditionalFormatting sqref="D85 D87:D93">
    <cfRule type="cellIs" dxfId="179" priority="179" stopIfTrue="1" operator="lessThanOrEqual">
      <formula>0</formula>
    </cfRule>
  </conditionalFormatting>
  <conditionalFormatting sqref="D86">
    <cfRule type="cellIs" dxfId="178" priority="170" stopIfTrue="1" operator="greaterThan">
      <formula>$F$85</formula>
    </cfRule>
    <cfRule type="cellIs" dxfId="177" priority="171" stopIfTrue="1" operator="lessThanOrEqual">
      <formula>0</formula>
    </cfRule>
  </conditionalFormatting>
  <conditionalFormatting sqref="D74:E83">
    <cfRule type="cellIs" dxfId="176" priority="147" stopIfTrue="1" operator="greaterThan">
      <formula>$F74</formula>
    </cfRule>
  </conditionalFormatting>
  <conditionalFormatting sqref="D82:E82">
    <cfRule type="cellIs" dxfId="175" priority="157" stopIfTrue="1" operator="lessThanOrEqual">
      <formula>0</formula>
    </cfRule>
  </conditionalFormatting>
  <conditionalFormatting sqref="D83:E83">
    <cfRule type="cellIs" dxfId="174" priority="148" stopIfTrue="1" operator="lessThanOrEqual">
      <formula>0</formula>
    </cfRule>
  </conditionalFormatting>
  <conditionalFormatting sqref="E10:E29">
    <cfRule type="cellIs" dxfId="173" priority="24" operator="lessThan">
      <formula>48</formula>
    </cfRule>
  </conditionalFormatting>
  <conditionalFormatting sqref="E57 E58:F58">
    <cfRule type="cellIs" dxfId="172" priority="175" stopIfTrue="1" operator="greaterThan">
      <formula>100</formula>
    </cfRule>
  </conditionalFormatting>
  <conditionalFormatting sqref="E58">
    <cfRule type="cellIs" dxfId="171" priority="172" stopIfTrue="1" operator="lessThan">
      <formula>96.8</formula>
    </cfRule>
    <cfRule type="cellIs" dxfId="170" priority="173" stopIfTrue="1" operator="greaterThan">
      <formula>100</formula>
    </cfRule>
  </conditionalFormatting>
  <conditionalFormatting sqref="E74:E81">
    <cfRule type="cellIs" dxfId="169" priority="1" stopIfTrue="1" operator="lessThanOrEqual">
      <formula>0</formula>
    </cfRule>
  </conditionalFormatting>
  <conditionalFormatting sqref="E74:E82">
    <cfRule type="cellIs" dxfId="168" priority="154" stopIfTrue="1" operator="lessThanOrEqual">
      <formula>0</formula>
    </cfRule>
  </conditionalFormatting>
  <conditionalFormatting sqref="E85:E93">
    <cfRule type="cellIs" dxfId="167" priority="165" stopIfTrue="1" operator="lessThanOrEqual">
      <formula>0</formula>
    </cfRule>
    <cfRule type="cellIs" dxfId="166" priority="164" stopIfTrue="1" operator="greaterThan">
      <formula>4.5</formula>
    </cfRule>
  </conditionalFormatting>
  <conditionalFormatting sqref="E58:F58 E57">
    <cfRule type="cellIs" dxfId="165" priority="174" stopIfTrue="1" operator="lessThan">
      <formula>96.5</formula>
    </cfRule>
  </conditionalFormatting>
  <conditionalFormatting sqref="F10:F29">
    <cfRule type="cellIs" dxfId="164" priority="25" operator="greaterThan">
      <formula>60</formula>
    </cfRule>
  </conditionalFormatting>
  <conditionalFormatting sqref="F58">
    <cfRule type="cellIs" dxfId="163" priority="190" stopIfTrue="1" operator="lessThan">
      <formula>96.8</formula>
    </cfRule>
    <cfRule type="cellIs" dxfId="162" priority="191" stopIfTrue="1" operator="greaterThan">
      <formula>100</formula>
    </cfRule>
  </conditionalFormatting>
  <conditionalFormatting sqref="F83">
    <cfRule type="cellIs" dxfId="161" priority="156" stopIfTrue="1" operator="lessThanOrEqual">
      <formula>0</formula>
    </cfRule>
    <cfRule type="cellIs" dxfId="160" priority="155" stopIfTrue="1" operator="greaterThan">
      <formula>$F83</formula>
    </cfRule>
  </conditionalFormatting>
  <conditionalFormatting sqref="G10:G28">
    <cfRule type="expression" dxfId="159" priority="27">
      <formula>IF(+(IF(G10&lt;S10,0,IF(G10&gt;T10,0,1)))=0,1)</formula>
    </cfRule>
  </conditionalFormatting>
  <conditionalFormatting sqref="G74:G75 C80:C82">
    <cfRule type="cellIs" dxfId="158" priority="160" stopIfTrue="1" operator="lessThanOrEqual">
      <formula>0</formula>
    </cfRule>
  </conditionalFormatting>
  <conditionalFormatting sqref="G74:G75">
    <cfRule type="cellIs" dxfId="157" priority="159" stopIfTrue="1" operator="greaterThan">
      <formula>$F74</formula>
    </cfRule>
    <cfRule type="cellIs" dxfId="156" priority="152" stopIfTrue="1" operator="lessThanOrEqual">
      <formula>0</formula>
    </cfRule>
    <cfRule type="cellIs" dxfId="155" priority="151" stopIfTrue="1" operator="greaterThan">
      <formula>$F74</formula>
    </cfRule>
  </conditionalFormatting>
  <conditionalFormatting sqref="G76">
    <cfRule type="cellIs" dxfId="154" priority="195" stopIfTrue="1" operator="lessThanOrEqual">
      <formula>0</formula>
    </cfRule>
    <cfRule type="cellIs" dxfId="153" priority="194" stopIfTrue="1" operator="greaterThan">
      <formula>$F75</formula>
    </cfRule>
  </conditionalFormatting>
  <conditionalFormatting sqref="G77">
    <cfRule type="cellIs" dxfId="152" priority="61" stopIfTrue="1" operator="greaterThan">
      <formula>$F77</formula>
    </cfRule>
    <cfRule type="cellIs" dxfId="151" priority="63" stopIfTrue="1" operator="greaterThan">
      <formula>$F77</formula>
    </cfRule>
    <cfRule type="cellIs" dxfId="150" priority="62" stopIfTrue="1" operator="lessThanOrEqual">
      <formula>0</formula>
    </cfRule>
    <cfRule type="cellIs" dxfId="149" priority="64" stopIfTrue="1" operator="lessThanOrEqual">
      <formula>0</formula>
    </cfRule>
  </conditionalFormatting>
  <conditionalFormatting sqref="G78:G82">
    <cfRule type="cellIs" dxfId="148" priority="162" stopIfTrue="1" operator="lessThanOrEqual">
      <formula>0</formula>
    </cfRule>
    <cfRule type="cellIs" dxfId="147" priority="161" stopIfTrue="1" operator="greaterThan">
      <formula>$J78</formula>
    </cfRule>
  </conditionalFormatting>
  <conditionalFormatting sqref="G87:G92 C90 C92">
    <cfRule type="cellIs" dxfId="146" priority="188" stopIfTrue="1" operator="lessThanOrEqual">
      <formula>0</formula>
    </cfRule>
    <cfRule type="cellIs" dxfId="145" priority="187" stopIfTrue="1" operator="greaterThan">
      <formula>4.5</formula>
    </cfRule>
  </conditionalFormatting>
  <conditionalFormatting sqref="G86:H86">
    <cfRule type="cellIs" dxfId="144" priority="168" stopIfTrue="1" operator="greaterThan">
      <formula>$F$85</formula>
    </cfRule>
    <cfRule type="cellIs" dxfId="143" priority="169" stopIfTrue="1" operator="lessThanOrEqual">
      <formula>0</formula>
    </cfRule>
  </conditionalFormatting>
  <conditionalFormatting sqref="H10:H28 G29:H29">
    <cfRule type="expression" dxfId="142" priority="58">
      <formula>IF(+(IF(G10&lt;#REF!,0,IF(G10&gt;#REF!,0,1)))=0,1)</formula>
    </cfRule>
  </conditionalFormatting>
  <conditionalFormatting sqref="H43:H44 H57">
    <cfRule type="cellIs" dxfId="141" priority="166" stopIfTrue="1" operator="greaterThan">
      <formula>0</formula>
    </cfRule>
  </conditionalFormatting>
  <conditionalFormatting sqref="H61:H62">
    <cfRule type="cellIs" dxfId="140" priority="5" stopIfTrue="1" operator="lessThanOrEqual">
      <formula>0</formula>
    </cfRule>
    <cfRule type="cellIs" dxfId="139" priority="6" stopIfTrue="1" operator="greaterThan">
      <formula>#REF!</formula>
    </cfRule>
    <cfRule type="cellIs" dxfId="138" priority="14" stopIfTrue="1" operator="greaterThan">
      <formula>$F$29</formula>
    </cfRule>
    <cfRule type="cellIs" dxfId="137" priority="15" stopIfTrue="1" operator="lessThanOrEqual">
      <formula>0</formula>
    </cfRule>
    <cfRule type="cellIs" dxfId="136" priority="16" stopIfTrue="1" operator="greaterThan">
      <formula>#REF!</formula>
    </cfRule>
  </conditionalFormatting>
  <conditionalFormatting sqref="H61:H63">
    <cfRule type="cellIs" dxfId="135" priority="17" stopIfTrue="1" operator="lessThanOrEqual">
      <formula>0</formula>
    </cfRule>
  </conditionalFormatting>
  <conditionalFormatting sqref="H63">
    <cfRule type="cellIs" dxfId="134" priority="41" stopIfTrue="1" operator="lessThanOrEqual">
      <formula>0</formula>
    </cfRule>
    <cfRule type="cellIs" dxfId="133" priority="30" stopIfTrue="1" operator="greaterThan">
      <formula>#REF!</formula>
    </cfRule>
    <cfRule type="cellIs" dxfId="132" priority="38" stopIfTrue="1" operator="greaterThan">
      <formula>$F$29</formula>
    </cfRule>
    <cfRule type="cellIs" dxfId="131" priority="39" stopIfTrue="1" operator="lessThanOrEqual">
      <formula>0</formula>
    </cfRule>
    <cfRule type="cellIs" dxfId="130" priority="40" stopIfTrue="1" operator="greaterThan">
      <formula>#REF!</formula>
    </cfRule>
  </conditionalFormatting>
  <conditionalFormatting sqref="H64">
    <cfRule type="cellIs" dxfId="129" priority="116" stopIfTrue="1" operator="lessThanOrEqual">
      <formula>0</formula>
    </cfRule>
    <cfRule type="cellIs" dxfId="128" priority="117" stopIfTrue="1" operator="greaterThan">
      <formula>#REF!</formula>
    </cfRule>
    <cfRule type="cellIs" dxfId="127" priority="118" stopIfTrue="1" operator="lessThanOrEqual">
      <formula>0</formula>
    </cfRule>
    <cfRule type="cellIs" dxfId="126" priority="115" stopIfTrue="1" operator="greaterThan">
      <formula>$F$30</formula>
    </cfRule>
    <cfRule type="cellIs" dxfId="125" priority="107" stopIfTrue="1" operator="greaterThan">
      <formula>#REF!</formula>
    </cfRule>
    <cfRule type="cellIs" dxfId="124" priority="106" stopIfTrue="1" operator="lessThanOrEqual">
      <formula>0</formula>
    </cfRule>
  </conditionalFormatting>
  <conditionalFormatting sqref="H65">
    <cfRule type="cellIs" dxfId="123" priority="52" stopIfTrue="1" operator="greaterThan">
      <formula>$F$77</formula>
    </cfRule>
    <cfRule type="cellIs" dxfId="122" priority="43" stopIfTrue="1" operator="lessThanOrEqual">
      <formula>0</formula>
    </cfRule>
    <cfRule type="cellIs" dxfId="121" priority="44" stopIfTrue="1" operator="greaterThan">
      <formula>$F$74</formula>
    </cfRule>
    <cfRule type="cellIs" dxfId="120" priority="53" stopIfTrue="1" operator="lessThanOrEqual">
      <formula>0</formula>
    </cfRule>
    <cfRule type="cellIs" dxfId="119" priority="55" stopIfTrue="1" operator="lessThanOrEqual">
      <formula>0</formula>
    </cfRule>
    <cfRule type="cellIs" dxfId="118" priority="54" stopIfTrue="1" operator="greaterThan">
      <formula>$F$75</formula>
    </cfRule>
  </conditionalFormatting>
  <conditionalFormatting sqref="H66:H67">
    <cfRule type="cellIs" dxfId="117" priority="104" stopIfTrue="1" operator="lessThanOrEqual">
      <formula>0</formula>
    </cfRule>
    <cfRule type="cellIs" dxfId="116" priority="103" stopIfTrue="1" operator="greaterThan">
      <formula>#REF!</formula>
    </cfRule>
    <cfRule type="cellIs" dxfId="115" priority="93" stopIfTrue="1" operator="greaterThan">
      <formula>#REF!</formula>
    </cfRule>
    <cfRule type="cellIs" dxfId="114" priority="101" stopIfTrue="1" operator="greaterThan">
      <formula>$F$29</formula>
    </cfRule>
    <cfRule type="cellIs" dxfId="113" priority="102" stopIfTrue="1" operator="lessThanOrEqual">
      <formula>0</formula>
    </cfRule>
    <cfRule type="cellIs" dxfId="112" priority="92" stopIfTrue="1" operator="lessThanOrEqual">
      <formula>0</formula>
    </cfRule>
  </conditionalFormatting>
  <conditionalFormatting sqref="H68">
    <cfRule type="cellIs" dxfId="111" priority="121" stopIfTrue="1" operator="lessThanOrEqual">
      <formula>0</formula>
    </cfRule>
    <cfRule type="cellIs" dxfId="110" priority="122" stopIfTrue="1" operator="greaterThan">
      <formula>$F$42</formula>
    </cfRule>
    <cfRule type="cellIs" dxfId="109" priority="133" stopIfTrue="1" operator="lessThanOrEqual">
      <formula>0</formula>
    </cfRule>
    <cfRule type="cellIs" dxfId="108" priority="130" stopIfTrue="1" operator="greaterThan">
      <formula>$F$45</formula>
    </cfRule>
    <cfRule type="cellIs" dxfId="107" priority="131" stopIfTrue="1" operator="lessThanOrEqual">
      <formula>0</formula>
    </cfRule>
    <cfRule type="cellIs" dxfId="106" priority="132" stopIfTrue="1" operator="greaterThan">
      <formula>$F$43</formula>
    </cfRule>
  </conditionalFormatting>
  <conditionalFormatting sqref="H69:H70">
    <cfRule type="cellIs" dxfId="105" priority="77" stopIfTrue="1" operator="greaterThan">
      <formula>#REF!</formula>
    </cfRule>
    <cfRule type="cellIs" dxfId="104" priority="86" stopIfTrue="1" operator="lessThanOrEqual">
      <formula>0</formula>
    </cfRule>
    <cfRule type="cellIs" dxfId="103" priority="85" stopIfTrue="1" operator="greaterThan">
      <formula>$F$29</formula>
    </cfRule>
    <cfRule type="cellIs" dxfId="102" priority="88" stopIfTrue="1" operator="lessThanOrEqual">
      <formula>0</formula>
    </cfRule>
    <cfRule type="cellIs" dxfId="101" priority="87" stopIfTrue="1" operator="greaterThan">
      <formula>#REF!</formula>
    </cfRule>
    <cfRule type="cellIs" dxfId="100" priority="76" stopIfTrue="1" operator="lessThanOrEqual">
      <formula>0</formula>
    </cfRule>
  </conditionalFormatting>
  <conditionalFormatting sqref="H85 H87:H93">
    <cfRule type="cellIs" dxfId="99" priority="181" stopIfTrue="1" operator="lessThanOrEqual">
      <formula>0</formula>
    </cfRule>
    <cfRule type="cellIs" dxfId="98" priority="180" stopIfTrue="1" operator="greaterThan">
      <formula>4.5</formula>
    </cfRule>
  </conditionalFormatting>
  <conditionalFormatting sqref="H61:I62">
    <cfRule type="cellIs" dxfId="97" priority="7" stopIfTrue="1" operator="lessThanOrEqual">
      <formula>0</formula>
    </cfRule>
  </conditionalFormatting>
  <conditionalFormatting sqref="H61:I63">
    <cfRule type="cellIs" dxfId="96" priority="4" stopIfTrue="1" operator="greaterThan">
      <formula>#REF!</formula>
    </cfRule>
  </conditionalFormatting>
  <conditionalFormatting sqref="H63:I63">
    <cfRule type="cellIs" dxfId="95" priority="31" stopIfTrue="1" operator="lessThanOrEqual">
      <formula>0</formula>
    </cfRule>
  </conditionalFormatting>
  <conditionalFormatting sqref="H64:I64">
    <cfRule type="cellIs" dxfId="94" priority="108" stopIfTrue="1" operator="lessThanOrEqual">
      <formula>0</formula>
    </cfRule>
    <cfRule type="cellIs" dxfId="93" priority="105" stopIfTrue="1" operator="greaterThan">
      <formula>$F$29</formula>
    </cfRule>
  </conditionalFormatting>
  <conditionalFormatting sqref="H65:I65">
    <cfRule type="cellIs" dxfId="92" priority="45" stopIfTrue="1" operator="lessThanOrEqual">
      <formula>0</formula>
    </cfRule>
    <cfRule type="cellIs" dxfId="91" priority="42" stopIfTrue="1" operator="greaterThan">
      <formula>$F$76</formula>
    </cfRule>
  </conditionalFormatting>
  <conditionalFormatting sqref="H66:I67">
    <cfRule type="cellIs" dxfId="90" priority="91" stopIfTrue="1" operator="greaterThan">
      <formula>#REF!</formula>
    </cfRule>
    <cfRule type="cellIs" dxfId="89" priority="94" stopIfTrue="1" operator="lessThanOrEqual">
      <formula>0</formula>
    </cfRule>
  </conditionalFormatting>
  <conditionalFormatting sqref="H68:I68">
    <cfRule type="cellIs" dxfId="88" priority="123" stopIfTrue="1" operator="lessThanOrEqual">
      <formula>0</formula>
    </cfRule>
    <cfRule type="cellIs" dxfId="87" priority="120" stopIfTrue="1" operator="greaterThan">
      <formula>$F$44</formula>
    </cfRule>
  </conditionalFormatting>
  <conditionalFormatting sqref="H69:I70">
    <cfRule type="cellIs" dxfId="86" priority="78" stopIfTrue="1" operator="lessThanOrEqual">
      <formula>0</formula>
    </cfRule>
    <cfRule type="cellIs" dxfId="85" priority="75" stopIfTrue="1" operator="greaterThan">
      <formula>#REF!</formula>
    </cfRule>
  </conditionalFormatting>
  <conditionalFormatting sqref="H74:I81">
    <cfRule type="cellIs" dxfId="84" priority="56" stopIfTrue="1" operator="greaterThan">
      <formula>$J74</formula>
    </cfRule>
    <cfRule type="cellIs" dxfId="83" priority="57" stopIfTrue="1" operator="lessThanOrEqual">
      <formula>0</formula>
    </cfRule>
  </conditionalFormatting>
  <conditionalFormatting sqref="H82:I82">
    <cfRule type="cellIs" dxfId="82" priority="153" operator="greaterThan">
      <formula>5.3</formula>
    </cfRule>
  </conditionalFormatting>
  <conditionalFormatting sqref="H83:I83">
    <cfRule type="cellIs" dxfId="81" priority="145" stopIfTrue="1" operator="greaterThan">
      <formula>$J83</formula>
    </cfRule>
    <cfRule type="cellIs" dxfId="80" priority="146" stopIfTrue="1" operator="lessThanOrEqual">
      <formula>0</formula>
    </cfRule>
  </conditionalFormatting>
  <conditionalFormatting sqref="I61:I62">
    <cfRule type="cellIs" dxfId="79" priority="9" stopIfTrue="1" operator="lessThanOrEqual">
      <formula>0</formula>
    </cfRule>
    <cfRule type="cellIs" dxfId="78" priority="10" stopIfTrue="1" operator="greaterThan">
      <formula>#REF!</formula>
    </cfRule>
    <cfRule type="cellIs" dxfId="77" priority="11" stopIfTrue="1" operator="lessThanOrEqual">
      <formula>0</formula>
    </cfRule>
    <cfRule type="cellIs" dxfId="76" priority="12" stopIfTrue="1" operator="greaterThan">
      <formula>#REF!</formula>
    </cfRule>
    <cfRule type="cellIs" dxfId="75" priority="13" stopIfTrue="1" operator="lessThanOrEqual">
      <formula>0</formula>
    </cfRule>
    <cfRule type="cellIs" dxfId="74" priority="8" stopIfTrue="1" operator="greaterThan">
      <formula>#REF!</formula>
    </cfRule>
  </conditionalFormatting>
  <conditionalFormatting sqref="I63">
    <cfRule type="cellIs" dxfId="73" priority="36" stopIfTrue="1" operator="greaterThan">
      <formula>#REF!</formula>
    </cfRule>
    <cfRule type="cellIs" dxfId="72" priority="35" stopIfTrue="1" operator="lessThanOrEqual">
      <formula>0</formula>
    </cfRule>
    <cfRule type="cellIs" dxfId="71" priority="34" stopIfTrue="1" operator="greaterThan">
      <formula>#REF!</formula>
    </cfRule>
    <cfRule type="cellIs" dxfId="70" priority="37" stopIfTrue="1" operator="lessThanOrEqual">
      <formula>0</formula>
    </cfRule>
    <cfRule type="cellIs" dxfId="69" priority="32" stopIfTrue="1" operator="greaterThan">
      <formula>#REF!</formula>
    </cfRule>
    <cfRule type="cellIs" dxfId="68" priority="33" stopIfTrue="1" operator="lessThanOrEqual">
      <formula>0</formula>
    </cfRule>
  </conditionalFormatting>
  <conditionalFormatting sqref="I64">
    <cfRule type="cellIs" dxfId="67" priority="109" stopIfTrue="1" operator="greaterThan">
      <formula>#REF!</formula>
    </cfRule>
    <cfRule type="cellIs" dxfId="66" priority="111" stopIfTrue="1" operator="greaterThan">
      <formula>$F$29</formula>
    </cfRule>
    <cfRule type="cellIs" dxfId="65" priority="112" stopIfTrue="1" operator="lessThanOrEqual">
      <formula>0</formula>
    </cfRule>
    <cfRule type="cellIs" dxfId="64" priority="113" stopIfTrue="1" operator="greaterThan">
      <formula>#REF!</formula>
    </cfRule>
    <cfRule type="cellIs" dxfId="63" priority="114" stopIfTrue="1" operator="lessThanOrEqual">
      <formula>0</formula>
    </cfRule>
    <cfRule type="cellIs" dxfId="62" priority="110" stopIfTrue="1" operator="lessThanOrEqual">
      <formula>0</formula>
    </cfRule>
  </conditionalFormatting>
  <conditionalFormatting sqref="I65">
    <cfRule type="cellIs" dxfId="61" priority="51" stopIfTrue="1" operator="lessThanOrEqual">
      <formula>0</formula>
    </cfRule>
    <cfRule type="cellIs" dxfId="60" priority="50" stopIfTrue="1" operator="greaterThan">
      <formula>$F$74</formula>
    </cfRule>
    <cfRule type="cellIs" dxfId="59" priority="46" stopIfTrue="1" operator="greaterThan">
      <formula>$F$74</formula>
    </cfRule>
    <cfRule type="cellIs" dxfId="58" priority="47" stopIfTrue="1" operator="lessThanOrEqual">
      <formula>0</formula>
    </cfRule>
    <cfRule type="cellIs" dxfId="57" priority="48" stopIfTrue="1" operator="greaterThan">
      <formula>$F$76</formula>
    </cfRule>
    <cfRule type="cellIs" dxfId="56" priority="49" stopIfTrue="1" operator="lessThanOrEqual">
      <formula>0</formula>
    </cfRule>
  </conditionalFormatting>
  <conditionalFormatting sqref="I66:I67">
    <cfRule type="cellIs" dxfId="55" priority="95" stopIfTrue="1" operator="greaterThan">
      <formula>#REF!</formula>
    </cfRule>
    <cfRule type="cellIs" dxfId="54" priority="100" stopIfTrue="1" operator="lessThanOrEqual">
      <formula>0</formula>
    </cfRule>
    <cfRule type="cellIs" dxfId="53" priority="96" stopIfTrue="1" operator="lessThanOrEqual">
      <formula>0</formula>
    </cfRule>
    <cfRule type="cellIs" dxfId="52" priority="97" stopIfTrue="1" operator="greaterThan">
      <formula>#REF!</formula>
    </cfRule>
    <cfRule type="cellIs" dxfId="51" priority="98" stopIfTrue="1" operator="lessThanOrEqual">
      <formula>0</formula>
    </cfRule>
    <cfRule type="cellIs" dxfId="50" priority="99" stopIfTrue="1" operator="greaterThan">
      <formula>#REF!</formula>
    </cfRule>
  </conditionalFormatting>
  <conditionalFormatting sqref="I68">
    <cfRule type="cellIs" dxfId="49" priority="128" stopIfTrue="1" operator="greaterThan">
      <formula>$F$42</formula>
    </cfRule>
    <cfRule type="cellIs" dxfId="48" priority="129" stopIfTrue="1" operator="lessThanOrEqual">
      <formula>0</formula>
    </cfRule>
    <cfRule type="cellIs" dxfId="47" priority="124" stopIfTrue="1" operator="greaterThan">
      <formula>$F$42</formula>
    </cfRule>
    <cfRule type="cellIs" dxfId="46" priority="125" stopIfTrue="1" operator="lessThanOrEqual">
      <formula>0</formula>
    </cfRule>
    <cfRule type="cellIs" dxfId="45" priority="126" stopIfTrue="1" operator="greaterThan">
      <formula>$F$44</formula>
    </cfRule>
    <cfRule type="cellIs" dxfId="44" priority="127" stopIfTrue="1" operator="lessThanOrEqual">
      <formula>0</formula>
    </cfRule>
  </conditionalFormatting>
  <conditionalFormatting sqref="I69:I70">
    <cfRule type="cellIs" dxfId="43" priority="80" stopIfTrue="1" operator="lessThanOrEqual">
      <formula>0</formula>
    </cfRule>
    <cfRule type="cellIs" dxfId="42" priority="84" stopIfTrue="1" operator="lessThanOrEqual">
      <formula>0</formula>
    </cfRule>
    <cfRule type="cellIs" dxfId="41" priority="81" stopIfTrue="1" operator="greaterThan">
      <formula>#REF!</formula>
    </cfRule>
    <cfRule type="cellIs" dxfId="40" priority="79" stopIfTrue="1" operator="greaterThan">
      <formula>#REF!</formula>
    </cfRule>
    <cfRule type="cellIs" dxfId="39" priority="83" stopIfTrue="1" operator="greaterThan">
      <formula>#REF!</formula>
    </cfRule>
    <cfRule type="cellIs" dxfId="38" priority="82" stopIfTrue="1" operator="lessThanOrEqual">
      <formula>0</formula>
    </cfRule>
  </conditionalFormatting>
  <conditionalFormatting sqref="I85:I93">
    <cfRule type="cellIs" dxfId="37" priority="176" stopIfTrue="1" operator="greaterThan">
      <formula>4.5</formula>
    </cfRule>
    <cfRule type="cellIs" dxfId="36" priority="177" stopIfTrue="1" operator="lessThanOrEqual">
      <formula>0</formula>
    </cfRule>
  </conditionalFormatting>
  <conditionalFormatting sqref="I10:J29">
    <cfRule type="cellIs" dxfId="35" priority="20" operator="lessThan">
      <formula>97.9</formula>
    </cfRule>
  </conditionalFormatting>
  <conditionalFormatting sqref="J34">
    <cfRule type="cellIs" dxfId="34" priority="135" stopIfTrue="1" operator="lessThan">
      <formula>96.8</formula>
    </cfRule>
    <cfRule type="cellIs" dxfId="33" priority="136" stopIfTrue="1" operator="greaterThan">
      <formula>100</formula>
    </cfRule>
    <cfRule type="cellIs" dxfId="32" priority="137" operator="lessThan">
      <formula>98</formula>
    </cfRule>
  </conditionalFormatting>
  <conditionalFormatting sqref="J34:J36">
    <cfRule type="cellIs" dxfId="31" priority="134" operator="lessThan">
      <formula>97.4</formula>
    </cfRule>
  </conditionalFormatting>
  <conditionalFormatting sqref="J37:J38">
    <cfRule type="cellIs" dxfId="30" priority="138" operator="lessThan">
      <formula>98</formula>
    </cfRule>
  </conditionalFormatting>
  <conditionalFormatting sqref="J39:J40">
    <cfRule type="cellIs" dxfId="29" priority="139" stopIfTrue="1" operator="lessThan">
      <formula>96.8</formula>
    </cfRule>
    <cfRule type="cellIs" dxfId="28" priority="140" stopIfTrue="1" operator="greaterThan">
      <formula>100</formula>
    </cfRule>
  </conditionalFormatting>
  <conditionalFormatting sqref="J39:J41">
    <cfRule type="cellIs" dxfId="27" priority="141" operator="lessThan">
      <formula>98</formula>
    </cfRule>
  </conditionalFormatting>
  <conditionalFormatting sqref="J70">
    <cfRule type="cellIs" dxfId="26" priority="67" stopIfTrue="1" operator="greaterThan">
      <formula>#REF!</formula>
    </cfRule>
    <cfRule type="cellIs" dxfId="25" priority="69" stopIfTrue="1" operator="greaterThan">
      <formula>#REF!</formula>
    </cfRule>
    <cfRule type="cellIs" dxfId="24" priority="74" stopIfTrue="1" operator="lessThanOrEqual">
      <formula>0</formula>
    </cfRule>
    <cfRule type="cellIs" dxfId="23" priority="73" stopIfTrue="1" operator="greaterThan">
      <formula>#REF!</formula>
    </cfRule>
    <cfRule type="cellIs" dxfId="22" priority="72" stopIfTrue="1" operator="lessThanOrEqual">
      <formula>0</formula>
    </cfRule>
    <cfRule type="cellIs" dxfId="21" priority="71" stopIfTrue="1" operator="greaterThan">
      <formula>#REF!</formula>
    </cfRule>
    <cfRule type="cellIs" dxfId="20" priority="70" stopIfTrue="1" operator="lessThanOrEqual">
      <formula>0</formula>
    </cfRule>
    <cfRule type="cellIs" dxfId="19" priority="68" stopIfTrue="1" operator="lessThanOrEqual">
      <formula>0</formula>
    </cfRule>
  </conditionalFormatting>
  <conditionalFormatting sqref="J83">
    <cfRule type="cellIs" dxfId="18" priority="142" stopIfTrue="1" operator="greaterThan">
      <formula>$F83</formula>
    </cfRule>
    <cfRule type="cellIs" dxfId="17" priority="143" stopIfTrue="1" operator="lessThanOrEqual">
      <formula>0</formula>
    </cfRule>
  </conditionalFormatting>
  <conditionalFormatting sqref="K10:K29">
    <cfRule type="cellIs" dxfId="16" priority="22" operator="lessThan">
      <formula>4</formula>
    </cfRule>
    <cfRule type="cellIs" dxfId="15" priority="21" operator="greaterThan">
      <formula>6</formula>
    </cfRule>
    <cfRule type="cellIs" dxfId="14" priority="23" operator="greaterThan">
      <formula>6.4</formula>
    </cfRule>
  </conditionalFormatting>
  <conditionalFormatting sqref="K61:K70">
    <cfRule type="cellIs" dxfId="13" priority="18" stopIfTrue="1" operator="lessThan">
      <formula>100%</formula>
    </cfRule>
  </conditionalFormatting>
  <conditionalFormatting sqref="K85:K90">
    <cfRule type="cellIs" dxfId="12" priority="182" stopIfTrue="1" operator="lessThan">
      <formula>100%</formula>
    </cfRule>
  </conditionalFormatting>
  <conditionalFormatting sqref="K92:K93">
    <cfRule type="cellIs" dxfId="11" priority="189" stopIfTrue="1" operator="lessThan">
      <formula>100%</formula>
    </cfRule>
  </conditionalFormatting>
  <conditionalFormatting sqref="K74:N82">
    <cfRule type="cellIs" dxfId="10" priority="119" stopIfTrue="1" operator="lessThan">
      <formula>100%</formula>
    </cfRule>
  </conditionalFormatting>
  <conditionalFormatting sqref="L10:L29">
    <cfRule type="cellIs" dxfId="9" priority="29" operator="greaterThan">
      <formula>65</formula>
    </cfRule>
    <cfRule type="cellIs" dxfId="8" priority="28" operator="between">
      <formula>61</formula>
      <formula>65</formula>
    </cfRule>
  </conditionalFormatting>
  <conditionalFormatting sqref="L32:M43">
    <cfRule type="cellIs" dxfId="7" priority="59" operator="lessThan">
      <formula>97.95</formula>
    </cfRule>
  </conditionalFormatting>
  <conditionalFormatting sqref="L47:N47">
    <cfRule type="cellIs" dxfId="6" priority="60" operator="notEqual">
      <formula>#REF!</formula>
    </cfRule>
  </conditionalFormatting>
  <conditionalFormatting sqref="L83:N83">
    <cfRule type="cellIs" dxfId="5" priority="144" stopIfTrue="1" operator="lessThan">
      <formula>100%</formula>
    </cfRule>
  </conditionalFormatting>
  <conditionalFormatting sqref="L85:N93">
    <cfRule type="cellIs" dxfId="4" priority="167" stopIfTrue="1" operator="lessThan">
      <formula>100%</formula>
    </cfRule>
  </conditionalFormatting>
  <conditionalFormatting sqref="M10:M28">
    <cfRule type="expression" dxfId="3" priority="26">
      <formula>IF(+(IF(M10&lt;U10,0,IF(M10&gt;V10,0,1)))=0,1)</formula>
    </cfRule>
  </conditionalFormatting>
  <conditionalFormatting sqref="M29:N29">
    <cfRule type="expression" dxfId="2" priority="197">
      <formula>IF(+(IF(M29&lt;#REF!,0,IF(M29&gt;#REF!,0,1)))=0,1)</formula>
    </cfRule>
  </conditionalFormatting>
  <conditionalFormatting sqref="N10:N28">
    <cfRule type="expression" dxfId="1" priority="19">
      <formula>IF(+(IF(N10&lt;W10,0,IF(N10&gt;X10,0,1)))=0,1)</formula>
    </cfRule>
  </conditionalFormatting>
  <conditionalFormatting sqref="P6">
    <cfRule type="cellIs" dxfId="0" priority="163" operator="greaterThanOrEqual">
      <formula>19</formula>
    </cfRule>
  </conditionalFormatting>
  <dataValidations count="1">
    <dataValidation type="list" allowBlank="1" showInputMessage="1" showErrorMessage="1" sqref="R8" xr:uid="{B1D672CF-3558-4B0A-A117-24C1CA369B9D}">
      <formula1>ProductList</formula1>
    </dataValidation>
  </dataValidations>
  <pageMargins left="0.7" right="0.7" top="0.75" bottom="0.75" header="0.3" footer="0.3"/>
  <pageSetup scale="40" fitToWidth="0" orientation="landscape" r:id="rId1"/>
  <rowBreaks count="1" manualBreakCount="1">
    <brk id="87" max="16383" man="1"/>
  </rowBreaks>
  <colBreaks count="1" manualBreakCount="1">
    <brk id="15" max="89" man="1"/>
  </col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D56" sqref="D56:D65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hidden="1" customWidth="1"/>
    <col min="4" max="4" width="9.5703125" style="78" customWidth="1"/>
    <col min="5" max="5" width="8.5703125" style="78" customWidth="1"/>
    <col min="6" max="6" width="14.42578125" style="78" hidden="1" customWidth="1"/>
    <col min="7" max="8" width="9.42578125" style="78" bestFit="1" customWidth="1"/>
    <col min="9" max="9" width="11.5703125" style="78" hidden="1" customWidth="1"/>
    <col min="10" max="10" width="11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8" t="s">
        <v>58</v>
      </c>
      <c r="C2" s="628"/>
      <c r="D2" s="628"/>
      <c r="E2" s="628"/>
      <c r="F2" s="628"/>
      <c r="G2" s="628"/>
      <c r="H2" s="628"/>
      <c r="I2" s="628"/>
      <c r="J2" s="628"/>
      <c r="K2" s="628"/>
    </row>
    <row r="3" spans="2:14" ht="15.75" hidden="1" thickBot="1">
      <c r="B3" s="79"/>
    </row>
    <row r="4" spans="2:14" ht="13.5" hidden="1" thickBot="1">
      <c r="B4" s="78" t="s">
        <v>7</v>
      </c>
      <c r="C4" s="629">
        <v>41431</v>
      </c>
      <c r="D4" s="62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6" t="s">
        <v>17</v>
      </c>
      <c r="C8" s="612" t="s">
        <v>18</v>
      </c>
      <c r="D8" s="612" t="s">
        <v>59</v>
      </c>
      <c r="E8" s="80" t="s">
        <v>20</v>
      </c>
      <c r="F8" s="81" t="s">
        <v>21</v>
      </c>
      <c r="G8" s="612" t="s">
        <v>60</v>
      </c>
      <c r="H8" s="612" t="s">
        <v>61</v>
      </c>
      <c r="I8" s="632" t="s">
        <v>62</v>
      </c>
      <c r="J8" s="82" t="s">
        <v>25</v>
      </c>
      <c r="K8" s="622" t="s">
        <v>28</v>
      </c>
    </row>
    <row r="9" spans="2:14" ht="26.25" hidden="1" thickBot="1">
      <c r="B9" s="630"/>
      <c r="C9" s="631"/>
      <c r="D9" s="631"/>
      <c r="E9" s="83" t="s">
        <v>30</v>
      </c>
      <c r="F9" s="84" t="s">
        <v>63</v>
      </c>
      <c r="G9" s="631"/>
      <c r="H9" s="631"/>
      <c r="I9" s="633"/>
      <c r="J9" s="85" t="s">
        <v>32</v>
      </c>
      <c r="K9" s="634"/>
      <c r="L9" s="86"/>
      <c r="M9" s="86"/>
      <c r="N9" s="86"/>
    </row>
    <row r="10" spans="2:14" ht="13.5" hidden="1" thickBot="1">
      <c r="B10" s="87" t="s">
        <v>64</v>
      </c>
      <c r="C10" s="88" t="str">
        <f>[31]Brewhouse!A5359</f>
        <v>CA236</v>
      </c>
      <c r="D10" s="88">
        <f>[31]Brewhouse!B5359</f>
        <v>41437</v>
      </c>
      <c r="E10" s="89">
        <f>[31]Brewhouse!AG5359</f>
        <v>49.011000000000003</v>
      </c>
      <c r="F10" s="90">
        <f>[31]Brewhouse!T5359</f>
        <v>60</v>
      </c>
      <c r="G10" s="91">
        <f>[31]Brewhouse!I5359</f>
        <v>19.79</v>
      </c>
      <c r="H10" s="92">
        <f>[31]Brewhouse!AS5359</f>
        <v>94.981545664755075</v>
      </c>
      <c r="I10" s="92">
        <f>[31]Brewhouse!AT5359</f>
        <v>97.074072469002047</v>
      </c>
      <c r="J10" s="93">
        <f>[31]Brewhouse!S5359-[31]Brewhouse!R5359</f>
        <v>0.10694444444444451</v>
      </c>
      <c r="K10" s="94"/>
      <c r="N10" s="95"/>
    </row>
    <row r="11" spans="2:14" ht="13.5" hidden="1" thickBot="1">
      <c r="B11" s="96"/>
      <c r="C11" s="88" t="str">
        <f>[31]Brewhouse!A5360</f>
        <v>CA237</v>
      </c>
      <c r="D11" s="88">
        <f>[31]Brewhouse!B5360</f>
        <v>41437</v>
      </c>
      <c r="E11" s="89">
        <f>[31]Brewhouse!AG5360</f>
        <v>48.531999999999996</v>
      </c>
      <c r="F11" s="90">
        <f>[31]Brewhouse!T5360</f>
        <v>68</v>
      </c>
      <c r="G11" s="91">
        <f>[31]Brewhouse!I5360</f>
        <v>17.7</v>
      </c>
      <c r="H11" s="92">
        <f>[31]Brewhouse!AS5360</f>
        <v>94.053260986347809</v>
      </c>
      <c r="I11" s="92">
        <f>[31]Brewhouse!AT5360</f>
        <v>96.1253368644918</v>
      </c>
      <c r="J11" s="93">
        <f>[31]Brewhouse!S5360-[31]Brewhouse!R5360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[31]Brewhouse!A5361</f>
        <v>CA238</v>
      </c>
      <c r="D12" s="88">
        <f>[31]Brewhouse!B5361</f>
        <v>41437</v>
      </c>
      <c r="E12" s="89">
        <f>[31]Brewhouse!AG5361</f>
        <v>50.466999999999999</v>
      </c>
      <c r="F12" s="90">
        <f>[31]Brewhouse!T5361</f>
        <v>61</v>
      </c>
      <c r="G12" s="91">
        <f>[31]Brewhouse!I5361</f>
        <v>19.7</v>
      </c>
      <c r="H12" s="92">
        <f>[31]Brewhouse!AS5361</f>
        <v>96.931393272913695</v>
      </c>
      <c r="I12" s="92">
        <f>[31]Brewhouse!AT5361</f>
        <v>99.066876931102286</v>
      </c>
      <c r="J12" s="93">
        <f>[31]Brewhouse!S5361-[31]Brewhouse!R5361</f>
        <v>0.10208333333333341</v>
      </c>
      <c r="K12" s="98"/>
    </row>
    <row r="13" spans="2:14" ht="13.5" hidden="1" thickBot="1">
      <c r="B13" s="99"/>
      <c r="C13" s="88" t="str">
        <f>[31]Brewhouse!A5362</f>
        <v>CA239</v>
      </c>
      <c r="D13" s="88">
        <f>[31]Brewhouse!B5362</f>
        <v>41437</v>
      </c>
      <c r="E13" s="89">
        <f>[31]Brewhouse!AG5362</f>
        <v>49.374000000000002</v>
      </c>
      <c r="F13" s="90">
        <f>[31]Brewhouse!T5362</f>
        <v>62</v>
      </c>
      <c r="G13" s="91">
        <f>[31]Brewhouse!I5362</f>
        <v>19</v>
      </c>
      <c r="H13" s="92">
        <f>[31]Brewhouse!AS5362</f>
        <v>95.68502653795305</v>
      </c>
      <c r="I13" s="92">
        <f>[31]Brewhouse!AT5362</f>
        <v>97.793051643192499</v>
      </c>
      <c r="J13" s="93">
        <f>[31]Brewhouse!S5362-[31]Brewhouse!R5362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20" t="s">
        <v>69</v>
      </c>
      <c r="G21" s="621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[31]Brewhouse!N5359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[31]Brewhouse!N5360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[31]Brewhouse!N5361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[31]Brewhouse!N5362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AVERAGE([31]Brewhouse!$AS$5347:$AS$5362)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AVERAGE([32]Brewhouse!$AQ$641:$AQ$644)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AVERAGE([33]Brewhouse!$AU$708:$AU$711)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AVERAGE([34]Brewhouse!$AY$943:$AY$946)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6" t="s">
        <v>17</v>
      </c>
      <c r="C43" s="612" t="s">
        <v>18</v>
      </c>
      <c r="D43" s="612" t="s">
        <v>44</v>
      </c>
      <c r="E43" s="612" t="s">
        <v>79</v>
      </c>
      <c r="F43" s="612" t="s">
        <v>51</v>
      </c>
      <c r="G43" s="612" t="s">
        <v>48</v>
      </c>
      <c r="H43" s="614" t="s">
        <v>28</v>
      </c>
      <c r="I43" s="615"/>
      <c r="J43" s="615"/>
      <c r="K43" s="622" t="s">
        <v>27</v>
      </c>
    </row>
    <row r="44" spans="2:15" ht="15.75" hidden="1" customHeight="1" thickBot="1">
      <c r="B44" s="627"/>
      <c r="C44" s="613"/>
      <c r="D44" s="613"/>
      <c r="E44" s="613"/>
      <c r="F44" s="613"/>
      <c r="G44" s="613"/>
      <c r="H44" s="616"/>
      <c r="I44" s="617"/>
      <c r="J44" s="617"/>
      <c r="K44" s="62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4"/>
      <c r="I45" s="625"/>
      <c r="J45" s="625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8"/>
      <c r="I46" s="619"/>
      <c r="J46" s="61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8"/>
      <c r="I47" s="619"/>
      <c r="J47" s="61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8"/>
      <c r="I48" s="619"/>
      <c r="J48" s="61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10"/>
      <c r="I49" s="611"/>
      <c r="J49" s="611"/>
      <c r="K49" s="172"/>
    </row>
    <row r="50" spans="2:11" ht="13.5" hidden="1" thickBot="1">
      <c r="B50" s="173"/>
      <c r="C50" s="160"/>
      <c r="E50" s="168"/>
      <c r="F50" s="168"/>
      <c r="G50" s="145"/>
      <c r="H50" s="610"/>
      <c r="I50" s="611"/>
      <c r="J50" s="61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10"/>
      <c r="I51" s="611"/>
      <c r="J51" s="61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01"/>
      <c r="I52" s="602"/>
      <c r="J52" s="602"/>
      <c r="K52" s="183"/>
    </row>
    <row r="53" spans="2:11" ht="13.5" thickBot="1">
      <c r="B53" s="184"/>
      <c r="C53" s="117"/>
      <c r="D53" s="603" t="s">
        <v>80</v>
      </c>
      <c r="E53" s="603"/>
      <c r="F53" s="603"/>
      <c r="G53" s="603"/>
      <c r="H53" s="603"/>
      <c r="I53" s="603"/>
      <c r="J53" s="603"/>
      <c r="K53" s="185"/>
    </row>
    <row r="54" spans="2:11" ht="13.5" thickBot="1">
      <c r="B54" s="604" t="s">
        <v>55</v>
      </c>
      <c r="C54" s="605"/>
      <c r="D54" s="605"/>
      <c r="E54" s="606"/>
      <c r="F54" s="604" t="s">
        <v>56</v>
      </c>
      <c r="G54" s="605"/>
      <c r="H54" s="606"/>
      <c r="I54" s="607" t="s">
        <v>81</v>
      </c>
      <c r="J54" s="608"/>
      <c r="K54" s="609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5">
      <c r="B56" s="29" t="s">
        <v>64</v>
      </c>
      <c r="C56" s="191"/>
      <c r="D56" s="76">
        <f>[30]MTD!$E5</f>
        <v>8.9604969886660122</v>
      </c>
      <c r="E56" s="192">
        <v>5</v>
      </c>
      <c r="F56" s="191"/>
      <c r="G56" s="76" t="e">
        <f>[28]January_2026!$AN3</f>
        <v>#REF!</v>
      </c>
      <c r="H56" s="192">
        <v>5</v>
      </c>
      <c r="I56" s="193"/>
      <c r="J56" s="194" t="e">
        <f>[29]January_2026!$AN13</f>
        <v>#REF!</v>
      </c>
      <c r="K56" s="195">
        <v>1</v>
      </c>
    </row>
    <row r="57" spans="2:11" ht="15">
      <c r="B57" s="33" t="s">
        <v>72</v>
      </c>
      <c r="C57" s="191"/>
      <c r="D57" s="76">
        <f>[30]MTD!$E6</f>
        <v>6.0460527097870944</v>
      </c>
      <c r="E57" s="192">
        <v>5</v>
      </c>
      <c r="F57" s="191"/>
      <c r="G57" s="76" t="e">
        <f>[28]January_2026!$AN4</f>
        <v>#REF!</v>
      </c>
      <c r="H57" s="192">
        <v>5</v>
      </c>
      <c r="I57" s="196"/>
      <c r="J57" s="194" t="e">
        <f>[29]January_2026!$AN14</f>
        <v>#REF!</v>
      </c>
      <c r="K57" s="195">
        <v>1</v>
      </c>
    </row>
    <row r="58" spans="2:11" ht="15">
      <c r="B58" s="34" t="s">
        <v>73</v>
      </c>
      <c r="C58" s="191"/>
      <c r="D58" s="76">
        <f>[30]MTD!$E7</f>
        <v>10.608139003200726</v>
      </c>
      <c r="E58" s="192">
        <v>5</v>
      </c>
      <c r="F58" s="191"/>
      <c r="G58" s="76">
        <f>[28]January_2026!$AN5</f>
        <v>11.382808901098844</v>
      </c>
      <c r="H58" s="192">
        <v>5</v>
      </c>
      <c r="I58" s="196"/>
      <c r="J58" s="194">
        <f>[29]January_2026!$AN15</f>
        <v>0.68596491228070178</v>
      </c>
      <c r="K58" s="195">
        <v>1</v>
      </c>
    </row>
    <row r="59" spans="2:11" ht="15">
      <c r="B59" s="197" t="s">
        <v>74</v>
      </c>
      <c r="C59" s="191"/>
      <c r="D59" s="76">
        <f>[30]MTD!$E8</f>
        <v>5.0755456997699637</v>
      </c>
      <c r="E59" s="192">
        <v>3.5</v>
      </c>
      <c r="F59" s="191"/>
      <c r="G59" s="76">
        <f>[28]January_2026!$AN6</f>
        <v>4.6359882890480018</v>
      </c>
      <c r="H59" s="192">
        <v>3.5</v>
      </c>
      <c r="I59" s="196"/>
      <c r="J59" s="194">
        <f>[29]January_2026!$AN16</f>
        <v>0.66833333333333345</v>
      </c>
      <c r="K59" s="195">
        <v>1</v>
      </c>
    </row>
    <row r="60" spans="2:11" ht="15.75" thickBot="1">
      <c r="B60" s="38" t="s">
        <v>160</v>
      </c>
      <c r="C60" s="191"/>
      <c r="D60" s="76" t="e">
        <f>[30]MTD!$E9</f>
        <v>#DIV/0!</v>
      </c>
      <c r="E60" s="192">
        <v>3.5</v>
      </c>
      <c r="F60" s="198"/>
      <c r="G60" s="76" t="e">
        <f>[28]January_2026!$AN7</f>
        <v>#DIV/0!</v>
      </c>
      <c r="H60" s="192">
        <v>3.5</v>
      </c>
      <c r="I60" s="196"/>
      <c r="J60" s="194" t="e">
        <f>[29]January_2026!$AN17</f>
        <v>#DIV/0!</v>
      </c>
      <c r="K60" s="195">
        <v>1</v>
      </c>
    </row>
    <row r="61" spans="2:11" ht="15">
      <c r="B61" s="199" t="s">
        <v>76</v>
      </c>
      <c r="C61" s="191"/>
      <c r="D61" s="76">
        <f>[30]MTD!$E10</f>
        <v>5.1105651105651271</v>
      </c>
      <c r="E61" s="200">
        <v>5</v>
      </c>
      <c r="F61" s="191"/>
      <c r="G61" s="76">
        <f>[28]January_2026!$AN8</f>
        <v>7.9131369535794072</v>
      </c>
      <c r="H61" s="200">
        <v>5</v>
      </c>
      <c r="I61" s="196"/>
      <c r="J61" s="194">
        <f>[29]January_2026!$AN18</f>
        <v>1.3550877192982456</v>
      </c>
      <c r="K61" s="195">
        <v>1</v>
      </c>
    </row>
    <row r="62" spans="2:11" ht="15">
      <c r="B62" s="201" t="s">
        <v>82</v>
      </c>
      <c r="C62" s="202"/>
      <c r="D62" s="76">
        <f>[30]MTD!$E11</f>
        <v>2.0590520590520631</v>
      </c>
      <c r="E62" s="200">
        <v>3.3</v>
      </c>
      <c r="F62" s="202"/>
      <c r="G62" s="76" t="e">
        <f>[28]January_2026!$AN9</f>
        <v>#REF!</v>
      </c>
      <c r="H62" s="200">
        <v>3.3</v>
      </c>
      <c r="I62" s="203"/>
      <c r="J62" s="194" t="e">
        <f>[29]January_2026!$AN19</f>
        <v>#REF!</v>
      </c>
      <c r="K62" s="204">
        <v>1</v>
      </c>
    </row>
    <row r="63" spans="2:11" ht="15.75" thickBot="1">
      <c r="B63" s="38" t="s">
        <v>128</v>
      </c>
      <c r="C63" s="205"/>
      <c r="D63" s="76" t="e">
        <f>[30]MTD!$E12</f>
        <v>#DIV/0!</v>
      </c>
      <c r="E63" s="206">
        <v>3.5</v>
      </c>
      <c r="F63" s="205"/>
      <c r="G63" s="76" t="e">
        <f>[28]January_2026!$AN10</f>
        <v>#DIV/0!</v>
      </c>
      <c r="H63" s="206">
        <v>3.5</v>
      </c>
      <c r="I63" s="207"/>
      <c r="J63" s="194" t="e">
        <f>[29]January_2026!$AN20</f>
        <v>#DIV/0!</v>
      </c>
      <c r="K63" s="208">
        <v>1</v>
      </c>
    </row>
    <row r="64" spans="2:11" ht="15.75" thickBot="1">
      <c r="B64" s="413" t="s">
        <v>159</v>
      </c>
      <c r="C64" s="198"/>
      <c r="D64" s="76" t="e">
        <f>[30]MTD!$E13</f>
        <v>#DIV/0!</v>
      </c>
      <c r="E64" s="192">
        <v>5</v>
      </c>
      <c r="F64" s="198"/>
      <c r="G64" s="76" t="e">
        <f>[28]January_2026!$AN11</f>
        <v>#DIV/0!</v>
      </c>
      <c r="H64" s="192">
        <v>5</v>
      </c>
      <c r="I64" s="412"/>
      <c r="J64" s="194">
        <f>[29]January_2026!$AN21</f>
        <v>0</v>
      </c>
      <c r="K64" s="208">
        <v>1</v>
      </c>
    </row>
    <row r="65" spans="2:11">
      <c r="B65" s="209"/>
      <c r="C65" s="210"/>
      <c r="D65" s="76">
        <f>[30]MTD!$E14</f>
        <v>6.9445400268227537</v>
      </c>
      <c r="E65" s="210"/>
      <c r="F65" s="210"/>
      <c r="G65" s="76" t="e">
        <f>[28]January_2026!$AN12</f>
        <v>#REF!</v>
      </c>
      <c r="H65" s="211"/>
      <c r="I65" s="212"/>
      <c r="J65" s="194" t="e">
        <f>[29]January_2026!$AN22</f>
        <v>#REF!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J56" sqref="J56:J66"/>
    </sheetView>
  </sheetViews>
  <sheetFormatPr defaultColWidth="9.42578125" defaultRowHeight="12.75"/>
  <cols>
    <col min="1" max="1" width="9.42578125" style="78"/>
    <col min="2" max="2" width="12.5703125" style="78" customWidth="1"/>
    <col min="3" max="3" width="9.42578125" style="78" customWidth="1"/>
    <col min="4" max="4" width="9.5703125" style="78" customWidth="1"/>
    <col min="5" max="5" width="8.5703125" style="78" customWidth="1"/>
    <col min="6" max="6" width="14.42578125" style="78" customWidth="1"/>
    <col min="7" max="7" width="11.42578125" style="78" customWidth="1"/>
    <col min="8" max="8" width="9.42578125" style="78" bestFit="1" customWidth="1"/>
    <col min="9" max="9" width="11.5703125" style="78" customWidth="1"/>
    <col min="10" max="10" width="11.5703125" style="78" bestFit="1" customWidth="1"/>
    <col min="11" max="11" width="16.42578125" style="78" customWidth="1"/>
    <col min="12" max="12" width="13.42578125" style="78" customWidth="1"/>
    <col min="13" max="16384" width="9.42578125" style="78"/>
  </cols>
  <sheetData>
    <row r="1" spans="2:14" ht="13.5" hidden="1" thickBot="1"/>
    <row r="2" spans="2:14" ht="15.75" hidden="1" thickBot="1">
      <c r="B2" s="628" t="s">
        <v>58</v>
      </c>
      <c r="C2" s="628"/>
      <c r="D2" s="628"/>
      <c r="E2" s="628"/>
      <c r="F2" s="628"/>
      <c r="G2" s="628"/>
      <c r="H2" s="628"/>
      <c r="I2" s="628"/>
      <c r="J2" s="628"/>
      <c r="K2" s="628"/>
    </row>
    <row r="3" spans="2:14" ht="15.75" hidden="1" thickBot="1">
      <c r="B3" s="79"/>
    </row>
    <row r="4" spans="2:14" ht="13.5" hidden="1" thickBot="1">
      <c r="B4" s="78" t="s">
        <v>7</v>
      </c>
      <c r="C4" s="629">
        <v>41431</v>
      </c>
      <c r="D4" s="629"/>
    </row>
    <row r="5" spans="2:14" ht="13.5" hidden="1" thickBot="1">
      <c r="C5" s="78" t="s">
        <v>41</v>
      </c>
    </row>
    <row r="6" spans="2:14" ht="15" hidden="1" thickBot="1">
      <c r="B6" s="5" t="s">
        <v>13</v>
      </c>
    </row>
    <row r="7" spans="2:14" ht="13.5" hidden="1" thickBot="1"/>
    <row r="8" spans="2:14" ht="25.5" hidden="1" customHeight="1" thickBot="1">
      <c r="B8" s="626" t="s">
        <v>17</v>
      </c>
      <c r="C8" s="612" t="s">
        <v>18</v>
      </c>
      <c r="D8" s="612" t="s">
        <v>59</v>
      </c>
      <c r="E8" s="80" t="s">
        <v>20</v>
      </c>
      <c r="F8" s="81" t="s">
        <v>21</v>
      </c>
      <c r="G8" s="612" t="s">
        <v>60</v>
      </c>
      <c r="H8" s="612" t="s">
        <v>61</v>
      </c>
      <c r="I8" s="632" t="s">
        <v>62</v>
      </c>
      <c r="J8" s="82" t="s">
        <v>25</v>
      </c>
      <c r="K8" s="622" t="s">
        <v>28</v>
      </c>
    </row>
    <row r="9" spans="2:14" ht="26.25" hidden="1" thickBot="1">
      <c r="B9" s="630"/>
      <c r="C9" s="631"/>
      <c r="D9" s="631"/>
      <c r="E9" s="83" t="s">
        <v>30</v>
      </c>
      <c r="F9" s="84" t="s">
        <v>63</v>
      </c>
      <c r="G9" s="631"/>
      <c r="H9" s="631"/>
      <c r="I9" s="633"/>
      <c r="J9" s="85" t="s">
        <v>32</v>
      </c>
      <c r="K9" s="634"/>
      <c r="L9" s="86"/>
      <c r="M9" s="86"/>
      <c r="N9" s="86"/>
    </row>
    <row r="10" spans="2:14" ht="13.5" hidden="1" thickBot="1">
      <c r="B10" s="87" t="s">
        <v>64</v>
      </c>
      <c r="C10" s="88" t="str">
        <f>[31]Brewhouse!A5359</f>
        <v>CA236</v>
      </c>
      <c r="D10" s="88">
        <f>[31]Brewhouse!B5359</f>
        <v>41437</v>
      </c>
      <c r="E10" s="89">
        <f>[31]Brewhouse!AG5359</f>
        <v>49.011000000000003</v>
      </c>
      <c r="F10" s="90">
        <f>[31]Brewhouse!T5359</f>
        <v>60</v>
      </c>
      <c r="G10" s="91">
        <f>[31]Brewhouse!I5359</f>
        <v>19.79</v>
      </c>
      <c r="H10" s="92">
        <f>[31]Brewhouse!AS5359</f>
        <v>94.981545664755075</v>
      </c>
      <c r="I10" s="92">
        <f>[31]Brewhouse!AT5359</f>
        <v>97.074072469002047</v>
      </c>
      <c r="J10" s="93">
        <f>[31]Brewhouse!S5359-[31]Brewhouse!R5359</f>
        <v>0.10694444444444451</v>
      </c>
      <c r="K10" s="94"/>
      <c r="N10" s="95"/>
    </row>
    <row r="11" spans="2:14" ht="13.5" hidden="1" thickBot="1">
      <c r="B11" s="96"/>
      <c r="C11" s="88" t="str">
        <f>[31]Brewhouse!A5360</f>
        <v>CA237</v>
      </c>
      <c r="D11" s="88">
        <f>[31]Brewhouse!B5360</f>
        <v>41437</v>
      </c>
      <c r="E11" s="89">
        <f>[31]Brewhouse!AG5360</f>
        <v>48.531999999999996</v>
      </c>
      <c r="F11" s="90">
        <f>[31]Brewhouse!T5360</f>
        <v>68</v>
      </c>
      <c r="G11" s="91">
        <f>[31]Brewhouse!I5360</f>
        <v>17.7</v>
      </c>
      <c r="H11" s="92">
        <f>[31]Brewhouse!AS5360</f>
        <v>94.053260986347809</v>
      </c>
      <c r="I11" s="92">
        <f>[31]Brewhouse!AT5360</f>
        <v>96.1253368644918</v>
      </c>
      <c r="J11" s="93">
        <f>[31]Brewhouse!S5360-[31]Brewhouse!R5360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[31]Brewhouse!A5361</f>
        <v>CA238</v>
      </c>
      <c r="D12" s="88">
        <f>[31]Brewhouse!B5361</f>
        <v>41437</v>
      </c>
      <c r="E12" s="89">
        <f>[31]Brewhouse!AG5361</f>
        <v>50.466999999999999</v>
      </c>
      <c r="F12" s="90">
        <f>[31]Brewhouse!T5361</f>
        <v>61</v>
      </c>
      <c r="G12" s="91">
        <f>[31]Brewhouse!I5361</f>
        <v>19.7</v>
      </c>
      <c r="H12" s="92">
        <f>[31]Brewhouse!AS5361</f>
        <v>96.931393272913695</v>
      </c>
      <c r="I12" s="92">
        <f>[31]Brewhouse!AT5361</f>
        <v>99.066876931102286</v>
      </c>
      <c r="J12" s="93">
        <f>[31]Brewhouse!S5361-[31]Brewhouse!R5361</f>
        <v>0.10208333333333341</v>
      </c>
      <c r="K12" s="98"/>
    </row>
    <row r="13" spans="2:14" ht="13.5" hidden="1" thickBot="1">
      <c r="B13" s="99"/>
      <c r="C13" s="88" t="str">
        <f>[31]Brewhouse!A5362</f>
        <v>CA239</v>
      </c>
      <c r="D13" s="88">
        <f>[31]Brewhouse!B5362</f>
        <v>41437</v>
      </c>
      <c r="E13" s="89">
        <f>[31]Brewhouse!AG5362</f>
        <v>49.374000000000002</v>
      </c>
      <c r="F13" s="90">
        <f>[31]Brewhouse!T5362</f>
        <v>62</v>
      </c>
      <c r="G13" s="91">
        <f>[31]Brewhouse!I5362</f>
        <v>19</v>
      </c>
      <c r="H13" s="92">
        <f>[31]Brewhouse!AS5362</f>
        <v>95.68502653795305</v>
      </c>
      <c r="I13" s="92">
        <f>[31]Brewhouse!AT5362</f>
        <v>97.793051643192499</v>
      </c>
      <c r="J13" s="93">
        <f>[31]Brewhouse!S5362-[31]Brewhouse!R5362</f>
        <v>0.10416666666666663</v>
      </c>
      <c r="K13" s="98"/>
      <c r="M13" s="100"/>
    </row>
    <row r="14" spans="2:14" ht="13.5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5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5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5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5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25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5" hidden="1" thickBot="1">
      <c r="B21" s="86" t="s">
        <v>66</v>
      </c>
      <c r="C21" s="118"/>
      <c r="D21" s="123" t="s">
        <v>67</v>
      </c>
      <c r="E21" s="124" t="s">
        <v>68</v>
      </c>
      <c r="F21" s="620" t="s">
        <v>69</v>
      </c>
      <c r="G21" s="621"/>
      <c r="H21" s="337"/>
      <c r="I21" s="125"/>
      <c r="J21" s="97"/>
      <c r="K21" s="126" t="s">
        <v>24</v>
      </c>
    </row>
    <row r="22" spans="2:11" ht="13.5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75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[31]Brewhouse!N5359</f>
        <v>60</v>
      </c>
    </row>
    <row r="24" spans="2:11" ht="15.75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[31]Brewhouse!N5360</f>
        <v>60</v>
      </c>
    </row>
    <row r="25" spans="2:11" ht="15.75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[31]Brewhouse!N5361</f>
        <v>60</v>
      </c>
    </row>
    <row r="26" spans="2:11" ht="15.75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[31]Brewhouse!N5362</f>
        <v>60</v>
      </c>
    </row>
    <row r="27" spans="2:11" ht="15.75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75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75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5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5" hidden="1" thickBot="1">
      <c r="F31" s="97"/>
    </row>
    <row r="32" spans="2:11" ht="13.5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5" hidden="1" thickBot="1">
      <c r="B33" s="87" t="s">
        <v>64</v>
      </c>
      <c r="C33" s="145">
        <f>AVERAGE(H10:H13)</f>
        <v>95.4128066154924</v>
      </c>
      <c r="D33" s="146">
        <f>AVERAGE([31]Brewhouse!$AS$5347:$AS$5362)</f>
        <v>96.296241624200576</v>
      </c>
      <c r="E33" s="147">
        <v>96</v>
      </c>
    </row>
    <row r="34" spans="2:15" ht="13.5" hidden="1" thickBot="1">
      <c r="B34" s="99" t="s">
        <v>72</v>
      </c>
      <c r="C34" s="100"/>
      <c r="D34" s="146">
        <f>AVERAGE([32]Brewhouse!$AQ$641:$AQ$644)</f>
        <v>94.359266355846486</v>
      </c>
      <c r="E34" s="147">
        <v>96</v>
      </c>
    </row>
    <row r="35" spans="2:15" ht="13.5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5" hidden="1" thickBot="1">
      <c r="B36" s="148" t="s">
        <v>74</v>
      </c>
      <c r="C36" s="145"/>
      <c r="D36" s="149">
        <f>AVERAGE([33]Brewhouse!$AU$708:$AU$711)</f>
        <v>95.049759132870761</v>
      </c>
      <c r="E36" s="147">
        <v>96</v>
      </c>
    </row>
    <row r="37" spans="2:15" ht="13.5" hidden="1" thickBot="1">
      <c r="B37" s="150" t="s">
        <v>75</v>
      </c>
      <c r="C37" s="145"/>
      <c r="D37" s="151">
        <f>AVERAGE([34]Brewhouse!$AY$943:$AY$946)</f>
        <v>95.307332180967137</v>
      </c>
      <c r="E37" s="147">
        <v>96</v>
      </c>
    </row>
    <row r="38" spans="2:15" ht="13.5" hidden="1" thickBot="1">
      <c r="B38" s="102" t="s">
        <v>76</v>
      </c>
      <c r="C38" s="152"/>
      <c r="D38" s="153"/>
      <c r="E38" s="147">
        <v>96</v>
      </c>
    </row>
    <row r="39" spans="2:15" ht="13.5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25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5" hidden="1" thickBot="1">
      <c r="B41" s="5" t="s">
        <v>42</v>
      </c>
      <c r="C41" s="78" t="s">
        <v>78</v>
      </c>
      <c r="D41" s="335"/>
    </row>
    <row r="42" spans="2:15" ht="13.5" hidden="1" thickBot="1"/>
    <row r="43" spans="2:15" ht="12.75" hidden="1" customHeight="1" thickBot="1">
      <c r="B43" s="626" t="s">
        <v>17</v>
      </c>
      <c r="C43" s="612" t="s">
        <v>18</v>
      </c>
      <c r="D43" s="612" t="s">
        <v>44</v>
      </c>
      <c r="E43" s="612" t="s">
        <v>79</v>
      </c>
      <c r="F43" s="612" t="s">
        <v>51</v>
      </c>
      <c r="G43" s="612" t="s">
        <v>48</v>
      </c>
      <c r="H43" s="614" t="s">
        <v>28</v>
      </c>
      <c r="I43" s="615"/>
      <c r="J43" s="615"/>
      <c r="K43" s="622" t="s">
        <v>27</v>
      </c>
    </row>
    <row r="44" spans="2:15" ht="15.75" hidden="1" customHeight="1" thickBot="1">
      <c r="B44" s="627"/>
      <c r="C44" s="613"/>
      <c r="D44" s="613"/>
      <c r="E44" s="613"/>
      <c r="F44" s="613"/>
      <c r="G44" s="613"/>
      <c r="H44" s="616"/>
      <c r="I44" s="617"/>
      <c r="J44" s="617"/>
      <c r="K44" s="62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624"/>
      <c r="I45" s="625"/>
      <c r="J45" s="625"/>
      <c r="K45" s="165"/>
      <c r="L45" s="166"/>
      <c r="N45" s="95"/>
    </row>
    <row r="46" spans="2:15" ht="13.5" hidden="1" thickBot="1">
      <c r="B46" s="99"/>
      <c r="C46" s="160"/>
      <c r="D46" s="167"/>
      <c r="E46" s="163"/>
      <c r="F46" s="168"/>
      <c r="G46" s="162"/>
      <c r="H46" s="618"/>
      <c r="I46" s="619"/>
      <c r="J46" s="619"/>
      <c r="K46" s="169"/>
      <c r="L46" s="166"/>
      <c r="M46" s="97"/>
      <c r="N46" s="95"/>
      <c r="O46" s="100"/>
    </row>
    <row r="47" spans="2:15" ht="13.5" hidden="1" thickBot="1">
      <c r="B47" s="99"/>
      <c r="C47" s="160"/>
      <c r="D47" s="103"/>
      <c r="E47" s="170"/>
      <c r="F47" s="168"/>
      <c r="G47" s="162"/>
      <c r="H47" s="618"/>
      <c r="I47" s="619"/>
      <c r="J47" s="619"/>
      <c r="K47" s="169"/>
    </row>
    <row r="48" spans="2:15" ht="13.5" hidden="1" thickBot="1">
      <c r="B48" s="102"/>
      <c r="C48" s="160"/>
      <c r="D48" s="167"/>
      <c r="E48" s="128"/>
      <c r="F48" s="168"/>
      <c r="G48" s="171"/>
      <c r="H48" s="618"/>
      <c r="I48" s="619"/>
      <c r="J48" s="619"/>
      <c r="K48" s="172"/>
    </row>
    <row r="49" spans="2:11" ht="13.5" hidden="1" thickBot="1">
      <c r="B49" s="101"/>
      <c r="C49" s="160"/>
      <c r="D49" s="167"/>
      <c r="E49" s="170"/>
      <c r="F49" s="163"/>
      <c r="G49" s="162"/>
      <c r="H49" s="610"/>
      <c r="I49" s="611"/>
      <c r="J49" s="611"/>
      <c r="K49" s="172"/>
    </row>
    <row r="50" spans="2:11" ht="13.5" hidden="1" thickBot="1">
      <c r="B50" s="173"/>
      <c r="C50" s="160"/>
      <c r="E50" s="168"/>
      <c r="F50" s="168"/>
      <c r="G50" s="145"/>
      <c r="H50" s="610"/>
      <c r="I50" s="611"/>
      <c r="J50" s="611"/>
      <c r="K50" s="172"/>
    </row>
    <row r="51" spans="2:11" ht="13.5" hidden="1" thickBot="1">
      <c r="B51" s="174"/>
      <c r="C51" s="160"/>
      <c r="D51" s="167"/>
      <c r="E51" s="175"/>
      <c r="F51" s="175"/>
      <c r="G51" s="176"/>
      <c r="H51" s="610"/>
      <c r="I51" s="611"/>
      <c r="J51" s="611"/>
      <c r="K51" s="177"/>
    </row>
    <row r="52" spans="2:11" ht="13.5" hidden="1" thickBot="1">
      <c r="B52" s="178"/>
      <c r="C52" s="179"/>
      <c r="D52" s="180"/>
      <c r="E52" s="181"/>
      <c r="F52" s="181"/>
      <c r="G52" s="182"/>
      <c r="H52" s="601"/>
      <c r="I52" s="602"/>
      <c r="J52" s="602"/>
      <c r="K52" s="183"/>
    </row>
    <row r="53" spans="2:11" ht="13.5" thickBot="1">
      <c r="B53" s="184"/>
      <c r="C53" s="117"/>
      <c r="D53" s="603" t="s">
        <v>80</v>
      </c>
      <c r="E53" s="603"/>
      <c r="F53" s="603"/>
      <c r="G53" s="603"/>
      <c r="H53" s="603"/>
      <c r="I53" s="603"/>
      <c r="J53" s="603"/>
      <c r="K53" s="185"/>
    </row>
    <row r="54" spans="2:11" ht="13.5" thickBot="1">
      <c r="B54" s="604" t="s">
        <v>55</v>
      </c>
      <c r="C54" s="605"/>
      <c r="D54" s="605"/>
      <c r="E54" s="606"/>
      <c r="F54" s="604" t="s">
        <v>56</v>
      </c>
      <c r="G54" s="605"/>
      <c r="H54" s="606"/>
      <c r="I54" s="607" t="s">
        <v>81</v>
      </c>
      <c r="J54" s="608"/>
      <c r="K54" s="609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5">
      <c r="B56" s="29" t="s">
        <v>64</v>
      </c>
      <c r="C56" s="191"/>
      <c r="D56" s="76">
        <f>'[30]YTD 2025'!$E5</f>
        <v>8.9604969886660122</v>
      </c>
      <c r="E56" s="192">
        <v>5</v>
      </c>
      <c r="F56" s="191"/>
      <c r="G56" s="76" t="e">
        <f>[28]January_2026!$AQ3</f>
        <v>#REF!</v>
      </c>
      <c r="H56" s="192">
        <v>5</v>
      </c>
      <c r="I56" s="193"/>
      <c r="J56" s="194" t="e">
        <f>[29]January_2026!$AQ13</f>
        <v>#REF!</v>
      </c>
      <c r="K56" s="195">
        <v>1</v>
      </c>
    </row>
    <row r="57" spans="2:11" ht="15">
      <c r="B57" s="33" t="s">
        <v>72</v>
      </c>
      <c r="C57" s="191"/>
      <c r="D57" s="76">
        <f>'[30]YTD 2025'!$E6</f>
        <v>6.0460527097870944</v>
      </c>
      <c r="E57" s="192">
        <v>5</v>
      </c>
      <c r="F57" s="191"/>
      <c r="G57" s="76" t="e">
        <f>[28]January_2026!$AQ4</f>
        <v>#REF!</v>
      </c>
      <c r="H57" s="192">
        <v>5</v>
      </c>
      <c r="I57" s="196"/>
      <c r="J57" s="194" t="e">
        <f>[29]January_2026!$AQ14</f>
        <v>#REF!</v>
      </c>
      <c r="K57" s="195">
        <v>1</v>
      </c>
    </row>
    <row r="58" spans="2:11" ht="15">
      <c r="B58" s="34" t="s">
        <v>73</v>
      </c>
      <c r="C58" s="191"/>
      <c r="D58" s="76">
        <f>'[30]YTD 2025'!$E7</f>
        <v>10.608139003200726</v>
      </c>
      <c r="E58" s="192">
        <v>5</v>
      </c>
      <c r="F58" s="191"/>
      <c r="G58" s="76">
        <f>[28]January_2026!$AQ5</f>
        <v>11.382808901098844</v>
      </c>
      <c r="H58" s="192">
        <v>5</v>
      </c>
      <c r="I58" s="196"/>
      <c r="J58" s="194">
        <f>[29]January_2026!$AQ15</f>
        <v>0.68596491228070178</v>
      </c>
      <c r="K58" s="195">
        <v>1</v>
      </c>
    </row>
    <row r="59" spans="2:11" ht="15">
      <c r="B59" s="197" t="s">
        <v>74</v>
      </c>
      <c r="C59" s="191"/>
      <c r="D59" s="76">
        <f>'[30]YTD 2025'!$E8</f>
        <v>5.0755456997699637</v>
      </c>
      <c r="E59" s="192">
        <v>3.5</v>
      </c>
      <c r="F59" s="191"/>
      <c r="G59" s="76">
        <f>[28]January_2026!$AQ6</f>
        <v>4.6359882890480018</v>
      </c>
      <c r="H59" s="192">
        <v>3.5</v>
      </c>
      <c r="I59" s="196"/>
      <c r="J59" s="194">
        <f>[29]January_2026!$AQ16</f>
        <v>0.66833333333333345</v>
      </c>
      <c r="K59" s="195">
        <v>1</v>
      </c>
    </row>
    <row r="60" spans="2:11" ht="15.75" thickBot="1">
      <c r="B60" s="38" t="s">
        <v>160</v>
      </c>
      <c r="C60" s="191"/>
      <c r="D60" s="76" t="e">
        <f>'[30]YTD 2025'!$E9</f>
        <v>#DIV/0!</v>
      </c>
      <c r="E60" s="192">
        <v>3.5</v>
      </c>
      <c r="F60" s="198"/>
      <c r="G60" s="76" t="e">
        <f>[28]January_2026!$AQ7</f>
        <v>#DIV/0!</v>
      </c>
      <c r="H60" s="192">
        <v>3.5</v>
      </c>
      <c r="I60" s="196"/>
      <c r="J60" s="194" t="e">
        <f>[29]January_2026!$AQ17</f>
        <v>#DIV/0!</v>
      </c>
      <c r="K60" s="195">
        <v>1</v>
      </c>
    </row>
    <row r="61" spans="2:11" ht="15">
      <c r="B61" s="199" t="s">
        <v>76</v>
      </c>
      <c r="C61" s="191"/>
      <c r="D61" s="76">
        <f>'[30]YTD 2025'!$E10</f>
        <v>5.1105651105651271</v>
      </c>
      <c r="E61" s="200">
        <v>5</v>
      </c>
      <c r="F61" s="191"/>
      <c r="G61" s="76">
        <f>[28]January_2026!$AQ8</f>
        <v>7.9131369535794072</v>
      </c>
      <c r="H61" s="200">
        <v>5</v>
      </c>
      <c r="I61" s="196"/>
      <c r="J61" s="194">
        <f>[29]January_2026!$AQ18</f>
        <v>1.3550877192982456</v>
      </c>
      <c r="K61" s="195">
        <v>1</v>
      </c>
    </row>
    <row r="62" spans="2:11" ht="15">
      <c r="B62" s="201" t="s">
        <v>82</v>
      </c>
      <c r="C62" s="202"/>
      <c r="D62" s="76">
        <f>'[30]YTD 2025'!$E11</f>
        <v>2.0590520590520631</v>
      </c>
      <c r="E62" s="200">
        <v>3.3</v>
      </c>
      <c r="F62" s="202"/>
      <c r="G62" s="76" t="e">
        <f>[28]January_2026!$AQ9</f>
        <v>#REF!</v>
      </c>
      <c r="H62" s="200">
        <v>3.3</v>
      </c>
      <c r="I62" s="203"/>
      <c r="J62" s="194" t="e">
        <f>[29]January_2026!$AQ19</f>
        <v>#REF!</v>
      </c>
      <c r="K62" s="204">
        <v>1</v>
      </c>
    </row>
    <row r="63" spans="2:11" ht="15.75" thickBot="1">
      <c r="B63" s="38" t="s">
        <v>128</v>
      </c>
      <c r="C63" s="205"/>
      <c r="D63" s="76" t="e">
        <f>'[30]YTD 2025'!$E12</f>
        <v>#DIV/0!</v>
      </c>
      <c r="E63" s="206">
        <v>3.5</v>
      </c>
      <c r="F63" s="205"/>
      <c r="G63" s="76" t="e">
        <f>[28]January_2026!$AQ10</f>
        <v>#DIV/0!</v>
      </c>
      <c r="H63" s="206">
        <v>3.5</v>
      </c>
      <c r="I63" s="207"/>
      <c r="J63" s="194" t="e">
        <f>[29]January_2026!$AQ20</f>
        <v>#DIV/0!</v>
      </c>
      <c r="K63" s="208">
        <v>1</v>
      </c>
    </row>
    <row r="64" spans="2:11" ht="15.75" thickBot="1">
      <c r="B64" s="413" t="s">
        <v>159</v>
      </c>
      <c r="C64" s="205"/>
      <c r="D64" s="76" t="e">
        <f>'[30]YTD 2025'!$E13</f>
        <v>#DIV/0!</v>
      </c>
      <c r="E64" s="206">
        <v>5</v>
      </c>
      <c r="F64" s="205"/>
      <c r="G64" s="76" t="e">
        <f>[28]January_2026!$AQ11</f>
        <v>#DIV/0!</v>
      </c>
      <c r="H64" s="206">
        <v>5</v>
      </c>
      <c r="I64" s="207"/>
      <c r="J64" s="194" t="e">
        <f>[29]January_2026!$AQ21</f>
        <v>#DIV/0!</v>
      </c>
      <c r="K64" s="208">
        <v>1</v>
      </c>
    </row>
    <row r="65" spans="2:11">
      <c r="B65" s="209"/>
      <c r="C65" s="210"/>
      <c r="D65" s="76">
        <f>'[30]YTD 2025'!$E14</f>
        <v>6.9445400268227537</v>
      </c>
      <c r="E65" s="210"/>
      <c r="F65" s="210"/>
      <c r="G65" s="76" t="e">
        <f>[28]January_2026!$AQ12</f>
        <v>#REF!</v>
      </c>
      <c r="H65" s="211"/>
      <c r="I65" s="212"/>
      <c r="J65" s="194" t="e">
        <f>[29]January_2026!$AQ22</f>
        <v>#REF!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2.75"/>
  <cols>
    <col min="2" max="2" width="9.5703125" customWidth="1"/>
    <col min="3" max="3" width="11" customWidth="1"/>
    <col min="4" max="4" width="13.5703125" customWidth="1"/>
    <col min="5" max="5" width="15.5703125" customWidth="1"/>
    <col min="11" max="11" width="10.42578125" bestFit="1" customWidth="1"/>
    <col min="12" max="12" width="15.42578125" bestFit="1" customWidth="1"/>
    <col min="13" max="13" width="12.285156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75">
      <c r="A2" s="215"/>
      <c r="B2" s="635" t="s">
        <v>34</v>
      </c>
      <c r="C2" s="635"/>
      <c r="D2" s="635"/>
      <c r="E2" s="215"/>
      <c r="F2" s="215"/>
      <c r="G2" s="215"/>
      <c r="H2" s="215"/>
      <c r="I2" s="215"/>
      <c r="J2" s="215"/>
      <c r="K2" s="215"/>
    </row>
    <row r="3" spans="1:13" s="219" customFormat="1" ht="15.75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75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75">
      <c r="A14" s="215"/>
      <c r="B14" s="635" t="s">
        <v>100</v>
      </c>
      <c r="C14" s="635"/>
      <c r="D14" s="635"/>
      <c r="E14" s="215"/>
      <c r="F14" s="215"/>
      <c r="G14" s="215"/>
      <c r="H14" s="215"/>
      <c r="I14" s="215"/>
      <c r="J14" s="215"/>
      <c r="K14" s="215"/>
    </row>
    <row r="15" spans="1:13" ht="15.75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75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75">
      <c r="A27" s="215"/>
      <c r="B27" s="635" t="s">
        <v>101</v>
      </c>
      <c r="C27" s="635"/>
      <c r="D27" s="635"/>
      <c r="E27" s="215"/>
      <c r="F27" s="215"/>
      <c r="G27" s="215"/>
      <c r="H27" s="215"/>
      <c r="I27" s="215"/>
      <c r="J27" s="215"/>
      <c r="K27" s="215"/>
    </row>
    <row r="28" spans="1:13" ht="15.75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75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2.75"/>
  <cols>
    <col min="1" max="1" width="2.42578125" customWidth="1"/>
    <col min="2" max="2" width="6.42578125" customWidth="1"/>
    <col min="3" max="3" width="25.42578125" customWidth="1"/>
    <col min="4" max="4" width="19.42578125" customWidth="1"/>
    <col min="5" max="5" width="15" customWidth="1"/>
    <col min="6" max="6" width="17.5703125" customWidth="1"/>
    <col min="7" max="7" width="13.42578125" customWidth="1"/>
    <col min="8" max="11" width="13.5703125" customWidth="1"/>
    <col min="12" max="12" width="17.42578125" bestFit="1" customWidth="1"/>
    <col min="13" max="15" width="17.42578125" customWidth="1"/>
    <col min="16" max="16" width="13.42578125" customWidth="1"/>
    <col min="17" max="17" width="8.5703125" customWidth="1"/>
    <col min="18" max="20" width="11.5703125" customWidth="1"/>
  </cols>
  <sheetData>
    <row r="2" spans="3:23" ht="15.7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37" t="s">
        <v>102</v>
      </c>
      <c r="D3" s="638"/>
      <c r="E3" s="639">
        <f ca="1">TODAY()</f>
        <v>46153</v>
      </c>
      <c r="F3" s="639"/>
      <c r="G3" s="639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9.5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40" t="s">
        <v>143</v>
      </c>
      <c r="D14" s="640"/>
      <c r="E14" s="640"/>
      <c r="F14" s="640"/>
      <c r="G14" s="640"/>
      <c r="H14" s="640"/>
    </row>
    <row r="15" spans="3:23" ht="15" customHeight="1">
      <c r="C15" s="640"/>
      <c r="D15" s="640"/>
      <c r="E15" s="640"/>
      <c r="F15" s="640"/>
      <c r="G15" s="640"/>
      <c r="H15" s="640"/>
    </row>
    <row r="16" spans="3:23" ht="15" customHeight="1">
      <c r="C16" s="640"/>
      <c r="D16" s="640"/>
      <c r="E16" s="640"/>
      <c r="F16" s="640"/>
      <c r="G16" s="640"/>
      <c r="H16" s="640"/>
    </row>
    <row r="17" spans="3:8" ht="15" customHeight="1">
      <c r="C17" s="640"/>
      <c r="D17" s="640"/>
      <c r="E17" s="640"/>
      <c r="F17" s="640"/>
      <c r="G17" s="640"/>
      <c r="H17" s="640"/>
    </row>
    <row r="18" spans="3:8" ht="15" customHeight="1">
      <c r="C18" s="640"/>
      <c r="D18" s="640"/>
      <c r="E18" s="640"/>
      <c r="F18" s="640"/>
      <c r="G18" s="640"/>
      <c r="H18" s="640"/>
    </row>
    <row r="19" spans="3:8" ht="15" customHeight="1">
      <c r="C19" s="640"/>
      <c r="D19" s="640"/>
      <c r="E19" s="640"/>
      <c r="F19" s="640"/>
      <c r="G19" s="640"/>
      <c r="H19" s="640"/>
    </row>
    <row r="20" spans="3:8" ht="15" customHeight="1">
      <c r="C20" s="640"/>
      <c r="D20" s="640"/>
      <c r="E20" s="640"/>
      <c r="F20" s="640"/>
      <c r="G20" s="640"/>
      <c r="H20" s="640"/>
    </row>
    <row r="21" spans="3:8" ht="15" customHeight="1">
      <c r="C21" s="640"/>
      <c r="D21" s="640"/>
      <c r="E21" s="640"/>
      <c r="F21" s="640"/>
      <c r="G21" s="640"/>
      <c r="H21" s="640"/>
    </row>
    <row r="22" spans="3:8" ht="15" customHeight="1">
      <c r="C22" s="640"/>
      <c r="D22" s="640"/>
      <c r="E22" s="640"/>
      <c r="F22" s="640"/>
      <c r="G22" s="640"/>
      <c r="H22" s="640"/>
    </row>
    <row r="23" spans="3:8" ht="15" customHeight="1">
      <c r="C23" s="640"/>
      <c r="D23" s="640"/>
      <c r="E23" s="640"/>
      <c r="F23" s="640"/>
      <c r="G23" s="640"/>
      <c r="H23" s="640"/>
    </row>
    <row r="24" spans="3:8" ht="15" customHeight="1">
      <c r="C24" s="640"/>
      <c r="D24" s="640"/>
      <c r="E24" s="640"/>
      <c r="F24" s="640"/>
      <c r="G24" s="640"/>
      <c r="H24" s="640"/>
    </row>
    <row r="25" spans="3:8" ht="15" customHeight="1">
      <c r="C25" s="640"/>
      <c r="D25" s="640"/>
      <c r="E25" s="640"/>
      <c r="F25" s="640"/>
      <c r="G25" s="640"/>
      <c r="H25" s="640"/>
    </row>
    <row r="26" spans="3:8" ht="15" customHeight="1">
      <c r="C26" s="640"/>
      <c r="D26" s="640"/>
      <c r="E26" s="640"/>
      <c r="F26" s="640"/>
      <c r="G26" s="640"/>
      <c r="H26" s="640"/>
    </row>
    <row r="27" spans="3:8" ht="15" customHeight="1">
      <c r="C27" s="640"/>
      <c r="D27" s="640"/>
      <c r="E27" s="640"/>
      <c r="F27" s="640"/>
      <c r="G27" s="640"/>
      <c r="H27" s="640"/>
    </row>
    <row r="28" spans="3:8" ht="15" customHeight="1">
      <c r="C28" s="640"/>
      <c r="D28" s="640"/>
      <c r="E28" s="640"/>
      <c r="F28" s="640"/>
      <c r="G28" s="640"/>
      <c r="H28" s="640"/>
    </row>
    <row r="29" spans="3:8" ht="15" customHeight="1">
      <c r="C29" s="640"/>
      <c r="D29" s="640"/>
      <c r="E29" s="640"/>
      <c r="F29" s="640"/>
      <c r="G29" s="640"/>
      <c r="H29" s="640"/>
    </row>
    <row r="30" spans="3:8" ht="15" customHeight="1">
      <c r="C30" s="640"/>
      <c r="D30" s="640"/>
      <c r="E30" s="640"/>
      <c r="F30" s="640"/>
      <c r="G30" s="640"/>
      <c r="H30" s="640"/>
    </row>
    <row r="31" spans="3:8" ht="15" customHeight="1">
      <c r="C31" s="640"/>
      <c r="D31" s="640"/>
      <c r="E31" s="640"/>
      <c r="F31" s="640"/>
      <c r="G31" s="640"/>
      <c r="H31" s="640"/>
    </row>
    <row r="36" spans="2:17" ht="15" customHeight="1"/>
    <row r="37" spans="2:17" ht="15" customHeight="1"/>
    <row r="38" spans="2:17" ht="30.75" customHeight="1" thickBot="1">
      <c r="C38" s="641" t="s">
        <v>109</v>
      </c>
      <c r="D38" s="641"/>
      <c r="E38" s="641"/>
      <c r="F38" s="642">
        <f ca="1">TODAY()</f>
        <v>46153</v>
      </c>
      <c r="G38" s="642"/>
      <c r="H38" s="642"/>
      <c r="I38" s="642"/>
      <c r="J38" s="643" t="s">
        <v>110</v>
      </c>
      <c r="K38" s="643"/>
      <c r="L38" s="643"/>
      <c r="M38" s="643"/>
      <c r="N38" s="643"/>
      <c r="O38" s="643"/>
      <c r="P38" s="643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'[35]Brewer Performance'!D40</f>
        <v>96.507822129582451</v>
      </c>
      <c r="E40" s="259">
        <f>AVERAGE('[36]Feb. 1'!I12:I13,'[36]Feb. 2'!I11:I14,[36]Feb.4!I13,[36]Feb.8!I14:I16,[36]Feb.9!I14,[36]Feb.9!I17:I18,[36]Feb10!I13:I16,[36]Feb14!I17,[36]Feb14!I15:I17,[36]Feb17!I10,[36]Feb17!I19:I21,'[36]Feb 21'!I10:I12,'[36]Feb 22'!I11:I13,'[36]Feb 23'!I14:I16,'[36]Feb 24'!I10:I12,'[36]Feb 25'!I13:I15,'[36]Feb 28'!I15:I18)</f>
        <v>98.284801217583563</v>
      </c>
      <c r="F40" s="259">
        <v>98.226686244092193</v>
      </c>
      <c r="G40" s="259">
        <v>98.210530202427222</v>
      </c>
      <c r="H40" s="259">
        <f>'[37]Brewer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'[35]Brewer Performance'!D41</f>
        <v>97.99738587335284</v>
      </c>
      <c r="E41" s="259">
        <f>AVERAGE('[36]Feb. 1'!I10:I11,'[36]Feb. 2'!I10,[36]Feb.3!I11:I13,[36]Feb.4!I10:I12,[36]Feb.8!I10,[36]Feb.8!I13,[36]Feb.9!I10:I13,[36]Feb10!I10:I12,[36]Feb11!I11:I13,[36]Feb14!I13:I14,[36]Feb17!I16:I18,[36]Feb18!I13:I15,'[36]Feb 21'!I17:I19,'[36]Feb 22'!I10,'[36]Feb 22'!I20:I22,'[36]Feb 23'!I10:I11,'[36]Feb 23'!I21,'[36]Feb 25'!I10:I12,'[36]Feb 28'!I11:I14)</f>
        <v>97.918121549662388</v>
      </c>
      <c r="F41" s="259">
        <v>98.070081368185257</v>
      </c>
      <c r="G41" s="259">
        <v>97.79453968977019</v>
      </c>
      <c r="H41" s="259">
        <f>'[37]Brewer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'[35]Brewer Performance'!D43</f>
        <v>98.304611060419475</v>
      </c>
      <c r="E44" s="259">
        <f>AVERAGE('[36]Feb. 2'!I15,[36]Feb.3!I10,[36]Feb.4!I16:I17,[36]Feb.8!I19:I21,[36]Feb.9!I19:I20,[36]Feb10!I17:I18,[36]Feb11!I10,[36]Feb14!I10:I12,[36]Feb17!I11:I13,[36]Feb18!I10:I12,'[36]Feb 21'!I13,'[36]Feb 21'!I16,'[36]Feb 22'!I16:I19,'[36]Feb 23'!I17:I20,'[36]Feb 24'!I15:I18,'[36]Feb 25'!I16:I17,'[36]Feb 28'!I10,'[36]Feb 28'!I19:I20)</f>
        <v>97.289162940824014</v>
      </c>
      <c r="F44" s="259">
        <v>98.163642226187022</v>
      </c>
      <c r="G44" s="259">
        <v>97.964054285784258</v>
      </c>
      <c r="H44" s="259">
        <f>'[37]Brewer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'[35]Brewer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'[35]Brewer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36" t="s">
        <v>123</v>
      </c>
      <c r="C48" s="636"/>
      <c r="D48" s="636"/>
      <c r="E48" s="636"/>
      <c r="F48" s="636"/>
      <c r="G48" s="636"/>
      <c r="H48" s="636"/>
      <c r="I48" s="636"/>
      <c r="J48" s="636"/>
      <c r="K48" s="636"/>
      <c r="L48" s="636"/>
      <c r="M48" s="636"/>
      <c r="N48" s="636"/>
      <c r="O48" s="636"/>
      <c r="P48" s="636"/>
      <c r="Q48" s="636"/>
    </row>
    <row r="49" spans="2:17" ht="15" customHeight="1"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</row>
    <row r="50" spans="2:17" ht="15" customHeight="1"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</row>
    <row r="51" spans="2:17" ht="15" customHeight="1">
      <c r="B51" s="636"/>
      <c r="C51" s="636"/>
      <c r="D51" s="636"/>
      <c r="E51" s="636"/>
      <c r="F51" s="636"/>
      <c r="G51" s="636"/>
      <c r="H51" s="636"/>
      <c r="I51" s="636"/>
      <c r="J51" s="636"/>
      <c r="K51" s="636"/>
      <c r="L51" s="636"/>
      <c r="M51" s="636"/>
      <c r="N51" s="636"/>
      <c r="O51" s="636"/>
      <c r="P51" s="636"/>
      <c r="Q51" s="636"/>
    </row>
    <row r="52" spans="2:17" ht="15" customHeight="1">
      <c r="B52" s="636"/>
      <c r="C52" s="636"/>
      <c r="D52" s="636"/>
      <c r="E52" s="636"/>
      <c r="F52" s="636"/>
      <c r="G52" s="636"/>
      <c r="H52" s="636"/>
      <c r="I52" s="636"/>
      <c r="J52" s="636"/>
      <c r="K52" s="636"/>
      <c r="L52" s="636"/>
      <c r="M52" s="636"/>
      <c r="N52" s="636"/>
      <c r="O52" s="636"/>
      <c r="P52" s="636"/>
      <c r="Q52" s="636"/>
    </row>
    <row r="53" spans="2:17" ht="15" customHeight="1">
      <c r="B53" s="636"/>
      <c r="C53" s="636"/>
      <c r="D53" s="636"/>
      <c r="E53" s="636"/>
      <c r="F53" s="636"/>
      <c r="G53" s="636"/>
      <c r="H53" s="636"/>
      <c r="I53" s="636"/>
      <c r="J53" s="636"/>
      <c r="K53" s="636"/>
      <c r="L53" s="636"/>
      <c r="M53" s="636"/>
      <c r="N53" s="636"/>
      <c r="O53" s="636"/>
      <c r="P53" s="636"/>
      <c r="Q53" s="636"/>
    </row>
    <row r="54" spans="2:17" ht="15" customHeight="1">
      <c r="B54" s="636"/>
      <c r="C54" s="636"/>
      <c r="D54" s="636"/>
      <c r="E54" s="636"/>
      <c r="F54" s="636"/>
      <c r="G54" s="636"/>
      <c r="H54" s="636"/>
      <c r="I54" s="636"/>
      <c r="J54" s="636"/>
      <c r="K54" s="636"/>
      <c r="L54" s="636"/>
      <c r="M54" s="636"/>
      <c r="N54" s="636"/>
      <c r="O54" s="636"/>
      <c r="P54" s="636"/>
      <c r="Q54" s="636"/>
    </row>
    <row r="55" spans="2:17" ht="15" customHeight="1">
      <c r="B55" s="636"/>
      <c r="C55" s="636"/>
      <c r="D55" s="636"/>
      <c r="E55" s="636"/>
      <c r="F55" s="636"/>
      <c r="G55" s="636"/>
      <c r="H55" s="636"/>
      <c r="I55" s="636"/>
      <c r="J55" s="636"/>
      <c r="K55" s="636"/>
      <c r="L55" s="636"/>
      <c r="M55" s="636"/>
      <c r="N55" s="636"/>
      <c r="O55" s="636"/>
      <c r="P55" s="636"/>
      <c r="Q55" s="636"/>
    </row>
    <row r="56" spans="2:17" ht="15" customHeight="1">
      <c r="B56" s="636"/>
      <c r="C56" s="636"/>
      <c r="D56" s="636"/>
      <c r="E56" s="636"/>
      <c r="F56" s="636"/>
      <c r="G56" s="636"/>
      <c r="H56" s="636"/>
      <c r="I56" s="636"/>
      <c r="J56" s="636"/>
      <c r="K56" s="636"/>
      <c r="L56" s="636"/>
      <c r="M56" s="636"/>
      <c r="N56" s="636"/>
      <c r="O56" s="636"/>
      <c r="P56" s="636"/>
      <c r="Q56" s="636"/>
    </row>
    <row r="57" spans="2:17" ht="15" customHeight="1"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</row>
    <row r="58" spans="2:17" ht="15" customHeight="1"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</row>
    <row r="59" spans="2:17" ht="15" customHeight="1">
      <c r="B59" s="636"/>
      <c r="C59" s="636"/>
      <c r="D59" s="636"/>
      <c r="E59" s="636"/>
      <c r="F59" s="636"/>
      <c r="G59" s="636"/>
      <c r="H59" s="636"/>
      <c r="I59" s="636"/>
      <c r="J59" s="636"/>
      <c r="K59" s="636"/>
      <c r="L59" s="636"/>
      <c r="M59" s="636"/>
      <c r="N59" s="636"/>
      <c r="O59" s="636"/>
      <c r="P59" s="636"/>
      <c r="Q59" s="636"/>
    </row>
    <row r="60" spans="2:17" ht="15" customHeight="1">
      <c r="B60" s="636"/>
      <c r="C60" s="636"/>
      <c r="D60" s="636"/>
      <c r="E60" s="636"/>
      <c r="F60" s="636"/>
      <c r="G60" s="636"/>
      <c r="H60" s="636"/>
      <c r="I60" s="636"/>
      <c r="J60" s="636"/>
      <c r="K60" s="636"/>
      <c r="L60" s="636"/>
      <c r="M60" s="636"/>
      <c r="N60" s="636"/>
      <c r="O60" s="636"/>
      <c r="P60" s="636"/>
      <c r="Q60" s="636"/>
    </row>
    <row r="61" spans="2:17" ht="15" customHeight="1">
      <c r="B61" s="636"/>
      <c r="C61" s="636"/>
      <c r="D61" s="636"/>
      <c r="E61" s="636"/>
      <c r="F61" s="636"/>
      <c r="G61" s="636"/>
      <c r="H61" s="636"/>
      <c r="I61" s="636"/>
      <c r="J61" s="636"/>
      <c r="K61" s="636"/>
      <c r="L61" s="636"/>
      <c r="M61" s="636"/>
      <c r="N61" s="636"/>
      <c r="O61" s="636"/>
      <c r="P61" s="636"/>
      <c r="Q61" s="636"/>
    </row>
    <row r="62" spans="2:17" ht="15" customHeight="1">
      <c r="B62" s="636"/>
      <c r="C62" s="636"/>
      <c r="D62" s="636"/>
      <c r="E62" s="636"/>
      <c r="F62" s="636"/>
      <c r="G62" s="636"/>
      <c r="H62" s="636"/>
      <c r="I62" s="636"/>
      <c r="J62" s="636"/>
      <c r="K62" s="636"/>
      <c r="L62" s="636"/>
      <c r="M62" s="636"/>
      <c r="N62" s="636"/>
      <c r="O62" s="636"/>
      <c r="P62" s="636"/>
      <c r="Q62" s="636"/>
    </row>
    <row r="63" spans="2:17" ht="15" customHeight="1">
      <c r="B63" s="636"/>
      <c r="C63" s="636"/>
      <c r="D63" s="636"/>
      <c r="E63" s="636"/>
      <c r="F63" s="636"/>
      <c r="G63" s="636"/>
      <c r="H63" s="636"/>
      <c r="I63" s="636"/>
      <c r="J63" s="636"/>
      <c r="K63" s="636"/>
      <c r="L63" s="636"/>
      <c r="M63" s="636"/>
      <c r="N63" s="636"/>
      <c r="O63" s="636"/>
      <c r="P63" s="636"/>
      <c r="Q63" s="636"/>
    </row>
    <row r="64" spans="2:17" ht="15" customHeight="1">
      <c r="B64" s="636"/>
      <c r="C64" s="636"/>
      <c r="D64" s="636"/>
      <c r="E64" s="636"/>
      <c r="F64" s="636"/>
      <c r="G64" s="636"/>
      <c r="H64" s="636"/>
      <c r="I64" s="636"/>
      <c r="J64" s="636"/>
      <c r="K64" s="636"/>
      <c r="L64" s="636"/>
      <c r="M64" s="636"/>
      <c r="N64" s="636"/>
      <c r="O64" s="636"/>
      <c r="P64" s="636"/>
      <c r="Q64" s="636"/>
    </row>
    <row r="65" spans="2:17" ht="15" customHeight="1">
      <c r="B65" s="636"/>
      <c r="C65" s="636"/>
      <c r="D65" s="636"/>
      <c r="E65" s="636"/>
      <c r="F65" s="636"/>
      <c r="G65" s="636"/>
      <c r="H65" s="636"/>
      <c r="I65" s="636"/>
      <c r="J65" s="636"/>
      <c r="K65" s="636"/>
      <c r="L65" s="636"/>
      <c r="M65" s="636"/>
      <c r="N65" s="636"/>
      <c r="O65" s="636"/>
      <c r="P65" s="636"/>
      <c r="Q65" s="636"/>
    </row>
    <row r="66" spans="2:17" ht="15" customHeight="1">
      <c r="B66" s="636"/>
      <c r="C66" s="636"/>
      <c r="D66" s="636"/>
      <c r="E66" s="636"/>
      <c r="F66" s="636"/>
      <c r="G66" s="636"/>
      <c r="H66" s="636"/>
      <c r="I66" s="636"/>
      <c r="J66" s="636"/>
      <c r="K66" s="636"/>
      <c r="L66" s="636"/>
      <c r="M66" s="636"/>
      <c r="N66" s="636"/>
      <c r="O66" s="636"/>
      <c r="P66" s="636"/>
      <c r="Q66" s="636"/>
    </row>
    <row r="67" spans="2:17" ht="15" customHeight="1">
      <c r="B67" s="636"/>
      <c r="C67" s="636"/>
      <c r="D67" s="636"/>
      <c r="E67" s="636"/>
      <c r="F67" s="636"/>
      <c r="G67" s="636"/>
      <c r="H67" s="636"/>
      <c r="I67" s="636"/>
      <c r="J67" s="636"/>
      <c r="K67" s="636"/>
      <c r="L67" s="636"/>
      <c r="M67" s="636"/>
      <c r="N67" s="636"/>
      <c r="O67" s="636"/>
      <c r="P67" s="636"/>
      <c r="Q67" s="636"/>
    </row>
    <row r="68" spans="2:17" ht="15" customHeight="1">
      <c r="B68" s="636"/>
      <c r="C68" s="636"/>
      <c r="D68" s="636"/>
      <c r="E68" s="636"/>
      <c r="F68" s="636"/>
      <c r="G68" s="636"/>
      <c r="H68" s="636"/>
      <c r="I68" s="636"/>
      <c r="J68" s="636"/>
      <c r="K68" s="636"/>
      <c r="L68" s="636"/>
      <c r="M68" s="636"/>
      <c r="N68" s="636"/>
      <c r="O68" s="636"/>
      <c r="P68" s="636"/>
      <c r="Q68" s="636"/>
    </row>
    <row r="69" spans="2:17" ht="15" customHeight="1">
      <c r="B69" s="636"/>
      <c r="C69" s="636"/>
      <c r="D69" s="636"/>
      <c r="E69" s="636"/>
      <c r="F69" s="636"/>
      <c r="G69" s="636"/>
      <c r="H69" s="636"/>
      <c r="I69" s="636"/>
      <c r="J69" s="636"/>
      <c r="K69" s="636"/>
      <c r="L69" s="636"/>
      <c r="M69" s="636"/>
      <c r="N69" s="636"/>
      <c r="O69" s="636"/>
      <c r="P69" s="636"/>
      <c r="Q69" s="636"/>
    </row>
    <row r="70" spans="2:17" ht="15" customHeight="1">
      <c r="B70" s="636"/>
      <c r="C70" s="636"/>
      <c r="D70" s="636"/>
      <c r="E70" s="636"/>
      <c r="F70" s="636"/>
      <c r="G70" s="636"/>
      <c r="H70" s="636"/>
      <c r="I70" s="636"/>
      <c r="J70" s="636"/>
      <c r="K70" s="636"/>
      <c r="L70" s="636"/>
      <c r="M70" s="636"/>
      <c r="N70" s="636"/>
      <c r="O70" s="636"/>
      <c r="P70" s="636"/>
      <c r="Q70" s="636"/>
    </row>
    <row r="71" spans="2:17" ht="15" customHeight="1">
      <c r="B71" s="636"/>
      <c r="C71" s="636"/>
      <c r="D71" s="636"/>
      <c r="E71" s="636"/>
      <c r="F71" s="636"/>
      <c r="G71" s="636"/>
      <c r="H71" s="636"/>
      <c r="I71" s="636"/>
      <c r="J71" s="636"/>
      <c r="K71" s="636"/>
      <c r="L71" s="636"/>
      <c r="M71" s="636"/>
      <c r="N71" s="636"/>
      <c r="O71" s="636"/>
      <c r="P71" s="636"/>
      <c r="Q71" s="636"/>
    </row>
    <row r="72" spans="2:17" ht="15" customHeight="1">
      <c r="B72" s="636"/>
      <c r="C72" s="636"/>
      <c r="D72" s="636"/>
      <c r="E72" s="636"/>
      <c r="F72" s="636"/>
      <c r="G72" s="636"/>
      <c r="H72" s="636"/>
      <c r="I72" s="636"/>
      <c r="J72" s="636"/>
      <c r="K72" s="636"/>
      <c r="L72" s="636"/>
      <c r="M72" s="636"/>
      <c r="N72" s="636"/>
      <c r="O72" s="636"/>
      <c r="P72" s="636"/>
      <c r="Q72" s="636"/>
    </row>
    <row r="73" spans="2:17" ht="15" customHeight="1">
      <c r="B73" s="636"/>
      <c r="C73" s="636"/>
      <c r="D73" s="636"/>
      <c r="E73" s="636"/>
      <c r="F73" s="636"/>
      <c r="G73" s="636"/>
      <c r="H73" s="636"/>
      <c r="I73" s="636"/>
      <c r="J73" s="636"/>
      <c r="K73" s="636"/>
      <c r="L73" s="636"/>
      <c r="M73" s="636"/>
      <c r="N73" s="636"/>
      <c r="O73" s="636"/>
      <c r="P73" s="636"/>
      <c r="Q73" s="636"/>
    </row>
    <row r="74" spans="2:17" ht="15" customHeight="1">
      <c r="B74" s="636"/>
      <c r="C74" s="636"/>
      <c r="D74" s="636"/>
      <c r="E74" s="636"/>
      <c r="F74" s="636"/>
      <c r="G74" s="636"/>
      <c r="H74" s="636"/>
      <c r="I74" s="636"/>
      <c r="J74" s="636"/>
      <c r="K74" s="636"/>
      <c r="L74" s="636"/>
      <c r="M74" s="636"/>
      <c r="N74" s="636"/>
      <c r="O74" s="636"/>
      <c r="P74" s="636"/>
      <c r="Q74" s="636"/>
    </row>
    <row r="75" spans="2:17" ht="15" customHeight="1">
      <c r="B75" s="636"/>
      <c r="C75" s="636"/>
      <c r="D75" s="636"/>
      <c r="E75" s="636"/>
      <c r="F75" s="636"/>
      <c r="G75" s="636"/>
      <c r="H75" s="636"/>
      <c r="I75" s="636"/>
      <c r="J75" s="636"/>
      <c r="K75" s="636"/>
      <c r="L75" s="636"/>
      <c r="M75" s="636"/>
      <c r="N75" s="636"/>
      <c r="O75" s="636"/>
      <c r="P75" s="636"/>
      <c r="Q75" s="636"/>
    </row>
    <row r="76" spans="2:17">
      <c r="B76" s="636"/>
      <c r="C76" s="636"/>
      <c r="D76" s="636"/>
      <c r="E76" s="636"/>
      <c r="F76" s="636"/>
      <c r="G76" s="636"/>
      <c r="H76" s="636"/>
      <c r="I76" s="636"/>
      <c r="J76" s="636"/>
      <c r="K76" s="636"/>
      <c r="L76" s="636"/>
      <c r="M76" s="636"/>
      <c r="N76" s="636"/>
      <c r="O76" s="636"/>
      <c r="P76" s="636"/>
      <c r="Q76" s="636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3</vt:i4>
      </vt:variant>
    </vt:vector>
  </HeadingPairs>
  <TitlesOfParts>
    <vt:vector size="29" baseType="lpstr">
      <vt:lpstr>Dec 18th</vt:lpstr>
      <vt:lpstr>Jan 2nd</vt:lpstr>
      <vt:lpstr>Jan 5th</vt:lpstr>
      <vt:lpstr>Jan 6th</vt:lpstr>
      <vt:lpstr>Jan 7th</vt:lpstr>
      <vt:lpstr>Jan 8th </vt:lpstr>
      <vt:lpstr>Jan 9th-10th</vt:lpstr>
      <vt:lpstr>Jan12th </vt:lpstr>
      <vt:lpstr>Jan13th</vt:lpstr>
      <vt:lpstr>Jan14th</vt:lpstr>
      <vt:lpstr>Jan15th</vt:lpstr>
      <vt:lpstr>Jan16-18th</vt:lpstr>
      <vt:lpstr>Jan19th </vt:lpstr>
      <vt:lpstr>Jan20th</vt:lpstr>
      <vt:lpstr>Jan21st</vt:lpstr>
      <vt:lpstr>Jan22nd</vt:lpstr>
      <vt:lpstr>Jan23rd</vt:lpstr>
      <vt:lpstr>Jan26th</vt:lpstr>
      <vt:lpstr>Jan27th</vt:lpstr>
      <vt:lpstr>Jan28th</vt:lpstr>
      <vt:lpstr>Jan29th</vt:lpstr>
      <vt:lpstr>Jan30th-31st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Kaylil Baptiste</cp:lastModifiedBy>
  <cp:lastPrinted>2024-01-26T11:36:30Z</cp:lastPrinted>
  <dcterms:created xsi:type="dcterms:W3CDTF">2020-01-28T18:21:11Z</dcterms:created>
  <dcterms:modified xsi:type="dcterms:W3CDTF">2026-05-11T15:55:11Z</dcterms:modified>
</cp:coreProperties>
</file>