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AAF99EDD-C5B2-4ACD-94C5-05953F766E86}" xr6:coauthVersionLast="47" xr6:coauthVersionMax="47" xr10:uidLastSave="{00000000-0000-0000-0000-000000000000}"/>
  <bookViews>
    <workbookView xWindow="-120" yWindow="-120" windowWidth="29040" windowHeight="15720" tabRatio="599" firstSheet="9" activeTab="10" xr2:uid="{1120807F-7390-4E10-A66F-84111922E872}"/>
  </bookViews>
  <sheets>
    <sheet name="Dec 18th" sheetId="658" state="hidden" r:id="rId1"/>
    <sheet name="Dec 1st" sheetId="881" r:id="rId2"/>
    <sheet name="Dec 2nd" sheetId="882" r:id="rId3"/>
    <sheet name="Dec 3rd " sheetId="883" r:id="rId4"/>
    <sheet name="Dec 4th" sheetId="884" r:id="rId5"/>
    <sheet name="Dec 5th-7th" sheetId="885" r:id="rId6"/>
    <sheet name="Dec 8th " sheetId="887" r:id="rId7"/>
    <sheet name="Dec 9th" sheetId="888" r:id="rId8"/>
    <sheet name="Dec 10th" sheetId="889" r:id="rId9"/>
    <sheet name="Dec 11th" sheetId="890" r:id="rId10"/>
    <sheet name="Dec 12th-14th" sheetId="891" r:id="rId11"/>
    <sheet name="Dec 15th" sheetId="892" r:id="rId12"/>
    <sheet name="Dec 16th" sheetId="893" r:id="rId13"/>
    <sheet name="Dec 17th " sheetId="894" r:id="rId14"/>
    <sheet name="Dec 18th " sheetId="895" r:id="rId15"/>
    <sheet name="Dec 19th" sheetId="896" r:id="rId16"/>
    <sheet name="Dec 22nd " sheetId="897" r:id="rId17"/>
    <sheet name="Dec 23rd" sheetId="898" r:id="rId18"/>
    <sheet name="Dec 24th" sheetId="899" r:id="rId19"/>
    <sheet name="Dec 29th" sheetId="900" r:id="rId20"/>
    <sheet name="Dec 30th " sheetId="901" r:id="rId21"/>
    <sheet name="Dec 31st" sheetId="902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1" i="902" l="1"/>
  <c r="L21" i="902"/>
  <c r="K21" i="902"/>
  <c r="I15" i="901" l="1"/>
  <c r="J15" i="901"/>
  <c r="K15" i="901"/>
  <c r="L15" i="901"/>
  <c r="M15" i="901"/>
  <c r="N15" i="901"/>
  <c r="C15" i="901"/>
  <c r="D15" i="901"/>
  <c r="E15" i="901"/>
  <c r="F15" i="901"/>
  <c r="G15" i="901"/>
  <c r="C21" i="902" l="1" a="1"/>
  <c r="C21" i="902" s="1"/>
  <c r="G50" i="902"/>
  <c r="K50" i="902"/>
  <c r="K61" i="902" s="1"/>
  <c r="M22" i="902" l="1"/>
  <c r="L22" i="902"/>
  <c r="K22" i="902"/>
  <c r="R14" i="902"/>
  <c r="S14" i="902"/>
  <c r="T14" i="902"/>
  <c r="U14" i="902"/>
  <c r="V14" i="902"/>
  <c r="W14" i="902"/>
  <c r="X14" i="902"/>
  <c r="Y14" i="902"/>
  <c r="Z14" i="902"/>
  <c r="R15" i="902"/>
  <c r="S15" i="902"/>
  <c r="T15" i="902"/>
  <c r="U15" i="902"/>
  <c r="V15" i="902"/>
  <c r="W15" i="902"/>
  <c r="X15" i="902"/>
  <c r="Y15" i="902"/>
  <c r="Z15" i="902"/>
  <c r="R16" i="902"/>
  <c r="S16" i="902"/>
  <c r="T16" i="902"/>
  <c r="U16" i="902"/>
  <c r="V16" i="902"/>
  <c r="W16" i="902"/>
  <c r="X16" i="902"/>
  <c r="Y16" i="902"/>
  <c r="Z16" i="902"/>
  <c r="R17" i="902"/>
  <c r="S17" i="902"/>
  <c r="T17" i="902"/>
  <c r="U17" i="902"/>
  <c r="V17" i="902"/>
  <c r="W17" i="902"/>
  <c r="X17" i="902"/>
  <c r="Y17" i="902"/>
  <c r="Z17" i="902"/>
  <c r="R18" i="902"/>
  <c r="S18" i="902"/>
  <c r="T18" i="902"/>
  <c r="U18" i="902"/>
  <c r="V18" i="902"/>
  <c r="W18" i="902"/>
  <c r="X18" i="902"/>
  <c r="Y18" i="902"/>
  <c r="Z18" i="902"/>
  <c r="R19" i="902"/>
  <c r="S19" i="902"/>
  <c r="T19" i="902"/>
  <c r="U19" i="902"/>
  <c r="V19" i="902"/>
  <c r="W19" i="902"/>
  <c r="X19" i="902"/>
  <c r="Y19" i="902"/>
  <c r="Z19" i="902"/>
  <c r="R20" i="902"/>
  <c r="S20" i="902"/>
  <c r="T20" i="902"/>
  <c r="U20" i="902"/>
  <c r="V20" i="902"/>
  <c r="W20" i="902"/>
  <c r="X20" i="902"/>
  <c r="Y20" i="902"/>
  <c r="Z20" i="902"/>
  <c r="R21" i="902"/>
  <c r="S21" i="902"/>
  <c r="T21" i="902"/>
  <c r="U21" i="902"/>
  <c r="V21" i="902"/>
  <c r="W21" i="902"/>
  <c r="X21" i="902"/>
  <c r="Y21" i="902"/>
  <c r="Z21" i="902"/>
  <c r="I13" i="902"/>
  <c r="J13" i="902"/>
  <c r="L13" i="902"/>
  <c r="M13" i="902"/>
  <c r="N13" i="902"/>
  <c r="O13" i="902"/>
  <c r="C13" i="902"/>
  <c r="D13" i="902"/>
  <c r="E13" i="902"/>
  <c r="F13" i="902"/>
  <c r="G13" i="902"/>
  <c r="I11" i="902"/>
  <c r="J11" i="902"/>
  <c r="L11" i="902"/>
  <c r="M11" i="902"/>
  <c r="N11" i="902"/>
  <c r="O11" i="902"/>
  <c r="I12" i="902"/>
  <c r="J12" i="902"/>
  <c r="L12" i="902"/>
  <c r="M12" i="902"/>
  <c r="N12" i="902"/>
  <c r="O12" i="902"/>
  <c r="C11" i="902"/>
  <c r="D11" i="902"/>
  <c r="E11" i="902"/>
  <c r="F11" i="902"/>
  <c r="G11" i="902"/>
  <c r="C12" i="902"/>
  <c r="D12" i="902"/>
  <c r="E12" i="902"/>
  <c r="F12" i="902"/>
  <c r="G12" i="902"/>
  <c r="B50" i="902"/>
  <c r="B21" i="902"/>
  <c r="F66" i="902"/>
  <c r="AX50" i="902"/>
  <c r="AW50" i="902"/>
  <c r="AV50" i="902"/>
  <c r="AU50" i="902"/>
  <c r="AT50" i="902"/>
  <c r="AS50" i="902"/>
  <c r="AR50" i="902"/>
  <c r="AQ50" i="902"/>
  <c r="AP50" i="902"/>
  <c r="AO50" i="902"/>
  <c r="AN50" i="902"/>
  <c r="AM50" i="902"/>
  <c r="AL50" i="902"/>
  <c r="AK50" i="902"/>
  <c r="AJ50" i="902"/>
  <c r="AI50" i="902"/>
  <c r="AH50" i="902"/>
  <c r="AG50" i="902"/>
  <c r="AF50" i="902"/>
  <c r="AE50" i="902"/>
  <c r="AD50" i="902"/>
  <c r="AC50" i="902"/>
  <c r="AB50" i="902"/>
  <c r="K45" i="902"/>
  <c r="Z32" i="902"/>
  <c r="Y32" i="902"/>
  <c r="X32" i="902"/>
  <c r="W32" i="902"/>
  <c r="V32" i="902"/>
  <c r="U32" i="902"/>
  <c r="T32" i="902"/>
  <c r="S32" i="902"/>
  <c r="R32" i="902"/>
  <c r="Z31" i="902"/>
  <c r="Y31" i="902"/>
  <c r="X31" i="902"/>
  <c r="W31" i="902"/>
  <c r="V31" i="902"/>
  <c r="U31" i="902"/>
  <c r="T31" i="902"/>
  <c r="S31" i="902"/>
  <c r="R31" i="902"/>
  <c r="Z30" i="902"/>
  <c r="Y30" i="902"/>
  <c r="X30" i="902"/>
  <c r="W30" i="902"/>
  <c r="V30" i="902"/>
  <c r="U30" i="902"/>
  <c r="T30" i="902"/>
  <c r="S30" i="902"/>
  <c r="R30" i="902"/>
  <c r="M30" i="902"/>
  <c r="Z29" i="902"/>
  <c r="Y29" i="902"/>
  <c r="X29" i="902"/>
  <c r="W29" i="902"/>
  <c r="V29" i="902"/>
  <c r="U29" i="902"/>
  <c r="T29" i="902"/>
  <c r="S29" i="902"/>
  <c r="R29" i="902"/>
  <c r="M29" i="902"/>
  <c r="Z28" i="902"/>
  <c r="Y28" i="902"/>
  <c r="X28" i="902"/>
  <c r="W28" i="902"/>
  <c r="V28" i="902"/>
  <c r="U28" i="902"/>
  <c r="T28" i="902"/>
  <c r="S28" i="902"/>
  <c r="R28" i="902"/>
  <c r="M28" i="902"/>
  <c r="Z27" i="902"/>
  <c r="Y27" i="902"/>
  <c r="X27" i="902"/>
  <c r="W27" i="902"/>
  <c r="V27" i="902"/>
  <c r="U27" i="902"/>
  <c r="T27" i="902"/>
  <c r="S27" i="902"/>
  <c r="R27" i="902"/>
  <c r="L27" i="902"/>
  <c r="K27" i="902"/>
  <c r="Z26" i="902"/>
  <c r="Y26" i="902"/>
  <c r="X26" i="902"/>
  <c r="W26" i="902"/>
  <c r="V26" i="902"/>
  <c r="U26" i="902"/>
  <c r="T26" i="902"/>
  <c r="S26" i="902"/>
  <c r="R26" i="902"/>
  <c r="M26" i="902"/>
  <c r="Z25" i="902"/>
  <c r="Y25" i="902"/>
  <c r="X25" i="902"/>
  <c r="W25" i="902"/>
  <c r="V25" i="902"/>
  <c r="U25" i="902"/>
  <c r="T25" i="902"/>
  <c r="S25" i="902"/>
  <c r="R25" i="902"/>
  <c r="Z24" i="902"/>
  <c r="Y24" i="902"/>
  <c r="X24" i="902"/>
  <c r="W24" i="902"/>
  <c r="V24" i="902"/>
  <c r="U24" i="902"/>
  <c r="T24" i="902"/>
  <c r="S24" i="902"/>
  <c r="R24" i="902"/>
  <c r="M24" i="902"/>
  <c r="L24" i="902"/>
  <c r="K24" i="902"/>
  <c r="Z23" i="902"/>
  <c r="Y23" i="902"/>
  <c r="X23" i="902"/>
  <c r="W23" i="902"/>
  <c r="V23" i="902"/>
  <c r="U23" i="902"/>
  <c r="T23" i="902"/>
  <c r="S23" i="902"/>
  <c r="R23" i="902"/>
  <c r="M23" i="902"/>
  <c r="L23" i="902"/>
  <c r="K23" i="902"/>
  <c r="Z22" i="902"/>
  <c r="Y22" i="902"/>
  <c r="X22" i="902"/>
  <c r="W22" i="902"/>
  <c r="V22" i="902"/>
  <c r="U22" i="902"/>
  <c r="T22" i="902"/>
  <c r="S22" i="902"/>
  <c r="R22" i="902"/>
  <c r="Z13" i="902"/>
  <c r="Y13" i="902"/>
  <c r="X13" i="902"/>
  <c r="W13" i="902"/>
  <c r="V13" i="902"/>
  <c r="U13" i="902"/>
  <c r="T13" i="902"/>
  <c r="S13" i="902"/>
  <c r="R13" i="902"/>
  <c r="Z12" i="902"/>
  <c r="Y12" i="902"/>
  <c r="X12" i="902"/>
  <c r="W12" i="902"/>
  <c r="V12" i="902"/>
  <c r="U12" i="902"/>
  <c r="T12" i="902"/>
  <c r="S12" i="902"/>
  <c r="R12" i="902"/>
  <c r="Z11" i="902"/>
  <c r="Y11" i="902"/>
  <c r="X11" i="902"/>
  <c r="W11" i="902"/>
  <c r="V11" i="902"/>
  <c r="U11" i="902"/>
  <c r="T11" i="902"/>
  <c r="S11" i="902"/>
  <c r="R11" i="902"/>
  <c r="Z10" i="902"/>
  <c r="Y10" i="902"/>
  <c r="X10" i="902"/>
  <c r="W10" i="902"/>
  <c r="V10" i="902"/>
  <c r="U10" i="902"/>
  <c r="T10" i="902"/>
  <c r="S10" i="902"/>
  <c r="R10" i="902"/>
  <c r="O10" i="902"/>
  <c r="N10" i="902"/>
  <c r="M10" i="902"/>
  <c r="L10" i="902"/>
  <c r="J10" i="902"/>
  <c r="I10" i="902"/>
  <c r="G10" i="902"/>
  <c r="F10" i="902"/>
  <c r="E10" i="902"/>
  <c r="D10" i="902"/>
  <c r="C10" i="902"/>
  <c r="G70" i="901"/>
  <c r="K58" i="901"/>
  <c r="K70" i="901" s="1"/>
  <c r="G58" i="901"/>
  <c r="D58" i="901"/>
  <c r="B58" i="901"/>
  <c r="C39" i="901" a="1"/>
  <c r="C39" i="901" s="1"/>
  <c r="M30" i="901"/>
  <c r="L30" i="901"/>
  <c r="K30" i="901"/>
  <c r="M29" i="901"/>
  <c r="L29" i="901"/>
  <c r="K29" i="901"/>
  <c r="G18" i="901"/>
  <c r="G19" i="901"/>
  <c r="G20" i="901"/>
  <c r="G22" i="901"/>
  <c r="G17" i="901"/>
  <c r="J22" i="902" l="1"/>
  <c r="K31" i="902"/>
  <c r="L31" i="902" s="1"/>
  <c r="M31" i="902" s="1"/>
  <c r="J13" i="901"/>
  <c r="J14" i="901"/>
  <c r="B29" i="901"/>
  <c r="X29" i="901" s="1"/>
  <c r="R11" i="901"/>
  <c r="S11" i="901"/>
  <c r="T11" i="901"/>
  <c r="U11" i="901"/>
  <c r="V11" i="901"/>
  <c r="W11" i="901"/>
  <c r="X11" i="901"/>
  <c r="Y11" i="901"/>
  <c r="Z11" i="901"/>
  <c r="R12" i="901"/>
  <c r="S12" i="901"/>
  <c r="T12" i="901"/>
  <c r="U12" i="901"/>
  <c r="V12" i="901"/>
  <c r="W12" i="901"/>
  <c r="X12" i="901"/>
  <c r="Y12" i="901"/>
  <c r="Z12" i="901"/>
  <c r="R13" i="901"/>
  <c r="S13" i="901"/>
  <c r="T13" i="901"/>
  <c r="U13" i="901"/>
  <c r="V13" i="901"/>
  <c r="W13" i="901"/>
  <c r="X13" i="901"/>
  <c r="Y13" i="901"/>
  <c r="Z13" i="901"/>
  <c r="R14" i="901"/>
  <c r="S14" i="901"/>
  <c r="T14" i="901"/>
  <c r="U14" i="901"/>
  <c r="V14" i="901"/>
  <c r="W14" i="901"/>
  <c r="X14" i="901"/>
  <c r="Y14" i="901"/>
  <c r="Z14" i="901"/>
  <c r="R16" i="901"/>
  <c r="S16" i="901"/>
  <c r="T16" i="901"/>
  <c r="U16" i="901"/>
  <c r="V16" i="901"/>
  <c r="W16" i="901"/>
  <c r="X16" i="901"/>
  <c r="Y16" i="901"/>
  <c r="Z16" i="901"/>
  <c r="R17" i="901"/>
  <c r="S17" i="901"/>
  <c r="T17" i="901"/>
  <c r="U17" i="901"/>
  <c r="V17" i="901"/>
  <c r="W17" i="901"/>
  <c r="X17" i="901"/>
  <c r="Y17" i="901"/>
  <c r="Z17" i="901"/>
  <c r="R18" i="901"/>
  <c r="S18" i="901"/>
  <c r="T18" i="901"/>
  <c r="U18" i="901"/>
  <c r="V18" i="901"/>
  <c r="W18" i="901"/>
  <c r="X18" i="901"/>
  <c r="Y18" i="901"/>
  <c r="Z18" i="901"/>
  <c r="R19" i="901"/>
  <c r="S19" i="901"/>
  <c r="T19" i="901"/>
  <c r="U19" i="901"/>
  <c r="V19" i="901"/>
  <c r="W19" i="901"/>
  <c r="X19" i="901"/>
  <c r="Y19" i="901"/>
  <c r="Z19" i="901"/>
  <c r="R20" i="901"/>
  <c r="S20" i="901"/>
  <c r="T20" i="901"/>
  <c r="U20" i="901"/>
  <c r="V20" i="901"/>
  <c r="W20" i="901"/>
  <c r="X20" i="901"/>
  <c r="Y20" i="901"/>
  <c r="Z20" i="901"/>
  <c r="R22" i="901"/>
  <c r="S22" i="901"/>
  <c r="T22" i="901"/>
  <c r="U22" i="901"/>
  <c r="V22" i="901"/>
  <c r="W22" i="901"/>
  <c r="X22" i="901"/>
  <c r="Y22" i="901"/>
  <c r="Z22" i="901"/>
  <c r="R23" i="901"/>
  <c r="S23" i="901"/>
  <c r="T23" i="901"/>
  <c r="U23" i="901"/>
  <c r="V23" i="901"/>
  <c r="W23" i="901"/>
  <c r="X23" i="901"/>
  <c r="Y23" i="901"/>
  <c r="Z23" i="901"/>
  <c r="R24" i="901"/>
  <c r="S24" i="901"/>
  <c r="T24" i="901"/>
  <c r="U24" i="901"/>
  <c r="V24" i="901"/>
  <c r="W24" i="901"/>
  <c r="X24" i="901"/>
  <c r="Y24" i="901"/>
  <c r="Z24" i="901"/>
  <c r="R25" i="901"/>
  <c r="S25" i="901"/>
  <c r="T25" i="901"/>
  <c r="U25" i="901"/>
  <c r="V25" i="901"/>
  <c r="W25" i="901"/>
  <c r="X25" i="901"/>
  <c r="Y25" i="901"/>
  <c r="Z25" i="901"/>
  <c r="R26" i="901"/>
  <c r="S26" i="901"/>
  <c r="T26" i="901"/>
  <c r="U26" i="901"/>
  <c r="V26" i="901"/>
  <c r="W26" i="901"/>
  <c r="X26" i="901"/>
  <c r="Y26" i="901"/>
  <c r="Z26" i="901"/>
  <c r="D17" i="901"/>
  <c r="E17" i="901"/>
  <c r="F17" i="901"/>
  <c r="L17" i="901"/>
  <c r="M17" i="901"/>
  <c r="O17" i="901"/>
  <c r="D18" i="901"/>
  <c r="E18" i="901"/>
  <c r="F18" i="901"/>
  <c r="L18" i="901"/>
  <c r="M18" i="901"/>
  <c r="O18" i="901"/>
  <c r="D19" i="901"/>
  <c r="E19" i="901"/>
  <c r="F19" i="901"/>
  <c r="L19" i="901"/>
  <c r="M19" i="901"/>
  <c r="N19" i="901"/>
  <c r="O19" i="901"/>
  <c r="D20" i="901"/>
  <c r="E20" i="901"/>
  <c r="F20" i="901"/>
  <c r="L20" i="901"/>
  <c r="M20" i="901"/>
  <c r="N20" i="901"/>
  <c r="O20" i="901"/>
  <c r="D22" i="901"/>
  <c r="E22" i="901"/>
  <c r="F22" i="901"/>
  <c r="L22" i="901"/>
  <c r="M22" i="901"/>
  <c r="N22" i="901"/>
  <c r="O22" i="901"/>
  <c r="L11" i="901"/>
  <c r="M11" i="901"/>
  <c r="O11" i="901"/>
  <c r="L12" i="901"/>
  <c r="M12" i="901"/>
  <c r="O12" i="901"/>
  <c r="L13" i="901"/>
  <c r="M13" i="901"/>
  <c r="O13" i="901"/>
  <c r="L14" i="901"/>
  <c r="M14" i="901"/>
  <c r="O14" i="901"/>
  <c r="C11" i="901"/>
  <c r="D11" i="901"/>
  <c r="E11" i="901"/>
  <c r="F11" i="901"/>
  <c r="G11" i="901"/>
  <c r="C12" i="901"/>
  <c r="D12" i="901"/>
  <c r="E12" i="901"/>
  <c r="F12" i="901"/>
  <c r="G12" i="901"/>
  <c r="C13" i="901"/>
  <c r="D13" i="901"/>
  <c r="E13" i="901"/>
  <c r="F13" i="901"/>
  <c r="G13" i="901"/>
  <c r="C14" i="901"/>
  <c r="D14" i="901"/>
  <c r="E14" i="901"/>
  <c r="F14" i="901"/>
  <c r="G14" i="901"/>
  <c r="F74" i="901"/>
  <c r="AX58" i="901"/>
  <c r="AW58" i="901"/>
  <c r="AV58" i="901"/>
  <c r="AU58" i="901"/>
  <c r="AT58" i="901"/>
  <c r="AS58" i="901"/>
  <c r="AR58" i="901"/>
  <c r="AQ58" i="901"/>
  <c r="AP58" i="901"/>
  <c r="AO58" i="901"/>
  <c r="AN58" i="901"/>
  <c r="AM58" i="901"/>
  <c r="AL58" i="901"/>
  <c r="AK58" i="901"/>
  <c r="AJ58" i="901"/>
  <c r="AI58" i="901"/>
  <c r="AH58" i="901"/>
  <c r="AG58" i="901"/>
  <c r="AF58" i="901"/>
  <c r="AE58" i="901"/>
  <c r="AD58" i="901"/>
  <c r="AC58" i="901"/>
  <c r="AB58" i="901"/>
  <c r="L58" i="901"/>
  <c r="C70" i="901" s="1"/>
  <c r="K53" i="901"/>
  <c r="Z40" i="901"/>
  <c r="Y40" i="901"/>
  <c r="X40" i="901"/>
  <c r="W40" i="901"/>
  <c r="V40" i="901"/>
  <c r="U40" i="901"/>
  <c r="T40" i="901"/>
  <c r="S40" i="901"/>
  <c r="R40" i="901"/>
  <c r="Z39" i="901"/>
  <c r="Y39" i="901"/>
  <c r="X39" i="901"/>
  <c r="W39" i="901"/>
  <c r="V39" i="901"/>
  <c r="U39" i="901"/>
  <c r="T39" i="901"/>
  <c r="S39" i="901"/>
  <c r="R39" i="901"/>
  <c r="Z38" i="901"/>
  <c r="Y38" i="901"/>
  <c r="X38" i="901"/>
  <c r="W38" i="901"/>
  <c r="V38" i="901"/>
  <c r="U38" i="901"/>
  <c r="T38" i="901"/>
  <c r="S38" i="901"/>
  <c r="R38" i="901"/>
  <c r="M38" i="901"/>
  <c r="Z37" i="901"/>
  <c r="Y37" i="901"/>
  <c r="X37" i="901"/>
  <c r="W37" i="901"/>
  <c r="V37" i="901"/>
  <c r="U37" i="901"/>
  <c r="T37" i="901"/>
  <c r="S37" i="901"/>
  <c r="R37" i="901"/>
  <c r="M37" i="901"/>
  <c r="Z36" i="901"/>
  <c r="Y36" i="901"/>
  <c r="X36" i="901"/>
  <c r="W36" i="901"/>
  <c r="V36" i="901"/>
  <c r="U36" i="901"/>
  <c r="T36" i="901"/>
  <c r="S36" i="901"/>
  <c r="R36" i="901"/>
  <c r="M36" i="901"/>
  <c r="Z35" i="901"/>
  <c r="Y35" i="901"/>
  <c r="X35" i="901"/>
  <c r="W35" i="901"/>
  <c r="V35" i="901"/>
  <c r="U35" i="901"/>
  <c r="T35" i="901"/>
  <c r="S35" i="901"/>
  <c r="R35" i="901"/>
  <c r="L35" i="901"/>
  <c r="K35" i="901"/>
  <c r="Z34" i="901"/>
  <c r="Y34" i="901"/>
  <c r="X34" i="901"/>
  <c r="W34" i="901"/>
  <c r="V34" i="901"/>
  <c r="U34" i="901"/>
  <c r="T34" i="901"/>
  <c r="S34" i="901"/>
  <c r="R34" i="901"/>
  <c r="M34" i="901"/>
  <c r="Z33" i="901"/>
  <c r="Y33" i="901"/>
  <c r="X33" i="901"/>
  <c r="W33" i="901"/>
  <c r="V33" i="901"/>
  <c r="U33" i="901"/>
  <c r="T33" i="901"/>
  <c r="S33" i="901"/>
  <c r="R33" i="901"/>
  <c r="Z32" i="901"/>
  <c r="Y32" i="901"/>
  <c r="X32" i="901"/>
  <c r="W32" i="901"/>
  <c r="V32" i="901"/>
  <c r="U32" i="901"/>
  <c r="T32" i="901"/>
  <c r="S32" i="901"/>
  <c r="R32" i="901"/>
  <c r="M32" i="901"/>
  <c r="L32" i="901"/>
  <c r="K32" i="901"/>
  <c r="Z31" i="901"/>
  <c r="Y31" i="901"/>
  <c r="X31" i="901"/>
  <c r="W31" i="901"/>
  <c r="V31" i="901"/>
  <c r="U31" i="901"/>
  <c r="T31" i="901"/>
  <c r="S31" i="901"/>
  <c r="R31" i="901"/>
  <c r="M31" i="901"/>
  <c r="L31" i="901"/>
  <c r="K31" i="901"/>
  <c r="Z30" i="901"/>
  <c r="Y30" i="901"/>
  <c r="X30" i="901"/>
  <c r="W30" i="901"/>
  <c r="V30" i="901"/>
  <c r="U30" i="901"/>
  <c r="T30" i="901"/>
  <c r="S30" i="901"/>
  <c r="R30" i="901"/>
  <c r="Z28" i="901"/>
  <c r="Y28" i="901"/>
  <c r="X28" i="901"/>
  <c r="W28" i="901"/>
  <c r="V28" i="901"/>
  <c r="U28" i="901"/>
  <c r="T28" i="901"/>
  <c r="S28" i="901"/>
  <c r="R28" i="901"/>
  <c r="Z27" i="901"/>
  <c r="Y27" i="901"/>
  <c r="X27" i="901"/>
  <c r="W27" i="901"/>
  <c r="V27" i="901"/>
  <c r="U27" i="901"/>
  <c r="T27" i="901"/>
  <c r="S27" i="901"/>
  <c r="R27" i="901"/>
  <c r="Z10" i="901"/>
  <c r="Y10" i="901"/>
  <c r="X10" i="901"/>
  <c r="W10" i="901"/>
  <c r="V10" i="901"/>
  <c r="U10" i="901"/>
  <c r="T10" i="901"/>
  <c r="S10" i="901"/>
  <c r="R10" i="901"/>
  <c r="O10" i="901"/>
  <c r="N10" i="901"/>
  <c r="M10" i="901"/>
  <c r="L10" i="901"/>
  <c r="K10" i="901"/>
  <c r="J10" i="901"/>
  <c r="I10" i="901"/>
  <c r="G10" i="901"/>
  <c r="F10" i="901"/>
  <c r="E10" i="901"/>
  <c r="D10" i="901"/>
  <c r="C10" i="901"/>
  <c r="K57" i="900"/>
  <c r="K55" i="900"/>
  <c r="K66" i="900" s="1"/>
  <c r="G55" i="900"/>
  <c r="B57" i="900"/>
  <c r="B55" i="900"/>
  <c r="B26" i="900"/>
  <c r="Z26" i="900" s="1"/>
  <c r="L26" i="900"/>
  <c r="K26" i="900"/>
  <c r="R10" i="900"/>
  <c r="S10" i="900"/>
  <c r="T10" i="900"/>
  <c r="U10" i="900"/>
  <c r="V10" i="900"/>
  <c r="W10" i="900"/>
  <c r="X10" i="900"/>
  <c r="Y10" i="900"/>
  <c r="Z10" i="900"/>
  <c r="R11" i="900"/>
  <c r="S11" i="900"/>
  <c r="T11" i="900"/>
  <c r="U11" i="900"/>
  <c r="V11" i="900"/>
  <c r="W11" i="900"/>
  <c r="X11" i="900"/>
  <c r="Y11" i="900"/>
  <c r="Z11" i="900"/>
  <c r="R12" i="900"/>
  <c r="S12" i="900"/>
  <c r="T12" i="900"/>
  <c r="U12" i="900"/>
  <c r="V12" i="900"/>
  <c r="W12" i="900"/>
  <c r="X12" i="900"/>
  <c r="Y12" i="900"/>
  <c r="Z12" i="900"/>
  <c r="R13" i="900"/>
  <c r="S13" i="900"/>
  <c r="T13" i="900"/>
  <c r="U13" i="900"/>
  <c r="V13" i="900"/>
  <c r="W13" i="900"/>
  <c r="X13" i="900"/>
  <c r="Y13" i="900"/>
  <c r="Z13" i="900"/>
  <c r="R14" i="900"/>
  <c r="S14" i="900"/>
  <c r="T14" i="900"/>
  <c r="U14" i="900"/>
  <c r="V14" i="900"/>
  <c r="W14" i="900"/>
  <c r="X14" i="900"/>
  <c r="Y14" i="900"/>
  <c r="Z14" i="900"/>
  <c r="R15" i="900"/>
  <c r="S15" i="900"/>
  <c r="T15" i="900"/>
  <c r="U15" i="900"/>
  <c r="V15" i="900"/>
  <c r="W15" i="900"/>
  <c r="X15" i="900"/>
  <c r="Y15" i="900"/>
  <c r="Z15" i="900"/>
  <c r="I10" i="900"/>
  <c r="J10" i="900"/>
  <c r="K10" i="900"/>
  <c r="L10" i="900"/>
  <c r="O10" i="900"/>
  <c r="I11" i="900"/>
  <c r="J11" i="900"/>
  <c r="K11" i="900"/>
  <c r="L11" i="900"/>
  <c r="M11" i="900"/>
  <c r="N11" i="900"/>
  <c r="O11" i="900"/>
  <c r="I12" i="900"/>
  <c r="J12" i="900"/>
  <c r="K12" i="900"/>
  <c r="L12" i="900"/>
  <c r="M12" i="900"/>
  <c r="N12" i="900"/>
  <c r="O12" i="900"/>
  <c r="I13" i="900"/>
  <c r="J13" i="900"/>
  <c r="K13" i="900"/>
  <c r="L13" i="900"/>
  <c r="M13" i="900"/>
  <c r="N13" i="900"/>
  <c r="O13" i="900"/>
  <c r="I14" i="900"/>
  <c r="J14" i="900"/>
  <c r="K14" i="900"/>
  <c r="L14" i="900"/>
  <c r="M14" i="900"/>
  <c r="N14" i="900"/>
  <c r="O14" i="900"/>
  <c r="I15" i="900"/>
  <c r="J15" i="900"/>
  <c r="K15" i="900"/>
  <c r="L15" i="900"/>
  <c r="M15" i="900"/>
  <c r="N15" i="900"/>
  <c r="O15" i="900"/>
  <c r="I17" i="900"/>
  <c r="J17" i="900"/>
  <c r="K17" i="900"/>
  <c r="L17" i="900"/>
  <c r="M17" i="900"/>
  <c r="N17" i="900"/>
  <c r="O17" i="900"/>
  <c r="C10" i="900"/>
  <c r="D10" i="900"/>
  <c r="E10" i="900"/>
  <c r="G10" i="900"/>
  <c r="C11" i="900"/>
  <c r="D11" i="900"/>
  <c r="E11" i="900"/>
  <c r="F11" i="900"/>
  <c r="G11" i="900"/>
  <c r="C12" i="900"/>
  <c r="D12" i="900"/>
  <c r="E12" i="900"/>
  <c r="F12" i="900"/>
  <c r="G12" i="900"/>
  <c r="C13" i="900"/>
  <c r="D13" i="900"/>
  <c r="E13" i="900"/>
  <c r="F13" i="900"/>
  <c r="G13" i="900"/>
  <c r="C14" i="900"/>
  <c r="D14" i="900"/>
  <c r="E14" i="900"/>
  <c r="F14" i="900"/>
  <c r="G14" i="900"/>
  <c r="C15" i="900"/>
  <c r="D15" i="900"/>
  <c r="E15" i="900"/>
  <c r="F15" i="900"/>
  <c r="G15" i="900"/>
  <c r="C17" i="900"/>
  <c r="D17" i="900"/>
  <c r="E17" i="900"/>
  <c r="F17" i="900"/>
  <c r="G17" i="900"/>
  <c r="F71" i="900"/>
  <c r="AX55" i="900"/>
  <c r="AW55" i="900"/>
  <c r="AV55" i="900"/>
  <c r="AU55" i="900"/>
  <c r="AT55" i="900"/>
  <c r="AS55" i="900"/>
  <c r="AR55" i="900"/>
  <c r="AQ55" i="900"/>
  <c r="AP55" i="900"/>
  <c r="AO55" i="900"/>
  <c r="AN55" i="900"/>
  <c r="AM55" i="900"/>
  <c r="AL55" i="900"/>
  <c r="AK55" i="900"/>
  <c r="AJ55" i="900"/>
  <c r="AI55" i="900"/>
  <c r="AH55" i="900"/>
  <c r="AG55" i="900"/>
  <c r="AF55" i="900"/>
  <c r="AE55" i="900"/>
  <c r="AD55" i="900"/>
  <c r="AC55" i="900"/>
  <c r="AB55" i="900"/>
  <c r="K50" i="900"/>
  <c r="Z37" i="900"/>
  <c r="Y37" i="900"/>
  <c r="X37" i="900"/>
  <c r="W37" i="900"/>
  <c r="V37" i="900"/>
  <c r="U37" i="900"/>
  <c r="T37" i="900"/>
  <c r="S37" i="900"/>
  <c r="R37" i="900"/>
  <c r="Z36" i="900"/>
  <c r="Y36" i="900"/>
  <c r="X36" i="900"/>
  <c r="W36" i="900"/>
  <c r="V36" i="900"/>
  <c r="U36" i="900"/>
  <c r="T36" i="900"/>
  <c r="S36" i="900"/>
  <c r="R36" i="900"/>
  <c r="Z35" i="900"/>
  <c r="Y35" i="900"/>
  <c r="X35" i="900"/>
  <c r="W35" i="900"/>
  <c r="V35" i="900"/>
  <c r="U35" i="900"/>
  <c r="T35" i="900"/>
  <c r="S35" i="900"/>
  <c r="R35" i="900"/>
  <c r="M35" i="900"/>
  <c r="Z34" i="900"/>
  <c r="Y34" i="900"/>
  <c r="X34" i="900"/>
  <c r="W34" i="900"/>
  <c r="V34" i="900"/>
  <c r="U34" i="900"/>
  <c r="T34" i="900"/>
  <c r="S34" i="900"/>
  <c r="R34" i="900"/>
  <c r="M34" i="900"/>
  <c r="Z33" i="900"/>
  <c r="Y33" i="900"/>
  <c r="X33" i="900"/>
  <c r="W33" i="900"/>
  <c r="V33" i="900"/>
  <c r="U33" i="900"/>
  <c r="T33" i="900"/>
  <c r="S33" i="900"/>
  <c r="R33" i="900"/>
  <c r="M33" i="900"/>
  <c r="Z32" i="900"/>
  <c r="Y32" i="900"/>
  <c r="X32" i="900"/>
  <c r="W32" i="900"/>
  <c r="V32" i="900"/>
  <c r="U32" i="900"/>
  <c r="T32" i="900"/>
  <c r="S32" i="900"/>
  <c r="R32" i="900"/>
  <c r="L32" i="900"/>
  <c r="K32" i="900"/>
  <c r="Z31" i="900"/>
  <c r="Y31" i="900"/>
  <c r="X31" i="900"/>
  <c r="W31" i="900"/>
  <c r="V31" i="900"/>
  <c r="U31" i="900"/>
  <c r="T31" i="900"/>
  <c r="S31" i="900"/>
  <c r="R31" i="900"/>
  <c r="M31" i="900"/>
  <c r="Z30" i="900"/>
  <c r="Y30" i="900"/>
  <c r="X30" i="900"/>
  <c r="W30" i="900"/>
  <c r="V30" i="900"/>
  <c r="U30" i="900"/>
  <c r="T30" i="900"/>
  <c r="S30" i="900"/>
  <c r="R30" i="900"/>
  <c r="Z29" i="900"/>
  <c r="Y29" i="900"/>
  <c r="X29" i="900"/>
  <c r="W29" i="900"/>
  <c r="V29" i="900"/>
  <c r="U29" i="900"/>
  <c r="T29" i="900"/>
  <c r="S29" i="900"/>
  <c r="R29" i="900"/>
  <c r="M29" i="900"/>
  <c r="L29" i="900"/>
  <c r="K29" i="900"/>
  <c r="Z28" i="900"/>
  <c r="Y28" i="900"/>
  <c r="X28" i="900"/>
  <c r="W28" i="900"/>
  <c r="V28" i="900"/>
  <c r="U28" i="900"/>
  <c r="T28" i="900"/>
  <c r="S28" i="900"/>
  <c r="R28" i="900"/>
  <c r="M28" i="900"/>
  <c r="L28" i="900"/>
  <c r="K28" i="900"/>
  <c r="Z27" i="900"/>
  <c r="Y27" i="900"/>
  <c r="X27" i="900"/>
  <c r="W27" i="900"/>
  <c r="V27" i="900"/>
  <c r="U27" i="900"/>
  <c r="T27" i="900"/>
  <c r="S27" i="900"/>
  <c r="R27" i="900"/>
  <c r="Y26" i="900"/>
  <c r="X26" i="900"/>
  <c r="W26" i="900"/>
  <c r="Z25" i="900"/>
  <c r="Y25" i="900"/>
  <c r="X25" i="900"/>
  <c r="W25" i="900"/>
  <c r="V25" i="900"/>
  <c r="U25" i="900"/>
  <c r="T25" i="900"/>
  <c r="S25" i="900"/>
  <c r="R25" i="900"/>
  <c r="Z24" i="900"/>
  <c r="Y24" i="900"/>
  <c r="X24" i="900"/>
  <c r="W24" i="900"/>
  <c r="V24" i="900"/>
  <c r="U24" i="900"/>
  <c r="T24" i="900"/>
  <c r="S24" i="900"/>
  <c r="R24" i="900"/>
  <c r="Z23" i="900"/>
  <c r="Y23" i="900"/>
  <c r="X23" i="900"/>
  <c r="W23" i="900"/>
  <c r="V23" i="900"/>
  <c r="U23" i="900"/>
  <c r="T23" i="900"/>
  <c r="S23" i="900"/>
  <c r="R23" i="900"/>
  <c r="Z22" i="900"/>
  <c r="Y22" i="900"/>
  <c r="X22" i="900"/>
  <c r="W22" i="900"/>
  <c r="V22" i="900"/>
  <c r="U22" i="900"/>
  <c r="T22" i="900"/>
  <c r="S22" i="900"/>
  <c r="R22" i="900"/>
  <c r="Z21" i="900"/>
  <c r="Y21" i="900"/>
  <c r="X21" i="900"/>
  <c r="W21" i="900"/>
  <c r="V21" i="900"/>
  <c r="U21" i="900"/>
  <c r="T21" i="900"/>
  <c r="S21" i="900"/>
  <c r="R21" i="900"/>
  <c r="Z20" i="900"/>
  <c r="Y20" i="900"/>
  <c r="X20" i="900"/>
  <c r="W20" i="900"/>
  <c r="V20" i="900"/>
  <c r="U20" i="900"/>
  <c r="T20" i="900"/>
  <c r="S20" i="900"/>
  <c r="R20" i="900"/>
  <c r="Z19" i="900"/>
  <c r="Y19" i="900"/>
  <c r="X19" i="900"/>
  <c r="W19" i="900"/>
  <c r="V19" i="900"/>
  <c r="U19" i="900"/>
  <c r="T19" i="900"/>
  <c r="S19" i="900"/>
  <c r="R19" i="900"/>
  <c r="Z18" i="900"/>
  <c r="Y18" i="900"/>
  <c r="X18" i="900"/>
  <c r="W18" i="900"/>
  <c r="V18" i="900"/>
  <c r="U18" i="900"/>
  <c r="T18" i="900"/>
  <c r="S18" i="900"/>
  <c r="R18" i="900"/>
  <c r="Z17" i="900"/>
  <c r="Y17" i="900"/>
  <c r="X17" i="900"/>
  <c r="W17" i="900"/>
  <c r="V17" i="900"/>
  <c r="U17" i="900"/>
  <c r="T17" i="900"/>
  <c r="S17" i="900"/>
  <c r="R17" i="900"/>
  <c r="K47" i="899"/>
  <c r="L23" i="899"/>
  <c r="K23" i="899"/>
  <c r="C10" i="899"/>
  <c r="D10" i="899"/>
  <c r="E10" i="899"/>
  <c r="F10" i="899"/>
  <c r="G10" i="899"/>
  <c r="I10" i="899"/>
  <c r="J10" i="899"/>
  <c r="L10" i="899"/>
  <c r="M10" i="899"/>
  <c r="N10" i="899"/>
  <c r="O10" i="899"/>
  <c r="C11" i="899"/>
  <c r="D11" i="899"/>
  <c r="E11" i="899"/>
  <c r="F11" i="899"/>
  <c r="G11" i="899"/>
  <c r="I11" i="899"/>
  <c r="J11" i="899"/>
  <c r="K11" i="899"/>
  <c r="L11" i="899"/>
  <c r="M11" i="899"/>
  <c r="N11" i="899"/>
  <c r="O11" i="899"/>
  <c r="C12" i="899"/>
  <c r="D12" i="899"/>
  <c r="E12" i="899"/>
  <c r="F12" i="899"/>
  <c r="G12" i="899"/>
  <c r="I12" i="899"/>
  <c r="J12" i="899"/>
  <c r="K12" i="899"/>
  <c r="L12" i="899"/>
  <c r="M12" i="899"/>
  <c r="N12" i="899"/>
  <c r="O12" i="899"/>
  <c r="F68" i="899"/>
  <c r="AX52" i="899"/>
  <c r="AW52" i="899"/>
  <c r="AV52" i="899"/>
  <c r="AU52" i="899"/>
  <c r="AT52" i="899"/>
  <c r="AS52" i="899"/>
  <c r="AR52" i="899"/>
  <c r="AQ52" i="899"/>
  <c r="AP52" i="899"/>
  <c r="AO52" i="899"/>
  <c r="AN52" i="899"/>
  <c r="AM52" i="899"/>
  <c r="AL52" i="899"/>
  <c r="AK52" i="899"/>
  <c r="AJ52" i="899"/>
  <c r="AI52" i="899"/>
  <c r="AH52" i="899"/>
  <c r="AG52" i="899"/>
  <c r="AF52" i="899"/>
  <c r="AE52" i="899"/>
  <c r="AD52" i="899"/>
  <c r="AC52" i="899"/>
  <c r="AB52" i="899"/>
  <c r="Z34" i="899"/>
  <c r="Y34" i="899"/>
  <c r="X34" i="899"/>
  <c r="W34" i="899"/>
  <c r="V34" i="899"/>
  <c r="U34" i="899"/>
  <c r="T34" i="899"/>
  <c r="S34" i="899"/>
  <c r="R34" i="899"/>
  <c r="Z33" i="899"/>
  <c r="Y33" i="899"/>
  <c r="X33" i="899"/>
  <c r="W33" i="899"/>
  <c r="V33" i="899"/>
  <c r="U33" i="899"/>
  <c r="T33" i="899"/>
  <c r="S33" i="899"/>
  <c r="R33" i="899"/>
  <c r="Z32" i="899"/>
  <c r="Y32" i="899"/>
  <c r="X32" i="899"/>
  <c r="W32" i="899"/>
  <c r="V32" i="899"/>
  <c r="U32" i="899"/>
  <c r="T32" i="899"/>
  <c r="S32" i="899"/>
  <c r="R32" i="899"/>
  <c r="M32" i="899"/>
  <c r="Z31" i="899"/>
  <c r="Y31" i="899"/>
  <c r="X31" i="899"/>
  <c r="W31" i="899"/>
  <c r="V31" i="899"/>
  <c r="U31" i="899"/>
  <c r="T31" i="899"/>
  <c r="S31" i="899"/>
  <c r="R31" i="899"/>
  <c r="M31" i="899"/>
  <c r="Z30" i="899"/>
  <c r="Y30" i="899"/>
  <c r="X30" i="899"/>
  <c r="W30" i="899"/>
  <c r="V30" i="899"/>
  <c r="U30" i="899"/>
  <c r="T30" i="899"/>
  <c r="S30" i="899"/>
  <c r="R30" i="899"/>
  <c r="M30" i="899"/>
  <c r="Z29" i="899"/>
  <c r="Y29" i="899"/>
  <c r="X29" i="899"/>
  <c r="W29" i="899"/>
  <c r="V29" i="899"/>
  <c r="U29" i="899"/>
  <c r="T29" i="899"/>
  <c r="S29" i="899"/>
  <c r="R29" i="899"/>
  <c r="L29" i="899"/>
  <c r="K29" i="899"/>
  <c r="Z28" i="899"/>
  <c r="Y28" i="899"/>
  <c r="X28" i="899"/>
  <c r="W28" i="899"/>
  <c r="V28" i="899"/>
  <c r="U28" i="899"/>
  <c r="T28" i="899"/>
  <c r="S28" i="899"/>
  <c r="R28" i="899"/>
  <c r="M28" i="899"/>
  <c r="Z27" i="899"/>
  <c r="Y27" i="899"/>
  <c r="X27" i="899"/>
  <c r="W27" i="899"/>
  <c r="V27" i="899"/>
  <c r="U27" i="899"/>
  <c r="T27" i="899"/>
  <c r="S27" i="899"/>
  <c r="R27" i="899"/>
  <c r="Z26" i="899"/>
  <c r="Y26" i="899"/>
  <c r="X26" i="899"/>
  <c r="W26" i="899"/>
  <c r="V26" i="899"/>
  <c r="U26" i="899"/>
  <c r="T26" i="899"/>
  <c r="S26" i="899"/>
  <c r="R26" i="899"/>
  <c r="M26" i="899"/>
  <c r="L26" i="899"/>
  <c r="K26" i="899"/>
  <c r="Z25" i="899"/>
  <c r="Y25" i="899"/>
  <c r="X25" i="899"/>
  <c r="W25" i="899"/>
  <c r="V25" i="899"/>
  <c r="U25" i="899"/>
  <c r="T25" i="899"/>
  <c r="S25" i="899"/>
  <c r="R25" i="899"/>
  <c r="M25" i="899"/>
  <c r="L25" i="899"/>
  <c r="K25" i="899"/>
  <c r="Z24" i="899"/>
  <c r="Y24" i="899"/>
  <c r="X24" i="899"/>
  <c r="W24" i="899"/>
  <c r="V24" i="899"/>
  <c r="U24" i="899"/>
  <c r="T24" i="899"/>
  <c r="S24" i="899"/>
  <c r="R24" i="899"/>
  <c r="Z23" i="899"/>
  <c r="Z22" i="899"/>
  <c r="Y22" i="899"/>
  <c r="X22" i="899"/>
  <c r="W22" i="899"/>
  <c r="V22" i="899"/>
  <c r="U22" i="899"/>
  <c r="T22" i="899"/>
  <c r="S22" i="899"/>
  <c r="R22" i="899"/>
  <c r="Z21" i="899"/>
  <c r="Y21" i="899"/>
  <c r="X21" i="899"/>
  <c r="W21" i="899"/>
  <c r="V21" i="899"/>
  <c r="U21" i="899"/>
  <c r="T21" i="899"/>
  <c r="S21" i="899"/>
  <c r="R21" i="899"/>
  <c r="Z20" i="899"/>
  <c r="Y20" i="899"/>
  <c r="X20" i="899"/>
  <c r="W20" i="899"/>
  <c r="V20" i="899"/>
  <c r="U20" i="899"/>
  <c r="T20" i="899"/>
  <c r="S20" i="899"/>
  <c r="R20" i="899"/>
  <c r="Z19" i="899"/>
  <c r="Y19" i="899"/>
  <c r="X19" i="899"/>
  <c r="W19" i="899"/>
  <c r="V19" i="899"/>
  <c r="U19" i="899"/>
  <c r="T19" i="899"/>
  <c r="S19" i="899"/>
  <c r="R19" i="899"/>
  <c r="Z18" i="899"/>
  <c r="Y18" i="899"/>
  <c r="X18" i="899"/>
  <c r="W18" i="899"/>
  <c r="V18" i="899"/>
  <c r="U18" i="899"/>
  <c r="T18" i="899"/>
  <c r="S18" i="899"/>
  <c r="R18" i="899"/>
  <c r="Z17" i="899"/>
  <c r="Y17" i="899"/>
  <c r="X17" i="899"/>
  <c r="W17" i="899"/>
  <c r="V17" i="899"/>
  <c r="U17" i="899"/>
  <c r="T17" i="899"/>
  <c r="S17" i="899"/>
  <c r="R17" i="899"/>
  <c r="Z16" i="899"/>
  <c r="Y16" i="899"/>
  <c r="X16" i="899"/>
  <c r="W16" i="899"/>
  <c r="V16" i="899"/>
  <c r="U16" i="899"/>
  <c r="T16" i="899"/>
  <c r="S16" i="899"/>
  <c r="R16" i="899"/>
  <c r="Z15" i="899"/>
  <c r="Y15" i="899"/>
  <c r="X15" i="899"/>
  <c r="W15" i="899"/>
  <c r="V15" i="899"/>
  <c r="U15" i="899"/>
  <c r="T15" i="899"/>
  <c r="S15" i="899"/>
  <c r="R15" i="899"/>
  <c r="Z14" i="899"/>
  <c r="Y14" i="899"/>
  <c r="X14" i="899"/>
  <c r="W14" i="899"/>
  <c r="V14" i="899"/>
  <c r="U14" i="899"/>
  <c r="T14" i="899"/>
  <c r="S14" i="899"/>
  <c r="R14" i="899"/>
  <c r="Z13" i="899"/>
  <c r="Y13" i="899"/>
  <c r="X13" i="899"/>
  <c r="W13" i="899"/>
  <c r="V13" i="899"/>
  <c r="U13" i="899"/>
  <c r="T13" i="899"/>
  <c r="S13" i="899"/>
  <c r="R13" i="899"/>
  <c r="Z12" i="899"/>
  <c r="Y12" i="899"/>
  <c r="X12" i="899"/>
  <c r="W12" i="899"/>
  <c r="V12" i="899"/>
  <c r="U12" i="899"/>
  <c r="T12" i="899"/>
  <c r="S12" i="899"/>
  <c r="R12" i="899"/>
  <c r="Z11" i="899"/>
  <c r="Y11" i="899"/>
  <c r="X11" i="899"/>
  <c r="W11" i="899"/>
  <c r="V11" i="899"/>
  <c r="U11" i="899"/>
  <c r="T11" i="899"/>
  <c r="S11" i="899"/>
  <c r="R11" i="899"/>
  <c r="Z10" i="899"/>
  <c r="Y10" i="899"/>
  <c r="X10" i="899"/>
  <c r="W10" i="899"/>
  <c r="V10" i="899"/>
  <c r="U10" i="899"/>
  <c r="T10" i="899"/>
  <c r="S10" i="899"/>
  <c r="R10" i="899"/>
  <c r="K58" i="898"/>
  <c r="K69" i="898" s="1"/>
  <c r="K56" i="898"/>
  <c r="K68" i="898" s="1"/>
  <c r="E58" i="898"/>
  <c r="G58" i="898"/>
  <c r="G56" i="898"/>
  <c r="D56" i="898"/>
  <c r="I13" i="901" l="1"/>
  <c r="I14" i="901"/>
  <c r="Y29" i="901"/>
  <c r="Z29" i="901"/>
  <c r="R29" i="901"/>
  <c r="S29" i="901"/>
  <c r="T29" i="901"/>
  <c r="U29" i="901"/>
  <c r="V29" i="901"/>
  <c r="W29" i="901"/>
  <c r="J23" i="899"/>
  <c r="J26" i="900"/>
  <c r="S26" i="900"/>
  <c r="T26" i="900"/>
  <c r="U26" i="900"/>
  <c r="R26" i="900"/>
  <c r="V26" i="900"/>
  <c r="R23" i="899"/>
  <c r="S23" i="899"/>
  <c r="U23" i="899"/>
  <c r="W23" i="899"/>
  <c r="T23" i="899"/>
  <c r="V23" i="899"/>
  <c r="X23" i="899"/>
  <c r="Y23" i="899"/>
  <c r="C39" i="898" a="1"/>
  <c r="C39" i="898" s="1"/>
  <c r="B39" i="898"/>
  <c r="B27" i="898"/>
  <c r="Z27" i="898" s="1"/>
  <c r="B58" i="898"/>
  <c r="B56" i="898"/>
  <c r="F72" i="898"/>
  <c r="AX56" i="898"/>
  <c r="AW56" i="898"/>
  <c r="AV56" i="898"/>
  <c r="AU56" i="898"/>
  <c r="AT56" i="898"/>
  <c r="AS56" i="898"/>
  <c r="AR56" i="898"/>
  <c r="AQ56" i="898"/>
  <c r="AP56" i="898"/>
  <c r="AO56" i="898"/>
  <c r="AN56" i="898"/>
  <c r="AM56" i="898"/>
  <c r="AL56" i="898"/>
  <c r="AK56" i="898"/>
  <c r="AJ56" i="898"/>
  <c r="AI56" i="898"/>
  <c r="AH56" i="898"/>
  <c r="AG56" i="898"/>
  <c r="AF56" i="898"/>
  <c r="AE56" i="898"/>
  <c r="AD56" i="898"/>
  <c r="AC56" i="898"/>
  <c r="AB56" i="898"/>
  <c r="L56" i="898"/>
  <c r="C68" i="898" s="1"/>
  <c r="Z38" i="898"/>
  <c r="Y38" i="898"/>
  <c r="X38" i="898"/>
  <c r="W38" i="898"/>
  <c r="V38" i="898"/>
  <c r="U38" i="898"/>
  <c r="T38" i="898"/>
  <c r="S38" i="898"/>
  <c r="R38" i="898"/>
  <c r="Z37" i="898"/>
  <c r="Y37" i="898"/>
  <c r="X37" i="898"/>
  <c r="W37" i="898"/>
  <c r="V37" i="898"/>
  <c r="U37" i="898"/>
  <c r="T37" i="898"/>
  <c r="S37" i="898"/>
  <c r="R37" i="898"/>
  <c r="Z36" i="898"/>
  <c r="Y36" i="898"/>
  <c r="X36" i="898"/>
  <c r="W36" i="898"/>
  <c r="V36" i="898"/>
  <c r="U36" i="898"/>
  <c r="T36" i="898"/>
  <c r="S36" i="898"/>
  <c r="R36" i="898"/>
  <c r="M36" i="898"/>
  <c r="Z35" i="898"/>
  <c r="Y35" i="898"/>
  <c r="X35" i="898"/>
  <c r="W35" i="898"/>
  <c r="V35" i="898"/>
  <c r="U35" i="898"/>
  <c r="T35" i="898"/>
  <c r="S35" i="898"/>
  <c r="R35" i="898"/>
  <c r="M35" i="898"/>
  <c r="Z34" i="898"/>
  <c r="Y34" i="898"/>
  <c r="X34" i="898"/>
  <c r="W34" i="898"/>
  <c r="V34" i="898"/>
  <c r="U34" i="898"/>
  <c r="T34" i="898"/>
  <c r="S34" i="898"/>
  <c r="R34" i="898"/>
  <c r="M34" i="898"/>
  <c r="Z33" i="898"/>
  <c r="Y33" i="898"/>
  <c r="X33" i="898"/>
  <c r="W33" i="898"/>
  <c r="V33" i="898"/>
  <c r="U33" i="898"/>
  <c r="T33" i="898"/>
  <c r="S33" i="898"/>
  <c r="R33" i="898"/>
  <c r="L33" i="898"/>
  <c r="K33" i="898"/>
  <c r="Z32" i="898"/>
  <c r="Y32" i="898"/>
  <c r="X32" i="898"/>
  <c r="W32" i="898"/>
  <c r="V32" i="898"/>
  <c r="U32" i="898"/>
  <c r="T32" i="898"/>
  <c r="S32" i="898"/>
  <c r="R32" i="898"/>
  <c r="M32" i="898"/>
  <c r="Z31" i="898"/>
  <c r="Y31" i="898"/>
  <c r="X31" i="898"/>
  <c r="W31" i="898"/>
  <c r="V31" i="898"/>
  <c r="U31" i="898"/>
  <c r="T31" i="898"/>
  <c r="S31" i="898"/>
  <c r="R31" i="898"/>
  <c r="Z30" i="898"/>
  <c r="Y30" i="898"/>
  <c r="X30" i="898"/>
  <c r="W30" i="898"/>
  <c r="V30" i="898"/>
  <c r="U30" i="898"/>
  <c r="T30" i="898"/>
  <c r="S30" i="898"/>
  <c r="R30" i="898"/>
  <c r="M30" i="898"/>
  <c r="L30" i="898"/>
  <c r="K30" i="898"/>
  <c r="Z29" i="898"/>
  <c r="Y29" i="898"/>
  <c r="X29" i="898"/>
  <c r="W29" i="898"/>
  <c r="V29" i="898"/>
  <c r="U29" i="898"/>
  <c r="T29" i="898"/>
  <c r="S29" i="898"/>
  <c r="R29" i="898"/>
  <c r="L29" i="898"/>
  <c r="K29" i="898"/>
  <c r="Z28" i="898"/>
  <c r="Y28" i="898"/>
  <c r="X28" i="898"/>
  <c r="W28" i="898"/>
  <c r="V28" i="898"/>
  <c r="U28" i="898"/>
  <c r="T28" i="898"/>
  <c r="S28" i="898"/>
  <c r="R28" i="898"/>
  <c r="X27" i="898"/>
  <c r="W27" i="898"/>
  <c r="V27" i="898"/>
  <c r="U27" i="898"/>
  <c r="T27" i="898"/>
  <c r="S27" i="898"/>
  <c r="R27" i="898"/>
  <c r="L27" i="898"/>
  <c r="K27" i="898"/>
  <c r="Z26" i="898"/>
  <c r="Y26" i="898"/>
  <c r="X26" i="898"/>
  <c r="W26" i="898"/>
  <c r="V26" i="898"/>
  <c r="U26" i="898"/>
  <c r="T26" i="898"/>
  <c r="S26" i="898"/>
  <c r="R26" i="898"/>
  <c r="Z25" i="898"/>
  <c r="Y25" i="898"/>
  <c r="X25" i="898"/>
  <c r="W25" i="898"/>
  <c r="V25" i="898"/>
  <c r="U25" i="898"/>
  <c r="T25" i="898"/>
  <c r="S25" i="898"/>
  <c r="R25" i="898"/>
  <c r="Z24" i="898"/>
  <c r="Y24" i="898"/>
  <c r="X24" i="898"/>
  <c r="W24" i="898"/>
  <c r="V24" i="898"/>
  <c r="U24" i="898"/>
  <c r="T24" i="898"/>
  <c r="S24" i="898"/>
  <c r="R24" i="898"/>
  <c r="Z23" i="898"/>
  <c r="Y23" i="898"/>
  <c r="X23" i="898"/>
  <c r="W23" i="898"/>
  <c r="V23" i="898"/>
  <c r="U23" i="898"/>
  <c r="T23" i="898"/>
  <c r="S23" i="898"/>
  <c r="R23" i="898"/>
  <c r="Z22" i="898"/>
  <c r="Y22" i="898"/>
  <c r="X22" i="898"/>
  <c r="W22" i="898"/>
  <c r="V22" i="898"/>
  <c r="U22" i="898"/>
  <c r="T22" i="898"/>
  <c r="S22" i="898"/>
  <c r="R22" i="898"/>
  <c r="Z21" i="898"/>
  <c r="Y21" i="898"/>
  <c r="X21" i="898"/>
  <c r="W21" i="898"/>
  <c r="V21" i="898"/>
  <c r="U21" i="898"/>
  <c r="T21" i="898"/>
  <c r="S21" i="898"/>
  <c r="R21" i="898"/>
  <c r="Z20" i="898"/>
  <c r="Y20" i="898"/>
  <c r="X20" i="898"/>
  <c r="W20" i="898"/>
  <c r="V20" i="898"/>
  <c r="U20" i="898"/>
  <c r="T20" i="898"/>
  <c r="S20" i="898"/>
  <c r="R20" i="898"/>
  <c r="Z19" i="898"/>
  <c r="Y19" i="898"/>
  <c r="X19" i="898"/>
  <c r="W19" i="898"/>
  <c r="V19" i="898"/>
  <c r="U19" i="898"/>
  <c r="T19" i="898"/>
  <c r="S19" i="898"/>
  <c r="R19" i="898"/>
  <c r="Z18" i="898"/>
  <c r="Y18" i="898"/>
  <c r="X18" i="898"/>
  <c r="W18" i="898"/>
  <c r="V18" i="898"/>
  <c r="U18" i="898"/>
  <c r="T18" i="898"/>
  <c r="S18" i="898"/>
  <c r="R18" i="898"/>
  <c r="Z17" i="898"/>
  <c r="Y17" i="898"/>
  <c r="X17" i="898"/>
  <c r="W17" i="898"/>
  <c r="V17" i="898"/>
  <c r="U17" i="898"/>
  <c r="T17" i="898"/>
  <c r="S17" i="898"/>
  <c r="R17" i="898"/>
  <c r="Z16" i="898"/>
  <c r="Y16" i="898"/>
  <c r="X16" i="898"/>
  <c r="W16" i="898"/>
  <c r="V16" i="898"/>
  <c r="U16" i="898"/>
  <c r="T16" i="898"/>
  <c r="S16" i="898"/>
  <c r="R16" i="898"/>
  <c r="Z15" i="898"/>
  <c r="Y15" i="898"/>
  <c r="X15" i="898"/>
  <c r="W15" i="898"/>
  <c r="V15" i="898"/>
  <c r="U15" i="898"/>
  <c r="T15" i="898"/>
  <c r="S15" i="898"/>
  <c r="R15" i="898"/>
  <c r="Z14" i="898"/>
  <c r="Y14" i="898"/>
  <c r="X14" i="898"/>
  <c r="W14" i="898"/>
  <c r="V14" i="898"/>
  <c r="U14" i="898"/>
  <c r="T14" i="898"/>
  <c r="S14" i="898"/>
  <c r="R14" i="898"/>
  <c r="Z13" i="898"/>
  <c r="Y13" i="898"/>
  <c r="X13" i="898"/>
  <c r="W13" i="898"/>
  <c r="V13" i="898"/>
  <c r="U13" i="898"/>
  <c r="T13" i="898"/>
  <c r="S13" i="898"/>
  <c r="R13" i="898"/>
  <c r="Z12" i="898"/>
  <c r="Y12" i="898"/>
  <c r="X12" i="898"/>
  <c r="W12" i="898"/>
  <c r="V12" i="898"/>
  <c r="U12" i="898"/>
  <c r="T12" i="898"/>
  <c r="S12" i="898"/>
  <c r="R12" i="898"/>
  <c r="Z11" i="898"/>
  <c r="Y11" i="898"/>
  <c r="X11" i="898"/>
  <c r="W11" i="898"/>
  <c r="V11" i="898"/>
  <c r="U11" i="898"/>
  <c r="T11" i="898"/>
  <c r="S11" i="898"/>
  <c r="R11" i="898"/>
  <c r="Z10" i="898"/>
  <c r="Y10" i="898"/>
  <c r="X10" i="898"/>
  <c r="W10" i="898"/>
  <c r="V10" i="898"/>
  <c r="U10" i="898"/>
  <c r="T10" i="898"/>
  <c r="S10" i="898"/>
  <c r="R10" i="898"/>
  <c r="G58" i="897"/>
  <c r="Y27" i="898" l="1"/>
  <c r="K58" i="897"/>
  <c r="G58" i="896" l="1"/>
  <c r="F72" i="897"/>
  <c r="K67" i="897"/>
  <c r="B58" i="897"/>
  <c r="AX56" i="897"/>
  <c r="AW56" i="897"/>
  <c r="AV56" i="897"/>
  <c r="AU56" i="897"/>
  <c r="AT56" i="897"/>
  <c r="AS56" i="897"/>
  <c r="AR56" i="897"/>
  <c r="AQ56" i="897"/>
  <c r="AP56" i="897"/>
  <c r="AO56" i="897"/>
  <c r="AN56" i="897"/>
  <c r="AM56" i="897"/>
  <c r="AL56" i="897"/>
  <c r="AK56" i="897"/>
  <c r="AJ56" i="897"/>
  <c r="AI56" i="897"/>
  <c r="AH56" i="897"/>
  <c r="AG56" i="897"/>
  <c r="AF56" i="897"/>
  <c r="AE56" i="897"/>
  <c r="AD56" i="897"/>
  <c r="AC56" i="897"/>
  <c r="AB56" i="897"/>
  <c r="L56" i="897"/>
  <c r="Z38" i="897"/>
  <c r="Y38" i="897"/>
  <c r="X38" i="897"/>
  <c r="W38" i="897"/>
  <c r="V38" i="897"/>
  <c r="U38" i="897"/>
  <c r="T38" i="897"/>
  <c r="S38" i="897"/>
  <c r="R38" i="897"/>
  <c r="Z37" i="897"/>
  <c r="Y37" i="897"/>
  <c r="X37" i="897"/>
  <c r="W37" i="897"/>
  <c r="V37" i="897"/>
  <c r="U37" i="897"/>
  <c r="T37" i="897"/>
  <c r="S37" i="897"/>
  <c r="R37" i="897"/>
  <c r="Z36" i="897"/>
  <c r="Y36" i="897"/>
  <c r="X36" i="897"/>
  <c r="W36" i="897"/>
  <c r="V36" i="897"/>
  <c r="U36" i="897"/>
  <c r="T36" i="897"/>
  <c r="S36" i="897"/>
  <c r="R36" i="897"/>
  <c r="M36" i="897"/>
  <c r="Z35" i="897"/>
  <c r="Y35" i="897"/>
  <c r="X35" i="897"/>
  <c r="W35" i="897"/>
  <c r="V35" i="897"/>
  <c r="U35" i="897"/>
  <c r="T35" i="897"/>
  <c r="S35" i="897"/>
  <c r="R35" i="897"/>
  <c r="M35" i="897"/>
  <c r="Z34" i="897"/>
  <c r="Y34" i="897"/>
  <c r="X34" i="897"/>
  <c r="W34" i="897"/>
  <c r="V34" i="897"/>
  <c r="U34" i="897"/>
  <c r="T34" i="897"/>
  <c r="S34" i="897"/>
  <c r="R34" i="897"/>
  <c r="M34" i="897"/>
  <c r="Z33" i="897"/>
  <c r="Y33" i="897"/>
  <c r="X33" i="897"/>
  <c r="W33" i="897"/>
  <c r="V33" i="897"/>
  <c r="U33" i="897"/>
  <c r="T33" i="897"/>
  <c r="S33" i="897"/>
  <c r="R33" i="897"/>
  <c r="L33" i="897"/>
  <c r="K33" i="897"/>
  <c r="Z32" i="897"/>
  <c r="Y32" i="897"/>
  <c r="X32" i="897"/>
  <c r="W32" i="897"/>
  <c r="V32" i="897"/>
  <c r="U32" i="897"/>
  <c r="T32" i="897"/>
  <c r="S32" i="897"/>
  <c r="R32" i="897"/>
  <c r="M32" i="897"/>
  <c r="Z31" i="897"/>
  <c r="Y31" i="897"/>
  <c r="X31" i="897"/>
  <c r="W31" i="897"/>
  <c r="V31" i="897"/>
  <c r="U31" i="897"/>
  <c r="T31" i="897"/>
  <c r="S31" i="897"/>
  <c r="R31" i="897"/>
  <c r="Z30" i="897"/>
  <c r="Y30" i="897"/>
  <c r="X30" i="897"/>
  <c r="W30" i="897"/>
  <c r="V30" i="897"/>
  <c r="U30" i="897"/>
  <c r="T30" i="897"/>
  <c r="S30" i="897"/>
  <c r="R30" i="897"/>
  <c r="M30" i="897"/>
  <c r="L30" i="897"/>
  <c r="K30" i="897"/>
  <c r="Z29" i="897"/>
  <c r="Y29" i="897"/>
  <c r="X29" i="897"/>
  <c r="W29" i="897"/>
  <c r="V29" i="897"/>
  <c r="U29" i="897"/>
  <c r="T29" i="897"/>
  <c r="S29" i="897"/>
  <c r="R29" i="897"/>
  <c r="L29" i="897"/>
  <c r="K29" i="897"/>
  <c r="Z28" i="897"/>
  <c r="Y28" i="897"/>
  <c r="X28" i="897"/>
  <c r="W28" i="897"/>
  <c r="V28" i="897"/>
  <c r="U28" i="897"/>
  <c r="T28" i="897"/>
  <c r="S28" i="897"/>
  <c r="R28" i="897"/>
  <c r="Z27" i="897"/>
  <c r="Y27" i="897"/>
  <c r="X27" i="897"/>
  <c r="W27" i="897"/>
  <c r="V27" i="897"/>
  <c r="U27" i="897"/>
  <c r="T27" i="897"/>
  <c r="S27" i="897"/>
  <c r="R27" i="897"/>
  <c r="L27" i="897"/>
  <c r="K27" i="897"/>
  <c r="Z26" i="897"/>
  <c r="Y26" i="897"/>
  <c r="X26" i="897"/>
  <c r="W26" i="897"/>
  <c r="V26" i="897"/>
  <c r="U26" i="897"/>
  <c r="T26" i="897"/>
  <c r="S26" i="897"/>
  <c r="R26" i="897"/>
  <c r="Z25" i="897"/>
  <c r="Y25" i="897"/>
  <c r="X25" i="897"/>
  <c r="W25" i="897"/>
  <c r="V25" i="897"/>
  <c r="U25" i="897"/>
  <c r="T25" i="897"/>
  <c r="S25" i="897"/>
  <c r="R25" i="897"/>
  <c r="Z24" i="897"/>
  <c r="Y24" i="897"/>
  <c r="X24" i="897"/>
  <c r="W24" i="897"/>
  <c r="V24" i="897"/>
  <c r="U24" i="897"/>
  <c r="T24" i="897"/>
  <c r="S24" i="897"/>
  <c r="R24" i="897"/>
  <c r="Z23" i="897"/>
  <c r="Y23" i="897"/>
  <c r="X23" i="897"/>
  <c r="W23" i="897"/>
  <c r="V23" i="897"/>
  <c r="U23" i="897"/>
  <c r="T23" i="897"/>
  <c r="S23" i="897"/>
  <c r="R23" i="897"/>
  <c r="Z22" i="897"/>
  <c r="Y22" i="897"/>
  <c r="X22" i="897"/>
  <c r="W22" i="897"/>
  <c r="V22" i="897"/>
  <c r="U22" i="897"/>
  <c r="T22" i="897"/>
  <c r="S22" i="897"/>
  <c r="R22" i="897"/>
  <c r="Z21" i="897"/>
  <c r="Y21" i="897"/>
  <c r="X21" i="897"/>
  <c r="W21" i="897"/>
  <c r="V21" i="897"/>
  <c r="U21" i="897"/>
  <c r="T21" i="897"/>
  <c r="S21" i="897"/>
  <c r="R21" i="897"/>
  <c r="Z20" i="897"/>
  <c r="Y20" i="897"/>
  <c r="X20" i="897"/>
  <c r="W20" i="897"/>
  <c r="V20" i="897"/>
  <c r="U20" i="897"/>
  <c r="T20" i="897"/>
  <c r="S20" i="897"/>
  <c r="R20" i="897"/>
  <c r="Z19" i="897"/>
  <c r="Y19" i="897"/>
  <c r="X19" i="897"/>
  <c r="W19" i="897"/>
  <c r="V19" i="897"/>
  <c r="U19" i="897"/>
  <c r="T19" i="897"/>
  <c r="S19" i="897"/>
  <c r="R19" i="897"/>
  <c r="Z18" i="897"/>
  <c r="Y18" i="897"/>
  <c r="X18" i="897"/>
  <c r="W18" i="897"/>
  <c r="V18" i="897"/>
  <c r="U18" i="897"/>
  <c r="T18" i="897"/>
  <c r="S18" i="897"/>
  <c r="R18" i="897"/>
  <c r="Z17" i="897"/>
  <c r="Y17" i="897"/>
  <c r="X17" i="897"/>
  <c r="W17" i="897"/>
  <c r="V17" i="897"/>
  <c r="U17" i="897"/>
  <c r="T17" i="897"/>
  <c r="S17" i="897"/>
  <c r="R17" i="897"/>
  <c r="Z16" i="897"/>
  <c r="Y16" i="897"/>
  <c r="X16" i="897"/>
  <c r="W16" i="897"/>
  <c r="V16" i="897"/>
  <c r="U16" i="897"/>
  <c r="T16" i="897"/>
  <c r="S16" i="897"/>
  <c r="R16" i="897"/>
  <c r="Z15" i="897"/>
  <c r="Y15" i="897"/>
  <c r="X15" i="897"/>
  <c r="W15" i="897"/>
  <c r="V15" i="897"/>
  <c r="U15" i="897"/>
  <c r="T15" i="897"/>
  <c r="S15" i="897"/>
  <c r="R15" i="897"/>
  <c r="Z14" i="897"/>
  <c r="Y14" i="897"/>
  <c r="X14" i="897"/>
  <c r="W14" i="897"/>
  <c r="V14" i="897"/>
  <c r="U14" i="897"/>
  <c r="T14" i="897"/>
  <c r="S14" i="897"/>
  <c r="R14" i="897"/>
  <c r="Z13" i="897"/>
  <c r="Y13" i="897"/>
  <c r="X13" i="897"/>
  <c r="W13" i="897"/>
  <c r="V13" i="897"/>
  <c r="U13" i="897"/>
  <c r="T13" i="897"/>
  <c r="S13" i="897"/>
  <c r="R13" i="897"/>
  <c r="Z12" i="897"/>
  <c r="Y12" i="897"/>
  <c r="X12" i="897"/>
  <c r="W12" i="897"/>
  <c r="V12" i="897"/>
  <c r="U12" i="897"/>
  <c r="T12" i="897"/>
  <c r="S12" i="897"/>
  <c r="R12" i="897"/>
  <c r="Z11" i="897"/>
  <c r="Y11" i="897"/>
  <c r="X11" i="897"/>
  <c r="W11" i="897"/>
  <c r="V11" i="897"/>
  <c r="U11" i="897"/>
  <c r="T11" i="897"/>
  <c r="S11" i="897"/>
  <c r="R11" i="897"/>
  <c r="Z10" i="897"/>
  <c r="Y10" i="897"/>
  <c r="X10" i="897"/>
  <c r="W10" i="897"/>
  <c r="V10" i="897"/>
  <c r="U10" i="897"/>
  <c r="T10" i="897"/>
  <c r="S10" i="897"/>
  <c r="R10" i="897"/>
  <c r="K58" i="896"/>
  <c r="K67" i="896" s="1"/>
  <c r="K56" i="896"/>
  <c r="K73" i="896" s="1"/>
  <c r="G56" i="896"/>
  <c r="B56" i="896"/>
  <c r="F72" i="896"/>
  <c r="B58" i="896"/>
  <c r="AX56" i="896"/>
  <c r="AW56" i="896"/>
  <c r="AV56" i="896"/>
  <c r="AU56" i="896"/>
  <c r="AT56" i="896"/>
  <c r="AS56" i="896"/>
  <c r="AR56" i="896"/>
  <c r="AQ56" i="896"/>
  <c r="AP56" i="896"/>
  <c r="AO56" i="896"/>
  <c r="AN56" i="896"/>
  <c r="AM56" i="896"/>
  <c r="AL56" i="896"/>
  <c r="AK56" i="896"/>
  <c r="AJ56" i="896"/>
  <c r="AI56" i="896"/>
  <c r="AH56" i="896"/>
  <c r="AG56" i="896"/>
  <c r="AF56" i="896"/>
  <c r="AE56" i="896"/>
  <c r="AD56" i="896"/>
  <c r="AC56" i="896"/>
  <c r="AB56" i="896"/>
  <c r="Z38" i="896"/>
  <c r="Y38" i="896"/>
  <c r="X38" i="896"/>
  <c r="W38" i="896"/>
  <c r="V38" i="896"/>
  <c r="U38" i="896"/>
  <c r="T38" i="896"/>
  <c r="S38" i="896"/>
  <c r="R38" i="896"/>
  <c r="Z37" i="896"/>
  <c r="Y37" i="896"/>
  <c r="X37" i="896"/>
  <c r="W37" i="896"/>
  <c r="V37" i="896"/>
  <c r="U37" i="896"/>
  <c r="T37" i="896"/>
  <c r="S37" i="896"/>
  <c r="R37" i="896"/>
  <c r="Z36" i="896"/>
  <c r="Y36" i="896"/>
  <c r="X36" i="896"/>
  <c r="W36" i="896"/>
  <c r="V36" i="896"/>
  <c r="U36" i="896"/>
  <c r="T36" i="896"/>
  <c r="S36" i="896"/>
  <c r="R36" i="896"/>
  <c r="M36" i="896"/>
  <c r="Z35" i="896"/>
  <c r="Y35" i="896"/>
  <c r="X35" i="896"/>
  <c r="W35" i="896"/>
  <c r="V35" i="896"/>
  <c r="U35" i="896"/>
  <c r="T35" i="896"/>
  <c r="S35" i="896"/>
  <c r="R35" i="896"/>
  <c r="M35" i="896"/>
  <c r="Z34" i="896"/>
  <c r="Y34" i="896"/>
  <c r="X34" i="896"/>
  <c r="W34" i="896"/>
  <c r="V34" i="896"/>
  <c r="U34" i="896"/>
  <c r="T34" i="896"/>
  <c r="S34" i="896"/>
  <c r="R34" i="896"/>
  <c r="M34" i="896"/>
  <c r="Z33" i="896"/>
  <c r="Y33" i="896"/>
  <c r="X33" i="896"/>
  <c r="W33" i="896"/>
  <c r="V33" i="896"/>
  <c r="U33" i="896"/>
  <c r="T33" i="896"/>
  <c r="S33" i="896"/>
  <c r="R33" i="896"/>
  <c r="L33" i="896"/>
  <c r="K33" i="896"/>
  <c r="Z32" i="896"/>
  <c r="Y32" i="896"/>
  <c r="X32" i="896"/>
  <c r="W32" i="896"/>
  <c r="V32" i="896"/>
  <c r="U32" i="896"/>
  <c r="T32" i="896"/>
  <c r="S32" i="896"/>
  <c r="R32" i="896"/>
  <c r="M32" i="896"/>
  <c r="Z31" i="896"/>
  <c r="Y31" i="896"/>
  <c r="X31" i="896"/>
  <c r="W31" i="896"/>
  <c r="V31" i="896"/>
  <c r="U31" i="896"/>
  <c r="T31" i="896"/>
  <c r="S31" i="896"/>
  <c r="R31" i="896"/>
  <c r="Z30" i="896"/>
  <c r="Y30" i="896"/>
  <c r="X30" i="896"/>
  <c r="W30" i="896"/>
  <c r="V30" i="896"/>
  <c r="U30" i="896"/>
  <c r="T30" i="896"/>
  <c r="S30" i="896"/>
  <c r="R30" i="896"/>
  <c r="M30" i="896"/>
  <c r="L30" i="896"/>
  <c r="K30" i="896"/>
  <c r="Z29" i="896"/>
  <c r="Y29" i="896"/>
  <c r="X29" i="896"/>
  <c r="W29" i="896"/>
  <c r="V29" i="896"/>
  <c r="U29" i="896"/>
  <c r="T29" i="896"/>
  <c r="S29" i="896"/>
  <c r="R29" i="896"/>
  <c r="L29" i="896"/>
  <c r="K29" i="896"/>
  <c r="Z28" i="896"/>
  <c r="Y28" i="896"/>
  <c r="X28" i="896"/>
  <c r="W28" i="896"/>
  <c r="V28" i="896"/>
  <c r="U28" i="896"/>
  <c r="T28" i="896"/>
  <c r="S28" i="896"/>
  <c r="R28" i="896"/>
  <c r="Z27" i="896"/>
  <c r="Y27" i="896"/>
  <c r="X27" i="896"/>
  <c r="W27" i="896"/>
  <c r="V27" i="896"/>
  <c r="U27" i="896"/>
  <c r="T27" i="896"/>
  <c r="S27" i="896"/>
  <c r="R27" i="896"/>
  <c r="L27" i="896"/>
  <c r="K27" i="896"/>
  <c r="Z26" i="896"/>
  <c r="Y26" i="896"/>
  <c r="X26" i="896"/>
  <c r="W26" i="896"/>
  <c r="V26" i="896"/>
  <c r="U26" i="896"/>
  <c r="T26" i="896"/>
  <c r="S26" i="896"/>
  <c r="R26" i="896"/>
  <c r="Z25" i="896"/>
  <c r="Y25" i="896"/>
  <c r="X25" i="896"/>
  <c r="W25" i="896"/>
  <c r="V25" i="896"/>
  <c r="U25" i="896"/>
  <c r="T25" i="896"/>
  <c r="S25" i="896"/>
  <c r="R25" i="896"/>
  <c r="Z24" i="896"/>
  <c r="Y24" i="896"/>
  <c r="X24" i="896"/>
  <c r="W24" i="896"/>
  <c r="V24" i="896"/>
  <c r="U24" i="896"/>
  <c r="T24" i="896"/>
  <c r="S24" i="896"/>
  <c r="R24" i="896"/>
  <c r="Z23" i="896"/>
  <c r="Y23" i="896"/>
  <c r="X23" i="896"/>
  <c r="W23" i="896"/>
  <c r="V23" i="896"/>
  <c r="U23" i="896"/>
  <c r="T23" i="896"/>
  <c r="S23" i="896"/>
  <c r="R23" i="896"/>
  <c r="Z22" i="896"/>
  <c r="Y22" i="896"/>
  <c r="X22" i="896"/>
  <c r="W22" i="896"/>
  <c r="V22" i="896"/>
  <c r="U22" i="896"/>
  <c r="T22" i="896"/>
  <c r="S22" i="896"/>
  <c r="R22" i="896"/>
  <c r="Z21" i="896"/>
  <c r="Y21" i="896"/>
  <c r="X21" i="896"/>
  <c r="W21" i="896"/>
  <c r="V21" i="896"/>
  <c r="U21" i="896"/>
  <c r="T21" i="896"/>
  <c r="S21" i="896"/>
  <c r="R21" i="896"/>
  <c r="Z20" i="896"/>
  <c r="Y20" i="896"/>
  <c r="X20" i="896"/>
  <c r="W20" i="896"/>
  <c r="V20" i="896"/>
  <c r="U20" i="896"/>
  <c r="T20" i="896"/>
  <c r="S20" i="896"/>
  <c r="R20" i="896"/>
  <c r="Z19" i="896"/>
  <c r="Y19" i="896"/>
  <c r="X19" i="896"/>
  <c r="W19" i="896"/>
  <c r="V19" i="896"/>
  <c r="U19" i="896"/>
  <c r="T19" i="896"/>
  <c r="S19" i="896"/>
  <c r="R19" i="896"/>
  <c r="Z18" i="896"/>
  <c r="Y18" i="896"/>
  <c r="X18" i="896"/>
  <c r="W18" i="896"/>
  <c r="V18" i="896"/>
  <c r="U18" i="896"/>
  <c r="T18" i="896"/>
  <c r="S18" i="896"/>
  <c r="R18" i="896"/>
  <c r="Z17" i="896"/>
  <c r="Y17" i="896"/>
  <c r="X17" i="896"/>
  <c r="W17" i="896"/>
  <c r="V17" i="896"/>
  <c r="U17" i="896"/>
  <c r="T17" i="896"/>
  <c r="S17" i="896"/>
  <c r="R17" i="896"/>
  <c r="Z16" i="896"/>
  <c r="Y16" i="896"/>
  <c r="X16" i="896"/>
  <c r="W16" i="896"/>
  <c r="V16" i="896"/>
  <c r="U16" i="896"/>
  <c r="T16" i="896"/>
  <c r="S16" i="896"/>
  <c r="R16" i="896"/>
  <c r="Z15" i="896"/>
  <c r="Y15" i="896"/>
  <c r="X15" i="896"/>
  <c r="W15" i="896"/>
  <c r="V15" i="896"/>
  <c r="U15" i="896"/>
  <c r="T15" i="896"/>
  <c r="S15" i="896"/>
  <c r="R15" i="896"/>
  <c r="Z14" i="896"/>
  <c r="Y14" i="896"/>
  <c r="X14" i="896"/>
  <c r="W14" i="896"/>
  <c r="V14" i="896"/>
  <c r="U14" i="896"/>
  <c r="T14" i="896"/>
  <c r="S14" i="896"/>
  <c r="R14" i="896"/>
  <c r="Z13" i="896"/>
  <c r="Y13" i="896"/>
  <c r="X13" i="896"/>
  <c r="W13" i="896"/>
  <c r="V13" i="896"/>
  <c r="U13" i="896"/>
  <c r="T13" i="896"/>
  <c r="S13" i="896"/>
  <c r="R13" i="896"/>
  <c r="Z12" i="896"/>
  <c r="Y12" i="896"/>
  <c r="X12" i="896"/>
  <c r="W12" i="896"/>
  <c r="V12" i="896"/>
  <c r="U12" i="896"/>
  <c r="T12" i="896"/>
  <c r="S12" i="896"/>
  <c r="R12" i="896"/>
  <c r="Z11" i="896"/>
  <c r="Y11" i="896"/>
  <c r="X11" i="896"/>
  <c r="W11" i="896"/>
  <c r="V11" i="896"/>
  <c r="U11" i="896"/>
  <c r="T11" i="896"/>
  <c r="S11" i="896"/>
  <c r="R11" i="896"/>
  <c r="Z10" i="896"/>
  <c r="Y10" i="896"/>
  <c r="X10" i="896"/>
  <c r="W10" i="896"/>
  <c r="V10" i="896"/>
  <c r="U10" i="896"/>
  <c r="T10" i="896"/>
  <c r="S10" i="896"/>
  <c r="R10" i="896"/>
  <c r="K58" i="895"/>
  <c r="K67" i="895" s="1"/>
  <c r="G58" i="895"/>
  <c r="B58" i="895" l="1"/>
  <c r="K33" i="895"/>
  <c r="C43" i="895"/>
  <c r="C39" i="895" a="1"/>
  <c r="C39" i="895" s="1"/>
  <c r="L33" i="895" l="1"/>
  <c r="B39" i="895" l="1"/>
  <c r="K56" i="895"/>
  <c r="K68" i="895" s="1"/>
  <c r="G56" i="895"/>
  <c r="B27" i="895"/>
  <c r="B56" i="895"/>
  <c r="R10" i="895"/>
  <c r="S10" i="895"/>
  <c r="T10" i="895"/>
  <c r="U10" i="895"/>
  <c r="V10" i="895"/>
  <c r="W10" i="895"/>
  <c r="X10" i="895"/>
  <c r="Y10" i="895"/>
  <c r="Z10" i="895"/>
  <c r="R11" i="895"/>
  <c r="S11" i="895"/>
  <c r="T11" i="895"/>
  <c r="U11" i="895"/>
  <c r="V11" i="895"/>
  <c r="W11" i="895"/>
  <c r="X11" i="895"/>
  <c r="Y11" i="895"/>
  <c r="Z11" i="895"/>
  <c r="R12" i="895"/>
  <c r="S12" i="895"/>
  <c r="T12" i="895"/>
  <c r="U12" i="895"/>
  <c r="V12" i="895"/>
  <c r="W12" i="895"/>
  <c r="X12" i="895"/>
  <c r="Y12" i="895"/>
  <c r="Z12" i="895"/>
  <c r="R13" i="895"/>
  <c r="S13" i="895"/>
  <c r="T13" i="895"/>
  <c r="U13" i="895"/>
  <c r="V13" i="895"/>
  <c r="W13" i="895"/>
  <c r="X13" i="895"/>
  <c r="Y13" i="895"/>
  <c r="Z13" i="895"/>
  <c r="R14" i="895"/>
  <c r="S14" i="895"/>
  <c r="T14" i="895"/>
  <c r="U14" i="895"/>
  <c r="V14" i="895"/>
  <c r="W14" i="895"/>
  <c r="X14" i="895"/>
  <c r="Y14" i="895"/>
  <c r="Z14" i="895"/>
  <c r="R15" i="895"/>
  <c r="S15" i="895"/>
  <c r="T15" i="895"/>
  <c r="U15" i="895"/>
  <c r="V15" i="895"/>
  <c r="W15" i="895"/>
  <c r="X15" i="895"/>
  <c r="Y15" i="895"/>
  <c r="Z15" i="895"/>
  <c r="R16" i="895"/>
  <c r="S16" i="895"/>
  <c r="T16" i="895"/>
  <c r="U16" i="895"/>
  <c r="V16" i="895"/>
  <c r="W16" i="895"/>
  <c r="X16" i="895"/>
  <c r="Y16" i="895"/>
  <c r="Z16" i="895"/>
  <c r="R17" i="895"/>
  <c r="S17" i="895"/>
  <c r="T17" i="895"/>
  <c r="U17" i="895"/>
  <c r="V17" i="895"/>
  <c r="W17" i="895"/>
  <c r="X17" i="895"/>
  <c r="Y17" i="895"/>
  <c r="Z17" i="895"/>
  <c r="R18" i="895"/>
  <c r="S18" i="895"/>
  <c r="T18" i="895"/>
  <c r="U18" i="895"/>
  <c r="V18" i="895"/>
  <c r="W18" i="895"/>
  <c r="X18" i="895"/>
  <c r="Y18" i="895"/>
  <c r="Z18" i="895"/>
  <c r="R19" i="895"/>
  <c r="S19" i="895"/>
  <c r="T19" i="895"/>
  <c r="U19" i="895"/>
  <c r="V19" i="895"/>
  <c r="W19" i="895"/>
  <c r="X19" i="895"/>
  <c r="Y19" i="895"/>
  <c r="Z19" i="895"/>
  <c r="R20" i="895"/>
  <c r="S20" i="895"/>
  <c r="T20" i="895"/>
  <c r="U20" i="895"/>
  <c r="V20" i="895"/>
  <c r="W20" i="895"/>
  <c r="X20" i="895"/>
  <c r="Y20" i="895"/>
  <c r="Z20" i="895"/>
  <c r="R21" i="895"/>
  <c r="S21" i="895"/>
  <c r="T21" i="895"/>
  <c r="U21" i="895"/>
  <c r="V21" i="895"/>
  <c r="W21" i="895"/>
  <c r="X21" i="895"/>
  <c r="Y21" i="895"/>
  <c r="Z21" i="895"/>
  <c r="R22" i="895"/>
  <c r="S22" i="895"/>
  <c r="T22" i="895"/>
  <c r="U22" i="895"/>
  <c r="V22" i="895"/>
  <c r="W22" i="895"/>
  <c r="X22" i="895"/>
  <c r="Y22" i="895"/>
  <c r="Z22" i="895"/>
  <c r="R23" i="895"/>
  <c r="S23" i="895"/>
  <c r="T23" i="895"/>
  <c r="U23" i="895"/>
  <c r="V23" i="895"/>
  <c r="W23" i="895"/>
  <c r="X23" i="895"/>
  <c r="Y23" i="895"/>
  <c r="Z23" i="895"/>
  <c r="I10" i="895"/>
  <c r="J10" i="895"/>
  <c r="L10" i="895"/>
  <c r="M10" i="895"/>
  <c r="N10" i="895"/>
  <c r="O10" i="895"/>
  <c r="I11" i="895"/>
  <c r="J11" i="895"/>
  <c r="L11" i="895"/>
  <c r="M11" i="895"/>
  <c r="N11" i="895"/>
  <c r="O11" i="895"/>
  <c r="I12" i="895"/>
  <c r="J12" i="895"/>
  <c r="L12" i="895"/>
  <c r="M12" i="895"/>
  <c r="N12" i="895"/>
  <c r="O12" i="895"/>
  <c r="I13" i="895"/>
  <c r="J13" i="895"/>
  <c r="L13" i="895"/>
  <c r="M13" i="895"/>
  <c r="N13" i="895"/>
  <c r="O13" i="895"/>
  <c r="I14" i="895"/>
  <c r="J14" i="895"/>
  <c r="L14" i="895"/>
  <c r="M14" i="895"/>
  <c r="N14" i="895"/>
  <c r="O14" i="895"/>
  <c r="I15" i="895"/>
  <c r="J15" i="895"/>
  <c r="L15" i="895"/>
  <c r="M15" i="895"/>
  <c r="N15" i="895"/>
  <c r="O15" i="895"/>
  <c r="C10" i="895"/>
  <c r="D10" i="895"/>
  <c r="E10" i="895"/>
  <c r="F10" i="895"/>
  <c r="G10" i="895"/>
  <c r="C11" i="895"/>
  <c r="D11" i="895"/>
  <c r="E11" i="895"/>
  <c r="F11" i="895"/>
  <c r="G11" i="895"/>
  <c r="C12" i="895"/>
  <c r="D12" i="895"/>
  <c r="E12" i="895"/>
  <c r="F12" i="895"/>
  <c r="G12" i="895"/>
  <c r="C13" i="895"/>
  <c r="D13" i="895"/>
  <c r="E13" i="895"/>
  <c r="F13" i="895"/>
  <c r="G13" i="895"/>
  <c r="C14" i="895"/>
  <c r="D14" i="895"/>
  <c r="E14" i="895"/>
  <c r="F14" i="895"/>
  <c r="G14" i="895"/>
  <c r="C15" i="895"/>
  <c r="D15" i="895"/>
  <c r="E15" i="895"/>
  <c r="F15" i="895"/>
  <c r="G15" i="895"/>
  <c r="F72" i="895"/>
  <c r="AX56" i="895"/>
  <c r="AW56" i="895"/>
  <c r="AV56" i="895"/>
  <c r="AU56" i="895"/>
  <c r="AT56" i="895"/>
  <c r="AS56" i="895"/>
  <c r="AR56" i="895"/>
  <c r="AQ56" i="895"/>
  <c r="AP56" i="895"/>
  <c r="AO56" i="895"/>
  <c r="AN56" i="895"/>
  <c r="AM56" i="895"/>
  <c r="AL56" i="895"/>
  <c r="AK56" i="895"/>
  <c r="AJ56" i="895"/>
  <c r="AI56" i="895"/>
  <c r="AH56" i="895"/>
  <c r="AG56" i="895"/>
  <c r="AF56" i="895"/>
  <c r="AE56" i="895"/>
  <c r="AD56" i="895"/>
  <c r="AC56" i="895"/>
  <c r="AB56" i="895"/>
  <c r="K51" i="895"/>
  <c r="Z38" i="895"/>
  <c r="Y38" i="895"/>
  <c r="X38" i="895"/>
  <c r="W38" i="895"/>
  <c r="V38" i="895"/>
  <c r="U38" i="895"/>
  <c r="T38" i="895"/>
  <c r="S38" i="895"/>
  <c r="R38" i="895"/>
  <c r="Z37" i="895"/>
  <c r="Y37" i="895"/>
  <c r="X37" i="895"/>
  <c r="W37" i="895"/>
  <c r="V37" i="895"/>
  <c r="U37" i="895"/>
  <c r="T37" i="895"/>
  <c r="S37" i="895"/>
  <c r="R37" i="895"/>
  <c r="Z36" i="895"/>
  <c r="Y36" i="895"/>
  <c r="X36" i="895"/>
  <c r="W36" i="895"/>
  <c r="V36" i="895"/>
  <c r="U36" i="895"/>
  <c r="T36" i="895"/>
  <c r="S36" i="895"/>
  <c r="R36" i="895"/>
  <c r="M36" i="895"/>
  <c r="Z35" i="895"/>
  <c r="Y35" i="895"/>
  <c r="X35" i="895"/>
  <c r="W35" i="895"/>
  <c r="V35" i="895"/>
  <c r="U35" i="895"/>
  <c r="T35" i="895"/>
  <c r="S35" i="895"/>
  <c r="R35" i="895"/>
  <c r="M35" i="895"/>
  <c r="Z34" i="895"/>
  <c r="Y34" i="895"/>
  <c r="X34" i="895"/>
  <c r="W34" i="895"/>
  <c r="V34" i="895"/>
  <c r="U34" i="895"/>
  <c r="T34" i="895"/>
  <c r="S34" i="895"/>
  <c r="R34" i="895"/>
  <c r="M34" i="895"/>
  <c r="Z33" i="895"/>
  <c r="Y33" i="895"/>
  <c r="X33" i="895"/>
  <c r="W33" i="895"/>
  <c r="V33" i="895"/>
  <c r="U33" i="895"/>
  <c r="T33" i="895"/>
  <c r="S33" i="895"/>
  <c r="R33" i="895"/>
  <c r="Z32" i="895"/>
  <c r="Y32" i="895"/>
  <c r="X32" i="895"/>
  <c r="W32" i="895"/>
  <c r="V32" i="895"/>
  <c r="U32" i="895"/>
  <c r="T32" i="895"/>
  <c r="S32" i="895"/>
  <c r="R32" i="895"/>
  <c r="M32" i="895"/>
  <c r="Z31" i="895"/>
  <c r="Y31" i="895"/>
  <c r="X31" i="895"/>
  <c r="W31" i="895"/>
  <c r="V31" i="895"/>
  <c r="U31" i="895"/>
  <c r="T31" i="895"/>
  <c r="S31" i="895"/>
  <c r="R31" i="895"/>
  <c r="Z30" i="895"/>
  <c r="Y30" i="895"/>
  <c r="X30" i="895"/>
  <c r="W30" i="895"/>
  <c r="V30" i="895"/>
  <c r="U30" i="895"/>
  <c r="T30" i="895"/>
  <c r="S30" i="895"/>
  <c r="R30" i="895"/>
  <c r="M30" i="895"/>
  <c r="L30" i="895"/>
  <c r="K30" i="895"/>
  <c r="Z29" i="895"/>
  <c r="Y29" i="895"/>
  <c r="X29" i="895"/>
  <c r="W29" i="895"/>
  <c r="V29" i="895"/>
  <c r="U29" i="895"/>
  <c r="T29" i="895"/>
  <c r="S29" i="895"/>
  <c r="R29" i="895"/>
  <c r="L29" i="895"/>
  <c r="K29" i="895"/>
  <c r="Z28" i="895"/>
  <c r="Y28" i="895"/>
  <c r="X28" i="895"/>
  <c r="W28" i="895"/>
  <c r="V28" i="895"/>
  <c r="U28" i="895"/>
  <c r="T28" i="895"/>
  <c r="S28" i="895"/>
  <c r="R28" i="895"/>
  <c r="L27" i="895"/>
  <c r="K27" i="895"/>
  <c r="W27" i="895"/>
  <c r="Z26" i="895"/>
  <c r="Y26" i="895"/>
  <c r="X26" i="895"/>
  <c r="W26" i="895"/>
  <c r="V26" i="895"/>
  <c r="U26" i="895"/>
  <c r="T26" i="895"/>
  <c r="S26" i="895"/>
  <c r="R26" i="895"/>
  <c r="Z25" i="895"/>
  <c r="Y25" i="895"/>
  <c r="X25" i="895"/>
  <c r="W25" i="895"/>
  <c r="V25" i="895"/>
  <c r="U25" i="895"/>
  <c r="T25" i="895"/>
  <c r="S25" i="895"/>
  <c r="R25" i="895"/>
  <c r="Z24" i="895"/>
  <c r="Y24" i="895"/>
  <c r="X24" i="895"/>
  <c r="W24" i="895"/>
  <c r="V24" i="895"/>
  <c r="U24" i="895"/>
  <c r="T24" i="895"/>
  <c r="S24" i="895"/>
  <c r="R24" i="895"/>
  <c r="G53" i="894"/>
  <c r="C28" i="894" a="1"/>
  <c r="C28" i="894" s="1"/>
  <c r="C24" i="894" a="1"/>
  <c r="C24" i="894" s="1"/>
  <c r="J33" i="895" l="1"/>
  <c r="Y27" i="895"/>
  <c r="R27" i="895"/>
  <c r="X27" i="895"/>
  <c r="Z27" i="895"/>
  <c r="S27" i="895"/>
  <c r="T27" i="895"/>
  <c r="U27" i="895"/>
  <c r="V27" i="895"/>
  <c r="K53" i="894"/>
  <c r="R17" i="894" l="1"/>
  <c r="S17" i="894"/>
  <c r="T17" i="894"/>
  <c r="U17" i="894"/>
  <c r="V17" i="894"/>
  <c r="W17" i="894"/>
  <c r="X17" i="894"/>
  <c r="Y17" i="894"/>
  <c r="Z17" i="894"/>
  <c r="R18" i="894"/>
  <c r="S18" i="894"/>
  <c r="T18" i="894"/>
  <c r="U18" i="894"/>
  <c r="V18" i="894"/>
  <c r="W18" i="894"/>
  <c r="X18" i="894"/>
  <c r="Y18" i="894"/>
  <c r="Z18" i="894"/>
  <c r="R19" i="894"/>
  <c r="S19" i="894"/>
  <c r="T19" i="894"/>
  <c r="U19" i="894"/>
  <c r="V19" i="894"/>
  <c r="W19" i="894"/>
  <c r="X19" i="894"/>
  <c r="Y19" i="894"/>
  <c r="Z19" i="894"/>
  <c r="L30" i="894"/>
  <c r="K30" i="894"/>
  <c r="C20" i="894"/>
  <c r="D20" i="894"/>
  <c r="E20" i="894"/>
  <c r="F20" i="894"/>
  <c r="G20" i="894"/>
  <c r="I20" i="894"/>
  <c r="J20" i="894"/>
  <c r="L20" i="894"/>
  <c r="M20" i="894"/>
  <c r="N20" i="894"/>
  <c r="O20" i="894"/>
  <c r="C19" i="894"/>
  <c r="D19" i="894"/>
  <c r="E19" i="894"/>
  <c r="F19" i="894"/>
  <c r="G19" i="894"/>
  <c r="I19" i="894"/>
  <c r="J19" i="894"/>
  <c r="L19" i="894"/>
  <c r="M19" i="894"/>
  <c r="N19" i="894"/>
  <c r="O19" i="894"/>
  <c r="R10" i="894"/>
  <c r="S10" i="894"/>
  <c r="T10" i="894"/>
  <c r="U10" i="894"/>
  <c r="V10" i="894"/>
  <c r="W10" i="894"/>
  <c r="X10" i="894"/>
  <c r="Y10" i="894"/>
  <c r="Z10" i="894"/>
  <c r="R11" i="894"/>
  <c r="S11" i="894"/>
  <c r="T11" i="894"/>
  <c r="U11" i="894"/>
  <c r="V11" i="894"/>
  <c r="W11" i="894"/>
  <c r="X11" i="894"/>
  <c r="Y11" i="894"/>
  <c r="Z11" i="894"/>
  <c r="R12" i="894"/>
  <c r="S12" i="894"/>
  <c r="T12" i="894"/>
  <c r="U12" i="894"/>
  <c r="V12" i="894"/>
  <c r="W12" i="894"/>
  <c r="X12" i="894"/>
  <c r="Y12" i="894"/>
  <c r="Z12" i="894"/>
  <c r="R13" i="894"/>
  <c r="S13" i="894"/>
  <c r="T13" i="894"/>
  <c r="U13" i="894"/>
  <c r="V13" i="894"/>
  <c r="W13" i="894"/>
  <c r="X13" i="894"/>
  <c r="Y13" i="894"/>
  <c r="Z13" i="894"/>
  <c r="R14" i="894"/>
  <c r="S14" i="894"/>
  <c r="T14" i="894"/>
  <c r="U14" i="894"/>
  <c r="V14" i="894"/>
  <c r="W14" i="894"/>
  <c r="X14" i="894"/>
  <c r="Y14" i="894"/>
  <c r="Z14" i="894"/>
  <c r="R15" i="894"/>
  <c r="S15" i="894"/>
  <c r="T15" i="894"/>
  <c r="U15" i="894"/>
  <c r="V15" i="894"/>
  <c r="W15" i="894"/>
  <c r="X15" i="894"/>
  <c r="Y15" i="894"/>
  <c r="Z15" i="894"/>
  <c r="R16" i="894"/>
  <c r="S16" i="894"/>
  <c r="T16" i="894"/>
  <c r="U16" i="894"/>
  <c r="V16" i="894"/>
  <c r="W16" i="894"/>
  <c r="X16" i="894"/>
  <c r="Y16" i="894"/>
  <c r="Z16" i="894"/>
  <c r="M10" i="894"/>
  <c r="O10" i="894"/>
  <c r="M11" i="894"/>
  <c r="O11" i="894"/>
  <c r="M12" i="894"/>
  <c r="O12" i="894"/>
  <c r="M13" i="894"/>
  <c r="O13" i="894"/>
  <c r="M14" i="894"/>
  <c r="O14" i="894"/>
  <c r="M15" i="894"/>
  <c r="O15" i="894"/>
  <c r="M16" i="894"/>
  <c r="O16" i="894"/>
  <c r="M17" i="894"/>
  <c r="O17" i="894"/>
  <c r="D10" i="894"/>
  <c r="E10" i="894"/>
  <c r="F10" i="894"/>
  <c r="G10" i="894"/>
  <c r="D11" i="894"/>
  <c r="E11" i="894"/>
  <c r="F11" i="894"/>
  <c r="G11" i="894"/>
  <c r="D12" i="894"/>
  <c r="E12" i="894"/>
  <c r="F12" i="894"/>
  <c r="G12" i="894"/>
  <c r="D13" i="894"/>
  <c r="E13" i="894"/>
  <c r="F13" i="894"/>
  <c r="G13" i="894"/>
  <c r="D14" i="894"/>
  <c r="E14" i="894"/>
  <c r="F14" i="894"/>
  <c r="G14" i="894"/>
  <c r="D15" i="894"/>
  <c r="E15" i="894"/>
  <c r="F15" i="894"/>
  <c r="G15" i="894"/>
  <c r="D16" i="894"/>
  <c r="E16" i="894"/>
  <c r="F16" i="894"/>
  <c r="G16" i="894"/>
  <c r="D17" i="894"/>
  <c r="E17" i="894"/>
  <c r="F17" i="894"/>
  <c r="G17" i="894"/>
  <c r="F69" i="894"/>
  <c r="AX53" i="894"/>
  <c r="AW53" i="894"/>
  <c r="AV53" i="894"/>
  <c r="AU53" i="894"/>
  <c r="AT53" i="894"/>
  <c r="AS53" i="894"/>
  <c r="AR53" i="894"/>
  <c r="AQ53" i="894"/>
  <c r="AP53" i="894"/>
  <c r="AO53" i="894"/>
  <c r="AN53" i="894"/>
  <c r="AM53" i="894"/>
  <c r="AL53" i="894"/>
  <c r="AK53" i="894"/>
  <c r="AJ53" i="894"/>
  <c r="AI53" i="894"/>
  <c r="AH53" i="894"/>
  <c r="AG53" i="894"/>
  <c r="AF53" i="894"/>
  <c r="AE53" i="894"/>
  <c r="AD53" i="894"/>
  <c r="AC53" i="894"/>
  <c r="AB53" i="894"/>
  <c r="K64" i="894"/>
  <c r="B53" i="894"/>
  <c r="K48" i="894"/>
  <c r="Z35" i="894"/>
  <c r="Y35" i="894"/>
  <c r="X35" i="894"/>
  <c r="W35" i="894"/>
  <c r="V35" i="894"/>
  <c r="U35" i="894"/>
  <c r="T35" i="894"/>
  <c r="S35" i="894"/>
  <c r="R35" i="894"/>
  <c r="Z34" i="894"/>
  <c r="Y34" i="894"/>
  <c r="X34" i="894"/>
  <c r="W34" i="894"/>
  <c r="V34" i="894"/>
  <c r="U34" i="894"/>
  <c r="T34" i="894"/>
  <c r="S34" i="894"/>
  <c r="R34" i="894"/>
  <c r="Z33" i="894"/>
  <c r="Y33" i="894"/>
  <c r="X33" i="894"/>
  <c r="W33" i="894"/>
  <c r="V33" i="894"/>
  <c r="U33" i="894"/>
  <c r="T33" i="894"/>
  <c r="S33" i="894"/>
  <c r="R33" i="894"/>
  <c r="M33" i="894"/>
  <c r="Z32" i="894"/>
  <c r="Y32" i="894"/>
  <c r="X32" i="894"/>
  <c r="W32" i="894"/>
  <c r="V32" i="894"/>
  <c r="U32" i="894"/>
  <c r="T32" i="894"/>
  <c r="S32" i="894"/>
  <c r="R32" i="894"/>
  <c r="M32" i="894"/>
  <c r="Z31" i="894"/>
  <c r="Y31" i="894"/>
  <c r="X31" i="894"/>
  <c r="W31" i="894"/>
  <c r="V31" i="894"/>
  <c r="U31" i="894"/>
  <c r="T31" i="894"/>
  <c r="S31" i="894"/>
  <c r="R31" i="894"/>
  <c r="M31" i="894"/>
  <c r="Z30" i="894"/>
  <c r="Y30" i="894"/>
  <c r="X30" i="894"/>
  <c r="W30" i="894"/>
  <c r="V30" i="894"/>
  <c r="U30" i="894"/>
  <c r="T30" i="894"/>
  <c r="S30" i="894"/>
  <c r="R30" i="894"/>
  <c r="Z29" i="894"/>
  <c r="Y29" i="894"/>
  <c r="X29" i="894"/>
  <c r="W29" i="894"/>
  <c r="V29" i="894"/>
  <c r="U29" i="894"/>
  <c r="T29" i="894"/>
  <c r="S29" i="894"/>
  <c r="R29" i="894"/>
  <c r="M29" i="894"/>
  <c r="Z28" i="894"/>
  <c r="Y28" i="894"/>
  <c r="X28" i="894"/>
  <c r="W28" i="894"/>
  <c r="V28" i="894"/>
  <c r="U28" i="894"/>
  <c r="T28" i="894"/>
  <c r="S28" i="894"/>
  <c r="R28" i="894"/>
  <c r="Z27" i="894"/>
  <c r="Y27" i="894"/>
  <c r="X27" i="894"/>
  <c r="W27" i="894"/>
  <c r="V27" i="894"/>
  <c r="U27" i="894"/>
  <c r="T27" i="894"/>
  <c r="S27" i="894"/>
  <c r="R27" i="894"/>
  <c r="M27" i="894"/>
  <c r="L27" i="894"/>
  <c r="K27" i="894"/>
  <c r="Z26" i="894"/>
  <c r="Y26" i="894"/>
  <c r="X26" i="894"/>
  <c r="W26" i="894"/>
  <c r="V26" i="894"/>
  <c r="U26" i="894"/>
  <c r="T26" i="894"/>
  <c r="S26" i="894"/>
  <c r="R26" i="894"/>
  <c r="L26" i="894"/>
  <c r="K26" i="894"/>
  <c r="Z25" i="894"/>
  <c r="Y25" i="894"/>
  <c r="X25" i="894"/>
  <c r="W25" i="894"/>
  <c r="V25" i="894"/>
  <c r="U25" i="894"/>
  <c r="T25" i="894"/>
  <c r="S25" i="894"/>
  <c r="R25" i="894"/>
  <c r="L24" i="894"/>
  <c r="K24" i="894"/>
  <c r="B24" i="894"/>
  <c r="S24" i="894" s="1"/>
  <c r="Z23" i="894"/>
  <c r="Y23" i="894"/>
  <c r="X23" i="894"/>
  <c r="W23" i="894"/>
  <c r="V23" i="894"/>
  <c r="U23" i="894"/>
  <c r="T23" i="894"/>
  <c r="S23" i="894"/>
  <c r="R23" i="894"/>
  <c r="Z22" i="894"/>
  <c r="Y22" i="894"/>
  <c r="X22" i="894"/>
  <c r="W22" i="894"/>
  <c r="V22" i="894"/>
  <c r="U22" i="894"/>
  <c r="T22" i="894"/>
  <c r="S22" i="894"/>
  <c r="R22" i="894"/>
  <c r="Z21" i="894"/>
  <c r="Y21" i="894"/>
  <c r="X21" i="894"/>
  <c r="W21" i="894"/>
  <c r="V21" i="894"/>
  <c r="U21" i="894"/>
  <c r="T21" i="894"/>
  <c r="S21" i="894"/>
  <c r="R21" i="894"/>
  <c r="Z20" i="894"/>
  <c r="Y20" i="894"/>
  <c r="X20" i="894"/>
  <c r="W20" i="894"/>
  <c r="V20" i="894"/>
  <c r="U20" i="894"/>
  <c r="T20" i="894"/>
  <c r="S20" i="894"/>
  <c r="R20" i="894"/>
  <c r="R10" i="893"/>
  <c r="S10" i="893"/>
  <c r="T10" i="893"/>
  <c r="U10" i="893"/>
  <c r="V10" i="893"/>
  <c r="W10" i="893"/>
  <c r="X10" i="893"/>
  <c r="Y10" i="893"/>
  <c r="Z10" i="893"/>
  <c r="R11" i="893"/>
  <c r="S11" i="893"/>
  <c r="T11" i="893"/>
  <c r="U11" i="893"/>
  <c r="V11" i="893"/>
  <c r="W11" i="893"/>
  <c r="X11" i="893"/>
  <c r="Y11" i="893"/>
  <c r="Z11" i="893"/>
  <c r="R12" i="893"/>
  <c r="S12" i="893"/>
  <c r="T12" i="893"/>
  <c r="U12" i="893"/>
  <c r="V12" i="893"/>
  <c r="W12" i="893"/>
  <c r="X12" i="893"/>
  <c r="Y12" i="893"/>
  <c r="Z12" i="893"/>
  <c r="R13" i="893"/>
  <c r="S13" i="893"/>
  <c r="T13" i="893"/>
  <c r="U13" i="893"/>
  <c r="V13" i="893"/>
  <c r="W13" i="893"/>
  <c r="X13" i="893"/>
  <c r="Y13" i="893"/>
  <c r="Z13" i="893"/>
  <c r="R14" i="893"/>
  <c r="S14" i="893"/>
  <c r="T14" i="893"/>
  <c r="U14" i="893"/>
  <c r="V14" i="893"/>
  <c r="W14" i="893"/>
  <c r="X14" i="893"/>
  <c r="Y14" i="893"/>
  <c r="Z14" i="893"/>
  <c r="R15" i="893"/>
  <c r="S15" i="893"/>
  <c r="T15" i="893"/>
  <c r="U15" i="893"/>
  <c r="V15" i="893"/>
  <c r="W15" i="893"/>
  <c r="X15" i="893"/>
  <c r="Y15" i="893"/>
  <c r="Z15" i="893"/>
  <c r="R16" i="893"/>
  <c r="S16" i="893"/>
  <c r="T16" i="893"/>
  <c r="U16" i="893"/>
  <c r="V16" i="893"/>
  <c r="W16" i="893"/>
  <c r="X16" i="893"/>
  <c r="Y16" i="893"/>
  <c r="Z16" i="893"/>
  <c r="R17" i="893"/>
  <c r="S17" i="893"/>
  <c r="T17" i="893"/>
  <c r="U17" i="893"/>
  <c r="V17" i="893"/>
  <c r="W17" i="893"/>
  <c r="X17" i="893"/>
  <c r="Y17" i="893"/>
  <c r="Z17" i="893"/>
  <c r="R18" i="893"/>
  <c r="S18" i="893"/>
  <c r="T18" i="893"/>
  <c r="U18" i="893"/>
  <c r="V18" i="893"/>
  <c r="W18" i="893"/>
  <c r="X18" i="893"/>
  <c r="Y18" i="893"/>
  <c r="Z18" i="893"/>
  <c r="R19" i="893"/>
  <c r="S19" i="893"/>
  <c r="T19" i="893"/>
  <c r="U19" i="893"/>
  <c r="V19" i="893"/>
  <c r="W19" i="893"/>
  <c r="X19" i="893"/>
  <c r="Y19" i="893"/>
  <c r="Z19" i="893"/>
  <c r="R20" i="893"/>
  <c r="S20" i="893"/>
  <c r="T20" i="893"/>
  <c r="U20" i="893"/>
  <c r="V20" i="893"/>
  <c r="W20" i="893"/>
  <c r="X20" i="893"/>
  <c r="Y20" i="893"/>
  <c r="Z20" i="893"/>
  <c r="R21" i="893"/>
  <c r="S21" i="893"/>
  <c r="T21" i="893"/>
  <c r="U21" i="893"/>
  <c r="V21" i="893"/>
  <c r="W21" i="893"/>
  <c r="X21" i="893"/>
  <c r="Y21" i="893"/>
  <c r="Z21" i="893"/>
  <c r="R22" i="893"/>
  <c r="S22" i="893"/>
  <c r="T22" i="893"/>
  <c r="U22" i="893"/>
  <c r="V22" i="893"/>
  <c r="W22" i="893"/>
  <c r="X22" i="893"/>
  <c r="Y22" i="893"/>
  <c r="Z22" i="893"/>
  <c r="R23" i="893"/>
  <c r="S23" i="893"/>
  <c r="T23" i="893"/>
  <c r="U23" i="893"/>
  <c r="V23" i="893"/>
  <c r="W23" i="893"/>
  <c r="X23" i="893"/>
  <c r="Y23" i="893"/>
  <c r="Z23" i="893"/>
  <c r="R24" i="893"/>
  <c r="S24" i="893"/>
  <c r="T24" i="893"/>
  <c r="U24" i="893"/>
  <c r="V24" i="893"/>
  <c r="W24" i="893"/>
  <c r="X24" i="893"/>
  <c r="Y24" i="893"/>
  <c r="Z24" i="893"/>
  <c r="R25" i="893"/>
  <c r="S25" i="893"/>
  <c r="T25" i="893"/>
  <c r="U25" i="893"/>
  <c r="V25" i="893"/>
  <c r="W25" i="893"/>
  <c r="X25" i="893"/>
  <c r="Y25" i="893"/>
  <c r="Z25" i="893"/>
  <c r="R26" i="893"/>
  <c r="S26" i="893"/>
  <c r="T26" i="893"/>
  <c r="U26" i="893"/>
  <c r="V26" i="893"/>
  <c r="W26" i="893"/>
  <c r="X26" i="893"/>
  <c r="Y26" i="893"/>
  <c r="Z26" i="893"/>
  <c r="J30" i="894" l="1"/>
  <c r="T24" i="894"/>
  <c r="U24" i="894"/>
  <c r="V24" i="894"/>
  <c r="W24" i="894"/>
  <c r="X24" i="894"/>
  <c r="Y24" i="894"/>
  <c r="Z24" i="894"/>
  <c r="R24" i="894"/>
  <c r="L30" i="893"/>
  <c r="K30" i="893"/>
  <c r="G59" i="893"/>
  <c r="B59" i="893"/>
  <c r="C30" i="893" a="1"/>
  <c r="C30" i="893" s="1"/>
  <c r="B30" i="893"/>
  <c r="D15" i="893"/>
  <c r="E15" i="893"/>
  <c r="F15" i="893"/>
  <c r="G15" i="893"/>
  <c r="M15" i="893"/>
  <c r="O15" i="893"/>
  <c r="D17" i="893"/>
  <c r="E17" i="893"/>
  <c r="F17" i="893"/>
  <c r="G17" i="893"/>
  <c r="M17" i="893"/>
  <c r="O17" i="893"/>
  <c r="D18" i="893"/>
  <c r="E18" i="893"/>
  <c r="F18" i="893"/>
  <c r="G18" i="893"/>
  <c r="M18" i="893"/>
  <c r="O18" i="893"/>
  <c r="O16" i="893"/>
  <c r="M16" i="893"/>
  <c r="G16" i="893"/>
  <c r="F16" i="893"/>
  <c r="E16" i="893"/>
  <c r="D16" i="893"/>
  <c r="L10" i="893"/>
  <c r="M10" i="893"/>
  <c r="N10" i="893"/>
  <c r="O10" i="893"/>
  <c r="L11" i="893"/>
  <c r="M11" i="893"/>
  <c r="N11" i="893"/>
  <c r="O11" i="893"/>
  <c r="L12" i="893"/>
  <c r="M12" i="893"/>
  <c r="N12" i="893"/>
  <c r="O12" i="893"/>
  <c r="L13" i="893"/>
  <c r="M13" i="893"/>
  <c r="N13" i="893"/>
  <c r="O13" i="893"/>
  <c r="C10" i="893"/>
  <c r="D10" i="893"/>
  <c r="E10" i="893"/>
  <c r="F10" i="893"/>
  <c r="G10" i="893"/>
  <c r="C11" i="893"/>
  <c r="D11" i="893"/>
  <c r="E11" i="893"/>
  <c r="F11" i="893"/>
  <c r="G11" i="893"/>
  <c r="C12" i="893"/>
  <c r="D12" i="893"/>
  <c r="E12" i="893"/>
  <c r="F12" i="893"/>
  <c r="G12" i="893"/>
  <c r="C13" i="893"/>
  <c r="D13" i="893"/>
  <c r="E13" i="893"/>
  <c r="F13" i="893"/>
  <c r="G13" i="893"/>
  <c r="F75" i="893"/>
  <c r="AX59" i="893"/>
  <c r="AW59" i="893"/>
  <c r="AV59" i="893"/>
  <c r="AU59" i="893"/>
  <c r="AT59" i="893"/>
  <c r="AS59" i="893"/>
  <c r="AR59" i="893"/>
  <c r="AQ59" i="893"/>
  <c r="AP59" i="893"/>
  <c r="AO59" i="893"/>
  <c r="AN59" i="893"/>
  <c r="AM59" i="893"/>
  <c r="AL59" i="893"/>
  <c r="AK59" i="893"/>
  <c r="AJ59" i="893"/>
  <c r="AI59" i="893"/>
  <c r="AH59" i="893"/>
  <c r="AG59" i="893"/>
  <c r="AF59" i="893"/>
  <c r="AE59" i="893"/>
  <c r="AD59" i="893"/>
  <c r="AC59" i="893"/>
  <c r="AB59" i="893"/>
  <c r="K54" i="893"/>
  <c r="Z41" i="893"/>
  <c r="Y41" i="893"/>
  <c r="X41" i="893"/>
  <c r="W41" i="893"/>
  <c r="V41" i="893"/>
  <c r="U41" i="893"/>
  <c r="T41" i="893"/>
  <c r="S41" i="893"/>
  <c r="R41" i="893"/>
  <c r="Z40" i="893"/>
  <c r="Y40" i="893"/>
  <c r="X40" i="893"/>
  <c r="W40" i="893"/>
  <c r="V40" i="893"/>
  <c r="U40" i="893"/>
  <c r="T40" i="893"/>
  <c r="S40" i="893"/>
  <c r="R40" i="893"/>
  <c r="Z39" i="893"/>
  <c r="Y39" i="893"/>
  <c r="X39" i="893"/>
  <c r="W39" i="893"/>
  <c r="V39" i="893"/>
  <c r="U39" i="893"/>
  <c r="T39" i="893"/>
  <c r="S39" i="893"/>
  <c r="R39" i="893"/>
  <c r="M39" i="893"/>
  <c r="Z38" i="893"/>
  <c r="Y38" i="893"/>
  <c r="X38" i="893"/>
  <c r="W38" i="893"/>
  <c r="V38" i="893"/>
  <c r="U38" i="893"/>
  <c r="T38" i="893"/>
  <c r="S38" i="893"/>
  <c r="R38" i="893"/>
  <c r="M38" i="893"/>
  <c r="Z37" i="893"/>
  <c r="Y37" i="893"/>
  <c r="X37" i="893"/>
  <c r="W37" i="893"/>
  <c r="V37" i="893"/>
  <c r="U37" i="893"/>
  <c r="T37" i="893"/>
  <c r="S37" i="893"/>
  <c r="R37" i="893"/>
  <c r="M37" i="893"/>
  <c r="Z36" i="893"/>
  <c r="Y36" i="893"/>
  <c r="X36" i="893"/>
  <c r="W36" i="893"/>
  <c r="V36" i="893"/>
  <c r="U36" i="893"/>
  <c r="T36" i="893"/>
  <c r="S36" i="893"/>
  <c r="R36" i="893"/>
  <c r="L36" i="893"/>
  <c r="K36" i="893"/>
  <c r="Z35" i="893"/>
  <c r="Y35" i="893"/>
  <c r="X35" i="893"/>
  <c r="W35" i="893"/>
  <c r="V35" i="893"/>
  <c r="U35" i="893"/>
  <c r="T35" i="893"/>
  <c r="S35" i="893"/>
  <c r="R35" i="893"/>
  <c r="M35" i="893"/>
  <c r="Z34" i="893"/>
  <c r="Y34" i="893"/>
  <c r="X34" i="893"/>
  <c r="W34" i="893"/>
  <c r="V34" i="893"/>
  <c r="U34" i="893"/>
  <c r="T34" i="893"/>
  <c r="S34" i="893"/>
  <c r="R34" i="893"/>
  <c r="Z33" i="893"/>
  <c r="Y33" i="893"/>
  <c r="X33" i="893"/>
  <c r="W33" i="893"/>
  <c r="V33" i="893"/>
  <c r="U33" i="893"/>
  <c r="T33" i="893"/>
  <c r="S33" i="893"/>
  <c r="R33" i="893"/>
  <c r="M33" i="893"/>
  <c r="L33" i="893"/>
  <c r="K33" i="893"/>
  <c r="Z32" i="893"/>
  <c r="Y32" i="893"/>
  <c r="X32" i="893"/>
  <c r="W32" i="893"/>
  <c r="V32" i="893"/>
  <c r="U32" i="893"/>
  <c r="T32" i="893"/>
  <c r="S32" i="893"/>
  <c r="R32" i="893"/>
  <c r="L32" i="893"/>
  <c r="K32" i="893"/>
  <c r="Z31" i="893"/>
  <c r="Y31" i="893"/>
  <c r="X31" i="893"/>
  <c r="W31" i="893"/>
  <c r="V31" i="893"/>
  <c r="U31" i="893"/>
  <c r="T31" i="893"/>
  <c r="S31" i="893"/>
  <c r="R31" i="893"/>
  <c r="R30" i="893"/>
  <c r="Z29" i="893"/>
  <c r="Y29" i="893"/>
  <c r="X29" i="893"/>
  <c r="W29" i="893"/>
  <c r="V29" i="893"/>
  <c r="U29" i="893"/>
  <c r="T29" i="893"/>
  <c r="S29" i="893"/>
  <c r="R29" i="893"/>
  <c r="Z28" i="893"/>
  <c r="Y28" i="893"/>
  <c r="X28" i="893"/>
  <c r="W28" i="893"/>
  <c r="V28" i="893"/>
  <c r="U28" i="893"/>
  <c r="T28" i="893"/>
  <c r="S28" i="893"/>
  <c r="R28" i="893"/>
  <c r="Z27" i="893"/>
  <c r="Y27" i="893"/>
  <c r="X27" i="893"/>
  <c r="W27" i="893"/>
  <c r="V27" i="893"/>
  <c r="U27" i="893"/>
  <c r="T27" i="893"/>
  <c r="S27" i="893"/>
  <c r="R27" i="893"/>
  <c r="L25" i="892"/>
  <c r="K25" i="892"/>
  <c r="R10" i="892"/>
  <c r="S10" i="892"/>
  <c r="T10" i="892"/>
  <c r="U10" i="892"/>
  <c r="V10" i="892"/>
  <c r="W10" i="892"/>
  <c r="X10" i="892"/>
  <c r="Y10" i="892"/>
  <c r="Z10" i="892"/>
  <c r="R11" i="892"/>
  <c r="S11" i="892"/>
  <c r="T11" i="892"/>
  <c r="U11" i="892"/>
  <c r="V11" i="892"/>
  <c r="W11" i="892"/>
  <c r="X11" i="892"/>
  <c r="Y11" i="892"/>
  <c r="Z11" i="892"/>
  <c r="R12" i="892"/>
  <c r="S12" i="892"/>
  <c r="T12" i="892"/>
  <c r="U12" i="892"/>
  <c r="V12" i="892"/>
  <c r="W12" i="892"/>
  <c r="X12" i="892"/>
  <c r="Y12" i="892"/>
  <c r="Z12" i="892"/>
  <c r="R13" i="892"/>
  <c r="S13" i="892"/>
  <c r="T13" i="892"/>
  <c r="U13" i="892"/>
  <c r="V13" i="892"/>
  <c r="W13" i="892"/>
  <c r="X13" i="892"/>
  <c r="Y13" i="892"/>
  <c r="Z13" i="892"/>
  <c r="R14" i="892"/>
  <c r="S14" i="892"/>
  <c r="T14" i="892"/>
  <c r="U14" i="892"/>
  <c r="V14" i="892"/>
  <c r="W14" i="892"/>
  <c r="X14" i="892"/>
  <c r="Y14" i="892"/>
  <c r="Z14" i="892"/>
  <c r="R15" i="892"/>
  <c r="S15" i="892"/>
  <c r="T15" i="892"/>
  <c r="U15" i="892"/>
  <c r="V15" i="892"/>
  <c r="W15" i="892"/>
  <c r="X15" i="892"/>
  <c r="Y15" i="892"/>
  <c r="Z15" i="892"/>
  <c r="R16" i="892"/>
  <c r="S16" i="892"/>
  <c r="T16" i="892"/>
  <c r="U16" i="892"/>
  <c r="V16" i="892"/>
  <c r="W16" i="892"/>
  <c r="X16" i="892"/>
  <c r="Y16" i="892"/>
  <c r="Z16" i="892"/>
  <c r="C14" i="892"/>
  <c r="D14" i="892"/>
  <c r="E14" i="892"/>
  <c r="F14" i="892"/>
  <c r="G14" i="892"/>
  <c r="I14" i="892"/>
  <c r="J14" i="892"/>
  <c r="L14" i="892"/>
  <c r="M14" i="892"/>
  <c r="O14" i="892"/>
  <c r="C15" i="892"/>
  <c r="D15" i="892"/>
  <c r="E15" i="892"/>
  <c r="F15" i="892"/>
  <c r="G15" i="892"/>
  <c r="I15" i="892"/>
  <c r="J15" i="892"/>
  <c r="L15" i="892"/>
  <c r="M15" i="892"/>
  <c r="O15" i="892"/>
  <c r="C16" i="892"/>
  <c r="D16" i="892"/>
  <c r="E16" i="892"/>
  <c r="F16" i="892"/>
  <c r="G16" i="892"/>
  <c r="I16" i="892"/>
  <c r="J16" i="892"/>
  <c r="L16" i="892"/>
  <c r="M16" i="892"/>
  <c r="O16" i="892"/>
  <c r="C17" i="892"/>
  <c r="D17" i="892"/>
  <c r="E17" i="892"/>
  <c r="F17" i="892"/>
  <c r="G17" i="892"/>
  <c r="I17" i="892"/>
  <c r="J17" i="892"/>
  <c r="L17" i="892"/>
  <c r="M17" i="892"/>
  <c r="O17" i="892"/>
  <c r="C10" i="892"/>
  <c r="D10" i="892"/>
  <c r="E10" i="892"/>
  <c r="F10" i="892"/>
  <c r="G10" i="892"/>
  <c r="I10" i="892"/>
  <c r="J10" i="892"/>
  <c r="L10" i="892"/>
  <c r="M10" i="892"/>
  <c r="O10" i="892"/>
  <c r="C11" i="892"/>
  <c r="D11" i="892"/>
  <c r="E11" i="892"/>
  <c r="F11" i="892"/>
  <c r="G11" i="892"/>
  <c r="I11" i="892"/>
  <c r="J11" i="892"/>
  <c r="L11" i="892"/>
  <c r="M11" i="892"/>
  <c r="O11" i="892"/>
  <c r="C12" i="892"/>
  <c r="D12" i="892"/>
  <c r="E12" i="892"/>
  <c r="F12" i="892"/>
  <c r="G12" i="892"/>
  <c r="I12" i="892"/>
  <c r="J12" i="892"/>
  <c r="L12" i="892"/>
  <c r="M12" i="892"/>
  <c r="O12" i="892"/>
  <c r="C13" i="892"/>
  <c r="D13" i="892"/>
  <c r="E13" i="892"/>
  <c r="F13" i="892"/>
  <c r="G13" i="892"/>
  <c r="I13" i="892"/>
  <c r="J13" i="892"/>
  <c r="L13" i="892"/>
  <c r="M13" i="892"/>
  <c r="O13" i="892"/>
  <c r="B25" i="892"/>
  <c r="Y25" i="892" s="1"/>
  <c r="G54" i="892"/>
  <c r="B54" i="892"/>
  <c r="F70" i="892"/>
  <c r="AX54" i="892"/>
  <c r="AW54" i="892"/>
  <c r="AV54" i="892"/>
  <c r="AU54" i="892"/>
  <c r="AT54" i="892"/>
  <c r="AS54" i="892"/>
  <c r="AR54" i="892"/>
  <c r="AQ54" i="892"/>
  <c r="AP54" i="892"/>
  <c r="AO54" i="892"/>
  <c r="AN54" i="892"/>
  <c r="AM54" i="892"/>
  <c r="AL54" i="892"/>
  <c r="AK54" i="892"/>
  <c r="AJ54" i="892"/>
  <c r="AI54" i="892"/>
  <c r="AH54" i="892"/>
  <c r="AG54" i="892"/>
  <c r="AF54" i="892"/>
  <c r="AE54" i="892"/>
  <c r="AD54" i="892"/>
  <c r="AC54" i="892"/>
  <c r="AB54" i="892"/>
  <c r="K49" i="892"/>
  <c r="Z36" i="892"/>
  <c r="Y36" i="892"/>
  <c r="X36" i="892"/>
  <c r="W36" i="892"/>
  <c r="V36" i="892"/>
  <c r="U36" i="892"/>
  <c r="T36" i="892"/>
  <c r="S36" i="892"/>
  <c r="R36" i="892"/>
  <c r="Z35" i="892"/>
  <c r="Y35" i="892"/>
  <c r="X35" i="892"/>
  <c r="W35" i="892"/>
  <c r="V35" i="892"/>
  <c r="U35" i="892"/>
  <c r="T35" i="892"/>
  <c r="S35" i="892"/>
  <c r="R35" i="892"/>
  <c r="Z34" i="892"/>
  <c r="Y34" i="892"/>
  <c r="X34" i="892"/>
  <c r="W34" i="892"/>
  <c r="V34" i="892"/>
  <c r="U34" i="892"/>
  <c r="T34" i="892"/>
  <c r="S34" i="892"/>
  <c r="R34" i="892"/>
  <c r="M34" i="892"/>
  <c r="Z33" i="892"/>
  <c r="Y33" i="892"/>
  <c r="X33" i="892"/>
  <c r="W33" i="892"/>
  <c r="V33" i="892"/>
  <c r="U33" i="892"/>
  <c r="T33" i="892"/>
  <c r="S33" i="892"/>
  <c r="R33" i="892"/>
  <c r="M33" i="892"/>
  <c r="Z32" i="892"/>
  <c r="Y32" i="892"/>
  <c r="X32" i="892"/>
  <c r="W32" i="892"/>
  <c r="V32" i="892"/>
  <c r="U32" i="892"/>
  <c r="T32" i="892"/>
  <c r="S32" i="892"/>
  <c r="R32" i="892"/>
  <c r="M32" i="892"/>
  <c r="Z31" i="892"/>
  <c r="Y31" i="892"/>
  <c r="X31" i="892"/>
  <c r="W31" i="892"/>
  <c r="V31" i="892"/>
  <c r="U31" i="892"/>
  <c r="T31" i="892"/>
  <c r="S31" i="892"/>
  <c r="R31" i="892"/>
  <c r="L31" i="892"/>
  <c r="K31" i="892"/>
  <c r="Z30" i="892"/>
  <c r="Y30" i="892"/>
  <c r="X30" i="892"/>
  <c r="W30" i="892"/>
  <c r="V30" i="892"/>
  <c r="U30" i="892"/>
  <c r="T30" i="892"/>
  <c r="S30" i="892"/>
  <c r="R30" i="892"/>
  <c r="M30" i="892"/>
  <c r="Z29" i="892"/>
  <c r="Y29" i="892"/>
  <c r="X29" i="892"/>
  <c r="W29" i="892"/>
  <c r="V29" i="892"/>
  <c r="U29" i="892"/>
  <c r="T29" i="892"/>
  <c r="S29" i="892"/>
  <c r="R29" i="892"/>
  <c r="Z28" i="892"/>
  <c r="Y28" i="892"/>
  <c r="X28" i="892"/>
  <c r="W28" i="892"/>
  <c r="V28" i="892"/>
  <c r="U28" i="892"/>
  <c r="T28" i="892"/>
  <c r="S28" i="892"/>
  <c r="R28" i="892"/>
  <c r="M28" i="892"/>
  <c r="L28" i="892"/>
  <c r="K28" i="892"/>
  <c r="Z27" i="892"/>
  <c r="Y27" i="892"/>
  <c r="X27" i="892"/>
  <c r="W27" i="892"/>
  <c r="V27" i="892"/>
  <c r="U27" i="892"/>
  <c r="T27" i="892"/>
  <c r="S27" i="892"/>
  <c r="R27" i="892"/>
  <c r="L27" i="892"/>
  <c r="K27" i="892"/>
  <c r="Z26" i="892"/>
  <c r="Y26" i="892"/>
  <c r="X26" i="892"/>
  <c r="W26" i="892"/>
  <c r="V26" i="892"/>
  <c r="U26" i="892"/>
  <c r="T26" i="892"/>
  <c r="S26" i="892"/>
  <c r="R26" i="892"/>
  <c r="Z24" i="892"/>
  <c r="Y24" i="892"/>
  <c r="X24" i="892"/>
  <c r="W24" i="892"/>
  <c r="V24" i="892"/>
  <c r="U24" i="892"/>
  <c r="T24" i="892"/>
  <c r="S24" i="892"/>
  <c r="R24" i="892"/>
  <c r="Z23" i="892"/>
  <c r="Y23" i="892"/>
  <c r="X23" i="892"/>
  <c r="W23" i="892"/>
  <c r="V23" i="892"/>
  <c r="U23" i="892"/>
  <c r="T23" i="892"/>
  <c r="S23" i="892"/>
  <c r="R23" i="892"/>
  <c r="Z22" i="892"/>
  <c r="Y22" i="892"/>
  <c r="X22" i="892"/>
  <c r="W22" i="892"/>
  <c r="V22" i="892"/>
  <c r="U22" i="892"/>
  <c r="T22" i="892"/>
  <c r="S22" i="892"/>
  <c r="R22" i="892"/>
  <c r="Z21" i="892"/>
  <c r="Y21" i="892"/>
  <c r="X21" i="892"/>
  <c r="W21" i="892"/>
  <c r="V21" i="892"/>
  <c r="U21" i="892"/>
  <c r="T21" i="892"/>
  <c r="S21" i="892"/>
  <c r="R21" i="892"/>
  <c r="Z20" i="892"/>
  <c r="Y20" i="892"/>
  <c r="X20" i="892"/>
  <c r="W20" i="892"/>
  <c r="V20" i="892"/>
  <c r="U20" i="892"/>
  <c r="T20" i="892"/>
  <c r="S20" i="892"/>
  <c r="R20" i="892"/>
  <c r="Z19" i="892"/>
  <c r="Y19" i="892"/>
  <c r="X19" i="892"/>
  <c r="W19" i="892"/>
  <c r="V19" i="892"/>
  <c r="U19" i="892"/>
  <c r="T19" i="892"/>
  <c r="S19" i="892"/>
  <c r="R19" i="892"/>
  <c r="Z18" i="892"/>
  <c r="Y18" i="892"/>
  <c r="X18" i="892"/>
  <c r="W18" i="892"/>
  <c r="V18" i="892"/>
  <c r="U18" i="892"/>
  <c r="T18" i="892"/>
  <c r="S18" i="892"/>
  <c r="R18" i="892"/>
  <c r="Z17" i="892"/>
  <c r="Y17" i="892"/>
  <c r="X17" i="892"/>
  <c r="W17" i="892"/>
  <c r="V17" i="892"/>
  <c r="U17" i="892"/>
  <c r="T17" i="892"/>
  <c r="S17" i="892"/>
  <c r="R17" i="892"/>
  <c r="J25" i="892" l="1"/>
  <c r="S30" i="893"/>
  <c r="V30" i="893"/>
  <c r="W30" i="893"/>
  <c r="X30" i="893"/>
  <c r="T30" i="893"/>
  <c r="U30" i="893"/>
  <c r="Y30" i="893"/>
  <c r="Z30" i="893"/>
  <c r="R25" i="892"/>
  <c r="S25" i="892"/>
  <c r="T25" i="892"/>
  <c r="U25" i="892"/>
  <c r="Z25" i="892"/>
  <c r="V25" i="892"/>
  <c r="W25" i="892"/>
  <c r="X25" i="892"/>
  <c r="E51" i="891" l="1"/>
  <c r="G51" i="891"/>
  <c r="G49" i="891" l="1"/>
  <c r="B51" i="891"/>
  <c r="B32" i="891"/>
  <c r="K15" i="891"/>
  <c r="M23" i="891"/>
  <c r="L23" i="891"/>
  <c r="K23" i="891"/>
  <c r="I10" i="891"/>
  <c r="J10" i="891"/>
  <c r="L10" i="891"/>
  <c r="M10" i="891"/>
  <c r="N10" i="891"/>
  <c r="O10" i="891"/>
  <c r="I11" i="891"/>
  <c r="J11" i="891"/>
  <c r="L11" i="891"/>
  <c r="M11" i="891"/>
  <c r="N11" i="891"/>
  <c r="O11" i="891"/>
  <c r="I12" i="891"/>
  <c r="J12" i="891"/>
  <c r="K12" i="891"/>
  <c r="L12" i="891"/>
  <c r="M12" i="891"/>
  <c r="N12" i="891"/>
  <c r="O12" i="891"/>
  <c r="I13" i="891"/>
  <c r="J13" i="891"/>
  <c r="K13" i="891"/>
  <c r="L13" i="891"/>
  <c r="M13" i="891"/>
  <c r="N13" i="891"/>
  <c r="O13" i="891"/>
  <c r="I14" i="891"/>
  <c r="J14" i="891"/>
  <c r="L14" i="891"/>
  <c r="M14" i="891"/>
  <c r="N14" i="891"/>
  <c r="O14" i="891"/>
  <c r="I15" i="891"/>
  <c r="J15" i="891"/>
  <c r="L15" i="891"/>
  <c r="M15" i="891"/>
  <c r="N15" i="891"/>
  <c r="O15" i="891"/>
  <c r="K10" i="891"/>
  <c r="K11" i="891"/>
  <c r="K14" i="891"/>
  <c r="C10" i="891"/>
  <c r="D10" i="891"/>
  <c r="E10" i="891"/>
  <c r="F10" i="891"/>
  <c r="G10" i="891"/>
  <c r="C11" i="891"/>
  <c r="D11" i="891"/>
  <c r="E11" i="891"/>
  <c r="F11" i="891"/>
  <c r="G11" i="891"/>
  <c r="C12" i="891"/>
  <c r="D12" i="891"/>
  <c r="E12" i="891"/>
  <c r="F12" i="891"/>
  <c r="G12" i="891"/>
  <c r="C13" i="891"/>
  <c r="D13" i="891"/>
  <c r="E13" i="891"/>
  <c r="F13" i="891"/>
  <c r="G13" i="891"/>
  <c r="C14" i="891"/>
  <c r="D14" i="891"/>
  <c r="E14" i="891"/>
  <c r="F14" i="891"/>
  <c r="G14" i="891"/>
  <c r="C15" i="891"/>
  <c r="D15" i="891"/>
  <c r="E15" i="891"/>
  <c r="F15" i="891"/>
  <c r="G15" i="891"/>
  <c r="F65" i="891"/>
  <c r="AX49" i="891"/>
  <c r="AW49" i="891"/>
  <c r="AV49" i="891"/>
  <c r="AU49" i="891"/>
  <c r="AT49" i="891"/>
  <c r="AS49" i="891"/>
  <c r="AR49" i="891"/>
  <c r="AQ49" i="891"/>
  <c r="AP49" i="891"/>
  <c r="AO49" i="891"/>
  <c r="AN49" i="891"/>
  <c r="AM49" i="891"/>
  <c r="AL49" i="891"/>
  <c r="AK49" i="891"/>
  <c r="AJ49" i="891"/>
  <c r="AI49" i="891"/>
  <c r="AH49" i="891"/>
  <c r="AG49" i="891"/>
  <c r="AF49" i="891"/>
  <c r="AE49" i="891"/>
  <c r="AD49" i="891"/>
  <c r="AC49" i="891"/>
  <c r="AB49" i="891"/>
  <c r="B49" i="891"/>
  <c r="K44" i="891"/>
  <c r="Z31" i="891"/>
  <c r="Y31" i="891"/>
  <c r="X31" i="891"/>
  <c r="W31" i="891"/>
  <c r="V31" i="891"/>
  <c r="U31" i="891"/>
  <c r="T31" i="891"/>
  <c r="S31" i="891"/>
  <c r="R31" i="891"/>
  <c r="Z30" i="891"/>
  <c r="Y30" i="891"/>
  <c r="X30" i="891"/>
  <c r="W30" i="891"/>
  <c r="V30" i="891"/>
  <c r="U30" i="891"/>
  <c r="T30" i="891"/>
  <c r="S30" i="891"/>
  <c r="R30" i="891"/>
  <c r="Z29" i="891"/>
  <c r="Y29" i="891"/>
  <c r="X29" i="891"/>
  <c r="W29" i="891"/>
  <c r="V29" i="891"/>
  <c r="U29" i="891"/>
  <c r="T29" i="891"/>
  <c r="S29" i="891"/>
  <c r="R29" i="891"/>
  <c r="M29" i="891"/>
  <c r="Z28" i="891"/>
  <c r="Y28" i="891"/>
  <c r="X28" i="891"/>
  <c r="W28" i="891"/>
  <c r="V28" i="891"/>
  <c r="U28" i="891"/>
  <c r="T28" i="891"/>
  <c r="S28" i="891"/>
  <c r="R28" i="891"/>
  <c r="M28" i="891"/>
  <c r="Z27" i="891"/>
  <c r="Y27" i="891"/>
  <c r="X27" i="891"/>
  <c r="W27" i="891"/>
  <c r="V27" i="891"/>
  <c r="U27" i="891"/>
  <c r="T27" i="891"/>
  <c r="S27" i="891"/>
  <c r="R27" i="891"/>
  <c r="M27" i="891"/>
  <c r="Z26" i="891"/>
  <c r="Y26" i="891"/>
  <c r="X26" i="891"/>
  <c r="W26" i="891"/>
  <c r="V26" i="891"/>
  <c r="U26" i="891"/>
  <c r="T26" i="891"/>
  <c r="S26" i="891"/>
  <c r="R26" i="891"/>
  <c r="L26" i="891"/>
  <c r="K26" i="891"/>
  <c r="Z25" i="891"/>
  <c r="Y25" i="891"/>
  <c r="X25" i="891"/>
  <c r="W25" i="891"/>
  <c r="V25" i="891"/>
  <c r="U25" i="891"/>
  <c r="T25" i="891"/>
  <c r="S25" i="891"/>
  <c r="R25" i="891"/>
  <c r="M25" i="891"/>
  <c r="Z24" i="891"/>
  <c r="Y24" i="891"/>
  <c r="X24" i="891"/>
  <c r="W24" i="891"/>
  <c r="V24" i="891"/>
  <c r="U24" i="891"/>
  <c r="T24" i="891"/>
  <c r="S24" i="891"/>
  <c r="R24" i="891"/>
  <c r="Z23" i="891"/>
  <c r="Y23" i="891"/>
  <c r="X23" i="891"/>
  <c r="W23" i="891"/>
  <c r="V23" i="891"/>
  <c r="U23" i="891"/>
  <c r="T23" i="891"/>
  <c r="S23" i="891"/>
  <c r="R23" i="891"/>
  <c r="Z22" i="891"/>
  <c r="Y22" i="891"/>
  <c r="X22" i="891"/>
  <c r="W22" i="891"/>
  <c r="V22" i="891"/>
  <c r="U22" i="891"/>
  <c r="T22" i="891"/>
  <c r="S22" i="891"/>
  <c r="R22" i="891"/>
  <c r="L22" i="891"/>
  <c r="K22" i="891"/>
  <c r="Z21" i="891"/>
  <c r="Y21" i="891"/>
  <c r="X21" i="891"/>
  <c r="W21" i="891"/>
  <c r="V21" i="891"/>
  <c r="U21" i="891"/>
  <c r="T21" i="891"/>
  <c r="S21" i="891"/>
  <c r="R21" i="891"/>
  <c r="L20" i="891"/>
  <c r="K20" i="891"/>
  <c r="B20" i="891"/>
  <c r="T20" i="891" s="1"/>
  <c r="Z19" i="891"/>
  <c r="Y19" i="891"/>
  <c r="X19" i="891"/>
  <c r="W19" i="891"/>
  <c r="V19" i="891"/>
  <c r="U19" i="891"/>
  <c r="T19" i="891"/>
  <c r="S19" i="891"/>
  <c r="R19" i="891"/>
  <c r="Z18" i="891"/>
  <c r="Y18" i="891"/>
  <c r="X18" i="891"/>
  <c r="W18" i="891"/>
  <c r="V18" i="891"/>
  <c r="U18" i="891"/>
  <c r="T18" i="891"/>
  <c r="S18" i="891"/>
  <c r="R18" i="891"/>
  <c r="Z17" i="891"/>
  <c r="Y17" i="891"/>
  <c r="X17" i="891"/>
  <c r="W17" i="891"/>
  <c r="V17" i="891"/>
  <c r="U17" i="891"/>
  <c r="T17" i="891"/>
  <c r="S17" i="891"/>
  <c r="R17" i="891"/>
  <c r="Z16" i="891"/>
  <c r="Y16" i="891"/>
  <c r="X16" i="891"/>
  <c r="W16" i="891"/>
  <c r="V16" i="891"/>
  <c r="U16" i="891"/>
  <c r="T16" i="891"/>
  <c r="S16" i="891"/>
  <c r="R16" i="891"/>
  <c r="Z15" i="891"/>
  <c r="Y15" i="891"/>
  <c r="X15" i="891"/>
  <c r="W15" i="891"/>
  <c r="V15" i="891"/>
  <c r="U15" i="891"/>
  <c r="T15" i="891"/>
  <c r="S15" i="891"/>
  <c r="R15" i="891"/>
  <c r="Z14" i="891"/>
  <c r="Y14" i="891"/>
  <c r="X14" i="891"/>
  <c r="W14" i="891"/>
  <c r="V14" i="891"/>
  <c r="U14" i="891"/>
  <c r="T14" i="891"/>
  <c r="S14" i="891"/>
  <c r="R14" i="891"/>
  <c r="Z13" i="891"/>
  <c r="Y13" i="891"/>
  <c r="X13" i="891"/>
  <c r="W13" i="891"/>
  <c r="V13" i="891"/>
  <c r="U13" i="891"/>
  <c r="T13" i="891"/>
  <c r="S13" i="891"/>
  <c r="R13" i="891"/>
  <c r="Z12" i="891"/>
  <c r="Y12" i="891"/>
  <c r="X12" i="891"/>
  <c r="W12" i="891"/>
  <c r="V12" i="891"/>
  <c r="U12" i="891"/>
  <c r="T12" i="891"/>
  <c r="S12" i="891"/>
  <c r="R12" i="891"/>
  <c r="Z11" i="891"/>
  <c r="Y11" i="891"/>
  <c r="X11" i="891"/>
  <c r="W11" i="891"/>
  <c r="V11" i="891"/>
  <c r="U11" i="891"/>
  <c r="T11" i="891"/>
  <c r="S11" i="891"/>
  <c r="R11" i="891"/>
  <c r="Z10" i="891"/>
  <c r="Y10" i="891"/>
  <c r="X10" i="891"/>
  <c r="W10" i="891"/>
  <c r="V10" i="891"/>
  <c r="U10" i="891"/>
  <c r="T10" i="891"/>
  <c r="S10" i="891"/>
  <c r="R10" i="891"/>
  <c r="C29" i="890" a="1"/>
  <c r="C29" i="890" s="1"/>
  <c r="J23" i="891" l="1"/>
  <c r="V20" i="891"/>
  <c r="Y20" i="891"/>
  <c r="U20" i="891"/>
  <c r="W20" i="891"/>
  <c r="X20" i="891"/>
  <c r="Z20" i="891"/>
  <c r="R20" i="891"/>
  <c r="S20" i="891"/>
  <c r="G58" i="890"/>
  <c r="B58" i="890"/>
  <c r="B29" i="890"/>
  <c r="M10" i="890"/>
  <c r="O10" i="890"/>
  <c r="M11" i="890"/>
  <c r="O11" i="890"/>
  <c r="M12" i="890"/>
  <c r="O12" i="890"/>
  <c r="M13" i="890"/>
  <c r="O13" i="890"/>
  <c r="D10" i="890"/>
  <c r="E10" i="890"/>
  <c r="F10" i="890"/>
  <c r="G10" i="890"/>
  <c r="D11" i="890"/>
  <c r="E11" i="890"/>
  <c r="F11" i="890"/>
  <c r="G11" i="890"/>
  <c r="D12" i="890"/>
  <c r="E12" i="890"/>
  <c r="F12" i="890"/>
  <c r="G12" i="890"/>
  <c r="D13" i="890"/>
  <c r="E13" i="890"/>
  <c r="F13" i="890"/>
  <c r="G13" i="890"/>
  <c r="F74" i="890"/>
  <c r="AX58" i="890"/>
  <c r="AW58" i="890"/>
  <c r="AV58" i="890"/>
  <c r="AU58" i="890"/>
  <c r="AT58" i="890"/>
  <c r="AS58" i="890"/>
  <c r="AR58" i="890"/>
  <c r="AQ58" i="890"/>
  <c r="AP58" i="890"/>
  <c r="AO58" i="890"/>
  <c r="AN58" i="890"/>
  <c r="AM58" i="890"/>
  <c r="AL58" i="890"/>
  <c r="AK58" i="890"/>
  <c r="AJ58" i="890"/>
  <c r="AI58" i="890"/>
  <c r="AH58" i="890"/>
  <c r="AG58" i="890"/>
  <c r="AF58" i="890"/>
  <c r="AE58" i="890"/>
  <c r="AD58" i="890"/>
  <c r="AC58" i="890"/>
  <c r="AB58" i="890"/>
  <c r="K53" i="890"/>
  <c r="Z40" i="890"/>
  <c r="Y40" i="890"/>
  <c r="X40" i="890"/>
  <c r="W40" i="890"/>
  <c r="V40" i="890"/>
  <c r="U40" i="890"/>
  <c r="T40" i="890"/>
  <c r="S40" i="890"/>
  <c r="R40" i="890"/>
  <c r="Z39" i="890"/>
  <c r="Y39" i="890"/>
  <c r="X39" i="890"/>
  <c r="W39" i="890"/>
  <c r="V39" i="890"/>
  <c r="U39" i="890"/>
  <c r="T39" i="890"/>
  <c r="S39" i="890"/>
  <c r="R39" i="890"/>
  <c r="Z38" i="890"/>
  <c r="Y38" i="890"/>
  <c r="X38" i="890"/>
  <c r="W38" i="890"/>
  <c r="V38" i="890"/>
  <c r="U38" i="890"/>
  <c r="T38" i="890"/>
  <c r="S38" i="890"/>
  <c r="R38" i="890"/>
  <c r="M38" i="890"/>
  <c r="Z37" i="890"/>
  <c r="Y37" i="890"/>
  <c r="X37" i="890"/>
  <c r="W37" i="890"/>
  <c r="V37" i="890"/>
  <c r="U37" i="890"/>
  <c r="T37" i="890"/>
  <c r="S37" i="890"/>
  <c r="R37" i="890"/>
  <c r="M37" i="890"/>
  <c r="Z36" i="890"/>
  <c r="Y36" i="890"/>
  <c r="X36" i="890"/>
  <c r="W36" i="890"/>
  <c r="V36" i="890"/>
  <c r="U36" i="890"/>
  <c r="T36" i="890"/>
  <c r="S36" i="890"/>
  <c r="R36" i="890"/>
  <c r="M36" i="890"/>
  <c r="Z35" i="890"/>
  <c r="Y35" i="890"/>
  <c r="X35" i="890"/>
  <c r="W35" i="890"/>
  <c r="V35" i="890"/>
  <c r="U35" i="890"/>
  <c r="T35" i="890"/>
  <c r="S35" i="890"/>
  <c r="R35" i="890"/>
  <c r="L35" i="890"/>
  <c r="K35" i="890"/>
  <c r="Z34" i="890"/>
  <c r="Y34" i="890"/>
  <c r="X34" i="890"/>
  <c r="W34" i="890"/>
  <c r="V34" i="890"/>
  <c r="U34" i="890"/>
  <c r="T34" i="890"/>
  <c r="S34" i="890"/>
  <c r="R34" i="890"/>
  <c r="M34" i="890"/>
  <c r="Z33" i="890"/>
  <c r="Y33" i="890"/>
  <c r="X33" i="890"/>
  <c r="W33" i="890"/>
  <c r="V33" i="890"/>
  <c r="U33" i="890"/>
  <c r="T33" i="890"/>
  <c r="S33" i="890"/>
  <c r="R33" i="890"/>
  <c r="Z32" i="890"/>
  <c r="Y32" i="890"/>
  <c r="X32" i="890"/>
  <c r="W32" i="890"/>
  <c r="V32" i="890"/>
  <c r="U32" i="890"/>
  <c r="T32" i="890"/>
  <c r="S32" i="890"/>
  <c r="R32" i="890"/>
  <c r="M32" i="890"/>
  <c r="L32" i="890"/>
  <c r="K32" i="890"/>
  <c r="Z31" i="890"/>
  <c r="Y31" i="890"/>
  <c r="X31" i="890"/>
  <c r="W31" i="890"/>
  <c r="V31" i="890"/>
  <c r="U31" i="890"/>
  <c r="T31" i="890"/>
  <c r="S31" i="890"/>
  <c r="R31" i="890"/>
  <c r="L31" i="890"/>
  <c r="K31" i="890"/>
  <c r="Z30" i="890"/>
  <c r="Y30" i="890"/>
  <c r="X30" i="890"/>
  <c r="W30" i="890"/>
  <c r="V30" i="890"/>
  <c r="U30" i="890"/>
  <c r="T30" i="890"/>
  <c r="S30" i="890"/>
  <c r="R30" i="890"/>
  <c r="L29" i="890"/>
  <c r="K29" i="890"/>
  <c r="Z29" i="890"/>
  <c r="Z28" i="890"/>
  <c r="Y28" i="890"/>
  <c r="X28" i="890"/>
  <c r="W28" i="890"/>
  <c r="V28" i="890"/>
  <c r="U28" i="890"/>
  <c r="T28" i="890"/>
  <c r="S28" i="890"/>
  <c r="R28" i="890"/>
  <c r="Z27" i="890"/>
  <c r="Y27" i="890"/>
  <c r="X27" i="890"/>
  <c r="W27" i="890"/>
  <c r="V27" i="890"/>
  <c r="U27" i="890"/>
  <c r="T27" i="890"/>
  <c r="S27" i="890"/>
  <c r="R27" i="890"/>
  <c r="Z26" i="890"/>
  <c r="Y26" i="890"/>
  <c r="X26" i="890"/>
  <c r="W26" i="890"/>
  <c r="V26" i="890"/>
  <c r="U26" i="890"/>
  <c r="T26" i="890"/>
  <c r="S26" i="890"/>
  <c r="R26" i="890"/>
  <c r="Z25" i="890"/>
  <c r="Y25" i="890"/>
  <c r="X25" i="890"/>
  <c r="W25" i="890"/>
  <c r="V25" i="890"/>
  <c r="U25" i="890"/>
  <c r="T25" i="890"/>
  <c r="S25" i="890"/>
  <c r="R25" i="890"/>
  <c r="Z24" i="890"/>
  <c r="Y24" i="890"/>
  <c r="X24" i="890"/>
  <c r="W24" i="890"/>
  <c r="V24" i="890"/>
  <c r="U24" i="890"/>
  <c r="T24" i="890"/>
  <c r="S24" i="890"/>
  <c r="R24" i="890"/>
  <c r="Z23" i="890"/>
  <c r="Y23" i="890"/>
  <c r="X23" i="890"/>
  <c r="W23" i="890"/>
  <c r="V23" i="890"/>
  <c r="U23" i="890"/>
  <c r="T23" i="890"/>
  <c r="S23" i="890"/>
  <c r="R23" i="890"/>
  <c r="Z22" i="890"/>
  <c r="Y22" i="890"/>
  <c r="X22" i="890"/>
  <c r="W22" i="890"/>
  <c r="V22" i="890"/>
  <c r="U22" i="890"/>
  <c r="T22" i="890"/>
  <c r="S22" i="890"/>
  <c r="R22" i="890"/>
  <c r="Z21" i="890"/>
  <c r="Y21" i="890"/>
  <c r="X21" i="890"/>
  <c r="W21" i="890"/>
  <c r="V21" i="890"/>
  <c r="U21" i="890"/>
  <c r="T21" i="890"/>
  <c r="S21" i="890"/>
  <c r="R21" i="890"/>
  <c r="Z20" i="890"/>
  <c r="Y20" i="890"/>
  <c r="X20" i="890"/>
  <c r="W20" i="890"/>
  <c r="V20" i="890"/>
  <c r="U20" i="890"/>
  <c r="T20" i="890"/>
  <c r="S20" i="890"/>
  <c r="R20" i="890"/>
  <c r="Z19" i="890"/>
  <c r="Y19" i="890"/>
  <c r="X19" i="890"/>
  <c r="W19" i="890"/>
  <c r="V19" i="890"/>
  <c r="U19" i="890"/>
  <c r="T19" i="890"/>
  <c r="S19" i="890"/>
  <c r="R19" i="890"/>
  <c r="Z18" i="890"/>
  <c r="Y18" i="890"/>
  <c r="X18" i="890"/>
  <c r="W18" i="890"/>
  <c r="V18" i="890"/>
  <c r="U18" i="890"/>
  <c r="T18" i="890"/>
  <c r="S18" i="890"/>
  <c r="R18" i="890"/>
  <c r="Z17" i="890"/>
  <c r="Y17" i="890"/>
  <c r="X17" i="890"/>
  <c r="W17" i="890"/>
  <c r="V17" i="890"/>
  <c r="U17" i="890"/>
  <c r="T17" i="890"/>
  <c r="S17" i="890"/>
  <c r="R17" i="890"/>
  <c r="Z16" i="890"/>
  <c r="Y16" i="890"/>
  <c r="X16" i="890"/>
  <c r="W16" i="890"/>
  <c r="V16" i="890"/>
  <c r="U16" i="890"/>
  <c r="T16" i="890"/>
  <c r="S16" i="890"/>
  <c r="R16" i="890"/>
  <c r="Z15" i="890"/>
  <c r="Y15" i="890"/>
  <c r="X15" i="890"/>
  <c r="W15" i="890"/>
  <c r="V15" i="890"/>
  <c r="U15" i="890"/>
  <c r="T15" i="890"/>
  <c r="S15" i="890"/>
  <c r="R15" i="890"/>
  <c r="Z14" i="890"/>
  <c r="Y14" i="890"/>
  <c r="X14" i="890"/>
  <c r="W14" i="890"/>
  <c r="V14" i="890"/>
  <c r="U14" i="890"/>
  <c r="T14" i="890"/>
  <c r="S14" i="890"/>
  <c r="R14" i="890"/>
  <c r="Z13" i="890"/>
  <c r="Y13" i="890"/>
  <c r="X13" i="890"/>
  <c r="W13" i="890"/>
  <c r="V13" i="890"/>
  <c r="U13" i="890"/>
  <c r="T13" i="890"/>
  <c r="S13" i="890"/>
  <c r="R13" i="890"/>
  <c r="Z12" i="890"/>
  <c r="Y12" i="890"/>
  <c r="X12" i="890"/>
  <c r="W12" i="890"/>
  <c r="V12" i="890"/>
  <c r="U12" i="890"/>
  <c r="T12" i="890"/>
  <c r="S12" i="890"/>
  <c r="R12" i="890"/>
  <c r="Z11" i="890"/>
  <c r="Y11" i="890"/>
  <c r="X11" i="890"/>
  <c r="W11" i="890"/>
  <c r="V11" i="890"/>
  <c r="U11" i="890"/>
  <c r="T11" i="890"/>
  <c r="S11" i="890"/>
  <c r="R11" i="890"/>
  <c r="Z10" i="890"/>
  <c r="Y10" i="890"/>
  <c r="X10" i="890"/>
  <c r="W10" i="890"/>
  <c r="V10" i="890"/>
  <c r="U10" i="890"/>
  <c r="T10" i="890"/>
  <c r="S10" i="890"/>
  <c r="R10" i="890"/>
  <c r="L37" i="889"/>
  <c r="K37" i="889"/>
  <c r="R15" i="889"/>
  <c r="S15" i="889"/>
  <c r="T15" i="889"/>
  <c r="U15" i="889"/>
  <c r="V15" i="889"/>
  <c r="W15" i="889"/>
  <c r="X15" i="889"/>
  <c r="Y15" i="889"/>
  <c r="Z15" i="889"/>
  <c r="R16" i="889"/>
  <c r="S16" i="889"/>
  <c r="T16" i="889"/>
  <c r="U16" i="889"/>
  <c r="V16" i="889"/>
  <c r="W16" i="889"/>
  <c r="X16" i="889"/>
  <c r="Y16" i="889"/>
  <c r="Z16" i="889"/>
  <c r="R17" i="889"/>
  <c r="S17" i="889"/>
  <c r="T17" i="889"/>
  <c r="U17" i="889"/>
  <c r="V17" i="889"/>
  <c r="W17" i="889"/>
  <c r="X17" i="889"/>
  <c r="Y17" i="889"/>
  <c r="Z17" i="889"/>
  <c r="R18" i="889"/>
  <c r="S18" i="889"/>
  <c r="T18" i="889"/>
  <c r="U18" i="889"/>
  <c r="V18" i="889"/>
  <c r="W18" i="889"/>
  <c r="X18" i="889"/>
  <c r="Y18" i="889"/>
  <c r="Z18" i="889"/>
  <c r="R19" i="889"/>
  <c r="S19" i="889"/>
  <c r="T19" i="889"/>
  <c r="U19" i="889"/>
  <c r="V19" i="889"/>
  <c r="W19" i="889"/>
  <c r="X19" i="889"/>
  <c r="Y19" i="889"/>
  <c r="Z19" i="889"/>
  <c r="R20" i="889"/>
  <c r="S20" i="889"/>
  <c r="T20" i="889"/>
  <c r="U20" i="889"/>
  <c r="V20" i="889"/>
  <c r="W20" i="889"/>
  <c r="X20" i="889"/>
  <c r="Y20" i="889"/>
  <c r="Z20" i="889"/>
  <c r="R21" i="889"/>
  <c r="S21" i="889"/>
  <c r="T21" i="889"/>
  <c r="U21" i="889"/>
  <c r="V21" i="889"/>
  <c r="W21" i="889"/>
  <c r="X21" i="889"/>
  <c r="Y21" i="889"/>
  <c r="Z21" i="889"/>
  <c r="R22" i="889"/>
  <c r="S22" i="889"/>
  <c r="T22" i="889"/>
  <c r="U22" i="889"/>
  <c r="V22" i="889"/>
  <c r="W22" i="889"/>
  <c r="X22" i="889"/>
  <c r="Y22" i="889"/>
  <c r="Z22" i="889"/>
  <c r="R23" i="889"/>
  <c r="S23" i="889"/>
  <c r="T23" i="889"/>
  <c r="U23" i="889"/>
  <c r="V23" i="889"/>
  <c r="W23" i="889"/>
  <c r="X23" i="889"/>
  <c r="Y23" i="889"/>
  <c r="Z23" i="889"/>
  <c r="R24" i="889"/>
  <c r="S24" i="889"/>
  <c r="T24" i="889"/>
  <c r="U24" i="889"/>
  <c r="V24" i="889"/>
  <c r="W24" i="889"/>
  <c r="X24" i="889"/>
  <c r="Y24" i="889"/>
  <c r="Z24" i="889"/>
  <c r="R25" i="889"/>
  <c r="S25" i="889"/>
  <c r="T25" i="889"/>
  <c r="U25" i="889"/>
  <c r="V25" i="889"/>
  <c r="W25" i="889"/>
  <c r="X25" i="889"/>
  <c r="Y25" i="889"/>
  <c r="Z25" i="889"/>
  <c r="R26" i="889"/>
  <c r="S26" i="889"/>
  <c r="T26" i="889"/>
  <c r="U26" i="889"/>
  <c r="V26" i="889"/>
  <c r="W26" i="889"/>
  <c r="X26" i="889"/>
  <c r="Y26" i="889"/>
  <c r="Z26" i="889"/>
  <c r="R27" i="889"/>
  <c r="S27" i="889"/>
  <c r="T27" i="889"/>
  <c r="U27" i="889"/>
  <c r="V27" i="889"/>
  <c r="W27" i="889"/>
  <c r="X27" i="889"/>
  <c r="Y27" i="889"/>
  <c r="Z27" i="889"/>
  <c r="R28" i="889"/>
  <c r="S28" i="889"/>
  <c r="T28" i="889"/>
  <c r="U28" i="889"/>
  <c r="V28" i="889"/>
  <c r="W28" i="889"/>
  <c r="X28" i="889"/>
  <c r="Y28" i="889"/>
  <c r="Z28" i="889"/>
  <c r="R29" i="889"/>
  <c r="S29" i="889"/>
  <c r="T29" i="889"/>
  <c r="U29" i="889"/>
  <c r="V29" i="889"/>
  <c r="W29" i="889"/>
  <c r="X29" i="889"/>
  <c r="Y29" i="889"/>
  <c r="Z29" i="889"/>
  <c r="R30" i="889"/>
  <c r="S30" i="889"/>
  <c r="T30" i="889"/>
  <c r="U30" i="889"/>
  <c r="V30" i="889"/>
  <c r="W30" i="889"/>
  <c r="X30" i="889"/>
  <c r="Y30" i="889"/>
  <c r="Z30" i="889"/>
  <c r="R31" i="889"/>
  <c r="S31" i="889"/>
  <c r="T31" i="889"/>
  <c r="U31" i="889"/>
  <c r="V31" i="889"/>
  <c r="W31" i="889"/>
  <c r="X31" i="889"/>
  <c r="Y31" i="889"/>
  <c r="Z31" i="889"/>
  <c r="R32" i="889"/>
  <c r="S32" i="889"/>
  <c r="T32" i="889"/>
  <c r="U32" i="889"/>
  <c r="V32" i="889"/>
  <c r="W32" i="889"/>
  <c r="X32" i="889"/>
  <c r="Y32" i="889"/>
  <c r="Z32" i="889"/>
  <c r="R33" i="889"/>
  <c r="S33" i="889"/>
  <c r="T33" i="889"/>
  <c r="U33" i="889"/>
  <c r="V33" i="889"/>
  <c r="W33" i="889"/>
  <c r="X33" i="889"/>
  <c r="Y33" i="889"/>
  <c r="Z33" i="889"/>
  <c r="R34" i="889"/>
  <c r="S34" i="889"/>
  <c r="T34" i="889"/>
  <c r="U34" i="889"/>
  <c r="V34" i="889"/>
  <c r="W34" i="889"/>
  <c r="X34" i="889"/>
  <c r="Y34" i="889"/>
  <c r="Z34" i="889"/>
  <c r="R35" i="889"/>
  <c r="S35" i="889"/>
  <c r="T35" i="889"/>
  <c r="U35" i="889"/>
  <c r="V35" i="889"/>
  <c r="W35" i="889"/>
  <c r="X35" i="889"/>
  <c r="Y35" i="889"/>
  <c r="Z35" i="889"/>
  <c r="R36" i="889"/>
  <c r="S36" i="889"/>
  <c r="T36" i="889"/>
  <c r="U36" i="889"/>
  <c r="V36" i="889"/>
  <c r="W36" i="889"/>
  <c r="X36" i="889"/>
  <c r="Y36" i="889"/>
  <c r="Z36" i="889"/>
  <c r="R37" i="889"/>
  <c r="S37" i="889"/>
  <c r="T37" i="889"/>
  <c r="U37" i="889"/>
  <c r="V37" i="889"/>
  <c r="W37" i="889"/>
  <c r="X37" i="889"/>
  <c r="Y37" i="889"/>
  <c r="Z37" i="889"/>
  <c r="R38" i="889"/>
  <c r="S38" i="889"/>
  <c r="T38" i="889"/>
  <c r="U38" i="889"/>
  <c r="V38" i="889"/>
  <c r="W38" i="889"/>
  <c r="X38" i="889"/>
  <c r="Y38" i="889"/>
  <c r="Z38" i="889"/>
  <c r="R39" i="889"/>
  <c r="S39" i="889"/>
  <c r="T39" i="889"/>
  <c r="U39" i="889"/>
  <c r="V39" i="889"/>
  <c r="W39" i="889"/>
  <c r="X39" i="889"/>
  <c r="Y39" i="889"/>
  <c r="Z39" i="889"/>
  <c r="R40" i="889"/>
  <c r="S40" i="889"/>
  <c r="T40" i="889"/>
  <c r="U40" i="889"/>
  <c r="V40" i="889"/>
  <c r="W40" i="889"/>
  <c r="X40" i="889"/>
  <c r="Y40" i="889"/>
  <c r="Z40" i="889"/>
  <c r="R41" i="889"/>
  <c r="S41" i="889"/>
  <c r="T41" i="889"/>
  <c r="U41" i="889"/>
  <c r="V41" i="889"/>
  <c r="W41" i="889"/>
  <c r="X41" i="889"/>
  <c r="Y41" i="889"/>
  <c r="Z41" i="889"/>
  <c r="R42" i="889"/>
  <c r="S42" i="889"/>
  <c r="T42" i="889"/>
  <c r="U42" i="889"/>
  <c r="V42" i="889"/>
  <c r="W42" i="889"/>
  <c r="X42" i="889"/>
  <c r="Y42" i="889"/>
  <c r="Z42" i="889"/>
  <c r="R43" i="889"/>
  <c r="S43" i="889"/>
  <c r="T43" i="889"/>
  <c r="U43" i="889"/>
  <c r="V43" i="889"/>
  <c r="W43" i="889"/>
  <c r="X43" i="889"/>
  <c r="Y43" i="889"/>
  <c r="Z43" i="889"/>
  <c r="R44" i="889"/>
  <c r="S44" i="889"/>
  <c r="T44" i="889"/>
  <c r="U44" i="889"/>
  <c r="V44" i="889"/>
  <c r="W44" i="889"/>
  <c r="X44" i="889"/>
  <c r="Y44" i="889"/>
  <c r="Z44" i="889"/>
  <c r="R45" i="889"/>
  <c r="S45" i="889"/>
  <c r="T45" i="889"/>
  <c r="U45" i="889"/>
  <c r="V45" i="889"/>
  <c r="W45" i="889"/>
  <c r="X45" i="889"/>
  <c r="Y45" i="889"/>
  <c r="Z45" i="889"/>
  <c r="R46" i="889"/>
  <c r="S46" i="889"/>
  <c r="T46" i="889"/>
  <c r="U46" i="889"/>
  <c r="V46" i="889"/>
  <c r="W46" i="889"/>
  <c r="X46" i="889"/>
  <c r="Y46" i="889"/>
  <c r="Z46" i="889"/>
  <c r="R47" i="889"/>
  <c r="S47" i="889"/>
  <c r="T47" i="889"/>
  <c r="U47" i="889"/>
  <c r="V47" i="889"/>
  <c r="W47" i="889"/>
  <c r="X47" i="889"/>
  <c r="Y47" i="889"/>
  <c r="Z47" i="889"/>
  <c r="R48" i="889"/>
  <c r="S48" i="889"/>
  <c r="T48" i="889"/>
  <c r="U48" i="889"/>
  <c r="V48" i="889"/>
  <c r="W48" i="889"/>
  <c r="X48" i="889"/>
  <c r="Y48" i="889"/>
  <c r="Z48" i="889"/>
  <c r="D14" i="889"/>
  <c r="E14" i="889"/>
  <c r="F14" i="889"/>
  <c r="G14" i="889"/>
  <c r="M14" i="889"/>
  <c r="O14" i="889"/>
  <c r="D15" i="889"/>
  <c r="E15" i="889"/>
  <c r="F15" i="889"/>
  <c r="G15" i="889"/>
  <c r="M15" i="889"/>
  <c r="O15" i="889"/>
  <c r="D16" i="889"/>
  <c r="E16" i="889"/>
  <c r="F16" i="889"/>
  <c r="G16" i="889"/>
  <c r="M16" i="889"/>
  <c r="O16" i="889"/>
  <c r="D17" i="889"/>
  <c r="E17" i="889"/>
  <c r="F17" i="889"/>
  <c r="G17" i="889"/>
  <c r="M17" i="889"/>
  <c r="O17" i="889"/>
  <c r="R11" i="889"/>
  <c r="S11" i="889"/>
  <c r="T11" i="889"/>
  <c r="U11" i="889"/>
  <c r="V11" i="889"/>
  <c r="W11" i="889"/>
  <c r="X11" i="889"/>
  <c r="Y11" i="889"/>
  <c r="Z11" i="889"/>
  <c r="R12" i="889"/>
  <c r="S12" i="889"/>
  <c r="T12" i="889"/>
  <c r="U12" i="889"/>
  <c r="V12" i="889"/>
  <c r="W12" i="889"/>
  <c r="X12" i="889"/>
  <c r="Y12" i="889"/>
  <c r="Z12" i="889"/>
  <c r="R13" i="889"/>
  <c r="S13" i="889"/>
  <c r="T13" i="889"/>
  <c r="U13" i="889"/>
  <c r="V13" i="889"/>
  <c r="W13" i="889"/>
  <c r="X13" i="889"/>
  <c r="Y13" i="889"/>
  <c r="Z13" i="889"/>
  <c r="R14" i="889"/>
  <c r="S14" i="889"/>
  <c r="T14" i="889"/>
  <c r="U14" i="889"/>
  <c r="V14" i="889"/>
  <c r="W14" i="889"/>
  <c r="X14" i="889"/>
  <c r="Y14" i="889"/>
  <c r="Z14" i="889"/>
  <c r="C11" i="889"/>
  <c r="D11" i="889"/>
  <c r="E11" i="889"/>
  <c r="F11" i="889"/>
  <c r="G11" i="889"/>
  <c r="I11" i="889"/>
  <c r="J11" i="889"/>
  <c r="L11" i="889"/>
  <c r="M11" i="889"/>
  <c r="N11" i="889"/>
  <c r="O11" i="889"/>
  <c r="C12" i="889"/>
  <c r="D12" i="889"/>
  <c r="E12" i="889"/>
  <c r="F12" i="889"/>
  <c r="G12" i="889"/>
  <c r="I12" i="889"/>
  <c r="J12" i="889"/>
  <c r="L12" i="889"/>
  <c r="M12" i="889"/>
  <c r="N12" i="889"/>
  <c r="O12" i="889"/>
  <c r="B37" i="889"/>
  <c r="F82" i="889"/>
  <c r="AX66" i="889"/>
  <c r="AW66" i="889"/>
  <c r="AV66" i="889"/>
  <c r="AU66" i="889"/>
  <c r="AT66" i="889"/>
  <c r="AS66" i="889"/>
  <c r="AR66" i="889"/>
  <c r="AQ66" i="889"/>
  <c r="AP66" i="889"/>
  <c r="AO66" i="889"/>
  <c r="AN66" i="889"/>
  <c r="AM66" i="889"/>
  <c r="AL66" i="889"/>
  <c r="AK66" i="889"/>
  <c r="AJ66" i="889"/>
  <c r="AI66" i="889"/>
  <c r="AH66" i="889"/>
  <c r="AG66" i="889"/>
  <c r="AF66" i="889"/>
  <c r="AE66" i="889"/>
  <c r="AD66" i="889"/>
  <c r="AC66" i="889"/>
  <c r="AB66" i="889"/>
  <c r="M46" i="889"/>
  <c r="M45" i="889"/>
  <c r="M44" i="889"/>
  <c r="L43" i="889"/>
  <c r="K43" i="889"/>
  <c r="M42" i="889"/>
  <c r="M40" i="889"/>
  <c r="L40" i="889"/>
  <c r="K40" i="889"/>
  <c r="L39" i="889"/>
  <c r="K39" i="889"/>
  <c r="Z10" i="889"/>
  <c r="Y10" i="889"/>
  <c r="X10" i="889"/>
  <c r="W10" i="889"/>
  <c r="V10" i="889"/>
  <c r="U10" i="889"/>
  <c r="T10" i="889"/>
  <c r="S10" i="889"/>
  <c r="R10" i="889"/>
  <c r="O10" i="889"/>
  <c r="N10" i="889"/>
  <c r="M10" i="889"/>
  <c r="L10" i="889"/>
  <c r="J10" i="889"/>
  <c r="I10" i="889"/>
  <c r="G10" i="889"/>
  <c r="F10" i="889"/>
  <c r="E10" i="889"/>
  <c r="D10" i="889"/>
  <c r="C10" i="889"/>
  <c r="C10" i="888"/>
  <c r="D10" i="888"/>
  <c r="E10" i="888"/>
  <c r="F10" i="888"/>
  <c r="G10" i="888"/>
  <c r="I10" i="888"/>
  <c r="J10" i="888"/>
  <c r="L10" i="888"/>
  <c r="M10" i="888"/>
  <c r="N10" i="888"/>
  <c r="O10" i="888"/>
  <c r="R10" i="888"/>
  <c r="S10" i="888"/>
  <c r="T10" i="888"/>
  <c r="U10" i="888"/>
  <c r="V10" i="888"/>
  <c r="W10" i="888"/>
  <c r="X10" i="888"/>
  <c r="Y10" i="888"/>
  <c r="Z10" i="888"/>
  <c r="C11" i="888"/>
  <c r="D11" i="888"/>
  <c r="E11" i="888"/>
  <c r="F11" i="888"/>
  <c r="G11" i="888"/>
  <c r="I11" i="888"/>
  <c r="J11" i="888"/>
  <c r="L11" i="888"/>
  <c r="M11" i="888"/>
  <c r="N11" i="888"/>
  <c r="O11" i="888"/>
  <c r="R11" i="888"/>
  <c r="S11" i="888"/>
  <c r="T11" i="888"/>
  <c r="U11" i="888"/>
  <c r="V11" i="888"/>
  <c r="W11" i="888"/>
  <c r="X11" i="888"/>
  <c r="Y11" i="888"/>
  <c r="Z11" i="888"/>
  <c r="C12" i="888"/>
  <c r="D12" i="888"/>
  <c r="E12" i="888"/>
  <c r="F12" i="888"/>
  <c r="G12" i="888"/>
  <c r="I12" i="888"/>
  <c r="J12" i="888"/>
  <c r="L12" i="888"/>
  <c r="M12" i="888"/>
  <c r="N12" i="888"/>
  <c r="O12" i="888"/>
  <c r="R12" i="888"/>
  <c r="S12" i="888"/>
  <c r="T12" i="888"/>
  <c r="U12" i="888"/>
  <c r="V12" i="888"/>
  <c r="W12" i="888"/>
  <c r="X12" i="888"/>
  <c r="Y12" i="888"/>
  <c r="Z12" i="888"/>
  <c r="C13" i="888"/>
  <c r="D13" i="888"/>
  <c r="E13" i="888"/>
  <c r="F13" i="888"/>
  <c r="G13" i="888"/>
  <c r="I13" i="888"/>
  <c r="J13" i="888"/>
  <c r="L13" i="888"/>
  <c r="M13" i="888"/>
  <c r="N13" i="888"/>
  <c r="O13" i="888"/>
  <c r="R13" i="888"/>
  <c r="S13" i="888"/>
  <c r="T13" i="888"/>
  <c r="U13" i="888"/>
  <c r="V13" i="888"/>
  <c r="W13" i="888"/>
  <c r="X13" i="888"/>
  <c r="Y13" i="888"/>
  <c r="Z13" i="888"/>
  <c r="C14" i="888"/>
  <c r="D14" i="888"/>
  <c r="E14" i="888"/>
  <c r="F14" i="888"/>
  <c r="G14" i="888"/>
  <c r="I14" i="888"/>
  <c r="J14" i="888"/>
  <c r="L14" i="888"/>
  <c r="M14" i="888"/>
  <c r="N14" i="888"/>
  <c r="O14" i="888"/>
  <c r="R14" i="888"/>
  <c r="S14" i="888"/>
  <c r="T14" i="888"/>
  <c r="U14" i="888"/>
  <c r="V14" i="888"/>
  <c r="W14" i="888"/>
  <c r="X14" i="888"/>
  <c r="Y14" i="888"/>
  <c r="Z14" i="888"/>
  <c r="R16" i="888"/>
  <c r="S16" i="888"/>
  <c r="T16" i="888"/>
  <c r="U16" i="888"/>
  <c r="V16" i="888"/>
  <c r="W16" i="888"/>
  <c r="X16" i="888"/>
  <c r="Y16" i="888"/>
  <c r="Z16" i="888"/>
  <c r="R17" i="888"/>
  <c r="S17" i="888"/>
  <c r="T17" i="888"/>
  <c r="U17" i="888"/>
  <c r="V17" i="888"/>
  <c r="W17" i="888"/>
  <c r="X17" i="888"/>
  <c r="Y17" i="888"/>
  <c r="Z17" i="888"/>
  <c r="R15" i="888"/>
  <c r="S15" i="888"/>
  <c r="T15" i="888"/>
  <c r="U15" i="888"/>
  <c r="V15" i="888"/>
  <c r="W15" i="888"/>
  <c r="X15" i="888"/>
  <c r="Y15" i="888"/>
  <c r="Z15" i="888"/>
  <c r="B25" i="888"/>
  <c r="C25" i="888" a="1"/>
  <c r="C25" i="888" s="1"/>
  <c r="B54" i="888"/>
  <c r="G54" i="888"/>
  <c r="B56" i="888"/>
  <c r="G56" i="888"/>
  <c r="J37" i="889" l="1"/>
  <c r="S29" i="890"/>
  <c r="T29" i="890"/>
  <c r="R29" i="890"/>
  <c r="U29" i="890"/>
  <c r="X29" i="890"/>
  <c r="V29" i="890"/>
  <c r="W29" i="890"/>
  <c r="Y29" i="890"/>
  <c r="K61" i="889"/>
  <c r="L25" i="888" l="1"/>
  <c r="K25" i="888"/>
  <c r="R18" i="888"/>
  <c r="S18" i="888"/>
  <c r="T18" i="888"/>
  <c r="U18" i="888"/>
  <c r="V18" i="888"/>
  <c r="W18" i="888"/>
  <c r="X18" i="888"/>
  <c r="Y18" i="888"/>
  <c r="Z18" i="888"/>
  <c r="R19" i="888"/>
  <c r="S19" i="888"/>
  <c r="T19" i="888"/>
  <c r="U19" i="888"/>
  <c r="V19" i="888"/>
  <c r="W19" i="888"/>
  <c r="X19" i="888"/>
  <c r="Y19" i="888"/>
  <c r="Z19" i="888"/>
  <c r="R20" i="888"/>
  <c r="S20" i="888"/>
  <c r="T20" i="888"/>
  <c r="U20" i="888"/>
  <c r="V20" i="888"/>
  <c r="W20" i="888"/>
  <c r="X20" i="888"/>
  <c r="Y20" i="888"/>
  <c r="Z20" i="888"/>
  <c r="R21" i="888"/>
  <c r="S21" i="888"/>
  <c r="T21" i="888"/>
  <c r="U21" i="888"/>
  <c r="V21" i="888"/>
  <c r="W21" i="888"/>
  <c r="X21" i="888"/>
  <c r="Y21" i="888"/>
  <c r="Z21" i="888"/>
  <c r="R22" i="888"/>
  <c r="S22" i="888"/>
  <c r="T22" i="888"/>
  <c r="U22" i="888"/>
  <c r="V22" i="888"/>
  <c r="W22" i="888"/>
  <c r="X22" i="888"/>
  <c r="Y22" i="888"/>
  <c r="Z22" i="888"/>
  <c r="R23" i="888"/>
  <c r="S23" i="888"/>
  <c r="T23" i="888"/>
  <c r="U23" i="888"/>
  <c r="V23" i="888"/>
  <c r="W23" i="888"/>
  <c r="X23" i="888"/>
  <c r="Y23" i="888"/>
  <c r="Z23" i="888"/>
  <c r="R24" i="888"/>
  <c r="S24" i="888"/>
  <c r="T24" i="888"/>
  <c r="U24" i="888"/>
  <c r="V24" i="888"/>
  <c r="W24" i="888"/>
  <c r="X24" i="888"/>
  <c r="Y24" i="888"/>
  <c r="Z24" i="888"/>
  <c r="R26" i="888"/>
  <c r="S26" i="888"/>
  <c r="T26" i="888"/>
  <c r="U26" i="888"/>
  <c r="V26" i="888"/>
  <c r="W26" i="888"/>
  <c r="X26" i="888"/>
  <c r="Y26" i="888"/>
  <c r="Z26" i="888"/>
  <c r="C16" i="888"/>
  <c r="D16" i="888"/>
  <c r="E16" i="888"/>
  <c r="F16" i="888"/>
  <c r="G16" i="888"/>
  <c r="I16" i="888"/>
  <c r="J16" i="888"/>
  <c r="L16" i="888"/>
  <c r="M16" i="888"/>
  <c r="N16" i="888"/>
  <c r="O16" i="888"/>
  <c r="J25" i="888" l="1"/>
  <c r="K39" i="888"/>
  <c r="F70" i="888" l="1"/>
  <c r="L60" i="888"/>
  <c r="AX54" i="888"/>
  <c r="AW54" i="888"/>
  <c r="AV54" i="888"/>
  <c r="AU54" i="888"/>
  <c r="AT54" i="888"/>
  <c r="AS54" i="888"/>
  <c r="AR54" i="888"/>
  <c r="AQ54" i="888"/>
  <c r="AP54" i="888"/>
  <c r="AO54" i="888"/>
  <c r="AN54" i="888"/>
  <c r="AM54" i="888"/>
  <c r="AL54" i="888"/>
  <c r="AK54" i="888"/>
  <c r="AJ54" i="888"/>
  <c r="AI54" i="888"/>
  <c r="AH54" i="888"/>
  <c r="AG54" i="888"/>
  <c r="AF54" i="888"/>
  <c r="AE54" i="888"/>
  <c r="AD54" i="888"/>
  <c r="AC54" i="888"/>
  <c r="AB54" i="888"/>
  <c r="K49" i="888"/>
  <c r="Z36" i="888"/>
  <c r="Y36" i="888"/>
  <c r="X36" i="888"/>
  <c r="W36" i="888"/>
  <c r="V36" i="888"/>
  <c r="U36" i="888"/>
  <c r="T36" i="888"/>
  <c r="S36" i="888"/>
  <c r="R36" i="888"/>
  <c r="Z35" i="888"/>
  <c r="Y35" i="888"/>
  <c r="X35" i="888"/>
  <c r="W35" i="888"/>
  <c r="V35" i="888"/>
  <c r="U35" i="888"/>
  <c r="T35" i="888"/>
  <c r="S35" i="888"/>
  <c r="R35" i="888"/>
  <c r="Z34" i="888"/>
  <c r="Y34" i="888"/>
  <c r="X34" i="888"/>
  <c r="W34" i="888"/>
  <c r="V34" i="888"/>
  <c r="U34" i="888"/>
  <c r="T34" i="888"/>
  <c r="S34" i="888"/>
  <c r="R34" i="888"/>
  <c r="M34" i="888"/>
  <c r="Z33" i="888"/>
  <c r="Y33" i="888"/>
  <c r="X33" i="888"/>
  <c r="W33" i="888"/>
  <c r="V33" i="888"/>
  <c r="U33" i="888"/>
  <c r="T33" i="888"/>
  <c r="S33" i="888"/>
  <c r="R33" i="888"/>
  <c r="M33" i="888"/>
  <c r="Z32" i="888"/>
  <c r="Y32" i="888"/>
  <c r="X32" i="888"/>
  <c r="W32" i="888"/>
  <c r="V32" i="888"/>
  <c r="U32" i="888"/>
  <c r="T32" i="888"/>
  <c r="S32" i="888"/>
  <c r="R32" i="888"/>
  <c r="M32" i="888"/>
  <c r="Z31" i="888"/>
  <c r="Y31" i="888"/>
  <c r="X31" i="888"/>
  <c r="W31" i="888"/>
  <c r="V31" i="888"/>
  <c r="U31" i="888"/>
  <c r="T31" i="888"/>
  <c r="S31" i="888"/>
  <c r="R31" i="888"/>
  <c r="L31" i="888"/>
  <c r="K31" i="888"/>
  <c r="Z30" i="888"/>
  <c r="Y30" i="888"/>
  <c r="X30" i="888"/>
  <c r="W30" i="888"/>
  <c r="V30" i="888"/>
  <c r="U30" i="888"/>
  <c r="T30" i="888"/>
  <c r="S30" i="888"/>
  <c r="R30" i="888"/>
  <c r="M30" i="888"/>
  <c r="Z29" i="888"/>
  <c r="Y29" i="888"/>
  <c r="X29" i="888"/>
  <c r="W29" i="888"/>
  <c r="V29" i="888"/>
  <c r="U29" i="888"/>
  <c r="T29" i="888"/>
  <c r="S29" i="888"/>
  <c r="R29" i="888"/>
  <c r="Z28" i="888"/>
  <c r="Y28" i="888"/>
  <c r="X28" i="888"/>
  <c r="W28" i="888"/>
  <c r="V28" i="888"/>
  <c r="U28" i="888"/>
  <c r="T28" i="888"/>
  <c r="S28" i="888"/>
  <c r="R28" i="888"/>
  <c r="M28" i="888"/>
  <c r="L28" i="888"/>
  <c r="K28" i="888"/>
  <c r="Z27" i="888"/>
  <c r="Y27" i="888"/>
  <c r="X27" i="888"/>
  <c r="W27" i="888"/>
  <c r="V27" i="888"/>
  <c r="U27" i="888"/>
  <c r="T27" i="888"/>
  <c r="S27" i="888"/>
  <c r="R27" i="888"/>
  <c r="L27" i="888"/>
  <c r="K27" i="888"/>
  <c r="L27" i="887"/>
  <c r="K27" i="887"/>
  <c r="C16" i="887"/>
  <c r="D16" i="887"/>
  <c r="E16" i="887"/>
  <c r="F16" i="887"/>
  <c r="G16" i="887"/>
  <c r="I16" i="887"/>
  <c r="J16" i="887"/>
  <c r="K16" i="887"/>
  <c r="L16" i="887"/>
  <c r="M16" i="887"/>
  <c r="N16" i="887"/>
  <c r="O16" i="887"/>
  <c r="C18" i="887"/>
  <c r="D18" i="887"/>
  <c r="E18" i="887"/>
  <c r="F18" i="887"/>
  <c r="G18" i="887"/>
  <c r="I18" i="887"/>
  <c r="J18" i="887"/>
  <c r="K18" i="887"/>
  <c r="L18" i="887"/>
  <c r="M18" i="887"/>
  <c r="N18" i="887"/>
  <c r="O18" i="887"/>
  <c r="C10" i="887"/>
  <c r="D10" i="887"/>
  <c r="E10" i="887"/>
  <c r="F10" i="887"/>
  <c r="G10" i="887"/>
  <c r="I10" i="887"/>
  <c r="J10" i="887"/>
  <c r="K10" i="887"/>
  <c r="L10" i="887"/>
  <c r="M10" i="887"/>
  <c r="N10" i="887"/>
  <c r="O10" i="887"/>
  <c r="C11" i="887"/>
  <c r="D11" i="887"/>
  <c r="E11" i="887"/>
  <c r="F11" i="887"/>
  <c r="G11" i="887"/>
  <c r="I11" i="887"/>
  <c r="J11" i="887"/>
  <c r="K11" i="887"/>
  <c r="L11" i="887"/>
  <c r="M11" i="887"/>
  <c r="N11" i="887"/>
  <c r="O11" i="887"/>
  <c r="C12" i="887"/>
  <c r="D12" i="887"/>
  <c r="E12" i="887"/>
  <c r="F12" i="887"/>
  <c r="G12" i="887"/>
  <c r="I12" i="887"/>
  <c r="J12" i="887"/>
  <c r="K12" i="887"/>
  <c r="L12" i="887"/>
  <c r="M12" i="887"/>
  <c r="N12" i="887"/>
  <c r="O12" i="887"/>
  <c r="C13" i="887"/>
  <c r="D13" i="887"/>
  <c r="E13" i="887"/>
  <c r="F13" i="887"/>
  <c r="G13" i="887"/>
  <c r="I13" i="887"/>
  <c r="J13" i="887"/>
  <c r="K13" i="887"/>
  <c r="L13" i="887"/>
  <c r="M13" i="887"/>
  <c r="N13" i="887"/>
  <c r="O13" i="887"/>
  <c r="C14" i="887"/>
  <c r="D14" i="887"/>
  <c r="E14" i="887"/>
  <c r="F14" i="887"/>
  <c r="G14" i="887"/>
  <c r="I14" i="887"/>
  <c r="J14" i="887"/>
  <c r="K14" i="887"/>
  <c r="L14" i="887"/>
  <c r="M14" i="887"/>
  <c r="N14" i="887"/>
  <c r="O14" i="887"/>
  <c r="C15" i="887"/>
  <c r="D15" i="887"/>
  <c r="E15" i="887"/>
  <c r="F15" i="887"/>
  <c r="G15" i="887"/>
  <c r="I15" i="887"/>
  <c r="J15" i="887"/>
  <c r="K15" i="887"/>
  <c r="L15" i="887"/>
  <c r="M15" i="887"/>
  <c r="N15" i="887"/>
  <c r="O15" i="887"/>
  <c r="Z25" i="888" l="1"/>
  <c r="S25" i="888"/>
  <c r="U25" i="888"/>
  <c r="T25" i="888"/>
  <c r="R25" i="888"/>
  <c r="W25" i="888"/>
  <c r="X25" i="888"/>
  <c r="V25" i="888"/>
  <c r="Y25" i="888"/>
  <c r="J27" i="887"/>
  <c r="F54" i="887" l="1"/>
  <c r="G54" i="887"/>
  <c r="B54" i="887"/>
  <c r="C25" i="887" a="1"/>
  <c r="C25" i="887" s="1"/>
  <c r="M34" i="887"/>
  <c r="M33" i="887"/>
  <c r="M32" i="887"/>
  <c r="L31" i="887"/>
  <c r="K31" i="887"/>
  <c r="M30" i="887"/>
  <c r="M28" i="887"/>
  <c r="L28" i="887"/>
  <c r="K28" i="887"/>
  <c r="L25" i="887"/>
  <c r="K25" i="887"/>
  <c r="B25" i="887"/>
  <c r="R25" i="887" s="1"/>
  <c r="F70" i="887"/>
  <c r="L60" i="887"/>
  <c r="L56" i="887"/>
  <c r="AX54" i="887"/>
  <c r="AW54" i="887"/>
  <c r="AV54" i="887"/>
  <c r="AU54" i="887"/>
  <c r="AT54" i="887"/>
  <c r="AS54" i="887"/>
  <c r="AR54" i="887"/>
  <c r="AQ54" i="887"/>
  <c r="AP54" i="887"/>
  <c r="AO54" i="887"/>
  <c r="AN54" i="887"/>
  <c r="AM54" i="887"/>
  <c r="AL54" i="887"/>
  <c r="AK54" i="887"/>
  <c r="AJ54" i="887"/>
  <c r="AI54" i="887"/>
  <c r="AH54" i="887"/>
  <c r="AG54" i="887"/>
  <c r="AF54" i="887"/>
  <c r="AE54" i="887"/>
  <c r="AD54" i="887"/>
  <c r="AC54" i="887"/>
  <c r="AB54" i="887"/>
  <c r="K49" i="887"/>
  <c r="Z36" i="887"/>
  <c r="Y36" i="887"/>
  <c r="X36" i="887"/>
  <c r="W36" i="887"/>
  <c r="V36" i="887"/>
  <c r="U36" i="887"/>
  <c r="T36" i="887"/>
  <c r="S36" i="887"/>
  <c r="R36" i="887"/>
  <c r="Z35" i="887"/>
  <c r="Y35" i="887"/>
  <c r="X35" i="887"/>
  <c r="W35" i="887"/>
  <c r="V35" i="887"/>
  <c r="U35" i="887"/>
  <c r="T35" i="887"/>
  <c r="S35" i="887"/>
  <c r="R35" i="887"/>
  <c r="Z34" i="887"/>
  <c r="Y34" i="887"/>
  <c r="X34" i="887"/>
  <c r="W34" i="887"/>
  <c r="V34" i="887"/>
  <c r="U34" i="887"/>
  <c r="T34" i="887"/>
  <c r="S34" i="887"/>
  <c r="R34" i="887"/>
  <c r="Z33" i="887"/>
  <c r="Y33" i="887"/>
  <c r="X33" i="887"/>
  <c r="W33" i="887"/>
  <c r="V33" i="887"/>
  <c r="U33" i="887"/>
  <c r="T33" i="887"/>
  <c r="S33" i="887"/>
  <c r="R33" i="887"/>
  <c r="Z32" i="887"/>
  <c r="Y32" i="887"/>
  <c r="X32" i="887"/>
  <c r="W32" i="887"/>
  <c r="V32" i="887"/>
  <c r="U32" i="887"/>
  <c r="T32" i="887"/>
  <c r="S32" i="887"/>
  <c r="R32" i="887"/>
  <c r="Z31" i="887"/>
  <c r="Y31" i="887"/>
  <c r="X31" i="887"/>
  <c r="W31" i="887"/>
  <c r="V31" i="887"/>
  <c r="U31" i="887"/>
  <c r="T31" i="887"/>
  <c r="S31" i="887"/>
  <c r="R31" i="887"/>
  <c r="Z30" i="887"/>
  <c r="Y30" i="887"/>
  <c r="X30" i="887"/>
  <c r="W30" i="887"/>
  <c r="V30" i="887"/>
  <c r="U30" i="887"/>
  <c r="T30" i="887"/>
  <c r="S30" i="887"/>
  <c r="R30" i="887"/>
  <c r="Z29" i="887"/>
  <c r="Y29" i="887"/>
  <c r="X29" i="887"/>
  <c r="W29" i="887"/>
  <c r="V29" i="887"/>
  <c r="U29" i="887"/>
  <c r="T29" i="887"/>
  <c r="S29" i="887"/>
  <c r="R29" i="887"/>
  <c r="Z28" i="887"/>
  <c r="Y28" i="887"/>
  <c r="X28" i="887"/>
  <c r="W28" i="887"/>
  <c r="V28" i="887"/>
  <c r="U28" i="887"/>
  <c r="T28" i="887"/>
  <c r="S28" i="887"/>
  <c r="R28" i="887"/>
  <c r="Z27" i="887"/>
  <c r="Y27" i="887"/>
  <c r="X27" i="887"/>
  <c r="W27" i="887"/>
  <c r="V27" i="887"/>
  <c r="U27" i="887"/>
  <c r="T27" i="887"/>
  <c r="S27" i="887"/>
  <c r="R27" i="887"/>
  <c r="Z26" i="887"/>
  <c r="Y26" i="887"/>
  <c r="X26" i="887"/>
  <c r="W26" i="887"/>
  <c r="V26" i="887"/>
  <c r="U26" i="887"/>
  <c r="T26" i="887"/>
  <c r="S26" i="887"/>
  <c r="R26" i="887"/>
  <c r="Z24" i="887"/>
  <c r="Y24" i="887"/>
  <c r="X24" i="887"/>
  <c r="W24" i="887"/>
  <c r="V24" i="887"/>
  <c r="U24" i="887"/>
  <c r="T24" i="887"/>
  <c r="S24" i="887"/>
  <c r="R24" i="887"/>
  <c r="Z23" i="887"/>
  <c r="Y23" i="887"/>
  <c r="X23" i="887"/>
  <c r="W23" i="887"/>
  <c r="V23" i="887"/>
  <c r="U23" i="887"/>
  <c r="T23" i="887"/>
  <c r="S23" i="887"/>
  <c r="R23" i="887"/>
  <c r="Z22" i="887"/>
  <c r="Y22" i="887"/>
  <c r="X22" i="887"/>
  <c r="W22" i="887"/>
  <c r="V22" i="887"/>
  <c r="U22" i="887"/>
  <c r="T22" i="887"/>
  <c r="S22" i="887"/>
  <c r="R22" i="887"/>
  <c r="Z21" i="887"/>
  <c r="Y21" i="887"/>
  <c r="X21" i="887"/>
  <c r="W21" i="887"/>
  <c r="V21" i="887"/>
  <c r="U21" i="887"/>
  <c r="T21" i="887"/>
  <c r="S21" i="887"/>
  <c r="R21" i="887"/>
  <c r="Z20" i="887"/>
  <c r="Y20" i="887"/>
  <c r="X20" i="887"/>
  <c r="W20" i="887"/>
  <c r="V20" i="887"/>
  <c r="U20" i="887"/>
  <c r="T20" i="887"/>
  <c r="S20" i="887"/>
  <c r="R20" i="887"/>
  <c r="Z19" i="887"/>
  <c r="Y19" i="887"/>
  <c r="X19" i="887"/>
  <c r="W19" i="887"/>
  <c r="V19" i="887"/>
  <c r="U19" i="887"/>
  <c r="T19" i="887"/>
  <c r="S19" i="887"/>
  <c r="R19" i="887"/>
  <c r="Z18" i="887"/>
  <c r="Y18" i="887"/>
  <c r="X18" i="887"/>
  <c r="W18" i="887"/>
  <c r="V18" i="887"/>
  <c r="U18" i="887"/>
  <c r="T18" i="887"/>
  <c r="S18" i="887"/>
  <c r="R18" i="887"/>
  <c r="Z16" i="887"/>
  <c r="Y16" i="887"/>
  <c r="X16" i="887"/>
  <c r="W16" i="887"/>
  <c r="V16" i="887"/>
  <c r="U16" i="887"/>
  <c r="T16" i="887"/>
  <c r="S16" i="887"/>
  <c r="R16" i="887"/>
  <c r="Z15" i="887"/>
  <c r="Y15" i="887"/>
  <c r="X15" i="887"/>
  <c r="W15" i="887"/>
  <c r="V15" i="887"/>
  <c r="U15" i="887"/>
  <c r="T15" i="887"/>
  <c r="S15" i="887"/>
  <c r="R15" i="887"/>
  <c r="Z14" i="887"/>
  <c r="Y14" i="887"/>
  <c r="X14" i="887"/>
  <c r="W14" i="887"/>
  <c r="V14" i="887"/>
  <c r="U14" i="887"/>
  <c r="T14" i="887"/>
  <c r="S14" i="887"/>
  <c r="R14" i="887"/>
  <c r="Z13" i="887"/>
  <c r="Y13" i="887"/>
  <c r="X13" i="887"/>
  <c r="W13" i="887"/>
  <c r="V13" i="887"/>
  <c r="U13" i="887"/>
  <c r="T13" i="887"/>
  <c r="S13" i="887"/>
  <c r="R13" i="887"/>
  <c r="Z12" i="887"/>
  <c r="Y12" i="887"/>
  <c r="X12" i="887"/>
  <c r="W12" i="887"/>
  <c r="V12" i="887"/>
  <c r="U12" i="887"/>
  <c r="T12" i="887"/>
  <c r="S12" i="887"/>
  <c r="R12" i="887"/>
  <c r="Z11" i="887"/>
  <c r="Y11" i="887"/>
  <c r="X11" i="887"/>
  <c r="W11" i="887"/>
  <c r="V11" i="887"/>
  <c r="U11" i="887"/>
  <c r="T11" i="887"/>
  <c r="S11" i="887"/>
  <c r="R11" i="887"/>
  <c r="Z10" i="887"/>
  <c r="Y10" i="887"/>
  <c r="X10" i="887"/>
  <c r="W10" i="887"/>
  <c r="V10" i="887"/>
  <c r="U10" i="887"/>
  <c r="T10" i="887"/>
  <c r="S10" i="887"/>
  <c r="R10" i="887"/>
  <c r="L46" i="885"/>
  <c r="K46" i="885"/>
  <c r="T25" i="887" l="1"/>
  <c r="U25" i="887"/>
  <c r="V25" i="887"/>
  <c r="W25" i="887"/>
  <c r="X25" i="887"/>
  <c r="S25" i="887"/>
  <c r="Z25" i="887"/>
  <c r="Y25" i="887"/>
  <c r="E81" i="885"/>
  <c r="E77" i="885"/>
  <c r="B81" i="885"/>
  <c r="B79" i="885"/>
  <c r="B77" i="885"/>
  <c r="B75" i="885"/>
  <c r="I61" i="885"/>
  <c r="L52" i="885"/>
  <c r="K52" i="885"/>
  <c r="R16" i="885"/>
  <c r="S16" i="885"/>
  <c r="T16" i="885"/>
  <c r="U16" i="885"/>
  <c r="V16" i="885"/>
  <c r="W16" i="885"/>
  <c r="X16" i="885"/>
  <c r="Y16" i="885"/>
  <c r="Z16" i="885"/>
  <c r="R17" i="885"/>
  <c r="S17" i="885"/>
  <c r="T17" i="885"/>
  <c r="U17" i="885"/>
  <c r="V17" i="885"/>
  <c r="W17" i="885"/>
  <c r="X17" i="885"/>
  <c r="Y17" i="885"/>
  <c r="Z17" i="885"/>
  <c r="R27" i="885"/>
  <c r="S27" i="885"/>
  <c r="T27" i="885"/>
  <c r="U27" i="885"/>
  <c r="V27" i="885"/>
  <c r="W27" i="885"/>
  <c r="X27" i="885"/>
  <c r="Y27" i="885"/>
  <c r="Z27" i="885"/>
  <c r="R28" i="885"/>
  <c r="S28" i="885"/>
  <c r="T28" i="885"/>
  <c r="U28" i="885"/>
  <c r="V28" i="885"/>
  <c r="W28" i="885"/>
  <c r="X28" i="885"/>
  <c r="Y28" i="885"/>
  <c r="Z28" i="885"/>
  <c r="G79" i="885" l="1"/>
  <c r="C33" i="885"/>
  <c r="D33" i="885"/>
  <c r="E33" i="885"/>
  <c r="F33" i="885"/>
  <c r="G33" i="885"/>
  <c r="I33" i="885"/>
  <c r="J33" i="885"/>
  <c r="L33" i="885"/>
  <c r="M33" i="885"/>
  <c r="N33" i="885"/>
  <c r="O33" i="885"/>
  <c r="C34" i="885"/>
  <c r="D34" i="885"/>
  <c r="E34" i="885"/>
  <c r="F34" i="885"/>
  <c r="G34" i="885"/>
  <c r="I34" i="885"/>
  <c r="J34" i="885"/>
  <c r="L34" i="885"/>
  <c r="M34" i="885"/>
  <c r="N34" i="885"/>
  <c r="O34" i="885"/>
  <c r="R21" i="885"/>
  <c r="S21" i="885"/>
  <c r="T21" i="885"/>
  <c r="U21" i="885"/>
  <c r="V21" i="885"/>
  <c r="W21" i="885"/>
  <c r="X21" i="885"/>
  <c r="Y21" i="885"/>
  <c r="Z21" i="885"/>
  <c r="R22" i="885"/>
  <c r="S22" i="885"/>
  <c r="T22" i="885"/>
  <c r="U22" i="885"/>
  <c r="V22" i="885"/>
  <c r="W22" i="885"/>
  <c r="X22" i="885"/>
  <c r="Y22" i="885"/>
  <c r="Z22" i="885"/>
  <c r="R23" i="885"/>
  <c r="S23" i="885"/>
  <c r="T23" i="885"/>
  <c r="U23" i="885"/>
  <c r="V23" i="885"/>
  <c r="W23" i="885"/>
  <c r="X23" i="885"/>
  <c r="Y23" i="885"/>
  <c r="Z23" i="885"/>
  <c r="R24" i="885"/>
  <c r="S24" i="885"/>
  <c r="T24" i="885"/>
  <c r="U24" i="885"/>
  <c r="V24" i="885"/>
  <c r="W24" i="885"/>
  <c r="X24" i="885"/>
  <c r="Y24" i="885"/>
  <c r="Z24" i="885"/>
  <c r="R25" i="885"/>
  <c r="S25" i="885"/>
  <c r="T25" i="885"/>
  <c r="U25" i="885"/>
  <c r="V25" i="885"/>
  <c r="W25" i="885"/>
  <c r="X25" i="885"/>
  <c r="Y25" i="885"/>
  <c r="Z25" i="885"/>
  <c r="R26" i="885"/>
  <c r="S26" i="885"/>
  <c r="T26" i="885"/>
  <c r="U26" i="885"/>
  <c r="V26" i="885"/>
  <c r="W26" i="885"/>
  <c r="X26" i="885"/>
  <c r="Y26" i="885"/>
  <c r="Z26" i="885"/>
  <c r="R29" i="885"/>
  <c r="S29" i="885"/>
  <c r="T29" i="885"/>
  <c r="U29" i="885"/>
  <c r="V29" i="885"/>
  <c r="W29" i="885"/>
  <c r="X29" i="885"/>
  <c r="Y29" i="885"/>
  <c r="Z29" i="885"/>
  <c r="R30" i="885"/>
  <c r="S30" i="885"/>
  <c r="T30" i="885"/>
  <c r="U30" i="885"/>
  <c r="V30" i="885"/>
  <c r="W30" i="885"/>
  <c r="X30" i="885"/>
  <c r="Y30" i="885"/>
  <c r="Z30" i="885"/>
  <c r="I23" i="885"/>
  <c r="J23" i="885"/>
  <c r="L23" i="885"/>
  <c r="M23" i="885"/>
  <c r="N23" i="885"/>
  <c r="O23" i="885"/>
  <c r="I24" i="885"/>
  <c r="J24" i="885"/>
  <c r="L24" i="885"/>
  <c r="M24" i="885"/>
  <c r="N24" i="885"/>
  <c r="O24" i="885"/>
  <c r="I25" i="885"/>
  <c r="J25" i="885"/>
  <c r="L25" i="885"/>
  <c r="M25" i="885"/>
  <c r="N25" i="885"/>
  <c r="O25" i="885"/>
  <c r="I26" i="885"/>
  <c r="J26" i="885"/>
  <c r="L26" i="885"/>
  <c r="M26" i="885"/>
  <c r="N26" i="885"/>
  <c r="O26" i="885"/>
  <c r="I29" i="885"/>
  <c r="J29" i="885"/>
  <c r="L29" i="885"/>
  <c r="M29" i="885"/>
  <c r="N29" i="885"/>
  <c r="O29" i="885"/>
  <c r="I30" i="885"/>
  <c r="J30" i="885"/>
  <c r="L30" i="885"/>
  <c r="M30" i="885"/>
  <c r="N30" i="885"/>
  <c r="O30" i="885"/>
  <c r="I31" i="885"/>
  <c r="J31" i="885"/>
  <c r="L31" i="885"/>
  <c r="M31" i="885"/>
  <c r="N31" i="885"/>
  <c r="O31" i="885"/>
  <c r="C23" i="885"/>
  <c r="D23" i="885"/>
  <c r="E23" i="885"/>
  <c r="F23" i="885"/>
  <c r="G23" i="885"/>
  <c r="C24" i="885"/>
  <c r="D24" i="885"/>
  <c r="E24" i="885"/>
  <c r="F24" i="885"/>
  <c r="G24" i="885"/>
  <c r="C25" i="885"/>
  <c r="D25" i="885"/>
  <c r="E25" i="885"/>
  <c r="F25" i="885"/>
  <c r="G25" i="885"/>
  <c r="C26" i="885"/>
  <c r="D26" i="885"/>
  <c r="E26" i="885"/>
  <c r="F26" i="885"/>
  <c r="G26" i="885"/>
  <c r="C29" i="885"/>
  <c r="D29" i="885"/>
  <c r="E29" i="885"/>
  <c r="F29" i="885"/>
  <c r="G29" i="885"/>
  <c r="C30" i="885"/>
  <c r="D30" i="885"/>
  <c r="E30" i="885"/>
  <c r="F30" i="885"/>
  <c r="G30" i="885"/>
  <c r="C31" i="885"/>
  <c r="D31" i="885"/>
  <c r="E31" i="885"/>
  <c r="F31" i="885"/>
  <c r="G31" i="885"/>
  <c r="O32" i="885"/>
  <c r="N32" i="885"/>
  <c r="M32" i="885"/>
  <c r="L32" i="885"/>
  <c r="J32" i="885"/>
  <c r="I32" i="885"/>
  <c r="G32" i="885"/>
  <c r="F32" i="885"/>
  <c r="E32" i="885"/>
  <c r="D32" i="885"/>
  <c r="C32" i="885"/>
  <c r="K64" i="885" l="1"/>
  <c r="J64" i="885"/>
  <c r="G81" i="885"/>
  <c r="G77" i="885"/>
  <c r="G75" i="885"/>
  <c r="J52" i="885"/>
  <c r="R34" i="885"/>
  <c r="S34" i="885"/>
  <c r="T34" i="885"/>
  <c r="U34" i="885"/>
  <c r="V34" i="885"/>
  <c r="W34" i="885"/>
  <c r="X34" i="885"/>
  <c r="Y34" i="885"/>
  <c r="Z34" i="885"/>
  <c r="R35" i="885"/>
  <c r="S35" i="885"/>
  <c r="T35" i="885"/>
  <c r="U35" i="885"/>
  <c r="V35" i="885"/>
  <c r="W35" i="885"/>
  <c r="X35" i="885"/>
  <c r="Y35" i="885"/>
  <c r="Z35" i="885"/>
  <c r="R36" i="885"/>
  <c r="S36" i="885"/>
  <c r="T36" i="885"/>
  <c r="U36" i="885"/>
  <c r="V36" i="885"/>
  <c r="W36" i="885"/>
  <c r="X36" i="885"/>
  <c r="Y36" i="885"/>
  <c r="Z36" i="885"/>
  <c r="R37" i="885"/>
  <c r="S37" i="885"/>
  <c r="T37" i="885"/>
  <c r="U37" i="885"/>
  <c r="V37" i="885"/>
  <c r="W37" i="885"/>
  <c r="X37" i="885"/>
  <c r="Y37" i="885"/>
  <c r="Z37" i="885"/>
  <c r="R38" i="885"/>
  <c r="S38" i="885"/>
  <c r="T38" i="885"/>
  <c r="U38" i="885"/>
  <c r="V38" i="885"/>
  <c r="W38" i="885"/>
  <c r="X38" i="885"/>
  <c r="Y38" i="885"/>
  <c r="Z38" i="885"/>
  <c r="R39" i="885"/>
  <c r="S39" i="885"/>
  <c r="T39" i="885"/>
  <c r="U39" i="885"/>
  <c r="V39" i="885"/>
  <c r="W39" i="885"/>
  <c r="X39" i="885"/>
  <c r="Y39" i="885"/>
  <c r="Z39" i="885"/>
  <c r="R40" i="885"/>
  <c r="S40" i="885"/>
  <c r="T40" i="885"/>
  <c r="U40" i="885"/>
  <c r="V40" i="885"/>
  <c r="W40" i="885"/>
  <c r="X40" i="885"/>
  <c r="Y40" i="885"/>
  <c r="Z40" i="885"/>
  <c r="R41" i="885"/>
  <c r="S41" i="885"/>
  <c r="T41" i="885"/>
  <c r="U41" i="885"/>
  <c r="V41" i="885"/>
  <c r="W41" i="885"/>
  <c r="X41" i="885"/>
  <c r="Y41" i="885"/>
  <c r="Z41" i="885"/>
  <c r="R42" i="885"/>
  <c r="S42" i="885"/>
  <c r="T42" i="885"/>
  <c r="U42" i="885"/>
  <c r="V42" i="885"/>
  <c r="W42" i="885"/>
  <c r="X42" i="885"/>
  <c r="Y42" i="885"/>
  <c r="Z42" i="885"/>
  <c r="R43" i="885"/>
  <c r="S43" i="885"/>
  <c r="T43" i="885"/>
  <c r="U43" i="885"/>
  <c r="V43" i="885"/>
  <c r="W43" i="885"/>
  <c r="X43" i="885"/>
  <c r="Y43" i="885"/>
  <c r="Z43" i="885"/>
  <c r="R44" i="885"/>
  <c r="S44" i="885"/>
  <c r="T44" i="885"/>
  <c r="U44" i="885"/>
  <c r="V44" i="885"/>
  <c r="W44" i="885"/>
  <c r="X44" i="885"/>
  <c r="Y44" i="885"/>
  <c r="Z44" i="885"/>
  <c r="R45" i="885"/>
  <c r="S45" i="885"/>
  <c r="T45" i="885"/>
  <c r="U45" i="885"/>
  <c r="V45" i="885"/>
  <c r="W45" i="885"/>
  <c r="X45" i="885"/>
  <c r="Y45" i="885"/>
  <c r="Z45" i="885"/>
  <c r="R46" i="885"/>
  <c r="S46" i="885"/>
  <c r="T46" i="885"/>
  <c r="U46" i="885"/>
  <c r="V46" i="885"/>
  <c r="W46" i="885"/>
  <c r="X46" i="885"/>
  <c r="Y46" i="885"/>
  <c r="Z46" i="885"/>
  <c r="R47" i="885"/>
  <c r="S47" i="885"/>
  <c r="T47" i="885"/>
  <c r="U47" i="885"/>
  <c r="V47" i="885"/>
  <c r="W47" i="885"/>
  <c r="X47" i="885"/>
  <c r="Y47" i="885"/>
  <c r="Z47" i="885"/>
  <c r="C21" i="885"/>
  <c r="J60" i="885" s="1"/>
  <c r="D21" i="885"/>
  <c r="E21" i="885"/>
  <c r="F21" i="885"/>
  <c r="G21" i="885"/>
  <c r="I21" i="885"/>
  <c r="J46" i="885" s="1"/>
  <c r="J21" i="885"/>
  <c r="L21" i="885"/>
  <c r="M21" i="885"/>
  <c r="N21" i="885"/>
  <c r="O21" i="885"/>
  <c r="R10" i="885"/>
  <c r="S10" i="885"/>
  <c r="T10" i="885"/>
  <c r="U10" i="885"/>
  <c r="V10" i="885"/>
  <c r="W10" i="885"/>
  <c r="X10" i="885"/>
  <c r="Y10" i="885"/>
  <c r="Z10" i="885"/>
  <c r="R11" i="885"/>
  <c r="S11" i="885"/>
  <c r="T11" i="885"/>
  <c r="U11" i="885"/>
  <c r="V11" i="885"/>
  <c r="W11" i="885"/>
  <c r="X11" i="885"/>
  <c r="Y11" i="885"/>
  <c r="Z11" i="885"/>
  <c r="R12" i="885"/>
  <c r="S12" i="885"/>
  <c r="T12" i="885"/>
  <c r="U12" i="885"/>
  <c r="V12" i="885"/>
  <c r="W12" i="885"/>
  <c r="X12" i="885"/>
  <c r="Y12" i="885"/>
  <c r="Z12" i="885"/>
  <c r="R13" i="885"/>
  <c r="S13" i="885"/>
  <c r="T13" i="885"/>
  <c r="U13" i="885"/>
  <c r="V13" i="885"/>
  <c r="W13" i="885"/>
  <c r="X13" i="885"/>
  <c r="Y13" i="885"/>
  <c r="Z13" i="885"/>
  <c r="R14" i="885"/>
  <c r="S14" i="885"/>
  <c r="T14" i="885"/>
  <c r="U14" i="885"/>
  <c r="V14" i="885"/>
  <c r="W14" i="885"/>
  <c r="X14" i="885"/>
  <c r="Y14" i="885"/>
  <c r="Z14" i="885"/>
  <c r="R15" i="885"/>
  <c r="S15" i="885"/>
  <c r="T15" i="885"/>
  <c r="U15" i="885"/>
  <c r="V15" i="885"/>
  <c r="W15" i="885"/>
  <c r="X15" i="885"/>
  <c r="Y15" i="885"/>
  <c r="Z15" i="885"/>
  <c r="R18" i="885"/>
  <c r="S18" i="885"/>
  <c r="T18" i="885"/>
  <c r="U18" i="885"/>
  <c r="V18" i="885"/>
  <c r="W18" i="885"/>
  <c r="X18" i="885"/>
  <c r="Y18" i="885"/>
  <c r="Z18" i="885"/>
  <c r="R19" i="885"/>
  <c r="S19" i="885"/>
  <c r="T19" i="885"/>
  <c r="U19" i="885"/>
  <c r="V19" i="885"/>
  <c r="W19" i="885"/>
  <c r="X19" i="885"/>
  <c r="Y19" i="885"/>
  <c r="Z19" i="885"/>
  <c r="R20" i="885"/>
  <c r="S20" i="885"/>
  <c r="T20" i="885"/>
  <c r="U20" i="885"/>
  <c r="V20" i="885"/>
  <c r="W20" i="885"/>
  <c r="X20" i="885"/>
  <c r="Y20" i="885"/>
  <c r="Z20" i="885"/>
  <c r="D10" i="885"/>
  <c r="E10" i="885"/>
  <c r="F10" i="885"/>
  <c r="G10" i="885"/>
  <c r="M10" i="885"/>
  <c r="O10" i="885"/>
  <c r="D11" i="885"/>
  <c r="E11" i="885"/>
  <c r="F11" i="885"/>
  <c r="G11" i="885"/>
  <c r="M11" i="885"/>
  <c r="O11" i="885"/>
  <c r="D12" i="885"/>
  <c r="E12" i="885"/>
  <c r="F12" i="885"/>
  <c r="G12" i="885"/>
  <c r="M12" i="885"/>
  <c r="O12" i="885"/>
  <c r="D13" i="885"/>
  <c r="E13" i="885"/>
  <c r="F13" i="885"/>
  <c r="G13" i="885"/>
  <c r="M13" i="885"/>
  <c r="O13" i="885"/>
  <c r="D14" i="885"/>
  <c r="E14" i="885"/>
  <c r="F14" i="885"/>
  <c r="G14" i="885"/>
  <c r="M14" i="885"/>
  <c r="O14" i="885"/>
  <c r="D15" i="885"/>
  <c r="E15" i="885"/>
  <c r="F15" i="885"/>
  <c r="G15" i="885"/>
  <c r="M15" i="885"/>
  <c r="O15" i="885"/>
  <c r="D18" i="885"/>
  <c r="E18" i="885"/>
  <c r="F18" i="885"/>
  <c r="G18" i="885"/>
  <c r="M18" i="885"/>
  <c r="O18" i="885"/>
  <c r="D19" i="885"/>
  <c r="E19" i="885"/>
  <c r="F19" i="885"/>
  <c r="G19" i="885"/>
  <c r="M19" i="885"/>
  <c r="O19" i="885"/>
  <c r="I70" i="885"/>
  <c r="F91" i="885"/>
  <c r="AX75" i="885"/>
  <c r="AW75" i="885"/>
  <c r="AV75" i="885"/>
  <c r="AU75" i="885"/>
  <c r="AT75" i="885"/>
  <c r="AS75" i="885"/>
  <c r="AR75" i="885"/>
  <c r="AQ75" i="885"/>
  <c r="AP75" i="885"/>
  <c r="AO75" i="885"/>
  <c r="AN75" i="885"/>
  <c r="AM75" i="885"/>
  <c r="AL75" i="885"/>
  <c r="AK75" i="885"/>
  <c r="AJ75" i="885"/>
  <c r="AI75" i="885"/>
  <c r="AH75" i="885"/>
  <c r="AG75" i="885"/>
  <c r="AF75" i="885"/>
  <c r="AE75" i="885"/>
  <c r="AD75" i="885"/>
  <c r="AC75" i="885"/>
  <c r="AB75" i="885"/>
  <c r="K70" i="885"/>
  <c r="Z57" i="885"/>
  <c r="Y57" i="885"/>
  <c r="X57" i="885"/>
  <c r="W57" i="885"/>
  <c r="V57" i="885"/>
  <c r="U57" i="885"/>
  <c r="T57" i="885"/>
  <c r="S57" i="885"/>
  <c r="R57" i="885"/>
  <c r="Z56" i="885"/>
  <c r="Y56" i="885"/>
  <c r="X56" i="885"/>
  <c r="W56" i="885"/>
  <c r="V56" i="885"/>
  <c r="U56" i="885"/>
  <c r="T56" i="885"/>
  <c r="S56" i="885"/>
  <c r="R56" i="885"/>
  <c r="Z55" i="885"/>
  <c r="Y55" i="885"/>
  <c r="X55" i="885"/>
  <c r="W55" i="885"/>
  <c r="V55" i="885"/>
  <c r="U55" i="885"/>
  <c r="T55" i="885"/>
  <c r="S55" i="885"/>
  <c r="R55" i="885"/>
  <c r="M55" i="885"/>
  <c r="Z54" i="885"/>
  <c r="Y54" i="885"/>
  <c r="X54" i="885"/>
  <c r="W54" i="885"/>
  <c r="V54" i="885"/>
  <c r="U54" i="885"/>
  <c r="T54" i="885"/>
  <c r="S54" i="885"/>
  <c r="R54" i="885"/>
  <c r="M54" i="885"/>
  <c r="Z53" i="885"/>
  <c r="Y53" i="885"/>
  <c r="X53" i="885"/>
  <c r="W53" i="885"/>
  <c r="V53" i="885"/>
  <c r="U53" i="885"/>
  <c r="T53" i="885"/>
  <c r="S53" i="885"/>
  <c r="R53" i="885"/>
  <c r="M53" i="885"/>
  <c r="Z52" i="885"/>
  <c r="Y52" i="885"/>
  <c r="X52" i="885"/>
  <c r="W52" i="885"/>
  <c r="V52" i="885"/>
  <c r="U52" i="885"/>
  <c r="T52" i="885"/>
  <c r="S52" i="885"/>
  <c r="R52" i="885"/>
  <c r="Z51" i="885"/>
  <c r="Y51" i="885"/>
  <c r="X51" i="885"/>
  <c r="W51" i="885"/>
  <c r="V51" i="885"/>
  <c r="U51" i="885"/>
  <c r="T51" i="885"/>
  <c r="S51" i="885"/>
  <c r="R51" i="885"/>
  <c r="M51" i="885"/>
  <c r="Z50" i="885"/>
  <c r="Y50" i="885"/>
  <c r="X50" i="885"/>
  <c r="W50" i="885"/>
  <c r="V50" i="885"/>
  <c r="U50" i="885"/>
  <c r="T50" i="885"/>
  <c r="S50" i="885"/>
  <c r="R50" i="885"/>
  <c r="Z49" i="885"/>
  <c r="Y49" i="885"/>
  <c r="X49" i="885"/>
  <c r="W49" i="885"/>
  <c r="V49" i="885"/>
  <c r="U49" i="885"/>
  <c r="T49" i="885"/>
  <c r="S49" i="885"/>
  <c r="R49" i="885"/>
  <c r="M49" i="885"/>
  <c r="L49" i="885"/>
  <c r="K49" i="885"/>
  <c r="Z48" i="885"/>
  <c r="Y48" i="885"/>
  <c r="X48" i="885"/>
  <c r="W48" i="885"/>
  <c r="V48" i="885"/>
  <c r="U48" i="885"/>
  <c r="T48" i="885"/>
  <c r="S48" i="885"/>
  <c r="R48" i="885"/>
  <c r="Z33" i="885"/>
  <c r="Y33" i="885"/>
  <c r="X33" i="885"/>
  <c r="W33" i="885"/>
  <c r="V33" i="885"/>
  <c r="U33" i="885"/>
  <c r="T33" i="885"/>
  <c r="S33" i="885"/>
  <c r="R33" i="885"/>
  <c r="Z32" i="885"/>
  <c r="Y32" i="885"/>
  <c r="X32" i="885"/>
  <c r="W32" i="885"/>
  <c r="V32" i="885"/>
  <c r="U32" i="885"/>
  <c r="T32" i="885"/>
  <c r="S32" i="885"/>
  <c r="R32" i="885"/>
  <c r="Z31" i="885"/>
  <c r="Y31" i="885"/>
  <c r="X31" i="885"/>
  <c r="W31" i="885"/>
  <c r="V31" i="885"/>
  <c r="U31" i="885"/>
  <c r="T31" i="885"/>
  <c r="S31" i="885"/>
  <c r="R31" i="885"/>
  <c r="L42" i="884" l="1"/>
  <c r="E15" i="884"/>
  <c r="L27" i="884"/>
  <c r="K27" i="884"/>
  <c r="N15" i="884" l="1"/>
  <c r="O15" i="884"/>
  <c r="M15" i="884"/>
  <c r="L15" i="884"/>
  <c r="J15" i="884" l="1"/>
  <c r="I15" i="884" l="1"/>
  <c r="J27" i="884" s="1"/>
  <c r="G15" i="884"/>
  <c r="F15" i="884"/>
  <c r="D15" i="884"/>
  <c r="C15" i="884"/>
  <c r="B27" i="884" l="1"/>
  <c r="T27" i="884" s="1"/>
  <c r="M11" i="884"/>
  <c r="O11" i="884"/>
  <c r="M12" i="884"/>
  <c r="O12" i="884"/>
  <c r="M13" i="884"/>
  <c r="O13" i="884"/>
  <c r="D11" i="884"/>
  <c r="E11" i="884"/>
  <c r="F11" i="884"/>
  <c r="G11" i="884"/>
  <c r="D12" i="884"/>
  <c r="E12" i="884"/>
  <c r="F12" i="884"/>
  <c r="G12" i="884"/>
  <c r="D13" i="884"/>
  <c r="E13" i="884"/>
  <c r="F13" i="884"/>
  <c r="G13" i="884"/>
  <c r="F72" i="884"/>
  <c r="L62" i="884"/>
  <c r="L58" i="884"/>
  <c r="AX56" i="884"/>
  <c r="AW56" i="884"/>
  <c r="AV56" i="884"/>
  <c r="AU56" i="884"/>
  <c r="AT56" i="884"/>
  <c r="AS56" i="884"/>
  <c r="AR56" i="884"/>
  <c r="AQ56" i="884"/>
  <c r="AP56" i="884"/>
  <c r="AO56" i="884"/>
  <c r="AN56" i="884"/>
  <c r="AM56" i="884"/>
  <c r="AL56" i="884"/>
  <c r="AK56" i="884"/>
  <c r="AJ56" i="884"/>
  <c r="AI56" i="884"/>
  <c r="AH56" i="884"/>
  <c r="AG56" i="884"/>
  <c r="AF56" i="884"/>
  <c r="AE56" i="884"/>
  <c r="AD56" i="884"/>
  <c r="AC56" i="884"/>
  <c r="AB56" i="884"/>
  <c r="K51" i="884"/>
  <c r="M42" i="884"/>
  <c r="Z38" i="884"/>
  <c r="Y38" i="884"/>
  <c r="X38" i="884"/>
  <c r="W38" i="884"/>
  <c r="V38" i="884"/>
  <c r="U38" i="884"/>
  <c r="T38" i="884"/>
  <c r="S38" i="884"/>
  <c r="R38" i="884"/>
  <c r="Z37" i="884"/>
  <c r="Y37" i="884"/>
  <c r="X37" i="884"/>
  <c r="W37" i="884"/>
  <c r="V37" i="884"/>
  <c r="U37" i="884"/>
  <c r="T37" i="884"/>
  <c r="S37" i="884"/>
  <c r="R37" i="884"/>
  <c r="Z36" i="884"/>
  <c r="Y36" i="884"/>
  <c r="X36" i="884"/>
  <c r="W36" i="884"/>
  <c r="V36" i="884"/>
  <c r="U36" i="884"/>
  <c r="T36" i="884"/>
  <c r="S36" i="884"/>
  <c r="R36" i="884"/>
  <c r="M36" i="884"/>
  <c r="Z35" i="884"/>
  <c r="Y35" i="884"/>
  <c r="X35" i="884"/>
  <c r="W35" i="884"/>
  <c r="V35" i="884"/>
  <c r="U35" i="884"/>
  <c r="T35" i="884"/>
  <c r="S35" i="884"/>
  <c r="R35" i="884"/>
  <c r="M35" i="884"/>
  <c r="Z34" i="884"/>
  <c r="Y34" i="884"/>
  <c r="X34" i="884"/>
  <c r="W34" i="884"/>
  <c r="V34" i="884"/>
  <c r="U34" i="884"/>
  <c r="T34" i="884"/>
  <c r="S34" i="884"/>
  <c r="R34" i="884"/>
  <c r="M34" i="884"/>
  <c r="Z33" i="884"/>
  <c r="Y33" i="884"/>
  <c r="X33" i="884"/>
  <c r="W33" i="884"/>
  <c r="V33" i="884"/>
  <c r="U33" i="884"/>
  <c r="T33" i="884"/>
  <c r="S33" i="884"/>
  <c r="R33" i="884"/>
  <c r="Z32" i="884"/>
  <c r="Y32" i="884"/>
  <c r="X32" i="884"/>
  <c r="W32" i="884"/>
  <c r="V32" i="884"/>
  <c r="U32" i="884"/>
  <c r="T32" i="884"/>
  <c r="S32" i="884"/>
  <c r="R32" i="884"/>
  <c r="M32" i="884"/>
  <c r="Z31" i="884"/>
  <c r="Y31" i="884"/>
  <c r="X31" i="884"/>
  <c r="W31" i="884"/>
  <c r="V31" i="884"/>
  <c r="U31" i="884"/>
  <c r="T31" i="884"/>
  <c r="S31" i="884"/>
  <c r="R31" i="884"/>
  <c r="Z30" i="884"/>
  <c r="Y30" i="884"/>
  <c r="X30" i="884"/>
  <c r="W30" i="884"/>
  <c r="V30" i="884"/>
  <c r="U30" i="884"/>
  <c r="T30" i="884"/>
  <c r="S30" i="884"/>
  <c r="R30" i="884"/>
  <c r="M30" i="884"/>
  <c r="L30" i="884"/>
  <c r="K30" i="884"/>
  <c r="Z29" i="884"/>
  <c r="Y29" i="884"/>
  <c r="X29" i="884"/>
  <c r="W29" i="884"/>
  <c r="V29" i="884"/>
  <c r="U29" i="884"/>
  <c r="T29" i="884"/>
  <c r="S29" i="884"/>
  <c r="R29" i="884"/>
  <c r="Z28" i="884"/>
  <c r="Y28" i="884"/>
  <c r="X28" i="884"/>
  <c r="W28" i="884"/>
  <c r="V28" i="884"/>
  <c r="U28" i="884"/>
  <c r="T28" i="884"/>
  <c r="S28" i="884"/>
  <c r="R28" i="884"/>
  <c r="Z26" i="884"/>
  <c r="Y26" i="884"/>
  <c r="X26" i="884"/>
  <c r="W26" i="884"/>
  <c r="V26" i="884"/>
  <c r="U26" i="884"/>
  <c r="T26" i="884"/>
  <c r="S26" i="884"/>
  <c r="R26" i="884"/>
  <c r="Z25" i="884"/>
  <c r="Y25" i="884"/>
  <c r="X25" i="884"/>
  <c r="W25" i="884"/>
  <c r="V25" i="884"/>
  <c r="U25" i="884"/>
  <c r="T25" i="884"/>
  <c r="S25" i="884"/>
  <c r="R25" i="884"/>
  <c r="Z24" i="884"/>
  <c r="Y24" i="884"/>
  <c r="X24" i="884"/>
  <c r="W24" i="884"/>
  <c r="V24" i="884"/>
  <c r="U24" i="884"/>
  <c r="T24" i="884"/>
  <c r="S24" i="884"/>
  <c r="R24" i="884"/>
  <c r="Z23" i="884"/>
  <c r="Y23" i="884"/>
  <c r="X23" i="884"/>
  <c r="W23" i="884"/>
  <c r="V23" i="884"/>
  <c r="U23" i="884"/>
  <c r="T23" i="884"/>
  <c r="S23" i="884"/>
  <c r="R23" i="884"/>
  <c r="Z22" i="884"/>
  <c r="Y22" i="884"/>
  <c r="X22" i="884"/>
  <c r="W22" i="884"/>
  <c r="V22" i="884"/>
  <c r="U22" i="884"/>
  <c r="T22" i="884"/>
  <c r="S22" i="884"/>
  <c r="R22" i="884"/>
  <c r="Z21" i="884"/>
  <c r="Y21" i="884"/>
  <c r="X21" i="884"/>
  <c r="W21" i="884"/>
  <c r="V21" i="884"/>
  <c r="U21" i="884"/>
  <c r="T21" i="884"/>
  <c r="S21" i="884"/>
  <c r="R21" i="884"/>
  <c r="Z20" i="884"/>
  <c r="Y20" i="884"/>
  <c r="X20" i="884"/>
  <c r="W20" i="884"/>
  <c r="V20" i="884"/>
  <c r="U20" i="884"/>
  <c r="T20" i="884"/>
  <c r="S20" i="884"/>
  <c r="R20" i="884"/>
  <c r="Z19" i="884"/>
  <c r="Y19" i="884"/>
  <c r="X19" i="884"/>
  <c r="W19" i="884"/>
  <c r="V19" i="884"/>
  <c r="U19" i="884"/>
  <c r="T19" i="884"/>
  <c r="S19" i="884"/>
  <c r="R19" i="884"/>
  <c r="Z18" i="884"/>
  <c r="Y18" i="884"/>
  <c r="X18" i="884"/>
  <c r="W18" i="884"/>
  <c r="V18" i="884"/>
  <c r="U18" i="884"/>
  <c r="T18" i="884"/>
  <c r="S18" i="884"/>
  <c r="R18" i="884"/>
  <c r="Z17" i="884"/>
  <c r="Y17" i="884"/>
  <c r="X17" i="884"/>
  <c r="W17" i="884"/>
  <c r="V17" i="884"/>
  <c r="U17" i="884"/>
  <c r="T17" i="884"/>
  <c r="S17" i="884"/>
  <c r="R17" i="884"/>
  <c r="Z16" i="884"/>
  <c r="Y16" i="884"/>
  <c r="X16" i="884"/>
  <c r="W16" i="884"/>
  <c r="V16" i="884"/>
  <c r="U16" i="884"/>
  <c r="T16" i="884"/>
  <c r="S16" i="884"/>
  <c r="R16" i="884"/>
  <c r="Z15" i="884"/>
  <c r="Y15" i="884"/>
  <c r="X15" i="884"/>
  <c r="W15" i="884"/>
  <c r="V15" i="884"/>
  <c r="U15" i="884"/>
  <c r="T15" i="884"/>
  <c r="S15" i="884"/>
  <c r="R15" i="884"/>
  <c r="Z14" i="884"/>
  <c r="Y14" i="884"/>
  <c r="X14" i="884"/>
  <c r="W14" i="884"/>
  <c r="V14" i="884"/>
  <c r="U14" i="884"/>
  <c r="T14" i="884"/>
  <c r="S14" i="884"/>
  <c r="R14" i="884"/>
  <c r="Z13" i="884"/>
  <c r="Y13" i="884"/>
  <c r="X13" i="884"/>
  <c r="W13" i="884"/>
  <c r="V13" i="884"/>
  <c r="U13" i="884"/>
  <c r="T13" i="884"/>
  <c r="S13" i="884"/>
  <c r="R13" i="884"/>
  <c r="Z12" i="884"/>
  <c r="Y12" i="884"/>
  <c r="X12" i="884"/>
  <c r="W12" i="884"/>
  <c r="V12" i="884"/>
  <c r="U12" i="884"/>
  <c r="T12" i="884"/>
  <c r="S12" i="884"/>
  <c r="R12" i="884"/>
  <c r="Z11" i="884"/>
  <c r="Y11" i="884"/>
  <c r="X11" i="884"/>
  <c r="W11" i="884"/>
  <c r="V11" i="884"/>
  <c r="U11" i="884"/>
  <c r="T11" i="884"/>
  <c r="S11" i="884"/>
  <c r="R11" i="884"/>
  <c r="Z10" i="884"/>
  <c r="Y10" i="884"/>
  <c r="X10" i="884"/>
  <c r="W10" i="884"/>
  <c r="V10" i="884"/>
  <c r="U10" i="884"/>
  <c r="T10" i="884"/>
  <c r="S10" i="884"/>
  <c r="R10" i="884"/>
  <c r="O10" i="884"/>
  <c r="M10" i="884"/>
  <c r="G10" i="884"/>
  <c r="F10" i="884"/>
  <c r="E10" i="884"/>
  <c r="D10" i="884"/>
  <c r="R10" i="883"/>
  <c r="S10" i="883"/>
  <c r="T10" i="883"/>
  <c r="U10" i="883"/>
  <c r="V10" i="883"/>
  <c r="W10" i="883"/>
  <c r="X10" i="883"/>
  <c r="Y10" i="883"/>
  <c r="Z10" i="883"/>
  <c r="R11" i="883"/>
  <c r="S11" i="883"/>
  <c r="T11" i="883"/>
  <c r="U11" i="883"/>
  <c r="V11" i="883"/>
  <c r="W11" i="883"/>
  <c r="X11" i="883"/>
  <c r="Y11" i="883"/>
  <c r="Z11" i="883"/>
  <c r="R12" i="883"/>
  <c r="S12" i="883"/>
  <c r="T12" i="883"/>
  <c r="U12" i="883"/>
  <c r="V12" i="883"/>
  <c r="W12" i="883"/>
  <c r="X12" i="883"/>
  <c r="Y12" i="883"/>
  <c r="Z12" i="883"/>
  <c r="R13" i="883"/>
  <c r="S13" i="883"/>
  <c r="T13" i="883"/>
  <c r="U13" i="883"/>
  <c r="V13" i="883"/>
  <c r="W13" i="883"/>
  <c r="X13" i="883"/>
  <c r="Y13" i="883"/>
  <c r="Z13" i="883"/>
  <c r="R14" i="883"/>
  <c r="S14" i="883"/>
  <c r="T14" i="883"/>
  <c r="U14" i="883"/>
  <c r="V14" i="883"/>
  <c r="W14" i="883"/>
  <c r="X14" i="883"/>
  <c r="Y14" i="883"/>
  <c r="Z14" i="883"/>
  <c r="R15" i="883"/>
  <c r="S15" i="883"/>
  <c r="T15" i="883"/>
  <c r="U15" i="883"/>
  <c r="V15" i="883"/>
  <c r="W15" i="883"/>
  <c r="X15" i="883"/>
  <c r="Y15" i="883"/>
  <c r="Z15" i="883"/>
  <c r="R16" i="883"/>
  <c r="S16" i="883"/>
  <c r="T16" i="883"/>
  <c r="U16" i="883"/>
  <c r="V16" i="883"/>
  <c r="W16" i="883"/>
  <c r="X16" i="883"/>
  <c r="Y16" i="883"/>
  <c r="Z16" i="883"/>
  <c r="R17" i="883"/>
  <c r="S17" i="883"/>
  <c r="T17" i="883"/>
  <c r="U17" i="883"/>
  <c r="V17" i="883"/>
  <c r="W17" i="883"/>
  <c r="X17" i="883"/>
  <c r="Y17" i="883"/>
  <c r="Z17" i="883"/>
  <c r="R18" i="883"/>
  <c r="S18" i="883"/>
  <c r="T18" i="883"/>
  <c r="U18" i="883"/>
  <c r="V18" i="883"/>
  <c r="W18" i="883"/>
  <c r="X18" i="883"/>
  <c r="Y18" i="883"/>
  <c r="Z18" i="883"/>
  <c r="R19" i="883"/>
  <c r="S19" i="883"/>
  <c r="T19" i="883"/>
  <c r="U19" i="883"/>
  <c r="V19" i="883"/>
  <c r="W19" i="883"/>
  <c r="X19" i="883"/>
  <c r="Y19" i="883"/>
  <c r="Z19" i="883"/>
  <c r="R20" i="883"/>
  <c r="S20" i="883"/>
  <c r="T20" i="883"/>
  <c r="U20" i="883"/>
  <c r="V20" i="883"/>
  <c r="W20" i="883"/>
  <c r="X20" i="883"/>
  <c r="Y20" i="883"/>
  <c r="Z20" i="883"/>
  <c r="R21" i="883"/>
  <c r="S21" i="883"/>
  <c r="T21" i="883"/>
  <c r="U21" i="883"/>
  <c r="V21" i="883"/>
  <c r="W21" i="883"/>
  <c r="X21" i="883"/>
  <c r="Y21" i="883"/>
  <c r="Z21" i="883"/>
  <c r="R22" i="883"/>
  <c r="S22" i="883"/>
  <c r="T22" i="883"/>
  <c r="U22" i="883"/>
  <c r="V22" i="883"/>
  <c r="W22" i="883"/>
  <c r="X22" i="883"/>
  <c r="Y22" i="883"/>
  <c r="Z22" i="883"/>
  <c r="R23" i="883"/>
  <c r="S23" i="883"/>
  <c r="T23" i="883"/>
  <c r="U23" i="883"/>
  <c r="V23" i="883"/>
  <c r="W23" i="883"/>
  <c r="X23" i="883"/>
  <c r="Y23" i="883"/>
  <c r="Z23" i="883"/>
  <c r="R24" i="883"/>
  <c r="S24" i="883"/>
  <c r="T24" i="883"/>
  <c r="U24" i="883"/>
  <c r="V24" i="883"/>
  <c r="W24" i="883"/>
  <c r="X24" i="883"/>
  <c r="Y24" i="883"/>
  <c r="Z24" i="883"/>
  <c r="R25" i="883"/>
  <c r="S25" i="883"/>
  <c r="T25" i="883"/>
  <c r="U25" i="883"/>
  <c r="V25" i="883"/>
  <c r="W25" i="883"/>
  <c r="X25" i="883"/>
  <c r="Y25" i="883"/>
  <c r="Z25" i="883"/>
  <c r="R26" i="883"/>
  <c r="S26" i="883"/>
  <c r="T26" i="883"/>
  <c r="U26" i="883"/>
  <c r="V26" i="883"/>
  <c r="W26" i="883"/>
  <c r="X26" i="883"/>
  <c r="Y26" i="883"/>
  <c r="Z26" i="883"/>
  <c r="R27" i="883"/>
  <c r="S27" i="883"/>
  <c r="T27" i="883"/>
  <c r="U27" i="883"/>
  <c r="V27" i="883"/>
  <c r="W27" i="883"/>
  <c r="X27" i="883"/>
  <c r="Y27" i="883"/>
  <c r="Z27" i="883"/>
  <c r="D10" i="883"/>
  <c r="E10" i="883"/>
  <c r="F10" i="883"/>
  <c r="G10" i="883"/>
  <c r="M10" i="883"/>
  <c r="O10" i="883"/>
  <c r="D11" i="883"/>
  <c r="E11" i="883"/>
  <c r="F11" i="883"/>
  <c r="G11" i="883"/>
  <c r="M11" i="883"/>
  <c r="O11" i="883"/>
  <c r="D12" i="883"/>
  <c r="E12" i="883"/>
  <c r="F12" i="883"/>
  <c r="G12" i="883"/>
  <c r="M12" i="883"/>
  <c r="O12" i="883"/>
  <c r="D13" i="883"/>
  <c r="E13" i="883"/>
  <c r="F13" i="883"/>
  <c r="G13" i="883"/>
  <c r="M13" i="883"/>
  <c r="O13" i="883"/>
  <c r="D14" i="883"/>
  <c r="E14" i="883"/>
  <c r="F14" i="883"/>
  <c r="G14" i="883"/>
  <c r="M14" i="883"/>
  <c r="O14" i="883"/>
  <c r="D15" i="883"/>
  <c r="E15" i="883"/>
  <c r="F15" i="883"/>
  <c r="G15" i="883"/>
  <c r="M15" i="883"/>
  <c r="O15" i="883"/>
  <c r="D17" i="883"/>
  <c r="E17" i="883"/>
  <c r="F17" i="883"/>
  <c r="G17" i="883"/>
  <c r="M17" i="883"/>
  <c r="O17" i="883"/>
  <c r="S27" i="884" l="1"/>
  <c r="V27" i="884"/>
  <c r="W27" i="884"/>
  <c r="X27" i="884"/>
  <c r="Y27" i="884"/>
  <c r="Z27" i="884"/>
  <c r="R27" i="884"/>
  <c r="U27" i="884"/>
  <c r="B34" i="883"/>
  <c r="X34" i="883" s="1"/>
  <c r="F79" i="883"/>
  <c r="L69" i="883"/>
  <c r="L65" i="883"/>
  <c r="AX63" i="883"/>
  <c r="AW63" i="883"/>
  <c r="AV63" i="883"/>
  <c r="AU63" i="883"/>
  <c r="AT63" i="883"/>
  <c r="AS63" i="883"/>
  <c r="AR63" i="883"/>
  <c r="AQ63" i="883"/>
  <c r="AP63" i="883"/>
  <c r="AO63" i="883"/>
  <c r="AN63" i="883"/>
  <c r="AM63" i="883"/>
  <c r="AL63" i="883"/>
  <c r="AK63" i="883"/>
  <c r="AJ63" i="883"/>
  <c r="AI63" i="883"/>
  <c r="AH63" i="883"/>
  <c r="AG63" i="883"/>
  <c r="AF63" i="883"/>
  <c r="AE63" i="883"/>
  <c r="AD63" i="883"/>
  <c r="AC63" i="883"/>
  <c r="AB63" i="883"/>
  <c r="K58" i="883"/>
  <c r="L49" i="883" s="1"/>
  <c r="Z45" i="883"/>
  <c r="Y45" i="883"/>
  <c r="X45" i="883"/>
  <c r="W45" i="883"/>
  <c r="V45" i="883"/>
  <c r="U45" i="883"/>
  <c r="T45" i="883"/>
  <c r="S45" i="883"/>
  <c r="R45" i="883"/>
  <c r="Z44" i="883"/>
  <c r="Y44" i="883"/>
  <c r="X44" i="883"/>
  <c r="W44" i="883"/>
  <c r="V44" i="883"/>
  <c r="U44" i="883"/>
  <c r="T44" i="883"/>
  <c r="S44" i="883"/>
  <c r="R44" i="883"/>
  <c r="Z43" i="883"/>
  <c r="Y43" i="883"/>
  <c r="X43" i="883"/>
  <c r="W43" i="883"/>
  <c r="V43" i="883"/>
  <c r="U43" i="883"/>
  <c r="T43" i="883"/>
  <c r="S43" i="883"/>
  <c r="R43" i="883"/>
  <c r="M43" i="883"/>
  <c r="Z42" i="883"/>
  <c r="Y42" i="883"/>
  <c r="X42" i="883"/>
  <c r="W42" i="883"/>
  <c r="V42" i="883"/>
  <c r="U42" i="883"/>
  <c r="T42" i="883"/>
  <c r="S42" i="883"/>
  <c r="R42" i="883"/>
  <c r="M42" i="883"/>
  <c r="Z41" i="883"/>
  <c r="Y41" i="883"/>
  <c r="X41" i="883"/>
  <c r="W41" i="883"/>
  <c r="V41" i="883"/>
  <c r="U41" i="883"/>
  <c r="T41" i="883"/>
  <c r="S41" i="883"/>
  <c r="R41" i="883"/>
  <c r="M41" i="883"/>
  <c r="Z40" i="883"/>
  <c r="Y40" i="883"/>
  <c r="X40" i="883"/>
  <c r="W40" i="883"/>
  <c r="V40" i="883"/>
  <c r="U40" i="883"/>
  <c r="T40" i="883"/>
  <c r="S40" i="883"/>
  <c r="R40" i="883"/>
  <c r="Z39" i="883"/>
  <c r="Y39" i="883"/>
  <c r="X39" i="883"/>
  <c r="W39" i="883"/>
  <c r="V39" i="883"/>
  <c r="U39" i="883"/>
  <c r="T39" i="883"/>
  <c r="S39" i="883"/>
  <c r="R39" i="883"/>
  <c r="M39" i="883"/>
  <c r="Z38" i="883"/>
  <c r="Y38" i="883"/>
  <c r="X38" i="883"/>
  <c r="W38" i="883"/>
  <c r="V38" i="883"/>
  <c r="U38" i="883"/>
  <c r="T38" i="883"/>
  <c r="S38" i="883"/>
  <c r="R38" i="883"/>
  <c r="Z37" i="883"/>
  <c r="Y37" i="883"/>
  <c r="X37" i="883"/>
  <c r="W37" i="883"/>
  <c r="V37" i="883"/>
  <c r="U37" i="883"/>
  <c r="T37" i="883"/>
  <c r="S37" i="883"/>
  <c r="R37" i="883"/>
  <c r="M37" i="883"/>
  <c r="L37" i="883"/>
  <c r="K37" i="883"/>
  <c r="Z36" i="883"/>
  <c r="Y36" i="883"/>
  <c r="X36" i="883"/>
  <c r="W36" i="883"/>
  <c r="V36" i="883"/>
  <c r="U36" i="883"/>
  <c r="T36" i="883"/>
  <c r="S36" i="883"/>
  <c r="R36" i="883"/>
  <c r="Z35" i="883"/>
  <c r="Y35" i="883"/>
  <c r="X35" i="883"/>
  <c r="W35" i="883"/>
  <c r="V35" i="883"/>
  <c r="U35" i="883"/>
  <c r="T35" i="883"/>
  <c r="S35" i="883"/>
  <c r="R35" i="883"/>
  <c r="W34" i="883"/>
  <c r="U34" i="883"/>
  <c r="T34" i="883"/>
  <c r="Z33" i="883"/>
  <c r="Y33" i="883"/>
  <c r="X33" i="883"/>
  <c r="W33" i="883"/>
  <c r="V33" i="883"/>
  <c r="U33" i="883"/>
  <c r="T33" i="883"/>
  <c r="S33" i="883"/>
  <c r="R33" i="883"/>
  <c r="Z32" i="883"/>
  <c r="Y32" i="883"/>
  <c r="X32" i="883"/>
  <c r="W32" i="883"/>
  <c r="V32" i="883"/>
  <c r="U32" i="883"/>
  <c r="T32" i="883"/>
  <c r="S32" i="883"/>
  <c r="R32" i="883"/>
  <c r="Z31" i="883"/>
  <c r="Y31" i="883"/>
  <c r="X31" i="883"/>
  <c r="W31" i="883"/>
  <c r="V31" i="883"/>
  <c r="U31" i="883"/>
  <c r="T31" i="883"/>
  <c r="S31" i="883"/>
  <c r="R31" i="883"/>
  <c r="Z30" i="883"/>
  <c r="Y30" i="883"/>
  <c r="X30" i="883"/>
  <c r="W30" i="883"/>
  <c r="V30" i="883"/>
  <c r="U30" i="883"/>
  <c r="T30" i="883"/>
  <c r="S30" i="883"/>
  <c r="R30" i="883"/>
  <c r="Z29" i="883"/>
  <c r="Y29" i="883"/>
  <c r="X29" i="883"/>
  <c r="W29" i="883"/>
  <c r="V29" i="883"/>
  <c r="U29" i="883"/>
  <c r="T29" i="883"/>
  <c r="S29" i="883"/>
  <c r="R29" i="883"/>
  <c r="Z28" i="883"/>
  <c r="Y28" i="883"/>
  <c r="X28" i="883"/>
  <c r="W28" i="883"/>
  <c r="V28" i="883"/>
  <c r="U28" i="883"/>
  <c r="T28" i="883"/>
  <c r="S28" i="883"/>
  <c r="R28" i="883"/>
  <c r="C25" i="882" a="1"/>
  <c r="C25" i="882" s="1"/>
  <c r="Z34" i="883" l="1"/>
  <c r="R34" i="883"/>
  <c r="S34" i="883"/>
  <c r="Y34" i="883"/>
  <c r="M49" i="883"/>
  <c r="V34" i="883"/>
  <c r="G54" i="882"/>
  <c r="L40" i="882" l="1"/>
  <c r="K42" i="882"/>
  <c r="M28" i="882"/>
  <c r="L28" i="882"/>
  <c r="K28" i="882"/>
  <c r="K35" i="882" s="1"/>
  <c r="R10" i="882"/>
  <c r="S10" i="882"/>
  <c r="T10" i="882"/>
  <c r="U10" i="882"/>
  <c r="V10" i="882"/>
  <c r="W10" i="882"/>
  <c r="X10" i="882"/>
  <c r="Y10" i="882"/>
  <c r="Z10" i="882"/>
  <c r="R11" i="882"/>
  <c r="S11" i="882"/>
  <c r="T11" i="882"/>
  <c r="U11" i="882"/>
  <c r="V11" i="882"/>
  <c r="W11" i="882"/>
  <c r="X11" i="882"/>
  <c r="Y11" i="882"/>
  <c r="Z11" i="882"/>
  <c r="R12" i="882"/>
  <c r="S12" i="882"/>
  <c r="T12" i="882"/>
  <c r="U12" i="882"/>
  <c r="V12" i="882"/>
  <c r="W12" i="882"/>
  <c r="X12" i="882"/>
  <c r="Y12" i="882"/>
  <c r="Z12" i="882"/>
  <c r="R13" i="882"/>
  <c r="S13" i="882"/>
  <c r="T13" i="882"/>
  <c r="U13" i="882"/>
  <c r="V13" i="882"/>
  <c r="W13" i="882"/>
  <c r="X13" i="882"/>
  <c r="Y13" i="882"/>
  <c r="Z13" i="882"/>
  <c r="R14" i="882"/>
  <c r="S14" i="882"/>
  <c r="T14" i="882"/>
  <c r="U14" i="882"/>
  <c r="V14" i="882"/>
  <c r="W14" i="882"/>
  <c r="X14" i="882"/>
  <c r="Y14" i="882"/>
  <c r="Z14" i="882"/>
  <c r="R15" i="882"/>
  <c r="S15" i="882"/>
  <c r="T15" i="882"/>
  <c r="U15" i="882"/>
  <c r="V15" i="882"/>
  <c r="W15" i="882"/>
  <c r="X15" i="882"/>
  <c r="Y15" i="882"/>
  <c r="Z15" i="882"/>
  <c r="R16" i="882"/>
  <c r="S16" i="882"/>
  <c r="T16" i="882"/>
  <c r="U16" i="882"/>
  <c r="V16" i="882"/>
  <c r="W16" i="882"/>
  <c r="X16" i="882"/>
  <c r="Y16" i="882"/>
  <c r="Z16" i="882"/>
  <c r="R17" i="882"/>
  <c r="S17" i="882"/>
  <c r="T17" i="882"/>
  <c r="U17" i="882"/>
  <c r="V17" i="882"/>
  <c r="W17" i="882"/>
  <c r="X17" i="882"/>
  <c r="Y17" i="882"/>
  <c r="Z17" i="882"/>
  <c r="R18" i="882"/>
  <c r="S18" i="882"/>
  <c r="T18" i="882"/>
  <c r="U18" i="882"/>
  <c r="V18" i="882"/>
  <c r="W18" i="882"/>
  <c r="X18" i="882"/>
  <c r="Y18" i="882"/>
  <c r="Z18" i="882"/>
  <c r="R19" i="882"/>
  <c r="S19" i="882"/>
  <c r="T19" i="882"/>
  <c r="U19" i="882"/>
  <c r="V19" i="882"/>
  <c r="W19" i="882"/>
  <c r="X19" i="882"/>
  <c r="Y19" i="882"/>
  <c r="Z19" i="882"/>
  <c r="R20" i="882"/>
  <c r="S20" i="882"/>
  <c r="T20" i="882"/>
  <c r="U20" i="882"/>
  <c r="V20" i="882"/>
  <c r="W20" i="882"/>
  <c r="X20" i="882"/>
  <c r="Y20" i="882"/>
  <c r="Z20" i="882"/>
  <c r="I10" i="882"/>
  <c r="J10" i="882"/>
  <c r="K10" i="882"/>
  <c r="L10" i="882"/>
  <c r="M10" i="882"/>
  <c r="N10" i="882"/>
  <c r="O10" i="882"/>
  <c r="I11" i="882"/>
  <c r="J11" i="882"/>
  <c r="K11" i="882"/>
  <c r="L11" i="882"/>
  <c r="M11" i="882"/>
  <c r="N11" i="882"/>
  <c r="O11" i="882"/>
  <c r="I12" i="882"/>
  <c r="J12" i="882"/>
  <c r="K12" i="882"/>
  <c r="L12" i="882"/>
  <c r="M12" i="882"/>
  <c r="N12" i="882"/>
  <c r="O12" i="882"/>
  <c r="I13" i="882"/>
  <c r="J13" i="882"/>
  <c r="K13" i="882"/>
  <c r="L13" i="882"/>
  <c r="M13" i="882"/>
  <c r="N13" i="882"/>
  <c r="O13" i="882"/>
  <c r="I14" i="882"/>
  <c r="J14" i="882"/>
  <c r="K14" i="882"/>
  <c r="L14" i="882"/>
  <c r="M14" i="882"/>
  <c r="N14" i="882"/>
  <c r="O14" i="882"/>
  <c r="I15" i="882"/>
  <c r="J15" i="882"/>
  <c r="K15" i="882"/>
  <c r="L15" i="882"/>
  <c r="M15" i="882"/>
  <c r="N15" i="882"/>
  <c r="O15" i="882"/>
  <c r="I16" i="882"/>
  <c r="J16" i="882"/>
  <c r="K16" i="882"/>
  <c r="L16" i="882"/>
  <c r="M16" i="882"/>
  <c r="N16" i="882"/>
  <c r="O16" i="882"/>
  <c r="I17" i="882"/>
  <c r="J17" i="882"/>
  <c r="K17" i="882"/>
  <c r="L17" i="882"/>
  <c r="M17" i="882"/>
  <c r="N17" i="882"/>
  <c r="O17" i="882"/>
  <c r="I18" i="882"/>
  <c r="J18" i="882"/>
  <c r="K18" i="882"/>
  <c r="L18" i="882"/>
  <c r="M18" i="882"/>
  <c r="N18" i="882"/>
  <c r="O18" i="882"/>
  <c r="C10" i="882"/>
  <c r="D10" i="882"/>
  <c r="E10" i="882"/>
  <c r="F10" i="882"/>
  <c r="G10" i="882"/>
  <c r="C11" i="882"/>
  <c r="D11" i="882"/>
  <c r="E11" i="882"/>
  <c r="F11" i="882"/>
  <c r="G11" i="882"/>
  <c r="C12" i="882"/>
  <c r="D12" i="882"/>
  <c r="E12" i="882"/>
  <c r="F12" i="882"/>
  <c r="G12" i="882"/>
  <c r="C13" i="882"/>
  <c r="D13" i="882"/>
  <c r="E13" i="882"/>
  <c r="F13" i="882"/>
  <c r="G13" i="882"/>
  <c r="C14" i="882"/>
  <c r="D14" i="882"/>
  <c r="E14" i="882"/>
  <c r="F14" i="882"/>
  <c r="G14" i="882"/>
  <c r="C15" i="882"/>
  <c r="D15" i="882"/>
  <c r="E15" i="882"/>
  <c r="F15" i="882"/>
  <c r="G15" i="882"/>
  <c r="C16" i="882"/>
  <c r="D16" i="882"/>
  <c r="E16" i="882"/>
  <c r="F16" i="882"/>
  <c r="G16" i="882"/>
  <c r="C17" i="882"/>
  <c r="D17" i="882"/>
  <c r="E17" i="882"/>
  <c r="F17" i="882"/>
  <c r="G17" i="882"/>
  <c r="C18" i="882"/>
  <c r="D18" i="882"/>
  <c r="E18" i="882"/>
  <c r="F18" i="882"/>
  <c r="G18" i="882"/>
  <c r="F70" i="882"/>
  <c r="L60" i="882"/>
  <c r="L56" i="882"/>
  <c r="AX54" i="882"/>
  <c r="AW54" i="882"/>
  <c r="AV54" i="882"/>
  <c r="AU54" i="882"/>
  <c r="AT54" i="882"/>
  <c r="AS54" i="882"/>
  <c r="AR54" i="882"/>
  <c r="AQ54" i="882"/>
  <c r="AP54" i="882"/>
  <c r="AO54" i="882"/>
  <c r="AN54" i="882"/>
  <c r="AM54" i="882"/>
  <c r="AL54" i="882"/>
  <c r="AK54" i="882"/>
  <c r="AJ54" i="882"/>
  <c r="AI54" i="882"/>
  <c r="AH54" i="882"/>
  <c r="AG54" i="882"/>
  <c r="AF54" i="882"/>
  <c r="AE54" i="882"/>
  <c r="AD54" i="882"/>
  <c r="AC54" i="882"/>
  <c r="AB54" i="882"/>
  <c r="B54" i="882"/>
  <c r="K49" i="882"/>
  <c r="M40" i="882" s="1"/>
  <c r="Z36" i="882"/>
  <c r="Y36" i="882"/>
  <c r="X36" i="882"/>
  <c r="W36" i="882"/>
  <c r="V36" i="882"/>
  <c r="U36" i="882"/>
  <c r="T36" i="882"/>
  <c r="S36" i="882"/>
  <c r="R36" i="882"/>
  <c r="Z35" i="882"/>
  <c r="Y35" i="882"/>
  <c r="X35" i="882"/>
  <c r="W35" i="882"/>
  <c r="V35" i="882"/>
  <c r="U35" i="882"/>
  <c r="T35" i="882"/>
  <c r="S35" i="882"/>
  <c r="R35" i="882"/>
  <c r="Z34" i="882"/>
  <c r="Y34" i="882"/>
  <c r="X34" i="882"/>
  <c r="W34" i="882"/>
  <c r="V34" i="882"/>
  <c r="U34" i="882"/>
  <c r="T34" i="882"/>
  <c r="S34" i="882"/>
  <c r="R34" i="882"/>
  <c r="M34" i="882"/>
  <c r="Z33" i="882"/>
  <c r="Y33" i="882"/>
  <c r="X33" i="882"/>
  <c r="W33" i="882"/>
  <c r="V33" i="882"/>
  <c r="U33" i="882"/>
  <c r="T33" i="882"/>
  <c r="S33" i="882"/>
  <c r="R33" i="882"/>
  <c r="M33" i="882"/>
  <c r="Z32" i="882"/>
  <c r="Y32" i="882"/>
  <c r="X32" i="882"/>
  <c r="W32" i="882"/>
  <c r="V32" i="882"/>
  <c r="U32" i="882"/>
  <c r="T32" i="882"/>
  <c r="S32" i="882"/>
  <c r="R32" i="882"/>
  <c r="M32" i="882"/>
  <c r="Z31" i="882"/>
  <c r="Y31" i="882"/>
  <c r="X31" i="882"/>
  <c r="W31" i="882"/>
  <c r="V31" i="882"/>
  <c r="U31" i="882"/>
  <c r="T31" i="882"/>
  <c r="S31" i="882"/>
  <c r="R31" i="882"/>
  <c r="Z30" i="882"/>
  <c r="Y30" i="882"/>
  <c r="X30" i="882"/>
  <c r="W30" i="882"/>
  <c r="V30" i="882"/>
  <c r="U30" i="882"/>
  <c r="T30" i="882"/>
  <c r="S30" i="882"/>
  <c r="R30" i="882"/>
  <c r="M30" i="882"/>
  <c r="Z29" i="882"/>
  <c r="Y29" i="882"/>
  <c r="X29" i="882"/>
  <c r="W29" i="882"/>
  <c r="V29" i="882"/>
  <c r="U29" i="882"/>
  <c r="T29" i="882"/>
  <c r="S29" i="882"/>
  <c r="R29" i="882"/>
  <c r="Z28" i="882"/>
  <c r="Y28" i="882"/>
  <c r="X28" i="882"/>
  <c r="W28" i="882"/>
  <c r="V28" i="882"/>
  <c r="U28" i="882"/>
  <c r="T28" i="882"/>
  <c r="S28" i="882"/>
  <c r="R28" i="882"/>
  <c r="Z27" i="882"/>
  <c r="Y27" i="882"/>
  <c r="X27" i="882"/>
  <c r="W27" i="882"/>
  <c r="V27" i="882"/>
  <c r="U27" i="882"/>
  <c r="T27" i="882"/>
  <c r="S27" i="882"/>
  <c r="R27" i="882"/>
  <c r="Z26" i="882"/>
  <c r="Y26" i="882"/>
  <c r="X26" i="882"/>
  <c r="W26" i="882"/>
  <c r="V26" i="882"/>
  <c r="U26" i="882"/>
  <c r="T26" i="882"/>
  <c r="S26" i="882"/>
  <c r="R26" i="882"/>
  <c r="B25" i="882"/>
  <c r="R25" i="882" s="1"/>
  <c r="Z24" i="882"/>
  <c r="Y24" i="882"/>
  <c r="X24" i="882"/>
  <c r="W24" i="882"/>
  <c r="V24" i="882"/>
  <c r="U24" i="882"/>
  <c r="T24" i="882"/>
  <c r="S24" i="882"/>
  <c r="R24" i="882"/>
  <c r="Z23" i="882"/>
  <c r="Y23" i="882"/>
  <c r="X23" i="882"/>
  <c r="W23" i="882"/>
  <c r="V23" i="882"/>
  <c r="U23" i="882"/>
  <c r="T23" i="882"/>
  <c r="S23" i="882"/>
  <c r="R23" i="882"/>
  <c r="Z22" i="882"/>
  <c r="Y22" i="882"/>
  <c r="X22" i="882"/>
  <c r="W22" i="882"/>
  <c r="V22" i="882"/>
  <c r="U22" i="882"/>
  <c r="T22" i="882"/>
  <c r="S22" i="882"/>
  <c r="R22" i="882"/>
  <c r="Z21" i="882"/>
  <c r="Y21" i="882"/>
  <c r="X21" i="882"/>
  <c r="W21" i="882"/>
  <c r="V21" i="882"/>
  <c r="U21" i="882"/>
  <c r="T21" i="882"/>
  <c r="S21" i="882"/>
  <c r="R21" i="882"/>
  <c r="C23" i="881" a="1"/>
  <c r="C23" i="881" s="1"/>
  <c r="C19" i="881" a="1"/>
  <c r="C19" i="881" s="1"/>
  <c r="J66" i="19"/>
  <c r="G60" i="19"/>
  <c r="G63" i="19"/>
  <c r="J60" i="18"/>
  <c r="J61" i="18"/>
  <c r="J63" i="18"/>
  <c r="J64" i="18"/>
  <c r="G60" i="18"/>
  <c r="G61" i="18"/>
  <c r="G63" i="18"/>
  <c r="G64" i="18"/>
  <c r="D60" i="18"/>
  <c r="D61" i="18"/>
  <c r="D63" i="18"/>
  <c r="D64" i="18"/>
  <c r="J28" i="882" l="1"/>
  <c r="L35" i="882"/>
  <c r="M35" i="882" s="1"/>
  <c r="V25" i="882"/>
  <c r="W25" i="882"/>
  <c r="S25" i="882"/>
  <c r="T25" i="882"/>
  <c r="U25" i="882"/>
  <c r="X25" i="882"/>
  <c r="Y25" i="882"/>
  <c r="Z25" i="882"/>
  <c r="G48" i="881"/>
  <c r="B48" i="881"/>
  <c r="M34" i="881"/>
  <c r="L34" i="881" l="1"/>
  <c r="K43" i="881"/>
  <c r="M22" i="881"/>
  <c r="L22" i="881"/>
  <c r="K22" i="881"/>
  <c r="C10" i="881"/>
  <c r="C11" i="881"/>
  <c r="D11" i="881"/>
  <c r="E11" i="881"/>
  <c r="F11" i="881"/>
  <c r="G11" i="881"/>
  <c r="K11" i="881"/>
  <c r="L11" i="881"/>
  <c r="M11" i="881"/>
  <c r="N11" i="881"/>
  <c r="O11" i="881"/>
  <c r="B19" i="881"/>
  <c r="Y19" i="881" s="1"/>
  <c r="F64" i="881"/>
  <c r="L54" i="881"/>
  <c r="L50" i="881"/>
  <c r="AX48" i="881"/>
  <c r="AW48" i="881"/>
  <c r="AV48" i="881"/>
  <c r="AU48" i="881"/>
  <c r="AT48" i="881"/>
  <c r="AS48" i="881"/>
  <c r="AR48" i="881"/>
  <c r="AQ48" i="881"/>
  <c r="AP48" i="881"/>
  <c r="AO48" i="881"/>
  <c r="AN48" i="881"/>
  <c r="AM48" i="881"/>
  <c r="AL48" i="881"/>
  <c r="AK48" i="881"/>
  <c r="AJ48" i="881"/>
  <c r="AI48" i="881"/>
  <c r="AH48" i="881"/>
  <c r="AG48" i="881"/>
  <c r="AF48" i="881"/>
  <c r="AE48" i="881"/>
  <c r="AD48" i="881"/>
  <c r="AC48" i="881"/>
  <c r="AB48" i="881"/>
  <c r="Z30" i="881"/>
  <c r="Y30" i="881"/>
  <c r="X30" i="881"/>
  <c r="W30" i="881"/>
  <c r="V30" i="881"/>
  <c r="U30" i="881"/>
  <c r="T30" i="881"/>
  <c r="S30" i="881"/>
  <c r="R30" i="881"/>
  <c r="Z29" i="881"/>
  <c r="Y29" i="881"/>
  <c r="X29" i="881"/>
  <c r="W29" i="881"/>
  <c r="V29" i="881"/>
  <c r="U29" i="881"/>
  <c r="T29" i="881"/>
  <c r="S29" i="881"/>
  <c r="R29" i="881"/>
  <c r="Z28" i="881"/>
  <c r="Y28" i="881"/>
  <c r="X28" i="881"/>
  <c r="W28" i="881"/>
  <c r="V28" i="881"/>
  <c r="U28" i="881"/>
  <c r="T28" i="881"/>
  <c r="S28" i="881"/>
  <c r="R28" i="881"/>
  <c r="M28" i="881"/>
  <c r="Z27" i="881"/>
  <c r="Y27" i="881"/>
  <c r="X27" i="881"/>
  <c r="W27" i="881"/>
  <c r="V27" i="881"/>
  <c r="U27" i="881"/>
  <c r="T27" i="881"/>
  <c r="S27" i="881"/>
  <c r="R27" i="881"/>
  <c r="M27" i="881"/>
  <c r="Z26" i="881"/>
  <c r="Y26" i="881"/>
  <c r="X26" i="881"/>
  <c r="W26" i="881"/>
  <c r="V26" i="881"/>
  <c r="U26" i="881"/>
  <c r="T26" i="881"/>
  <c r="S26" i="881"/>
  <c r="R26" i="881"/>
  <c r="M26" i="881"/>
  <c r="Z25" i="881"/>
  <c r="Y25" i="881"/>
  <c r="X25" i="881"/>
  <c r="W25" i="881"/>
  <c r="V25" i="881"/>
  <c r="U25" i="881"/>
  <c r="T25" i="881"/>
  <c r="S25" i="881"/>
  <c r="R25" i="881"/>
  <c r="Z24" i="881"/>
  <c r="Y24" i="881"/>
  <c r="X24" i="881"/>
  <c r="W24" i="881"/>
  <c r="V24" i="881"/>
  <c r="U24" i="881"/>
  <c r="T24" i="881"/>
  <c r="S24" i="881"/>
  <c r="R24" i="881"/>
  <c r="M24" i="881"/>
  <c r="Z23" i="881"/>
  <c r="Y23" i="881"/>
  <c r="X23" i="881"/>
  <c r="W23" i="881"/>
  <c r="V23" i="881"/>
  <c r="U23" i="881"/>
  <c r="T23" i="881"/>
  <c r="S23" i="881"/>
  <c r="R23" i="881"/>
  <c r="Z22" i="881"/>
  <c r="Y22" i="881"/>
  <c r="X22" i="881"/>
  <c r="W22" i="881"/>
  <c r="V22" i="881"/>
  <c r="U22" i="881"/>
  <c r="T22" i="881"/>
  <c r="S22" i="881"/>
  <c r="R22" i="881"/>
  <c r="Z21" i="881"/>
  <c r="Y21" i="881"/>
  <c r="X21" i="881"/>
  <c r="W21" i="881"/>
  <c r="V21" i="881"/>
  <c r="U21" i="881"/>
  <c r="T21" i="881"/>
  <c r="S21" i="881"/>
  <c r="R21" i="881"/>
  <c r="Z20" i="881"/>
  <c r="Y20" i="881"/>
  <c r="X20" i="881"/>
  <c r="W20" i="881"/>
  <c r="V20" i="881"/>
  <c r="U20" i="881"/>
  <c r="T20" i="881"/>
  <c r="S20" i="881"/>
  <c r="R20" i="881"/>
  <c r="Z18" i="881"/>
  <c r="Y18" i="881"/>
  <c r="X18" i="881"/>
  <c r="W18" i="881"/>
  <c r="V18" i="881"/>
  <c r="U18" i="881"/>
  <c r="T18" i="881"/>
  <c r="S18" i="881"/>
  <c r="R18" i="881"/>
  <c r="Z17" i="881"/>
  <c r="Y17" i="881"/>
  <c r="X17" i="881"/>
  <c r="W17" i="881"/>
  <c r="V17" i="881"/>
  <c r="U17" i="881"/>
  <c r="T17" i="881"/>
  <c r="S17" i="881"/>
  <c r="R17" i="881"/>
  <c r="Z16" i="881"/>
  <c r="Y16" i="881"/>
  <c r="X16" i="881"/>
  <c r="W16" i="881"/>
  <c r="V16" i="881"/>
  <c r="U16" i="881"/>
  <c r="T16" i="881"/>
  <c r="S16" i="881"/>
  <c r="R16" i="881"/>
  <c r="Z15" i="881"/>
  <c r="Y15" i="881"/>
  <c r="X15" i="881"/>
  <c r="W15" i="881"/>
  <c r="V15" i="881"/>
  <c r="U15" i="881"/>
  <c r="T15" i="881"/>
  <c r="S15" i="881"/>
  <c r="R15" i="881"/>
  <c r="Z19" i="881" l="1"/>
  <c r="K29" i="881"/>
  <c r="L29" i="881" s="1"/>
  <c r="M29" i="881" s="1"/>
  <c r="S19" i="881"/>
  <c r="T19" i="881"/>
  <c r="W19" i="881"/>
  <c r="R19" i="881"/>
  <c r="U19" i="881"/>
  <c r="V19" i="881"/>
  <c r="X19" i="88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I11" i="881" l="1"/>
  <c r="J22" i="881" s="1"/>
  <c r="J11" i="881" l="1"/>
  <c r="N10" i="892" l="1"/>
  <c r="N11" i="892"/>
  <c r="N12" i="892"/>
  <c r="N13" i="892"/>
  <c r="N14" i="892"/>
  <c r="N15" i="892"/>
  <c r="N16" i="892"/>
  <c r="N17" i="892"/>
  <c r="J11" i="893" l="1"/>
  <c r="J10" i="893"/>
  <c r="J12" i="893"/>
  <c r="J13" i="893"/>
  <c r="I12" i="893" l="1"/>
  <c r="I13" i="893"/>
  <c r="I10" i="893"/>
  <c r="I11" i="893"/>
  <c r="J30" i="893" l="1"/>
  <c r="K59" i="893" l="1"/>
  <c r="K70" i="893" s="1"/>
  <c r="K51" i="891" l="1"/>
  <c r="K63" i="891" s="1"/>
  <c r="K54" i="892"/>
  <c r="K66" i="892" s="1"/>
  <c r="K49" i="891"/>
  <c r="K66" i="891" s="1"/>
  <c r="J61" i="19" l="1"/>
  <c r="J60" i="19" l="1"/>
  <c r="J63" i="19"/>
  <c r="K48" i="881" l="1"/>
  <c r="K59" i="881" s="1"/>
  <c r="K54" i="882"/>
  <c r="K65" i="882" s="1"/>
  <c r="K54" i="888" l="1"/>
  <c r="K54" i="887"/>
  <c r="K67" i="887" s="1"/>
  <c r="K79" i="885"/>
  <c r="K58" i="890"/>
  <c r="K75" i="890" s="1"/>
  <c r="K81" i="885"/>
  <c r="K77" i="885"/>
  <c r="K56" i="888"/>
  <c r="K89" i="885" l="1"/>
  <c r="K65" i="888"/>
  <c r="K75" i="885"/>
  <c r="K87" i="885" s="1"/>
  <c r="J58" i="18"/>
  <c r="J59" i="18"/>
  <c r="J57" i="18" l="1"/>
  <c r="K12" i="895" l="1"/>
  <c r="K13" i="895"/>
  <c r="K14" i="895"/>
  <c r="K15" i="895"/>
  <c r="K19" i="894"/>
  <c r="K20" i="894"/>
  <c r="K10" i="895"/>
  <c r="K11" i="895"/>
  <c r="K23" i="885"/>
  <c r="K24" i="885"/>
  <c r="K25" i="885"/>
  <c r="K26" i="885"/>
  <c r="K29" i="885"/>
  <c r="K30" i="885"/>
  <c r="K31" i="885"/>
  <c r="K32" i="885"/>
  <c r="K33" i="885"/>
  <c r="K34" i="885"/>
  <c r="J56" i="18" l="1"/>
  <c r="J62" i="18"/>
  <c r="J65" i="18" l="1"/>
  <c r="D75" i="885" l="1"/>
  <c r="L75" i="885" s="1"/>
  <c r="D79" i="885"/>
  <c r="L79" i="885" s="1"/>
  <c r="D54" i="892"/>
  <c r="L54" i="892" s="1"/>
  <c r="C66" i="892" s="1"/>
  <c r="C87" i="885" l="1"/>
  <c r="G68" i="895"/>
  <c r="D56" i="895"/>
  <c r="L56" i="895" s="1"/>
  <c r="C68" i="895" s="1"/>
  <c r="M29" i="898" l="1"/>
  <c r="M32" i="893"/>
  <c r="M39" i="889"/>
  <c r="M48" i="885"/>
  <c r="M27" i="882"/>
  <c r="M29" i="897"/>
  <c r="M27" i="892"/>
  <c r="M31" i="890"/>
  <c r="M29" i="884"/>
  <c r="M29" i="896"/>
  <c r="M26" i="894"/>
  <c r="M27" i="887"/>
  <c r="M36" i="883"/>
  <c r="M29" i="895"/>
  <c r="M22" i="891"/>
  <c r="M27" i="888"/>
  <c r="M21" i="881"/>
  <c r="K10" i="893" l="1"/>
  <c r="K11" i="893"/>
  <c r="K12" i="893"/>
  <c r="K13" i="893"/>
  <c r="K12" i="889" l="1"/>
  <c r="K10" i="892"/>
  <c r="K11" i="892"/>
  <c r="K12" i="892"/>
  <c r="K13" i="892"/>
  <c r="K14" i="892"/>
  <c r="K15" i="892"/>
  <c r="K16" i="892"/>
  <c r="K17" i="892"/>
  <c r="K13" i="888" l="1"/>
  <c r="K14" i="888"/>
  <c r="K11" i="889"/>
  <c r="K10" i="889" l="1"/>
  <c r="K16" i="888"/>
  <c r="K15" i="884" l="1"/>
  <c r="K21" i="885"/>
  <c r="K10" i="888"/>
  <c r="K11" i="888"/>
  <c r="K12" i="888"/>
  <c r="G57" i="900" l="1"/>
  <c r="N11" i="901" l="1"/>
  <c r="N12" i="901"/>
  <c r="N13" i="901"/>
  <c r="N14" i="901"/>
  <c r="K11" i="901"/>
  <c r="K12" i="901"/>
  <c r="K13" i="901"/>
  <c r="K14" i="901"/>
  <c r="I12" i="901" l="1"/>
  <c r="J12" i="901"/>
  <c r="I11" i="901" l="1"/>
  <c r="J29" i="901" s="1"/>
  <c r="J11" i="901"/>
  <c r="N11" i="894" l="1"/>
  <c r="N12" i="894"/>
  <c r="N13" i="894"/>
  <c r="N14" i="894"/>
  <c r="N15" i="894"/>
  <c r="N16" i="894"/>
  <c r="N17" i="894"/>
  <c r="N17" i="901"/>
  <c r="N18" i="901"/>
  <c r="L17" i="894"/>
  <c r="L16" i="894"/>
  <c r="L15" i="894"/>
  <c r="L14" i="894"/>
  <c r="L13" i="894"/>
  <c r="L12" i="894"/>
  <c r="L11" i="894"/>
  <c r="L10" i="894"/>
  <c r="C14" i="894"/>
  <c r="C15" i="894"/>
  <c r="C16" i="894"/>
  <c r="C17" i="894"/>
  <c r="C17" i="901"/>
  <c r="J17" i="901"/>
  <c r="C18" i="901"/>
  <c r="C19" i="901"/>
  <c r="C20" i="901"/>
  <c r="C22" i="901"/>
  <c r="N13" i="890"/>
  <c r="N15" i="893"/>
  <c r="N16" i="893"/>
  <c r="N17" i="893"/>
  <c r="N18" i="893"/>
  <c r="N10" i="894"/>
  <c r="L15" i="893"/>
  <c r="L16" i="893"/>
  <c r="L17" i="893"/>
  <c r="L18" i="893"/>
  <c r="C29" i="901" a="1"/>
  <c r="C29" i="901" s="1"/>
  <c r="L10" i="883"/>
  <c r="N10" i="883"/>
  <c r="C11" i="883"/>
  <c r="L11" i="883"/>
  <c r="N11" i="883"/>
  <c r="C12" i="883"/>
  <c r="L12" i="883"/>
  <c r="N12" i="883"/>
  <c r="C13" i="883"/>
  <c r="L13" i="883"/>
  <c r="N13" i="883"/>
  <c r="C14" i="883"/>
  <c r="L14" i="883"/>
  <c r="N14" i="883"/>
  <c r="C15" i="883"/>
  <c r="L15" i="883"/>
  <c r="N15" i="883"/>
  <c r="C11" i="884"/>
  <c r="L11" i="884"/>
  <c r="N11" i="884"/>
  <c r="C12" i="884"/>
  <c r="J12" i="884"/>
  <c r="L12" i="884"/>
  <c r="I12" i="884"/>
  <c r="N12" i="884"/>
  <c r="C13" i="884"/>
  <c r="J13" i="884"/>
  <c r="L13" i="884"/>
  <c r="I13" i="884"/>
  <c r="N13" i="884"/>
  <c r="C10" i="885"/>
  <c r="L10" i="885"/>
  <c r="J10" i="885"/>
  <c r="N10" i="885"/>
  <c r="C11" i="885"/>
  <c r="L11" i="885"/>
  <c r="I11" i="885"/>
  <c r="J11" i="885"/>
  <c r="N11" i="885"/>
  <c r="C12" i="885"/>
  <c r="L12" i="885"/>
  <c r="I12" i="885"/>
  <c r="J12" i="885"/>
  <c r="N12" i="885"/>
  <c r="C13" i="885"/>
  <c r="L13" i="885"/>
  <c r="I13" i="885"/>
  <c r="J13" i="885"/>
  <c r="N13" i="885"/>
  <c r="C14" i="885"/>
  <c r="L14" i="885"/>
  <c r="J14" i="885"/>
  <c r="I14" i="885"/>
  <c r="N14" i="885"/>
  <c r="C15" i="885"/>
  <c r="L15" i="885"/>
  <c r="J15" i="885"/>
  <c r="N15" i="885"/>
  <c r="C18" i="885"/>
  <c r="L18" i="885"/>
  <c r="I18" i="885"/>
  <c r="N18" i="885"/>
  <c r="C19" i="885"/>
  <c r="L19" i="885"/>
  <c r="I19" i="885"/>
  <c r="N19" i="885"/>
  <c r="C14" i="889"/>
  <c r="L14" i="889"/>
  <c r="J14" i="889"/>
  <c r="N14" i="889"/>
  <c r="C15" i="889"/>
  <c r="L15" i="889"/>
  <c r="I15" i="889"/>
  <c r="N15" i="889"/>
  <c r="C16" i="889"/>
  <c r="L16" i="889"/>
  <c r="I16" i="889"/>
  <c r="N16" i="889"/>
  <c r="C17" i="889"/>
  <c r="L17" i="889"/>
  <c r="N17" i="889"/>
  <c r="C10" i="890"/>
  <c r="L10" i="890"/>
  <c r="I10" i="890"/>
  <c r="N10" i="890"/>
  <c r="C11" i="890"/>
  <c r="L11" i="890"/>
  <c r="I11" i="890"/>
  <c r="J11" i="890"/>
  <c r="N11" i="890"/>
  <c r="C12" i="890"/>
  <c r="L12" i="890"/>
  <c r="I12" i="890"/>
  <c r="J12" i="890"/>
  <c r="N12" i="890"/>
  <c r="C13" i="890"/>
  <c r="L13" i="890"/>
  <c r="I13" i="890"/>
  <c r="J13" i="890"/>
  <c r="C15" i="893"/>
  <c r="C16" i="893"/>
  <c r="C17" i="893"/>
  <c r="C18" i="893"/>
  <c r="C10" i="894"/>
  <c r="I10" i="894"/>
  <c r="C11" i="894"/>
  <c r="C12" i="894"/>
  <c r="C13" i="894"/>
  <c r="I12" i="894"/>
  <c r="I11" i="894"/>
  <c r="J11" i="894"/>
  <c r="J12" i="894"/>
  <c r="J10" i="894"/>
  <c r="J22" i="901" l="1"/>
  <c r="J20" i="901"/>
  <c r="I19" i="901"/>
  <c r="I18" i="901"/>
  <c r="I17" i="901"/>
  <c r="C27" i="898" a="1"/>
  <c r="C27" i="898" s="1"/>
  <c r="C27" i="895" a="1"/>
  <c r="C27" i="895" s="1"/>
  <c r="J30" i="890"/>
  <c r="C25" i="892" a="1"/>
  <c r="C25" i="892" s="1"/>
  <c r="J61" i="885"/>
  <c r="J70" i="885" s="1"/>
  <c r="I12" i="883"/>
  <c r="I10" i="885"/>
  <c r="I13" i="883"/>
  <c r="I11" i="883"/>
  <c r="I11" i="884"/>
  <c r="J10" i="890"/>
  <c r="I15" i="885"/>
  <c r="J16" i="893"/>
  <c r="I17" i="894"/>
  <c r="J13" i="894"/>
  <c r="J14" i="883"/>
  <c r="K27" i="900"/>
  <c r="K36" i="900" s="1"/>
  <c r="K24" i="899"/>
  <c r="K33" i="899" s="1"/>
  <c r="K39" i="901"/>
  <c r="K28" i="898"/>
  <c r="K37" i="898" s="1"/>
  <c r="K28" i="897"/>
  <c r="K37" i="897" s="1"/>
  <c r="K28" i="896"/>
  <c r="K37" i="896" s="1"/>
  <c r="K28" i="895"/>
  <c r="K37" i="895" s="1"/>
  <c r="K25" i="894"/>
  <c r="K34" i="894" s="1"/>
  <c r="K26" i="892"/>
  <c r="K35" i="892" s="1"/>
  <c r="K31" i="893"/>
  <c r="K40" i="893" s="1"/>
  <c r="K21" i="891"/>
  <c r="K30" i="891" s="1"/>
  <c r="K38" i="889"/>
  <c r="K47" i="889" s="1"/>
  <c r="K30" i="890"/>
  <c r="K39" i="890" s="1"/>
  <c r="K26" i="888"/>
  <c r="K35" i="888" s="1"/>
  <c r="K26" i="887"/>
  <c r="K35" i="887" s="1"/>
  <c r="K47" i="885"/>
  <c r="K56" i="885" s="1"/>
  <c r="K28" i="884"/>
  <c r="K37" i="884" s="1"/>
  <c r="C10" i="883"/>
  <c r="K35" i="883"/>
  <c r="K44" i="883" s="1"/>
  <c r="J11" i="883"/>
  <c r="N17" i="883"/>
  <c r="N10" i="884"/>
  <c r="J11" i="884"/>
  <c r="C17" i="883"/>
  <c r="C10" i="884"/>
  <c r="J15" i="893"/>
  <c r="J15" i="883"/>
  <c r="J13" i="883"/>
  <c r="J12" i="883"/>
  <c r="I17" i="889"/>
  <c r="J15" i="889"/>
  <c r="I14" i="889"/>
  <c r="J19" i="885"/>
  <c r="J10" i="883"/>
  <c r="J16" i="889"/>
  <c r="J18" i="885"/>
  <c r="L10" i="884"/>
  <c r="L17" i="883"/>
  <c r="J17" i="889"/>
  <c r="J18" i="893"/>
  <c r="J14" i="894"/>
  <c r="J17" i="893"/>
  <c r="I15" i="893"/>
  <c r="J17" i="894"/>
  <c r="I15" i="894"/>
  <c r="I16" i="894"/>
  <c r="J15" i="894"/>
  <c r="J19" i="901"/>
  <c r="J18" i="901"/>
  <c r="J16" i="894"/>
  <c r="L36" i="902" l="1"/>
  <c r="M36" i="902" s="1"/>
  <c r="J47" i="885"/>
  <c r="I22" i="901"/>
  <c r="I20" i="901"/>
  <c r="J30" i="901" s="1"/>
  <c r="L44" i="901"/>
  <c r="M44" i="901" s="1"/>
  <c r="L38" i="899"/>
  <c r="M38" i="899" s="1"/>
  <c r="L41" i="900"/>
  <c r="M41" i="900" s="1"/>
  <c r="L42" i="898"/>
  <c r="M42" i="898" s="1"/>
  <c r="L42" i="895"/>
  <c r="M42" i="895" s="1"/>
  <c r="L42" i="897"/>
  <c r="M42" i="897" s="1"/>
  <c r="L39" i="894"/>
  <c r="M39" i="894" s="1"/>
  <c r="L45" i="893"/>
  <c r="M45" i="893" s="1"/>
  <c r="L44" i="890"/>
  <c r="M44" i="890" s="1"/>
  <c r="L40" i="888"/>
  <c r="M40" i="888" s="1"/>
  <c r="L42" i="896"/>
  <c r="M42" i="896" s="1"/>
  <c r="L40" i="892"/>
  <c r="M40" i="892" s="1"/>
  <c r="L35" i="891"/>
  <c r="M35" i="891" s="1"/>
  <c r="L61" i="885"/>
  <c r="M61" i="885" s="1"/>
  <c r="L40" i="887"/>
  <c r="M40" i="887" s="1"/>
  <c r="L52" i="889"/>
  <c r="M52" i="889" s="1"/>
  <c r="J38" i="889"/>
  <c r="I13" i="894"/>
  <c r="I10" i="884"/>
  <c r="J28" i="884" s="1"/>
  <c r="I17" i="883"/>
  <c r="I14" i="883"/>
  <c r="M30" i="890"/>
  <c r="I14" i="894"/>
  <c r="M28" i="896"/>
  <c r="I16" i="893"/>
  <c r="M28" i="884"/>
  <c r="J10" i="884"/>
  <c r="J17" i="883"/>
  <c r="I18" i="893"/>
  <c r="M27" i="900"/>
  <c r="I15" i="883"/>
  <c r="I17" i="893"/>
  <c r="L25" i="894"/>
  <c r="L34" i="894" s="1"/>
  <c r="M34" i="894" s="1"/>
  <c r="L26" i="892"/>
  <c r="L35" i="892" s="1"/>
  <c r="M35" i="892" s="1"/>
  <c r="L31" i="893"/>
  <c r="L40" i="893" s="1"/>
  <c r="M40" i="893" s="1"/>
  <c r="L21" i="891"/>
  <c r="L30" i="891" s="1"/>
  <c r="M30" i="891" s="1"/>
  <c r="L30" i="890"/>
  <c r="L39" i="890" s="1"/>
  <c r="M39" i="890" s="1"/>
  <c r="I10" i="883"/>
  <c r="J31" i="893" l="1"/>
  <c r="J35" i="883"/>
  <c r="J25" i="894"/>
  <c r="M28" i="897"/>
  <c r="M28" i="898"/>
  <c r="L28" i="897"/>
  <c r="L37" i="897" s="1"/>
  <c r="M37" i="897" s="1"/>
  <c r="L28" i="898"/>
  <c r="L37" i="898" s="1"/>
  <c r="M37" i="898" s="1"/>
  <c r="M26" i="882"/>
  <c r="M24" i="899"/>
  <c r="M20" i="881"/>
  <c r="M31" i="893"/>
  <c r="L39" i="901"/>
  <c r="M39" i="901" s="1"/>
  <c r="L27" i="900"/>
  <c r="L36" i="900" s="1"/>
  <c r="M36" i="900" s="1"/>
  <c r="M35" i="883"/>
  <c r="M47" i="885"/>
  <c r="L35" i="883"/>
  <c r="L44" i="883" s="1"/>
  <c r="M44" i="883" s="1"/>
  <c r="M26" i="887"/>
  <c r="L24" i="899"/>
  <c r="L33" i="899" s="1"/>
  <c r="M33" i="899" s="1"/>
  <c r="M38" i="889"/>
  <c r="M26" i="888"/>
  <c r="L28" i="884"/>
  <c r="L37" i="884" s="1"/>
  <c r="M37" i="884" s="1"/>
  <c r="M21" i="891"/>
  <c r="L28" i="895"/>
  <c r="L37" i="895" s="1"/>
  <c r="M37" i="895" s="1"/>
  <c r="L47" i="885"/>
  <c r="L56" i="885" s="1"/>
  <c r="M56" i="885" s="1"/>
  <c r="M25" i="894"/>
  <c r="L28" i="896"/>
  <c r="L37" i="896" s="1"/>
  <c r="M37" i="896" s="1"/>
  <c r="M28" i="895"/>
  <c r="L26" i="887"/>
  <c r="L35" i="887" s="1"/>
  <c r="M35" i="887" s="1"/>
  <c r="L26" i="888"/>
  <c r="L35" i="888" s="1"/>
  <c r="M35" i="888" s="1"/>
  <c r="M26" i="900"/>
  <c r="M23" i="899"/>
  <c r="M27" i="898"/>
  <c r="M27" i="896"/>
  <c r="M27" i="897"/>
  <c r="M27" i="895"/>
  <c r="M24" i="894"/>
  <c r="M25" i="892"/>
  <c r="M30" i="893"/>
  <c r="M20" i="891"/>
  <c r="M37" i="889"/>
  <c r="M29" i="890"/>
  <c r="M25" i="888"/>
  <c r="M25" i="887"/>
  <c r="M46" i="885"/>
  <c r="M27" i="884"/>
  <c r="M34" i="883"/>
  <c r="M25" i="882"/>
  <c r="M19" i="881"/>
  <c r="M26" i="892"/>
  <c r="L38" i="889"/>
  <c r="L47" i="889" s="1"/>
  <c r="M47" i="889" s="1"/>
  <c r="D64" i="19" l="1"/>
  <c r="D63" i="19"/>
  <c r="D61" i="19"/>
  <c r="D60" i="19"/>
  <c r="D57" i="19" l="1"/>
  <c r="D57" i="18"/>
  <c r="G68" i="898" l="1"/>
  <c r="D51" i="891"/>
  <c r="L51" i="891" s="1"/>
  <c r="C63" i="891" s="1"/>
  <c r="D81" i="885"/>
  <c r="L81" i="885" s="1"/>
  <c r="D56" i="888" l="1"/>
  <c r="L56" i="888" s="1"/>
  <c r="D58" i="895"/>
  <c r="L58" i="895" s="1"/>
  <c r="C67" i="895" s="1"/>
  <c r="D54" i="888"/>
  <c r="L54" i="888" s="1"/>
  <c r="C65" i="888" s="1"/>
  <c r="D54" i="882"/>
  <c r="L54" i="882" s="1"/>
  <c r="C65" i="882" s="1"/>
  <c r="D58" i="18"/>
  <c r="D59" i="893"/>
  <c r="L59" i="893" s="1"/>
  <c r="C70" i="893" s="1"/>
  <c r="D48" i="881"/>
  <c r="L48" i="881" s="1"/>
  <c r="C59" i="881" s="1"/>
  <c r="D58" i="897"/>
  <c r="L58" i="897" s="1"/>
  <c r="C67" i="897" s="1"/>
  <c r="D50" i="902"/>
  <c r="L50" i="902" s="1"/>
  <c r="C61" i="902" s="1"/>
  <c r="D54" i="887"/>
  <c r="L54" i="887" s="1"/>
  <c r="C67" i="887" s="1"/>
  <c r="G69" i="898"/>
  <c r="D57" i="900"/>
  <c r="L57" i="900" s="1"/>
  <c r="G67" i="896"/>
  <c r="D58" i="896"/>
  <c r="L58" i="896" s="1"/>
  <c r="C67" i="896" s="1"/>
  <c r="D55" i="900"/>
  <c r="L55" i="900" s="1"/>
  <c r="D59" i="19"/>
  <c r="D59" i="18"/>
  <c r="G63" i="891"/>
  <c r="G89" i="885" l="1"/>
  <c r="D77" i="885"/>
  <c r="L77" i="885" s="1"/>
  <c r="C89" i="885" s="1"/>
  <c r="D58" i="19"/>
  <c r="G65" i="888"/>
  <c r="G67" i="895"/>
  <c r="D53" i="894"/>
  <c r="L53" i="894" s="1"/>
  <c r="C64" i="894" s="1"/>
  <c r="G87" i="885"/>
  <c r="G59" i="881"/>
  <c r="D56" i="19"/>
  <c r="G61" i="902"/>
  <c r="G70" i="893"/>
  <c r="G67" i="897"/>
  <c r="G64" i="894"/>
  <c r="D58" i="898"/>
  <c r="L58" i="898" s="1"/>
  <c r="C69" i="898" s="1"/>
  <c r="G67" i="887"/>
  <c r="G66" i="900"/>
  <c r="C66" i="900"/>
  <c r="G67" i="884" l="1"/>
  <c r="G74" i="883"/>
  <c r="G65" i="882"/>
  <c r="D56" i="18"/>
  <c r="M27" i="902"/>
  <c r="M35" i="901"/>
  <c r="M29" i="899"/>
  <c r="M32" i="900"/>
  <c r="M33" i="898"/>
  <c r="M33" i="896"/>
  <c r="M33" i="897"/>
  <c r="M33" i="895"/>
  <c r="M33" i="884"/>
  <c r="M31" i="882"/>
  <c r="M26" i="891"/>
  <c r="M31" i="888"/>
  <c r="M30" i="894"/>
  <c r="M43" i="889"/>
  <c r="M35" i="890"/>
  <c r="M52" i="885"/>
  <c r="M36" i="893"/>
  <c r="M31" i="887"/>
  <c r="M40" i="883"/>
  <c r="M25" i="881"/>
  <c r="M31" i="892"/>
  <c r="G58" i="18"/>
  <c r="G59" i="18"/>
  <c r="G56" i="18" l="1"/>
  <c r="G57" i="18"/>
  <c r="K12" i="902" l="1"/>
  <c r="K13" i="902"/>
  <c r="K20" i="901"/>
  <c r="K11" i="902"/>
  <c r="K14" i="894"/>
  <c r="K15" i="894"/>
  <c r="K16" i="894"/>
  <c r="K17" i="894"/>
  <c r="K17" i="901"/>
  <c r="K18" i="901"/>
  <c r="K19" i="901"/>
  <c r="K17" i="893"/>
  <c r="K18" i="893"/>
  <c r="K10" i="894"/>
  <c r="K11" i="894"/>
  <c r="K12" i="894"/>
  <c r="K13" i="894"/>
  <c r="K10" i="883"/>
  <c r="K11" i="883"/>
  <c r="K12" i="883"/>
  <c r="K13" i="883"/>
  <c r="K14" i="883"/>
  <c r="K15" i="883"/>
  <c r="K11" i="884"/>
  <c r="K12" i="884"/>
  <c r="K13" i="884"/>
  <c r="K10" i="885"/>
  <c r="K11" i="885"/>
  <c r="K12" i="885"/>
  <c r="K13" i="885"/>
  <c r="K14" i="885"/>
  <c r="K15" i="885"/>
  <c r="K18" i="885"/>
  <c r="K19" i="885"/>
  <c r="K14" i="889"/>
  <c r="K15" i="889"/>
  <c r="K16" i="889"/>
  <c r="K17" i="889"/>
  <c r="K10" i="890"/>
  <c r="K11" i="890"/>
  <c r="K12" i="890"/>
  <c r="K13" i="890"/>
  <c r="K15" i="893"/>
  <c r="K16" i="893"/>
  <c r="K10" i="902" l="1"/>
  <c r="K22" i="901"/>
  <c r="K17" i="883"/>
  <c r="K10" i="884"/>
  <c r="D58" i="890" l="1"/>
  <c r="L58" i="890" s="1"/>
  <c r="C75" i="890" s="1"/>
  <c r="D62" i="19"/>
  <c r="D49" i="891" l="1"/>
  <c r="L49" i="891" s="1"/>
  <c r="C66" i="891" s="1"/>
  <c r="G73" i="896"/>
  <c r="D56" i="896"/>
  <c r="L56" i="896" s="1"/>
  <c r="C73" i="896" s="1"/>
  <c r="D62" i="18"/>
  <c r="D65" i="18" l="1"/>
  <c r="G62" i="18" l="1"/>
  <c r="G66" i="891"/>
  <c r="G75" i="890"/>
  <c r="D65" i="19"/>
  <c r="G65" i="18" l="1"/>
  <c r="G64" i="19" l="1"/>
  <c r="G61" i="19"/>
  <c r="J58" i="19" l="1"/>
  <c r="J62" i="19"/>
  <c r="J64" i="19"/>
  <c r="G56" i="19"/>
  <c r="J59" i="19"/>
  <c r="J57" i="19"/>
  <c r="G57" i="19"/>
  <c r="G58" i="19"/>
  <c r="J56" i="19" l="1"/>
  <c r="J65" i="19"/>
  <c r="G62" i="19"/>
  <c r="G59" i="19" l="1"/>
  <c r="G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7A96E5B-61A9-4AA7-A87D-CB194666E3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C636F33-197D-4D1F-8BB3-E4AF78F079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7B9AF0A-4A5F-4BD6-B1F1-D1FC03BF4E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192833-5D21-4E0B-8FD5-55B5AE6E89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8A42DEA-3D47-43A7-9C38-699502C432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B726848-09D8-4C45-AA8A-C3990DAB6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3026E5-A79C-4773-9CF9-AA5158E5AA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42D5E2B-D67D-49AA-A858-C7DD447486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4B5DADB-A96B-452C-A6D0-FA18FD5E5C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B9764D0-FB21-42E2-9DD8-0569B401E5E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CCA01C2-E695-4EC3-A637-D14F2028CF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AA5E7C5-B409-4C0C-AA80-0598C7B961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3BBA1FD-BC5F-4E68-8E05-2C648EF5A2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4898067-4DB3-4172-A8EF-1546421A0A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DB80E29-93E1-4415-AC23-C6663F22C5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34F978C-DFEB-4CEE-AB3D-25D9EB0B94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0FFB1C3-E73A-4C25-90B4-FF14792A36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6D813D7-FA4D-4003-B122-F2D4C33C12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E224E1-4C79-40AC-9D82-A892F5E25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331F15F-FA71-446E-86EA-D32FDDCD64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750486A-4D57-4895-B6A5-56B606458F2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A2BA600-1143-4BFA-A643-E9F4308E5F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B3C6F65-B05F-411C-BE03-6037068A90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5A1000C-8E8F-4B1D-B110-B263121F85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F54CDA4-81F3-4820-9C85-4793D3934A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995BE5D-43A5-4D0F-A484-AA73F34D2A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512B386-D88F-442C-B499-EAE019FC01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2D117C9-8D6F-4ED8-BB83-5ECB523F09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618E499-A40B-4DC3-9227-9ABB959F2F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304C78E-9D25-42EB-8504-233703A022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BE38696-94A2-49BB-8689-7F8F60A8EC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6CCA1D0-6541-4EF2-9355-3A7BB2C602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7F9A353-08D1-4140-B4D2-308C5E54E7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DA734DF-1A18-449A-8EF2-3784B03EB4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76D9352-8CA4-49A8-93DF-FD6333BA01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BD8907A-80C2-428E-8511-0ACC9F7755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3000169-C258-4CCC-80A1-1D241C2E57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9744F43-07BF-4B63-B77C-6DBC27DF1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F4D1A16-F1AB-4A8B-8124-45C4C0AF80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0A1DD52-A3D2-400A-81D6-66ADEC77FC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ED12738-5551-4C5E-BBBB-42B4608A64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4DDA3E-B710-4F73-8B10-466DDC1D14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DFFE0C7-6D13-4346-B6F4-EA5EE0F8085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3825028-BC41-4CF9-B2E6-F690A72D41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C734F51-7CCA-4ADD-9C1C-E32126CBA7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EEF3A41-A83E-4EB6-9993-64FA4547F3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F3A88B-5601-4AEC-BC0D-EB2DD03469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015AA8C-E5CA-47A5-9068-AC67368434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944C00-2532-4A9F-AA15-393892C343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075C47A-816B-44EF-B470-BAC718624C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B9135F6-9D89-420B-89D6-F5454CEC8E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6E511AE-2315-45D6-A5FB-16CE04B155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894588-F2FB-496E-A2DC-B25D47A2E0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D787312-E1F7-4D86-96DB-8AE02A31843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1B0273B-7AD6-484F-90E3-DF623136CA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2" authorId="1" shapeId="0" xr:uid="{F61075D7-07FC-4F01-A130-73A64E43F18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69B6C00-B396-4727-8EC2-19BA665F8F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AE1B0E2-7D55-488A-98CF-34A29095D4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2D67886-4CD0-420D-B334-9554E69639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BD9289C-C221-43E1-9A7F-1C1B6DB5A3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6D78E0D-F1CC-483B-BD89-42F9E3C2E1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2C20AF6-EC8C-4409-BE8C-C3841D900D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4D135C9-C5D5-4973-BD76-65842319FD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19C5543-5365-4164-96AD-CD7741F5E6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FED9AFE-F56E-4AB3-BEA9-2B4AD02618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80107EF-D2C0-46FD-8AAB-199228D8A2C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83683EF-DF79-4822-BC45-208E358397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1" authorId="1" shapeId="0" xr:uid="{3C5C38F8-69D4-4B7C-9A12-C0C26868D13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3071492-E216-439A-9AC8-339E21F5CE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506BD14-C1FE-411F-945F-703BCFF614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2B15B15-8C8E-4BFA-A679-E10B2C5C22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5A653D1-1019-4B1E-91C5-CA62C91EEC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F5DA570-B880-442D-AD51-B9B919E9BD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E858E9D-3423-4A58-BB72-A10AE28438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C4D24C9-4E5B-4668-B250-3AA593702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7F85D6D-1525-42A7-99DF-8E3743FC5D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C0CFD0B-D97B-437D-9577-12770888C1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2863F6B-6C87-4464-9A97-56FF62AE922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610F6B4-F29A-4A10-B692-34F0A9A646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1" authorId="1" shapeId="0" xr:uid="{094B14B4-C7EF-49DD-848B-AA338AE166C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  <comment ref="C54" authorId="1" shapeId="0" xr:uid="{AD3C25C1-2945-4EB5-9D92-DDE5F9737A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1CBDEB1-B53C-4FE0-B3BA-F59252E6A3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4E18427-1886-4E3B-8F0D-DAC799CCFD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F82773B-CA50-4475-BF1A-76007B203D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6C02F23-31E9-4AB5-9C59-E6FCF1542B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30C6C5A-9BFE-41CF-8B96-079E75FAC0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DA1BC59-A226-49B1-9064-F10ABD7E1F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6E8075-8FBD-4EAA-A2BD-33FC401334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96A2937-05D3-42BA-BF2C-26DC2AD53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0AB92D9-C268-422B-A328-8EE5F7560A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A6A8657-CDBC-4C82-9BF2-B7F602249C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1BD6B30-75B4-4D90-A33A-0E3FDD6A9F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3" authorId="1" shapeId="0" xr:uid="{E9D2DF7B-BB08-41E9-9690-DA846CA1901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91B2B90-B116-44B6-BC5F-81DD3F04EB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5C2A43B-E192-44B2-8B1E-DF9C5F82B2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7DEE05F-CC98-4361-A99E-B7DEF3DCB9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F690C97-E0CC-4F0D-8BB5-97B60CDA47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6E36FFD-6D52-41D4-8B97-34B51E09D0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8B528DC-151F-4260-A09D-2ED4616721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1CAB5AC-6263-4EC0-9D44-7458023F7F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C304088-6839-4E07-95CB-EFD3BAFCC1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1DD391D-3E9D-412D-869A-0D9E77852E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14B3C52-8F53-48D9-8D23-36D1AE1557F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52D5890-D015-4FA3-BB41-348076C916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5" authorId="1" shapeId="0" xr:uid="{C927B18C-2B2F-4DBB-AAB6-B8341CD532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977843A-FE02-4137-AC64-B4C2099ED0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3A8E6ED-D9C0-42BC-8DC6-D3A444ED1B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895655F-6D67-4BCF-8A26-EAA3129E20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C7B4089-51F5-425B-95F2-253AE84B7D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52DC31C-BBD9-4315-A436-02C0FF79B5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08E360C-66EC-4136-8242-458B8B0674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D11E69C-4304-4472-AB4E-763C5332E8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9C468BB-14B0-452E-98B7-AB1644AA3B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14FEE32-1FC5-4D56-8DA0-5B6B6981C9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225983F-D758-44B9-94A6-53B62EB313F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0DE2833-33B1-4ECB-9230-6D960A4531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66CDC024-311B-49EA-AAFD-7A0F4543DCE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C43C4E0-5871-47A1-9DFA-E3B1FF645B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ACAA06F-44FC-4DE9-BB19-37D310EBF3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38D7ECF-1DBA-4306-AC6A-151A64D73A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A619B60-3B7A-4997-A6EC-36C3317634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6A87DD0-8457-4823-B95A-4DA2444C72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0B3A9C8-138E-468A-B76B-41184D8629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E6A7FF6-EDF1-4373-A149-B7AC1C6318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2F3643F-3986-4AEC-974B-5AE54BBFBD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474C047-46E8-4E11-B3B4-DAC3CB90D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D9BECD7-9264-4E56-B1F2-D354DA131A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8BCAF03-E137-4A79-B69C-37BEB5E7B4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1" authorId="1" shapeId="0" xr:uid="{FF85D012-95D8-494F-8B7A-7784CFDC209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E3CC49B-A1EB-4CC7-967B-4D9F0765F7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8303715-CF53-4D07-9EAD-23BD8C48E0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BE1D977-CCD5-4149-88D6-A3FFCBF4F4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DD3C020-7388-4E0A-BD1F-35B7E17788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860FFD7-5AAE-4BF2-B5A0-31B42565A5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552B375-848C-4EB4-9788-83AD153FF2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49C9E9F-2D85-419E-9186-F3F2ED7DFF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C5D8B1A-B831-44F8-B024-F037858C79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82EE7AD-1B71-4B95-A428-8506055D2B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A690CB1-F4A1-4F84-AB73-2263D37D651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34D38B8-B479-41A7-B57E-2FEA39E15A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6" authorId="1" shapeId="0" xr:uid="{90AFF61E-3BBA-4C1B-B5AB-8D45D63C92D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D972371-A96B-493E-AD11-887DF71CB4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818252C-6D64-4F8D-9B38-42A973BD0D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390A5BC-B394-4E54-BE3A-6C67530E1E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60FA6EA-8D93-4633-A1C9-CFE72EB447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C609C8E-0063-4D8A-A8AC-D902D9F24E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987F26E-231B-4CE1-93D9-63C33EDE84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B321333-B454-4287-9A5A-E69C5FB788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53691F9-B83C-451C-A5A5-D11EE9DB2D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C5BDD0C-B572-4495-BC36-6019A1A514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772E802-6932-4E5D-AE63-6CBFC4A6D23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0660C8D-C49B-4BFA-8EE1-12C44B71EF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7" authorId="1" shapeId="0" xr:uid="{62467C37-EF01-4030-89CC-0D03FB2C244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7089925-6680-4874-BA78-A7D0B9DDAB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AF43A5E-2305-42EA-8278-2507E5F143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57B42CF-9F33-48E7-B8A2-9E51AA73BB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94209C5-4FC9-4612-A730-17DC0240A0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2A19D9F-CD46-4ECB-AF9C-FDA269BDF3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565997E-1125-4A23-9942-F08EF4A9DF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06B7010-3161-4C38-9710-D1F5DF6FA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B6E6E06-AE6D-4109-AEAC-9A23785EC7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A73814E-95A3-4910-BF79-DCF62F5146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BDCD80F-2781-427E-AE65-1C723CF8132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19B86E4-59C9-4E26-81D5-0D31650CE3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7E0393FA-9A7F-48A3-8699-3FD44786B70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1AFFA1-2CBA-4F61-89BD-7C591E836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3C76B8F-1F9C-4EF5-94A0-C6CDFB42E7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A451366-CC62-45E4-9F30-E53A67EDBC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204BE02-9EAC-4900-85C9-BFDA804DAF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D4A5EA5-7AF1-45BE-BD2B-4C748C2A67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62473DC-4466-410D-8AC7-51F6C8B173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151998D-ED00-4CE2-96AB-518696046A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B9FC97E-0954-4D98-B752-514A98CD13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84F5BE1-6366-4067-B6AE-46D026FDA4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D189E9C-C36A-4C06-887E-013FD76FBA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E2A221E-B1B4-4580-B08C-E1B32A1461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ABCBD332-F668-4452-A55B-744022A7E6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3C0F5CE-3176-4CDE-BDC6-B7CBB4C6A0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2BC95A2-B498-43BA-B430-85BFAEC1A8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9C5AA93-0E57-44AB-9100-88BDECE4DC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AD764FD-66D4-45EA-8AF7-A158958E8A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7582C0A-4E54-47D2-B093-0B411CD37A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ED939B-8B77-43CB-B53B-B43998FAD6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86FF7D1-C56F-4CDD-BCAA-218D1C2D09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A19EAB-CD4B-4D15-BAC8-017559F065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FD872F8-E6B5-4D22-9500-8654C16352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1743EB4-392B-46CF-94AF-53E05060AC8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5EBE9BC-3320-43EE-97ED-542E675A56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5B4E7812-8F2C-44CB-A184-354E91C19E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4CCF58B-4531-4C8B-B2D4-B8690D37EB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824BD74-AAA3-4424-B457-3BC01350C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7F8DE5-FB52-4DC3-A717-660A356921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FE3F960-7E13-415D-8D50-A80FF5BEAC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02E31DE-52AC-460F-9C58-A62FAE6474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6397A33-8DC6-4065-8383-0762E393E1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F577B24-A5F9-49C9-8A84-34E804E016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3DDB6CD-2346-40E2-BEAE-EAC55933C1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F1762D5-2E72-46C6-A8C5-487DB2CA62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BAAA2C8-1F82-47BA-B7F5-E1589B023C8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394D481-1245-488A-A589-1BCBF6507E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ABE5A8B5-8758-4B7E-A13E-4C491E0ED2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4FE7017-B1CD-4633-BFC0-8A1B57DBC8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4CEC977-4C70-4D34-9553-9AF9E7CC7C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0AD0EB0-ADE6-42ED-978A-97978B1EAF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25FB72A-B53F-42F2-AE6F-6A360C3F61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572FDF2-AA6C-4B64-8F9F-3525B10894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75B940D-51E6-4589-ABDC-71B25524D4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59BC244-6E22-4719-B779-A81E52EE86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2789727-A86F-43B4-8A54-BE8FBCB6E6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5533D25-96E4-4FBB-B6F8-8C1E979B73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84C3DFE-ED45-4A34-9B27-3225AEEC3D4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C8172CD-A2F2-44EF-B86D-68ECEB8201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BEECA4A9-CCE0-4AC2-A77C-81474FA786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  <comment ref="K47" authorId="1" shapeId="0" xr:uid="{75773CB3-F8AF-4571-9944-9F5EF678AA1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motor for wort kettle pump burnt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E74AB7F-C287-4F72-A080-885E61CDA2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51CD398-003D-4343-A422-187E6815DD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F5F78E7-146E-4618-8974-D79E7102B6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8D45BC6-0F4E-4BFA-989C-C35EDBC48E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BA4D6E1-B60A-495D-8A11-C2BC624A04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4C18C44-4AAD-4F13-AFF7-C4E0163F06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9427160-06A4-4042-8CAA-A3A0466CA9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9B0369F-181C-40ED-8BA8-D3D49D1801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D77D0D0-E04F-4EB1-B692-81E8744B76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F8EFB95-EFBA-4057-8A00-1E3E65A69D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FD8538A-C4B3-412E-8380-43B245240C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9" authorId="1" shapeId="0" xr:uid="{9ED4BD9A-D5E9-4FDF-8FB3-A55647F1C3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  <comment ref="B55" authorId="1" shapeId="0" xr:uid="{F09FD4C4-0903-4F23-84EC-667E7D54F9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60B4D60-5243-40EB-9DA3-0A219BE1CE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9E68686-6D5E-4A60-936D-32C650BC3A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0CE57BF-36BB-44AA-A4C5-7FF9BAAAAF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A4F6A6C-FB43-4826-8774-D2C3FE131E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2D777B9-2200-4206-A8FC-64B492D9D1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9C944DC-B761-4EB2-8634-CFB2DDF266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113152E-1E88-4EE5-B395-3E93FCE47E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4F91BEA-D9E3-43A8-99F6-109047A578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8B1B6D3-B04F-4621-B99A-BBF922DEB1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80412B8-46A0-49CB-B0F1-77E9BD17A2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89190B1-5328-46F1-8DC8-DDDF985096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2" authorId="1" shapeId="0" xr:uid="{5E51197E-5801-4EBD-8DFC-ABF248B9BF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975500F-8E40-49F5-9014-1FABAE0100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56D7C4A-66EF-40AF-867A-F3B63145A5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442FD5F-A3C7-41E4-9F1A-FE55BFD616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409E69-6497-4345-94BE-BCCEAFC45F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B733BC-0908-426B-826B-E3CF038483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6A12E92-66E2-4903-B13F-6E579FBFE4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B172908-0B3B-4520-873E-17BD29294B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A223179-5E9D-44B9-9398-83485CE1F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2975A46-C0BB-4A40-BCCE-3A7284767D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8F48E45-D26A-45AF-AF78-3A73EBB6421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9F1B5C7-BBAF-4357-B912-66FFA68776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3" authorId="1" shapeId="0" xr:uid="{6C99FC90-34E2-4D51-A031-DC431CF2BA7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3brews dumped</t>
        </r>
      </text>
    </comment>
    <comment ref="K24" authorId="1" shapeId="0" xr:uid="{A1E5691F-2EBE-4E28-80E8-0C449A0CBE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<sst xmlns="http://schemas.openxmlformats.org/spreadsheetml/2006/main" count="3193" uniqueCount="197">
  <si>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</si>
  <si>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</si>
  <si>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</si>
  <si>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</si>
  <si>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</si>
  <si>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</si>
  <si>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</si>
  <si>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</si>
  <si>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</si>
  <si>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</si>
  <si>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</si>
  <si>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</si>
  <si>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</si>
  <si>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</si>
  <si>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</si>
  <si>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</si>
  <si>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</si>
  <si>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</si>
  <si>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</si>
  <si>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</si>
  <si>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</si>
  <si>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</si>
  <si>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</si>
  <si>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</si>
  <si>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</si>
  <si>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</si>
  <si>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</si>
  <si>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</si>
  <si>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</si>
  <si>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</si>
  <si>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</si>
  <si>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</si>
  <si>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</si>
  <si>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</si>
  <si>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</si>
  <si>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</si>
  <si>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</si>
  <si>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</si>
  <si>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</si>
  <si>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</si>
  <si>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</si>
  <si>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</si>
  <si>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</si>
  <si>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</si>
  <si>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</si>
  <si>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</si>
  <si>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</si>
  <si>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</si>
  <si>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</si>
  <si>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</si>
  <si>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</si>
  <si>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</si>
  <si>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</si>
  <si>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</si>
  <si>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</si>
  <si>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</si>
  <si>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</si>
  <si>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</si>
  <si>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</si>
  <si>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</si>
  <si>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</si>
  <si>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</si>
  <si>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</si>
  <si>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</si>
  <si>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</si>
  <si>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</si>
  <si>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</si>
  <si>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</si>
  <si>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</si>
  <si>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</si>
  <si>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</si>
  <si>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</si>
  <si>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</si>
  <si>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</si>
  <si>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</si>
  <si>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</si>
  <si>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</si>
  <si>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</si>
  <si>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</si>
  <si>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</si>
  <si>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</si>
  <si>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</si>
  <si>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</si>
  <si>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</si>
  <si>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</si>
  <si>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</si>
  <si>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</si>
  <si>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</si>
  <si>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</si>
  <si>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</si>
  <si>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</si>
  <si>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</si>
  <si>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</si>
  <si>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</si>
  <si>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</si>
  <si>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</si>
  <si>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</si>
  <si>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</si>
  <si>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</si>
  <si>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</si>
  <si>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</si>
  <si>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</si>
  <si>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</si>
  <si>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</si>
  <si>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</si>
  <si>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</si>
  <si>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</si>
  <si>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</si>
  <si>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</si>
  <si>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</si>
  <si>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</si>
  <si>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</si>
  <si>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</si>
  <si>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</si>
  <si>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</si>
  <si>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</si>
  <si>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</si>
  <si>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</si>
  <si>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</si>
  <si>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</si>
  <si>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</si>
  <si>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</si>
  <si>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</si>
  <si>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</si>
  <si>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</si>
  <si>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</si>
  <si>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</si>
  <si>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</si>
  <si>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</si>
  <si>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</si>
  <si>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</si>
  <si>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</si>
  <si>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</si>
  <si>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</si>
  <si>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</si>
  <si>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</si>
  <si>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</si>
  <si>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</si>
  <si>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</si>
  <si>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</si>
  <si>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</si>
  <si>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</si>
  <si>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</si>
  <si>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</si>
  <si>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</si>
  <si>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</si>
  <si>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</si>
  <si>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</si>
  <si>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</si>
  <si>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</si>
  <si>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</si>
  <si>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</si>
  <si>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</si>
  <si>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</si>
  <si>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</si>
  <si>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</si>
  <si>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</si>
  <si>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</si>
  <si>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</si>
  <si>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</si>
  <si>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</si>
  <si>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</si>
  <si>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</si>
  <si>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</si>
  <si>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</si>
  <si>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</si>
  <si>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</si>
  <si>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 MALT LOT: Lot #8</t>
  </si>
  <si>
    <t xml:space="preserve">LOT WORT COLOUR: </t>
  </si>
  <si>
    <t>Brews Achieved (30th)</t>
  </si>
  <si>
    <t>BREW DUMPED</t>
  </si>
  <si>
    <t>G. Mason</t>
  </si>
  <si>
    <t>3 SBF</t>
  </si>
  <si>
    <t>1 SBF</t>
  </si>
  <si>
    <t>Brews Achieved (5th)</t>
  </si>
  <si>
    <t>Brews Achieved (6th)</t>
  </si>
  <si>
    <t>Brews Achieved (7th)</t>
  </si>
  <si>
    <t>lautering issues</t>
  </si>
  <si>
    <t>T. Charles</t>
  </si>
  <si>
    <t>D. Emery</t>
  </si>
  <si>
    <t>K.Hosten</t>
  </si>
  <si>
    <t>NO SBF-3.5hls water added</t>
  </si>
  <si>
    <t>2SBF-14hls water aded</t>
  </si>
  <si>
    <t>slow lautering</t>
  </si>
  <si>
    <t>R. Regis</t>
  </si>
  <si>
    <t>4 SBF</t>
  </si>
  <si>
    <t>NO SBF</t>
  </si>
  <si>
    <t>K. Hosten</t>
  </si>
  <si>
    <t>NO SBF- Product diluted</t>
  </si>
  <si>
    <t>K. Neptune</t>
  </si>
  <si>
    <t>2 SBF</t>
  </si>
  <si>
    <t>J. Nelson</t>
  </si>
  <si>
    <t>5 SBF- ICE IN DPV7</t>
  </si>
  <si>
    <t>6 SBF</t>
  </si>
  <si>
    <t>G.Mason</t>
  </si>
  <si>
    <t>motor for wort kettle pump burnt</t>
  </si>
  <si>
    <t>brew held back in mash tun due to lautering issue with previous brew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</si>
</sst>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51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165" fontId="8" fillId="28" borderId="0" xfId="3" applyFont="1" applyFill="1"/>
    <xf numFmtId="165" fontId="23" fillId="28" borderId="13" xfId="3" applyFont="1" applyFill="1" applyBorder="1" applyAlignment="1">
      <alignment horizontal="left"/>
    </xf>
    <xf numFmtId="16" fontId="8" fillId="28" borderId="1" xfId="3" applyNumberFormat="1" applyFont="1" applyFill="1" applyBorder="1" applyAlignment="1">
      <alignment horizontal="center" vertical="center"/>
    </xf>
    <xf numFmtId="0" fontId="22" fillId="28" borderId="1" xfId="3" applyNumberFormat="1" applyFont="1" applyFill="1" applyBorder="1" applyAlignment="1">
      <alignment vertical="top" wrapText="1"/>
    </xf>
    <xf numFmtId="165" fontId="8" fillId="28" borderId="0" xfId="3" applyFont="1" applyFill="1" applyAlignment="1">
      <alignment vertical="center"/>
    </xf>
    <xf numFmtId="166" fontId="10" fillId="28" borderId="0" xfId="3" applyNumberFormat="1" applyFont="1" applyFill="1" applyAlignment="1">
      <alignment vertical="center"/>
    </xf>
    <xf numFmtId="167" fontId="9" fillId="28" borderId="0" xfId="3" applyNumberFormat="1" applyFont="1" applyFill="1" applyAlignment="1">
      <alignment horizontal="right" vertical="center"/>
    </xf>
    <xf numFmtId="2" fontId="9" fillId="0" borderId="84" xfId="3" applyNumberFormat="1" applyFont="1" applyBorder="1" applyAlignment="1">
      <alignment horizontal="center" vertical="center"/>
    </xf>
    <xf numFmtId="165" fontId="83" fillId="0" borderId="13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87" fillId="0" borderId="13" xfId="3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79" fillId="0" borderId="13" xfId="3" applyFont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85" fillId="0" borderId="13" xfId="3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1" fontId="9" fillId="4" borderId="1" xfId="3" applyNumberFormat="1" applyFont="1" applyFill="1" applyBorder="1" applyAlignment="1">
      <alignment horizontal="center" vertical="center"/>
    </xf>
    <xf numFmtId="167" fontId="8" fillId="4" borderId="11" xfId="3" applyNumberFormat="1" applyFont="1" applyFill="1" applyBorder="1" applyAlignment="1">
      <alignment horizontal="center"/>
    </xf>
    <xf numFmtId="167" fontId="21" fillId="4" borderId="11" xfId="3" applyNumberFormat="1" applyFont="1" applyFill="1" applyBorder="1" applyAlignment="1">
      <alignment horizontal="center" vertical="center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8" borderId="2" xfId="3" applyNumberFormat="1" applyFont="1" applyFill="1" applyBorder="1" applyAlignment="1">
      <alignment horizontal="center" vertical="center"/>
    </xf>
    <xf numFmtId="166" fontId="9" fillId="28" borderId="65" xfId="3" applyNumberFormat="1" applyFont="1" applyFill="1" applyBorder="1" applyAlignment="1">
      <alignment horizontal="center" vertical="center"/>
    </xf>
    <xf numFmtId="166" fontId="9" fillId="28" borderId="3" xfId="3" applyNumberFormat="1" applyFont="1" applyFill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10" fillId="3" borderId="1" xfId="3" applyFont="1" applyFill="1" applyBorder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83" fillId="0" borderId="23" xfId="3" applyFont="1" applyBorder="1" applyAlignment="1">
      <alignment horizontal="center" vertical="center"/>
    </xf>
    <xf numFmtId="165" fontId="83" fillId="0" borderId="27" xfId="3" applyFont="1" applyBorder="1" applyAlignment="1">
      <alignment horizontal="center" vertical="center"/>
    </xf>
    <xf numFmtId="165" fontId="83" fillId="0" borderId="34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165" fontId="85" fillId="0" borderId="23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4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4070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66FF"/>
      <color rgb="FFFF0066"/>
      <color rgb="FFFF0000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74" Type="http://schemas.openxmlformats.org/officeDocument/2006/relationships/externalLink" Target="externalLinks/externalLink48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5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externalLink" Target="externalLinks/externalLink46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44.xml"/><Relationship Id="rId75" Type="http://schemas.openxmlformats.org/officeDocument/2006/relationships/externalLink" Target="externalLinks/externalLink4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73" Type="http://schemas.openxmlformats.org/officeDocument/2006/relationships/externalLink" Target="externalLinks/externalLink47.xml"/><Relationship Id="rId78" Type="http://schemas.openxmlformats.org/officeDocument/2006/relationships/theme" Target="theme/theme1.xml"/><Relationship Id="rId8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6" Type="http://schemas.openxmlformats.org/officeDocument/2006/relationships/externalLink" Target="externalLinks/externalLink5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3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ly%20'25%20Daily%20Process%20Report%202025.xlsx" TargetMode="External"/><Relationship Id="rId1" Type="http://schemas.openxmlformats.org/officeDocument/2006/relationships/externalLinkPath" Target="July%20'25%20Daily%20Process%20Report%20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ugust%20'25%20Daily%20Process%20Report%202025.xlsx" TargetMode="External"/><Relationship Id="rId1" Type="http://schemas.openxmlformats.org/officeDocument/2006/relationships/externalLinkPath" Target="August%20'25%20Daily%20Process%20Report%202025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September%20'25%20Daily%20Process%20Report%202025.xlsx" TargetMode="External"/><Relationship Id="rId1" Type="http://schemas.openxmlformats.org/officeDocument/2006/relationships/externalLinkPath" Target="September%20'25%20Daily%20Process%20Report%202025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October%20'25%20Daily%20Process%20Report%202025.xlsx" TargetMode="External"/><Relationship Id="rId1" Type="http://schemas.openxmlformats.org/officeDocument/2006/relationships/externalLinkPath" Target="October%20'25%20Daily%20Process%20Report%202025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November%20'25%20Daily%20Process%20Report%202025.xlsx" TargetMode="External"/><Relationship Id="rId1" Type="http://schemas.openxmlformats.org/officeDocument/2006/relationships/externalLinkPath" Target="November%20'25%20Daily%20Process%20Report%202025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December_2025.xls" TargetMode="External"/><Relationship Id="rId1" Type="http://schemas.openxmlformats.org/officeDocument/2006/relationships/externalLinkPath" Target="/Operations/Brewing/Reports%20Local/Losses%202025/December_202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taMalt - Operator Performance"/>
      <sheetName val="BrewMaterials"/>
      <sheetName val="Brewhouse"/>
      <sheetName val="Process"/>
      <sheetName val="Packaging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V55">
            <v>96.86423362208302</v>
          </cell>
        </row>
        <row r="56">
          <cell r="AV56">
            <v>98.765400463350318</v>
          </cell>
        </row>
        <row r="57">
          <cell r="AV57">
            <v>99.054620267666863</v>
          </cell>
        </row>
        <row r="58">
          <cell r="AV58">
            <v>99.45810140928667</v>
          </cell>
        </row>
        <row r="59">
          <cell r="AV59">
            <v>99.445738552634495</v>
          </cell>
        </row>
        <row r="60">
          <cell r="AV60">
            <v>99.984726394996613</v>
          </cell>
        </row>
        <row r="61">
          <cell r="AV61">
            <v>99.787427077580119</v>
          </cell>
        </row>
        <row r="62">
          <cell r="AV62">
            <v>103.57083663502391</v>
          </cell>
        </row>
        <row r="64">
          <cell r="AV64">
            <v>98.008773140944655</v>
          </cell>
        </row>
        <row r="65">
          <cell r="AV65">
            <v>97.056247900814512</v>
          </cell>
        </row>
        <row r="66">
          <cell r="AV66">
            <v>99.038277060492405</v>
          </cell>
        </row>
        <row r="67">
          <cell r="AV67">
            <v>97.755191484048893</v>
          </cell>
        </row>
        <row r="68">
          <cell r="AV68">
            <v>94.10791616839218</v>
          </cell>
        </row>
        <row r="69">
          <cell r="AV69">
            <v>97.641436216620463</v>
          </cell>
        </row>
        <row r="70">
          <cell r="AV70">
            <v>101.50384828699441</v>
          </cell>
        </row>
        <row r="71">
          <cell r="AV71">
            <v>96.742930981448211</v>
          </cell>
        </row>
        <row r="72">
          <cell r="AV72">
            <v>97.755191484048893</v>
          </cell>
        </row>
        <row r="73">
          <cell r="AV73">
            <v>95.835062582045694</v>
          </cell>
        </row>
        <row r="74">
          <cell r="AV74">
            <v>97.848404232929013</v>
          </cell>
        </row>
        <row r="75">
          <cell r="AV75">
            <v>97.445735902752347</v>
          </cell>
        </row>
        <row r="76">
          <cell r="AV76">
            <v>97.848404232929013</v>
          </cell>
        </row>
        <row r="77">
          <cell r="AV77">
            <v>97.610908885136041</v>
          </cell>
        </row>
        <row r="79">
          <cell r="AV79">
            <v>93.416866927628533</v>
          </cell>
        </row>
        <row r="80">
          <cell r="AV80">
            <v>97.892758653806098</v>
          </cell>
        </row>
        <row r="81">
          <cell r="AV81">
            <v>95.630531037856798</v>
          </cell>
        </row>
        <row r="82">
          <cell r="AV82">
            <v>97.766654522928292</v>
          </cell>
        </row>
        <row r="83">
          <cell r="AV83">
            <v>98.529450361408266</v>
          </cell>
        </row>
        <row r="84">
          <cell r="AV84">
            <v>93.497493079391887</v>
          </cell>
        </row>
        <row r="85">
          <cell r="AV85">
            <v>97.870868652037373</v>
          </cell>
        </row>
        <row r="86">
          <cell r="AV86">
            <v>96.69450110380555</v>
          </cell>
        </row>
        <row r="88">
          <cell r="AV88">
            <v>97.703642027366726</v>
          </cell>
        </row>
        <row r="89">
          <cell r="AV89">
            <v>98.976107779261667</v>
          </cell>
        </row>
        <row r="90">
          <cell r="AV90">
            <v>99.450962406546921</v>
          </cell>
        </row>
        <row r="91">
          <cell r="AV91">
            <v>100.04029918753868</v>
          </cell>
        </row>
        <row r="92">
          <cell r="AV92">
            <v>98.708196280264445</v>
          </cell>
        </row>
        <row r="93">
          <cell r="AV93">
            <v>97.776299746351896</v>
          </cell>
        </row>
        <row r="94">
          <cell r="AV94">
            <v>92.807991832411261</v>
          </cell>
        </row>
        <row r="95">
          <cell r="AV95">
            <v>97.805496183349234</v>
          </cell>
        </row>
        <row r="97">
          <cell r="AV97">
            <v>96.384142627803314</v>
          </cell>
        </row>
        <row r="98">
          <cell r="AV98">
            <v>98.724257868818427</v>
          </cell>
        </row>
        <row r="99">
          <cell r="AV99">
            <v>97.1978696383959</v>
          </cell>
        </row>
        <row r="100">
          <cell r="AV100">
            <v>98.865271982009801</v>
          </cell>
        </row>
        <row r="101">
          <cell r="AV101">
            <v>97.852052364795099</v>
          </cell>
        </row>
        <row r="102">
          <cell r="AV102">
            <v>101.48068903880889</v>
          </cell>
        </row>
        <row r="103">
          <cell r="AV103">
            <v>101.36729475283848</v>
          </cell>
        </row>
        <row r="104">
          <cell r="AV104">
            <v>95.481525856829805</v>
          </cell>
        </row>
        <row r="106">
          <cell r="A106" t="str">
            <v>VM091</v>
          </cell>
        </row>
        <row r="107">
          <cell r="A107" t="str">
            <v>VM092</v>
          </cell>
          <cell r="R107">
            <v>58</v>
          </cell>
          <cell r="S107">
            <v>12.095808383233523</v>
          </cell>
          <cell r="V107">
            <v>1.0833333333333333</v>
          </cell>
          <cell r="W107">
            <v>1.2284722222222222</v>
          </cell>
          <cell r="X107">
            <v>85</v>
          </cell>
          <cell r="AB107">
            <v>0.28055555555555556</v>
          </cell>
          <cell r="AE107">
            <v>50.1</v>
          </cell>
          <cell r="AH107">
            <v>14.3</v>
          </cell>
          <cell r="AJ107">
            <v>47.4</v>
          </cell>
          <cell r="AV107">
            <v>96.152699611373492</v>
          </cell>
          <cell r="AW107">
            <v>96.178035323243918</v>
          </cell>
          <cell r="AZ107" t="str">
            <v>R.Sookram</v>
          </cell>
        </row>
        <row r="108">
          <cell r="A108" t="str">
            <v>VM093</v>
          </cell>
          <cell r="R108">
            <v>60</v>
          </cell>
          <cell r="S108">
            <v>8.7025948103792548</v>
          </cell>
          <cell r="V108">
            <v>0.19027777777777777</v>
          </cell>
          <cell r="W108">
            <v>0.32777777777777778</v>
          </cell>
          <cell r="X108">
            <v>83</v>
          </cell>
          <cell r="AB108">
            <v>0.27569444444444446</v>
          </cell>
          <cell r="AE108">
            <v>50.1</v>
          </cell>
          <cell r="AH108">
            <v>14.3</v>
          </cell>
          <cell r="AJ108">
            <v>47</v>
          </cell>
          <cell r="AV108">
            <v>95.341284424779616</v>
          </cell>
          <cell r="AW108">
            <v>95.366406333174339</v>
          </cell>
          <cell r="AZ108" t="str">
            <v>R.Sookram</v>
          </cell>
        </row>
        <row r="109">
          <cell r="A109" t="str">
            <v>VM094</v>
          </cell>
          <cell r="R109">
            <v>61</v>
          </cell>
          <cell r="S109">
            <v>10.319999999999993</v>
          </cell>
          <cell r="V109">
            <v>0.30138888888888887</v>
          </cell>
          <cell r="W109">
            <v>0.43888888888888888</v>
          </cell>
          <cell r="X109">
            <v>77</v>
          </cell>
          <cell r="AB109">
            <v>0.28263888888888888</v>
          </cell>
          <cell r="AE109">
            <v>50</v>
          </cell>
          <cell r="AH109">
            <v>14.4</v>
          </cell>
          <cell r="AJ109">
            <v>47.2</v>
          </cell>
          <cell r="AV109">
            <v>96.709535020269172</v>
          </cell>
          <cell r="AW109">
            <v>96.734806023569249</v>
          </cell>
          <cell r="AZ109" t="str">
            <v>R.Sookram</v>
          </cell>
        </row>
        <row r="110">
          <cell r="A110" t="str">
            <v>VM095</v>
          </cell>
          <cell r="R110">
            <v>60</v>
          </cell>
          <cell r="S110">
            <v>5.5200000000000102</v>
          </cell>
          <cell r="V110">
            <v>0.3972222222222222</v>
          </cell>
          <cell r="W110">
            <v>0.52986111111111112</v>
          </cell>
          <cell r="X110">
            <v>74</v>
          </cell>
          <cell r="AB110">
            <v>0.26944444444444443</v>
          </cell>
          <cell r="AE110">
            <v>50</v>
          </cell>
          <cell r="AH110">
            <v>14.5</v>
          </cell>
          <cell r="AJ110">
            <v>47.3</v>
          </cell>
          <cell r="AV110">
            <v>97.716943840911028</v>
          </cell>
          <cell r="AW110">
            <v>97.742370936663093</v>
          </cell>
          <cell r="AZ110" t="str">
            <v>K. Benjamin</v>
          </cell>
        </row>
        <row r="111">
          <cell r="A111" t="str">
            <v>VM096</v>
          </cell>
          <cell r="R111">
            <v>60</v>
          </cell>
          <cell r="S111">
            <v>6.719999999999998</v>
          </cell>
          <cell r="V111">
            <v>0.49027777777777776</v>
          </cell>
          <cell r="W111">
            <v>0.62916666666666665</v>
          </cell>
          <cell r="X111">
            <v>81</v>
          </cell>
          <cell r="AB111">
            <v>0.27499999999999997</v>
          </cell>
          <cell r="AE111">
            <v>50</v>
          </cell>
          <cell r="AH111">
            <v>14.3</v>
          </cell>
          <cell r="AJ111">
            <v>47.47</v>
          </cell>
          <cell r="AV111">
            <v>96.596804334704856</v>
          </cell>
          <cell r="AW111">
            <v>96.621939957009616</v>
          </cell>
          <cell r="AZ111" t="str">
            <v>K. Benjamin</v>
          </cell>
        </row>
        <row r="112">
          <cell r="A112" t="str">
            <v>VM097</v>
          </cell>
          <cell r="R112">
            <v>60</v>
          </cell>
          <cell r="S112">
            <v>6.1200000000000045</v>
          </cell>
          <cell r="V112">
            <v>0.59236111111111112</v>
          </cell>
          <cell r="W112">
            <v>0.73541666666666672</v>
          </cell>
          <cell r="X112">
            <v>85</v>
          </cell>
          <cell r="AB112">
            <v>0.28750000000000003</v>
          </cell>
          <cell r="AE112">
            <v>50</v>
          </cell>
          <cell r="AH112">
            <v>14.3</v>
          </cell>
          <cell r="AJ112">
            <v>48</v>
          </cell>
          <cell r="AV112">
            <v>97.675302466101385</v>
          </cell>
          <cell r="AW112">
            <v>97.70071872627895</v>
          </cell>
          <cell r="AZ112" t="str">
            <v>K. Benjamin</v>
          </cell>
        </row>
        <row r="113">
          <cell r="A113" t="str">
            <v>VM098</v>
          </cell>
          <cell r="R113">
            <v>60</v>
          </cell>
          <cell r="S113">
            <v>5.9199999999999875</v>
          </cell>
          <cell r="V113">
            <v>0.68888888888888888</v>
          </cell>
          <cell r="W113">
            <v>0.82777777777777772</v>
          </cell>
          <cell r="X113">
            <v>85</v>
          </cell>
          <cell r="AB113">
            <v>0.28611111111111109</v>
          </cell>
          <cell r="AE113">
            <v>50</v>
          </cell>
          <cell r="AH113">
            <v>14.6</v>
          </cell>
          <cell r="AJ113">
            <v>47.3</v>
          </cell>
          <cell r="AV113">
            <v>98.521139833975539</v>
          </cell>
          <cell r="AW113">
            <v>98.546667931339343</v>
          </cell>
          <cell r="AZ113" t="str">
            <v>R. Regis</v>
          </cell>
        </row>
        <row r="114">
          <cell r="A114" t="str">
            <v>VM099</v>
          </cell>
          <cell r="R114">
            <v>62</v>
          </cell>
          <cell r="S114">
            <v>5.5200000000000102</v>
          </cell>
          <cell r="V114">
            <v>0.79097222222222219</v>
          </cell>
          <cell r="W114">
            <v>0.91666666666666663</v>
          </cell>
          <cell r="X114">
            <v>86</v>
          </cell>
          <cell r="AB114">
            <v>0.27083333333333326</v>
          </cell>
          <cell r="AE114">
            <v>50</v>
          </cell>
          <cell r="AH114">
            <v>14.3</v>
          </cell>
          <cell r="AJ114">
            <v>48.4</v>
          </cell>
          <cell r="AV114">
            <v>98.695689814836541</v>
          </cell>
          <cell r="AW114">
            <v>98.721154461854439</v>
          </cell>
          <cell r="AZ114" t="str">
            <v>R. Regis</v>
          </cell>
        </row>
        <row r="115">
          <cell r="A115" t="str">
            <v>VM100</v>
          </cell>
          <cell r="R115">
            <v>61</v>
          </cell>
          <cell r="S115">
            <v>6.1200000000000045</v>
          </cell>
          <cell r="V115">
            <v>0.8881944444444444</v>
          </cell>
          <cell r="W115">
            <v>1.0284722222222222</v>
          </cell>
          <cell r="X115">
            <v>88</v>
          </cell>
          <cell r="AB115">
            <v>0.27847222222222223</v>
          </cell>
          <cell r="AE115">
            <v>50</v>
          </cell>
          <cell r="AH115">
            <v>14.2</v>
          </cell>
          <cell r="AJ115">
            <v>47.9</v>
          </cell>
          <cell r="AV115">
            <v>96.358675644942622</v>
          </cell>
          <cell r="AW115">
            <v>96.384170633931603</v>
          </cell>
          <cell r="AZ115" t="str">
            <v>R. Regis</v>
          </cell>
        </row>
        <row r="116">
          <cell r="A116" t="str">
            <v>VM101</v>
          </cell>
          <cell r="R116">
            <v>58</v>
          </cell>
          <cell r="S116">
            <v>6.7065868263473192</v>
          </cell>
          <cell r="V116">
            <v>1.0284722222222222</v>
          </cell>
          <cell r="W116">
            <v>1.1645833333333333</v>
          </cell>
          <cell r="X116">
            <v>82</v>
          </cell>
          <cell r="AB116">
            <v>0.30347222222222214</v>
          </cell>
          <cell r="AE116">
            <v>50.1</v>
          </cell>
          <cell r="AH116">
            <v>14.3</v>
          </cell>
          <cell r="AJ116">
            <v>47.8</v>
          </cell>
          <cell r="AV116">
            <v>97.166707759262266</v>
          </cell>
          <cell r="AW116">
            <v>97.192098225589376</v>
          </cell>
          <cell r="AZ116" t="str">
            <v>R.Sookram</v>
          </cell>
        </row>
        <row r="117">
          <cell r="A117" t="str">
            <v>VM102</v>
          </cell>
          <cell r="R117">
            <v>59</v>
          </cell>
          <cell r="S117">
            <v>9.3199999999999932</v>
          </cell>
          <cell r="V117">
            <v>1.1493055555555556</v>
          </cell>
          <cell r="W117">
            <v>1.3125</v>
          </cell>
          <cell r="X117">
            <v>84</v>
          </cell>
          <cell r="AB117">
            <v>0.30208333333333326</v>
          </cell>
          <cell r="AE117">
            <v>50</v>
          </cell>
          <cell r="AH117">
            <v>14.2</v>
          </cell>
          <cell r="AJ117">
            <v>46.09</v>
          </cell>
          <cell r="AV117">
            <v>93.12538003208418</v>
          </cell>
          <cell r="AW117">
            <v>93.22702997497224</v>
          </cell>
          <cell r="AZ117" t="str">
            <v>R. Regis</v>
          </cell>
        </row>
        <row r="118">
          <cell r="A118" t="str">
            <v>VM103</v>
          </cell>
          <cell r="S118">
            <v>6.5069860279441079</v>
          </cell>
          <cell r="W118">
            <v>0.4</v>
          </cell>
          <cell r="X118">
            <v>86</v>
          </cell>
          <cell r="AB118">
            <v>0.33402777777777781</v>
          </cell>
          <cell r="AE118">
            <v>50.1</v>
          </cell>
          <cell r="AH118">
            <v>14.5</v>
          </cell>
          <cell r="AJ118">
            <v>47.64</v>
          </cell>
          <cell r="AV118">
            <v>98.028582302158853</v>
          </cell>
          <cell r="AW118">
            <v>98.137393705694635</v>
          </cell>
          <cell r="AZ118" t="str">
            <v>R. Regis</v>
          </cell>
        </row>
        <row r="119">
          <cell r="A119" t="str">
            <v>VM104</v>
          </cell>
          <cell r="S119">
            <v>7.3053892215568936</v>
          </cell>
          <cell r="V119">
            <v>0.35069444444444442</v>
          </cell>
          <cell r="W119">
            <v>0.49791666666666667</v>
          </cell>
          <cell r="X119">
            <v>87</v>
          </cell>
          <cell r="AB119">
            <v>0.28611111111111109</v>
          </cell>
          <cell r="AE119">
            <v>50.1</v>
          </cell>
          <cell r="AH119">
            <v>14.3</v>
          </cell>
          <cell r="AJ119">
            <v>48.47</v>
          </cell>
          <cell r="AV119">
            <v>98.342963584113747</v>
          </cell>
          <cell r="AW119">
            <v>98.451671561811253</v>
          </cell>
          <cell r="AZ119" t="str">
            <v>R.Sookram</v>
          </cell>
        </row>
        <row r="120">
          <cell r="A120" t="str">
            <v>VM105</v>
          </cell>
          <cell r="R120">
            <v>58</v>
          </cell>
          <cell r="S120">
            <v>9.5009980039920112</v>
          </cell>
          <cell r="V120">
            <v>0.52708333333333335</v>
          </cell>
          <cell r="W120">
            <v>0.65972222222222221</v>
          </cell>
          <cell r="X120">
            <v>82</v>
          </cell>
          <cell r="AB120">
            <v>0.2638888888888889</v>
          </cell>
          <cell r="AE120">
            <v>50.1</v>
          </cell>
          <cell r="AH120">
            <v>14.2</v>
          </cell>
          <cell r="AJ120">
            <v>46</v>
          </cell>
          <cell r="AV120">
            <v>92.7486882007221</v>
          </cell>
          <cell r="AW120">
            <v>92.850784741157824</v>
          </cell>
          <cell r="AZ120" t="str">
            <v>R.Sookram</v>
          </cell>
        </row>
        <row r="121">
          <cell r="A121" t="str">
            <v>VM106</v>
          </cell>
          <cell r="R121">
            <v>60</v>
          </cell>
          <cell r="S121">
            <v>7.3199999999999932</v>
          </cell>
          <cell r="V121">
            <v>0.62777777777777777</v>
          </cell>
          <cell r="W121">
            <v>0.77569444444444446</v>
          </cell>
          <cell r="X121">
            <v>85</v>
          </cell>
          <cell r="AB121">
            <v>0.27569444444444446</v>
          </cell>
          <cell r="AE121">
            <v>50</v>
          </cell>
          <cell r="AH121">
            <v>14.4</v>
          </cell>
          <cell r="AJ121">
            <v>47.51</v>
          </cell>
          <cell r="AV121">
            <v>97.161230777271314</v>
          </cell>
          <cell r="AW121">
            <v>97.268632471540613</v>
          </cell>
          <cell r="AZ121" t="str">
            <v>K. Benjamin</v>
          </cell>
        </row>
        <row r="122">
          <cell r="A122" t="str">
            <v>VM107</v>
          </cell>
          <cell r="R122">
            <v>62</v>
          </cell>
          <cell r="S122">
            <v>3.1200000000000045</v>
          </cell>
          <cell r="V122">
            <v>0.71736111111111112</v>
          </cell>
          <cell r="W122">
            <v>0.85972222222222228</v>
          </cell>
          <cell r="X122">
            <v>79</v>
          </cell>
          <cell r="AB122">
            <v>0.27986111111111112</v>
          </cell>
          <cell r="AE122">
            <v>50</v>
          </cell>
          <cell r="AH122">
            <v>14.2</v>
          </cell>
          <cell r="AJ122">
            <v>47.14</v>
          </cell>
          <cell r="AV122">
            <v>95.14697517548656</v>
          </cell>
          <cell r="AW122">
            <v>95.251272202737709</v>
          </cell>
          <cell r="AZ122" t="str">
            <v>K. Benjamin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December '25"/>
      <sheetName val="Summary November '25"/>
      <sheetName val="Summary October '25"/>
      <sheetName val="Summary September '25"/>
      <sheetName val="Summary August '25 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U580">
            <v>102.69776412900535</v>
          </cell>
        </row>
        <row r="581">
          <cell r="AU581">
            <v>97.88686631599785</v>
          </cell>
        </row>
        <row r="582">
          <cell r="AU582">
            <v>98.571257731235903</v>
          </cell>
        </row>
        <row r="583">
          <cell r="AU583">
            <v>98.571043835715642</v>
          </cell>
        </row>
        <row r="584">
          <cell r="AU584">
            <v>95.185471356899995</v>
          </cell>
        </row>
        <row r="585">
          <cell r="AU585">
            <v>99.17946707080003</v>
          </cell>
        </row>
        <row r="586">
          <cell r="AU586">
            <v>99.543727878925864</v>
          </cell>
        </row>
        <row r="587">
          <cell r="AU587">
            <v>97.889917934748922</v>
          </cell>
        </row>
        <row r="588">
          <cell r="AU588">
            <v>95.859275440725924</v>
          </cell>
        </row>
        <row r="589">
          <cell r="AU589">
            <v>96.645007206633522</v>
          </cell>
        </row>
        <row r="590">
          <cell r="AU590">
            <v>97.963146495004423</v>
          </cell>
        </row>
        <row r="591">
          <cell r="AU591">
            <v>99.511669092016191</v>
          </cell>
        </row>
        <row r="592">
          <cell r="AU592">
            <v>98.972456085637489</v>
          </cell>
        </row>
        <row r="593">
          <cell r="AU593">
            <v>98.415610512021729</v>
          </cell>
        </row>
        <row r="594">
          <cell r="AU594">
            <v>92.972627372087828</v>
          </cell>
        </row>
        <row r="595">
          <cell r="AU595">
            <v>98.283084887352516</v>
          </cell>
        </row>
        <row r="596">
          <cell r="AU596">
            <v>95.916153578466137</v>
          </cell>
        </row>
        <row r="597">
          <cell r="AU597">
            <v>99.582809845661828</v>
          </cell>
        </row>
        <row r="598">
          <cell r="AU598">
            <v>98.686815200406429</v>
          </cell>
        </row>
        <row r="599">
          <cell r="AU599">
            <v>98.396971333088018</v>
          </cell>
        </row>
        <row r="600">
          <cell r="AU600">
            <v>99.186447868618828</v>
          </cell>
        </row>
        <row r="601">
          <cell r="AU601">
            <v>98.626813340527619</v>
          </cell>
        </row>
        <row r="602">
          <cell r="AU602">
            <v>99.453237334018112</v>
          </cell>
        </row>
        <row r="603">
          <cell r="AU603">
            <v>97.788737373526942</v>
          </cell>
        </row>
        <row r="604">
          <cell r="AU604">
            <v>102.03955950290941</v>
          </cell>
        </row>
        <row r="605">
          <cell r="AU605">
            <v>102.10932922097018</v>
          </cell>
        </row>
        <row r="606">
          <cell r="AU606">
            <v>100.02277176135468</v>
          </cell>
        </row>
        <row r="607">
          <cell r="AU607">
            <v>99.31851681214593</v>
          </cell>
        </row>
        <row r="608">
          <cell r="AU608">
            <v>104.17809812254752</v>
          </cell>
        </row>
        <row r="609">
          <cell r="AU609">
            <v>99.244839917035478</v>
          </cell>
        </row>
        <row r="610">
          <cell r="AU610">
            <v>100.18083762081626</v>
          </cell>
        </row>
        <row r="611">
          <cell r="AU611">
            <v>98.931213213201133</v>
          </cell>
        </row>
        <row r="612">
          <cell r="AU612">
            <v>95.871754585259907</v>
          </cell>
        </row>
        <row r="613">
          <cell r="AU613">
            <v>96.469806047070719</v>
          </cell>
        </row>
        <row r="614">
          <cell r="AU614">
            <v>99.97962239398484</v>
          </cell>
        </row>
        <row r="615">
          <cell r="AU615">
            <v>100.43692372257216</v>
          </cell>
        </row>
        <row r="616">
          <cell r="AU616">
            <v>103.89768567471857</v>
          </cell>
        </row>
        <row r="617">
          <cell r="AU617">
            <v>99.462259754574006</v>
          </cell>
        </row>
        <row r="618">
          <cell r="AU618">
            <v>105.95914769207411</v>
          </cell>
        </row>
        <row r="619">
          <cell r="AU619">
            <v>99.880376931714494</v>
          </cell>
        </row>
        <row r="620">
          <cell r="AU620">
            <v>97.789021546474856</v>
          </cell>
        </row>
        <row r="621">
          <cell r="AU621">
            <v>99.121390865142828</v>
          </cell>
        </row>
        <row r="622">
          <cell r="AU622">
            <v>100.60238313741721</v>
          </cell>
        </row>
        <row r="623">
          <cell r="AU623">
            <v>99.619937989590866</v>
          </cell>
        </row>
        <row r="624">
          <cell r="AU624">
            <v>96.02723351981524</v>
          </cell>
        </row>
        <row r="625">
          <cell r="AU625">
            <v>100.34637549466056</v>
          </cell>
        </row>
        <row r="626">
          <cell r="AU626">
            <v>99.024059657078709</v>
          </cell>
        </row>
        <row r="627">
          <cell r="AU627">
            <v>100.72779578911953</v>
          </cell>
        </row>
        <row r="628">
          <cell r="AU628">
            <v>95.062413786977345</v>
          </cell>
        </row>
        <row r="629">
          <cell r="AU629">
            <v>100.19998827600605</v>
          </cell>
        </row>
        <row r="630">
          <cell r="AU630">
            <v>96.770453619089452</v>
          </cell>
        </row>
        <row r="631">
          <cell r="AU631">
            <v>98.89554470892142</v>
          </cell>
        </row>
        <row r="632">
          <cell r="AU632">
            <v>100.67434879413655</v>
          </cell>
        </row>
        <row r="633">
          <cell r="AU633">
            <v>100.86706866858944</v>
          </cell>
        </row>
        <row r="634">
          <cell r="AU634">
            <v>98.908486249601395</v>
          </cell>
        </row>
        <row r="635">
          <cell r="AU635">
            <v>97.04819842597729</v>
          </cell>
        </row>
        <row r="636">
          <cell r="AU636">
            <v>94.762519708980534</v>
          </cell>
        </row>
        <row r="637">
          <cell r="AU637">
            <v>97.914703316763664</v>
          </cell>
        </row>
        <row r="638">
          <cell r="AU638">
            <v>99.055189518738786</v>
          </cell>
        </row>
        <row r="639">
          <cell r="AU639">
            <v>99.280004783298395</v>
          </cell>
        </row>
        <row r="640">
          <cell r="AU640">
            <v>97.703493169177563</v>
          </cell>
        </row>
        <row r="641">
          <cell r="AU641">
            <v>98.395012844387324</v>
          </cell>
        </row>
        <row r="642">
          <cell r="AU642">
            <v>99.267754869638566</v>
          </cell>
        </row>
        <row r="643">
          <cell r="AU643">
            <v>98.363616167337554</v>
          </cell>
        </row>
        <row r="644">
          <cell r="AU644">
            <v>95.518861174528027</v>
          </cell>
        </row>
        <row r="645">
          <cell r="AU645">
            <v>97.110774474396919</v>
          </cell>
        </row>
        <row r="646">
          <cell r="AU646">
            <v>99.389923122874848</v>
          </cell>
        </row>
        <row r="647">
          <cell r="AU647">
            <v>97.540187032709667</v>
          </cell>
        </row>
        <row r="648">
          <cell r="AU648">
            <v>97.365271655099377</v>
          </cell>
        </row>
        <row r="649">
          <cell r="AU649">
            <v>97.631449601667157</v>
          </cell>
        </row>
        <row r="650">
          <cell r="AU650">
            <v>96.689090831338149</v>
          </cell>
        </row>
        <row r="651">
          <cell r="AU651">
            <v>97.882815113244646</v>
          </cell>
        </row>
        <row r="652">
          <cell r="AU652">
            <v>96.445959569089808</v>
          </cell>
        </row>
        <row r="655">
          <cell r="AU655">
            <v>96.304712396353338</v>
          </cell>
        </row>
        <row r="656">
          <cell r="AU656">
            <v>99.118181278953728</v>
          </cell>
        </row>
        <row r="657">
          <cell r="AU657">
            <v>97.615120353834655</v>
          </cell>
        </row>
        <row r="658">
          <cell r="AU658">
            <v>103.15419336170059</v>
          </cell>
        </row>
        <row r="659">
          <cell r="AU659">
            <v>98.649637600523405</v>
          </cell>
        </row>
        <row r="660">
          <cell r="AU660">
            <v>97.957124540291332</v>
          </cell>
        </row>
        <row r="661">
          <cell r="AU661">
            <v>96.012096709224608</v>
          </cell>
        </row>
        <row r="662">
          <cell r="AU662">
            <v>98.848570813828061</v>
          </cell>
        </row>
        <row r="663">
          <cell r="AU663">
            <v>95.560563500415711</v>
          </cell>
        </row>
        <row r="664">
          <cell r="AU664">
            <v>96.767185693620888</v>
          </cell>
        </row>
        <row r="665">
          <cell r="AU665">
            <v>98.867593495342305</v>
          </cell>
        </row>
        <row r="666">
          <cell r="AU666">
            <v>97.323462586589443</v>
          </cell>
        </row>
        <row r="667">
          <cell r="AU667">
            <v>99.15607004057388</v>
          </cell>
        </row>
        <row r="668">
          <cell r="AU668">
            <v>97.637464665363979</v>
          </cell>
        </row>
        <row r="669">
          <cell r="AU669">
            <v>97.705873048619281</v>
          </cell>
        </row>
        <row r="670">
          <cell r="AU670">
            <v>94.605058854812228</v>
          </cell>
        </row>
        <row r="671">
          <cell r="AU671">
            <v>95.083980735081909</v>
          </cell>
        </row>
        <row r="672">
          <cell r="AU672">
            <v>98.919122365093997</v>
          </cell>
        </row>
        <row r="673">
          <cell r="AU673">
            <v>97.638634437393492</v>
          </cell>
        </row>
        <row r="674">
          <cell r="AU674">
            <v>98.930528450895224</v>
          </cell>
        </row>
        <row r="675">
          <cell r="AU675">
            <v>94.474085231602828</v>
          </cell>
        </row>
        <row r="676">
          <cell r="AU676">
            <v>94.381470916534838</v>
          </cell>
        </row>
        <row r="677">
          <cell r="AU677">
            <v>96.558973422687743</v>
          </cell>
        </row>
        <row r="678">
          <cell r="AU678">
            <v>97.902606175842621</v>
          </cell>
        </row>
        <row r="679">
          <cell r="AU679">
            <v>95.140303221190877</v>
          </cell>
        </row>
        <row r="680">
          <cell r="AU680">
            <v>94.898144488922568</v>
          </cell>
        </row>
        <row r="681">
          <cell r="AU681">
            <v>99.426283632825474</v>
          </cell>
        </row>
        <row r="682">
          <cell r="AU682">
            <v>91.882136575823367</v>
          </cell>
        </row>
        <row r="683">
          <cell r="AU683">
            <v>112.50466711601209</v>
          </cell>
        </row>
        <row r="684">
          <cell r="AU684">
            <v>95.622664620561409</v>
          </cell>
        </row>
        <row r="685">
          <cell r="AU685">
            <v>92.823695592109161</v>
          </cell>
        </row>
        <row r="686">
          <cell r="AU686">
            <v>92.782356776262588</v>
          </cell>
        </row>
        <row r="687">
          <cell r="AU687">
            <v>93.553154889493129</v>
          </cell>
        </row>
        <row r="688">
          <cell r="AU688">
            <v>86.147235929491302</v>
          </cell>
        </row>
        <row r="689">
          <cell r="AU689">
            <v>100.87711898473853</v>
          </cell>
        </row>
        <row r="690">
          <cell r="AU690">
            <v>100.18232401839731</v>
          </cell>
        </row>
        <row r="691">
          <cell r="AU691">
            <v>99.246837552545273</v>
          </cell>
        </row>
        <row r="692">
          <cell r="AU692">
            <v>92.680701282459751</v>
          </cell>
        </row>
        <row r="693">
          <cell r="AU693">
            <v>93.065078130770544</v>
          </cell>
        </row>
        <row r="694">
          <cell r="AU694">
            <v>94.459926054325564</v>
          </cell>
        </row>
        <row r="695">
          <cell r="AU695">
            <v>92.774524142416354</v>
          </cell>
        </row>
        <row r="696">
          <cell r="AU696">
            <v>93.352893936370009</v>
          </cell>
        </row>
        <row r="697">
          <cell r="AU697">
            <v>98.340629704081778</v>
          </cell>
        </row>
        <row r="698">
          <cell r="AU698">
            <v>92.796721886775444</v>
          </cell>
        </row>
        <row r="699">
          <cell r="AU699">
            <v>94.00701375647705</v>
          </cell>
        </row>
        <row r="700">
          <cell r="AU700">
            <v>94.62095793854931</v>
          </cell>
        </row>
        <row r="701">
          <cell r="AU701">
            <v>93.044640016207893</v>
          </cell>
        </row>
        <row r="702">
          <cell r="AU702">
            <v>93.369220627052428</v>
          </cell>
        </row>
        <row r="703">
          <cell r="AU703">
            <v>99.089598150267804</v>
          </cell>
        </row>
        <row r="704">
          <cell r="AU704">
            <v>93.045734095158593</v>
          </cell>
        </row>
        <row r="705">
          <cell r="AU705">
            <v>96.969115359934918</v>
          </cell>
        </row>
        <row r="706">
          <cell r="AU706">
            <v>99.506348908438042</v>
          </cell>
        </row>
        <row r="707">
          <cell r="AU707">
            <v>99.772692532303708</v>
          </cell>
        </row>
        <row r="708">
          <cell r="AU708">
            <v>102.73068573958028</v>
          </cell>
        </row>
        <row r="709">
          <cell r="AU709">
            <v>102.76795002442545</v>
          </cell>
        </row>
        <row r="710">
          <cell r="AU710">
            <v>98.105830728967618</v>
          </cell>
        </row>
        <row r="711">
          <cell r="AU711">
            <v>96.329138070428243</v>
          </cell>
        </row>
        <row r="712">
          <cell r="AU712">
            <v>94.406883962835934</v>
          </cell>
        </row>
        <row r="713">
          <cell r="AU713">
            <v>91.254953718205954</v>
          </cell>
        </row>
        <row r="714">
          <cell r="AU714">
            <v>100.66658270876239</v>
          </cell>
        </row>
        <row r="715">
          <cell r="AU715">
            <v>95.672180304079035</v>
          </cell>
        </row>
        <row r="716">
          <cell r="AU716">
            <v>100.24168624444627</v>
          </cell>
        </row>
        <row r="717">
          <cell r="AU717">
            <v>95.855441016502525</v>
          </cell>
        </row>
        <row r="718">
          <cell r="AU718">
            <v>95.829213866646711</v>
          </cell>
        </row>
        <row r="719">
          <cell r="AU719">
            <v>96.5946434748966</v>
          </cell>
        </row>
        <row r="720">
          <cell r="AU720">
            <v>98.766868880380287</v>
          </cell>
        </row>
        <row r="721">
          <cell r="AU721">
            <v>92.984654156961994</v>
          </cell>
        </row>
        <row r="722">
          <cell r="AU722">
            <v>93.891733112726655</v>
          </cell>
        </row>
        <row r="723">
          <cell r="AU723">
            <v>95.328941787599831</v>
          </cell>
        </row>
        <row r="724">
          <cell r="AU724">
            <v>90.068244804867078</v>
          </cell>
        </row>
        <row r="725">
          <cell r="AU725">
            <v>94.067285834427324</v>
          </cell>
        </row>
        <row r="726">
          <cell r="AU726">
            <v>97.447717155036315</v>
          </cell>
        </row>
        <row r="727">
          <cell r="AU727">
            <v>96.91430580541217</v>
          </cell>
        </row>
        <row r="728">
          <cell r="AU728">
            <v>98.270733122829682</v>
          </cell>
        </row>
        <row r="729">
          <cell r="AU729">
            <v>100.68465189715201</v>
          </cell>
        </row>
        <row r="730">
          <cell r="AU730">
            <v>97.576513945686116</v>
          </cell>
        </row>
        <row r="731">
          <cell r="AU731">
            <v>100.1904434842934</v>
          </cell>
        </row>
        <row r="732">
          <cell r="AU732">
            <v>96.382789717284254</v>
          </cell>
        </row>
        <row r="733">
          <cell r="AU733">
            <v>92.804231078083191</v>
          </cell>
        </row>
        <row r="734">
          <cell r="AU734">
            <v>97.518932621613743</v>
          </cell>
        </row>
        <row r="735">
          <cell r="AU735">
            <v>95.319316778775942</v>
          </cell>
        </row>
        <row r="736">
          <cell r="AU736">
            <v>96.013932215448122</v>
          </cell>
        </row>
        <row r="737">
          <cell r="AU737">
            <v>96.039117326010768</v>
          </cell>
        </row>
        <row r="738">
          <cell r="AU738">
            <v>98.325106629636323</v>
          </cell>
        </row>
        <row r="740">
          <cell r="A740" t="str">
            <v>CA631</v>
          </cell>
        </row>
        <row r="741">
          <cell r="A741" t="str">
            <v>CA632</v>
          </cell>
        </row>
        <row r="742">
          <cell r="A742" t="str">
            <v>CA633</v>
          </cell>
        </row>
        <row r="743">
          <cell r="A743" t="str">
            <v>CA634</v>
          </cell>
        </row>
        <row r="744">
          <cell r="A744" t="str">
            <v>CA635</v>
          </cell>
        </row>
        <row r="745">
          <cell r="A745" t="str">
            <v>CA636</v>
          </cell>
        </row>
        <row r="746">
          <cell r="A746" t="str">
            <v>CA637</v>
          </cell>
        </row>
        <row r="747">
          <cell r="A747" t="str">
            <v>CA638</v>
          </cell>
        </row>
        <row r="748">
          <cell r="A748" t="str">
            <v>CA639</v>
          </cell>
        </row>
        <row r="749">
          <cell r="A749" t="str">
            <v>CA640</v>
          </cell>
        </row>
        <row r="750">
          <cell r="A750" t="str">
            <v>CA641</v>
          </cell>
        </row>
        <row r="751">
          <cell r="A751" t="str">
            <v>CA642</v>
          </cell>
        </row>
        <row r="752">
          <cell r="A752" t="str">
            <v>CA643</v>
          </cell>
        </row>
        <row r="753">
          <cell r="A753" t="str">
            <v>CA644</v>
          </cell>
        </row>
        <row r="754">
          <cell r="A754" t="str">
            <v>CA645</v>
          </cell>
        </row>
        <row r="755">
          <cell r="A755" t="str">
            <v>CA646</v>
          </cell>
        </row>
        <row r="756">
          <cell r="A756" t="str">
            <v>CA647</v>
          </cell>
        </row>
        <row r="757">
          <cell r="A757" t="str">
            <v>CA648</v>
          </cell>
        </row>
        <row r="758">
          <cell r="A758" t="str">
            <v>CA649</v>
          </cell>
        </row>
        <row r="759">
          <cell r="A759" t="str">
            <v>CA650</v>
          </cell>
        </row>
        <row r="760">
          <cell r="A760" t="str">
            <v>CA651</v>
          </cell>
        </row>
        <row r="761">
          <cell r="A761" t="str">
            <v>CA652</v>
          </cell>
        </row>
        <row r="762">
          <cell r="A762" t="str">
            <v>CA653</v>
          </cell>
        </row>
        <row r="763">
          <cell r="A763" t="str">
            <v>CA654</v>
          </cell>
        </row>
        <row r="764">
          <cell r="A764" t="str">
            <v>CA655</v>
          </cell>
        </row>
        <row r="765">
          <cell r="A765" t="str">
            <v>CA656</v>
          </cell>
        </row>
        <row r="766">
          <cell r="A766" t="str">
            <v>CA657</v>
          </cell>
        </row>
        <row r="767">
          <cell r="A767" t="str">
            <v>CA658</v>
          </cell>
        </row>
        <row r="768">
          <cell r="A768" t="str">
            <v>CA659</v>
          </cell>
        </row>
        <row r="769">
          <cell r="A769" t="str">
            <v>CA660</v>
          </cell>
        </row>
        <row r="770">
          <cell r="A770" t="str">
            <v>CA661</v>
          </cell>
        </row>
        <row r="771">
          <cell r="A771" t="str">
            <v>CA662</v>
          </cell>
        </row>
        <row r="772">
          <cell r="A772" t="str">
            <v>CA663</v>
          </cell>
        </row>
        <row r="773">
          <cell r="A773" t="str">
            <v>CA664</v>
          </cell>
        </row>
        <row r="774">
          <cell r="A774" t="str">
            <v>CA665</v>
          </cell>
        </row>
        <row r="775">
          <cell r="A775" t="str">
            <v>CA666</v>
          </cell>
        </row>
        <row r="776">
          <cell r="A776" t="str">
            <v>CA667</v>
          </cell>
        </row>
        <row r="777">
          <cell r="A777" t="str">
            <v>CA668</v>
          </cell>
        </row>
        <row r="778">
          <cell r="A778" t="str">
            <v>CA669</v>
          </cell>
        </row>
        <row r="779">
          <cell r="A779" t="str">
            <v>CA670</v>
          </cell>
        </row>
        <row r="780">
          <cell r="A780" t="str">
            <v>CA671</v>
          </cell>
        </row>
        <row r="781">
          <cell r="A781" t="str">
            <v>CA672</v>
          </cell>
        </row>
        <row r="782">
          <cell r="A782" t="str">
            <v>CA673</v>
          </cell>
        </row>
        <row r="783">
          <cell r="A783" t="str">
            <v>CA674</v>
          </cell>
        </row>
        <row r="784">
          <cell r="A784" t="str">
            <v>CA675</v>
          </cell>
        </row>
        <row r="785">
          <cell r="A785" t="str">
            <v>CA676</v>
          </cell>
        </row>
        <row r="786">
          <cell r="A786" t="str">
            <v>CA677</v>
          </cell>
        </row>
        <row r="787">
          <cell r="A787" t="str">
            <v>CA678</v>
          </cell>
        </row>
        <row r="788">
          <cell r="A788" t="str">
            <v>CA679</v>
          </cell>
        </row>
        <row r="789">
          <cell r="A789" t="str">
            <v>CA680</v>
          </cell>
        </row>
        <row r="790">
          <cell r="A790" t="str">
            <v>CA681</v>
          </cell>
        </row>
        <row r="791">
          <cell r="A791" t="str">
            <v>CA682</v>
          </cell>
        </row>
        <row r="792">
          <cell r="A792" t="str">
            <v>CA683</v>
          </cell>
        </row>
        <row r="793">
          <cell r="A793" t="str">
            <v>CA684</v>
          </cell>
        </row>
        <row r="794">
          <cell r="A794" t="str">
            <v>CA685</v>
          </cell>
        </row>
        <row r="795">
          <cell r="A795" t="str">
            <v>CA686</v>
          </cell>
        </row>
        <row r="796">
          <cell r="A796" t="str">
            <v>CA687</v>
          </cell>
        </row>
        <row r="797">
          <cell r="A797" t="str">
            <v>CA688</v>
          </cell>
        </row>
        <row r="798">
          <cell r="A798" t="str">
            <v>CA689</v>
          </cell>
        </row>
        <row r="799">
          <cell r="A799" t="str">
            <v>CA690</v>
          </cell>
        </row>
        <row r="800">
          <cell r="A800" t="str">
            <v>CA691</v>
          </cell>
        </row>
        <row r="801">
          <cell r="A801" t="str">
            <v>CA692</v>
          </cell>
        </row>
        <row r="802">
          <cell r="A802" t="str">
            <v>CA693</v>
          </cell>
        </row>
        <row r="803">
          <cell r="A803" t="str">
            <v>CA694</v>
          </cell>
        </row>
        <row r="804">
          <cell r="A804" t="str">
            <v>CA695</v>
          </cell>
        </row>
        <row r="805">
          <cell r="A805" t="str">
            <v>CA696</v>
          </cell>
        </row>
        <row r="806">
          <cell r="A806" t="str">
            <v>CA697</v>
          </cell>
        </row>
        <row r="807">
          <cell r="A807" t="str">
            <v>CA698</v>
          </cell>
        </row>
        <row r="808">
          <cell r="A808" t="str">
            <v>CA699</v>
          </cell>
        </row>
        <row r="809">
          <cell r="A809" t="str">
            <v>CA700</v>
          </cell>
        </row>
        <row r="810">
          <cell r="A810" t="str">
            <v>CA701</v>
          </cell>
        </row>
        <row r="811">
          <cell r="A811" t="str">
            <v>CA702</v>
          </cell>
        </row>
        <row r="812">
          <cell r="A812" t="str">
            <v>CA703</v>
          </cell>
        </row>
        <row r="813">
          <cell r="A813" t="str">
            <v>CA704</v>
          </cell>
        </row>
        <row r="814">
          <cell r="A814" t="str">
            <v>CA705</v>
          </cell>
        </row>
        <row r="815">
          <cell r="A815" t="str">
            <v>CA706</v>
          </cell>
        </row>
        <row r="816">
          <cell r="A816" t="str">
            <v>CA707</v>
          </cell>
        </row>
        <row r="817">
          <cell r="A817" t="str">
            <v>CA708</v>
          </cell>
        </row>
        <row r="818">
          <cell r="A818" t="str">
            <v>CA709</v>
          </cell>
        </row>
        <row r="819">
          <cell r="A819" t="str">
            <v>CA710</v>
          </cell>
        </row>
        <row r="820">
          <cell r="A820" t="str">
            <v>CA711</v>
          </cell>
        </row>
        <row r="821">
          <cell r="A821" t="str">
            <v>CA712</v>
          </cell>
        </row>
        <row r="823">
          <cell r="AU823">
            <v>96.671624697617574</v>
          </cell>
        </row>
        <row r="824">
          <cell r="AU824">
            <v>96.677697123919998</v>
          </cell>
        </row>
        <row r="825">
          <cell r="AU825">
            <v>96.5357402893531</v>
          </cell>
        </row>
        <row r="826">
          <cell r="AU826">
            <v>99.07328778102314</v>
          </cell>
        </row>
        <row r="827">
          <cell r="AU827">
            <v>96.893475412596203</v>
          </cell>
        </row>
        <row r="828">
          <cell r="AU828">
            <v>97.682699579919685</v>
          </cell>
        </row>
        <row r="829">
          <cell r="AU829">
            <v>99.511758194014504</v>
          </cell>
        </row>
        <row r="830">
          <cell r="AU830">
            <v>99.949380343372724</v>
          </cell>
        </row>
        <row r="831">
          <cell r="AU831">
            <v>92.135013262872803</v>
          </cell>
        </row>
        <row r="832">
          <cell r="AU832">
            <v>97.158608616162724</v>
          </cell>
        </row>
        <row r="833">
          <cell r="AU833">
            <v>97.44863673192387</v>
          </cell>
        </row>
        <row r="834">
          <cell r="AU834">
            <v>96.712924217968265</v>
          </cell>
        </row>
        <row r="835">
          <cell r="AU835">
            <v>96.309527894556425</v>
          </cell>
        </row>
        <row r="836">
          <cell r="AU836">
            <v>99.949173460235883</v>
          </cell>
        </row>
        <row r="837">
          <cell r="AU837">
            <v>96.620825316064355</v>
          </cell>
        </row>
        <row r="838">
          <cell r="AU838">
            <v>99.366945265321888</v>
          </cell>
        </row>
        <row r="839">
          <cell r="AU839">
            <v>94.602938664994568</v>
          </cell>
        </row>
        <row r="840">
          <cell r="AU840">
            <v>93.219645271882115</v>
          </cell>
        </row>
        <row r="841">
          <cell r="AU841">
            <v>98.500881130240671</v>
          </cell>
        </row>
        <row r="842">
          <cell r="AU842">
            <v>97.673604514555763</v>
          </cell>
        </row>
        <row r="843">
          <cell r="AU843">
            <v>97.655731777857852</v>
          </cell>
        </row>
        <row r="844">
          <cell r="AU844">
            <v>97.932869587209453</v>
          </cell>
        </row>
        <row r="845">
          <cell r="AU845">
            <v>96.483370029043257</v>
          </cell>
        </row>
        <row r="846">
          <cell r="AU846">
            <v>101.37779310892014</v>
          </cell>
        </row>
        <row r="847">
          <cell r="AU847">
            <v>97.8959595855125</v>
          </cell>
        </row>
        <row r="848">
          <cell r="AU848">
            <v>99.51824203915092</v>
          </cell>
        </row>
        <row r="849">
          <cell r="AU849">
            <v>93.421221419669621</v>
          </cell>
        </row>
        <row r="850">
          <cell r="AU850">
            <v>98.678094746943245</v>
          </cell>
        </row>
        <row r="851">
          <cell r="AU851">
            <v>95.654034854800202</v>
          </cell>
        </row>
        <row r="852">
          <cell r="AU852">
            <v>97.33806518912769</v>
          </cell>
        </row>
        <row r="853">
          <cell r="AU853">
            <v>99.103729456117165</v>
          </cell>
        </row>
        <row r="854">
          <cell r="AU854">
            <v>96.570112012093148</v>
          </cell>
        </row>
        <row r="855">
          <cell r="AU855">
            <v>104.15305681524512</v>
          </cell>
        </row>
        <row r="856">
          <cell r="AU856">
            <v>98.652479136114536</v>
          </cell>
        </row>
        <row r="857">
          <cell r="AU857">
            <v>94.339248847980755</v>
          </cell>
        </row>
        <row r="858">
          <cell r="AU858">
            <v>96.88374970846769</v>
          </cell>
        </row>
        <row r="859">
          <cell r="AU859">
            <v>98.384875076943416</v>
          </cell>
        </row>
        <row r="860">
          <cell r="AU860">
            <v>97.478647220115519</v>
          </cell>
        </row>
        <row r="861">
          <cell r="AU861">
            <v>96.201617465649306</v>
          </cell>
        </row>
        <row r="862">
          <cell r="AU862">
            <v>103.19331571043004</v>
          </cell>
        </row>
        <row r="867">
          <cell r="AU867">
            <v>94.972542354638222</v>
          </cell>
        </row>
        <row r="868">
          <cell r="AU868">
            <v>98.197776374125141</v>
          </cell>
        </row>
        <row r="869">
          <cell r="AU869">
            <v>96.766626486749658</v>
          </cell>
        </row>
        <row r="870">
          <cell r="AU870">
            <v>99.122397304682863</v>
          </cell>
        </row>
        <row r="871">
          <cell r="AU871">
            <v>95.200766830802223</v>
          </cell>
        </row>
        <row r="872">
          <cell r="AU872">
            <v>96.866699496120006</v>
          </cell>
        </row>
        <row r="873">
          <cell r="AU873">
            <v>97.410340268201949</v>
          </cell>
        </row>
        <row r="874">
          <cell r="AU874">
            <v>97.748733094007179</v>
          </cell>
        </row>
        <row r="875">
          <cell r="AU875">
            <v>99.679708414599418</v>
          </cell>
        </row>
        <row r="876">
          <cell r="AU876">
            <v>98.016320901061235</v>
          </cell>
        </row>
        <row r="877">
          <cell r="AU877">
            <v>98.59936743760062</v>
          </cell>
        </row>
        <row r="878">
          <cell r="AU878">
            <v>98.085402876156465</v>
          </cell>
        </row>
        <row r="879">
          <cell r="AU879">
            <v>100.78161966256438</v>
          </cell>
        </row>
        <row r="880">
          <cell r="AU880">
            <v>97.181669348325045</v>
          </cell>
        </row>
        <row r="881">
          <cell r="AU881">
            <v>98.778013037266177</v>
          </cell>
        </row>
        <row r="882">
          <cell r="AU882">
            <v>98.040841308194189</v>
          </cell>
        </row>
        <row r="883">
          <cell r="AU883">
            <v>99.175971925539798</v>
          </cell>
        </row>
        <row r="884">
          <cell r="AU884">
            <v>99.944777909458722</v>
          </cell>
        </row>
        <row r="885">
          <cell r="AU885">
            <v>97.285577559209841</v>
          </cell>
        </row>
        <row r="886">
          <cell r="AU886">
            <v>100.07060923191156</v>
          </cell>
        </row>
        <row r="887">
          <cell r="AU887">
            <v>98.912408487983441</v>
          </cell>
        </row>
        <row r="888">
          <cell r="AU888">
            <v>110.7377850756895</v>
          </cell>
        </row>
        <row r="889">
          <cell r="AU889">
            <v>93.502672815569611</v>
          </cell>
        </row>
        <row r="890">
          <cell r="AU890">
            <v>99.015183989304077</v>
          </cell>
        </row>
        <row r="891">
          <cell r="AU891">
            <v>94.7927832176821</v>
          </cell>
        </row>
        <row r="892">
          <cell r="AU892">
            <v>98.848720687558256</v>
          </cell>
        </row>
        <row r="893">
          <cell r="AU893">
            <v>97.086425829271136</v>
          </cell>
        </row>
        <row r="894">
          <cell r="AU894">
            <v>101.24363244099487</v>
          </cell>
        </row>
        <row r="895">
          <cell r="AU895">
            <v>100.99056653180621</v>
          </cell>
        </row>
        <row r="896">
          <cell r="AU896">
            <v>99.699809327816936</v>
          </cell>
        </row>
        <row r="897">
          <cell r="AU897">
            <v>98.17952548346075</v>
          </cell>
        </row>
        <row r="898">
          <cell r="AU898">
            <v>95.848580419797756</v>
          </cell>
        </row>
        <row r="899">
          <cell r="AU899">
            <v>93.809196949045031</v>
          </cell>
        </row>
        <row r="900">
          <cell r="AU900">
            <v>94.185531653113614</v>
          </cell>
        </row>
        <row r="901">
          <cell r="AU901">
            <v>98.983308023811972</v>
          </cell>
        </row>
        <row r="902">
          <cell r="AU902">
            <v>95.732374196548477</v>
          </cell>
        </row>
        <row r="903">
          <cell r="AU903">
            <v>100.08474597557371</v>
          </cell>
        </row>
        <row r="904">
          <cell r="AU904">
            <v>97.749969638140229</v>
          </cell>
        </row>
        <row r="905">
          <cell r="AU905">
            <v>92.499960331723543</v>
          </cell>
        </row>
        <row r="906">
          <cell r="AU906">
            <v>100.08474597557371</v>
          </cell>
        </row>
        <row r="907">
          <cell r="AU907">
            <v>95.135199111880581</v>
          </cell>
        </row>
        <row r="908">
          <cell r="AU908">
            <v>98.386322874904408</v>
          </cell>
        </row>
        <row r="909">
          <cell r="AU909">
            <v>96.028345906744406</v>
          </cell>
        </row>
        <row r="910">
          <cell r="AU910">
            <v>97.453088971527464</v>
          </cell>
        </row>
        <row r="911">
          <cell r="AU911">
            <v>97.718846074746594</v>
          </cell>
        </row>
        <row r="912">
          <cell r="AU912">
            <v>99.961515225311672</v>
          </cell>
        </row>
        <row r="914">
          <cell r="AU914">
            <v>96.793515485631502</v>
          </cell>
        </row>
        <row r="915">
          <cell r="AU915">
            <v>98.573165732944389</v>
          </cell>
        </row>
        <row r="916">
          <cell r="AU916">
            <v>99.38708060877866</v>
          </cell>
        </row>
        <row r="917">
          <cell r="AU917">
            <v>97.27071486207636</v>
          </cell>
        </row>
        <row r="918">
          <cell r="AU918">
            <v>98.939207159665088</v>
          </cell>
        </row>
        <row r="919">
          <cell r="AU919">
            <v>98.641910696180688</v>
          </cell>
        </row>
        <row r="920">
          <cell r="AU920">
            <v>98.117301365224009</v>
          </cell>
        </row>
        <row r="921">
          <cell r="AU921">
            <v>99.668456836647309</v>
          </cell>
        </row>
        <row r="922">
          <cell r="AU922">
            <v>92.753165680823599</v>
          </cell>
        </row>
        <row r="923">
          <cell r="AU923">
            <v>95.829153858598943</v>
          </cell>
        </row>
        <row r="924">
          <cell r="AU924">
            <v>94.918436777058986</v>
          </cell>
        </row>
        <row r="925">
          <cell r="AU925">
            <v>101.20314265657365</v>
          </cell>
        </row>
        <row r="926">
          <cell r="AU926">
            <v>94.010975926941782</v>
          </cell>
        </row>
        <row r="927">
          <cell r="AU927">
            <v>96.71226930680568</v>
          </cell>
        </row>
        <row r="928">
          <cell r="AU928">
            <v>96.824429483425632</v>
          </cell>
        </row>
        <row r="929">
          <cell r="AU929">
            <v>94.636543838950345</v>
          </cell>
        </row>
        <row r="930">
          <cell r="AU930">
            <v>97.109609170803139</v>
          </cell>
        </row>
        <row r="931">
          <cell r="AU931">
            <v>97.537123049855666</v>
          </cell>
        </row>
        <row r="932">
          <cell r="AU932">
            <v>97.345498053686995</v>
          </cell>
        </row>
        <row r="933">
          <cell r="AU933">
            <v>98.36896042079556</v>
          </cell>
        </row>
        <row r="934">
          <cell r="AU934">
            <v>93.893073126408083</v>
          </cell>
        </row>
        <row r="935">
          <cell r="AU935">
            <v>97.845286668027526</v>
          </cell>
        </row>
        <row r="936">
          <cell r="AU936">
            <v>96.997802076386705</v>
          </cell>
        </row>
        <row r="937">
          <cell r="AU937">
            <v>101.08338411465823</v>
          </cell>
        </row>
        <row r="938">
          <cell r="AU938">
            <v>95.366616185686155</v>
          </cell>
        </row>
        <row r="939">
          <cell r="AU939">
            <v>95.750920163480728</v>
          </cell>
        </row>
        <row r="940">
          <cell r="AU940">
            <v>96.312048231817471</v>
          </cell>
        </row>
        <row r="941">
          <cell r="AU941">
            <v>97.776900888245265</v>
          </cell>
        </row>
        <row r="942">
          <cell r="AU942">
            <v>98.18414196319047</v>
          </cell>
        </row>
        <row r="943">
          <cell r="AU943">
            <v>98.180232024300835</v>
          </cell>
        </row>
        <row r="944">
          <cell r="AU944">
            <v>100.06460287732762</v>
          </cell>
        </row>
        <row r="945">
          <cell r="AU945">
            <v>96.100866058699324</v>
          </cell>
        </row>
        <row r="946">
          <cell r="AU946">
            <v>95.690262975847233</v>
          </cell>
        </row>
        <row r="947">
          <cell r="AU947">
            <v>93.824872867980801</v>
          </cell>
        </row>
        <row r="948">
          <cell r="AU948">
            <v>100.91591388735279</v>
          </cell>
        </row>
        <row r="949">
          <cell r="AU949">
            <v>96.697662088466046</v>
          </cell>
        </row>
        <row r="950">
          <cell r="AU950">
            <v>103.36269240524116</v>
          </cell>
        </row>
        <row r="951">
          <cell r="AU951">
            <v>102.16210380276367</v>
          </cell>
        </row>
        <row r="952">
          <cell r="AU952">
            <v>101.17060826484592</v>
          </cell>
        </row>
        <row r="953">
          <cell r="AU953">
            <v>102.51551827119978</v>
          </cell>
        </row>
        <row r="954">
          <cell r="AU954">
            <v>94.288174528256974</v>
          </cell>
        </row>
        <row r="955">
          <cell r="AU955">
            <v>97.628442380814946</v>
          </cell>
        </row>
        <row r="956">
          <cell r="AU956">
            <v>115.16102235463596</v>
          </cell>
        </row>
        <row r="957">
          <cell r="AU957">
            <v>99.213185196104973</v>
          </cell>
        </row>
        <row r="958">
          <cell r="AU958">
            <v>97.728704242380999</v>
          </cell>
        </row>
        <row r="959">
          <cell r="AU959">
            <v>99.047489084918467</v>
          </cell>
        </row>
        <row r="960">
          <cell r="AU960">
            <v>98.254902451362568</v>
          </cell>
        </row>
        <row r="961">
          <cell r="AU961">
            <v>96.406797984075197</v>
          </cell>
        </row>
        <row r="962">
          <cell r="AU962">
            <v>94.510911284707817</v>
          </cell>
        </row>
        <row r="963">
          <cell r="AU963">
            <v>97.848760252347162</v>
          </cell>
        </row>
        <row r="964">
          <cell r="AU964">
            <v>96.6348852852703</v>
          </cell>
        </row>
        <row r="965">
          <cell r="AU965">
            <v>101.14495845980653</v>
          </cell>
        </row>
        <row r="966">
          <cell r="AU966">
            <v>97.822017110404076</v>
          </cell>
        </row>
        <row r="967">
          <cell r="AU967">
            <v>98.665431298287814</v>
          </cell>
        </row>
        <row r="968">
          <cell r="AU968">
            <v>98.30049195640197</v>
          </cell>
        </row>
        <row r="969">
          <cell r="AU969">
            <v>99.68450820326548</v>
          </cell>
        </row>
        <row r="970">
          <cell r="AU970">
            <v>95.637713151333926</v>
          </cell>
        </row>
        <row r="971">
          <cell r="AU971">
            <v>95.548696759691538</v>
          </cell>
        </row>
        <row r="972">
          <cell r="AU972">
            <v>98.611785322966114</v>
          </cell>
        </row>
        <row r="973">
          <cell r="AU973">
            <v>100.14747327446725</v>
          </cell>
        </row>
        <row r="974">
          <cell r="AU974">
            <v>100.58519203350723</v>
          </cell>
        </row>
        <row r="975">
          <cell r="AU975">
            <v>96.441828722524065</v>
          </cell>
        </row>
        <row r="976">
          <cell r="AU976">
            <v>99.385280027354156</v>
          </cell>
        </row>
        <row r="977">
          <cell r="AU977">
            <v>97.807691661773291</v>
          </cell>
        </row>
        <row r="978">
          <cell r="AU978">
            <v>98.331201734830657</v>
          </cell>
        </row>
        <row r="979">
          <cell r="AU979">
            <v>98.256554562597771</v>
          </cell>
        </row>
        <row r="980">
          <cell r="AU980">
            <v>98.481040600874451</v>
          </cell>
        </row>
        <row r="981">
          <cell r="AU981">
            <v>96.247571115790251</v>
          </cell>
        </row>
        <row r="982">
          <cell r="AU982">
            <v>97.947844223193897</v>
          </cell>
        </row>
        <row r="983">
          <cell r="AU983">
            <v>97.584644233978906</v>
          </cell>
        </row>
        <row r="984">
          <cell r="AU984">
            <v>99.776554042579932</v>
          </cell>
        </row>
        <row r="985">
          <cell r="AU985">
            <v>98.718507491195496</v>
          </cell>
        </row>
        <row r="986">
          <cell r="AU986">
            <v>102.27480968331855</v>
          </cell>
        </row>
        <row r="987">
          <cell r="AU987">
            <v>97.941348233182893</v>
          </cell>
        </row>
        <row r="988">
          <cell r="AU988">
            <v>97.116516842245275</v>
          </cell>
        </row>
        <row r="989">
          <cell r="AU989">
            <v>98.860766902080456</v>
          </cell>
        </row>
        <row r="990">
          <cell r="AU990">
            <v>94.51713163805627</v>
          </cell>
        </row>
        <row r="991">
          <cell r="AU991">
            <v>98.062023917737505</v>
          </cell>
        </row>
        <row r="992">
          <cell r="AU992">
            <v>96.529219955667372</v>
          </cell>
        </row>
        <row r="993">
          <cell r="AU993">
            <v>104.15966057723381</v>
          </cell>
        </row>
        <row r="994">
          <cell r="AU994">
            <v>101.24161064598778</v>
          </cell>
        </row>
        <row r="995">
          <cell r="AU995">
            <v>97.682879478085255</v>
          </cell>
        </row>
        <row r="996">
          <cell r="AU996">
            <v>97.336706968222813</v>
          </cell>
        </row>
        <row r="997">
          <cell r="AU997">
            <v>98.931133976134703</v>
          </cell>
        </row>
        <row r="998">
          <cell r="AU998">
            <v>94.990759568616738</v>
          </cell>
        </row>
        <row r="999">
          <cell r="AU999">
            <v>97.118362097080308</v>
          </cell>
        </row>
        <row r="1000">
          <cell r="AU1000">
            <v>97.358032201078998</v>
          </cell>
        </row>
        <row r="1001">
          <cell r="AU1001">
            <v>97.220453537579601</v>
          </cell>
        </row>
        <row r="1002">
          <cell r="AU1002">
            <v>95.632278164250621</v>
          </cell>
        </row>
        <row r="1003">
          <cell r="AU1003">
            <v>97.222843093073379</v>
          </cell>
        </row>
        <row r="1005">
          <cell r="A1005" t="str">
            <v>CA889</v>
          </cell>
          <cell r="P1005">
            <v>60</v>
          </cell>
          <cell r="Q1005">
            <v>0.64000000000000057</v>
          </cell>
          <cell r="T1005">
            <v>0.44374999999999998</v>
          </cell>
          <cell r="U1005">
            <v>0.57361111111111107</v>
          </cell>
          <cell r="V1005">
            <v>59</v>
          </cell>
          <cell r="Z1005">
            <v>0.26111111111111107</v>
          </cell>
          <cell r="AF1005">
            <v>51.2</v>
          </cell>
          <cell r="AG1005">
            <v>11.7</v>
          </cell>
          <cell r="AI1005">
            <v>51.2</v>
          </cell>
          <cell r="AU1005">
            <v>109.1388839985792</v>
          </cell>
          <cell r="AV1005">
            <v>109.26910746702991</v>
          </cell>
          <cell r="AX1005" t="str">
            <v>K. Benjamin</v>
          </cell>
        </row>
        <row r="1006">
          <cell r="A1006" t="str">
            <v>CA890</v>
          </cell>
          <cell r="P1006">
            <v>57</v>
          </cell>
          <cell r="Q1006">
            <v>11.525423728813553</v>
          </cell>
          <cell r="T1006">
            <v>0.46250000000000002</v>
          </cell>
          <cell r="U1006">
            <v>0.5756944444444444</v>
          </cell>
          <cell r="V1006">
            <v>62</v>
          </cell>
          <cell r="Z1006">
            <v>0.24583333333333329</v>
          </cell>
          <cell r="AF1006">
            <v>47.7</v>
          </cell>
          <cell r="AG1006">
            <v>11.7</v>
          </cell>
          <cell r="AI1006">
            <v>47.5</v>
          </cell>
          <cell r="AU1006">
            <v>92.236557150347181</v>
          </cell>
          <cell r="AV1006">
            <v>92.350076254447956</v>
          </cell>
          <cell r="AX1006" t="str">
            <v>G.Mason</v>
          </cell>
        </row>
        <row r="1007">
          <cell r="A1007" t="str">
            <v>CA891</v>
          </cell>
          <cell r="P1007">
            <v>60</v>
          </cell>
          <cell r="Q1007">
            <v>9.4716981132075393</v>
          </cell>
          <cell r="T1007">
            <v>0.69374999999999998</v>
          </cell>
          <cell r="U1007">
            <v>0.80902777777777779</v>
          </cell>
          <cell r="V1007">
            <v>60</v>
          </cell>
          <cell r="Z1007">
            <v>0.24305555555555558</v>
          </cell>
          <cell r="AF1007">
            <v>48.7</v>
          </cell>
          <cell r="AG1007">
            <v>11.6</v>
          </cell>
          <cell r="AI1007">
            <v>48.5</v>
          </cell>
          <cell r="AU1007">
            <v>92.96419657191592</v>
          </cell>
          <cell r="AV1007">
            <v>93.446179496302591</v>
          </cell>
          <cell r="AX1007" t="str">
            <v>K. Benjamin</v>
          </cell>
        </row>
        <row r="1008">
          <cell r="A1008" t="str">
            <v>CA892</v>
          </cell>
          <cell r="P1008">
            <v>61</v>
          </cell>
          <cell r="Q1008">
            <v>7.0188679245282994</v>
          </cell>
          <cell r="T1008">
            <v>0.78541666666666665</v>
          </cell>
          <cell r="U1008">
            <v>0.89097222222222228</v>
          </cell>
          <cell r="V1008">
            <v>57</v>
          </cell>
          <cell r="Z1008">
            <v>0.2416666666666667</v>
          </cell>
          <cell r="AF1008">
            <v>50</v>
          </cell>
          <cell r="AG1008">
            <v>12</v>
          </cell>
          <cell r="AI1008">
            <v>49.5</v>
          </cell>
          <cell r="AU1008">
            <v>98.325508306440028</v>
          </cell>
          <cell r="AV1008">
            <v>98.835287530946985</v>
          </cell>
          <cell r="AX1008" t="str">
            <v>K. Benjamin</v>
          </cell>
        </row>
        <row r="1009">
          <cell r="A1009" t="str">
            <v>CA893</v>
          </cell>
          <cell r="P1009">
            <v>60</v>
          </cell>
          <cell r="Q1009">
            <v>6.0754716981132049</v>
          </cell>
          <cell r="T1009">
            <v>0.86875000000000002</v>
          </cell>
          <cell r="U1009">
            <v>0.97847222222222219</v>
          </cell>
          <cell r="V1009">
            <v>61</v>
          </cell>
          <cell r="Z1009">
            <v>0.24583333333333335</v>
          </cell>
          <cell r="AF1009">
            <v>50.5</v>
          </cell>
          <cell r="AG1009">
            <v>11.9</v>
          </cell>
          <cell r="AI1009">
            <v>50.5</v>
          </cell>
          <cell r="AU1009">
            <v>99.679050974705348</v>
          </cell>
          <cell r="AV1009">
            <v>100.19576457168409</v>
          </cell>
          <cell r="AX1009" t="str">
            <v>K. Benjamin</v>
          </cell>
        </row>
        <row r="1010">
          <cell r="A1010" t="str">
            <v>CA894</v>
          </cell>
          <cell r="P1010">
            <v>61</v>
          </cell>
          <cell r="Q1010">
            <v>2.8679245283018791</v>
          </cell>
          <cell r="T1010">
            <v>0.9604166666666667</v>
          </cell>
          <cell r="U1010">
            <v>1.0666666666666667</v>
          </cell>
          <cell r="V1010">
            <v>63</v>
          </cell>
          <cell r="Z1010">
            <v>0.25069444444444444</v>
          </cell>
          <cell r="AF1010">
            <v>52.2</v>
          </cell>
          <cell r="AG1010">
            <v>11.7</v>
          </cell>
          <cell r="AI1010">
            <v>51.5</v>
          </cell>
          <cell r="AU1010">
            <v>99.856617537338749</v>
          </cell>
          <cell r="AV1010">
            <v>100.37425159911308</v>
          </cell>
          <cell r="AX1010" t="str">
            <v>K. Benjamin</v>
          </cell>
        </row>
        <row r="1011">
          <cell r="A1011" t="str">
            <v>CA895</v>
          </cell>
          <cell r="P1011">
            <v>61</v>
          </cell>
          <cell r="Q1011">
            <v>3.6158192090395511</v>
          </cell>
          <cell r="T1011">
            <v>1.0534722222222221</v>
          </cell>
          <cell r="U1011">
            <v>1.1701388888888888</v>
          </cell>
          <cell r="V1011">
            <v>67</v>
          </cell>
          <cell r="Z1011">
            <v>0.26388888888888884</v>
          </cell>
          <cell r="AF1011">
            <v>51.9</v>
          </cell>
          <cell r="AG1011">
            <v>11.6</v>
          </cell>
          <cell r="AI1011">
            <v>52.5</v>
          </cell>
          <cell r="AU1011">
            <v>100.75552168444408</v>
          </cell>
          <cell r="AV1011">
            <v>101.27785757058845</v>
          </cell>
          <cell r="AX1011" t="str">
            <v>R. Regis</v>
          </cell>
        </row>
        <row r="1012">
          <cell r="A1012" t="str">
            <v>CA896</v>
          </cell>
          <cell r="P1012">
            <v>60</v>
          </cell>
          <cell r="Q1012">
            <v>2.6741996233521688</v>
          </cell>
          <cell r="T1012">
            <v>1.1527777777777777</v>
          </cell>
          <cell r="U1012">
            <v>1.2645833333333334</v>
          </cell>
          <cell r="V1012">
            <v>64</v>
          </cell>
          <cell r="Z1012">
            <v>0.25416666666666665</v>
          </cell>
          <cell r="AF1012">
            <v>52.8</v>
          </cell>
          <cell r="AG1012">
            <v>11.6</v>
          </cell>
          <cell r="AI1012">
            <v>53.5</v>
          </cell>
          <cell r="AU1012">
            <v>103.05617552998515</v>
          </cell>
          <cell r="AV1012">
            <v>103.59030891364365</v>
          </cell>
          <cell r="AX1012" t="str">
            <v>R. Regis</v>
          </cell>
        </row>
        <row r="1013">
          <cell r="A1013" t="str">
            <v>CA897</v>
          </cell>
          <cell r="P1013">
            <v>57</v>
          </cell>
          <cell r="Q1013">
            <v>2.4812030075187974</v>
          </cell>
          <cell r="T1013">
            <v>0.31805555555555554</v>
          </cell>
          <cell r="U1013">
            <v>0.43472222222222223</v>
          </cell>
          <cell r="V1013">
            <v>66</v>
          </cell>
          <cell r="Z1013">
            <v>0.26111111111111113</v>
          </cell>
          <cell r="AF1013">
            <v>55.2</v>
          </cell>
          <cell r="AG1013">
            <v>11.7</v>
          </cell>
          <cell r="AI1013">
            <v>54.2</v>
          </cell>
          <cell r="AU1013">
            <v>104.06327180555589</v>
          </cell>
          <cell r="AV1013">
            <v>104.60305716276356</v>
          </cell>
          <cell r="AX1013" t="str">
            <v>R.Sookram</v>
          </cell>
        </row>
        <row r="1014">
          <cell r="A1014" t="str">
            <v>CA898</v>
          </cell>
          <cell r="P1014">
            <v>76</v>
          </cell>
          <cell r="Q1014">
            <v>1.5442561205273075</v>
          </cell>
          <cell r="T1014">
            <v>0.40277777777777779</v>
          </cell>
          <cell r="U1014">
            <v>0.53055555555555556</v>
          </cell>
          <cell r="V1014">
            <v>64</v>
          </cell>
          <cell r="Z1014">
            <v>0.25277777777777777</v>
          </cell>
          <cell r="AF1014">
            <v>53.4</v>
          </cell>
          <cell r="AG1014">
            <v>11.8</v>
          </cell>
          <cell r="AI1014">
            <v>52.2</v>
          </cell>
          <cell r="AU1014">
            <v>101.7471172345124</v>
          </cell>
          <cell r="AV1014">
            <v>102.2746784746583</v>
          </cell>
          <cell r="AX1014" t="str">
            <v>R.Sookram</v>
          </cell>
        </row>
        <row r="1015">
          <cell r="A1015" t="str">
            <v>CA899</v>
          </cell>
          <cell r="P1015">
            <v>60</v>
          </cell>
          <cell r="Q1015">
            <v>8.5122410546139413</v>
          </cell>
          <cell r="T1015">
            <v>0.38194444444444442</v>
          </cell>
          <cell r="U1015">
            <v>0.49375000000000002</v>
          </cell>
          <cell r="V1015">
            <v>58</v>
          </cell>
          <cell r="Z1015">
            <v>0.2368055555555556</v>
          </cell>
          <cell r="AF1015">
            <v>49.3</v>
          </cell>
          <cell r="AG1015">
            <v>11.8</v>
          </cell>
          <cell r="AI1015">
            <v>49.7</v>
          </cell>
          <cell r="AU1015">
            <v>97.233230116004364</v>
          </cell>
          <cell r="AV1015">
            <v>97.73726513226724</v>
          </cell>
          <cell r="AX1015" t="str">
            <v>R. Regis</v>
          </cell>
        </row>
        <row r="1016">
          <cell r="A1016" t="str">
            <v>CA900</v>
          </cell>
          <cell r="P1016">
            <v>60</v>
          </cell>
          <cell r="Q1016">
            <v>4.9340866290018788</v>
          </cell>
          <cell r="T1016">
            <v>0.48194444444444445</v>
          </cell>
          <cell r="U1016">
            <v>0.59444444444444444</v>
          </cell>
          <cell r="V1016">
            <v>59</v>
          </cell>
          <cell r="Z1016">
            <v>0.25416666666666665</v>
          </cell>
          <cell r="AF1016">
            <v>51.6</v>
          </cell>
          <cell r="AG1016">
            <v>11.6</v>
          </cell>
          <cell r="AI1016">
            <v>49.3</v>
          </cell>
          <cell r="AU1016">
            <v>94.965784179967628</v>
          </cell>
          <cell r="AV1016">
            <v>95.457985597058538</v>
          </cell>
          <cell r="AX1016" t="str">
            <v>R. Regis</v>
          </cell>
        </row>
        <row r="1017">
          <cell r="A1017" t="str">
            <v>CA901</v>
          </cell>
          <cell r="P1017">
            <v>61</v>
          </cell>
          <cell r="Q1017">
            <v>5.3107344632768365</v>
          </cell>
          <cell r="T1017">
            <v>0.58680555555555558</v>
          </cell>
          <cell r="U1017">
            <v>0.69722222222222219</v>
          </cell>
          <cell r="V1017">
            <v>65</v>
          </cell>
          <cell r="Z1017">
            <v>0.25972222222222219</v>
          </cell>
          <cell r="AF1017">
            <v>51</v>
          </cell>
          <cell r="AG1017">
            <v>11.7</v>
          </cell>
          <cell r="AI1017">
            <v>49.6</v>
          </cell>
          <cell r="AU1017">
            <v>96.291553543309107</v>
          </cell>
          <cell r="AV1017">
            <v>96.790666778758975</v>
          </cell>
          <cell r="AX1017" t="str">
            <v>R. Regis</v>
          </cell>
        </row>
        <row r="1018">
          <cell r="A1018" t="str">
            <v>CA902</v>
          </cell>
          <cell r="P1018">
            <v>57</v>
          </cell>
          <cell r="Q1018">
            <v>3.4274952919020718</v>
          </cell>
          <cell r="T1018">
            <v>0.68541666666666667</v>
          </cell>
          <cell r="U1018">
            <v>0.78749999999999998</v>
          </cell>
          <cell r="V1018">
            <v>60</v>
          </cell>
          <cell r="Z1018">
            <v>0.24583333333333335</v>
          </cell>
          <cell r="AF1018">
            <v>52</v>
          </cell>
          <cell r="AG1018">
            <v>11.7</v>
          </cell>
          <cell r="AI1018">
            <v>51</v>
          </cell>
          <cell r="AU1018">
            <v>98.643953013867019</v>
          </cell>
          <cell r="AV1018">
            <v>99.399744302034321</v>
          </cell>
          <cell r="AX1018" t="str">
            <v>R.Sookram</v>
          </cell>
        </row>
        <row r="1019">
          <cell r="A1019" t="str">
            <v>CA903</v>
          </cell>
          <cell r="P1019">
            <v>56</v>
          </cell>
          <cell r="Q1019">
            <v>8.323917137476462</v>
          </cell>
          <cell r="T1019">
            <v>0.85486111111111107</v>
          </cell>
          <cell r="U1019">
            <v>0.9604166666666667</v>
          </cell>
          <cell r="V1019">
            <v>58</v>
          </cell>
          <cell r="Z1019">
            <v>0.23125000000000007</v>
          </cell>
          <cell r="AF1019">
            <v>49.8</v>
          </cell>
          <cell r="AG1019">
            <v>11.8</v>
          </cell>
          <cell r="AI1019">
            <v>48.5</v>
          </cell>
          <cell r="AU1019">
            <v>94.768461689333563</v>
          </cell>
          <cell r="AV1019">
            <v>95.259759511899247</v>
          </cell>
          <cell r="AX1019" t="str">
            <v>R.Sookram</v>
          </cell>
        </row>
        <row r="1020">
          <cell r="A1020" t="str">
            <v>CA904</v>
          </cell>
          <cell r="P1020">
            <v>60</v>
          </cell>
          <cell r="Q1020">
            <v>4.7457627118644128</v>
          </cell>
          <cell r="T1020">
            <v>0.94722222222222219</v>
          </cell>
          <cell r="U1020">
            <v>1.0180555555555555</v>
          </cell>
          <cell r="V1020">
            <v>63</v>
          </cell>
          <cell r="Z1020">
            <v>0.20555555555555549</v>
          </cell>
          <cell r="AF1020">
            <v>52.2</v>
          </cell>
          <cell r="AG1020">
            <v>11.6</v>
          </cell>
          <cell r="AI1020">
            <v>50.9</v>
          </cell>
          <cell r="AU1020">
            <v>97.44439259131218</v>
          </cell>
          <cell r="AV1020">
            <v>97.949644101114174</v>
          </cell>
          <cell r="AX1020" t="str">
            <v>R.Sookram</v>
          </cell>
        </row>
        <row r="1021">
          <cell r="A1021" t="str">
            <v>CA905</v>
          </cell>
          <cell r="P1021">
            <v>59</v>
          </cell>
          <cell r="Q1021">
            <v>3.2452830188679229</v>
          </cell>
          <cell r="T1021">
            <v>1.038888888888889</v>
          </cell>
          <cell r="U1021">
            <v>1.1527777777777777</v>
          </cell>
          <cell r="V1021">
            <v>59</v>
          </cell>
          <cell r="Z1021">
            <v>0.25694444444444431</v>
          </cell>
          <cell r="AF1021">
            <v>53.3</v>
          </cell>
          <cell r="AG1021">
            <v>11.7</v>
          </cell>
          <cell r="AI1021">
            <v>51.1</v>
          </cell>
          <cell r="AU1021">
            <v>98.351959248494495</v>
          </cell>
          <cell r="AV1021">
            <v>98.86203861856194</v>
          </cell>
          <cell r="AX1021" t="str">
            <v>K. Benjamin</v>
          </cell>
        </row>
        <row r="1022">
          <cell r="A1022" t="str">
            <v>CA906</v>
          </cell>
          <cell r="P1022">
            <v>60</v>
          </cell>
          <cell r="Q1022">
            <v>2.8679245283018791</v>
          </cell>
          <cell r="T1022">
            <v>1.1388888888888888</v>
          </cell>
          <cell r="U1022">
            <v>1.257638888888889</v>
          </cell>
          <cell r="V1022">
            <v>60</v>
          </cell>
          <cell r="Z1022">
            <v>0.2680555555555556</v>
          </cell>
          <cell r="AF1022">
            <v>53</v>
          </cell>
          <cell r="AG1022">
            <v>11.6</v>
          </cell>
          <cell r="AI1022">
            <v>51.7</v>
          </cell>
          <cell r="AU1022">
            <v>98.854253387082295</v>
          </cell>
          <cell r="AV1022">
            <v>99.366856069109318</v>
          </cell>
          <cell r="AX1022" t="str">
            <v>K. Benjamin</v>
          </cell>
        </row>
        <row r="1023">
          <cell r="A1023" t="str">
            <v>CA907</v>
          </cell>
          <cell r="P1023">
            <v>64</v>
          </cell>
          <cell r="Q1023">
            <v>2.1132075471698064</v>
          </cell>
          <cell r="T1023">
            <v>0.23541666666666666</v>
          </cell>
          <cell r="U1023">
            <v>0.34861111111111109</v>
          </cell>
          <cell r="V1023">
            <v>59</v>
          </cell>
          <cell r="Z1023">
            <v>0.26874999999999999</v>
          </cell>
          <cell r="AF1023">
            <v>53</v>
          </cell>
          <cell r="AG1023">
            <v>11.9</v>
          </cell>
          <cell r="AI1023">
            <v>51.2</v>
          </cell>
          <cell r="AU1023">
            <v>100.19422313155411</v>
          </cell>
          <cell r="AV1023">
            <v>100.71389823229666</v>
          </cell>
          <cell r="AX1023" t="str">
            <v>K. Benjamin</v>
          </cell>
        </row>
        <row r="1024">
          <cell r="A1024" t="str">
            <v>CA908</v>
          </cell>
          <cell r="P1024">
            <v>60</v>
          </cell>
          <cell r="Q1024">
            <v>1.9209039548022655</v>
          </cell>
          <cell r="T1024">
            <v>0.40277777777777779</v>
          </cell>
          <cell r="U1024">
            <v>0.51388888888888884</v>
          </cell>
          <cell r="V1024">
            <v>63</v>
          </cell>
          <cell r="Z1024">
            <v>0.24305555555555552</v>
          </cell>
          <cell r="AF1024">
            <v>52.8</v>
          </cell>
          <cell r="AG1024">
            <v>11.6</v>
          </cell>
          <cell r="AI1024">
            <v>51.9</v>
          </cell>
          <cell r="AU1024">
            <v>98.75104732676769</v>
          </cell>
          <cell r="AV1024">
            <v>99.26327770767972</v>
          </cell>
          <cell r="AX1024" t="str">
            <v>R. Regis</v>
          </cell>
        </row>
        <row r="1025">
          <cell r="A1025" t="str">
            <v>CA909</v>
          </cell>
          <cell r="P1025">
            <v>61</v>
          </cell>
          <cell r="Q1025">
            <v>5.6873822975517951</v>
          </cell>
          <cell r="T1025">
            <v>0.50486111111111109</v>
          </cell>
          <cell r="U1025">
            <v>0.62222222222222223</v>
          </cell>
          <cell r="V1025">
            <v>67</v>
          </cell>
          <cell r="Z1025">
            <v>0.25416666666666665</v>
          </cell>
          <cell r="AF1025">
            <v>50.8</v>
          </cell>
          <cell r="AG1025">
            <v>11.6</v>
          </cell>
          <cell r="AI1025">
            <v>51.1</v>
          </cell>
          <cell r="AU1025">
            <v>97.467354545523548</v>
          </cell>
          <cell r="AV1025">
            <v>97.972846120766206</v>
          </cell>
          <cell r="AX1025" t="str">
            <v>R. Regis</v>
          </cell>
        </row>
        <row r="1026">
          <cell r="A1026" t="str">
            <v>CA910</v>
          </cell>
          <cell r="P1026">
            <v>60</v>
          </cell>
          <cell r="Q1026">
            <v>1.5442561205273075</v>
          </cell>
          <cell r="T1026">
            <v>0.60624999999999996</v>
          </cell>
          <cell r="U1026">
            <v>0.71597222222222223</v>
          </cell>
          <cell r="V1026">
            <v>66</v>
          </cell>
          <cell r="Z1026">
            <v>0.24722222222222223</v>
          </cell>
          <cell r="AF1026">
            <v>53</v>
          </cell>
          <cell r="AG1026">
            <v>11.6</v>
          </cell>
          <cell r="AI1026">
            <v>51.8</v>
          </cell>
          <cell r="AU1026">
            <v>99.045460840442189</v>
          </cell>
          <cell r="AV1026">
            <v>99.559055017018608</v>
          </cell>
          <cell r="AX1026" t="str">
            <v>R. Regis</v>
          </cell>
        </row>
        <row r="1027">
          <cell r="A1027" t="str">
            <v>CA911</v>
          </cell>
          <cell r="P1027">
            <v>60</v>
          </cell>
          <cell r="T1027">
            <v>1.5159722222222223</v>
          </cell>
          <cell r="U1027">
            <v>1.6604166666666667</v>
          </cell>
          <cell r="V1027">
            <v>52</v>
          </cell>
          <cell r="Z1027">
            <v>0.77847222222222223</v>
          </cell>
          <cell r="AF1027">
            <v>57.7</v>
          </cell>
          <cell r="AG1027">
            <v>12</v>
          </cell>
          <cell r="AI1027">
            <v>55.1</v>
          </cell>
          <cell r="AU1027">
            <v>109.31447891609957</v>
          </cell>
          <cell r="AV1027">
            <v>109.88127710783566</v>
          </cell>
          <cell r="AX1027" t="str">
            <v>R.Sookram</v>
          </cell>
        </row>
        <row r="1028">
          <cell r="A1028" t="str">
            <v>CA912</v>
          </cell>
          <cell r="P1028">
            <v>60</v>
          </cell>
          <cell r="Q1028">
            <v>3.7664783427501181E-2</v>
          </cell>
          <cell r="T1028">
            <v>0.63749999999999996</v>
          </cell>
          <cell r="U1028">
            <v>0.75763888888888886</v>
          </cell>
          <cell r="V1028">
            <v>64</v>
          </cell>
          <cell r="Z1028">
            <v>0.24375000000000002</v>
          </cell>
          <cell r="AF1028">
            <v>53.8</v>
          </cell>
          <cell r="AG1028">
            <v>11.6</v>
          </cell>
          <cell r="AI1028">
            <v>49.8</v>
          </cell>
          <cell r="AU1028">
            <v>95.338521631578516</v>
          </cell>
          <cell r="AV1028">
            <v>95.832854150009553</v>
          </cell>
          <cell r="AX1028" t="str">
            <v>R. Regis</v>
          </cell>
        </row>
        <row r="1029">
          <cell r="A1029" t="str">
            <v>CA913</v>
          </cell>
          <cell r="P1029">
            <v>60</v>
          </cell>
          <cell r="Q1029">
            <v>3.2391713747645925</v>
          </cell>
          <cell r="T1029">
            <v>0.73750000000000004</v>
          </cell>
          <cell r="U1029">
            <v>0.85138888888888886</v>
          </cell>
          <cell r="V1029">
            <v>61</v>
          </cell>
          <cell r="Z1029">
            <v>0.29236111111111107</v>
          </cell>
          <cell r="AF1029">
            <v>52.1</v>
          </cell>
          <cell r="AG1029">
            <v>11.9</v>
          </cell>
          <cell r="AI1029">
            <v>50.2</v>
          </cell>
          <cell r="AU1029">
            <v>98.720993933688987</v>
          </cell>
          <cell r="AV1029">
            <v>99.232864652031367</v>
          </cell>
          <cell r="AX1029" t="str">
            <v>R. Regis</v>
          </cell>
        </row>
        <row r="1030">
          <cell r="A1030" t="str">
            <v>CA914</v>
          </cell>
          <cell r="P1030">
            <v>59</v>
          </cell>
          <cell r="Q1030">
            <v>8.1355932203389845</v>
          </cell>
          <cell r="AF1030">
            <v>50.7</v>
          </cell>
          <cell r="AG1030">
            <v>11.6</v>
          </cell>
          <cell r="AI1030">
            <v>49.6</v>
          </cell>
          <cell r="AU1030">
            <v>94.838896866523797</v>
          </cell>
          <cell r="AV1030">
            <v>95.330678163013943</v>
          </cell>
          <cell r="AX1030" t="str">
            <v>R.Sookram</v>
          </cell>
        </row>
        <row r="1031">
          <cell r="A1031" t="str">
            <v>CA915</v>
          </cell>
          <cell r="P1031">
            <v>58</v>
          </cell>
          <cell r="Q1031">
            <v>4.9340866290018788</v>
          </cell>
          <cell r="T1031">
            <v>0.58958333333333335</v>
          </cell>
          <cell r="U1031">
            <v>0.70694444444444449</v>
          </cell>
          <cell r="V1031">
            <v>56</v>
          </cell>
          <cell r="Z1031">
            <v>0.27638888888888891</v>
          </cell>
          <cell r="AF1031">
            <v>50.2</v>
          </cell>
          <cell r="AG1031">
            <v>12.3</v>
          </cell>
          <cell r="AI1031">
            <v>48.7</v>
          </cell>
          <cell r="AU1031">
            <v>98.670027314368681</v>
          </cell>
          <cell r="AV1031">
            <v>99.181796903295378</v>
          </cell>
          <cell r="AX1031" t="str">
            <v>R.Sookram</v>
          </cell>
        </row>
        <row r="1032">
          <cell r="A1032" t="str">
            <v>CA916</v>
          </cell>
          <cell r="P1032">
            <v>60</v>
          </cell>
          <cell r="Q1032">
            <v>3.9999999999999951</v>
          </cell>
          <cell r="T1032">
            <v>0.68472222222222223</v>
          </cell>
          <cell r="U1032">
            <v>0.8</v>
          </cell>
          <cell r="V1032">
            <v>59</v>
          </cell>
          <cell r="Z1032">
            <v>0.27916666666666667</v>
          </cell>
          <cell r="AF1032">
            <v>52</v>
          </cell>
          <cell r="AG1032">
            <v>11.7</v>
          </cell>
          <cell r="AI1032">
            <v>50.9</v>
          </cell>
          <cell r="AU1032">
            <v>98.20790277947863</v>
          </cell>
          <cell r="AV1032">
            <v>98.717153849980249</v>
          </cell>
          <cell r="AX1032" t="str">
            <v>K. Benjamin</v>
          </cell>
        </row>
        <row r="1033">
          <cell r="A1033" t="str">
            <v>CA917</v>
          </cell>
          <cell r="P1033">
            <v>48</v>
          </cell>
          <cell r="Q1033">
            <v>3.9999999999999951</v>
          </cell>
          <cell r="T1033">
            <v>0.78194444444444444</v>
          </cell>
          <cell r="U1033">
            <v>0.8979166666666667</v>
          </cell>
          <cell r="V1033">
            <v>58</v>
          </cell>
          <cell r="Z1033">
            <v>0.26597222222222228</v>
          </cell>
          <cell r="AF1033">
            <v>52.5</v>
          </cell>
          <cell r="AG1033">
            <v>11.7</v>
          </cell>
          <cell r="AI1033">
            <v>51.9</v>
          </cell>
          <cell r="AU1033">
            <v>100.01437274181907</v>
          </cell>
          <cell r="AV1033">
            <v>100.53303254142017</v>
          </cell>
          <cell r="AX1033" t="str">
            <v>K. Benjamin</v>
          </cell>
        </row>
        <row r="1034">
          <cell r="A1034" t="str">
            <v>CA918</v>
          </cell>
          <cell r="P1034">
            <v>61</v>
          </cell>
          <cell r="Q1034">
            <v>7.5849056603773519</v>
          </cell>
          <cell r="T1034">
            <v>0.94374999999999998</v>
          </cell>
          <cell r="U1034">
            <v>1.0604166666666666</v>
          </cell>
          <cell r="V1034">
            <v>59</v>
          </cell>
          <cell r="Z1034">
            <v>0.24791666666666656</v>
          </cell>
          <cell r="AF1034">
            <v>50.9</v>
          </cell>
          <cell r="AG1034">
            <v>11.8</v>
          </cell>
          <cell r="AI1034">
            <v>48.9</v>
          </cell>
          <cell r="AU1034">
            <v>94.500569440843705</v>
          </cell>
          <cell r="AV1034">
            <v>94.9908295768183</v>
          </cell>
          <cell r="AX1034" t="str">
            <v>K. Benjamin</v>
          </cell>
        </row>
        <row r="1035">
          <cell r="A1035" t="str">
            <v>CA919</v>
          </cell>
          <cell r="P1035">
            <v>61</v>
          </cell>
          <cell r="Q1035">
            <v>4.7457627118644128</v>
          </cell>
          <cell r="T1035">
            <v>1.04375</v>
          </cell>
          <cell r="U1035">
            <v>1.1541666666666666</v>
          </cell>
          <cell r="V1035">
            <v>62</v>
          </cell>
          <cell r="Z1035">
            <v>0.25138888888888877</v>
          </cell>
          <cell r="AF1035">
            <v>51.7</v>
          </cell>
          <cell r="AG1035">
            <v>11.8</v>
          </cell>
          <cell r="AI1035">
            <v>49.8</v>
          </cell>
          <cell r="AU1035">
            <v>96.711954692426161</v>
          </cell>
          <cell r="AV1035">
            <v>97.213528563495316</v>
          </cell>
          <cell r="AX1035" t="str">
            <v>R. Regis</v>
          </cell>
        </row>
        <row r="1036">
          <cell r="A1036" t="str">
            <v>CA920</v>
          </cell>
          <cell r="P1036">
            <v>61</v>
          </cell>
          <cell r="Q1036">
            <v>4.5574387947269335</v>
          </cell>
          <cell r="T1036">
            <v>1.1381944444444445</v>
          </cell>
          <cell r="U1036">
            <v>1.2486111111111111</v>
          </cell>
          <cell r="V1036">
            <v>60</v>
          </cell>
          <cell r="Z1036">
            <v>0.23819444444444438</v>
          </cell>
          <cell r="AF1036">
            <v>51.8</v>
          </cell>
          <cell r="AG1036">
            <v>12</v>
          </cell>
          <cell r="AI1036">
            <v>50</v>
          </cell>
          <cell r="AU1036">
            <v>99.441250381629558</v>
          </cell>
          <cell r="AV1036">
            <v>99.956772834086991</v>
          </cell>
          <cell r="AX1036" t="str">
            <v>R. Regis</v>
          </cell>
        </row>
        <row r="1037">
          <cell r="A1037" t="str">
            <v>CA921</v>
          </cell>
          <cell r="P1037">
            <v>60</v>
          </cell>
          <cell r="Q1037">
            <v>4.7457627118644128</v>
          </cell>
          <cell r="T1037">
            <v>0.25</v>
          </cell>
          <cell r="U1037">
            <v>0.36527777777777776</v>
          </cell>
          <cell r="V1037">
            <v>65</v>
          </cell>
          <cell r="Z1037">
            <v>0.2472222222222222</v>
          </cell>
          <cell r="AF1037">
            <v>53</v>
          </cell>
          <cell r="AG1037">
            <v>11.7</v>
          </cell>
          <cell r="AI1037">
            <v>51.1</v>
          </cell>
          <cell r="AU1037">
            <v>98.472725377783348</v>
          </cell>
          <cell r="AV1037">
            <v>98.983390421321232</v>
          </cell>
          <cell r="AX1037" t="str">
            <v>R. Regis</v>
          </cell>
        </row>
        <row r="1038">
          <cell r="A1038" t="str">
            <v>CA922</v>
          </cell>
          <cell r="P1038">
            <v>18</v>
          </cell>
          <cell r="Q1038">
            <v>4.7457627118644128</v>
          </cell>
          <cell r="T1038">
            <v>0.3576388888888889</v>
          </cell>
          <cell r="U1038">
            <v>0.46875</v>
          </cell>
          <cell r="V1038">
            <v>62</v>
          </cell>
          <cell r="Z1038">
            <v>0.24652777777777779</v>
          </cell>
          <cell r="AF1038">
            <v>51.3</v>
          </cell>
          <cell r="AG1038">
            <v>11.8</v>
          </cell>
          <cell r="AI1038">
            <v>50.8</v>
          </cell>
          <cell r="AU1038">
            <v>99.018267346996709</v>
          </cell>
          <cell r="AV1038">
            <v>99.531679435108074</v>
          </cell>
          <cell r="AX1038" t="str">
            <v>R.Sookram</v>
          </cell>
        </row>
        <row r="1039">
          <cell r="A1039" t="str">
            <v>CA923</v>
          </cell>
          <cell r="P1039">
            <v>57</v>
          </cell>
          <cell r="Q1039">
            <v>3.0508474576271141</v>
          </cell>
          <cell r="T1039">
            <v>0.45208333333333334</v>
          </cell>
          <cell r="U1039">
            <v>0.56666666666666665</v>
          </cell>
          <cell r="V1039">
            <v>64</v>
          </cell>
          <cell r="Z1039">
            <v>0.25416666666666665</v>
          </cell>
          <cell r="AF1039">
            <v>53.1</v>
          </cell>
          <cell r="AG1039">
            <v>11.7</v>
          </cell>
          <cell r="AI1039">
            <v>52.6</v>
          </cell>
          <cell r="AU1039">
            <v>101.48793096661251</v>
          </cell>
          <cell r="AV1039">
            <v>102.01419042257291</v>
          </cell>
          <cell r="AX1039" t="str">
            <v>R.Sookram</v>
          </cell>
        </row>
        <row r="1040">
          <cell r="A1040" t="str">
            <v>CA924</v>
          </cell>
          <cell r="P1040">
            <v>59</v>
          </cell>
          <cell r="Q1040">
            <v>3.0508474576271141</v>
          </cell>
          <cell r="T1040">
            <v>0.5493055555555556</v>
          </cell>
          <cell r="U1040">
            <v>0.66597222222222219</v>
          </cell>
          <cell r="V1040">
            <v>69</v>
          </cell>
          <cell r="Z1040">
            <v>0.2631944444444444</v>
          </cell>
          <cell r="AF1040">
            <v>52.2</v>
          </cell>
          <cell r="AG1040">
            <v>11.8</v>
          </cell>
          <cell r="AI1040">
            <v>51.7</v>
          </cell>
          <cell r="AU1040">
            <v>100.77252798897109</v>
          </cell>
          <cell r="AV1040">
            <v>101.29503596053324</v>
          </cell>
          <cell r="AX1040" t="str">
            <v>R.Sookram</v>
          </cell>
        </row>
        <row r="1041">
          <cell r="A1041" t="str">
            <v>CA925</v>
          </cell>
          <cell r="P1041">
            <v>62</v>
          </cell>
          <cell r="Q1041">
            <v>2.4905660377358494</v>
          </cell>
          <cell r="T1041">
            <v>0.64513888888888893</v>
          </cell>
          <cell r="U1041">
            <v>0.76458333333333328</v>
          </cell>
          <cell r="V1041">
            <v>63</v>
          </cell>
          <cell r="Z1041">
            <v>0.2715277777777777</v>
          </cell>
          <cell r="AF1041">
            <v>52.4</v>
          </cell>
          <cell r="AG1041">
            <v>11.6</v>
          </cell>
          <cell r="AI1041">
            <v>50.8</v>
          </cell>
          <cell r="AU1041">
            <v>96.539951781203001</v>
          </cell>
          <cell r="AV1041">
            <v>97.040752576871895</v>
          </cell>
        </row>
      </sheetData>
      <sheetData sheetId="6"/>
      <sheetData sheetId="7">
        <row r="118">
          <cell r="D118">
            <v>11.7</v>
          </cell>
        </row>
        <row r="922">
          <cell r="D922">
            <v>11.9</v>
          </cell>
        </row>
        <row r="923">
          <cell r="D923">
            <v>11.8</v>
          </cell>
        </row>
        <row r="924">
          <cell r="D924">
            <v>11.6</v>
          </cell>
        </row>
        <row r="925">
          <cell r="D925">
            <v>12</v>
          </cell>
        </row>
        <row r="933">
          <cell r="D933">
            <v>11.6</v>
          </cell>
        </row>
        <row r="934">
          <cell r="D934">
            <v>11.6</v>
          </cell>
        </row>
        <row r="935">
          <cell r="D935">
            <v>11.7</v>
          </cell>
        </row>
        <row r="936">
          <cell r="D936">
            <v>11.8</v>
          </cell>
        </row>
        <row r="937">
          <cell r="D937">
            <v>11.7</v>
          </cell>
        </row>
        <row r="938">
          <cell r="D938">
            <v>11.6</v>
          </cell>
        </row>
        <row r="939">
          <cell r="D939">
            <v>12</v>
          </cell>
        </row>
        <row r="940">
          <cell r="D940">
            <v>11.7</v>
          </cell>
        </row>
        <row r="941">
          <cell r="D941">
            <v>11.8</v>
          </cell>
        </row>
        <row r="942">
          <cell r="D942">
            <v>11.7</v>
          </cell>
        </row>
        <row r="943">
          <cell r="D943">
            <v>11.6</v>
          </cell>
        </row>
        <row r="944">
          <cell r="D944">
            <v>11.8</v>
          </cell>
        </row>
        <row r="945">
          <cell r="D945">
            <v>11.6</v>
          </cell>
        </row>
        <row r="946">
          <cell r="D946">
            <v>11.65</v>
          </cell>
        </row>
        <row r="947">
          <cell r="D947">
            <v>11.6</v>
          </cell>
        </row>
        <row r="948">
          <cell r="D948">
            <v>11.8</v>
          </cell>
        </row>
        <row r="949">
          <cell r="D949">
            <v>11.5</v>
          </cell>
        </row>
        <row r="950">
          <cell r="D950">
            <v>12</v>
          </cell>
        </row>
        <row r="951">
          <cell r="D951">
            <v>11.8</v>
          </cell>
        </row>
        <row r="952">
          <cell r="D952">
            <v>11.7</v>
          </cell>
        </row>
        <row r="953">
          <cell r="D953">
            <v>11.8</v>
          </cell>
        </row>
        <row r="954">
          <cell r="D954">
            <v>11.9</v>
          </cell>
        </row>
        <row r="955">
          <cell r="D955">
            <v>11.9</v>
          </cell>
        </row>
        <row r="956">
          <cell r="D956">
            <v>11.8</v>
          </cell>
        </row>
        <row r="957">
          <cell r="D957">
            <v>11.8</v>
          </cell>
        </row>
        <row r="958">
          <cell r="D958">
            <v>11.6</v>
          </cell>
        </row>
        <row r="959">
          <cell r="D959">
            <v>11.9</v>
          </cell>
        </row>
        <row r="960">
          <cell r="D960">
            <v>11.7</v>
          </cell>
        </row>
        <row r="961">
          <cell r="D961">
            <v>11.6</v>
          </cell>
        </row>
        <row r="962">
          <cell r="D962">
            <v>11.9</v>
          </cell>
        </row>
        <row r="963">
          <cell r="D963">
            <v>11.8</v>
          </cell>
        </row>
        <row r="964">
          <cell r="D964">
            <v>11.7</v>
          </cell>
        </row>
        <row r="965">
          <cell r="D965">
            <v>11.7</v>
          </cell>
        </row>
        <row r="966">
          <cell r="D966">
            <v>11.7</v>
          </cell>
        </row>
        <row r="967">
          <cell r="D967">
            <v>11.7</v>
          </cell>
        </row>
        <row r="968">
          <cell r="D968">
            <v>11.6</v>
          </cell>
        </row>
        <row r="969">
          <cell r="D969">
            <v>11.8</v>
          </cell>
        </row>
        <row r="970">
          <cell r="D970">
            <v>11.5</v>
          </cell>
        </row>
        <row r="971">
          <cell r="D971">
            <v>11.7</v>
          </cell>
        </row>
        <row r="972">
          <cell r="D972">
            <v>11.6</v>
          </cell>
        </row>
        <row r="973">
          <cell r="D973">
            <v>11.9</v>
          </cell>
        </row>
        <row r="974">
          <cell r="D974">
            <v>12</v>
          </cell>
        </row>
        <row r="975">
          <cell r="D975">
            <v>11.8</v>
          </cell>
        </row>
        <row r="976">
          <cell r="D976">
            <v>11.9</v>
          </cell>
        </row>
        <row r="977">
          <cell r="D977">
            <v>12</v>
          </cell>
        </row>
        <row r="978">
          <cell r="D978">
            <v>11.6</v>
          </cell>
        </row>
        <row r="979">
          <cell r="D979">
            <v>11.7</v>
          </cell>
        </row>
        <row r="980">
          <cell r="D980">
            <v>11.8</v>
          </cell>
        </row>
        <row r="981">
          <cell r="D981">
            <v>11.6</v>
          </cell>
        </row>
        <row r="982">
          <cell r="D982">
            <v>11.6</v>
          </cell>
        </row>
        <row r="1007">
          <cell r="D1007">
            <v>11.6</v>
          </cell>
        </row>
        <row r="1008">
          <cell r="D1008">
            <v>12</v>
          </cell>
        </row>
        <row r="1009">
          <cell r="D1009">
            <v>11.9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December '25"/>
      <sheetName val="Summary November '25"/>
      <sheetName val="Summary October '25"/>
      <sheetName val="Packaging"/>
      <sheetName val="Summary September '25"/>
      <sheetName val="Summary August '25 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S275">
            <v>100.83968282378231</v>
          </cell>
        </row>
        <row r="276">
          <cell r="AS276">
            <v>98.000691311781651</v>
          </cell>
        </row>
        <row r="277">
          <cell r="AS277">
            <v>95.275370361295259</v>
          </cell>
        </row>
        <row r="278">
          <cell r="AS278">
            <v>99.435001915530592</v>
          </cell>
        </row>
        <row r="279">
          <cell r="AS279">
            <v>97.94507238785738</v>
          </cell>
        </row>
        <row r="280">
          <cell r="AS280">
            <v>99.110223835402621</v>
          </cell>
        </row>
        <row r="281">
          <cell r="AS281">
            <v>100.65592417780644</v>
          </cell>
        </row>
        <row r="282">
          <cell r="AS282">
            <v>100.79115794415183</v>
          </cell>
        </row>
        <row r="283">
          <cell r="AS283">
            <v>95.671525747412886</v>
          </cell>
        </row>
        <row r="284">
          <cell r="AS284">
            <v>100.15485918919744</v>
          </cell>
        </row>
        <row r="285">
          <cell r="AS285">
            <v>99.466530990769641</v>
          </cell>
        </row>
        <row r="286">
          <cell r="AS286">
            <v>99.322856790756248</v>
          </cell>
        </row>
        <row r="287">
          <cell r="AS287">
            <v>100.43952535225938</v>
          </cell>
        </row>
        <row r="288">
          <cell r="AS288">
            <v>100.37889099709263</v>
          </cell>
        </row>
        <row r="289">
          <cell r="AS289">
            <v>101.16617641667767</v>
          </cell>
        </row>
        <row r="290">
          <cell r="AS290">
            <v>101.03912436611778</v>
          </cell>
        </row>
        <row r="291">
          <cell r="AS291">
            <v>96.474643951399159</v>
          </cell>
        </row>
        <row r="292">
          <cell r="AS292">
            <v>98.534580149559787</v>
          </cell>
        </row>
        <row r="293">
          <cell r="AS293">
            <v>99.21410144378406</v>
          </cell>
        </row>
        <row r="294">
          <cell r="AS294">
            <v>98.988095579595708</v>
          </cell>
        </row>
        <row r="295">
          <cell r="AS295">
            <v>99.851352600758617</v>
          </cell>
        </row>
        <row r="296">
          <cell r="AS296">
            <v>100.36291507352458</v>
          </cell>
        </row>
        <row r="297">
          <cell r="AS297">
            <v>100.11017578568983</v>
          </cell>
        </row>
        <row r="298">
          <cell r="AS298">
            <v>99.78653482584231</v>
          </cell>
        </row>
        <row r="299">
          <cell r="AS299">
            <v>97.131691546615258</v>
          </cell>
        </row>
        <row r="300">
          <cell r="AS300">
            <v>100.50822817449973</v>
          </cell>
        </row>
        <row r="301">
          <cell r="AS301">
            <v>99.547251884193614</v>
          </cell>
        </row>
        <row r="302">
          <cell r="AS302">
            <v>100.38565192460212</v>
          </cell>
        </row>
        <row r="303">
          <cell r="AS303">
            <v>102.86759733937893</v>
          </cell>
        </row>
        <row r="304">
          <cell r="AS304">
            <v>93.690612514496564</v>
          </cell>
        </row>
        <row r="305">
          <cell r="AS305">
            <v>94.202503008813892</v>
          </cell>
        </row>
        <row r="306">
          <cell r="AS306">
            <v>99.822653073625858</v>
          </cell>
        </row>
        <row r="307">
          <cell r="AS307">
            <v>97.222694469498265</v>
          </cell>
        </row>
        <row r="308">
          <cell r="AS308">
            <v>100.1928378850634</v>
          </cell>
        </row>
        <row r="309">
          <cell r="AS309">
            <v>98.959067698121331</v>
          </cell>
        </row>
        <row r="310">
          <cell r="AS310">
            <v>101.75751144156999</v>
          </cell>
        </row>
        <row r="311">
          <cell r="AS311">
            <v>93.975252209934993</v>
          </cell>
        </row>
        <row r="312">
          <cell r="AS312">
            <v>101.56488400108132</v>
          </cell>
        </row>
        <row r="313">
          <cell r="AS313">
            <v>99.768359962874058</v>
          </cell>
        </row>
        <row r="314">
          <cell r="AS314">
            <v>100.20347494466111</v>
          </cell>
        </row>
        <row r="315">
          <cell r="AS315">
            <v>94.928429491720962</v>
          </cell>
        </row>
        <row r="316">
          <cell r="AS316">
            <v>99.544399636138706</v>
          </cell>
        </row>
        <row r="317">
          <cell r="AS317">
            <v>99.816505716242673</v>
          </cell>
        </row>
        <row r="318">
          <cell r="AS318">
            <v>99.237925273194392</v>
          </cell>
        </row>
        <row r="319">
          <cell r="AS319">
            <v>98.818203292397726</v>
          </cell>
        </row>
        <row r="320">
          <cell r="AS320">
            <v>100.05733894116882</v>
          </cell>
        </row>
        <row r="321">
          <cell r="AS321">
            <v>97.785382132528241</v>
          </cell>
        </row>
        <row r="322">
          <cell r="AS322">
            <v>100.40336592166086</v>
          </cell>
        </row>
        <row r="324">
          <cell r="AS324">
            <v>99.121855899264773</v>
          </cell>
        </row>
        <row r="325">
          <cell r="AS325">
            <v>95.100831252620765</v>
          </cell>
        </row>
        <row r="326">
          <cell r="AS326">
            <v>99.765519886214733</v>
          </cell>
        </row>
        <row r="327">
          <cell r="AS327">
            <v>98.303135744343052</v>
          </cell>
        </row>
        <row r="328">
          <cell r="AS328">
            <v>99.780556584963307</v>
          </cell>
        </row>
        <row r="329">
          <cell r="AS329">
            <v>102.38160745340335</v>
          </cell>
        </row>
        <row r="330">
          <cell r="AS330">
            <v>97.414066657172469</v>
          </cell>
        </row>
        <row r="331">
          <cell r="AS331">
            <v>95.738445955419465</v>
          </cell>
        </row>
        <row r="332">
          <cell r="AS332">
            <v>87.041642336261077</v>
          </cell>
        </row>
        <row r="333">
          <cell r="AS333">
            <v>101.9986872683758</v>
          </cell>
        </row>
        <row r="334">
          <cell r="AS334">
            <v>98.410561007255168</v>
          </cell>
        </row>
        <row r="335">
          <cell r="AS335">
            <v>104.78294066497524</v>
          </cell>
        </row>
        <row r="336">
          <cell r="AS336">
            <v>92.564718768769609</v>
          </cell>
        </row>
        <row r="337">
          <cell r="AS337">
            <v>98.984174791371231</v>
          </cell>
        </row>
        <row r="338">
          <cell r="AS338">
            <v>97.202771278717563</v>
          </cell>
        </row>
        <row r="339">
          <cell r="AS339">
            <v>98.457184785796485</v>
          </cell>
        </row>
        <row r="340">
          <cell r="AS340">
            <v>97.823655817296242</v>
          </cell>
        </row>
        <row r="341">
          <cell r="AS341">
            <v>97.733563925602468</v>
          </cell>
        </row>
        <row r="342">
          <cell r="AS342">
            <v>98.523330098738654</v>
          </cell>
        </row>
        <row r="343">
          <cell r="AS343">
            <v>99.02272240380006</v>
          </cell>
        </row>
        <row r="344">
          <cell r="AS344">
            <v>94.613353191374685</v>
          </cell>
        </row>
        <row r="345">
          <cell r="AS345">
            <v>99.938312405651004</v>
          </cell>
        </row>
        <row r="346">
          <cell r="AS346">
            <v>97.966859207422701</v>
          </cell>
        </row>
        <row r="347">
          <cell r="AS347">
            <v>95.088374890616095</v>
          </cell>
        </row>
        <row r="348">
          <cell r="AS348">
            <v>96.848486613901059</v>
          </cell>
        </row>
        <row r="349">
          <cell r="AS349">
            <v>100.11666028610431</v>
          </cell>
        </row>
        <row r="350">
          <cell r="AS350">
            <v>98.449086685086911</v>
          </cell>
        </row>
        <row r="351">
          <cell r="AS351">
            <v>99.364341668365995</v>
          </cell>
        </row>
        <row r="352">
          <cell r="AS352">
            <v>96.250646252877047</v>
          </cell>
        </row>
        <row r="353">
          <cell r="AS353">
            <v>98.626177673601688</v>
          </cell>
        </row>
        <row r="354">
          <cell r="AS354">
            <v>99.286195716080925</v>
          </cell>
        </row>
        <row r="355">
          <cell r="AS355">
            <v>96.567361522018899</v>
          </cell>
        </row>
        <row r="356">
          <cell r="AS356">
            <v>99.68944278657402</v>
          </cell>
        </row>
        <row r="357">
          <cell r="AS357">
            <v>99.564386645320724</v>
          </cell>
        </row>
        <row r="358">
          <cell r="AS358">
            <v>98.706657837081977</v>
          </cell>
        </row>
        <row r="359">
          <cell r="AS359">
            <v>98.93042550475694</v>
          </cell>
        </row>
        <row r="361">
          <cell r="AS361">
            <v>97.12415794993052</v>
          </cell>
        </row>
        <row r="362">
          <cell r="AS362">
            <v>96.949048686673478</v>
          </cell>
        </row>
        <row r="363">
          <cell r="AS363">
            <v>98.005638133271461</v>
          </cell>
        </row>
        <row r="364">
          <cell r="AS364">
            <v>98.378407502765299</v>
          </cell>
        </row>
        <row r="365">
          <cell r="AS365">
            <v>96.134556183612816</v>
          </cell>
        </row>
        <row r="366">
          <cell r="AS366">
            <v>96.156009433612752</v>
          </cell>
        </row>
        <row r="367">
          <cell r="AS367">
            <v>95.68216946245451</v>
          </cell>
        </row>
        <row r="368">
          <cell r="AS368">
            <v>98.783378522979277</v>
          </cell>
        </row>
        <row r="369">
          <cell r="AS369">
            <v>99.598796102027222</v>
          </cell>
        </row>
        <row r="370">
          <cell r="AS370">
            <v>96.927020956038035</v>
          </cell>
        </row>
        <row r="371">
          <cell r="AS371">
            <v>97.234327492356584</v>
          </cell>
        </row>
        <row r="372">
          <cell r="AS372">
            <v>98.088904356977224</v>
          </cell>
        </row>
        <row r="373">
          <cell r="AS373">
            <v>98.286664244793712</v>
          </cell>
        </row>
        <row r="374">
          <cell r="AS374">
            <v>99.598796102027222</v>
          </cell>
        </row>
        <row r="375">
          <cell r="AS375">
            <v>97.745221120811337</v>
          </cell>
        </row>
        <row r="376">
          <cell r="AS376">
            <v>97.933766526241584</v>
          </cell>
        </row>
        <row r="377">
          <cell r="AS377">
            <v>93.319913077052291</v>
          </cell>
        </row>
        <row r="378">
          <cell r="AS378">
            <v>99.239577105440517</v>
          </cell>
        </row>
        <row r="379">
          <cell r="AS379">
            <v>93.440417849192812</v>
          </cell>
        </row>
        <row r="380">
          <cell r="AS380">
            <v>97.798077676001839</v>
          </cell>
        </row>
        <row r="381">
          <cell r="AS381">
            <v>99.514159435199218</v>
          </cell>
        </row>
        <row r="382">
          <cell r="AS382">
            <v>98.57673064663615</v>
          </cell>
        </row>
        <row r="383">
          <cell r="AS383">
            <v>99.443122984760095</v>
          </cell>
        </row>
        <row r="384">
          <cell r="AS384">
            <v>98.486097080031854</v>
          </cell>
        </row>
        <row r="385">
          <cell r="AS385">
            <v>95.159494775120166</v>
          </cell>
        </row>
        <row r="386">
          <cell r="AS386">
            <v>97.742111543547239</v>
          </cell>
        </row>
        <row r="387">
          <cell r="AS387">
            <v>99.47959671281491</v>
          </cell>
        </row>
        <row r="388">
          <cell r="AS388">
            <v>95.038520748721737</v>
          </cell>
        </row>
        <row r="389">
          <cell r="AS389">
            <v>97.870704600426876</v>
          </cell>
        </row>
        <row r="390">
          <cell r="AS390">
            <v>98.26248465034702</v>
          </cell>
        </row>
        <row r="391">
          <cell r="AS391">
            <v>96.964435966121528</v>
          </cell>
        </row>
        <row r="392">
          <cell r="AS392">
            <v>97.546222581918258</v>
          </cell>
        </row>
        <row r="393">
          <cell r="AS393">
            <v>95.020750870329579</v>
          </cell>
        </row>
        <row r="394">
          <cell r="AS394">
            <v>102.00760320196547</v>
          </cell>
        </row>
        <row r="395">
          <cell r="AS395">
            <v>95.894539911363424</v>
          </cell>
        </row>
        <row r="396">
          <cell r="AS396">
            <v>95.472444359320335</v>
          </cell>
        </row>
        <row r="397">
          <cell r="AS397">
            <v>93.591928355282732</v>
          </cell>
        </row>
        <row r="399">
          <cell r="AS399">
            <v>92.950608655346528</v>
          </cell>
        </row>
        <row r="400">
          <cell r="AS400">
            <v>98.21567348646829</v>
          </cell>
        </row>
        <row r="401">
          <cell r="AS401">
            <v>96.958134965940886</v>
          </cell>
        </row>
        <row r="402">
          <cell r="AS402">
            <v>96.206841245124153</v>
          </cell>
        </row>
        <row r="403">
          <cell r="AS403">
            <v>98.472931740070507</v>
          </cell>
        </row>
        <row r="404">
          <cell r="AS404">
            <v>97.414066657172469</v>
          </cell>
        </row>
        <row r="405">
          <cell r="AS405">
            <v>98.057442078732436</v>
          </cell>
        </row>
        <row r="406">
          <cell r="AS406">
            <v>98.138683160787593</v>
          </cell>
        </row>
        <row r="407">
          <cell r="AS407">
            <v>99.74535121294204</v>
          </cell>
        </row>
        <row r="408">
          <cell r="AS408">
            <v>97.604360684392503</v>
          </cell>
        </row>
        <row r="409">
          <cell r="AS409">
            <v>96.734512119595152</v>
          </cell>
        </row>
        <row r="410">
          <cell r="AS410">
            <v>100.54045701826311</v>
          </cell>
        </row>
        <row r="411">
          <cell r="AS411">
            <v>102.38962605645567</v>
          </cell>
        </row>
        <row r="412">
          <cell r="AS412">
            <v>100.1268396170539</v>
          </cell>
        </row>
        <row r="413">
          <cell r="AS413">
            <v>95.728834855551185</v>
          </cell>
        </row>
        <row r="414">
          <cell r="AS414">
            <v>98.639696876676041</v>
          </cell>
        </row>
        <row r="415">
          <cell r="AS415">
            <v>97.402919466213262</v>
          </cell>
        </row>
        <row r="416">
          <cell r="AS416">
            <v>97.834833613698663</v>
          </cell>
        </row>
        <row r="417">
          <cell r="AS417">
            <v>100.56337298015596</v>
          </cell>
        </row>
        <row r="418">
          <cell r="AS418">
            <v>97.57174273622779</v>
          </cell>
        </row>
        <row r="419">
          <cell r="AS419">
            <v>98.561314163572874</v>
          </cell>
        </row>
        <row r="420">
          <cell r="AS420">
            <v>94.453686243503554</v>
          </cell>
        </row>
        <row r="421">
          <cell r="AS421">
            <v>97.933378236938694</v>
          </cell>
        </row>
        <row r="422">
          <cell r="AS422">
            <v>95.524482724698444</v>
          </cell>
        </row>
        <row r="423">
          <cell r="AS423">
            <v>98.616972818330652</v>
          </cell>
        </row>
        <row r="424">
          <cell r="AS424">
            <v>95.695423158912149</v>
          </cell>
        </row>
        <row r="425">
          <cell r="AS425">
            <v>97.021219458619385</v>
          </cell>
        </row>
        <row r="426">
          <cell r="AS426">
            <v>96.866892814423892</v>
          </cell>
        </row>
        <row r="427">
          <cell r="AS427">
            <v>97.235138963004928</v>
          </cell>
        </row>
        <row r="428">
          <cell r="AS428">
            <v>92.673233606779775</v>
          </cell>
        </row>
        <row r="429">
          <cell r="AS429">
            <v>98.299248654282238</v>
          </cell>
        </row>
        <row r="430">
          <cell r="AS430">
            <v>95.765747077302663</v>
          </cell>
        </row>
        <row r="431">
          <cell r="AS431">
            <v>96.30112740094556</v>
          </cell>
        </row>
        <row r="432">
          <cell r="AS432">
            <v>95.62674232392358</v>
          </cell>
        </row>
        <row r="433">
          <cell r="AS433">
            <v>98.944736715653534</v>
          </cell>
        </row>
        <row r="434">
          <cell r="AS434">
            <v>98.820998709085245</v>
          </cell>
        </row>
        <row r="435">
          <cell r="AS435">
            <v>99.164238456440273</v>
          </cell>
        </row>
        <row r="436">
          <cell r="AS436">
            <v>92.357399362533982</v>
          </cell>
        </row>
        <row r="437">
          <cell r="AS437">
            <v>98.174339715177652</v>
          </cell>
        </row>
        <row r="438">
          <cell r="AS438">
            <v>94.612676020841974</v>
          </cell>
        </row>
        <row r="439">
          <cell r="AS439">
            <v>96.88502566894006</v>
          </cell>
        </row>
        <row r="440">
          <cell r="AS440">
            <v>96.278354818861374</v>
          </cell>
        </row>
        <row r="441">
          <cell r="AS441">
            <v>96.371396355775389</v>
          </cell>
        </row>
        <row r="442">
          <cell r="AS442">
            <v>98.044791169581174</v>
          </cell>
        </row>
        <row r="443">
          <cell r="AS443">
            <v>98.293312348289959</v>
          </cell>
        </row>
        <row r="444">
          <cell r="AS444">
            <v>93.219338282985191</v>
          </cell>
        </row>
        <row r="445">
          <cell r="AS445">
            <v>98.413240959805805</v>
          </cell>
        </row>
        <row r="446">
          <cell r="AS446">
            <v>98.539260077479966</v>
          </cell>
        </row>
        <row r="447">
          <cell r="AS447">
            <v>96.962631916240284</v>
          </cell>
        </row>
        <row r="449">
          <cell r="AS449">
            <v>109.14773514072522</v>
          </cell>
        </row>
        <row r="450">
          <cell r="AS450">
            <v>96.805862263667493</v>
          </cell>
        </row>
        <row r="451">
          <cell r="AS451">
            <v>97.531364875406652</v>
          </cell>
        </row>
        <row r="452">
          <cell r="AS452">
            <v>96.91654844456977</v>
          </cell>
        </row>
        <row r="453">
          <cell r="AS453">
            <v>98.321653626332392</v>
          </cell>
        </row>
        <row r="454">
          <cell r="AS454">
            <v>98.662209361823813</v>
          </cell>
        </row>
        <row r="455">
          <cell r="AS455">
            <v>95.546445661073022</v>
          </cell>
        </row>
        <row r="456">
          <cell r="AS456">
            <v>98.798110377024656</v>
          </cell>
        </row>
        <row r="457">
          <cell r="AS457">
            <v>95.471136285214527</v>
          </cell>
        </row>
        <row r="458">
          <cell r="AS458">
            <v>96.855818208238404</v>
          </cell>
        </row>
        <row r="459">
          <cell r="AS459">
            <v>94.960555395961549</v>
          </cell>
        </row>
        <row r="460">
          <cell r="AS460">
            <v>100.79066520141535</v>
          </cell>
        </row>
        <row r="461">
          <cell r="AS461">
            <v>94.468212745964692</v>
          </cell>
        </row>
        <row r="462">
          <cell r="AS462">
            <v>97.192444367259839</v>
          </cell>
        </row>
        <row r="463">
          <cell r="AS463">
            <v>98.893221049037479</v>
          </cell>
        </row>
        <row r="464">
          <cell r="AS464">
            <v>97.612534195473771</v>
          </cell>
        </row>
        <row r="465">
          <cell r="AS465">
            <v>97.292791915815897</v>
          </cell>
        </row>
        <row r="466">
          <cell r="AS466">
            <v>96.807101008605684</v>
          </cell>
        </row>
        <row r="467">
          <cell r="AS467">
            <v>94.860472117920509</v>
          </cell>
        </row>
        <row r="468">
          <cell r="AS468">
            <v>95.628503044964347</v>
          </cell>
        </row>
        <row r="469">
          <cell r="AS469">
            <v>97.05969995485745</v>
          </cell>
        </row>
        <row r="470">
          <cell r="AS470">
            <v>97.244564358036726</v>
          </cell>
        </row>
        <row r="471">
          <cell r="AS471">
            <v>91.014361605375811</v>
          </cell>
        </row>
        <row r="472">
          <cell r="AS472">
            <v>97.400676484741709</v>
          </cell>
        </row>
        <row r="473">
          <cell r="AS473">
            <v>96.92710466931149</v>
          </cell>
        </row>
        <row r="474">
          <cell r="AS474">
            <v>93.597189250489166</v>
          </cell>
        </row>
        <row r="475">
          <cell r="AS475">
            <v>95.316244753839001</v>
          </cell>
        </row>
        <row r="476">
          <cell r="AS476">
            <v>97.821198712349656</v>
          </cell>
        </row>
        <row r="477">
          <cell r="AS477">
            <v>94.461776426174509</v>
          </cell>
        </row>
        <row r="478">
          <cell r="AS478">
            <v>95.5886188090102</v>
          </cell>
        </row>
        <row r="479">
          <cell r="AS479">
            <v>96.342013714051987</v>
          </cell>
        </row>
        <row r="480">
          <cell r="AS480">
            <v>97.523568316559476</v>
          </cell>
        </row>
        <row r="481">
          <cell r="AS481">
            <v>99.070542398663576</v>
          </cell>
        </row>
        <row r="482">
          <cell r="AS482">
            <v>99.432002244689329</v>
          </cell>
        </row>
        <row r="483">
          <cell r="AS483">
            <v>94.082139500864798</v>
          </cell>
        </row>
        <row r="484">
          <cell r="AS484">
            <v>94.169348252940196</v>
          </cell>
        </row>
        <row r="486">
          <cell r="A486" t="str">
            <v>ST461</v>
          </cell>
          <cell r="P486">
            <v>59</v>
          </cell>
          <cell r="Q486">
            <v>15.336538461538465</v>
          </cell>
          <cell r="T486">
            <v>0.52500000000000002</v>
          </cell>
          <cell r="U486">
            <v>0.63194444444444442</v>
          </cell>
          <cell r="V486">
            <v>50</v>
          </cell>
          <cell r="AD486">
            <v>46.7</v>
          </cell>
          <cell r="AE486">
            <v>11.8</v>
          </cell>
          <cell r="AG486">
            <v>49.81</v>
          </cell>
          <cell r="AS486">
            <v>98.902019427458782</v>
          </cell>
          <cell r="AT486">
            <v>99.004796709252176</v>
          </cell>
          <cell r="AV486" t="str">
            <v>K. Benjamin</v>
          </cell>
          <cell r="AW486">
            <v>0.24305555555555552</v>
          </cell>
        </row>
        <row r="487">
          <cell r="A487" t="str">
            <v>ST462</v>
          </cell>
          <cell r="P487">
            <v>59</v>
          </cell>
          <cell r="Q487">
            <v>11.105769230769228</v>
          </cell>
          <cell r="T487">
            <v>0.61458333333333337</v>
          </cell>
          <cell r="U487">
            <v>0.72291666666666665</v>
          </cell>
          <cell r="V487">
            <v>58</v>
          </cell>
          <cell r="AD487">
            <v>48.2</v>
          </cell>
          <cell r="AE487">
            <v>12</v>
          </cell>
          <cell r="AG487">
            <v>48.5</v>
          </cell>
          <cell r="AS487">
            <v>98.26316865185926</v>
          </cell>
          <cell r="AT487">
            <v>98.365215207576156</v>
          </cell>
          <cell r="AV487" t="str">
            <v>K. Benjamin</v>
          </cell>
          <cell r="AW487">
            <v>0.24374999999999997</v>
          </cell>
        </row>
        <row r="488">
          <cell r="A488" t="str">
            <v>ST463</v>
          </cell>
          <cell r="P488">
            <v>61</v>
          </cell>
          <cell r="Q488">
            <v>11.852207293666021</v>
          </cell>
          <cell r="T488">
            <v>0.71111111111111114</v>
          </cell>
          <cell r="U488">
            <v>0.81736111111111109</v>
          </cell>
          <cell r="V488">
            <v>55</v>
          </cell>
          <cell r="AD488">
            <v>47.1</v>
          </cell>
          <cell r="AE488">
            <v>11.9</v>
          </cell>
          <cell r="AG488">
            <v>47.2</v>
          </cell>
          <cell r="AS488">
            <v>94.910600429356919</v>
          </cell>
          <cell r="AT488">
            <v>95.009132931558497</v>
          </cell>
          <cell r="AV488" t="str">
            <v>R. Regis</v>
          </cell>
          <cell r="AW488">
            <v>0.24791666666666667</v>
          </cell>
        </row>
        <row r="489">
          <cell r="A489" t="str">
            <v>ST464</v>
          </cell>
          <cell r="P489">
            <v>60</v>
          </cell>
          <cell r="Q489">
            <v>11.276391554702494</v>
          </cell>
          <cell r="T489">
            <v>0.80486111111111114</v>
          </cell>
          <cell r="U489">
            <v>0.91319444444444442</v>
          </cell>
          <cell r="V489">
            <v>58</v>
          </cell>
          <cell r="AD489">
            <v>48.2</v>
          </cell>
          <cell r="AE489">
            <v>12</v>
          </cell>
          <cell r="AG489">
            <v>47.26</v>
          </cell>
          <cell r="AS489">
            <v>94.333843875735141</v>
          </cell>
          <cell r="AT489">
            <v>94.432190092792055</v>
          </cell>
          <cell r="AV489" t="str">
            <v>R. Regis</v>
          </cell>
          <cell r="AW489">
            <v>0.24652777777777779</v>
          </cell>
        </row>
        <row r="490">
          <cell r="A490" t="str">
            <v>ST465</v>
          </cell>
          <cell r="P490">
            <v>58</v>
          </cell>
          <cell r="Q490">
            <v>10.700575815738969</v>
          </cell>
          <cell r="T490">
            <v>0.90486111111111112</v>
          </cell>
          <cell r="U490">
            <v>1.0694444444444444</v>
          </cell>
          <cell r="V490">
            <v>59</v>
          </cell>
          <cell r="AD490">
            <v>50.5</v>
          </cell>
          <cell r="AE490">
            <v>11.7</v>
          </cell>
          <cell r="AG490">
            <v>49.48</v>
          </cell>
          <cell r="AS490">
            <v>97.249562918834613</v>
          </cell>
          <cell r="AT490">
            <v>97.350655949360814</v>
          </cell>
          <cell r="AV490" t="str">
            <v>R. Regis</v>
          </cell>
          <cell r="AW490">
            <v>0.30208333333333326</v>
          </cell>
        </row>
        <row r="491">
          <cell r="A491" t="str">
            <v>ST466</v>
          </cell>
          <cell r="P491">
            <v>61</v>
          </cell>
          <cell r="Q491">
            <v>10.144230769230766</v>
          </cell>
          <cell r="T491">
            <v>1.0423611111111111</v>
          </cell>
          <cell r="U491">
            <v>1.1555555555555554</v>
          </cell>
          <cell r="V491">
            <v>58</v>
          </cell>
          <cell r="AD491">
            <v>49.4</v>
          </cell>
          <cell r="AE491">
            <v>11.7</v>
          </cell>
          <cell r="AG491">
            <v>48.43</v>
          </cell>
          <cell r="AS491">
            <v>95.185859582844785</v>
          </cell>
          <cell r="AT491">
            <v>95.28480734898028</v>
          </cell>
          <cell r="AV491" t="str">
            <v>R.Sookram</v>
          </cell>
          <cell r="AW491">
            <v>0.29097222222222208</v>
          </cell>
        </row>
        <row r="492">
          <cell r="A492" t="str">
            <v>ST467</v>
          </cell>
          <cell r="P492">
            <v>56</v>
          </cell>
          <cell r="Q492">
            <v>12.811900191938575</v>
          </cell>
          <cell r="T492">
            <v>1.1944444444444444</v>
          </cell>
          <cell r="U492">
            <v>1.2986111111111112</v>
          </cell>
          <cell r="V492">
            <v>56</v>
          </cell>
          <cell r="AD492">
            <v>48.1</v>
          </cell>
          <cell r="AE492">
            <v>11.9</v>
          </cell>
          <cell r="AG492">
            <v>47.4</v>
          </cell>
          <cell r="AS492">
            <v>95.193452814567109</v>
          </cell>
          <cell r="AT492">
            <v>95.29231146241861</v>
          </cell>
          <cell r="AV492" t="str">
            <v>R.Sookram</v>
          </cell>
          <cell r="AW492">
            <v>0.25694444444444442</v>
          </cell>
        </row>
        <row r="493">
          <cell r="A493" t="str">
            <v>ST468</v>
          </cell>
          <cell r="P493">
            <v>62</v>
          </cell>
          <cell r="Q493">
            <v>10.913461538461533</v>
          </cell>
          <cell r="T493">
            <v>0.32013888888888886</v>
          </cell>
          <cell r="U493">
            <v>0.43611111111111112</v>
          </cell>
          <cell r="V493">
            <v>58</v>
          </cell>
          <cell r="AD493">
            <v>47.9</v>
          </cell>
          <cell r="AE493">
            <v>12</v>
          </cell>
          <cell r="AG493">
            <v>45.8</v>
          </cell>
          <cell r="AS493">
            <v>93.142631827925101</v>
          </cell>
          <cell r="AT493">
            <v>93.239265055815039</v>
          </cell>
          <cell r="AV493" t="str">
            <v>K. Benjamin</v>
          </cell>
          <cell r="AW493">
            <v>0.29027777777777775</v>
          </cell>
        </row>
        <row r="494">
          <cell r="A494" t="str">
            <v>ST469</v>
          </cell>
          <cell r="P494">
            <v>59</v>
          </cell>
          <cell r="Q494">
            <v>10.144230769230766</v>
          </cell>
          <cell r="T494">
            <v>0.60555555555555551</v>
          </cell>
          <cell r="U494">
            <v>0.72083333333333333</v>
          </cell>
          <cell r="V494">
            <v>60</v>
          </cell>
          <cell r="AD494">
            <v>48.3</v>
          </cell>
          <cell r="AE494">
            <v>11.8</v>
          </cell>
          <cell r="AG494">
            <v>49.21</v>
          </cell>
          <cell r="AS494">
            <v>97.832827979542373</v>
          </cell>
          <cell r="AT494">
            <v>97.934460942230388</v>
          </cell>
          <cell r="AV494" t="str">
            <v>K. Benjamin</v>
          </cell>
          <cell r="AW494">
            <v>0.26250000000000001</v>
          </cell>
        </row>
        <row r="495">
          <cell r="A495" t="str">
            <v>ST470</v>
          </cell>
          <cell r="P495">
            <v>60</v>
          </cell>
          <cell r="Q495">
            <v>9.7408829174664167</v>
          </cell>
          <cell r="T495">
            <v>0.68958333333333333</v>
          </cell>
          <cell r="U495">
            <v>0.80347222222222225</v>
          </cell>
          <cell r="V495">
            <v>61</v>
          </cell>
          <cell r="AD495">
            <v>49</v>
          </cell>
          <cell r="AE495">
            <v>12</v>
          </cell>
          <cell r="AG495">
            <v>48.8</v>
          </cell>
          <cell r="AS495">
            <v>99.119133938675546</v>
          </cell>
          <cell r="AT495">
            <v>99.22200165262079</v>
          </cell>
          <cell r="AV495" t="str">
            <v>R. Regis</v>
          </cell>
          <cell r="AW495">
            <v>0.33819444444444446</v>
          </cell>
        </row>
        <row r="496">
          <cell r="A496" t="str">
            <v>ST471</v>
          </cell>
          <cell r="P496">
            <v>60</v>
          </cell>
          <cell r="Q496">
            <v>14.951923076923073</v>
          </cell>
          <cell r="T496">
            <v>0.52777777777777779</v>
          </cell>
          <cell r="U496">
            <v>0.65902777777777777</v>
          </cell>
          <cell r="V496">
            <v>55</v>
          </cell>
          <cell r="AD496">
            <v>46.9</v>
          </cell>
          <cell r="AE496">
            <v>11.9</v>
          </cell>
          <cell r="AG496">
            <v>47.1</v>
          </cell>
          <cell r="AS496">
            <v>94.354738740056135</v>
          </cell>
          <cell r="AT496">
            <v>94.452790565773796</v>
          </cell>
          <cell r="AV496" t="str">
            <v>K. Benjamin</v>
          </cell>
          <cell r="AW496">
            <v>0.25972222222222219</v>
          </cell>
        </row>
        <row r="497">
          <cell r="A497" t="str">
            <v>ST472</v>
          </cell>
          <cell r="P497">
            <v>61</v>
          </cell>
          <cell r="Q497">
            <v>11.852207293666021</v>
          </cell>
          <cell r="T497">
            <v>0.6118055555555556</v>
          </cell>
          <cell r="U497">
            <v>0.72430555555555554</v>
          </cell>
          <cell r="V497">
            <v>56</v>
          </cell>
          <cell r="AD497">
            <v>47.9</v>
          </cell>
          <cell r="AE497">
            <v>12</v>
          </cell>
          <cell r="AG497">
            <v>45.4</v>
          </cell>
          <cell r="AS497">
            <v>91.982430036998167</v>
          </cell>
          <cell r="AT497">
            <v>92.077954029359972</v>
          </cell>
          <cell r="AV497" t="str">
            <v>R. Regis</v>
          </cell>
          <cell r="AW497">
            <v>0.24166666666666664</v>
          </cell>
        </row>
        <row r="498">
          <cell r="A498" t="str">
            <v>ST473</v>
          </cell>
          <cell r="P498">
            <v>61</v>
          </cell>
          <cell r="Q498">
            <v>12.811900191938575</v>
          </cell>
          <cell r="T498">
            <v>0.80833333333333335</v>
          </cell>
          <cell r="U498">
            <v>0.92083333333333328</v>
          </cell>
          <cell r="V498">
            <v>59</v>
          </cell>
          <cell r="AD498">
            <v>47.8</v>
          </cell>
          <cell r="AE498">
            <v>11.8</v>
          </cell>
          <cell r="AG498">
            <v>48.2</v>
          </cell>
          <cell r="AS498">
            <v>96.306496849476957</v>
          </cell>
          <cell r="AT498">
            <v>96.406412510809474</v>
          </cell>
          <cell r="AV498" t="str">
            <v>R. Regis</v>
          </cell>
          <cell r="AW498">
            <v>0.24722222222222212</v>
          </cell>
        </row>
        <row r="499">
          <cell r="A499" t="str">
            <v>ST474</v>
          </cell>
          <cell r="P499">
            <v>58</v>
          </cell>
          <cell r="Q499">
            <v>10.892514395393468</v>
          </cell>
          <cell r="T499">
            <v>0.90833333333333333</v>
          </cell>
          <cell r="U499">
            <v>1.0145833333333334</v>
          </cell>
          <cell r="V499">
            <v>58</v>
          </cell>
          <cell r="AD499">
            <v>47.9</v>
          </cell>
          <cell r="AE499">
            <v>12</v>
          </cell>
          <cell r="AG499">
            <v>47.9</v>
          </cell>
          <cell r="AS499">
            <v>96.324079067745117</v>
          </cell>
          <cell r="AT499">
            <v>96.424307469976469</v>
          </cell>
          <cell r="AV499" t="str">
            <v>R.Sookram</v>
          </cell>
          <cell r="AW499">
            <v>0.24375000000000002</v>
          </cell>
        </row>
        <row r="500">
          <cell r="A500" t="str">
            <v>ST475</v>
          </cell>
          <cell r="P500">
            <v>58</v>
          </cell>
          <cell r="Q500">
            <v>12.428023032629561</v>
          </cell>
          <cell r="T500">
            <v>1.0083333333333333</v>
          </cell>
          <cell r="U500">
            <v>1.1333333333333333</v>
          </cell>
          <cell r="V500">
            <v>71</v>
          </cell>
          <cell r="AD500">
            <v>48.7</v>
          </cell>
          <cell r="AE500">
            <v>12</v>
          </cell>
          <cell r="AG500">
            <v>48.41</v>
          </cell>
          <cell r="AS500">
            <v>97.108353669089894</v>
          </cell>
          <cell r="AT500">
            <v>97.2094632130934</v>
          </cell>
          <cell r="AV500" t="str">
            <v>R.Sookram</v>
          </cell>
          <cell r="AW500">
            <v>0.26527777777777772</v>
          </cell>
        </row>
        <row r="501">
          <cell r="A501" t="str">
            <v>ST476</v>
          </cell>
          <cell r="P501">
            <v>60</v>
          </cell>
          <cell r="Q501">
            <v>11.852207293666021</v>
          </cell>
          <cell r="T501">
            <v>1.1006944444444444</v>
          </cell>
          <cell r="U501">
            <v>1.2166666666666666</v>
          </cell>
          <cell r="V501">
            <v>72</v>
          </cell>
          <cell r="AD501">
            <v>48.2</v>
          </cell>
          <cell r="AE501">
            <v>11.9</v>
          </cell>
          <cell r="AG501">
            <v>47.9</v>
          </cell>
          <cell r="AS501">
            <v>96.318172893351601</v>
          </cell>
          <cell r="AT501">
            <v>96.418166682662104</v>
          </cell>
          <cell r="AV501" t="str">
            <v>R.Sookram</v>
          </cell>
          <cell r="AW501">
            <v>0.2618055555555554</v>
          </cell>
        </row>
        <row r="502">
          <cell r="A502" t="str">
            <v>ST477</v>
          </cell>
          <cell r="P502">
            <v>59</v>
          </cell>
          <cell r="Q502">
            <v>12.811900191938575</v>
          </cell>
          <cell r="T502">
            <v>0.19236111111111112</v>
          </cell>
          <cell r="U502">
            <v>0.32013888888888886</v>
          </cell>
          <cell r="V502">
            <v>63</v>
          </cell>
          <cell r="AD502">
            <v>49.3</v>
          </cell>
          <cell r="AE502">
            <v>12</v>
          </cell>
          <cell r="AG502">
            <v>48.68</v>
          </cell>
          <cell r="AS502">
            <v>97.288232268099577</v>
          </cell>
          <cell r="AT502">
            <v>97.389626296509036</v>
          </cell>
          <cell r="AV502" t="str">
            <v>R.Sookram</v>
          </cell>
          <cell r="AW502">
            <v>0.26458333333333328</v>
          </cell>
        </row>
        <row r="503">
          <cell r="A503" t="str">
            <v>ST478</v>
          </cell>
          <cell r="P503">
            <v>57</v>
          </cell>
          <cell r="Q503">
            <v>12.236084452975048</v>
          </cell>
          <cell r="T503">
            <v>0.29166666666666669</v>
          </cell>
          <cell r="U503">
            <v>0.40833333333333333</v>
          </cell>
          <cell r="V503">
            <v>62</v>
          </cell>
          <cell r="AD503">
            <v>50</v>
          </cell>
          <cell r="AE503">
            <v>11.8</v>
          </cell>
          <cell r="AG503">
            <v>49.61</v>
          </cell>
          <cell r="AS503">
            <v>98.751516404135572</v>
          </cell>
          <cell r="AT503">
            <v>98.854070110260878</v>
          </cell>
          <cell r="AV503" t="str">
            <v>R.Sookram</v>
          </cell>
          <cell r="AW503">
            <v>0.26597222222222222</v>
          </cell>
        </row>
        <row r="504">
          <cell r="A504" t="str">
            <v>ST479</v>
          </cell>
          <cell r="P504">
            <v>62</v>
          </cell>
          <cell r="Q504">
            <v>13.798076923076918</v>
          </cell>
          <cell r="T504">
            <v>0.68541666666666667</v>
          </cell>
          <cell r="U504">
            <v>0.79861111111111116</v>
          </cell>
          <cell r="V504">
            <v>55</v>
          </cell>
          <cell r="AD504">
            <v>46.7</v>
          </cell>
          <cell r="AE504">
            <v>11.8</v>
          </cell>
          <cell r="AG504">
            <v>45.5</v>
          </cell>
          <cell r="AS504">
            <v>90.83852238031325</v>
          </cell>
          <cell r="AT504">
            <v>91.235265732887598</v>
          </cell>
          <cell r="AV504" t="str">
            <v>K. Benjamin</v>
          </cell>
          <cell r="AW504">
            <v>0.24305555555555558</v>
          </cell>
        </row>
        <row r="505">
          <cell r="A505" t="str">
            <v>ST480</v>
          </cell>
          <cell r="P505">
            <v>60</v>
          </cell>
          <cell r="Q505">
            <v>8.4134615384615383</v>
          </cell>
          <cell r="T505">
            <v>0.76875000000000004</v>
          </cell>
          <cell r="U505">
            <v>0.87708333333333333</v>
          </cell>
          <cell r="V505">
            <v>58</v>
          </cell>
          <cell r="AD505">
            <v>49.2</v>
          </cell>
          <cell r="AE505">
            <v>12</v>
          </cell>
          <cell r="AG505">
            <v>48</v>
          </cell>
          <cell r="AS505">
            <v>96.684836556310898</v>
          </cell>
          <cell r="AT505">
            <v>97.108089898948165</v>
          </cell>
          <cell r="AV505" t="str">
            <v>K. Benjamin</v>
          </cell>
          <cell r="AW505">
            <v>0.23819444444444449</v>
          </cell>
        </row>
        <row r="506">
          <cell r="A506" t="str">
            <v>ST481</v>
          </cell>
          <cell r="P506">
            <v>60</v>
          </cell>
          <cell r="Q506">
            <v>10.721153846153838</v>
          </cell>
          <cell r="T506">
            <v>0.85763888888888884</v>
          </cell>
          <cell r="U506">
            <v>0.97152777777777777</v>
          </cell>
          <cell r="V506">
            <v>62</v>
          </cell>
          <cell r="AD506">
            <v>49.6</v>
          </cell>
          <cell r="AE506">
            <v>11.9</v>
          </cell>
          <cell r="AG506">
            <v>49.7</v>
          </cell>
          <cell r="AS506">
            <v>99.232339589579539</v>
          </cell>
          <cell r="AT506">
            <v>99.666745034372781</v>
          </cell>
          <cell r="AV506" t="str">
            <v>K. Benjamin</v>
          </cell>
          <cell r="AW506">
            <v>0.24930555555555556</v>
          </cell>
        </row>
        <row r="507">
          <cell r="A507" t="str">
            <v>ST482</v>
          </cell>
          <cell r="P507">
            <v>62</v>
          </cell>
          <cell r="Q507">
            <v>13.028846153846152</v>
          </cell>
          <cell r="T507">
            <v>0.97638888888888886</v>
          </cell>
          <cell r="U507">
            <v>1.0562499999999999</v>
          </cell>
          <cell r="V507">
            <v>62</v>
          </cell>
          <cell r="AD507">
            <v>48.7</v>
          </cell>
          <cell r="AE507">
            <v>11.9</v>
          </cell>
          <cell r="AG507">
            <v>48.8</v>
          </cell>
          <cell r="AS507">
            <v>97.192444367259839</v>
          </cell>
          <cell r="AT507">
            <v>97.618196972814005</v>
          </cell>
          <cell r="AV507" t="str">
            <v>K. Benjamin</v>
          </cell>
          <cell r="AW507">
            <v>0.24722222222222212</v>
          </cell>
        </row>
        <row r="508">
          <cell r="A508" t="str">
            <v>ST483</v>
          </cell>
          <cell r="P508">
            <v>58</v>
          </cell>
          <cell r="Q508">
            <v>11.084452975047981</v>
          </cell>
          <cell r="T508">
            <v>0.35138888888888886</v>
          </cell>
          <cell r="U508">
            <v>0.46458333333333335</v>
          </cell>
          <cell r="V508">
            <v>59</v>
          </cell>
          <cell r="AD508">
            <v>49</v>
          </cell>
          <cell r="AE508">
            <v>11.8</v>
          </cell>
          <cell r="AG508">
            <v>49.6</v>
          </cell>
          <cell r="AS508">
            <v>97.669442273884727</v>
          </cell>
          <cell r="AT508">
            <v>98.09756147910268</v>
          </cell>
          <cell r="AV508" t="str">
            <v>R.Sookram</v>
          </cell>
          <cell r="AW508">
            <v>0.25624999999999998</v>
          </cell>
        </row>
        <row r="509">
          <cell r="A509" t="str">
            <v>ST484</v>
          </cell>
          <cell r="P509">
            <v>57</v>
          </cell>
          <cell r="Q509">
            <v>9.3570057581573902</v>
          </cell>
          <cell r="T509">
            <v>0.44444444444444442</v>
          </cell>
          <cell r="U509">
            <v>0.55625000000000002</v>
          </cell>
          <cell r="V509">
            <v>60</v>
          </cell>
          <cell r="AD509">
            <v>50</v>
          </cell>
          <cell r="AE509">
            <v>11.7</v>
          </cell>
          <cell r="AG509">
            <v>50.3</v>
          </cell>
          <cell r="AS509">
            <v>98.409669512415022</v>
          </cell>
          <cell r="AT509">
            <v>98.840754186531413</v>
          </cell>
          <cell r="AV509" t="str">
            <v>R.Sookram</v>
          </cell>
          <cell r="AW509">
            <v>0.24375000000000002</v>
          </cell>
        </row>
        <row r="510">
          <cell r="A510" t="str">
            <v>ST485</v>
          </cell>
          <cell r="P510">
            <v>74</v>
          </cell>
          <cell r="Q510">
            <v>10.316698656429942</v>
          </cell>
          <cell r="T510">
            <v>0.51944444444444449</v>
          </cell>
          <cell r="U510">
            <v>0.64722222222222225</v>
          </cell>
          <cell r="V510">
            <v>60</v>
          </cell>
          <cell r="AD510">
            <v>48.6</v>
          </cell>
          <cell r="AE510">
            <v>11.9</v>
          </cell>
          <cell r="AG510">
            <v>49.1</v>
          </cell>
          <cell r="AS510">
            <v>98.526897208705151</v>
          </cell>
          <cell r="AT510">
            <v>98.957648370181843</v>
          </cell>
          <cell r="AV510" t="str">
            <v>R.Sookram</v>
          </cell>
          <cell r="AW510">
            <v>0.25138888888888894</v>
          </cell>
        </row>
        <row r="511">
          <cell r="A511" t="str">
            <v>ST486</v>
          </cell>
          <cell r="P511">
            <v>60</v>
          </cell>
          <cell r="Q511">
            <v>10.124760076775429</v>
          </cell>
          <cell r="T511">
            <v>0.61944444444444446</v>
          </cell>
          <cell r="U511">
            <v>0.7319444444444444</v>
          </cell>
          <cell r="V511">
            <v>59</v>
          </cell>
          <cell r="AD511">
            <v>48.4</v>
          </cell>
          <cell r="AE511">
            <v>12</v>
          </cell>
          <cell r="AG511">
            <v>48.6</v>
          </cell>
          <cell r="AS511">
            <v>98.632992892535128</v>
          </cell>
          <cell r="AT511">
            <v>99.063922403952219</v>
          </cell>
          <cell r="AV511" t="str">
            <v>R.Sookram</v>
          </cell>
          <cell r="AW511">
            <v>0.25277777777777771</v>
          </cell>
        </row>
        <row r="512">
          <cell r="A512" t="str">
            <v>ST487</v>
          </cell>
          <cell r="P512">
            <v>58</v>
          </cell>
          <cell r="Q512">
            <v>10.913461538461533</v>
          </cell>
          <cell r="T512">
            <v>0.75624999999999998</v>
          </cell>
          <cell r="U512">
            <v>0.8930555555555556</v>
          </cell>
          <cell r="V512">
            <v>65</v>
          </cell>
          <cell r="AD512">
            <v>54.8</v>
          </cell>
          <cell r="AE512">
            <v>12.1</v>
          </cell>
          <cell r="AG512">
            <v>54</v>
          </cell>
          <cell r="AS512">
            <v>109.99798711625786</v>
          </cell>
          <cell r="AT512">
            <v>110.47920569426664</v>
          </cell>
          <cell r="AV512" t="str">
            <v>R.Sookram</v>
          </cell>
          <cell r="AW512">
            <v>0.27500000000000002</v>
          </cell>
        </row>
        <row r="513">
          <cell r="A513" t="str">
            <v>ST488</v>
          </cell>
          <cell r="P513">
            <v>57</v>
          </cell>
          <cell r="Q513">
            <v>10.508637236084455</v>
          </cell>
          <cell r="T513">
            <v>0.86458333333333337</v>
          </cell>
          <cell r="U513">
            <v>0.97361111111111109</v>
          </cell>
          <cell r="V513">
            <v>61</v>
          </cell>
          <cell r="AD513">
            <v>47.6</v>
          </cell>
          <cell r="AE513">
            <v>12</v>
          </cell>
          <cell r="AG513">
            <v>48.3</v>
          </cell>
          <cell r="AS513">
            <v>97.655248935825526</v>
          </cell>
          <cell r="AT513">
            <v>98.082330125015488</v>
          </cell>
          <cell r="AV513" t="str">
            <v>R.Sookram</v>
          </cell>
          <cell r="AW513">
            <v>0.27222222222222225</v>
          </cell>
        </row>
        <row r="514">
          <cell r="A514" t="str">
            <v>ST489</v>
          </cell>
          <cell r="P514">
            <v>58</v>
          </cell>
          <cell r="Q514">
            <v>9.7408829174664167</v>
          </cell>
          <cell r="T514">
            <v>0.95416666666666672</v>
          </cell>
          <cell r="U514">
            <v>1.0645833333333334</v>
          </cell>
          <cell r="V514">
            <v>58</v>
          </cell>
          <cell r="AD514">
            <v>49</v>
          </cell>
          <cell r="AE514">
            <v>11.9</v>
          </cell>
          <cell r="AG514">
            <v>47.7</v>
          </cell>
          <cell r="AS514">
            <v>95.59750367474058</v>
          </cell>
          <cell r="AT514">
            <v>96.015585610918237</v>
          </cell>
          <cell r="AV514" t="str">
            <v>R.Sookram</v>
          </cell>
          <cell r="AW514">
            <v>0.26250000000000007</v>
          </cell>
        </row>
        <row r="515">
          <cell r="A515" t="str">
            <v>ST490</v>
          </cell>
          <cell r="P515">
            <v>60</v>
          </cell>
          <cell r="Q515">
            <v>13.605769230769221</v>
          </cell>
          <cell r="T515">
            <v>1.0541666666666667</v>
          </cell>
          <cell r="U515">
            <v>1.1666666666666667</v>
          </cell>
          <cell r="V515">
            <v>56</v>
          </cell>
          <cell r="AD515">
            <v>48</v>
          </cell>
          <cell r="AE515">
            <v>12</v>
          </cell>
          <cell r="AG515">
            <v>46.7</v>
          </cell>
          <cell r="AS515">
            <v>91.227014661850589</v>
          </cell>
          <cell r="AT515">
            <v>91.625851361644408</v>
          </cell>
          <cell r="AV515" t="str">
            <v>K. Benjamin</v>
          </cell>
          <cell r="AW515">
            <v>0.25694444444444453</v>
          </cell>
        </row>
        <row r="516">
          <cell r="A516" t="str">
            <v>ST491</v>
          </cell>
          <cell r="P516">
            <v>61</v>
          </cell>
          <cell r="Q516">
            <v>11.874999999999995</v>
          </cell>
          <cell r="T516">
            <v>0.20277777777777778</v>
          </cell>
          <cell r="U516">
            <v>0.32500000000000001</v>
          </cell>
          <cell r="V516">
            <v>58</v>
          </cell>
          <cell r="AD516">
            <v>49.2</v>
          </cell>
          <cell r="AE516">
            <v>12</v>
          </cell>
          <cell r="AG516">
            <v>49.2</v>
          </cell>
          <cell r="AS516">
            <v>99.225964512754345</v>
          </cell>
          <cell r="AT516">
            <v>99.660200055814059</v>
          </cell>
          <cell r="AV516" t="str">
            <v>K. Benjamin</v>
          </cell>
          <cell r="AW516">
            <v>0.26250000000000001</v>
          </cell>
        </row>
        <row r="517">
          <cell r="A517" t="str">
            <v>ST492</v>
          </cell>
          <cell r="P517">
            <v>60</v>
          </cell>
          <cell r="Q517">
            <v>8.6057692307692335</v>
          </cell>
          <cell r="T517">
            <v>0.29930555555555555</v>
          </cell>
          <cell r="U517">
            <v>0.4465277777777778</v>
          </cell>
          <cell r="V517">
            <v>53</v>
          </cell>
          <cell r="AD517">
            <v>48.3</v>
          </cell>
          <cell r="AE517">
            <v>11.9</v>
          </cell>
          <cell r="AG517">
            <v>48.1</v>
          </cell>
          <cell r="AS517">
            <v>96.399159890042384</v>
          </cell>
          <cell r="AT517">
            <v>96.820747754406028</v>
          </cell>
          <cell r="AV517" t="str">
            <v>K. Benjamin</v>
          </cell>
          <cell r="AW517">
            <v>0.28333333333333333</v>
          </cell>
        </row>
        <row r="518">
          <cell r="A518" t="str">
            <v>ST493</v>
          </cell>
          <cell r="P518">
            <v>60</v>
          </cell>
          <cell r="Q518">
            <v>9.9328214971209157</v>
          </cell>
          <cell r="T518">
            <v>0.38611111111111113</v>
          </cell>
          <cell r="U518">
            <v>0.50069444444444444</v>
          </cell>
          <cell r="V518">
            <v>61</v>
          </cell>
          <cell r="AD518">
            <v>48.9</v>
          </cell>
          <cell r="AE518">
            <v>11.8</v>
          </cell>
          <cell r="AG518">
            <v>49.1</v>
          </cell>
          <cell r="AS518">
            <v>97.533873677524795</v>
          </cell>
          <cell r="AT518">
            <v>97.960424049475364</v>
          </cell>
          <cell r="AV518" t="str">
            <v>R. Regis</v>
          </cell>
          <cell r="AW518">
            <v>0.24722222222222223</v>
          </cell>
        </row>
        <row r="519">
          <cell r="A519" t="str">
            <v>ST494</v>
          </cell>
          <cell r="P519">
            <v>60</v>
          </cell>
          <cell r="Q519">
            <v>9.165067178502877</v>
          </cell>
          <cell r="T519">
            <v>0.4826388888888889</v>
          </cell>
          <cell r="U519">
            <v>0.6</v>
          </cell>
          <cell r="V519">
            <v>62</v>
          </cell>
          <cell r="AD519">
            <v>49.7</v>
          </cell>
          <cell r="AE519">
            <v>11.9</v>
          </cell>
          <cell r="AG519">
            <v>49.6</v>
          </cell>
          <cell r="AS519">
            <v>98.662767363445553</v>
          </cell>
          <cell r="AT519">
            <v>99.095100871212679</v>
          </cell>
          <cell r="AV519" t="str">
            <v>R. Regis</v>
          </cell>
          <cell r="AW519">
            <v>0.25277777777777777</v>
          </cell>
        </row>
        <row r="520">
          <cell r="A520" t="str">
            <v>ST495</v>
          </cell>
          <cell r="P520">
            <v>61</v>
          </cell>
          <cell r="Q520">
            <v>9.9328214971209157</v>
          </cell>
          <cell r="T520">
            <v>0.58333333333333337</v>
          </cell>
          <cell r="U520">
            <v>0.69861111111111107</v>
          </cell>
          <cell r="V520">
            <v>59</v>
          </cell>
          <cell r="AD520">
            <v>50.5</v>
          </cell>
          <cell r="AE520">
            <v>11.8</v>
          </cell>
          <cell r="AG520">
            <v>49.7</v>
          </cell>
          <cell r="AS520">
            <v>98.110362343721974</v>
          </cell>
          <cell r="AT520">
            <v>98.540135899389185</v>
          </cell>
          <cell r="AV520" t="str">
            <v>R. Regis</v>
          </cell>
          <cell r="AW520">
            <v>0.25416666666666665</v>
          </cell>
        </row>
        <row r="521">
          <cell r="A521" t="str">
            <v>ST496</v>
          </cell>
          <cell r="P521">
            <v>57</v>
          </cell>
          <cell r="Q521">
            <v>7.8214971209213102</v>
          </cell>
          <cell r="T521">
            <v>0.6875</v>
          </cell>
          <cell r="U521">
            <v>0.79861111111111116</v>
          </cell>
          <cell r="V521">
            <v>59</v>
          </cell>
          <cell r="AD521">
            <v>49.2</v>
          </cell>
          <cell r="AE521">
            <v>11.7</v>
          </cell>
          <cell r="AG521">
            <v>49.1</v>
          </cell>
          <cell r="AS521">
            <v>97.644364444691902</v>
          </cell>
          <cell r="AT521">
            <v>98.070261784181639</v>
          </cell>
          <cell r="AV521" t="str">
            <v>R.Sookram</v>
          </cell>
          <cell r="AW521">
            <v>0.25</v>
          </cell>
        </row>
        <row r="522">
          <cell r="A522" t="str">
            <v>ST497</v>
          </cell>
          <cell r="P522">
            <v>57</v>
          </cell>
          <cell r="Q522">
            <v>8.5892514395393498</v>
          </cell>
          <cell r="T522">
            <v>0.78333333333333333</v>
          </cell>
          <cell r="U522">
            <v>0.8979166666666667</v>
          </cell>
          <cell r="V522">
            <v>61</v>
          </cell>
          <cell r="AD522">
            <v>48.4</v>
          </cell>
          <cell r="AE522">
            <v>12</v>
          </cell>
          <cell r="AG522">
            <v>48.2</v>
          </cell>
          <cell r="AS522">
            <v>97.453064155420094</v>
          </cell>
          <cell r="AT522">
            <v>97.879261118545486</v>
          </cell>
          <cell r="AV522" t="str">
            <v>R.Sookram</v>
          </cell>
          <cell r="AW522">
            <v>0.25902777777777786</v>
          </cell>
        </row>
        <row r="523">
          <cell r="A523" t="str">
            <v>ST498</v>
          </cell>
          <cell r="P523">
            <v>58</v>
          </cell>
          <cell r="Q523">
            <v>7.4376199616122838</v>
          </cell>
          <cell r="T523">
            <v>0.80902777777777779</v>
          </cell>
          <cell r="U523">
            <v>0.98611111111111116</v>
          </cell>
          <cell r="V523">
            <v>60</v>
          </cell>
          <cell r="AD523">
            <v>50.2</v>
          </cell>
          <cell r="AE523">
            <v>11.9</v>
          </cell>
          <cell r="AG523">
            <v>50</v>
          </cell>
          <cell r="AS523">
            <v>100.20702691272596</v>
          </cell>
          <cell r="AT523">
            <v>100.645267935973</v>
          </cell>
          <cell r="AV523" t="str">
            <v>R.Sookram</v>
          </cell>
          <cell r="AW523">
            <v>0.25</v>
          </cell>
        </row>
        <row r="524">
          <cell r="A524" t="str">
            <v>ST499</v>
          </cell>
          <cell r="P524">
            <v>60</v>
          </cell>
          <cell r="Q524">
            <v>4.9519230769230687</v>
          </cell>
          <cell r="T524">
            <v>0.79791666666666672</v>
          </cell>
          <cell r="U524">
            <v>0.91041666666666665</v>
          </cell>
          <cell r="V524">
            <v>55</v>
          </cell>
          <cell r="AD524">
            <v>50.2</v>
          </cell>
          <cell r="AE524">
            <v>11.7</v>
          </cell>
          <cell r="AG524">
            <v>49</v>
          </cell>
          <cell r="AS524">
            <v>96.346712472097764</v>
          </cell>
          <cell r="AT524">
            <v>96.768209530245201</v>
          </cell>
          <cell r="AV524" t="str">
            <v>K. Benjamin</v>
          </cell>
          <cell r="AW524">
            <v>0.24375000000000002</v>
          </cell>
        </row>
        <row r="525">
          <cell r="A525" t="str">
            <v>ST500</v>
          </cell>
          <cell r="P525">
            <v>62</v>
          </cell>
          <cell r="Q525">
            <v>4.5673076923076916</v>
          </cell>
          <cell r="T525">
            <v>0.8881944444444444</v>
          </cell>
          <cell r="U525">
            <v>1.0034722222222223</v>
          </cell>
          <cell r="V525">
            <v>53</v>
          </cell>
          <cell r="AD525">
            <v>50.4</v>
          </cell>
          <cell r="AE525">
            <v>11.9</v>
          </cell>
          <cell r="AG525">
            <v>48.6</v>
          </cell>
          <cell r="AS525">
            <v>97.523568316559476</v>
          </cell>
          <cell r="AT525">
            <v>97.949933009996698</v>
          </cell>
          <cell r="AV525" t="str">
            <v>K. Benjamin</v>
          </cell>
          <cell r="AW525">
            <v>0.2465277777777779</v>
          </cell>
        </row>
        <row r="526">
          <cell r="A526" t="str">
            <v>ST501</v>
          </cell>
          <cell r="P526">
            <v>61</v>
          </cell>
          <cell r="Q526">
            <v>3.9903846153846074</v>
          </cell>
          <cell r="T526">
            <v>0.98402777777777772</v>
          </cell>
          <cell r="U526">
            <v>1.101388888888889</v>
          </cell>
          <cell r="V526">
            <v>56</v>
          </cell>
          <cell r="AD526">
            <v>50.7</v>
          </cell>
          <cell r="AE526">
            <v>11.8</v>
          </cell>
          <cell r="AG526">
            <v>48.23</v>
          </cell>
          <cell r="AS526">
            <v>95.926010836532257</v>
          </cell>
          <cell r="AT526">
            <v>96.345391145405017</v>
          </cell>
          <cell r="AV526" t="str">
            <v>K. Benjamin</v>
          </cell>
          <cell r="AW526">
            <v>0.25416666666666676</v>
          </cell>
        </row>
        <row r="527">
          <cell r="A527" t="str">
            <v>ST502</v>
          </cell>
          <cell r="P527">
            <v>60</v>
          </cell>
          <cell r="Q527">
            <v>3.0230326295585468</v>
          </cell>
          <cell r="T527">
            <v>1.0847222222222221</v>
          </cell>
          <cell r="U527">
            <v>1.2020833333333334</v>
          </cell>
          <cell r="V527">
            <v>58</v>
          </cell>
          <cell r="AD527">
            <v>51.3</v>
          </cell>
          <cell r="AE527">
            <v>11.6</v>
          </cell>
          <cell r="AG527">
            <v>48</v>
          </cell>
          <cell r="AS527">
            <v>93.454371995230545</v>
          </cell>
          <cell r="AT527">
            <v>94.058459557319907</v>
          </cell>
          <cell r="AV527" t="str">
            <v>R. Regis</v>
          </cell>
          <cell r="AW527">
            <v>0.26111111111111118</v>
          </cell>
        </row>
        <row r="528">
          <cell r="A528" t="str">
            <v>ST503</v>
          </cell>
          <cell r="P528">
            <v>60</v>
          </cell>
          <cell r="Q528">
            <v>2.2552783109404935</v>
          </cell>
          <cell r="T528">
            <v>0.18472222222222223</v>
          </cell>
          <cell r="U528">
            <v>0.3</v>
          </cell>
          <cell r="V528">
            <v>60</v>
          </cell>
          <cell r="AD528">
            <v>51.7</v>
          </cell>
          <cell r="AE528">
            <v>11.8</v>
          </cell>
          <cell r="AG528">
            <v>49.8</v>
          </cell>
          <cell r="AS528">
            <v>98.103230583960681</v>
          </cell>
          <cell r="AT528">
            <v>98.738405790534827</v>
          </cell>
          <cell r="AV528" t="str">
            <v>R. Regis</v>
          </cell>
          <cell r="AW528">
            <v>0.2583333333333333</v>
          </cell>
        </row>
        <row r="529">
          <cell r="A529" t="str">
            <v>ST504</v>
          </cell>
          <cell r="P529">
            <v>58</v>
          </cell>
          <cell r="Q529">
            <v>5.326295585412665</v>
          </cell>
          <cell r="T529">
            <v>0.31111111111111112</v>
          </cell>
          <cell r="U529">
            <v>0.43472222222222223</v>
          </cell>
          <cell r="V529">
            <v>62</v>
          </cell>
          <cell r="AD529">
            <v>52.2</v>
          </cell>
          <cell r="AE529">
            <v>11.8</v>
          </cell>
          <cell r="AG529">
            <v>50.8</v>
          </cell>
          <cell r="AS529">
            <v>100.44904539532449</v>
          </cell>
          <cell r="AT529">
            <v>101.09877292959364</v>
          </cell>
          <cell r="AV529" t="str">
            <v>R.Sookram</v>
          </cell>
          <cell r="AW529">
            <v>0.2680555555555556</v>
          </cell>
        </row>
        <row r="530">
          <cell r="A530" t="str">
            <v>ST505</v>
          </cell>
          <cell r="P530">
            <v>58</v>
          </cell>
          <cell r="Q530">
            <v>2.6391554702495204</v>
          </cell>
          <cell r="T530">
            <v>0.40902777777777777</v>
          </cell>
          <cell r="U530">
            <v>0.52222222222222225</v>
          </cell>
          <cell r="V530">
            <v>62</v>
          </cell>
          <cell r="AD530">
            <v>51.5</v>
          </cell>
          <cell r="AE530">
            <v>11.6</v>
          </cell>
          <cell r="AG530">
            <v>49.16</v>
          </cell>
          <cell r="AS530">
            <v>95.833135510284677</v>
          </cell>
          <cell r="AT530">
            <v>96.452395137868052</v>
          </cell>
          <cell r="AV530" t="str">
            <v>R.Sookram</v>
          </cell>
          <cell r="AW530">
            <v>0.25486111111111115</v>
          </cell>
        </row>
        <row r="531">
          <cell r="A531" t="str">
            <v>ST506</v>
          </cell>
          <cell r="P531">
            <v>59</v>
          </cell>
          <cell r="Q531">
            <v>3.0230326295585468</v>
          </cell>
          <cell r="T531">
            <v>0.50138888888888888</v>
          </cell>
          <cell r="U531">
            <v>0.62152777777777779</v>
          </cell>
          <cell r="V531">
            <v>64</v>
          </cell>
          <cell r="AD531">
            <v>52.5</v>
          </cell>
          <cell r="AE531">
            <v>11.7</v>
          </cell>
          <cell r="AG531">
            <v>50.6</v>
          </cell>
          <cell r="AS531">
            <v>99.410610314879818</v>
          </cell>
          <cell r="AT531">
            <v>100.05319890596252</v>
          </cell>
          <cell r="AV531" t="str">
            <v>R.Sookram</v>
          </cell>
          <cell r="AW531">
            <v>0.27083333333333337</v>
          </cell>
        </row>
      </sheetData>
      <sheetData sheetId="7">
        <row r="29">
          <cell r="D29">
            <v>11.9</v>
          </cell>
        </row>
        <row r="473">
          <cell r="D473">
            <v>12</v>
          </cell>
        </row>
        <row r="474">
          <cell r="D474">
            <v>11.8</v>
          </cell>
        </row>
        <row r="475">
          <cell r="D475">
            <v>11.9</v>
          </cell>
        </row>
        <row r="476">
          <cell r="D476">
            <v>12</v>
          </cell>
        </row>
        <row r="477">
          <cell r="D477">
            <v>12</v>
          </cell>
        </row>
        <row r="478">
          <cell r="D478">
            <v>11.8</v>
          </cell>
        </row>
        <row r="479">
          <cell r="D479">
            <v>11.8</v>
          </cell>
        </row>
        <row r="480">
          <cell r="D480">
            <v>11.9</v>
          </cell>
        </row>
        <row r="481">
          <cell r="D481">
            <v>12</v>
          </cell>
        </row>
        <row r="482">
          <cell r="D482">
            <v>11.9</v>
          </cell>
        </row>
        <row r="483">
          <cell r="D483">
            <v>11.8</v>
          </cell>
        </row>
        <row r="484">
          <cell r="D484">
            <v>11.9</v>
          </cell>
        </row>
        <row r="486">
          <cell r="D486">
            <v>11.8</v>
          </cell>
        </row>
        <row r="487">
          <cell r="D487">
            <v>12</v>
          </cell>
        </row>
        <row r="488">
          <cell r="D488">
            <v>11.9</v>
          </cell>
        </row>
        <row r="489">
          <cell r="D489">
            <v>12</v>
          </cell>
        </row>
        <row r="490">
          <cell r="D490">
            <v>11.7</v>
          </cell>
        </row>
        <row r="491">
          <cell r="D491">
            <v>11.7</v>
          </cell>
        </row>
        <row r="492">
          <cell r="D492">
            <v>11.9</v>
          </cell>
        </row>
        <row r="493">
          <cell r="D493">
            <v>12</v>
          </cell>
        </row>
        <row r="494">
          <cell r="D494">
            <v>11.8</v>
          </cell>
        </row>
        <row r="495">
          <cell r="D495">
            <v>12</v>
          </cell>
        </row>
        <row r="496">
          <cell r="D496">
            <v>11.9</v>
          </cell>
        </row>
        <row r="497">
          <cell r="D497">
            <v>12</v>
          </cell>
        </row>
        <row r="498">
          <cell r="D498">
            <v>11.8</v>
          </cell>
        </row>
        <row r="499">
          <cell r="D499">
            <v>12</v>
          </cell>
        </row>
        <row r="500">
          <cell r="D500">
            <v>12</v>
          </cell>
        </row>
        <row r="501">
          <cell r="D501">
            <v>11.9</v>
          </cell>
        </row>
        <row r="502">
          <cell r="D502">
            <v>12</v>
          </cell>
        </row>
        <row r="503">
          <cell r="D503">
            <v>11.8</v>
          </cell>
        </row>
        <row r="504">
          <cell r="D504">
            <v>11.8</v>
          </cell>
        </row>
        <row r="505">
          <cell r="D505">
            <v>12</v>
          </cell>
        </row>
        <row r="506">
          <cell r="D506">
            <v>11.9</v>
          </cell>
        </row>
        <row r="507">
          <cell r="D507">
            <v>11.9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U64">
            <v>95.602395026170299</v>
          </cell>
        </row>
        <row r="65">
          <cell r="AU65">
            <v>97.762581464269644</v>
          </cell>
        </row>
        <row r="66">
          <cell r="AU66">
            <v>97.743357577875017</v>
          </cell>
        </row>
        <row r="67">
          <cell r="AU67">
            <v>98.042300648720754</v>
          </cell>
        </row>
        <row r="68">
          <cell r="AU68">
            <v>98.519506903206036</v>
          </cell>
        </row>
        <row r="69">
          <cell r="AU69">
            <v>97.87847240921738</v>
          </cell>
        </row>
        <row r="70">
          <cell r="AU70">
            <v>95.781056875880395</v>
          </cell>
        </row>
        <row r="71">
          <cell r="AU71">
            <v>96.861776608600863</v>
          </cell>
        </row>
        <row r="72">
          <cell r="AU72">
            <v>93.381881284929378</v>
          </cell>
        </row>
        <row r="73">
          <cell r="AU73">
            <v>95.573978353377044</v>
          </cell>
        </row>
        <row r="74">
          <cell r="AU74">
            <v>96.329503873957094</v>
          </cell>
        </row>
        <row r="75">
          <cell r="AU75">
            <v>97.549176167683427</v>
          </cell>
        </row>
        <row r="76">
          <cell r="AU76">
            <v>97.240142923478217</v>
          </cell>
        </row>
        <row r="77">
          <cell r="AU77">
            <v>91.800652908866041</v>
          </cell>
        </row>
        <row r="78">
          <cell r="AU78">
            <v>96.204501549542428</v>
          </cell>
        </row>
        <row r="79">
          <cell r="AU79">
            <v>97.206266997269381</v>
          </cell>
        </row>
        <row r="81">
          <cell r="AU81">
            <v>96.452079426676278</v>
          </cell>
        </row>
        <row r="82">
          <cell r="AU82">
            <v>96.065985252726961</v>
          </cell>
        </row>
        <row r="83">
          <cell r="AU83">
            <v>95.441460527610872</v>
          </cell>
        </row>
        <row r="84">
          <cell r="AU84">
            <v>96.121978763783517</v>
          </cell>
        </row>
        <row r="85">
          <cell r="AU85">
            <v>95.007032865785504</v>
          </cell>
        </row>
        <row r="86">
          <cell r="AU86">
            <v>97.272320791361707</v>
          </cell>
        </row>
        <row r="87">
          <cell r="AU87">
            <v>97.807774624525237</v>
          </cell>
        </row>
        <row r="88">
          <cell r="AU88">
            <v>97.014543681424854</v>
          </cell>
        </row>
        <row r="89">
          <cell r="AU89">
            <v>96.667741026067404</v>
          </cell>
        </row>
        <row r="90">
          <cell r="AU90">
            <v>95.010280290434139</v>
          </cell>
        </row>
        <row r="91">
          <cell r="AU91">
            <v>97.886445156995904</v>
          </cell>
        </row>
        <row r="92">
          <cell r="AU92">
            <v>96.778397165023506</v>
          </cell>
        </row>
        <row r="94">
          <cell r="AU94">
            <v>94.352366624641022</v>
          </cell>
        </row>
        <row r="95">
          <cell r="AU95">
            <v>94.566859490484816</v>
          </cell>
        </row>
        <row r="96">
          <cell r="AU96">
            <v>94.3413084521017</v>
          </cell>
        </row>
        <row r="97">
          <cell r="AU97">
            <v>93.914364604824101</v>
          </cell>
        </row>
        <row r="99">
          <cell r="AU99">
            <v>93.495308959672286</v>
          </cell>
        </row>
        <row r="100">
          <cell r="AU100">
            <v>94.939013157842624</v>
          </cell>
        </row>
        <row r="101">
          <cell r="AU101">
            <v>94.844556920967619</v>
          </cell>
        </row>
        <row r="102">
          <cell r="AU102">
            <v>95.04867932044354</v>
          </cell>
        </row>
        <row r="103">
          <cell r="AU103">
            <v>95.51431937725215</v>
          </cell>
        </row>
        <row r="104">
          <cell r="AU104">
            <v>95.758971226876398</v>
          </cell>
        </row>
        <row r="105">
          <cell r="AU105">
            <v>93.701673172125652</v>
          </cell>
        </row>
        <row r="106">
          <cell r="AU106">
            <v>95.287475319992694</v>
          </cell>
        </row>
        <row r="116">
          <cell r="AU116">
            <v>93.22172476918908</v>
          </cell>
        </row>
        <row r="117">
          <cell r="AU117">
            <v>95.321640749841322</v>
          </cell>
        </row>
        <row r="118">
          <cell r="AU118">
            <v>97.926390043262359</v>
          </cell>
        </row>
        <row r="119">
          <cell r="AU119">
            <v>93.229439925706174</v>
          </cell>
        </row>
        <row r="120">
          <cell r="AU120">
            <v>93.272882916503036</v>
          </cell>
        </row>
        <row r="121">
          <cell r="AU121">
            <v>95.909384046964689</v>
          </cell>
        </row>
        <row r="122">
          <cell r="AU122">
            <v>93.095691215198215</v>
          </cell>
        </row>
        <row r="123">
          <cell r="AU123">
            <v>93.960104817624511</v>
          </cell>
        </row>
        <row r="125">
          <cell r="A125" t="str">
            <v>GU112</v>
          </cell>
          <cell r="O125">
            <v>55</v>
          </cell>
          <cell r="R125">
            <v>10.303030303030305</v>
          </cell>
          <cell r="T125">
            <v>0.3215277777777778</v>
          </cell>
          <cell r="U125">
            <v>0.45694444444444443</v>
          </cell>
          <cell r="V125">
            <v>56</v>
          </cell>
          <cell r="Z125">
            <v>0.28333333333333333</v>
          </cell>
          <cell r="AF125">
            <v>51.4</v>
          </cell>
          <cell r="AG125">
            <v>17.100000000000001</v>
          </cell>
          <cell r="AI125">
            <v>50.4</v>
          </cell>
          <cell r="AU125">
            <v>94.301648328514517</v>
          </cell>
          <cell r="AV125">
            <v>94.40311667008406</v>
          </cell>
          <cell r="AW125" t="str">
            <v>R. Sookram</v>
          </cell>
        </row>
        <row r="126">
          <cell r="A126" t="str">
            <v>GU113</v>
          </cell>
          <cell r="O126">
            <v>55</v>
          </cell>
          <cell r="R126">
            <v>11.214285714285717</v>
          </cell>
          <cell r="T126">
            <v>0.51666666666666672</v>
          </cell>
          <cell r="U126">
            <v>0.63402777777777775</v>
          </cell>
          <cell r="V126">
            <v>61</v>
          </cell>
          <cell r="Z126">
            <v>0.35624999999999996</v>
          </cell>
          <cell r="AF126">
            <v>52.8</v>
          </cell>
          <cell r="AG126">
            <v>17.3</v>
          </cell>
          <cell r="AI126">
            <v>51.8</v>
          </cell>
          <cell r="AU126">
            <v>98.375820642000406</v>
          </cell>
          <cell r="AV126">
            <v>98.481617552603851</v>
          </cell>
          <cell r="AW126" t="str">
            <v>R. Sookram</v>
          </cell>
        </row>
        <row r="127">
          <cell r="A127" t="str">
            <v>GU114</v>
          </cell>
          <cell r="O127">
            <v>59</v>
          </cell>
          <cell r="R127">
            <v>8.892857142857137</v>
          </cell>
          <cell r="T127">
            <v>0.64652777777777781</v>
          </cell>
          <cell r="U127">
            <v>0.7680555555555556</v>
          </cell>
          <cell r="V127">
            <v>59</v>
          </cell>
          <cell r="Z127">
            <v>0.30972222222222229</v>
          </cell>
          <cell r="AF127">
            <v>52.1</v>
          </cell>
          <cell r="AG127">
            <v>17.399999999999999</v>
          </cell>
          <cell r="AI127">
            <v>51.1</v>
          </cell>
          <cell r="AU127">
            <v>97.468157975369934</v>
          </cell>
          <cell r="AV127">
            <v>97.573015262280364</v>
          </cell>
          <cell r="AW127" t="str">
            <v>K. Benjamin</v>
          </cell>
        </row>
        <row r="128">
          <cell r="A128" t="str">
            <v>GU115</v>
          </cell>
          <cell r="O128">
            <v>60</v>
          </cell>
          <cell r="R128">
            <v>9.9642857142857117</v>
          </cell>
          <cell r="T128">
            <v>0.75208333333333333</v>
          </cell>
          <cell r="U128">
            <v>0.86388888888888893</v>
          </cell>
          <cell r="V128">
            <v>54</v>
          </cell>
          <cell r="Z128">
            <v>0.27013888888888893</v>
          </cell>
          <cell r="AF128">
            <v>51.5</v>
          </cell>
          <cell r="AG128">
            <v>17.3</v>
          </cell>
          <cell r="AI128">
            <v>50.4</v>
          </cell>
          <cell r="AU128">
            <v>95.640824171323942</v>
          </cell>
          <cell r="AV128">
            <v>95.743697694716857</v>
          </cell>
          <cell r="AW128" t="str">
            <v>K. Benjamin</v>
          </cell>
        </row>
        <row r="129">
          <cell r="A129" t="str">
            <v>GU116</v>
          </cell>
          <cell r="O129">
            <v>60</v>
          </cell>
          <cell r="R129">
            <v>7.8214285714285641</v>
          </cell>
          <cell r="T129">
            <v>0.84722222222222221</v>
          </cell>
          <cell r="U129">
            <v>0.97638888888888886</v>
          </cell>
          <cell r="V129">
            <v>63</v>
          </cell>
          <cell r="Z129">
            <v>0.28194444444444444</v>
          </cell>
          <cell r="AF129">
            <v>54.2</v>
          </cell>
          <cell r="AG129">
            <v>17.399999999999999</v>
          </cell>
          <cell r="AI129">
            <v>51.5</v>
          </cell>
          <cell r="AU129">
            <v>98.466067336601881</v>
          </cell>
          <cell r="AV129">
            <v>98.571942816003286</v>
          </cell>
          <cell r="AW129" t="str">
            <v>K. Benjamin</v>
          </cell>
        </row>
        <row r="130">
          <cell r="A130" t="str">
            <v>GU117</v>
          </cell>
          <cell r="R130">
            <v>5.333333333333325</v>
          </cell>
          <cell r="T130">
            <v>0.94652777777777775</v>
          </cell>
          <cell r="U130">
            <v>1.0652777777777778</v>
          </cell>
          <cell r="V130">
            <v>58</v>
          </cell>
          <cell r="Z130">
            <v>0.26666666666666661</v>
          </cell>
          <cell r="AF130">
            <v>52.2</v>
          </cell>
          <cell r="AG130">
            <v>17.2</v>
          </cell>
          <cell r="AI130">
            <v>48.9</v>
          </cell>
          <cell r="AU130">
            <v>92.192461637012954</v>
          </cell>
          <cell r="AV130">
            <v>92.291626020434364</v>
          </cell>
          <cell r="AW130" t="str">
            <v>K. Benjamin</v>
          </cell>
        </row>
        <row r="131">
          <cell r="A131" t="str">
            <v>GU118</v>
          </cell>
          <cell r="O131">
            <v>59</v>
          </cell>
          <cell r="R131">
            <v>4.6792452830188616</v>
          </cell>
          <cell r="T131">
            <v>1.0409722222222222</v>
          </cell>
          <cell r="U131">
            <v>1.1590277777777778</v>
          </cell>
          <cell r="V131">
            <v>61</v>
          </cell>
          <cell r="Z131">
            <v>0.25624999999999998</v>
          </cell>
          <cell r="AF131">
            <v>52.8</v>
          </cell>
          <cell r="AG131">
            <v>17.399999999999999</v>
          </cell>
          <cell r="AI131">
            <v>51.1</v>
          </cell>
          <cell r="AU131">
            <v>97.468157975369934</v>
          </cell>
          <cell r="AV131">
            <v>97.573015262280364</v>
          </cell>
          <cell r="AW131" t="str">
            <v>R. Regis</v>
          </cell>
        </row>
        <row r="132">
          <cell r="A132" t="str">
            <v>GU119</v>
          </cell>
          <cell r="O132">
            <v>58</v>
          </cell>
          <cell r="R132">
            <v>7.47252747252747</v>
          </cell>
          <cell r="T132">
            <v>0.17499999999999999</v>
          </cell>
          <cell r="U132">
            <v>0.28958333333333336</v>
          </cell>
          <cell r="V132">
            <v>64</v>
          </cell>
          <cell r="Z132">
            <v>0.2479166666666667</v>
          </cell>
          <cell r="AF132">
            <v>53.7</v>
          </cell>
          <cell r="AG132">
            <v>17.2</v>
          </cell>
          <cell r="AI132">
            <v>52</v>
          </cell>
          <cell r="AU132">
            <v>97.881147216858494</v>
          </cell>
          <cell r="AV132">
            <v>97.986467090424441</v>
          </cell>
          <cell r="AW132" t="str">
            <v>R. Regis</v>
          </cell>
        </row>
      </sheetData>
      <sheetData sheetId="2">
        <row r="16">
          <cell r="D16">
            <v>17.7</v>
          </cell>
        </row>
        <row r="128">
          <cell r="D128">
            <v>17.2</v>
          </cell>
        </row>
        <row r="129">
          <cell r="D129">
            <v>17</v>
          </cell>
        </row>
        <row r="130">
          <cell r="D130">
            <v>17.3</v>
          </cell>
        </row>
        <row r="131">
          <cell r="D131">
            <v>17.399999999999999</v>
          </cell>
        </row>
        <row r="132">
          <cell r="D132">
            <v>17.3</v>
          </cell>
        </row>
        <row r="133">
          <cell r="D133">
            <v>17.3</v>
          </cell>
        </row>
        <row r="134">
          <cell r="D134">
            <v>17.3</v>
          </cell>
        </row>
        <row r="135">
          <cell r="D135">
            <v>17.899999999999999</v>
          </cell>
        </row>
        <row r="137">
          <cell r="D137">
            <v>17.2</v>
          </cell>
        </row>
        <row r="138">
          <cell r="D138">
            <v>17.3</v>
          </cell>
        </row>
        <row r="139">
          <cell r="D139">
            <v>17.600000000000001</v>
          </cell>
        </row>
        <row r="140">
          <cell r="D140">
            <v>17.3</v>
          </cell>
        </row>
        <row r="141">
          <cell r="D141">
            <v>17.399999999999999</v>
          </cell>
        </row>
        <row r="142">
          <cell r="D142">
            <v>17.3</v>
          </cell>
        </row>
        <row r="143">
          <cell r="D143">
            <v>17.399999999999999</v>
          </cell>
        </row>
        <row r="144">
          <cell r="D144">
            <v>17.3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'25"/>
      <sheetName val="Summary November'25 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  <sheetName val="Summary March '24"/>
      <sheetName val="Summary January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6">
          <cell r="AT26">
            <v>91.626266310300238</v>
          </cell>
        </row>
        <row r="28">
          <cell r="AT28">
            <v>94.489668133257737</v>
          </cell>
        </row>
        <row r="29">
          <cell r="AT29">
            <v>95.994784321626057</v>
          </cell>
        </row>
        <row r="30">
          <cell r="AT30">
            <v>95.337788432396806</v>
          </cell>
        </row>
        <row r="31">
          <cell r="AT31">
            <v>94.03638367048454</v>
          </cell>
        </row>
        <row r="32">
          <cell r="AT32">
            <v>93.850571528798568</v>
          </cell>
        </row>
        <row r="33">
          <cell r="AT33">
            <v>96.575988170029959</v>
          </cell>
        </row>
        <row r="34">
          <cell r="AT34">
            <v>96.307318678936582</v>
          </cell>
        </row>
        <row r="35">
          <cell r="AT35">
            <v>95.27712196247154</v>
          </cell>
        </row>
      </sheetData>
      <sheetData sheetId="8">
        <row r="4">
          <cell r="D4">
            <v>13.5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2">
          <cell r="E22">
            <v>5803</v>
          </cell>
        </row>
      </sheetData>
      <sheetData sheetId="14">
        <row r="22">
          <cell r="E22">
            <v>2825</v>
          </cell>
        </row>
      </sheetData>
      <sheetData sheetId="15"/>
      <sheetData sheetId="16">
        <row r="22">
          <cell r="E22">
            <v>2914</v>
          </cell>
        </row>
      </sheetData>
      <sheetData sheetId="17" refreshError="1"/>
      <sheetData sheetId="18">
        <row r="22">
          <cell r="E22">
            <v>2939</v>
          </cell>
        </row>
      </sheetData>
      <sheetData sheetId="19" refreshError="1"/>
      <sheetData sheetId="20" refreshError="1"/>
      <sheetData sheetId="21" refreshError="1"/>
      <sheetData sheetId="22"/>
      <sheetData sheetId="2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Summary December ' 25"/>
      <sheetName val="Summary November ' 25"/>
      <sheetName val="Summary October ' 25"/>
      <sheetName val="Packaging"/>
      <sheetName val="Summary August ' 25 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 refreshError="1"/>
      <sheetData sheetId="1" refreshError="1"/>
      <sheetData sheetId="2" refreshError="1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Y56">
            <v>98.181053939282549</v>
          </cell>
        </row>
        <row r="57">
          <cell r="AY57">
            <v>87.428386701544582</v>
          </cell>
        </row>
        <row r="58">
          <cell r="AY58">
            <v>110.11827495393527</v>
          </cell>
        </row>
        <row r="59">
          <cell r="AY59">
            <v>98.787376054162792</v>
          </cell>
        </row>
        <row r="60">
          <cell r="AY60">
            <v>99.593723178345229</v>
          </cell>
        </row>
        <row r="61">
          <cell r="AY61">
            <v>99.702836872398194</v>
          </cell>
        </row>
        <row r="62">
          <cell r="AY62">
            <v>99.503394936483232</v>
          </cell>
        </row>
        <row r="63">
          <cell r="AY63">
            <v>100.14787259716714</v>
          </cell>
        </row>
        <row r="64">
          <cell r="AY64">
            <v>98.857519359317735</v>
          </cell>
        </row>
        <row r="65">
          <cell r="AY65">
            <v>100.43456778341326</v>
          </cell>
        </row>
        <row r="66">
          <cell r="AY66">
            <v>94.119623769471843</v>
          </cell>
        </row>
        <row r="67">
          <cell r="AY67">
            <v>99.044919151670612</v>
          </cell>
        </row>
        <row r="68">
          <cell r="AY68">
            <v>98.26555370627031</v>
          </cell>
        </row>
        <row r="69">
          <cell r="AY69">
            <v>98.569967614948013</v>
          </cell>
        </row>
        <row r="70">
          <cell r="AY70">
            <v>98.132256373549936</v>
          </cell>
        </row>
        <row r="71">
          <cell r="AY71">
            <v>100.03514094829396</v>
          </cell>
        </row>
        <row r="72">
          <cell r="AY72">
            <v>99.39273336749045</v>
          </cell>
        </row>
        <row r="73">
          <cell r="AY73">
            <v>102.27737633882425</v>
          </cell>
        </row>
        <row r="75">
          <cell r="AY75">
            <v>92.872717053233544</v>
          </cell>
        </row>
        <row r="76">
          <cell r="AY76">
            <v>97.504936022825035</v>
          </cell>
        </row>
        <row r="77">
          <cell r="AY77">
            <v>97.882131133164776</v>
          </cell>
        </row>
        <row r="78">
          <cell r="AY78">
            <v>97.485149222479478</v>
          </cell>
        </row>
        <row r="79">
          <cell r="AY79">
            <v>99.793675801118255</v>
          </cell>
        </row>
        <row r="80">
          <cell r="AY80">
            <v>98.208221312724632</v>
          </cell>
        </row>
        <row r="81">
          <cell r="AY81">
            <v>100.22134526565291</v>
          </cell>
        </row>
        <row r="82">
          <cell r="AY82">
            <v>97.942529175156437</v>
          </cell>
        </row>
        <row r="83">
          <cell r="AY83">
            <v>94.151553219284494</v>
          </cell>
        </row>
        <row r="84">
          <cell r="AY84">
            <v>97.042221616983554</v>
          </cell>
        </row>
        <row r="85">
          <cell r="AY85">
            <v>96.460634470657212</v>
          </cell>
        </row>
        <row r="86">
          <cell r="AY86">
            <v>97.300929934901561</v>
          </cell>
        </row>
        <row r="87">
          <cell r="AY87">
            <v>98.456995928070882</v>
          </cell>
        </row>
        <row r="88">
          <cell r="AY88">
            <v>100.01882858314821</v>
          </cell>
        </row>
        <row r="89">
          <cell r="AY89">
            <v>98.0323031936218</v>
          </cell>
        </row>
        <row r="90">
          <cell r="AY90">
            <v>98.397461899198319</v>
          </cell>
        </row>
        <row r="91">
          <cell r="AY91">
            <v>98.998957891963272</v>
          </cell>
        </row>
        <row r="92">
          <cell r="AY92">
            <v>100.44017037572831</v>
          </cell>
        </row>
        <row r="94">
          <cell r="AY94">
            <v>92.893275059999496</v>
          </cell>
        </row>
        <row r="95">
          <cell r="AY95">
            <v>97.244691203339599</v>
          </cell>
        </row>
        <row r="96">
          <cell r="AY96">
            <v>93.23195856554247</v>
          </cell>
        </row>
        <row r="97">
          <cell r="AY97">
            <v>97.937147154043615</v>
          </cell>
        </row>
        <row r="99">
          <cell r="A99" t="str">
            <v>SM085</v>
          </cell>
          <cell r="T99">
            <v>60</v>
          </cell>
          <cell r="U99">
            <v>10.905660377358492</v>
          </cell>
          <cell r="X99">
            <v>0.84166666666666667</v>
          </cell>
          <cell r="Y99">
            <v>0.96805555555555556</v>
          </cell>
          <cell r="Z99">
            <v>64</v>
          </cell>
          <cell r="AD99">
            <v>0.28055555555555556</v>
          </cell>
          <cell r="AH99">
            <v>53</v>
          </cell>
          <cell r="AK99">
            <v>17.399999999999999</v>
          </cell>
          <cell r="AM99">
            <v>50.2</v>
          </cell>
          <cell r="AY99">
            <v>96.558713604123923</v>
          </cell>
          <cell r="AZ99">
            <v>96.617255340299423</v>
          </cell>
          <cell r="BC99" t="str">
            <v>R. Regis</v>
          </cell>
        </row>
        <row r="100">
          <cell r="A100" t="str">
            <v>SM086</v>
          </cell>
          <cell r="T100">
            <v>60</v>
          </cell>
          <cell r="U100">
            <v>5.0470809792843818</v>
          </cell>
          <cell r="X100">
            <v>0.94444444444444442</v>
          </cell>
          <cell r="Y100">
            <v>1.0708333333333333</v>
          </cell>
          <cell r="Z100">
            <v>67</v>
          </cell>
          <cell r="AD100">
            <v>0.28611111111111109</v>
          </cell>
          <cell r="AH100">
            <v>53.1</v>
          </cell>
          <cell r="AK100">
            <v>17.5</v>
          </cell>
          <cell r="AM100">
            <v>54.5</v>
          </cell>
          <cell r="AY100">
            <v>105.44930644693808</v>
          </cell>
          <cell r="AZ100">
            <v>105.51323838272602</v>
          </cell>
          <cell r="BC100" t="str">
            <v>R. Regis</v>
          </cell>
        </row>
        <row r="101">
          <cell r="A101" t="str">
            <v>SM087</v>
          </cell>
          <cell r="T101">
            <v>60</v>
          </cell>
          <cell r="U101">
            <v>6.5536723163841879</v>
          </cell>
          <cell r="X101">
            <v>1.0472222222222223</v>
          </cell>
          <cell r="Y101">
            <v>1.175</v>
          </cell>
          <cell r="Z101">
            <v>63</v>
          </cell>
          <cell r="AD101">
            <v>0.28263888888888888</v>
          </cell>
          <cell r="AH101">
            <v>53.1</v>
          </cell>
          <cell r="AK101">
            <v>17.100000000000001</v>
          </cell>
          <cell r="AM101">
            <v>51</v>
          </cell>
          <cell r="AY101">
            <v>96.382586916121909</v>
          </cell>
          <cell r="AZ101">
            <v>96.440967388489511</v>
          </cell>
          <cell r="BC101" t="str">
            <v>R. Regis</v>
          </cell>
        </row>
        <row r="102">
          <cell r="A102" t="str">
            <v>SM088</v>
          </cell>
          <cell r="T102">
            <v>60</v>
          </cell>
          <cell r="U102">
            <v>7.871939736346528</v>
          </cell>
          <cell r="X102">
            <v>1.1597222222222223</v>
          </cell>
          <cell r="Y102">
            <v>1.2847222222222223</v>
          </cell>
          <cell r="Z102">
            <v>64</v>
          </cell>
          <cell r="AD102">
            <v>0.28819444444444453</v>
          </cell>
          <cell r="AH102">
            <v>53.1</v>
          </cell>
          <cell r="AK102">
            <v>17.100000000000001</v>
          </cell>
          <cell r="AM102">
            <v>50.5</v>
          </cell>
          <cell r="AY102">
            <v>95.591124152324554</v>
          </cell>
          <cell r="AZ102">
            <v>95.64891689434171</v>
          </cell>
          <cell r="BC102" t="str">
            <v>R. Regis</v>
          </cell>
        </row>
        <row r="103">
          <cell r="A103" t="str">
            <v>SM089</v>
          </cell>
          <cell r="T103">
            <v>62</v>
          </cell>
          <cell r="U103">
            <v>8.6252354048964328</v>
          </cell>
          <cell r="X103">
            <v>0.27986111111111112</v>
          </cell>
          <cell r="Y103">
            <v>0.41666666666666669</v>
          </cell>
          <cell r="Z103">
            <v>70</v>
          </cell>
          <cell r="AD103">
            <v>0.3125</v>
          </cell>
          <cell r="AH103">
            <v>53.1</v>
          </cell>
          <cell r="AK103">
            <v>17.5</v>
          </cell>
          <cell r="AM103">
            <v>49.8</v>
          </cell>
          <cell r="AY103">
            <v>96.201192942013037</v>
          </cell>
          <cell r="AZ103">
            <v>96.259626416961481</v>
          </cell>
          <cell r="BC103" t="str">
            <v>R. Regis</v>
          </cell>
        </row>
        <row r="104">
          <cell r="A104" t="str">
            <v>SM090</v>
          </cell>
          <cell r="T104">
            <v>63</v>
          </cell>
          <cell r="U104">
            <v>6.9433962264150937</v>
          </cell>
          <cell r="X104">
            <v>0.39930555555555558</v>
          </cell>
          <cell r="Y104">
            <v>0.5444444444444444</v>
          </cell>
          <cell r="Z104">
            <v>83</v>
          </cell>
          <cell r="AD104">
            <v>0.31527777777777777</v>
          </cell>
          <cell r="AH104">
            <v>53</v>
          </cell>
          <cell r="AK104">
            <v>17.399999999999999</v>
          </cell>
          <cell r="AM104">
            <v>50</v>
          </cell>
          <cell r="AY104">
            <v>95.943158261936006</v>
          </cell>
          <cell r="AZ104">
            <v>96.001488977419584</v>
          </cell>
          <cell r="BC104" t="str">
            <v>K. Benjamin</v>
          </cell>
        </row>
        <row r="105">
          <cell r="A105" t="str">
            <v>SM091</v>
          </cell>
          <cell r="T105">
            <v>60</v>
          </cell>
          <cell r="U105">
            <v>4.4905660377358538</v>
          </cell>
          <cell r="X105">
            <v>0.54166666666666663</v>
          </cell>
          <cell r="Y105">
            <v>0.68958333333333333</v>
          </cell>
          <cell r="Z105">
            <v>66</v>
          </cell>
          <cell r="AD105">
            <v>0.31458333333333333</v>
          </cell>
          <cell r="AH105">
            <v>53</v>
          </cell>
          <cell r="AK105">
            <v>17</v>
          </cell>
          <cell r="AM105">
            <v>53</v>
          </cell>
          <cell r="AY105">
            <v>99.265370832227902</v>
          </cell>
          <cell r="AZ105">
            <v>99.325665516549208</v>
          </cell>
          <cell r="BC105" t="str">
            <v>K. Benjamin</v>
          </cell>
        </row>
        <row r="106">
          <cell r="A106" t="str">
            <v>SM092</v>
          </cell>
          <cell r="T106">
            <v>60</v>
          </cell>
          <cell r="U106">
            <v>10.716981132075471</v>
          </cell>
          <cell r="X106">
            <v>0.75347222222222221</v>
          </cell>
          <cell r="Y106">
            <v>0.90763888888888888</v>
          </cell>
          <cell r="Z106">
            <v>74</v>
          </cell>
          <cell r="AD106">
            <v>0.3833333333333333</v>
          </cell>
          <cell r="AH106">
            <v>53</v>
          </cell>
          <cell r="AK106">
            <v>17.399999999999999</v>
          </cell>
          <cell r="AM106">
            <v>55.3</v>
          </cell>
          <cell r="AY106">
            <v>106.36846339259067</v>
          </cell>
          <cell r="AZ106">
            <v>106.43295259598719</v>
          </cell>
          <cell r="BC106" t="str">
            <v>K. Benjamin</v>
          </cell>
        </row>
        <row r="107">
          <cell r="A107" t="str">
            <v>SM093</v>
          </cell>
          <cell r="T107">
            <v>60</v>
          </cell>
          <cell r="U107">
            <v>5.4237288135593271</v>
          </cell>
          <cell r="X107">
            <v>0.92708333333333337</v>
          </cell>
          <cell r="Y107">
            <v>1.0506944444444444</v>
          </cell>
          <cell r="Z107">
            <v>65</v>
          </cell>
          <cell r="AD107">
            <v>0.38749999999999996</v>
          </cell>
          <cell r="AH107">
            <v>53.1</v>
          </cell>
          <cell r="AK107">
            <v>17.100000000000001</v>
          </cell>
          <cell r="AM107">
            <v>51.2</v>
          </cell>
          <cell r="AY107">
            <v>96.528104626400491</v>
          </cell>
          <cell r="AZ107">
            <v>96.586736670463665</v>
          </cell>
          <cell r="BC107" t="str">
            <v>R. Regis</v>
          </cell>
        </row>
        <row r="108">
          <cell r="A108" t="str">
            <v>SM094</v>
          </cell>
          <cell r="T108">
            <v>60</v>
          </cell>
          <cell r="U108">
            <v>5.2354048964218478</v>
          </cell>
          <cell r="X108">
            <v>1.0687500000000001</v>
          </cell>
          <cell r="Y108">
            <v>1.2361111111111112</v>
          </cell>
          <cell r="Z108">
            <v>94</v>
          </cell>
          <cell r="AD108">
            <v>0.31944444444444453</v>
          </cell>
          <cell r="AH108">
            <v>53.1</v>
          </cell>
          <cell r="AK108">
            <v>17</v>
          </cell>
          <cell r="AM108">
            <v>45.8</v>
          </cell>
          <cell r="AY108">
            <v>85.849010453703045</v>
          </cell>
          <cell r="AZ108">
            <v>85.901107547355807</v>
          </cell>
          <cell r="BC108" t="str">
            <v>R. Regis</v>
          </cell>
        </row>
        <row r="109">
          <cell r="A109" t="str">
            <v>SM095</v>
          </cell>
          <cell r="T109">
            <v>60</v>
          </cell>
          <cell r="U109">
            <v>14.490566037735849</v>
          </cell>
          <cell r="X109">
            <v>1.0534722222222221</v>
          </cell>
          <cell r="Y109">
            <v>1.1909722222222223</v>
          </cell>
          <cell r="Z109">
            <v>68</v>
          </cell>
          <cell r="AD109">
            <v>0.29513888888888895</v>
          </cell>
          <cell r="AH109">
            <v>53</v>
          </cell>
          <cell r="AK109">
            <v>17.399999999999999</v>
          </cell>
          <cell r="AM109">
            <v>48</v>
          </cell>
          <cell r="AY109">
            <v>92.370449844338921</v>
          </cell>
          <cell r="AZ109">
            <v>92.605704838183627</v>
          </cell>
          <cell r="BC109" t="str">
            <v>K. Benjamin</v>
          </cell>
        </row>
        <row r="110">
          <cell r="A110" t="str">
            <v>SM096</v>
          </cell>
          <cell r="T110">
            <v>60</v>
          </cell>
          <cell r="U110">
            <v>9.2075471698113258</v>
          </cell>
          <cell r="X110">
            <v>1.1513888888888888</v>
          </cell>
          <cell r="Y110">
            <v>1.2875000000000001</v>
          </cell>
          <cell r="Z110">
            <v>64</v>
          </cell>
          <cell r="AD110">
            <v>0.28750000000000009</v>
          </cell>
          <cell r="AH110">
            <v>53</v>
          </cell>
          <cell r="AK110">
            <v>17.2</v>
          </cell>
          <cell r="AM110">
            <v>52.5</v>
          </cell>
          <cell r="AY110">
            <v>99.701211499647968</v>
          </cell>
          <cell r="AZ110">
            <v>99.95537512243871</v>
          </cell>
          <cell r="BC110" t="str">
            <v>K. Benjamin</v>
          </cell>
        </row>
        <row r="111">
          <cell r="A111" t="str">
            <v>SM097</v>
          </cell>
          <cell r="T111">
            <v>60</v>
          </cell>
          <cell r="U111">
            <v>13.924528301886795</v>
          </cell>
          <cell r="X111">
            <v>0.25833333333333336</v>
          </cell>
          <cell r="Y111">
            <v>0.40277777777777779</v>
          </cell>
          <cell r="Z111">
            <v>61</v>
          </cell>
          <cell r="AD111">
            <v>0.30208333333333337</v>
          </cell>
          <cell r="AH111">
            <v>53</v>
          </cell>
          <cell r="AK111">
            <v>17.7</v>
          </cell>
          <cell r="AM111">
            <v>49.5</v>
          </cell>
          <cell r="AY111">
            <v>97.153925707358042</v>
          </cell>
          <cell r="AZ111">
            <v>97.400898265707951</v>
          </cell>
          <cell r="BC111" t="str">
            <v>K. Benjamin</v>
          </cell>
        </row>
        <row r="112">
          <cell r="A112" t="str">
            <v>SM098</v>
          </cell>
          <cell r="T112">
            <v>62</v>
          </cell>
          <cell r="U112">
            <v>9.9622641509433976</v>
          </cell>
          <cell r="X112">
            <v>0.36875000000000002</v>
          </cell>
          <cell r="Y112">
            <v>0.50347222222222221</v>
          </cell>
          <cell r="Z112">
            <v>65</v>
          </cell>
          <cell r="AD112">
            <v>0.30555555555555558</v>
          </cell>
          <cell r="AH112">
            <v>53</v>
          </cell>
          <cell r="AK112">
            <v>17.2</v>
          </cell>
          <cell r="AM112">
            <v>52.4</v>
          </cell>
          <cell r="AY112">
            <v>99.671810513861331</v>
          </cell>
          <cell r="AZ112">
            <v>99.925422594920192</v>
          </cell>
          <cell r="BC112" t="str">
            <v>R. Regis</v>
          </cell>
        </row>
        <row r="113">
          <cell r="A113" t="str">
            <v>SM099</v>
          </cell>
          <cell r="T113">
            <v>61</v>
          </cell>
          <cell r="U113">
            <v>10.508474576271198</v>
          </cell>
          <cell r="X113">
            <v>0.50138888888888888</v>
          </cell>
          <cell r="Y113">
            <v>0.6333333333333333</v>
          </cell>
          <cell r="Z113">
            <v>66</v>
          </cell>
          <cell r="AD113">
            <v>0.2895833333333333</v>
          </cell>
          <cell r="AH113">
            <v>53.1</v>
          </cell>
          <cell r="AK113">
            <v>17.100000000000001</v>
          </cell>
          <cell r="AM113">
            <v>52.4</v>
          </cell>
          <cell r="AY113">
            <v>98.915752553774794</v>
          </cell>
          <cell r="AZ113">
            <v>99.16791384291048</v>
          </cell>
          <cell r="BC113" t="str">
            <v>R. Regis</v>
          </cell>
        </row>
        <row r="114">
          <cell r="A114" t="str">
            <v>SM100</v>
          </cell>
          <cell r="T114">
            <v>64</v>
          </cell>
          <cell r="U114">
            <v>10.696798493408675</v>
          </cell>
          <cell r="X114">
            <v>0.61458333333333337</v>
          </cell>
          <cell r="Y114">
            <v>0.74930555555555556</v>
          </cell>
          <cell r="Z114">
            <v>71</v>
          </cell>
          <cell r="AD114">
            <v>0.30138888888888887</v>
          </cell>
          <cell r="AH114">
            <v>53.1</v>
          </cell>
          <cell r="AK114">
            <v>17.2</v>
          </cell>
          <cell r="AM114">
            <v>51.4</v>
          </cell>
          <cell r="AY114">
            <v>97.927628429698714</v>
          </cell>
          <cell r="AZ114">
            <v>98.176332729490184</v>
          </cell>
          <cell r="BC114" t="str">
            <v>R. Regis</v>
          </cell>
        </row>
        <row r="115">
          <cell r="A115" t="str">
            <v>SM101</v>
          </cell>
          <cell r="U115">
            <v>11.261770244821099</v>
          </cell>
          <cell r="X115">
            <v>0.77013888888888893</v>
          </cell>
          <cell r="Y115">
            <v>0.89444444444444449</v>
          </cell>
          <cell r="Z115">
            <v>88</v>
          </cell>
          <cell r="AD115">
            <v>0.32500000000000007</v>
          </cell>
          <cell r="AH115">
            <v>53.1</v>
          </cell>
          <cell r="AK115">
            <v>17.3</v>
          </cell>
          <cell r="AM115">
            <v>49.87</v>
          </cell>
          <cell r="AY115">
            <v>95.478733544007227</v>
          </cell>
          <cell r="AZ115">
            <v>95.721676460225169</v>
          </cell>
          <cell r="BC115" t="str">
            <v>R.Sookram</v>
          </cell>
        </row>
        <row r="116">
          <cell r="A116" t="str">
            <v>SM102</v>
          </cell>
          <cell r="T116">
            <v>61</v>
          </cell>
          <cell r="U116">
            <v>9.3785310734463341</v>
          </cell>
          <cell r="X116">
            <v>0.84513888888888888</v>
          </cell>
          <cell r="Y116">
            <v>1.0118055555555556</v>
          </cell>
          <cell r="Z116">
            <v>102</v>
          </cell>
          <cell r="AD116">
            <v>0.33125000000000004</v>
          </cell>
          <cell r="AH116">
            <v>53.1</v>
          </cell>
          <cell r="AK116">
            <v>17.2</v>
          </cell>
          <cell r="AM116">
            <v>51.27</v>
          </cell>
          <cell r="AY116">
            <v>97.443813663670895</v>
          </cell>
          <cell r="AZ116">
            <v>97.691989826310405</v>
          </cell>
          <cell r="BC116" t="str">
            <v>R.Sookram</v>
          </cell>
        </row>
      </sheetData>
      <sheetData sheetId="4">
        <row r="14">
          <cell r="D14">
            <v>17.3</v>
          </cell>
        </row>
        <row r="100">
          <cell r="D100">
            <v>17.100000000000001</v>
          </cell>
        </row>
        <row r="101">
          <cell r="D101">
            <v>17.100000000000001</v>
          </cell>
        </row>
        <row r="102">
          <cell r="D102">
            <v>17.5</v>
          </cell>
        </row>
        <row r="103">
          <cell r="D103">
            <v>17.399999999999999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'25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70">
          <cell r="M70">
            <v>6.5</v>
          </cell>
        </row>
      </sheetData>
      <sheetData sheetId="17" refreshError="1"/>
      <sheetData sheetId="18" refreshError="1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4th"/>
      <sheetName val="July 7th "/>
      <sheetName val="July 8th "/>
      <sheetName val="July 9th  "/>
      <sheetName val="July 10th "/>
      <sheetName val="July 11th  "/>
      <sheetName val="July 14th"/>
      <sheetName val="July 15th"/>
      <sheetName val="July 16th "/>
      <sheetName val="July 17th "/>
      <sheetName val="July 18th"/>
      <sheetName val="July 21st"/>
      <sheetName val="July 22nd"/>
      <sheetName val="July 23rd"/>
      <sheetName val="July 24th"/>
      <sheetName val="July 25th"/>
      <sheetName val="July 28th"/>
      <sheetName val="Jul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">
          <cell r="L44">
            <v>97.964720615192235</v>
          </cell>
        </row>
        <row r="49">
          <cell r="L49">
            <v>8.1578947368421044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4th "/>
      <sheetName val="Aug 5th "/>
      <sheetName val="Aug 6th "/>
      <sheetName val="Aug 7th "/>
      <sheetName val="Aug 8th "/>
      <sheetName val="Aug 13th"/>
      <sheetName val="Aug 14th"/>
      <sheetName val="Aug 15th-16th"/>
      <sheetName val="Aug 18th"/>
      <sheetName val="Aug 19th"/>
      <sheetName val="Aug 20th"/>
      <sheetName val="Aug 21st"/>
      <sheetName val="Aug 22nd-23rd"/>
      <sheetName val="Aug 25th"/>
      <sheetName val="Aug 26th"/>
      <sheetName val="Aug 27th"/>
      <sheetName val="Aug 28th"/>
      <sheetName val="Aug 29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9">
          <cell r="L29">
            <v>97.1</v>
          </cell>
        </row>
        <row r="34">
          <cell r="L34">
            <v>7.3157894736842106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Sept 1st"/>
      <sheetName val="Sept 2nd"/>
      <sheetName val="Sept 3rd"/>
      <sheetName val="Sept 4th"/>
      <sheetName val="Sept 5th "/>
      <sheetName val="Sept 8th"/>
      <sheetName val="Sept 9th"/>
      <sheetName val="Sept 10th"/>
      <sheetName val="Sept 11th"/>
      <sheetName val="Sept 12th "/>
      <sheetName val="Sept 15th "/>
      <sheetName val="Sept 16th"/>
      <sheetName val="Sept 17th"/>
      <sheetName val="Sept 18th "/>
      <sheetName val="Sept 19th"/>
      <sheetName val="Sept 22nd"/>
      <sheetName val="Sept 23rd"/>
      <sheetName val="Sept 24th"/>
      <sheetName val="Sept 25th"/>
      <sheetName val="Sept 26th"/>
      <sheetName val="Sept 29th "/>
      <sheetName val="Sept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L35">
            <v>97.162871284563693</v>
          </cell>
        </row>
        <row r="40">
          <cell r="L40">
            <v>7.4285714285714288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Oct. 1st"/>
      <sheetName val="Oct. 2nd"/>
      <sheetName val="Oct. 3rd"/>
      <sheetName val="Oct. 6th"/>
      <sheetName val="Oct.7th"/>
      <sheetName val="Oct.8th"/>
      <sheetName val="Oct.9th"/>
      <sheetName val="Oct.10th"/>
      <sheetName val="Oct.13th"/>
      <sheetName val="Oct.14th"/>
      <sheetName val="Oct.15th"/>
      <sheetName val="Oct.16th"/>
      <sheetName val="Oct.17th"/>
      <sheetName val="Oct.21st"/>
      <sheetName val="Oct.22nd"/>
      <sheetName val="Oct.23rd"/>
      <sheetName val="Oct.24th"/>
      <sheetName val="Oct.27th"/>
      <sheetName val="Oct.28th"/>
      <sheetName val="Oct.29th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3">
          <cell r="L43">
            <v>7.5714285714285712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Nov.3rd"/>
      <sheetName val="Nov 4th"/>
      <sheetName val="Nov 5th"/>
      <sheetName val="Nov 6th "/>
      <sheetName val="Nov 7th-8th"/>
      <sheetName val="Nov 10th"/>
      <sheetName val="Nov 11th"/>
      <sheetName val="Nov 12th"/>
      <sheetName val="Nov 13th&amp; 14th"/>
      <sheetName val="Nov 15th"/>
      <sheetName val="Nov 17th"/>
      <sheetName val="Nov 18th"/>
      <sheetName val="Nov 19th "/>
      <sheetName val="Nov 20th"/>
      <sheetName val="Nov 21st"/>
      <sheetName val="Nov 22nd-23rd"/>
      <sheetName val="Nov 24th"/>
      <sheetName val="Nov 25th"/>
      <sheetName val="Nov 26th"/>
      <sheetName val="Nov 27th"/>
      <sheetName val="Nov 28th-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5">
          <cell r="L45">
            <v>6.041666666666667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D3">
            <v>595.54</v>
          </cell>
          <cell r="E3">
            <v>249.16</v>
          </cell>
          <cell r="K3">
            <v>200.2</v>
          </cell>
          <cell r="L3">
            <v>411.28000000000003</v>
          </cell>
          <cell r="S3">
            <v>411.63</v>
          </cell>
          <cell r="T3">
            <v>606.79000000000008</v>
          </cell>
          <cell r="U3">
            <v>213.1</v>
          </cell>
          <cell r="V3">
            <v>68</v>
          </cell>
          <cell r="Y3">
            <v>527.62</v>
          </cell>
          <cell r="AE3">
            <v>306.70000000000005</v>
          </cell>
          <cell r="AF3">
            <v>307.75</v>
          </cell>
          <cell r="AH3">
            <v>249.5</v>
          </cell>
          <cell r="AN3">
            <v>4.9612611644546387</v>
          </cell>
          <cell r="AQ3">
            <v>5.9126136559518887</v>
          </cell>
        </row>
        <row r="4">
          <cell r="AN4">
            <v>3.24461187041305</v>
          </cell>
          <cell r="AQ4">
            <v>5.9509190936089542</v>
          </cell>
        </row>
        <row r="5">
          <cell r="AN5">
            <v>12.659626751336301</v>
          </cell>
          <cell r="AQ5">
            <v>12.551549020964353</v>
          </cell>
        </row>
        <row r="6">
          <cell r="AN6">
            <v>2.6511803423748783</v>
          </cell>
          <cell r="AQ6">
            <v>4.1544267346524437</v>
          </cell>
        </row>
        <row r="7">
          <cell r="D7">
            <v>549</v>
          </cell>
          <cell r="E7">
            <v>237.7</v>
          </cell>
          <cell r="K7">
            <v>191</v>
          </cell>
          <cell r="L7">
            <v>380.2</v>
          </cell>
          <cell r="S7">
            <v>394.8</v>
          </cell>
          <cell r="T7">
            <v>584</v>
          </cell>
          <cell r="U7">
            <v>199.8</v>
          </cell>
          <cell r="V7">
            <v>63</v>
          </cell>
          <cell r="Y7">
            <v>493.29999999999995</v>
          </cell>
          <cell r="AE7">
            <v>291</v>
          </cell>
          <cell r="AF7">
            <v>288.7</v>
          </cell>
          <cell r="AH7">
            <v>237.2</v>
          </cell>
          <cell r="AN7" t="e">
            <v>#DIV/0!</v>
          </cell>
          <cell r="AQ7">
            <v>5.3377569154690221</v>
          </cell>
        </row>
        <row r="8">
          <cell r="AN8" t="e">
            <v>#DIV/0!</v>
          </cell>
          <cell r="AQ8">
            <v>8.6614709463340702</v>
          </cell>
        </row>
        <row r="9">
          <cell r="AN9">
            <v>5.3788101103157819</v>
          </cell>
          <cell r="AQ9">
            <v>4.4628906641962587</v>
          </cell>
        </row>
        <row r="10">
          <cell r="AN10" t="e">
            <v>#DIV/0!</v>
          </cell>
          <cell r="AQ10">
            <v>9.7934336121043764</v>
          </cell>
        </row>
        <row r="11">
          <cell r="D11">
            <v>7.4397146808635712</v>
          </cell>
          <cell r="E11">
            <v>2.8833364159175856</v>
          </cell>
          <cell r="K11">
            <v>4.362899488813377</v>
          </cell>
          <cell r="L11">
            <v>7.1814158362132714</v>
          </cell>
          <cell r="S11">
            <v>2.3675382146631385</v>
          </cell>
          <cell r="T11">
            <v>3.4428406875739963</v>
          </cell>
          <cell r="U11">
            <v>6.3181789811670459</v>
          </cell>
          <cell r="V11">
            <v>9.371884346959126</v>
          </cell>
          <cell r="Y11">
            <v>6.5046813994920738</v>
          </cell>
          <cell r="AE11">
            <v>2.0157875050554068</v>
          </cell>
          <cell r="AF11">
            <v>4.7362652944661043</v>
          </cell>
          <cell r="AH11">
            <v>4.1563028416474825</v>
          </cell>
          <cell r="AN11" t="e">
            <v>#DIV/0!</v>
          </cell>
          <cell r="AQ11">
            <v>8.1715311054411259</v>
          </cell>
        </row>
        <row r="12">
          <cell r="AN12">
            <v>5.3448246923904676</v>
          </cell>
          <cell r="AQ12">
            <v>6.4182243543623052</v>
          </cell>
        </row>
        <row r="13">
          <cell r="H13">
            <v>482.41</v>
          </cell>
          <cell r="I13">
            <v>100.6</v>
          </cell>
          <cell r="R13">
            <v>374</v>
          </cell>
          <cell r="U13">
            <v>190.7</v>
          </cell>
          <cell r="Z13">
            <v>481.88999999999993</v>
          </cell>
          <cell r="AG13">
            <v>575.19999999999993</v>
          </cell>
        </row>
        <row r="17">
          <cell r="H17">
            <v>474.4</v>
          </cell>
          <cell r="I17">
            <v>103.1</v>
          </cell>
          <cell r="R17">
            <v>348.20000000000005</v>
          </cell>
          <cell r="U17">
            <v>182.7</v>
          </cell>
          <cell r="Z17">
            <v>457.7</v>
          </cell>
          <cell r="AG17">
            <v>557.9</v>
          </cell>
        </row>
        <row r="21">
          <cell r="U21">
            <v>3.5809366302287184</v>
          </cell>
          <cell r="Z21">
            <v>4.4845027641931416</v>
          </cell>
          <cell r="AG21">
            <v>1.7631606537191296</v>
          </cell>
        </row>
        <row r="23">
          <cell r="K23">
            <v>403.09999999999997</v>
          </cell>
          <cell r="Z23">
            <v>407.2</v>
          </cell>
        </row>
        <row r="28">
          <cell r="K28">
            <v>360.1</v>
          </cell>
          <cell r="Z28">
            <v>368.4</v>
          </cell>
        </row>
        <row r="32">
          <cell r="K32">
            <v>12.654091067358683</v>
          </cell>
          <cell r="Z32">
            <v>12.665112784143343</v>
          </cell>
        </row>
        <row r="55">
          <cell r="N55">
            <v>201.3</v>
          </cell>
          <cell r="O55">
            <v>310</v>
          </cell>
          <cell r="V55">
            <v>407.34</v>
          </cell>
        </row>
        <row r="59">
          <cell r="N59">
            <v>196.9</v>
          </cell>
          <cell r="O59">
            <v>306.2</v>
          </cell>
          <cell r="V59">
            <v>395.4</v>
          </cell>
        </row>
        <row r="63">
          <cell r="O63">
            <v>2.8881300129592913</v>
          </cell>
          <cell r="V63">
            <v>3.5615290586567734</v>
          </cell>
        </row>
        <row r="65">
          <cell r="H65">
            <v>284.37</v>
          </cell>
          <cell r="J65">
            <v>191.39999999999998</v>
          </cell>
          <cell r="Q65">
            <v>282.84999999999997</v>
          </cell>
        </row>
        <row r="70">
          <cell r="H70">
            <v>286.8</v>
          </cell>
          <cell r="J70">
            <v>191.5</v>
          </cell>
          <cell r="Q70">
            <v>285.5</v>
          </cell>
        </row>
        <row r="74">
          <cell r="H74">
            <v>2.4050591708562008</v>
          </cell>
          <cell r="J74">
            <v>3.5147308045142434</v>
          </cell>
          <cell r="Q74">
            <v>2.3146263223707226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N13">
            <v>0.46315302144249515</v>
          </cell>
          <cell r="AQ13">
            <v>0.70527994238178437</v>
          </cell>
        </row>
        <row r="14">
          <cell r="AN14">
            <v>0.47543024227234754</v>
          </cell>
          <cell r="AQ14">
            <v>0.66613042426698332</v>
          </cell>
        </row>
        <row r="15">
          <cell r="AN15">
            <v>0.37337719298245614</v>
          </cell>
          <cell r="AQ15">
            <v>0.50452657004830925</v>
          </cell>
        </row>
        <row r="16">
          <cell r="AN16">
            <v>0.78134502923976601</v>
          </cell>
          <cell r="AQ16">
            <v>0.82232972136222915</v>
          </cell>
        </row>
        <row r="17">
          <cell r="AN17" t="e">
            <v>#DIV/0!</v>
          </cell>
          <cell r="AQ17">
            <v>0.32596491228070179</v>
          </cell>
        </row>
        <row r="18">
          <cell r="D18">
            <v>0.48157894736842105</v>
          </cell>
          <cell r="E18">
            <v>0.41701754385964912</v>
          </cell>
          <cell r="K18">
            <v>0.6701754385964912</v>
          </cell>
          <cell r="L18">
            <v>0.2668070175438596</v>
          </cell>
          <cell r="S18">
            <v>0.46175438596491225</v>
          </cell>
          <cell r="T18">
            <v>0.40982456140350876</v>
          </cell>
          <cell r="U18">
            <v>0.14021052631578948</v>
          </cell>
          <cell r="V18">
            <v>0.11052631578947368</v>
          </cell>
          <cell r="Y18">
            <v>0.28847953216374267</v>
          </cell>
          <cell r="AE18">
            <v>1.0210526315789474</v>
          </cell>
          <cell r="AF18">
            <v>1.0129824561403509</v>
          </cell>
          <cell r="AH18">
            <v>0.2774269005847953</v>
          </cell>
          <cell r="AN18" t="e">
            <v>#DIV/0!</v>
          </cell>
          <cell r="AQ18">
            <v>0.73160818713450293</v>
          </cell>
        </row>
        <row r="19">
          <cell r="AN19">
            <v>0.64058479532163748</v>
          </cell>
          <cell r="AQ19">
            <v>0.80904406538734908</v>
          </cell>
        </row>
        <row r="20">
          <cell r="AN20" t="e">
            <v>#DIV/0!</v>
          </cell>
          <cell r="AQ20">
            <v>0.32456140350877194</v>
          </cell>
        </row>
        <row r="21">
          <cell r="AN21">
            <v>0</v>
          </cell>
          <cell r="AQ21">
            <v>0.51368421052631585</v>
          </cell>
        </row>
        <row r="22">
          <cell r="AN22">
            <v>0.51626775271512104</v>
          </cell>
          <cell r="AQ22">
            <v>0.68662228112974388</v>
          </cell>
        </row>
        <row r="25">
          <cell r="H25">
            <v>0.5548538011695906</v>
          </cell>
          <cell r="I25">
            <v>0.36175438596491227</v>
          </cell>
          <cell r="R25">
            <v>0.40725146198830414</v>
          </cell>
          <cell r="U25">
            <v>0.32052631578947366</v>
          </cell>
          <cell r="Z25">
            <v>0.22942355889724311</v>
          </cell>
          <cell r="AG25">
            <v>0.9787719298245614</v>
          </cell>
        </row>
        <row r="32">
          <cell r="K32">
            <v>0.31587719298245615</v>
          </cell>
          <cell r="Z32">
            <v>0.43087719298245614</v>
          </cell>
        </row>
        <row r="53">
          <cell r="N53">
            <v>0.6908771929824562</v>
          </cell>
          <cell r="O53">
            <v>0.53719298245614033</v>
          </cell>
          <cell r="V53">
            <v>0.69368421052631579</v>
          </cell>
        </row>
        <row r="60">
          <cell r="H60">
            <v>1.0063157894736843</v>
          </cell>
          <cell r="J60">
            <v>0.33596491228070174</v>
          </cell>
          <cell r="O60">
            <v>1.0017543859649123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5"/>
    </sheetNames>
    <sheetDataSet>
      <sheetData sheetId="0" refreshError="1"/>
      <sheetData sheetId="1">
        <row r="6">
          <cell r="J6">
            <v>50.1</v>
          </cell>
          <cell r="S6">
            <v>9</v>
          </cell>
        </row>
        <row r="15">
          <cell r="S15">
            <v>8.6999999999999993</v>
          </cell>
        </row>
      </sheetData>
      <sheetData sheetId="2" refreshError="1"/>
      <sheetData sheetId="3">
        <row r="7">
          <cell r="I7">
            <v>47.4</v>
          </cell>
          <cell r="J7">
            <v>4.0999999999999996</v>
          </cell>
        </row>
        <row r="9">
          <cell r="J9">
            <v>4.0999999999999996</v>
          </cell>
        </row>
        <row r="11">
          <cell r="J11">
            <v>4.0999999999999996</v>
          </cell>
        </row>
        <row r="13">
          <cell r="J13">
            <v>4.0999999999999996</v>
          </cell>
        </row>
        <row r="15">
          <cell r="J15">
            <v>4.0999999999999996</v>
          </cell>
        </row>
        <row r="17">
          <cell r="J17">
            <v>4.0999999999999996</v>
          </cell>
        </row>
        <row r="19">
          <cell r="J19">
            <v>4.0999999999999996</v>
          </cell>
        </row>
        <row r="21">
          <cell r="J21">
            <v>4.0999999999999996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5.7283465990881002</v>
          </cell>
        </row>
        <row r="6">
          <cell r="E6">
            <v>3.6647314949201824</v>
          </cell>
        </row>
        <row r="7">
          <cell r="E7">
            <v>12.016908212560388</v>
          </cell>
        </row>
        <row r="8">
          <cell r="E8">
            <v>3.4899294938212191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2.192371331533558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5.2376061992344427</v>
          </cell>
        </row>
      </sheetData>
      <sheetData sheetId="11">
        <row r="5">
          <cell r="E5">
            <v>6.0421369371604801</v>
          </cell>
        </row>
        <row r="6">
          <cell r="E6">
            <v>5.5175865662770454</v>
          </cell>
        </row>
        <row r="7">
          <cell r="E7">
            <v>11.141238852735578</v>
          </cell>
        </row>
        <row r="8">
          <cell r="E8">
            <v>4.4543170560422727</v>
          </cell>
        </row>
        <row r="9">
          <cell r="E9">
            <v>7.837301587301579</v>
          </cell>
        </row>
        <row r="10">
          <cell r="E10">
            <v>6.8851328044153277</v>
          </cell>
        </row>
        <row r="11">
          <cell r="E11">
            <v>2.8003947928578476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6.021880789225408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04" t="s">
        <v>0</v>
      </c>
      <c r="U1" s="504"/>
      <c r="V1" s="504" t="s">
        <v>1</v>
      </c>
      <c r="W1" s="504"/>
      <c r="X1" s="504" t="s">
        <v>2</v>
      </c>
      <c r="Y1" s="504"/>
      <c r="Z1" s="504" t="s">
        <v>124</v>
      </c>
      <c r="AA1" s="504"/>
    </row>
    <row r="2" spans="2:30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99">
        <v>45278</v>
      </c>
      <c r="D4" s="499"/>
      <c r="J4" s="500" t="s">
        <v>153</v>
      </c>
      <c r="K4" s="500"/>
      <c r="L4" s="11"/>
      <c r="M4" s="502" t="s">
        <v>8</v>
      </c>
      <c r="N4" s="503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01"/>
      <c r="K5" s="501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08" t="s">
        <v>151</v>
      </c>
      <c r="K6" s="50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10"/>
      <c r="K7" s="51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152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14"/>
      <c r="P8" s="524" t="s">
        <v>28</v>
      </c>
      <c r="Q8" s="526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15"/>
      <c r="P9" s="525"/>
      <c r="Q9" s="527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28" t="s">
        <v>34</v>
      </c>
      <c r="J48" s="528"/>
      <c r="K48" s="528"/>
      <c r="L48" s="528"/>
      <c r="M48" s="528"/>
      <c r="N48" s="528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06" t="s">
        <v>35</v>
      </c>
      <c r="E49" s="507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29" t="s">
        <v>9</v>
      </c>
      <c r="C50" s="362">
        <v>11.8</v>
      </c>
      <c r="D50" s="532">
        <v>11.73</v>
      </c>
      <c r="E50" s="533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0"/>
      <c r="C51" s="349">
        <v>11.9</v>
      </c>
      <c r="D51" s="534"/>
      <c r="E51" s="535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30"/>
      <c r="C52" s="349"/>
      <c r="D52" s="532"/>
      <c r="E52" s="533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30"/>
      <c r="C53" s="349"/>
      <c r="D53" s="534"/>
      <c r="E53" s="535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30"/>
      <c r="C54" s="349"/>
      <c r="D54" s="532"/>
      <c r="E54" s="533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30"/>
      <c r="C55" s="349"/>
      <c r="D55" s="534"/>
      <c r="E55" s="535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30"/>
      <c r="C56" s="349"/>
      <c r="D56" s="532"/>
      <c r="E56" s="533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30"/>
      <c r="C57" s="349"/>
      <c r="D57" s="534"/>
      <c r="E57" s="535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0"/>
      <c r="C58" s="349"/>
      <c r="D58" s="536"/>
      <c r="E58" s="537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0"/>
      <c r="C59" s="349"/>
      <c r="D59" s="538"/>
      <c r="E59" s="539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0"/>
      <c r="C60" s="349"/>
      <c r="D60" s="536"/>
      <c r="E60" s="537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31"/>
      <c r="C61" s="350"/>
      <c r="D61" s="540"/>
      <c r="E61" s="541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42"/>
      <c r="C62" s="362"/>
      <c r="D62" s="545"/>
      <c r="E62" s="546"/>
      <c r="F62" s="43"/>
      <c r="G62" s="41"/>
      <c r="H62" s="41"/>
      <c r="I62" s="42"/>
      <c r="J62" s="548" t="s">
        <v>129</v>
      </c>
      <c r="K62" s="548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43"/>
      <c r="C63" s="349"/>
      <c r="D63" s="547"/>
      <c r="E63" s="535"/>
      <c r="F63" s="43"/>
      <c r="G63" s="41"/>
      <c r="H63" s="41"/>
      <c r="I63" s="42"/>
      <c r="J63" s="292" t="s">
        <v>17</v>
      </c>
      <c r="K63" s="293" t="s">
        <v>147</v>
      </c>
      <c r="L63" s="549" t="s">
        <v>136</v>
      </c>
      <c r="M63" s="549"/>
      <c r="N63" s="550"/>
      <c r="O63" s="294"/>
      <c r="P63" s="12"/>
      <c r="S63" s="23"/>
    </row>
    <row r="64" spans="1:27" ht="15" customHeight="1" thickBot="1">
      <c r="B64" s="543"/>
      <c r="C64" s="349"/>
      <c r="D64" s="551"/>
      <c r="E64" s="533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43"/>
      <c r="C65" s="349"/>
      <c r="D65" s="547"/>
      <c r="E65" s="535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43"/>
      <c r="C66" s="349"/>
      <c r="D66" s="551"/>
      <c r="E66" s="533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43"/>
      <c r="C67" s="349"/>
      <c r="D67" s="547"/>
      <c r="E67" s="535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43"/>
      <c r="C68" s="349"/>
      <c r="D68" s="551"/>
      <c r="E68" s="533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43"/>
      <c r="C69" s="349"/>
      <c r="D69" s="547"/>
      <c r="E69" s="535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43"/>
      <c r="C70" s="349"/>
      <c r="D70" s="552"/>
      <c r="E70" s="537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44"/>
      <c r="C71" s="350"/>
      <c r="D71" s="553"/>
      <c r="E71" s="554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55">
        <f>AVERAGE(D50:E71)</f>
        <v>11.73</v>
      </c>
      <c r="E72" s="556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57" t="s">
        <v>17</v>
      </c>
      <c r="C77" s="557" t="s">
        <v>44</v>
      </c>
      <c r="D77" s="559" t="s">
        <v>45</v>
      </c>
      <c r="E77" s="514" t="s">
        <v>46</v>
      </c>
      <c r="F77" s="574" t="s">
        <v>47</v>
      </c>
      <c r="G77" s="568" t="s">
        <v>48</v>
      </c>
      <c r="H77" s="557" t="s">
        <v>49</v>
      </c>
      <c r="I77" s="570" t="s">
        <v>50</v>
      </c>
      <c r="J77" s="562" t="s">
        <v>28</v>
      </c>
      <c r="K77" s="512" t="s">
        <v>51</v>
      </c>
      <c r="L77" s="524" t="s">
        <v>52</v>
      </c>
      <c r="M77" s="562" t="s">
        <v>53</v>
      </c>
      <c r="N77" s="77"/>
      <c r="O77" s="13"/>
      <c r="P77" s="50"/>
    </row>
    <row r="78" spans="2:58" ht="28.5" customHeight="1" thickTop="1" thickBot="1">
      <c r="B78" s="558"/>
      <c r="C78" s="558"/>
      <c r="D78" s="560"/>
      <c r="E78" s="561"/>
      <c r="F78" s="575"/>
      <c r="G78" s="569"/>
      <c r="H78" s="558"/>
      <c r="I78" s="571"/>
      <c r="J78" s="563"/>
      <c r="K78" s="572"/>
      <c r="L78" s="573"/>
      <c r="M78" s="563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64" t="s">
        <v>55</v>
      </c>
      <c r="C87" s="565"/>
      <c r="D87" s="565"/>
      <c r="E87" s="565"/>
      <c r="F87" s="566"/>
      <c r="G87" s="564" t="s">
        <v>56</v>
      </c>
      <c r="H87" s="565"/>
      <c r="I87" s="565"/>
      <c r="J87" s="566"/>
      <c r="K87" s="564" t="s">
        <v>51</v>
      </c>
      <c r="L87" s="565"/>
      <c r="M87" s="565"/>
      <c r="N87" s="567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4069" priority="157" operator="notBetween">
      <formula>#REF!</formula>
      <formula>#REF!</formula>
    </cfRule>
  </conditionalFormatting>
  <conditionalFormatting sqref="C76">
    <cfRule type="cellIs" dxfId="4068" priority="190" stopIfTrue="1" operator="greaterThan">
      <formula>100</formula>
    </cfRule>
    <cfRule type="cellIs" dxfId="4067" priority="189" stopIfTrue="1" operator="lessThan">
      <formula>96</formula>
    </cfRule>
  </conditionalFormatting>
  <conditionalFormatting sqref="C90">
    <cfRule type="cellIs" dxfId="4066" priority="212" stopIfTrue="1" operator="greaterThan">
      <formula>$F89</formula>
    </cfRule>
    <cfRule type="cellIs" dxfId="4065" priority="106" stopIfTrue="1" operator="lessThanOrEqual">
      <formula>0</formula>
    </cfRule>
  </conditionalFormatting>
  <conditionalFormatting sqref="C91:C93">
    <cfRule type="cellIs" dxfId="4064" priority="105" stopIfTrue="1" operator="greaterThan">
      <formula>$F91</formula>
    </cfRule>
  </conditionalFormatting>
  <conditionalFormatting sqref="C91:C94">
    <cfRule type="cellIs" dxfId="4063" priority="129" stopIfTrue="1" operator="lessThanOrEqual">
      <formula>0</formula>
    </cfRule>
  </conditionalFormatting>
  <conditionalFormatting sqref="C94">
    <cfRule type="cellIs" dxfId="4062" priority="128" stopIfTrue="1" operator="greaterThan">
      <formula>$J94</formula>
    </cfRule>
  </conditionalFormatting>
  <conditionalFormatting sqref="C95:C97">
    <cfRule type="cellIs" dxfId="4061" priority="145" stopIfTrue="1" operator="greaterThan">
      <formula>$F95</formula>
    </cfRule>
    <cfRule type="cellIs" dxfId="4060" priority="146" stopIfTrue="1" operator="lessThanOrEqual">
      <formula>0</formula>
    </cfRule>
  </conditionalFormatting>
  <conditionalFormatting sqref="C100:C104">
    <cfRule type="cellIs" dxfId="4059" priority="181" stopIfTrue="1" operator="lessThanOrEqual">
      <formula>0</formula>
    </cfRule>
  </conditionalFormatting>
  <conditionalFormatting sqref="C101:C104">
    <cfRule type="cellIs" dxfId="4058" priority="180" stopIfTrue="1" operator="greaterThan">
      <formula>$F$100</formula>
    </cfRule>
  </conditionalFormatting>
  <conditionalFormatting sqref="C106">
    <cfRule type="cellIs" dxfId="4057" priority="183" stopIfTrue="1" operator="lessThanOrEqual">
      <formula>0</formula>
    </cfRule>
    <cfRule type="cellIs" dxfId="4056" priority="182" stopIfTrue="1" operator="greaterThan">
      <formula>$F$100</formula>
    </cfRule>
  </conditionalFormatting>
  <conditionalFormatting sqref="C100:D100 D102:D108">
    <cfRule type="cellIs" dxfId="4055" priority="175" stopIfTrue="1" operator="greaterThan">
      <formula>4.5</formula>
    </cfRule>
  </conditionalFormatting>
  <conditionalFormatting sqref="D72:D73">
    <cfRule type="cellIs" dxfId="4054" priority="158" operator="notBetween">
      <formula>#REF!</formula>
      <formula>#REF!</formula>
    </cfRule>
  </conditionalFormatting>
  <conditionalFormatting sqref="D89:D96">
    <cfRule type="cellIs" dxfId="4053" priority="144" stopIfTrue="1" operator="lessThanOrEqual">
      <formula>0</formula>
    </cfRule>
  </conditionalFormatting>
  <conditionalFormatting sqref="D97">
    <cfRule type="cellIs" dxfId="4052" priority="143" stopIfTrue="1" operator="lessThanOrEqual">
      <formula>0</formula>
    </cfRule>
  </conditionalFormatting>
  <conditionalFormatting sqref="D100 D102:D108">
    <cfRule type="cellIs" dxfId="4051" priority="176" stopIfTrue="1" operator="lessThanOrEqual">
      <formula>0</formula>
    </cfRule>
  </conditionalFormatting>
  <conditionalFormatting sqref="D101">
    <cfRule type="cellIs" dxfId="4050" priority="167" stopIfTrue="1" operator="greaterThan">
      <formula>$F$100</formula>
    </cfRule>
    <cfRule type="cellIs" dxfId="4049" priority="168" stopIfTrue="1" operator="lessThanOrEqual">
      <formula>0</formula>
    </cfRule>
  </conditionalFormatting>
  <conditionalFormatting sqref="D89:E97">
    <cfRule type="cellIs" dxfId="4048" priority="135" stopIfTrue="1" operator="greaterThan">
      <formula>$F89</formula>
    </cfRule>
  </conditionalFormatting>
  <conditionalFormatting sqref="E10:E14">
    <cfRule type="cellIs" dxfId="4047" priority="52" operator="lessThan">
      <formula>48</formula>
    </cfRule>
  </conditionalFormatting>
  <conditionalFormatting sqref="E33:E46">
    <cfRule type="cellIs" dxfId="4046" priority="25" operator="lessThan">
      <formula>48</formula>
    </cfRule>
  </conditionalFormatting>
  <conditionalFormatting sqref="E76">
    <cfRule type="cellIs" dxfId="4045" priority="169" stopIfTrue="1" operator="lessThan">
      <formula>96.8</formula>
    </cfRule>
    <cfRule type="cellIs" dxfId="4044" priority="170" stopIfTrue="1" operator="greaterThan">
      <formula>100</formula>
    </cfRule>
  </conditionalFormatting>
  <conditionalFormatting sqref="E89:E97">
    <cfRule type="cellIs" dxfId="4043" priority="136" stopIfTrue="1" operator="lessThanOrEqual">
      <formula>0</formula>
    </cfRule>
  </conditionalFormatting>
  <conditionalFormatting sqref="E100:E108">
    <cfRule type="cellIs" dxfId="4042" priority="161" stopIfTrue="1" operator="greaterThan">
      <formula>4.5</formula>
    </cfRule>
    <cfRule type="cellIs" dxfId="4041" priority="162" stopIfTrue="1" operator="lessThanOrEqual">
      <formula>0</formula>
    </cfRule>
  </conditionalFormatting>
  <conditionalFormatting sqref="E75:F76">
    <cfRule type="cellIs" dxfId="4040" priority="171" stopIfTrue="1" operator="lessThan">
      <formula>96.5</formula>
    </cfRule>
    <cfRule type="cellIs" dxfId="4039" priority="172" stopIfTrue="1" operator="greaterThan">
      <formula>100</formula>
    </cfRule>
  </conditionalFormatting>
  <conditionalFormatting sqref="F10:F12">
    <cfRule type="cellIs" dxfId="4038" priority="62" operator="greaterThan">
      <formula>#REF!</formula>
    </cfRule>
  </conditionalFormatting>
  <conditionalFormatting sqref="F10:F47">
    <cfRule type="cellIs" dxfId="4037" priority="15" operator="greaterThan">
      <formula>$AA10</formula>
    </cfRule>
  </conditionalFormatting>
  <conditionalFormatting sqref="F13">
    <cfRule type="cellIs" dxfId="4036" priority="53" operator="greaterThan">
      <formula>$AA47</formula>
    </cfRule>
  </conditionalFormatting>
  <conditionalFormatting sqref="F14">
    <cfRule type="cellIs" dxfId="4035" priority="196" operator="greaterThan">
      <formula>#REF!</formula>
    </cfRule>
  </conditionalFormatting>
  <conditionalFormatting sqref="F33:F46">
    <cfRule type="cellIs" dxfId="4034" priority="26" operator="greaterThan">
      <formula>$AA48</formula>
    </cfRule>
  </conditionalFormatting>
  <conditionalFormatting sqref="F76">
    <cfRule type="cellIs" dxfId="4033" priority="188" stopIfTrue="1" operator="greaterThan">
      <formula>100</formula>
    </cfRule>
    <cfRule type="cellIs" dxfId="4032" priority="187" stopIfTrue="1" operator="lessThan">
      <formula>96.8</formula>
    </cfRule>
  </conditionalFormatting>
  <conditionalFormatting sqref="F97">
    <cfRule type="cellIs" dxfId="4031" priority="137" stopIfTrue="1" operator="greaterThan">
      <formula>$F97</formula>
    </cfRule>
    <cfRule type="cellIs" dxfId="4030" priority="138" stopIfTrue="1" operator="lessThanOrEqual">
      <formula>0</formula>
    </cfRule>
  </conditionalFormatting>
  <conditionalFormatting sqref="G10:G14">
    <cfRule type="expression" dxfId="4029" priority="54">
      <formula>IF(+(IF(G10&lt;#REF!,0,IF(G10&gt;#REF!,0,1)))=0,1)</formula>
    </cfRule>
  </conditionalFormatting>
  <conditionalFormatting sqref="G33:G46">
    <cfRule type="expression" dxfId="4028" priority="27">
      <formula>IF(+(IF(G33&lt;#REF!,0,IF(G33&gt;#REF!,0,1)))=0,1)</formula>
    </cfRule>
  </conditionalFormatting>
  <conditionalFormatting sqref="G90">
    <cfRule type="cellIs" dxfId="4027" priority="71" stopIfTrue="1" operator="lessThanOrEqual">
      <formula>0</formula>
    </cfRule>
    <cfRule type="cellIs" dxfId="4026" priority="70" stopIfTrue="1" operator="greaterThan">
      <formula>$F89</formula>
    </cfRule>
  </conditionalFormatting>
  <conditionalFormatting sqref="G90:G91">
    <cfRule type="cellIs" dxfId="4025" priority="192" stopIfTrue="1" operator="lessThanOrEqual">
      <formula>0</formula>
    </cfRule>
    <cfRule type="cellIs" dxfId="4024" priority="191" stopIfTrue="1" operator="greaterThan">
      <formula>$F89</formula>
    </cfRule>
  </conditionalFormatting>
  <conditionalFormatting sqref="G92">
    <cfRule type="cellIs" dxfId="4023" priority="140" stopIfTrue="1" operator="lessThanOrEqual">
      <formula>0</formula>
    </cfRule>
    <cfRule type="cellIs" dxfId="4022" priority="139" stopIfTrue="1" operator="greaterThan">
      <formula>$F92</formula>
    </cfRule>
  </conditionalFormatting>
  <conditionalFormatting sqref="G93:G96">
    <cfRule type="cellIs" dxfId="4021" priority="149" stopIfTrue="1" operator="lessThanOrEqual">
      <formula>0</formula>
    </cfRule>
    <cfRule type="cellIs" dxfId="4020" priority="148" stopIfTrue="1" operator="greaterThan">
      <formula>$J93</formula>
    </cfRule>
  </conditionalFormatting>
  <conditionalFormatting sqref="G97">
    <cfRule type="cellIs" dxfId="4019" priority="147" operator="greaterThan">
      <formula>4.5</formula>
    </cfRule>
  </conditionalFormatting>
  <conditionalFormatting sqref="G102:G107 C105 C107">
    <cfRule type="cellIs" dxfId="4018" priority="184" stopIfTrue="1" operator="greaterThan">
      <formula>4.5</formula>
    </cfRule>
    <cfRule type="cellIs" dxfId="4017" priority="185" stopIfTrue="1" operator="lessThanOrEqual">
      <formula>0</formula>
    </cfRule>
  </conditionalFormatting>
  <conditionalFormatting sqref="G62:H62 G63:G73 H63:H74">
    <cfRule type="cellIs" dxfId="4016" priority="163" stopIfTrue="1" operator="greaterThan">
      <formula>0</formula>
    </cfRule>
  </conditionalFormatting>
  <conditionalFormatting sqref="G101:H101">
    <cfRule type="cellIs" dxfId="4015" priority="166" stopIfTrue="1" operator="lessThanOrEqual">
      <formula>0</formula>
    </cfRule>
    <cfRule type="cellIs" dxfId="4014" priority="165" stopIfTrue="1" operator="greaterThan">
      <formula>$F$100</formula>
    </cfRule>
  </conditionalFormatting>
  <conditionalFormatting sqref="H10">
    <cfRule type="expression" dxfId="4013" priority="63">
      <formula>IF(+(IF(H10&lt;T27,0,IF(H10&gt;U27,0,1)))=0,1)</formula>
    </cfRule>
  </conditionalFormatting>
  <conditionalFormatting sqref="H10:H12">
    <cfRule type="expression" dxfId="4012" priority="64">
      <formula>IF(+(IF(H10&lt;#REF!,0,IF(H10&gt;#REF!,0,1)))=0,1)</formula>
    </cfRule>
  </conditionalFormatting>
  <conditionalFormatting sqref="H11:H12">
    <cfRule type="expression" dxfId="4011" priority="207">
      <formula>IF(+(IF(H11&lt;T47,0,IF(H11&gt;U47,0,1)))=0,1)</formula>
    </cfRule>
  </conditionalFormatting>
  <conditionalFormatting sqref="H13">
    <cfRule type="expression" dxfId="4010" priority="55">
      <formula>IF(+(IF(H13&lt;T56,0,IF(H13&gt;U56,0,1)))=0,1)</formula>
    </cfRule>
    <cfRule type="expression" dxfId="4009" priority="56">
      <formula>IF(+(IF(H13&lt;T47,0,IF(H13&gt;U47,0,1)))=0,1)</formula>
    </cfRule>
  </conditionalFormatting>
  <conditionalFormatting sqref="H14">
    <cfRule type="expression" dxfId="4008" priority="197">
      <formula>IF(+(IF(H14&lt;T50,0,IF(H14&gt;U50,0,1)))=0,1)</formula>
    </cfRule>
    <cfRule type="expression" dxfId="4007" priority="198">
      <formula>IF(+(IF(H14&lt;#REF!,0,IF(H14&gt;#REF!,0,1)))=0,1)</formula>
    </cfRule>
  </conditionalFormatting>
  <conditionalFormatting sqref="H15:H32">
    <cfRule type="expression" dxfId="4006" priority="209">
      <formula>IF(+(IF(H15&lt;T66,0,IF(H15&gt;U66,0,1)))=0,1)</formula>
    </cfRule>
  </conditionalFormatting>
  <conditionalFormatting sqref="H33:H46">
    <cfRule type="expression" dxfId="4005" priority="29">
      <formula>IF(+(IF(H33&lt;T48,0,IF(H33&gt;U48,0,1)))=0,1)</formula>
    </cfRule>
    <cfRule type="expression" dxfId="4004" priority="28">
      <formula>IF(+(IF(H33&lt;T57,0,IF(H33&gt;U57,0,1)))=0,1)</formula>
    </cfRule>
  </conditionalFormatting>
  <conditionalFormatting sqref="H47">
    <cfRule type="expression" dxfId="4003" priority="193">
      <formula>IF(+(IF(H47&lt;#REF!,0,IF(H47&gt;#REF!,0,1)))=0,1)</formula>
    </cfRule>
  </conditionalFormatting>
  <conditionalFormatting sqref="H51:H61">
    <cfRule type="cellIs" dxfId="4002" priority="159" stopIfTrue="1" operator="greaterThan">
      <formula>0</formula>
    </cfRule>
  </conditionalFormatting>
  <conditionalFormatting sqref="H79">
    <cfRule type="cellIs" dxfId="4001" priority="12" stopIfTrue="1" operator="lessThanOrEqual">
      <formula>0</formula>
    </cfRule>
    <cfRule type="cellIs" dxfId="4000" priority="14" stopIfTrue="1" operator="lessThanOrEqual">
      <formula>0</formula>
    </cfRule>
    <cfRule type="cellIs" dxfId="3999" priority="13" stopIfTrue="1" operator="greaterThan">
      <formula>$F$54</formula>
    </cfRule>
    <cfRule type="cellIs" dxfId="3998" priority="11" stopIfTrue="1" operator="greaterThan">
      <formula>$F$56</formula>
    </cfRule>
    <cfRule type="cellIs" dxfId="3997" priority="2" stopIfTrue="1" operator="lessThanOrEqual">
      <formula>0</formula>
    </cfRule>
    <cfRule type="cellIs" dxfId="3996" priority="3" stopIfTrue="1" operator="greaterThan">
      <formula>$F$53</formula>
    </cfRule>
  </conditionalFormatting>
  <conditionalFormatting sqref="H80">
    <cfRule type="cellIs" dxfId="3995" priority="92" stopIfTrue="1" operator="lessThanOrEqual">
      <formula>0</formula>
    </cfRule>
    <cfRule type="cellIs" dxfId="3994" priority="93" stopIfTrue="1" operator="greaterThan">
      <formula>$F$88</formula>
    </cfRule>
    <cfRule type="cellIs" dxfId="3993" priority="104" stopIfTrue="1" operator="lessThanOrEqual">
      <formula>0</formula>
    </cfRule>
    <cfRule type="cellIs" dxfId="3992" priority="101" stopIfTrue="1" operator="greaterThan">
      <formula>$F$91</formula>
    </cfRule>
    <cfRule type="cellIs" dxfId="3991" priority="102" stopIfTrue="1" operator="lessThanOrEqual">
      <formula>0</formula>
    </cfRule>
    <cfRule type="cellIs" dxfId="3990" priority="103" stopIfTrue="1" operator="greaterThan">
      <formula>$F$89</formula>
    </cfRule>
  </conditionalFormatting>
  <conditionalFormatting sqref="H81">
    <cfRule type="cellIs" dxfId="3989" priority="45" stopIfTrue="1" operator="lessThanOrEqual">
      <formula>0</formula>
    </cfRule>
    <cfRule type="cellIs" dxfId="3988" priority="36" stopIfTrue="1" operator="greaterThan">
      <formula>$F$72</formula>
    </cfRule>
    <cfRule type="cellIs" dxfId="3987" priority="35" stopIfTrue="1" operator="lessThanOrEqual">
      <formula>0</formula>
    </cfRule>
    <cfRule type="cellIs" dxfId="3986" priority="44" stopIfTrue="1" operator="greaterThan">
      <formula>$F$75</formula>
    </cfRule>
    <cfRule type="cellIs" dxfId="3985" priority="47" stopIfTrue="1" operator="lessThanOrEqual">
      <formula>0</formula>
    </cfRule>
    <cfRule type="cellIs" dxfId="3984" priority="46" stopIfTrue="1" operator="greaterThan">
      <formula>$F$73</formula>
    </cfRule>
  </conditionalFormatting>
  <conditionalFormatting sqref="H82">
    <cfRule type="cellIs" dxfId="3983" priority="84" stopIfTrue="1" operator="greaterThan">
      <formula>#REF!</formula>
    </cfRule>
    <cfRule type="cellIs" dxfId="3982" priority="75" stopIfTrue="1" operator="lessThanOrEqual">
      <formula>0</formula>
    </cfRule>
    <cfRule type="cellIs" dxfId="3981" priority="76" stopIfTrue="1" operator="greaterThan">
      <formula>#REF!</formula>
    </cfRule>
  </conditionalFormatting>
  <conditionalFormatting sqref="H82:H84">
    <cfRule type="cellIs" dxfId="3980" priority="85" stopIfTrue="1" operator="lessThanOrEqual">
      <formula>0</formula>
    </cfRule>
  </conditionalFormatting>
  <conditionalFormatting sqref="H83:H84">
    <cfRule type="cellIs" dxfId="3979" priority="125" stopIfTrue="1" operator="lessThanOrEqual">
      <formula>0</formula>
    </cfRule>
    <cfRule type="cellIs" dxfId="3978" priority="124" stopIfTrue="1" operator="greaterThan">
      <formula>$F$90</formula>
    </cfRule>
    <cfRule type="cellIs" dxfId="3977" priority="122" stopIfTrue="1" operator="greaterThan">
      <formula>$F$92</formula>
    </cfRule>
    <cfRule type="cellIs" dxfId="3976" priority="114" stopIfTrue="1" operator="greaterThan">
      <formula>$F$89</formula>
    </cfRule>
    <cfRule type="cellIs" dxfId="3975" priority="123" stopIfTrue="1" operator="lessThanOrEqual">
      <formula>0</formula>
    </cfRule>
  </conditionalFormatting>
  <conditionalFormatting sqref="H85">
    <cfRule type="cellIs" dxfId="3974" priority="155" stopIfTrue="1" operator="greaterThan">
      <formula>$F$82</formula>
    </cfRule>
    <cfRule type="cellIs" dxfId="3973" priority="156" stopIfTrue="1" operator="lessThanOrEqual">
      <formula>0</formula>
    </cfRule>
    <cfRule type="cellIs" dxfId="3972" priority="153" stopIfTrue="1" operator="greaterThan">
      <formula>$F$86</formula>
    </cfRule>
    <cfRule type="cellIs" dxfId="3971" priority="154" stopIfTrue="1" operator="lessThanOrEqual">
      <formula>0</formula>
    </cfRule>
  </conditionalFormatting>
  <conditionalFormatting sqref="H89:H96">
    <cfRule type="cellIs" dxfId="3970" priority="127" stopIfTrue="1" operator="lessThanOrEqual">
      <formula>0</formula>
    </cfRule>
    <cfRule type="cellIs" dxfId="3969" priority="126" stopIfTrue="1" operator="greaterThan">
      <formula>$J89</formula>
    </cfRule>
  </conditionalFormatting>
  <conditionalFormatting sqref="H97">
    <cfRule type="cellIs" dxfId="3968" priority="132" operator="greaterThan">
      <formula>5.3</formula>
    </cfRule>
  </conditionalFormatting>
  <conditionalFormatting sqref="H100 H102:H108">
    <cfRule type="cellIs" dxfId="3967" priority="177" stopIfTrue="1" operator="greaterThan">
      <formula>4.5</formula>
    </cfRule>
    <cfRule type="cellIs" dxfId="3966" priority="178" stopIfTrue="1" operator="lessThanOrEqual">
      <formula>0</formula>
    </cfRule>
  </conditionalFormatting>
  <conditionalFormatting sqref="H79:I79">
    <cfRule type="cellIs" dxfId="3965" priority="4" stopIfTrue="1" operator="lessThanOrEqual">
      <formula>0</formula>
    </cfRule>
    <cfRule type="cellIs" dxfId="3964" priority="1" stopIfTrue="1" operator="greaterThan">
      <formula>$F$55</formula>
    </cfRule>
  </conditionalFormatting>
  <conditionalFormatting sqref="H80:I80">
    <cfRule type="cellIs" dxfId="3963" priority="94" stopIfTrue="1" operator="lessThanOrEqual">
      <formula>0</formula>
    </cfRule>
    <cfRule type="cellIs" dxfId="3962" priority="91" stopIfTrue="1" operator="greaterThan">
      <formula>$F$90</formula>
    </cfRule>
  </conditionalFormatting>
  <conditionalFormatting sqref="H81:I81">
    <cfRule type="cellIs" dxfId="3961" priority="37" stopIfTrue="1" operator="lessThanOrEqual">
      <formula>0</formula>
    </cfRule>
    <cfRule type="cellIs" dxfId="3960" priority="34" stopIfTrue="1" operator="greaterThan">
      <formula>$F$74</formula>
    </cfRule>
  </conditionalFormatting>
  <conditionalFormatting sqref="H82:I82">
    <cfRule type="cellIs" dxfId="3959" priority="83" stopIfTrue="1" operator="lessThanOrEqual">
      <formula>0</formula>
    </cfRule>
    <cfRule type="cellIs" dxfId="3958" priority="82" stopIfTrue="1" operator="greaterThan">
      <formula>#REF!</formula>
    </cfRule>
    <cfRule type="cellIs" dxfId="3957" priority="74" stopIfTrue="1" operator="greaterThan">
      <formula>#REF!</formula>
    </cfRule>
    <cfRule type="cellIs" dxfId="3956" priority="77" stopIfTrue="1" operator="lessThanOrEqual">
      <formula>0</formula>
    </cfRule>
  </conditionalFormatting>
  <conditionalFormatting sqref="H83:I83">
    <cfRule type="cellIs" dxfId="3955" priority="115" stopIfTrue="1" operator="lessThanOrEqual">
      <formula>0</formula>
    </cfRule>
  </conditionalFormatting>
  <conditionalFormatting sqref="H83:I84">
    <cfRule type="cellIs" dxfId="3954" priority="72" stopIfTrue="1" operator="greaterThan">
      <formula>$F$91</formula>
    </cfRule>
  </conditionalFormatting>
  <conditionalFormatting sqref="H84:I84">
    <cfRule type="cellIs" dxfId="3953" priority="73" stopIfTrue="1" operator="lessThanOrEqual">
      <formula>0</formula>
    </cfRule>
  </conditionalFormatting>
  <conditionalFormatting sqref="I10:I14">
    <cfRule type="cellIs" dxfId="3952" priority="49" operator="lessThan">
      <formula>97.8</formula>
    </cfRule>
  </conditionalFormatting>
  <conditionalFormatting sqref="I10:I47">
    <cfRule type="cellIs" dxfId="3951" priority="21" operator="lessThan">
      <formula>98</formula>
    </cfRule>
  </conditionalFormatting>
  <conditionalFormatting sqref="I33:I46">
    <cfRule type="cellIs" dxfId="3950" priority="22" operator="lessThan">
      <formula>97.8</formula>
    </cfRule>
  </conditionalFormatting>
  <conditionalFormatting sqref="I79">
    <cfRule type="cellIs" dxfId="3949" priority="5" stopIfTrue="1" operator="greaterThan">
      <formula>$F$53</formula>
    </cfRule>
    <cfRule type="cellIs" dxfId="3948" priority="6" stopIfTrue="1" operator="lessThanOrEqual">
      <formula>0</formula>
    </cfRule>
    <cfRule type="cellIs" dxfId="3947" priority="7" stopIfTrue="1" operator="greaterThan">
      <formula>$F$55</formula>
    </cfRule>
    <cfRule type="cellIs" dxfId="3946" priority="8" stopIfTrue="1" operator="lessThanOrEqual">
      <formula>0</formula>
    </cfRule>
    <cfRule type="cellIs" dxfId="3945" priority="9" stopIfTrue="1" operator="greaterThan">
      <formula>$F$53</formula>
    </cfRule>
    <cfRule type="cellIs" dxfId="3944" priority="10" stopIfTrue="1" operator="lessThanOrEqual">
      <formula>0</formula>
    </cfRule>
  </conditionalFormatting>
  <conditionalFormatting sqref="I80">
    <cfRule type="cellIs" dxfId="3943" priority="99" stopIfTrue="1" operator="greaterThan">
      <formula>$F$88</formula>
    </cfRule>
    <cfRule type="cellIs" dxfId="3942" priority="97" stopIfTrue="1" operator="greaterThan">
      <formula>$F$90</formula>
    </cfRule>
    <cfRule type="cellIs" dxfId="3941" priority="96" stopIfTrue="1" operator="lessThanOrEqual">
      <formula>0</formula>
    </cfRule>
    <cfRule type="cellIs" dxfId="3940" priority="95" stopIfTrue="1" operator="greaterThan">
      <formula>$F$88</formula>
    </cfRule>
    <cfRule type="cellIs" dxfId="3939" priority="100" stopIfTrue="1" operator="lessThanOrEqual">
      <formula>0</formula>
    </cfRule>
    <cfRule type="cellIs" dxfId="3938" priority="98" stopIfTrue="1" operator="lessThanOrEqual">
      <formula>0</formula>
    </cfRule>
  </conditionalFormatting>
  <conditionalFormatting sqref="I81">
    <cfRule type="cellIs" dxfId="3937" priority="43" stopIfTrue="1" operator="lessThanOrEqual">
      <formula>0</formula>
    </cfRule>
    <cfRule type="cellIs" dxfId="3936" priority="42" stopIfTrue="1" operator="greaterThan">
      <formula>$F$72</formula>
    </cfRule>
    <cfRule type="cellIs" dxfId="3935" priority="41" stopIfTrue="1" operator="lessThanOrEqual">
      <formula>0</formula>
    </cfRule>
    <cfRule type="cellIs" dxfId="3934" priority="40" stopIfTrue="1" operator="greaterThan">
      <formula>$F$74</formula>
    </cfRule>
    <cfRule type="cellIs" dxfId="3933" priority="39" stopIfTrue="1" operator="lessThanOrEqual">
      <formula>0</formula>
    </cfRule>
    <cfRule type="cellIs" dxfId="3932" priority="38" stopIfTrue="1" operator="greaterThan">
      <formula>$F$72</formula>
    </cfRule>
  </conditionalFormatting>
  <conditionalFormatting sqref="I82">
    <cfRule type="cellIs" dxfId="3931" priority="80" stopIfTrue="1" operator="greaterThan">
      <formula>#REF!</formula>
    </cfRule>
    <cfRule type="cellIs" dxfId="3930" priority="79" stopIfTrue="1" operator="lessThanOrEqual">
      <formula>0</formula>
    </cfRule>
    <cfRule type="cellIs" dxfId="3929" priority="78" stopIfTrue="1" operator="greaterThan">
      <formula>#REF!</formula>
    </cfRule>
    <cfRule type="cellIs" dxfId="3928" priority="81" stopIfTrue="1" operator="lessThanOrEqual">
      <formula>0</formula>
    </cfRule>
  </conditionalFormatting>
  <conditionalFormatting sqref="I83:I84">
    <cfRule type="cellIs" dxfId="3927" priority="118" stopIfTrue="1" operator="greaterThan">
      <formula>$F$91</formula>
    </cfRule>
    <cfRule type="cellIs" dxfId="3926" priority="116" stopIfTrue="1" operator="greaterThan">
      <formula>$F$89</formula>
    </cfRule>
    <cfRule type="cellIs" dxfId="3925" priority="117" stopIfTrue="1" operator="lessThanOrEqual">
      <formula>0</formula>
    </cfRule>
    <cfRule type="cellIs" dxfId="3924" priority="119" stopIfTrue="1" operator="lessThanOrEqual">
      <formula>0</formula>
    </cfRule>
    <cfRule type="cellIs" dxfId="3923" priority="120" stopIfTrue="1" operator="greaterThan">
      <formula>$F$89</formula>
    </cfRule>
    <cfRule type="cellIs" dxfId="3922" priority="121" stopIfTrue="1" operator="lessThanOrEqual">
      <formula>0</formula>
    </cfRule>
  </conditionalFormatting>
  <conditionalFormatting sqref="I89:I97">
    <cfRule type="cellIs" dxfId="3921" priority="133" stopIfTrue="1" operator="greaterThan">
      <formula>$J89</formula>
    </cfRule>
    <cfRule type="cellIs" dxfId="3920" priority="134" stopIfTrue="1" operator="lessThanOrEqual">
      <formula>0</formula>
    </cfRule>
  </conditionalFormatting>
  <conditionalFormatting sqref="I100:I108">
    <cfRule type="cellIs" dxfId="3919" priority="173" stopIfTrue="1" operator="greaterThan">
      <formula>4.5</formula>
    </cfRule>
    <cfRule type="cellIs" dxfId="3918" priority="174" stopIfTrue="1" operator="lessThanOrEqual">
      <formula>0</formula>
    </cfRule>
  </conditionalFormatting>
  <conditionalFormatting sqref="J10:J14">
    <cfRule type="cellIs" dxfId="3917" priority="51" operator="notBetween">
      <formula>98</formula>
      <formula>99.9</formula>
    </cfRule>
  </conditionalFormatting>
  <conditionalFormatting sqref="J10:J47">
    <cfRule type="cellIs" dxfId="3916" priority="20" operator="lessThan">
      <formula>97.4</formula>
    </cfRule>
  </conditionalFormatting>
  <conditionalFormatting sqref="J33:J46">
    <cfRule type="cellIs" dxfId="3915" priority="24" operator="notBetween">
      <formula>98</formula>
      <formula>99.9</formula>
    </cfRule>
  </conditionalFormatting>
  <conditionalFormatting sqref="J50:J52">
    <cfRule type="cellIs" dxfId="3914" priority="108" stopIfTrue="1" operator="greaterThan">
      <formula>100</formula>
    </cfRule>
    <cfRule type="cellIs" dxfId="3913" priority="109" operator="lessThan">
      <formula>98</formula>
    </cfRule>
    <cfRule type="cellIs" dxfId="3912" priority="107" stopIfTrue="1" operator="lessThan">
      <formula>96.8</formula>
    </cfRule>
  </conditionalFormatting>
  <conditionalFormatting sqref="J50:J54">
    <cfRule type="cellIs" dxfId="3911" priority="48" operator="lessThan">
      <formula>97.4</formula>
    </cfRule>
  </conditionalFormatting>
  <conditionalFormatting sqref="J55 L59:M59 L61:M61">
    <cfRule type="cellIs" dxfId="3910" priority="110" operator="lessThan">
      <formula>98</formula>
    </cfRule>
  </conditionalFormatting>
  <conditionalFormatting sqref="J56:J57">
    <cfRule type="cellIs" dxfId="3909" priority="111" stopIfTrue="1" operator="lessThan">
      <formula>96.8</formula>
    </cfRule>
    <cfRule type="cellIs" dxfId="3908" priority="112" stopIfTrue="1" operator="greaterThan">
      <formula>100</formula>
    </cfRule>
  </conditionalFormatting>
  <conditionalFormatting sqref="J56:J58">
    <cfRule type="cellIs" dxfId="3907" priority="113" operator="lessThan">
      <formula>98</formula>
    </cfRule>
  </conditionalFormatting>
  <conditionalFormatting sqref="K10:K14">
    <cfRule type="cellIs" dxfId="3906" priority="50" operator="greaterThan">
      <formula>6.4</formula>
    </cfRule>
  </conditionalFormatting>
  <conditionalFormatting sqref="K10:K47">
    <cfRule type="cellIs" dxfId="3905" priority="17" operator="lessThan">
      <formula>4</formula>
    </cfRule>
    <cfRule type="cellIs" dxfId="3904" priority="16" operator="greaterThan">
      <formula>6</formula>
    </cfRule>
  </conditionalFormatting>
  <conditionalFormatting sqref="K33:K46">
    <cfRule type="cellIs" dxfId="3903" priority="23" operator="greaterThan">
      <formula>6.4</formula>
    </cfRule>
  </conditionalFormatting>
  <conditionalFormatting sqref="K64:K73">
    <cfRule type="cellIs" dxfId="3902" priority="141" operator="notEqual">
      <formula>#REF!</formula>
    </cfRule>
  </conditionalFormatting>
  <conditionalFormatting sqref="K79:K84 J85:K85 L89:N89 K90:N97">
    <cfRule type="cellIs" dxfId="3901" priority="152" stopIfTrue="1" operator="lessThan">
      <formula>100%</formula>
    </cfRule>
  </conditionalFormatting>
  <conditionalFormatting sqref="K100:K105">
    <cfRule type="cellIs" dxfId="3900" priority="179" stopIfTrue="1" operator="lessThan">
      <formula>100%</formula>
    </cfRule>
  </conditionalFormatting>
  <conditionalFormatting sqref="K107:K108">
    <cfRule type="cellIs" dxfId="3899" priority="186" stopIfTrue="1" operator="lessThan">
      <formula>100%</formula>
    </cfRule>
  </conditionalFormatting>
  <conditionalFormatting sqref="L10:L47">
    <cfRule type="cellIs" dxfId="3898" priority="19" operator="greaterThan">
      <formula>65</formula>
    </cfRule>
    <cfRule type="cellIs" dxfId="3897" priority="18" operator="between">
      <formula>61</formula>
      <formula>65</formula>
    </cfRule>
  </conditionalFormatting>
  <conditionalFormatting sqref="L52:L58">
    <cfRule type="cellIs" dxfId="3896" priority="88" operator="lessThan">
      <formula>98</formula>
    </cfRule>
  </conditionalFormatting>
  <conditionalFormatting sqref="L65:N65">
    <cfRule type="cellIs" dxfId="3895" priority="87" operator="notEqual">
      <formula>#REF!</formula>
    </cfRule>
  </conditionalFormatting>
  <conditionalFormatting sqref="L100:N108">
    <cfRule type="cellIs" dxfId="3894" priority="164" stopIfTrue="1" operator="lessThan">
      <formula>100%</formula>
    </cfRule>
  </conditionalFormatting>
  <conditionalFormatting sqref="M10:M11">
    <cfRule type="expression" dxfId="3893" priority="65">
      <formula>IF(+(IF(M10&lt;V23,0,IF(M10&gt;W23,0,1)))=0,1)</formula>
    </cfRule>
  </conditionalFormatting>
  <conditionalFormatting sqref="M13">
    <cfRule type="expression" dxfId="3892" priority="58">
      <formula>IF(+(IF(M13&lt;V47,0,IF(M13&gt;W47,0,1)))=0,1)</formula>
    </cfRule>
    <cfRule type="expression" dxfId="3891" priority="57">
      <formula>IF(+(IF(M13&lt;V52,0,IF(M13&gt;W52,0,1)))=0,1)</formula>
    </cfRule>
  </conditionalFormatting>
  <conditionalFormatting sqref="M14">
    <cfRule type="expression" dxfId="3890" priority="199">
      <formula>IF(+(IF(M14&lt;V27,0,IF(M14&gt;W27,0,1)))=0,1)</formula>
    </cfRule>
  </conditionalFormatting>
  <conditionalFormatting sqref="M15:M32">
    <cfRule type="expression" dxfId="3889" priority="210">
      <formula>IF(+(IF(M15&lt;V62,0,IF(M15&gt;W62,0,1)))=0,1)</formula>
    </cfRule>
  </conditionalFormatting>
  <conditionalFormatting sqref="M33:M46">
    <cfRule type="expression" dxfId="3888" priority="31">
      <formula>IF(+(IF(M33&lt;V48,0,IF(M33&gt;W48,0,1)))=0,1)</formula>
    </cfRule>
    <cfRule type="expression" dxfId="3887" priority="30">
      <formula>IF(+(IF(M33&lt;V53,0,IF(M33&gt;W53,0,1)))=0,1)</formula>
    </cfRule>
  </conditionalFormatting>
  <conditionalFormatting sqref="M50:M58">
    <cfRule type="cellIs" dxfId="3886" priority="86" operator="lessThan">
      <formula>98</formula>
    </cfRule>
  </conditionalFormatting>
  <conditionalFormatting sqref="M10:N12">
    <cfRule type="expression" dxfId="3885" priority="66">
      <formula>IF(+(IF(M10&lt;#REF!,0,IF(M10&gt;#REF!,0,1)))=0,1)</formula>
    </cfRule>
  </conditionalFormatting>
  <conditionalFormatting sqref="M14:N14">
    <cfRule type="expression" dxfId="3884" priority="200">
      <formula>IF(+(IF(M14&lt;#REF!,0,IF(M14&gt;#REF!,0,1)))=0,1)</formula>
    </cfRule>
  </conditionalFormatting>
  <conditionalFormatting sqref="M47:N47">
    <cfRule type="expression" dxfId="3883" priority="194">
      <formula>IF(+(IF(M47&lt;#REF!,0,IF(M47&gt;#REF!,0,1)))=0,1)</formula>
    </cfRule>
  </conditionalFormatting>
  <conditionalFormatting sqref="N10:N11">
    <cfRule type="expression" dxfId="3882" priority="67">
      <formula>IF(+(IF(N10&lt;X23,0,IF(N10&gt;Y23,0,1)))=0,1)</formula>
    </cfRule>
  </conditionalFormatting>
  <conditionalFormatting sqref="N13">
    <cfRule type="expression" dxfId="3881" priority="60">
      <formula>IF(+(IF(N13&lt;X47,0,IF(N13&gt;Y47,0,1)))=0,1)</formula>
    </cfRule>
    <cfRule type="expression" dxfId="3880" priority="59">
      <formula>IF(+(IF(N13&lt;X52,0,IF(N13&gt;Y52,0,1)))=0,1)</formula>
    </cfRule>
  </conditionalFormatting>
  <conditionalFormatting sqref="N14">
    <cfRule type="expression" dxfId="3879" priority="203">
      <formula>IF(+(IF(N14&lt;X27,0,IF(N14&gt;Y27,0,1)))=0,1)</formula>
    </cfRule>
  </conditionalFormatting>
  <conditionalFormatting sqref="N15:N32">
    <cfRule type="expression" dxfId="3878" priority="211">
      <formula>IF(+(IF(N15&lt;X62,0,IF(N15&gt;Y62,0,1)))=0,1)</formula>
    </cfRule>
  </conditionalFormatting>
  <conditionalFormatting sqref="N33:N46">
    <cfRule type="expression" dxfId="3877" priority="33">
      <formula>IF(+(IF(N33&lt;X48,0,IF(N33&gt;Y48,0,1)))=0,1)</formula>
    </cfRule>
    <cfRule type="expression" dxfId="3876" priority="32">
      <formula>IF(+(IF(N33&lt;X53,0,IF(N33&gt;Y53,0,1)))=0,1)</formula>
    </cfRule>
  </conditionalFormatting>
  <conditionalFormatting sqref="P6">
    <cfRule type="cellIs" dxfId="3875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007B-00EA-4954-BF7A-2686BFE62DE5}">
  <sheetPr>
    <pageSetUpPr fitToPage="1"/>
  </sheetPr>
  <dimension ref="A1:BE68"/>
  <sheetViews>
    <sheetView topLeftCell="A19" zoomScale="80" zoomScaleNormal="80" workbookViewId="0">
      <selection activeCell="F29" sqref="F2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45993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s="479" customFormat="1" ht="16.5" customHeight="1">
      <c r="B10" s="480" t="s">
        <v>33</v>
      </c>
      <c r="C10" s="481" t="str">
        <f>[22]Brewhouse!A106</f>
        <v>VM091</v>
      </c>
      <c r="D10" s="584" t="s">
        <v>170</v>
      </c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6"/>
      <c r="P10" s="482"/>
      <c r="R10" s="483"/>
      <c r="S10" s="484"/>
      <c r="T10" s="484"/>
      <c r="U10" s="485"/>
      <c r="V10" s="485"/>
      <c r="W10" s="485"/>
      <c r="X10" s="485"/>
      <c r="Y10" s="485"/>
      <c r="Z10" s="484"/>
    </row>
    <row r="11" spans="2:29" ht="16.5" customHeight="1">
      <c r="B11" s="22" t="s">
        <v>33</v>
      </c>
      <c r="C11" s="366" t="str">
        <f>[22]Brewhouse!A107</f>
        <v>VM092</v>
      </c>
      <c r="D11" s="279">
        <f>[22]Brewhouse!AE107</f>
        <v>50.1</v>
      </c>
      <c r="E11" s="279">
        <f>[22]Brewhouse!AJ107</f>
        <v>47.4</v>
      </c>
      <c r="F11" s="278">
        <f>[22]Brewhouse!X107</f>
        <v>85</v>
      </c>
      <c r="G11" s="279">
        <f>[22]Brewhouse!AH107</f>
        <v>14.3</v>
      </c>
      <c r="H11" s="396">
        <v>14.4</v>
      </c>
      <c r="I11" s="368">
        <f>[22]Brewhouse!AV107</f>
        <v>96.152699611373492</v>
      </c>
      <c r="J11" s="368">
        <f>[22]Brewhouse!AW107</f>
        <v>96.178035323243918</v>
      </c>
      <c r="K11" s="281">
        <f>[22]Brewhouse!S107</f>
        <v>12.095808383233523</v>
      </c>
      <c r="L11" s="276">
        <f>[22]Brewhouse!R107</f>
        <v>58</v>
      </c>
      <c r="M11" s="374">
        <f>[22]Brewhouse!$W107-[22]Brewhouse!$V107</f>
        <v>0.14513888888888893</v>
      </c>
      <c r="N11" s="370">
        <f>[22]Brewhouse!AB107</f>
        <v>0.28055555555555556</v>
      </c>
      <c r="O11" s="371" t="str">
        <f>[22]Brewhouse!$AZ107</f>
        <v>R.Sookram</v>
      </c>
      <c r="P11" s="418"/>
      <c r="R11" s="277"/>
      <c r="S11" s="475"/>
      <c r="T11" s="475"/>
      <c r="U11" s="297"/>
      <c r="V11" s="297"/>
      <c r="W11" s="297"/>
      <c r="X11" s="297"/>
      <c r="Y11" s="297"/>
      <c r="Z11" s="475"/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/>
      <c r="S12" s="475"/>
      <c r="T12" s="475"/>
      <c r="U12" s="297"/>
      <c r="V12" s="297"/>
      <c r="W12" s="297"/>
      <c r="X12" s="297"/>
      <c r="Y12" s="297"/>
      <c r="Z12" s="475"/>
    </row>
    <row r="13" spans="2:29" ht="16.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/>
      <c r="S13" s="475"/>
      <c r="T13" s="475"/>
      <c r="U13" s="297"/>
      <c r="V13" s="297"/>
      <c r="W13" s="297"/>
      <c r="X13" s="297"/>
      <c r="Y13" s="297"/>
      <c r="Z13" s="475"/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/>
      <c r="S14" s="475"/>
      <c r="T14" s="475"/>
      <c r="U14" s="297"/>
      <c r="V14" s="297"/>
      <c r="W14" s="297"/>
      <c r="X14" s="297"/>
      <c r="Y14" s="297"/>
      <c r="Z14" s="475"/>
    </row>
    <row r="15" spans="2:29" ht="16.5" customHeight="1">
      <c r="B15" s="29"/>
      <c r="C15" s="366"/>
      <c r="D15" s="279"/>
      <c r="E15" s="279"/>
      <c r="F15" s="278"/>
      <c r="G15" s="279"/>
      <c r="H15" s="469"/>
      <c r="I15" s="368"/>
      <c r="J15" s="368"/>
      <c r="K15" s="281"/>
      <c r="L15" s="276"/>
      <c r="M15" s="397"/>
      <c r="N15" s="370"/>
      <c r="O15" s="420"/>
      <c r="P15" s="418"/>
      <c r="R15" s="277">
        <f t="shared" ref="R15:R30" si="0">B15</f>
        <v>0</v>
      </c>
      <c r="S15" s="475" t="e">
        <f t="shared" ref="S15:S30" si="1">VLOOKUP($B15,$R$3:$X$9,2,FALSE)</f>
        <v>#N/A</v>
      </c>
      <c r="T15" s="475" t="e">
        <f t="shared" ref="T15:T30" si="2">VLOOKUP($B15,$R$3:$X$9,3,FALSE)</f>
        <v>#N/A</v>
      </c>
      <c r="U15" s="297" t="e">
        <f t="shared" ref="U15:U30" si="3">VLOOKUP($B15,$R$3:$X$9,4,FALSE)</f>
        <v>#N/A</v>
      </c>
      <c r="V15" s="297" t="e">
        <f t="shared" ref="V15:V30" si="4">VLOOKUP($B15,$R$3:$X$9,5,FALSE)</f>
        <v>#N/A</v>
      </c>
      <c r="W15" s="297" t="e">
        <f t="shared" ref="W15:W30" si="5">VLOOKUP($B15,$R$3:$X$9,6,FALSE)</f>
        <v>#N/A</v>
      </c>
      <c r="X15" s="297" t="e">
        <f t="shared" ref="X15:X30" si="6">VLOOKUP($B15,$R$3:$X$9,7,FALSE)</f>
        <v>#N/A</v>
      </c>
      <c r="Y15" s="297" t="e">
        <f t="shared" ref="Y15:Y30" si="7">VLOOKUP($B15,$R$3:$Z$9,8,FALSE)</f>
        <v>#N/A</v>
      </c>
      <c r="Z15" s="475" t="e">
        <f t="shared" ref="Z15:Z30" si="8">VLOOKUP($B15,$R$3:$Z$9,9,FALSE)</f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5.75" customHeight="1" thickBot="1">
      <c r="B17" s="358"/>
      <c r="C17" s="358"/>
      <c r="D17" s="358"/>
      <c r="E17" s="358"/>
      <c r="F17" s="294"/>
      <c r="G17" s="294"/>
      <c r="H17" s="348"/>
      <c r="I17" s="528"/>
      <c r="J17" s="528"/>
      <c r="K17" s="528"/>
      <c r="L17" s="528"/>
      <c r="M17" s="528"/>
      <c r="N17" s="528"/>
      <c r="O17" s="1"/>
      <c r="P17" s="12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5.75" customHeight="1" thickBot="1">
      <c r="B18" s="388" t="s">
        <v>162</v>
      </c>
      <c r="C18" s="388"/>
      <c r="D18" s="506" t="s">
        <v>35</v>
      </c>
      <c r="E18" s="507"/>
      <c r="F18" s="294"/>
      <c r="G18" s="294"/>
      <c r="H18" s="348"/>
      <c r="I18" s="24" t="s">
        <v>17</v>
      </c>
      <c r="J18" s="25"/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R18" s="277" t="str">
        <f t="shared" si="0"/>
        <v xml:space="preserve">BRAND 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5" customHeight="1">
      <c r="A19" s="28"/>
      <c r="B19" s="587" t="str">
        <f>I19</f>
        <v>CARIB</v>
      </c>
      <c r="C19" s="362" cm="1">
        <f t="array" ref="C19:C22">[23]Process!$D$922:$D$925</f>
        <v>11.9</v>
      </c>
      <c r="D19" s="532">
        <v>12</v>
      </c>
      <c r="E19" s="533"/>
      <c r="F19" s="294"/>
      <c r="G19" s="294"/>
      <c r="H19" s="348"/>
      <c r="I19" s="29" t="s">
        <v>6</v>
      </c>
      <c r="J19" s="280"/>
      <c r="K19" s="284"/>
      <c r="L19" s="305"/>
      <c r="M19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$1003)</f>
        <v>97.75183132969201</v>
      </c>
      <c r="N19" s="30">
        <v>98</v>
      </c>
      <c r="O19" s="11"/>
      <c r="P19" s="31"/>
      <c r="R19" s="277" t="str">
        <f t="shared" si="0"/>
        <v>CARIB</v>
      </c>
      <c r="S19" s="475">
        <f t="shared" si="1"/>
        <v>11.6</v>
      </c>
      <c r="T19" s="475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5">
        <f t="shared" si="8"/>
        <v>60</v>
      </c>
    </row>
    <row r="20" spans="1:27" ht="15" customHeight="1">
      <c r="A20" s="28"/>
      <c r="B20" s="588"/>
      <c r="C20" s="362">
        <v>11.8</v>
      </c>
      <c r="D20" s="534"/>
      <c r="E20" s="535"/>
      <c r="F20" s="294"/>
      <c r="G20" s="294"/>
      <c r="H20" s="348"/>
      <c r="I20" s="33" t="s">
        <v>9</v>
      </c>
      <c r="J20" s="280"/>
      <c r="K20" s="284"/>
      <c r="L20" s="302"/>
      <c r="M2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$484)</f>
        <v>97.847961594552643</v>
      </c>
      <c r="N20" s="30">
        <v>98</v>
      </c>
      <c r="O20" s="11"/>
      <c r="P20" s="31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4.65" customHeight="1">
      <c r="A21" s="28"/>
      <c r="B21" s="588"/>
      <c r="C21" s="362">
        <v>11.6</v>
      </c>
      <c r="D21" s="580">
        <v>11.6</v>
      </c>
      <c r="E21" s="581"/>
      <c r="F21" s="294"/>
      <c r="G21" s="294"/>
      <c r="H21" s="348"/>
      <c r="I21" s="34" t="s">
        <v>12</v>
      </c>
      <c r="J21" s="280"/>
      <c r="K21" s="284"/>
      <c r="L21" s="302"/>
      <c r="M21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$123)</f>
        <v>96.481276590905978</v>
      </c>
      <c r="N21" s="30">
        <v>98</v>
      </c>
      <c r="O21" s="11"/>
      <c r="P21" s="31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4.65" customHeight="1">
      <c r="A22" s="28"/>
      <c r="B22" s="588"/>
      <c r="C22" s="362">
        <v>12</v>
      </c>
      <c r="D22" s="547"/>
      <c r="E22" s="535"/>
      <c r="F22" s="294"/>
      <c r="G22" s="294"/>
      <c r="H22" s="348"/>
      <c r="I22" s="22" t="s">
        <v>33</v>
      </c>
      <c r="J22" s="280">
        <f>I11</f>
        <v>96.152699611373492</v>
      </c>
      <c r="K22" s="284">
        <f>COUNTA([22]Brewhouse!$A$107)</f>
        <v>1</v>
      </c>
      <c r="L22" s="302">
        <f>AVERAGE([22]Brewhouse!$AV$107)</f>
        <v>96.152699611373492</v>
      </c>
      <c r="M22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$107)</f>
        <v>98.247110113223286</v>
      </c>
      <c r="N22" s="30">
        <v>98</v>
      </c>
      <c r="O22" s="11"/>
      <c r="P22" s="31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4.65" customHeight="1">
      <c r="A23" s="28"/>
      <c r="B23" s="588"/>
      <c r="C23" s="362" cm="1">
        <f t="array" ref="C23:C30">[23]Process!$D$933:$D$940</f>
        <v>11.6</v>
      </c>
      <c r="D23" s="580">
        <v>11.93</v>
      </c>
      <c r="E23" s="581"/>
      <c r="F23" s="417"/>
      <c r="G23" s="294"/>
      <c r="H23" s="348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4.65" customHeight="1">
      <c r="A24" s="28"/>
      <c r="B24" s="588"/>
      <c r="C24" s="362">
        <v>11.6</v>
      </c>
      <c r="D24" s="547"/>
      <c r="E24" s="535"/>
      <c r="F24" s="417"/>
      <c r="G24" s="294"/>
      <c r="H24" s="348"/>
      <c r="I24" s="36" t="s">
        <v>15</v>
      </c>
      <c r="J24" s="323"/>
      <c r="K24" s="284"/>
      <c r="L24" s="302"/>
      <c r="M24" s="302">
        <f>AVERAGE([26]Brewhouse!$AT$4:$AT$11,[26]Brewhouse!$AT$13:$AT$16,[26]Brewhouse!$AT$18:$AT$21,[26]Brewhouse!$AT$26,[26]Brewhouse!$AT$28:$AT$35)</f>
        <v>94.794664331624134</v>
      </c>
      <c r="N24" s="30">
        <v>98</v>
      </c>
      <c r="O24" s="11"/>
      <c r="P24" s="31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  <c r="AA24" s="475"/>
    </row>
    <row r="25" spans="1:27" ht="14.65" customHeight="1">
      <c r="A25" s="28"/>
      <c r="B25" s="588"/>
      <c r="C25" s="362">
        <v>11.7</v>
      </c>
      <c r="D25" s="580">
        <v>11.66</v>
      </c>
      <c r="E25" s="581"/>
      <c r="F25" s="417"/>
      <c r="G25" s="294"/>
      <c r="H25" s="348"/>
      <c r="I25" s="37" t="s">
        <v>16</v>
      </c>
      <c r="J25" s="323"/>
      <c r="K25" s="284"/>
      <c r="L25" s="302"/>
      <c r="M25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[27]Brewhouse!$AY$56:$AY$73,[27]Brewhouse!$AY$75:$AY$92,[27]Brewhouse!$AY$94:$AY$97)</f>
        <v>97.370192538913813</v>
      </c>
      <c r="N25" s="30">
        <v>98</v>
      </c>
      <c r="O25" s="11"/>
      <c r="P25" s="31" t="s">
        <v>41</v>
      </c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  <c r="AA25" s="475"/>
    </row>
    <row r="26" spans="1:27" ht="14.65" customHeight="1">
      <c r="A26" s="28"/>
      <c r="B26" s="588"/>
      <c r="C26" s="362">
        <v>11.8</v>
      </c>
      <c r="D26" s="547"/>
      <c r="E26" s="535"/>
      <c r="F26" s="294"/>
      <c r="G26" s="294"/>
      <c r="H26" s="348"/>
      <c r="I26" s="411" t="s">
        <v>158</v>
      </c>
      <c r="J26" s="326"/>
      <c r="K26" s="284"/>
      <c r="L26" s="305"/>
      <c r="M26" s="305">
        <f>AVERAGE([28]Brewhouse!$AU$5:$AU$8,[28]Brewhouse!$AU$10:$AU$13,[27]Brewhouse!$AY$75:$AY$77)</f>
        <v>94.749192473706671</v>
      </c>
      <c r="N26" s="30">
        <v>98</v>
      </c>
      <c r="O26" s="11"/>
      <c r="P26" s="31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  <c r="AA26" s="475"/>
    </row>
    <row r="27" spans="1:27" ht="14.65" customHeight="1">
      <c r="A27" s="28"/>
      <c r="B27" s="588"/>
      <c r="C27" s="349">
        <v>11.7</v>
      </c>
      <c r="D27" s="580">
        <v>11.77</v>
      </c>
      <c r="E27" s="581"/>
      <c r="F27" s="294"/>
      <c r="G27" s="294"/>
      <c r="H27" s="348"/>
      <c r="I27" s="410" t="s">
        <v>157</v>
      </c>
      <c r="J27" s="326"/>
      <c r="K27" s="284"/>
      <c r="L27" s="305"/>
      <c r="M27" s="305">
        <f>AVERAGE([29]Brewhouse!$AW$26:$AW$27)</f>
        <v>95.310680905194914</v>
      </c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  <c r="AA27" s="475"/>
    </row>
    <row r="28" spans="1:27" ht="15" customHeight="1" thickBot="1">
      <c r="A28" s="28"/>
      <c r="B28" s="588"/>
      <c r="C28" s="349">
        <v>11.6</v>
      </c>
      <c r="D28" s="547"/>
      <c r="E28" s="535"/>
      <c r="F28" s="294"/>
      <c r="G28" s="294"/>
      <c r="H28" s="348"/>
      <c r="I28" s="406" t="s">
        <v>156</v>
      </c>
      <c r="J28" s="327"/>
      <c r="K28" s="407"/>
      <c r="L28" s="408"/>
      <c r="M28" s="408">
        <f>AVERAGE([30]Brewhouse!$AU$13:$AU$14)</f>
        <v>97.110575243268045</v>
      </c>
      <c r="N28" s="409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  <c r="AA28" s="475"/>
    </row>
    <row r="29" spans="1:27" ht="15" customHeight="1" thickBot="1">
      <c r="A29" s="28"/>
      <c r="B29" s="588"/>
      <c r="C29" s="349">
        <v>12</v>
      </c>
      <c r="D29" s="532">
        <v>11.83</v>
      </c>
      <c r="E29" s="533"/>
      <c r="F29" s="294"/>
      <c r="G29" s="294"/>
      <c r="H29" s="348"/>
      <c r="I29" s="1"/>
      <c r="J29" s="39"/>
      <c r="K29" s="404">
        <f>SUM(K19:K28)</f>
        <v>1</v>
      </c>
      <c r="L29" s="405">
        <f>((L19*K19)+(L20*K20)+(L21*K21)+(L22*K22)+(L23*K23)+(K26*L26)+(L24*K24)+(L25*K25)+(L28*K28))/(K29)</f>
        <v>96.152699611373492</v>
      </c>
      <c r="M29" s="405">
        <f>AVERAGE('[31]Jan 31st'!$L$65,'[32]Feb 28th'!$L$35,'[33]Mar. 31st'!$L$35,'[34]Apr. 30th'!$L$45,'[35]May 30th'!$L$37,'[36]June 30th'!$L$57,'[37]July 29th '!$L$44,'[38]Aug 29th'!$L$29,'[39]Sept 30th'!$L$35,L29)</f>
        <v>97.433220200819136</v>
      </c>
      <c r="N29" s="4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  <c r="AA29" s="475"/>
    </row>
    <row r="30" spans="1:27" ht="15.75" thickBot="1">
      <c r="B30" s="589"/>
      <c r="C30" s="350">
        <v>11.7</v>
      </c>
      <c r="D30" s="534"/>
      <c r="E30" s="535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5.75" thickBot="1">
      <c r="B31" s="529"/>
      <c r="C31" s="362"/>
      <c r="D31" s="545"/>
      <c r="E31" s="546"/>
      <c r="F31" s="294"/>
      <c r="G31" s="42"/>
      <c r="H31" s="41"/>
      <c r="I31" s="42"/>
      <c r="J31" s="579" t="s">
        <v>129</v>
      </c>
      <c r="K31" s="579"/>
      <c r="L31" s="294"/>
      <c r="M31" s="294"/>
      <c r="N31" s="294"/>
      <c r="O31" s="294"/>
      <c r="P31" s="12"/>
    </row>
    <row r="32" spans="1:27" ht="15.75" thickBot="1">
      <c r="B32" s="530"/>
      <c r="C32" s="362"/>
      <c r="D32" s="547"/>
      <c r="E32" s="535"/>
      <c r="F32" s="294"/>
      <c r="G32" s="42"/>
      <c r="H32" s="42"/>
      <c r="I32" s="42"/>
      <c r="J32" s="292" t="s">
        <v>17</v>
      </c>
      <c r="K32" s="293" t="s">
        <v>169</v>
      </c>
      <c r="L32" s="549" t="s">
        <v>136</v>
      </c>
      <c r="M32" s="549"/>
      <c r="N32" s="550"/>
      <c r="O32" s="294"/>
      <c r="P32" s="12"/>
    </row>
    <row r="33" spans="2:57" ht="15" customHeight="1" thickBot="1">
      <c r="B33" s="530"/>
      <c r="C33" s="349"/>
      <c r="D33" s="580"/>
      <c r="E33" s="581"/>
      <c r="F33" s="294"/>
      <c r="G33" s="42"/>
      <c r="H33" s="42"/>
      <c r="I33" s="42"/>
      <c r="J33" s="287" t="s">
        <v>6</v>
      </c>
      <c r="K33" s="324"/>
      <c r="L33" s="476" t="s">
        <v>37</v>
      </c>
      <c r="M33" s="477" t="s">
        <v>38</v>
      </c>
      <c r="N33" s="477" t="s">
        <v>84</v>
      </c>
      <c r="O33" s="294"/>
      <c r="P33" s="12"/>
    </row>
    <row r="34" spans="2:57" ht="15.75" customHeight="1" thickBot="1">
      <c r="B34" s="530"/>
      <c r="C34" s="349"/>
      <c r="D34" s="547"/>
      <c r="E34" s="535"/>
      <c r="F34" s="294"/>
      <c r="G34" s="42"/>
      <c r="H34" s="42"/>
      <c r="I34" s="42"/>
      <c r="J34" s="345" t="s">
        <v>9</v>
      </c>
      <c r="K34" s="324"/>
      <c r="L34" s="344">
        <f>K43</f>
        <v>1</v>
      </c>
      <c r="M34" s="325">
        <f>AVERAGE('[31]Jan 29th '!$M$70,'[32]Feb 28th'!$L$40,'[33]Mar. 31st'!$L$40,'[34]Apr. 30th'!$L$50,'[35]May 30th'!$L$42,'[36]June 30th'!$L$62,'[37]July 29th '!$L$49,'[38]Aug 29th'!$L$34,'[39]Sept 30th'!$L$40,[40]Oct.31st!$L$43,'[41]Nov 28th-30th'!$L$45,L34)</f>
        <v>6.4728644178729988</v>
      </c>
      <c r="N34" s="416">
        <v>9.1999999999999993</v>
      </c>
      <c r="O34" s="294"/>
      <c r="P34" s="12"/>
    </row>
    <row r="35" spans="2:57" ht="15" customHeight="1">
      <c r="B35" s="530"/>
      <c r="C35" s="349"/>
      <c r="D35" s="580"/>
      <c r="E35" s="581"/>
      <c r="F35" s="294"/>
      <c r="G35" s="42"/>
      <c r="H35" s="42"/>
      <c r="I35" s="42"/>
      <c r="J35" s="288" t="s">
        <v>40</v>
      </c>
      <c r="K35" s="324"/>
      <c r="L35" s="294"/>
      <c r="M35" s="294"/>
      <c r="N35" s="294"/>
      <c r="O35" s="294"/>
      <c r="P35" s="12"/>
    </row>
    <row r="36" spans="2:57" ht="15" customHeight="1">
      <c r="B36" s="530"/>
      <c r="C36" s="349"/>
      <c r="D36" s="547"/>
      <c r="E36" s="535"/>
      <c r="F36" s="294"/>
      <c r="G36" s="42"/>
      <c r="H36" s="42"/>
      <c r="I36" s="42"/>
      <c r="J36" s="289" t="s">
        <v>33</v>
      </c>
      <c r="K36" s="324">
        <v>1</v>
      </c>
      <c r="L36" s="294"/>
      <c r="M36" s="294"/>
      <c r="N36" s="294"/>
      <c r="O36" s="294"/>
      <c r="P36" s="12"/>
    </row>
    <row r="37" spans="2:57" ht="15">
      <c r="B37" s="530"/>
      <c r="C37" s="349"/>
      <c r="D37" s="580"/>
      <c r="E37" s="581"/>
      <c r="F37" s="294"/>
      <c r="G37" s="42"/>
      <c r="H37" s="42"/>
      <c r="I37" s="42"/>
      <c r="J37" s="290" t="s">
        <v>16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30"/>
      <c r="C38" s="349"/>
      <c r="D38" s="547"/>
      <c r="E38" s="535"/>
      <c r="F38" s="294"/>
      <c r="G38" s="42"/>
      <c r="H38" s="42"/>
      <c r="I38" s="42"/>
      <c r="J38" s="291" t="s">
        <v>15</v>
      </c>
      <c r="K38" s="324"/>
      <c r="L38" s="294"/>
      <c r="M38" s="294"/>
      <c r="N38" s="294"/>
      <c r="O38" s="294"/>
      <c r="P38" s="12"/>
      <c r="BC38" s="44"/>
      <c r="BD38" s="44"/>
    </row>
    <row r="39" spans="2:57" ht="15">
      <c r="B39" s="530"/>
      <c r="C39" s="349"/>
      <c r="D39" s="580"/>
      <c r="E39" s="581"/>
      <c r="F39" s="294"/>
      <c r="G39" s="42"/>
      <c r="H39" s="42"/>
      <c r="I39" s="42"/>
      <c r="J39" s="291" t="s">
        <v>149</v>
      </c>
      <c r="K39" s="324"/>
      <c r="L39" s="294"/>
      <c r="M39" s="294"/>
      <c r="N39" s="294"/>
      <c r="O39" s="294"/>
      <c r="P39" s="12"/>
      <c r="BC39" s="44"/>
      <c r="BD39" s="44"/>
    </row>
    <row r="40" spans="2:57" ht="15.75" thickBot="1">
      <c r="B40" s="531"/>
      <c r="C40" s="350"/>
      <c r="D40" s="582"/>
      <c r="E40" s="583"/>
      <c r="F40" s="294" t="s">
        <v>166</v>
      </c>
      <c r="G40" s="42"/>
      <c r="H40" s="42"/>
      <c r="I40" s="42"/>
      <c r="J40" s="291" t="s">
        <v>148</v>
      </c>
      <c r="K40" s="324"/>
      <c r="L40" s="294"/>
      <c r="M40" s="294"/>
      <c r="N40" s="294" t="s">
        <v>41</v>
      </c>
      <c r="O40" s="294"/>
      <c r="P40" s="12"/>
      <c r="BC40" s="44"/>
      <c r="BD40" s="44"/>
    </row>
    <row r="41" spans="2:57" ht="17.649999999999999" customHeight="1" thickBot="1">
      <c r="B41" s="312" t="s">
        <v>139</v>
      </c>
      <c r="C41" s="313"/>
      <c r="D41" s="577"/>
      <c r="E41" s="578"/>
      <c r="F41" s="294"/>
      <c r="J41" s="295" t="s">
        <v>134</v>
      </c>
      <c r="K41" s="324"/>
      <c r="L41" s="294"/>
      <c r="M41" s="294"/>
      <c r="N41" s="294"/>
      <c r="O41" s="294"/>
      <c r="P41" s="12"/>
      <c r="BC41" s="44"/>
      <c r="BD41" s="44"/>
    </row>
    <row r="42" spans="2:57" ht="17.649999999999999" customHeight="1">
      <c r="B42" s="363"/>
      <c r="C42" s="364"/>
      <c r="D42" s="365"/>
      <c r="E42" s="365"/>
      <c r="F42" s="294"/>
      <c r="G42" s="42"/>
      <c r="H42" s="42"/>
      <c r="I42" s="42"/>
      <c r="J42" s="295" t="s">
        <v>131</v>
      </c>
      <c r="K42" s="324"/>
      <c r="L42" s="294"/>
      <c r="M42" s="294"/>
      <c r="N42" s="294"/>
      <c r="O42" s="294"/>
      <c r="P42" s="12"/>
      <c r="BC42" s="44"/>
      <c r="BD42" s="44"/>
    </row>
    <row r="43" spans="2:57" ht="15.6" customHeight="1">
      <c r="B43" s="45"/>
      <c r="C43" s="11"/>
      <c r="D43" s="11"/>
      <c r="E43" s="46"/>
      <c r="F43" s="294"/>
      <c r="G43" s="42"/>
      <c r="H43" s="42"/>
      <c r="I43" s="42"/>
      <c r="J43" s="346" t="s">
        <v>130</v>
      </c>
      <c r="K43" s="324">
        <f>SUM(K33:K42)</f>
        <v>1</v>
      </c>
      <c r="L43" s="294"/>
      <c r="M43" s="294"/>
      <c r="N43" s="294"/>
      <c r="O43" s="294"/>
      <c r="P43" s="12"/>
    </row>
    <row r="44" spans="2:57" ht="20.25" customHeight="1">
      <c r="B44" s="15" t="s">
        <v>42</v>
      </c>
      <c r="C44" s="1" t="s">
        <v>43</v>
      </c>
      <c r="D44" s="1"/>
      <c r="E44" s="1"/>
      <c r="F44" s="294"/>
      <c r="G44" s="42"/>
      <c r="H44" s="41"/>
      <c r="I44" s="42"/>
      <c r="J44" s="42"/>
      <c r="L44" s="294"/>
      <c r="N44" s="315"/>
      <c r="P44" s="334"/>
    </row>
    <row r="45" spans="2:57" ht="15" customHeight="1" thickBot="1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1"/>
      <c r="O45" s="48"/>
      <c r="P45" s="49"/>
    </row>
    <row r="46" spans="2:57" ht="15" customHeight="1" thickBot="1">
      <c r="B46" s="557" t="s">
        <v>17</v>
      </c>
      <c r="C46" s="557" t="s">
        <v>44</v>
      </c>
      <c r="D46" s="559" t="s">
        <v>45</v>
      </c>
      <c r="E46" s="514" t="s">
        <v>46</v>
      </c>
      <c r="F46" s="574" t="s">
        <v>47</v>
      </c>
      <c r="G46" s="568" t="s">
        <v>48</v>
      </c>
      <c r="H46" s="557" t="s">
        <v>49</v>
      </c>
      <c r="I46" s="557" t="s">
        <v>50</v>
      </c>
      <c r="J46" s="562" t="s">
        <v>28</v>
      </c>
      <c r="K46" s="512" t="s">
        <v>51</v>
      </c>
      <c r="L46" s="524" t="s">
        <v>52</v>
      </c>
      <c r="M46" s="562" t="s">
        <v>53</v>
      </c>
      <c r="N46" s="13"/>
      <c r="O46" s="13"/>
      <c r="P46" s="50"/>
    </row>
    <row r="47" spans="2:57" ht="28.5" customHeight="1" thickTop="1" thickBot="1">
      <c r="B47" s="558"/>
      <c r="C47" s="558"/>
      <c r="D47" s="560"/>
      <c r="E47" s="561"/>
      <c r="F47" s="575"/>
      <c r="G47" s="569"/>
      <c r="H47" s="576"/>
      <c r="I47" s="576"/>
      <c r="J47" s="563"/>
      <c r="K47" s="572"/>
      <c r="L47" s="573"/>
      <c r="M47" s="563"/>
      <c r="N47" s="13"/>
      <c r="O47" s="13"/>
      <c r="P47" s="50"/>
      <c r="Q47" s="355"/>
      <c r="AB47" s="478">
        <v>43474</v>
      </c>
      <c r="AC47" s="478">
        <v>43475</v>
      </c>
      <c r="AD47" s="478">
        <v>43476</v>
      </c>
      <c r="AE47" s="478">
        <v>43477</v>
      </c>
      <c r="AF47" s="478">
        <v>43478</v>
      </c>
      <c r="AG47" s="478">
        <v>43479</v>
      </c>
      <c r="AH47" s="478">
        <v>43480</v>
      </c>
      <c r="AI47" s="478">
        <v>43481</v>
      </c>
      <c r="AJ47" s="478">
        <v>43482</v>
      </c>
      <c r="AK47" s="478">
        <v>43483</v>
      </c>
      <c r="AL47" s="478">
        <v>43484</v>
      </c>
      <c r="AM47" s="478">
        <v>43485</v>
      </c>
      <c r="AN47" s="478">
        <v>43486</v>
      </c>
      <c r="AO47" s="478">
        <v>43487</v>
      </c>
      <c r="AP47" s="478">
        <v>43488</v>
      </c>
      <c r="AQ47" s="478">
        <v>43489</v>
      </c>
      <c r="AR47" s="478">
        <v>43490</v>
      </c>
      <c r="AS47" s="478">
        <v>43491</v>
      </c>
      <c r="AT47" s="478">
        <v>43492</v>
      </c>
      <c r="AU47" s="478">
        <v>43493</v>
      </c>
      <c r="AV47" s="478">
        <v>43494</v>
      </c>
      <c r="AW47" s="478">
        <v>43495</v>
      </c>
      <c r="AX47" s="478">
        <v>43496</v>
      </c>
    </row>
    <row r="48" spans="2:57" s="54" customFormat="1" ht="43.15" customHeight="1" thickBot="1">
      <c r="B48" s="456" t="str">
        <f>J33</f>
        <v>CARIB</v>
      </c>
      <c r="C48" s="441">
        <v>45992</v>
      </c>
      <c r="D48" s="442">
        <f>[42]December_2025!$D$3</f>
        <v>595.54</v>
      </c>
      <c r="E48" s="443"/>
      <c r="F48" s="444"/>
      <c r="G48" s="444">
        <f>[42]December_2025!$D$7</f>
        <v>549</v>
      </c>
      <c r="H48" s="458"/>
      <c r="I48" s="458"/>
      <c r="J48" s="448" t="s">
        <v>172</v>
      </c>
      <c r="K48" s="449">
        <f>[43]December_2025!$D$18</f>
        <v>0.48157894736842105</v>
      </c>
      <c r="L48" s="457">
        <f>(((D48+E48)-G48)/(D48+E48))*100</f>
        <v>7.8147563555764465</v>
      </c>
      <c r="M48" s="455" t="s">
        <v>171</v>
      </c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[20]January_2019!L7</f>
        <v>285.8</v>
      </c>
      <c r="AC48" s="57">
        <f>[20]January_2019!M7</f>
        <v>508.1</v>
      </c>
      <c r="AD48" s="57">
        <f>[20]January_2019!N7</f>
        <v>0</v>
      </c>
      <c r="AE48" s="57">
        <f>[20]January_2019!O7</f>
        <v>0</v>
      </c>
      <c r="AF48" s="57">
        <f>[20]January_2019!P7</f>
        <v>109.56666666666666</v>
      </c>
      <c r="AG48" s="57">
        <f>[20]January_2019!Q7</f>
        <v>297.64999999999998</v>
      </c>
      <c r="AH48" s="57">
        <f>[20]January_2019!R7</f>
        <v>122.3</v>
      </c>
      <c r="AI48" s="57">
        <f>[20]January_2019!S7</f>
        <v>0</v>
      </c>
      <c r="AJ48" s="57">
        <f>[20]January_2019!T7</f>
        <v>294.7</v>
      </c>
      <c r="AK48" s="57">
        <f>[20]January_2019!U7</f>
        <v>280.5</v>
      </c>
      <c r="AL48" s="57">
        <f>[20]January_2019!V7</f>
        <v>0</v>
      </c>
      <c r="AM48" s="57">
        <f>[20]January_2019!W7</f>
        <v>0</v>
      </c>
      <c r="AN48" s="57">
        <f>[20]January_2019!X7</f>
        <v>188.25</v>
      </c>
      <c r="AO48" s="57">
        <f>[20]January_2019!Y7</f>
        <v>295.7</v>
      </c>
      <c r="AP48" s="57">
        <f>[20]January_2019!Z7</f>
        <v>257.8</v>
      </c>
      <c r="AQ48" s="57">
        <f>[20]January_2019!AA7</f>
        <v>291.2</v>
      </c>
      <c r="AR48" s="57">
        <f>[20]January_2019!AB7</f>
        <v>187</v>
      </c>
      <c r="AS48" s="57">
        <f>[20]January_2019!AC7</f>
        <v>0</v>
      </c>
      <c r="AT48" s="57">
        <f>[20]January_2019!AD7</f>
        <v>0</v>
      </c>
      <c r="AU48" s="57">
        <f>[20]January_2019!AE7</f>
        <v>485.1</v>
      </c>
      <c r="AV48" s="57">
        <f>[20]January_2019!AF7</f>
        <v>171.55</v>
      </c>
      <c r="AW48" s="57">
        <f>[20]January_2019!AG7</f>
        <v>423.8</v>
      </c>
      <c r="AX48" s="277">
        <f>[20]January_2019!AH7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20.45" hidden="1" customHeight="1" thickBot="1">
      <c r="B49" s="468"/>
      <c r="C49" s="430"/>
      <c r="D49" s="431"/>
      <c r="E49" s="432"/>
      <c r="F49" s="433"/>
      <c r="G49" s="434"/>
      <c r="H49" s="428"/>
      <c r="I49" s="428"/>
      <c r="J49" s="451"/>
      <c r="K49" s="436"/>
      <c r="L49" s="452"/>
      <c r="M49" s="421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277"/>
      <c r="AY49" s="277"/>
      <c r="AZ49" s="277"/>
      <c r="BA49" s="277"/>
      <c r="BB49" s="277"/>
      <c r="BC49" s="277"/>
      <c r="BD49" s="277"/>
      <c r="BE49" s="277"/>
    </row>
    <row r="50" spans="2:57" s="54" customFormat="1" ht="38.450000000000003" hidden="1" customHeight="1" thickBot="1">
      <c r="B50" s="456"/>
      <c r="C50" s="441"/>
      <c r="D50" s="442"/>
      <c r="E50" s="443"/>
      <c r="F50" s="444"/>
      <c r="G50" s="445"/>
      <c r="H50" s="458"/>
      <c r="I50" s="458"/>
      <c r="J50" s="448"/>
      <c r="K50" s="460"/>
      <c r="L50" s="457" t="e">
        <f>(((D50+E50)-G50)/(D50+E50))*100</f>
        <v>#DIV/0!</v>
      </c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15" hidden="1">
      <c r="B51" s="453"/>
      <c r="C51" s="430"/>
      <c r="D51" s="431"/>
      <c r="E51" s="432"/>
      <c r="F51" s="433"/>
      <c r="G51" s="434"/>
      <c r="H51" s="435"/>
      <c r="I51" s="450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7.15" hidden="1" customHeight="1" thickBot="1">
      <c r="B52" s="459"/>
      <c r="C52" s="441"/>
      <c r="D52" s="442"/>
      <c r="E52" s="443"/>
      <c r="F52" s="444"/>
      <c r="G52" s="445"/>
      <c r="H52" s="446"/>
      <c r="I52" s="447"/>
      <c r="J52" s="448"/>
      <c r="K52" s="449"/>
      <c r="L52" s="457"/>
      <c r="M52" s="454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6.5" customHeight="1" thickBot="1">
      <c r="B53" s="437"/>
      <c r="C53" s="423"/>
      <c r="D53" s="424"/>
      <c r="E53" s="425"/>
      <c r="F53" s="426"/>
      <c r="G53" s="427"/>
      <c r="H53" s="428"/>
      <c r="I53" s="438"/>
      <c r="J53" s="439"/>
      <c r="K53" s="429"/>
      <c r="L53" s="440"/>
      <c r="M53" s="422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415"/>
      <c r="AC53" s="415"/>
      <c r="AD53" s="415"/>
      <c r="AE53" s="415"/>
      <c r="AF53" s="415"/>
      <c r="AG53" s="415"/>
      <c r="AH53" s="415"/>
      <c r="AI53" s="415"/>
      <c r="AJ53" s="415"/>
      <c r="AK53" s="415"/>
      <c r="AL53" s="415"/>
      <c r="AM53" s="415"/>
      <c r="AN53" s="415"/>
      <c r="AO53" s="415"/>
      <c r="AP53" s="415"/>
      <c r="AQ53" s="415"/>
      <c r="AR53" s="415"/>
      <c r="AS53" s="415"/>
      <c r="AT53" s="415"/>
      <c r="AU53" s="415"/>
      <c r="AV53" s="415"/>
      <c r="AW53" s="415"/>
    </row>
    <row r="54" spans="2:57" s="54" customFormat="1" ht="37.15" hidden="1" customHeight="1" thickBot="1">
      <c r="B54" s="456"/>
      <c r="C54" s="441"/>
      <c r="D54" s="442"/>
      <c r="E54" s="443"/>
      <c r="F54" s="444"/>
      <c r="G54" s="445"/>
      <c r="H54" s="446"/>
      <c r="I54" s="447"/>
      <c r="J54" s="448"/>
      <c r="K54" s="449"/>
      <c r="L54" s="457" t="e">
        <f>(((D54+E54)-G54)/(D54+E54))*100</f>
        <v>#DIV/0!</v>
      </c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>
      <c r="B55" s="467"/>
      <c r="C55" s="430"/>
      <c r="D55" s="461"/>
      <c r="E55" s="462"/>
      <c r="F55" s="463"/>
      <c r="G55" s="461"/>
      <c r="H55" s="464"/>
      <c r="I55" s="464"/>
      <c r="J55" s="464"/>
      <c r="K55" s="465"/>
      <c r="L55" s="466"/>
      <c r="M55" s="50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ht="18" customHeight="1" thickBot="1">
      <c r="B56" s="59"/>
      <c r="C56" s="30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 t="s">
        <v>41</v>
      </c>
      <c r="O56" s="56"/>
      <c r="P56" s="60"/>
    </row>
    <row r="57" spans="2:57" ht="15.75" thickBot="1">
      <c r="B57" s="564" t="s">
        <v>55</v>
      </c>
      <c r="C57" s="565"/>
      <c r="D57" s="565"/>
      <c r="E57" s="565"/>
      <c r="F57" s="566"/>
      <c r="G57" s="564" t="s">
        <v>56</v>
      </c>
      <c r="H57" s="565"/>
      <c r="I57" s="565"/>
      <c r="J57" s="566"/>
      <c r="K57" s="564" t="s">
        <v>51</v>
      </c>
      <c r="L57" s="565"/>
      <c r="M57" s="565"/>
      <c r="N57" s="567"/>
      <c r="O57" s="56"/>
      <c r="P57" s="50"/>
    </row>
    <row r="58" spans="2:57" ht="15">
      <c r="B58" s="61" t="s">
        <v>17</v>
      </c>
      <c r="C58" s="62" t="s">
        <v>36</v>
      </c>
      <c r="D58" s="62" t="s">
        <v>37</v>
      </c>
      <c r="E58" s="62" t="s">
        <v>38</v>
      </c>
      <c r="F58" s="63" t="s">
        <v>39</v>
      </c>
      <c r="G58" s="62" t="s">
        <v>36</v>
      </c>
      <c r="H58" s="62" t="s">
        <v>37</v>
      </c>
      <c r="I58" s="62" t="s">
        <v>38</v>
      </c>
      <c r="J58" s="63" t="s">
        <v>39</v>
      </c>
      <c r="K58" s="62" t="s">
        <v>36</v>
      </c>
      <c r="L58" s="62" t="s">
        <v>37</v>
      </c>
      <c r="M58" s="62" t="s">
        <v>38</v>
      </c>
      <c r="N58" s="63" t="s">
        <v>39</v>
      </c>
      <c r="O58" s="56"/>
      <c r="P58" s="64"/>
    </row>
    <row r="59" spans="2:57" ht="15">
      <c r="B59" s="29" t="s">
        <v>6</v>
      </c>
      <c r="C59" s="282">
        <f>L48</f>
        <v>7.8147563555764465</v>
      </c>
      <c r="D59" s="76">
        <v>7.8147563555764465</v>
      </c>
      <c r="E59" s="76">
        <v>6.095699773117321</v>
      </c>
      <c r="F59" s="66">
        <v>4.8</v>
      </c>
      <c r="G59" s="65">
        <f>[42]December_2025!$D$11</f>
        <v>7.4397146808635712</v>
      </c>
      <c r="H59" s="76">
        <v>7.4397146808635712</v>
      </c>
      <c r="I59" s="76">
        <v>6.0225153604681392</v>
      </c>
      <c r="J59" s="66">
        <v>4.8</v>
      </c>
      <c r="K59" s="67">
        <f>K48</f>
        <v>0.48157894736842105</v>
      </c>
      <c r="L59" s="194">
        <v>0.48157894736842105</v>
      </c>
      <c r="M59" s="194">
        <v>0.72905676139212217</v>
      </c>
      <c r="N59" s="68">
        <v>1</v>
      </c>
      <c r="O59" s="56"/>
      <c r="P59" s="69"/>
    </row>
    <row r="60" spans="2:57" ht="15">
      <c r="B60" s="33" t="s">
        <v>9</v>
      </c>
      <c r="C60" s="65"/>
      <c r="D60" s="76"/>
      <c r="E60" s="76">
        <v>5.7025207923266077</v>
      </c>
      <c r="F60" s="66">
        <v>4.8</v>
      </c>
      <c r="G60" s="65"/>
      <c r="H60" s="76"/>
      <c r="I60" s="76">
        <v>6.2228279500853976</v>
      </c>
      <c r="J60" s="66">
        <v>4.8</v>
      </c>
      <c r="K60" s="67"/>
      <c r="L60" s="194"/>
      <c r="M60" s="194">
        <v>0.68415239152009877</v>
      </c>
      <c r="N60" s="68">
        <v>1</v>
      </c>
      <c r="P60" s="69"/>
    </row>
    <row r="61" spans="2:57" ht="15">
      <c r="B61" s="34" t="s">
        <v>40</v>
      </c>
      <c r="C61" s="65"/>
      <c r="D61" s="76"/>
      <c r="E61" s="76">
        <v>11.016453256230184</v>
      </c>
      <c r="F61" s="66">
        <v>5.5</v>
      </c>
      <c r="G61" s="65"/>
      <c r="H61" s="76"/>
      <c r="I61" s="76">
        <v>12.536311479158377</v>
      </c>
      <c r="J61" s="66">
        <v>5.5</v>
      </c>
      <c r="K61" s="67"/>
      <c r="L61" s="194"/>
      <c r="M61" s="194">
        <v>0.51633622959452352</v>
      </c>
      <c r="N61" s="68">
        <v>1</v>
      </c>
      <c r="P61" s="69"/>
    </row>
    <row r="62" spans="2:57" ht="15">
      <c r="B62" s="22" t="s">
        <v>33</v>
      </c>
      <c r="C62" s="65"/>
      <c r="D62" s="76"/>
      <c r="E62" s="76">
        <v>4.6226456706805745</v>
      </c>
      <c r="F62" s="66">
        <v>3.3</v>
      </c>
      <c r="G62" s="65"/>
      <c r="H62" s="76"/>
      <c r="I62" s="76">
        <v>4.4171317623593813</v>
      </c>
      <c r="J62" s="66">
        <v>3.3</v>
      </c>
      <c r="K62" s="67"/>
      <c r="L62" s="194"/>
      <c r="M62" s="194">
        <v>0.83111215538847116</v>
      </c>
      <c r="N62" s="68">
        <v>1</v>
      </c>
      <c r="P62" s="69"/>
    </row>
    <row r="63" spans="2:57" ht="15">
      <c r="B63" s="35" t="s">
        <v>164</v>
      </c>
      <c r="C63" s="65"/>
      <c r="D63" s="76"/>
      <c r="E63" s="76">
        <v>7.837301587301579</v>
      </c>
      <c r="F63" s="66">
        <v>3.3</v>
      </c>
      <c r="G63" s="282"/>
      <c r="H63" s="76"/>
      <c r="I63" s="76">
        <v>5.3377569154690221</v>
      </c>
      <c r="J63" s="66">
        <v>3</v>
      </c>
      <c r="K63" s="67"/>
      <c r="L63" s="194"/>
      <c r="M63" s="194">
        <v>0.32596491228070179</v>
      </c>
      <c r="N63" s="68">
        <v>1</v>
      </c>
      <c r="P63" s="69"/>
    </row>
    <row r="64" spans="2:57" ht="15">
      <c r="B64" s="36" t="s">
        <v>15</v>
      </c>
      <c r="C64" s="65"/>
      <c r="D64" s="76"/>
      <c r="E64" s="76">
        <v>6.8851328044153277</v>
      </c>
      <c r="F64" s="70">
        <f>[21]May_2022!$M$43</f>
        <v>3.4878406700073312</v>
      </c>
      <c r="G64" s="282"/>
      <c r="H64" s="76"/>
      <c r="I64" s="76">
        <v>8.6614709463340702</v>
      </c>
      <c r="J64" s="66">
        <v>5.5</v>
      </c>
      <c r="K64" s="67"/>
      <c r="L64" s="194"/>
      <c r="M64" s="194">
        <v>0.73160818713450293</v>
      </c>
      <c r="N64" s="68">
        <v>1</v>
      </c>
      <c r="P64" s="69"/>
    </row>
    <row r="65" spans="2:16" ht="15">
      <c r="B65" s="37" t="s">
        <v>16</v>
      </c>
      <c r="C65" s="65"/>
      <c r="D65" s="76"/>
      <c r="E65" s="76">
        <v>2.9297033255778997</v>
      </c>
      <c r="F65" s="66">
        <v>3.3</v>
      </c>
      <c r="G65" s="282"/>
      <c r="H65" s="76"/>
      <c r="I65" s="76">
        <v>4.2684292436723528</v>
      </c>
      <c r="J65" s="66">
        <v>3.3</v>
      </c>
      <c r="K65" s="67"/>
      <c r="L65" s="194"/>
      <c r="M65" s="194">
        <v>0.84660147761842675</v>
      </c>
      <c r="N65" s="71">
        <v>1</v>
      </c>
      <c r="P65" s="69"/>
    </row>
    <row r="66" spans="2:16" ht="15.75" thickBot="1">
      <c r="B66" s="38" t="s">
        <v>163</v>
      </c>
      <c r="C66" s="65"/>
      <c r="D66" s="76"/>
      <c r="E66" s="76">
        <v>11.483253588516746</v>
      </c>
      <c r="F66" s="66">
        <v>7.5</v>
      </c>
      <c r="G66" s="282"/>
      <c r="H66" s="76"/>
      <c r="I66" s="76">
        <v>9.7934336121043764</v>
      </c>
      <c r="J66" s="66">
        <v>7.5</v>
      </c>
      <c r="K66" s="67"/>
      <c r="M66" s="194">
        <v>0.32456140350877194</v>
      </c>
      <c r="N66" s="71">
        <v>1</v>
      </c>
      <c r="P66" s="69"/>
    </row>
    <row r="67" spans="2:16" ht="15.75" thickBot="1">
      <c r="B67" s="414" t="s">
        <v>161</v>
      </c>
      <c r="C67" s="65"/>
      <c r="D67" s="76"/>
      <c r="E67" s="76">
        <v>7.2653644592663174</v>
      </c>
      <c r="F67" s="66">
        <v>4.8</v>
      </c>
      <c r="G67" s="282"/>
      <c r="H67" s="76"/>
      <c r="I67" s="76">
        <v>8.1715311054411259</v>
      </c>
      <c r="J67" s="66">
        <v>4.8</v>
      </c>
      <c r="K67" s="67"/>
      <c r="L67" s="194"/>
      <c r="M67" s="194">
        <v>0.51368421052631585</v>
      </c>
      <c r="N67" s="71">
        <v>1</v>
      </c>
      <c r="O67" s="74"/>
      <c r="P67" s="75"/>
    </row>
    <row r="68" spans="2:16" ht="15">
      <c r="D68" s="76">
        <v>7.8147563555764465</v>
      </c>
      <c r="E68" s="76">
        <v>6.1189430636666851</v>
      </c>
      <c r="F68" s="341">
        <v>5.5</v>
      </c>
      <c r="H68" s="76">
        <v>7.4397146808635712</v>
      </c>
      <c r="I68" s="76">
        <v>6.544932675334687</v>
      </c>
      <c r="J68" s="341">
        <v>5.5</v>
      </c>
      <c r="L68" s="194">
        <v>0.48157894736842105</v>
      </c>
      <c r="M68" s="194">
        <v>0.7045253178674995</v>
      </c>
      <c r="N68" s="386">
        <v>1</v>
      </c>
    </row>
  </sheetData>
  <mergeCells count="52"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S1:T1"/>
    <mergeCell ref="U1:V1"/>
    <mergeCell ref="W1:X1"/>
    <mergeCell ref="Y1:Z1"/>
    <mergeCell ref="B2:O2"/>
    <mergeCell ref="M4:N4"/>
    <mergeCell ref="I17:N17"/>
    <mergeCell ref="D18:E18"/>
    <mergeCell ref="D10:O10"/>
    <mergeCell ref="B19:B30"/>
    <mergeCell ref="D19:E20"/>
    <mergeCell ref="D21:E22"/>
    <mergeCell ref="D23:E24"/>
    <mergeCell ref="D25:E26"/>
    <mergeCell ref="D27:E28"/>
    <mergeCell ref="D29:E30"/>
    <mergeCell ref="B31:B40"/>
    <mergeCell ref="D31:E32"/>
    <mergeCell ref="J31:K31"/>
    <mergeCell ref="L32:N32"/>
    <mergeCell ref="D33:E34"/>
    <mergeCell ref="D35:E36"/>
    <mergeCell ref="D37:E38"/>
    <mergeCell ref="D39:E40"/>
    <mergeCell ref="D41:E41"/>
    <mergeCell ref="B46:B47"/>
    <mergeCell ref="C46:C47"/>
    <mergeCell ref="D46:D47"/>
    <mergeCell ref="E46:E47"/>
    <mergeCell ref="M46:M47"/>
    <mergeCell ref="B57:F57"/>
    <mergeCell ref="G57:J57"/>
    <mergeCell ref="K57:N57"/>
    <mergeCell ref="G46:G47"/>
    <mergeCell ref="H46:H47"/>
    <mergeCell ref="I46:I47"/>
    <mergeCell ref="J46:J47"/>
    <mergeCell ref="K46:K47"/>
    <mergeCell ref="L46:L47"/>
    <mergeCell ref="F46:F47"/>
  </mergeCells>
  <conditionalFormatting sqref="B41:B42">
    <cfRule type="cellIs" dxfId="3874" priority="42" operator="notBetween">
      <formula>#REF!</formula>
      <formula>#REF!</formula>
    </cfRule>
  </conditionalFormatting>
  <conditionalFormatting sqref="C45">
    <cfRule type="cellIs" dxfId="3873" priority="190" stopIfTrue="1" operator="greaterThan">
      <formula>100</formula>
    </cfRule>
    <cfRule type="cellIs" dxfId="3872" priority="189" stopIfTrue="1" operator="lessThan">
      <formula>96</formula>
    </cfRule>
  </conditionalFormatting>
  <conditionalFormatting sqref="C59:C63">
    <cfRule type="cellIs" dxfId="3871" priority="143" stopIfTrue="1" operator="lessThanOrEqual">
      <formula>0</formula>
    </cfRule>
  </conditionalFormatting>
  <conditionalFormatting sqref="C59:C67">
    <cfRule type="cellIs" dxfId="3870" priority="142" stopIfTrue="1" operator="greaterThan">
      <formula>$F59</formula>
    </cfRule>
  </conditionalFormatting>
  <conditionalFormatting sqref="C60">
    <cfRule type="cellIs" dxfId="3869" priority="193" stopIfTrue="1" operator="greaterThan">
      <formula>$F59</formula>
    </cfRule>
  </conditionalFormatting>
  <conditionalFormatting sqref="C64">
    <cfRule type="cellIs" dxfId="3868" priority="82" stopIfTrue="1" operator="lessThanOrEqual">
      <formula>0</formula>
    </cfRule>
    <cfRule type="cellIs" dxfId="3867" priority="83" stopIfTrue="1" operator="greaterThan">
      <formula>$F63</formula>
    </cfRule>
  </conditionalFormatting>
  <conditionalFormatting sqref="C70:C74">
    <cfRule type="cellIs" dxfId="3866" priority="181" stopIfTrue="1" operator="lessThanOrEqual">
      <formula>0</formula>
    </cfRule>
  </conditionalFormatting>
  <conditionalFormatting sqref="C71:C74">
    <cfRule type="cellIs" dxfId="3865" priority="180" stopIfTrue="1" operator="greaterThan">
      <formula>$F$70</formula>
    </cfRule>
  </conditionalFormatting>
  <conditionalFormatting sqref="C76">
    <cfRule type="cellIs" dxfId="3864" priority="183" stopIfTrue="1" operator="lessThanOrEqual">
      <formula>0</formula>
    </cfRule>
    <cfRule type="cellIs" dxfId="3863" priority="182" stopIfTrue="1" operator="greaterThan">
      <formula>$F$70</formula>
    </cfRule>
  </conditionalFormatting>
  <conditionalFormatting sqref="C70:D70 D72:D78">
    <cfRule type="cellIs" dxfId="3862" priority="175" stopIfTrue="1" operator="greaterThan">
      <formula>4.5</formula>
    </cfRule>
  </conditionalFormatting>
  <conditionalFormatting sqref="D41:D42">
    <cfRule type="cellIs" dxfId="3861" priority="43" operator="notBetween">
      <formula>#REF!</formula>
      <formula>#REF!</formula>
    </cfRule>
  </conditionalFormatting>
  <conditionalFormatting sqref="D59:D66">
    <cfRule type="cellIs" dxfId="3860" priority="155" stopIfTrue="1" operator="lessThanOrEqual">
      <formula>0</formula>
    </cfRule>
  </conditionalFormatting>
  <conditionalFormatting sqref="D67">
    <cfRule type="cellIs" dxfId="3859" priority="154" stopIfTrue="1" operator="lessThanOrEqual">
      <formula>0</formula>
    </cfRule>
  </conditionalFormatting>
  <conditionalFormatting sqref="D70 D72:D78">
    <cfRule type="cellIs" dxfId="3858" priority="176" stopIfTrue="1" operator="lessThanOrEqual">
      <formula>0</formula>
    </cfRule>
  </conditionalFormatting>
  <conditionalFormatting sqref="D71">
    <cfRule type="cellIs" dxfId="3857" priority="167" stopIfTrue="1" operator="greaterThan">
      <formula>$F$70</formula>
    </cfRule>
    <cfRule type="cellIs" dxfId="3856" priority="168" stopIfTrue="1" operator="lessThanOrEqual">
      <formula>0</formula>
    </cfRule>
  </conditionalFormatting>
  <conditionalFormatting sqref="D59:E68">
    <cfRule type="cellIs" dxfId="3855" priority="140" stopIfTrue="1" operator="greaterThan">
      <formula>$F59</formula>
    </cfRule>
  </conditionalFormatting>
  <conditionalFormatting sqref="D68:E68">
    <cfRule type="cellIs" dxfId="3854" priority="141" stopIfTrue="1" operator="lessThanOrEqual">
      <formula>0</formula>
    </cfRule>
  </conditionalFormatting>
  <conditionalFormatting sqref="E11:E16">
    <cfRule type="cellIs" dxfId="3853" priority="35" operator="lessThan">
      <formula>48</formula>
    </cfRule>
  </conditionalFormatting>
  <conditionalFormatting sqref="E44 E45:F45">
    <cfRule type="cellIs" dxfId="3852" priority="172" stopIfTrue="1" operator="greaterThan">
      <formula>100</formula>
    </cfRule>
  </conditionalFormatting>
  <conditionalFormatting sqref="E45">
    <cfRule type="cellIs" dxfId="3851" priority="169" stopIfTrue="1" operator="lessThan">
      <formula>96.8</formula>
    </cfRule>
    <cfRule type="cellIs" dxfId="3850" priority="170" stopIfTrue="1" operator="greaterThan">
      <formula>100</formula>
    </cfRule>
  </conditionalFormatting>
  <conditionalFormatting sqref="E59:E67">
    <cfRule type="cellIs" dxfId="3849" priority="151" stopIfTrue="1" operator="lessThanOrEqual">
      <formula>0</formula>
    </cfRule>
  </conditionalFormatting>
  <conditionalFormatting sqref="E70:E78">
    <cfRule type="cellIs" dxfId="3848" priority="162" stopIfTrue="1" operator="lessThanOrEqual">
      <formula>0</formula>
    </cfRule>
    <cfRule type="cellIs" dxfId="3847" priority="161" stopIfTrue="1" operator="greaterThan">
      <formula>4.5</formula>
    </cfRule>
  </conditionalFormatting>
  <conditionalFormatting sqref="E45:F45 E44">
    <cfRule type="cellIs" dxfId="3846" priority="171" stopIfTrue="1" operator="lessThan">
      <formula>96.5</formula>
    </cfRule>
  </conditionalFormatting>
  <conditionalFormatting sqref="F11:F16">
    <cfRule type="cellIs" dxfId="3845" priority="36" operator="greaterThan">
      <formula>60</formula>
    </cfRule>
  </conditionalFormatting>
  <conditionalFormatting sqref="F45">
    <cfRule type="cellIs" dxfId="3844" priority="188" stopIfTrue="1" operator="greaterThan">
      <formula>100</formula>
    </cfRule>
    <cfRule type="cellIs" dxfId="3843" priority="187" stopIfTrue="1" operator="lessThan">
      <formula>96.8</formula>
    </cfRule>
  </conditionalFormatting>
  <conditionalFormatting sqref="F68">
    <cfRule type="cellIs" dxfId="3842" priority="152" stopIfTrue="1" operator="greaterThan">
      <formula>$F68</formula>
    </cfRule>
    <cfRule type="cellIs" dxfId="3841" priority="153" stopIfTrue="1" operator="lessThanOrEqual">
      <formula>0</formula>
    </cfRule>
  </conditionalFormatting>
  <conditionalFormatting sqref="G12:G15">
    <cfRule type="expression" dxfId="3840" priority="13">
      <formula>IF(+(IF(G12&lt;S12,0,IF(G12&gt;T12,0,1)))=0,1)</formula>
    </cfRule>
  </conditionalFormatting>
  <conditionalFormatting sqref="G59:G60 C65:C67">
    <cfRule type="cellIs" dxfId="3839" priority="157" stopIfTrue="1" operator="lessThanOrEqual">
      <formula>0</formula>
    </cfRule>
  </conditionalFormatting>
  <conditionalFormatting sqref="G59:G60">
    <cfRule type="cellIs" dxfId="3838" priority="144" stopIfTrue="1" operator="greaterThan">
      <formula>$F59</formula>
    </cfRule>
    <cfRule type="cellIs" dxfId="3837" priority="145" stopIfTrue="1" operator="lessThanOrEqual">
      <formula>0</formula>
    </cfRule>
    <cfRule type="cellIs" dxfId="3836" priority="156" stopIfTrue="1" operator="greaterThan">
      <formula>$F59</formula>
    </cfRule>
  </conditionalFormatting>
  <conditionalFormatting sqref="G61">
    <cfRule type="cellIs" dxfId="3835" priority="191" stopIfTrue="1" operator="greaterThan">
      <formula>$F60</formula>
    </cfRule>
    <cfRule type="cellIs" dxfId="3834" priority="192" stopIfTrue="1" operator="lessThanOrEqual">
      <formula>0</formula>
    </cfRule>
  </conditionalFormatting>
  <conditionalFormatting sqref="G62">
    <cfRule type="cellIs" dxfId="3833" priority="41" stopIfTrue="1" operator="lessThanOrEqual">
      <formula>0</formula>
    </cfRule>
    <cfRule type="cellIs" dxfId="3832" priority="40" stopIfTrue="1" operator="greaterThan">
      <formula>$F62</formula>
    </cfRule>
    <cfRule type="cellIs" dxfId="3831" priority="39" stopIfTrue="1" operator="lessThanOrEqual">
      <formula>0</formula>
    </cfRule>
    <cfRule type="cellIs" dxfId="3830" priority="38" stopIfTrue="1" operator="greaterThan">
      <formula>$F62</formula>
    </cfRule>
  </conditionalFormatting>
  <conditionalFormatting sqref="G63:G67">
    <cfRule type="cellIs" dxfId="3829" priority="159" stopIfTrue="1" operator="lessThanOrEqual">
      <formula>0</formula>
    </cfRule>
    <cfRule type="cellIs" dxfId="3828" priority="158" stopIfTrue="1" operator="greaterThan">
      <formula>$J63</formula>
    </cfRule>
  </conditionalFormatting>
  <conditionalFormatting sqref="G72:G77 C75 C77">
    <cfRule type="cellIs" dxfId="3827" priority="184" stopIfTrue="1" operator="greaterThan">
      <formula>4.5</formula>
    </cfRule>
    <cfRule type="cellIs" dxfId="3826" priority="185" stopIfTrue="1" operator="lessThanOrEqual">
      <formula>0</formula>
    </cfRule>
  </conditionalFormatting>
  <conditionalFormatting sqref="G11:H11 G16:H16">
    <cfRule type="expression" dxfId="3825" priority="37">
      <formula>IF(+(IF(G11&lt;#REF!,0,IF(G11&gt;#REF!,0,1)))=0,1)</formula>
    </cfRule>
  </conditionalFormatting>
  <conditionalFormatting sqref="G71:H71">
    <cfRule type="cellIs" dxfId="3824" priority="165" stopIfTrue="1" operator="greaterThan">
      <formula>$F$70</formula>
    </cfRule>
    <cfRule type="cellIs" dxfId="3823" priority="166" stopIfTrue="1" operator="lessThanOrEqual">
      <formula>0</formula>
    </cfRule>
  </conditionalFormatting>
  <conditionalFormatting sqref="H30:H31 H44">
    <cfRule type="cellIs" dxfId="3822" priority="163" stopIfTrue="1" operator="greaterThan">
      <formula>0</formula>
    </cfRule>
  </conditionalFormatting>
  <conditionalFormatting sqref="H48">
    <cfRule type="cellIs" dxfId="3821" priority="33" stopIfTrue="1" operator="greaterThan">
      <formula>$F$64</formula>
    </cfRule>
    <cfRule type="cellIs" dxfId="3820" priority="32" stopIfTrue="1" operator="lessThanOrEqual">
      <formula>0</formula>
    </cfRule>
    <cfRule type="cellIs" dxfId="3819" priority="31" stopIfTrue="1" operator="greaterThan">
      <formula>$F$66</formula>
    </cfRule>
    <cfRule type="cellIs" dxfId="3818" priority="34" stopIfTrue="1" operator="lessThanOrEqual">
      <formula>0</formula>
    </cfRule>
    <cfRule type="cellIs" dxfId="3817" priority="23" stopIfTrue="1" operator="greaterThan">
      <formula>$F$63</formula>
    </cfRule>
    <cfRule type="cellIs" dxfId="3816" priority="22" stopIfTrue="1" operator="lessThanOrEqual">
      <formula>0</formula>
    </cfRule>
  </conditionalFormatting>
  <conditionalFormatting sqref="H49">
    <cfRule type="cellIs" dxfId="3815" priority="109" stopIfTrue="1" operator="lessThanOrEqual">
      <formula>0</formula>
    </cfRule>
    <cfRule type="cellIs" dxfId="3814" priority="108" stopIfTrue="1" operator="greaterThan">
      <formula>$F$17</formula>
    </cfRule>
    <cfRule type="cellIs" dxfId="3813" priority="99" stopIfTrue="1" operator="lessThanOrEqual">
      <formula>0</formula>
    </cfRule>
    <cfRule type="cellIs" dxfId="3812" priority="100" stopIfTrue="1" operator="greaterThan">
      <formula>#REF!</formula>
    </cfRule>
    <cfRule type="cellIs" dxfId="3811" priority="111" stopIfTrue="1" operator="lessThanOrEqual">
      <formula>0</formula>
    </cfRule>
    <cfRule type="cellIs" dxfId="3810" priority="110" stopIfTrue="1" operator="greaterThan">
      <formula>#REF!</formula>
    </cfRule>
  </conditionalFormatting>
  <conditionalFormatting sqref="H50">
    <cfRule type="cellIs" dxfId="3809" priority="79" stopIfTrue="1" operator="lessThanOrEqual">
      <formula>0</formula>
    </cfRule>
    <cfRule type="cellIs" dxfId="3808" priority="67" stopIfTrue="1" operator="lessThanOrEqual">
      <formula>0</formula>
    </cfRule>
    <cfRule type="cellIs" dxfId="3807" priority="78" stopIfTrue="1" operator="greaterThan">
      <formula>$F$61</formula>
    </cfRule>
    <cfRule type="cellIs" dxfId="3806" priority="77" stopIfTrue="1" operator="lessThanOrEqual">
      <formula>0</formula>
    </cfRule>
    <cfRule type="cellIs" dxfId="3805" priority="76" stopIfTrue="1" operator="greaterThan">
      <formula>$F$63</formula>
    </cfRule>
    <cfRule type="cellIs" dxfId="3804" priority="68" stopIfTrue="1" operator="greaterThan">
      <formula>$F$60</formula>
    </cfRule>
  </conditionalFormatting>
  <conditionalFormatting sqref="H51:H52">
    <cfRule type="cellIs" dxfId="3803" priority="86" stopIfTrue="1" operator="greaterThan">
      <formula>#REF!</formula>
    </cfRule>
    <cfRule type="cellIs" dxfId="3802" priority="96" stopIfTrue="1" operator="greaterThan">
      <formula>#REF!</formula>
    </cfRule>
    <cfRule type="cellIs" dxfId="3801" priority="97" stopIfTrue="1" operator="lessThanOrEqual">
      <formula>0</formula>
    </cfRule>
    <cfRule type="cellIs" dxfId="3800" priority="85" stopIfTrue="1" operator="lessThanOrEqual">
      <formula>0</formula>
    </cfRule>
    <cfRule type="cellIs" dxfId="3799" priority="95" stopIfTrue="1" operator="lessThanOrEqual">
      <formula>0</formula>
    </cfRule>
    <cfRule type="cellIs" dxfId="3798" priority="94" stopIfTrue="1" operator="greaterThan">
      <formula>$F$16</formula>
    </cfRule>
  </conditionalFormatting>
  <conditionalFormatting sqref="H53">
    <cfRule type="cellIs" dxfId="3797" priority="115" stopIfTrue="1" operator="greaterThan">
      <formula>$F$29</formula>
    </cfRule>
    <cfRule type="cellIs" dxfId="3796" priority="114" stopIfTrue="1" operator="lessThanOrEqual">
      <formula>0</formula>
    </cfRule>
    <cfRule type="cellIs" dxfId="3795" priority="123" stopIfTrue="1" operator="greaterThan">
      <formula>$F$32</formula>
    </cfRule>
    <cfRule type="cellIs" dxfId="3794" priority="124" stopIfTrue="1" operator="lessThanOrEqual">
      <formula>0</formula>
    </cfRule>
    <cfRule type="cellIs" dxfId="3793" priority="126" stopIfTrue="1" operator="lessThanOrEqual">
      <formula>0</formula>
    </cfRule>
    <cfRule type="cellIs" dxfId="3792" priority="125" stopIfTrue="1" operator="greaterThan">
      <formula>$F$30</formula>
    </cfRule>
  </conditionalFormatting>
  <conditionalFormatting sqref="H54:H55">
    <cfRule type="cellIs" dxfId="3791" priority="63" stopIfTrue="1" operator="lessThanOrEqual">
      <formula>0</formula>
    </cfRule>
    <cfRule type="cellIs" dxfId="3790" priority="65" stopIfTrue="1" operator="lessThanOrEqual">
      <formula>0</formula>
    </cfRule>
    <cfRule type="cellIs" dxfId="3789" priority="62" stopIfTrue="1" operator="greaterThan">
      <formula>$F$16</formula>
    </cfRule>
    <cfRule type="cellIs" dxfId="3788" priority="54" stopIfTrue="1" operator="greaterThan">
      <formula>#REF!</formula>
    </cfRule>
    <cfRule type="cellIs" dxfId="3787" priority="53" stopIfTrue="1" operator="lessThanOrEqual">
      <formula>0</formula>
    </cfRule>
    <cfRule type="cellIs" dxfId="3786" priority="64" stopIfTrue="1" operator="greaterThan">
      <formula>#REF!</formula>
    </cfRule>
  </conditionalFormatting>
  <conditionalFormatting sqref="H59:H66">
    <cfRule type="cellIs" dxfId="3785" priority="146" stopIfTrue="1" operator="greaterThan">
      <formula>$J59</formula>
    </cfRule>
    <cfRule type="cellIs" dxfId="3784" priority="147" stopIfTrue="1" operator="lessThanOrEqual">
      <formula>0</formula>
    </cfRule>
  </conditionalFormatting>
  <conditionalFormatting sqref="H67">
    <cfRule type="cellIs" dxfId="3783" priority="148" operator="greaterThan">
      <formula>5.3</formula>
    </cfRule>
  </conditionalFormatting>
  <conditionalFormatting sqref="H70 H72:H78">
    <cfRule type="cellIs" dxfId="3782" priority="178" stopIfTrue="1" operator="lessThanOrEqual">
      <formula>0</formula>
    </cfRule>
    <cfRule type="cellIs" dxfId="3781" priority="177" stopIfTrue="1" operator="greaterThan">
      <formula>4.5</formula>
    </cfRule>
  </conditionalFormatting>
  <conditionalFormatting sqref="H48:I48">
    <cfRule type="cellIs" dxfId="3780" priority="21" stopIfTrue="1" operator="greaterThan">
      <formula>$F$65</formula>
    </cfRule>
    <cfRule type="cellIs" dxfId="3779" priority="24" stopIfTrue="1" operator="lessThanOrEqual">
      <formula>0</formula>
    </cfRule>
  </conditionalFormatting>
  <conditionalFormatting sqref="H49:I49">
    <cfRule type="cellIs" dxfId="3778" priority="98" stopIfTrue="1" operator="greaterThan">
      <formula>$F$16</formula>
    </cfRule>
    <cfRule type="cellIs" dxfId="3777" priority="101" stopIfTrue="1" operator="lessThanOrEqual">
      <formula>0</formula>
    </cfRule>
  </conditionalFormatting>
  <conditionalFormatting sqref="H50:I50">
    <cfRule type="cellIs" dxfId="3776" priority="69" stopIfTrue="1" operator="lessThanOrEqual">
      <formula>0</formula>
    </cfRule>
    <cfRule type="cellIs" dxfId="3775" priority="66" stopIfTrue="1" operator="greaterThan">
      <formula>$F$62</formula>
    </cfRule>
  </conditionalFormatting>
  <conditionalFormatting sqref="H51:I52">
    <cfRule type="cellIs" dxfId="3774" priority="87" stopIfTrue="1" operator="lessThanOrEqual">
      <formula>0</formula>
    </cfRule>
    <cfRule type="cellIs" dxfId="3773" priority="84" stopIfTrue="1" operator="greaterThan">
      <formula>#REF!</formula>
    </cfRule>
  </conditionalFormatting>
  <conditionalFormatting sqref="H53:I53">
    <cfRule type="cellIs" dxfId="3772" priority="113" stopIfTrue="1" operator="greaterThan">
      <formula>$F$31</formula>
    </cfRule>
    <cfRule type="cellIs" dxfId="3771" priority="116" stopIfTrue="1" operator="lessThanOrEqual">
      <formula>0</formula>
    </cfRule>
  </conditionalFormatting>
  <conditionalFormatting sqref="H54:I55">
    <cfRule type="cellIs" dxfId="3770" priority="55" stopIfTrue="1" operator="lessThanOrEqual">
      <formula>0</formula>
    </cfRule>
    <cfRule type="cellIs" dxfId="3769" priority="52" stopIfTrue="1" operator="greaterThan">
      <formula>#REF!</formula>
    </cfRule>
  </conditionalFormatting>
  <conditionalFormatting sqref="H68:I68">
    <cfRule type="cellIs" dxfId="3768" priority="138" stopIfTrue="1" operator="greaterThan">
      <formula>$J68</formula>
    </cfRule>
    <cfRule type="cellIs" dxfId="3767" priority="139" stopIfTrue="1" operator="lessThanOrEqual">
      <formula>0</formula>
    </cfRule>
  </conditionalFormatting>
  <conditionalFormatting sqref="I48">
    <cfRule type="cellIs" dxfId="3766" priority="29" stopIfTrue="1" operator="greaterThan">
      <formula>$F$63</formula>
    </cfRule>
    <cfRule type="cellIs" dxfId="3765" priority="30" stopIfTrue="1" operator="lessThanOrEqual">
      <formula>0</formula>
    </cfRule>
    <cfRule type="cellIs" dxfId="3764" priority="28" stopIfTrue="1" operator="lessThanOrEqual">
      <formula>0</formula>
    </cfRule>
    <cfRule type="cellIs" dxfId="3763" priority="26" stopIfTrue="1" operator="lessThanOrEqual">
      <formula>0</formula>
    </cfRule>
    <cfRule type="cellIs" dxfId="3762" priority="25" stopIfTrue="1" operator="greaterThan">
      <formula>$F$63</formula>
    </cfRule>
    <cfRule type="cellIs" dxfId="3761" priority="27" stopIfTrue="1" operator="greaterThan">
      <formula>$F$65</formula>
    </cfRule>
  </conditionalFormatting>
  <conditionalFormatting sqref="I49">
    <cfRule type="cellIs" dxfId="3760" priority="104" stopIfTrue="1" operator="greaterThan">
      <formula>$F$16</formula>
    </cfRule>
    <cfRule type="cellIs" dxfId="3759" priority="106" stopIfTrue="1" operator="greaterThan">
      <formula>#REF!</formula>
    </cfRule>
    <cfRule type="cellIs" dxfId="3758" priority="107" stopIfTrue="1" operator="lessThanOrEqual">
      <formula>0</formula>
    </cfRule>
    <cfRule type="cellIs" dxfId="3757" priority="102" stopIfTrue="1" operator="greaterThan">
      <formula>#REF!</formula>
    </cfRule>
    <cfRule type="cellIs" dxfId="3756" priority="105" stopIfTrue="1" operator="lessThanOrEqual">
      <formula>0</formula>
    </cfRule>
    <cfRule type="cellIs" dxfId="3755" priority="103" stopIfTrue="1" operator="lessThanOrEqual">
      <formula>0</formula>
    </cfRule>
  </conditionalFormatting>
  <conditionalFormatting sqref="I50">
    <cfRule type="cellIs" dxfId="3754" priority="75" stopIfTrue="1" operator="lessThanOrEqual">
      <formula>0</formula>
    </cfRule>
    <cfRule type="cellIs" dxfId="3753" priority="73" stopIfTrue="1" operator="lessThanOrEqual">
      <formula>0</formula>
    </cfRule>
    <cfRule type="cellIs" dxfId="3752" priority="70" stopIfTrue="1" operator="greaterThan">
      <formula>$F$60</formula>
    </cfRule>
    <cfRule type="cellIs" dxfId="3751" priority="72" stopIfTrue="1" operator="greaterThan">
      <formula>$F$62</formula>
    </cfRule>
    <cfRule type="cellIs" dxfId="3750" priority="71" stopIfTrue="1" operator="lessThanOrEqual">
      <formula>0</formula>
    </cfRule>
    <cfRule type="cellIs" dxfId="3749" priority="74" stopIfTrue="1" operator="greaterThan">
      <formula>$F$60</formula>
    </cfRule>
  </conditionalFormatting>
  <conditionalFormatting sqref="I51:I52">
    <cfRule type="cellIs" dxfId="3748" priority="88" stopIfTrue="1" operator="greaterThan">
      <formula>#REF!</formula>
    </cfRule>
    <cfRule type="cellIs" dxfId="3747" priority="92" stopIfTrue="1" operator="greaterThan">
      <formula>#REF!</formula>
    </cfRule>
    <cfRule type="cellIs" dxfId="3746" priority="91" stopIfTrue="1" operator="lessThanOrEqual">
      <formula>0</formula>
    </cfRule>
    <cfRule type="cellIs" dxfId="3745" priority="93" stopIfTrue="1" operator="lessThanOrEqual">
      <formula>0</formula>
    </cfRule>
    <cfRule type="cellIs" dxfId="3744" priority="90" stopIfTrue="1" operator="greaterThan">
      <formula>#REF!</formula>
    </cfRule>
    <cfRule type="cellIs" dxfId="3743" priority="89" stopIfTrue="1" operator="lessThanOrEqual">
      <formula>0</formula>
    </cfRule>
  </conditionalFormatting>
  <conditionalFormatting sqref="I53">
    <cfRule type="cellIs" dxfId="3742" priority="119" stopIfTrue="1" operator="greaterThan">
      <formula>$F$31</formula>
    </cfRule>
    <cfRule type="cellIs" dxfId="3741" priority="118" stopIfTrue="1" operator="lessThanOrEqual">
      <formula>0</formula>
    </cfRule>
    <cfRule type="cellIs" dxfId="3740" priority="117" stopIfTrue="1" operator="greaterThan">
      <formula>$F$29</formula>
    </cfRule>
    <cfRule type="cellIs" dxfId="3739" priority="122" stopIfTrue="1" operator="lessThanOrEqual">
      <formula>0</formula>
    </cfRule>
    <cfRule type="cellIs" dxfId="3738" priority="121" stopIfTrue="1" operator="greaterThan">
      <formula>$F$29</formula>
    </cfRule>
    <cfRule type="cellIs" dxfId="3737" priority="120" stopIfTrue="1" operator="lessThanOrEqual">
      <formula>0</formula>
    </cfRule>
  </conditionalFormatting>
  <conditionalFormatting sqref="I54:I55">
    <cfRule type="cellIs" dxfId="3736" priority="61" stopIfTrue="1" operator="lessThanOrEqual">
      <formula>0</formula>
    </cfRule>
    <cfRule type="cellIs" dxfId="3735" priority="56" stopIfTrue="1" operator="greaterThan">
      <formula>#REF!</formula>
    </cfRule>
    <cfRule type="cellIs" dxfId="3734" priority="57" stopIfTrue="1" operator="lessThanOrEqual">
      <formula>0</formula>
    </cfRule>
    <cfRule type="cellIs" dxfId="3733" priority="58" stopIfTrue="1" operator="greaterThan">
      <formula>#REF!</formula>
    </cfRule>
    <cfRule type="cellIs" dxfId="3732" priority="59" stopIfTrue="1" operator="lessThanOrEqual">
      <formula>0</formula>
    </cfRule>
    <cfRule type="cellIs" dxfId="3731" priority="60" stopIfTrue="1" operator="greaterThan">
      <formula>#REF!</formula>
    </cfRule>
  </conditionalFormatting>
  <conditionalFormatting sqref="I59:I67">
    <cfRule type="cellIs" dxfId="3730" priority="150" stopIfTrue="1" operator="lessThanOrEqual">
      <formula>0</formula>
    </cfRule>
    <cfRule type="cellIs" dxfId="3729" priority="149" stopIfTrue="1" operator="greaterThan">
      <formula>$J59</formula>
    </cfRule>
  </conditionalFormatting>
  <conditionalFormatting sqref="I70:I78">
    <cfRule type="cellIs" dxfId="3728" priority="173" stopIfTrue="1" operator="greaterThan">
      <formula>4.5</formula>
    </cfRule>
    <cfRule type="cellIs" dxfId="3727" priority="174" stopIfTrue="1" operator="lessThanOrEqual">
      <formula>0</formula>
    </cfRule>
  </conditionalFormatting>
  <conditionalFormatting sqref="I11:J16">
    <cfRule type="cellIs" dxfId="3726" priority="15" operator="lessThan">
      <formula>97.9</formula>
    </cfRule>
  </conditionalFormatting>
  <conditionalFormatting sqref="J20:J21">
    <cfRule type="cellIs" dxfId="3725" priority="128" stopIfTrue="1" operator="lessThan">
      <formula>96.8</formula>
    </cfRule>
    <cfRule type="cellIs" dxfId="3724" priority="129" stopIfTrue="1" operator="greaterThan">
      <formula>100</formula>
    </cfRule>
    <cfRule type="cellIs" dxfId="3723" priority="130" operator="lessThan">
      <formula>98</formula>
    </cfRule>
  </conditionalFormatting>
  <conditionalFormatting sqref="J20:J23">
    <cfRule type="cellIs" dxfId="3722" priority="127" operator="lessThan">
      <formula>97.4</formula>
    </cfRule>
  </conditionalFormatting>
  <conditionalFormatting sqref="J24:J25">
    <cfRule type="cellIs" dxfId="3721" priority="131" operator="lessThan">
      <formula>98</formula>
    </cfRule>
  </conditionalFormatting>
  <conditionalFormatting sqref="J26:J27">
    <cfRule type="cellIs" dxfId="3720" priority="132" stopIfTrue="1" operator="lessThan">
      <formula>96.8</formula>
    </cfRule>
    <cfRule type="cellIs" dxfId="3719" priority="133" stopIfTrue="1" operator="greaterThan">
      <formula>100</formula>
    </cfRule>
  </conditionalFormatting>
  <conditionalFormatting sqref="J26:J28">
    <cfRule type="cellIs" dxfId="3718" priority="134" operator="lessThan">
      <formula>98</formula>
    </cfRule>
  </conditionalFormatting>
  <conditionalFormatting sqref="J55">
    <cfRule type="cellIs" dxfId="3717" priority="48" stopIfTrue="1" operator="greaterThan">
      <formula>#REF!</formula>
    </cfRule>
    <cfRule type="cellIs" dxfId="3716" priority="50" stopIfTrue="1" operator="greaterThan">
      <formula>#REF!</formula>
    </cfRule>
    <cfRule type="cellIs" dxfId="3715" priority="46" stopIfTrue="1" operator="greaterThan">
      <formula>#REF!</formula>
    </cfRule>
    <cfRule type="cellIs" dxfId="3714" priority="47" stopIfTrue="1" operator="lessThanOrEqual">
      <formula>0</formula>
    </cfRule>
    <cfRule type="cellIs" dxfId="3713" priority="49" stopIfTrue="1" operator="lessThanOrEqual">
      <formula>0</formula>
    </cfRule>
    <cfRule type="cellIs" dxfId="3712" priority="45" stopIfTrue="1" operator="lessThanOrEqual">
      <formula>0</formula>
    </cfRule>
    <cfRule type="cellIs" dxfId="3711" priority="44" stopIfTrue="1" operator="greaterThan">
      <formula>#REF!</formula>
    </cfRule>
    <cfRule type="cellIs" dxfId="3710" priority="51" stopIfTrue="1" operator="lessThanOrEqual">
      <formula>0</formula>
    </cfRule>
  </conditionalFormatting>
  <conditionalFormatting sqref="J68">
    <cfRule type="cellIs" dxfId="3709" priority="135" stopIfTrue="1" operator="greaterThan">
      <formula>$F68</formula>
    </cfRule>
    <cfRule type="cellIs" dxfId="3708" priority="136" stopIfTrue="1" operator="lessThanOrEqual">
      <formula>0</formula>
    </cfRule>
  </conditionalFormatting>
  <conditionalFormatting sqref="K11:K16">
    <cfRule type="cellIs" dxfId="3707" priority="18" operator="greaterThan">
      <formula>6.4</formula>
    </cfRule>
    <cfRule type="cellIs" dxfId="3706" priority="17" operator="lessThan">
      <formula>4</formula>
    </cfRule>
    <cfRule type="cellIs" dxfId="3705" priority="16" operator="greaterThan">
      <formula>6</formula>
    </cfRule>
  </conditionalFormatting>
  <conditionalFormatting sqref="K48:K55 K59:N65 K66 M66:N66 K67:N67">
    <cfRule type="cellIs" dxfId="3704" priority="112" stopIfTrue="1" operator="lessThan">
      <formula>100%</formula>
    </cfRule>
  </conditionalFormatting>
  <conditionalFormatting sqref="K70:K75">
    <cfRule type="cellIs" dxfId="3703" priority="179" stopIfTrue="1" operator="lessThan">
      <formula>100%</formula>
    </cfRule>
  </conditionalFormatting>
  <conditionalFormatting sqref="K77:K78">
    <cfRule type="cellIs" dxfId="3702" priority="186" stopIfTrue="1" operator="lessThan">
      <formula>100%</formula>
    </cfRule>
  </conditionalFormatting>
  <conditionalFormatting sqref="L11:L16">
    <cfRule type="cellIs" dxfId="3701" priority="20" operator="greaterThan">
      <formula>65</formula>
    </cfRule>
    <cfRule type="cellIs" dxfId="3700" priority="19" operator="between">
      <formula>61</formula>
      <formula>65</formula>
    </cfRule>
  </conditionalFormatting>
  <conditionalFormatting sqref="L19:M30">
    <cfRule type="cellIs" dxfId="3699" priority="80" operator="lessThan">
      <formula>97.95</formula>
    </cfRule>
  </conditionalFormatting>
  <conditionalFormatting sqref="L34:N34">
    <cfRule type="cellIs" dxfId="3698" priority="81" operator="notEqual">
      <formula>#REF!</formula>
    </cfRule>
  </conditionalFormatting>
  <conditionalFormatting sqref="L68:N68">
    <cfRule type="cellIs" dxfId="3697" priority="137" stopIfTrue="1" operator="lessThan">
      <formula>100%</formula>
    </cfRule>
  </conditionalFormatting>
  <conditionalFormatting sqref="L70:N78">
    <cfRule type="cellIs" dxfId="3696" priority="164" stopIfTrue="1" operator="lessThan">
      <formula>100%</formula>
    </cfRule>
  </conditionalFormatting>
  <conditionalFormatting sqref="M11:M15">
    <cfRule type="expression" dxfId="3695" priority="12">
      <formula>IF(+(IF(M11&lt;U11,0,IF(M11&gt;V11,0,1)))=0,1)</formula>
    </cfRule>
  </conditionalFormatting>
  <conditionalFormatting sqref="M16:N16">
    <cfRule type="expression" dxfId="3694" priority="194">
      <formula>IF(+(IF(M16&lt;#REF!,0,IF(M16&gt;#REF!,0,1)))=0,1)</formula>
    </cfRule>
  </conditionalFormatting>
  <conditionalFormatting sqref="N11:N15">
    <cfRule type="expression" dxfId="3693" priority="14">
      <formula>IF(+(IF(N11&lt;W11,0,IF(N11&gt;X11,0,1)))=0,1)</formula>
    </cfRule>
  </conditionalFormatting>
  <conditionalFormatting sqref="P6">
    <cfRule type="cellIs" dxfId="3692" priority="160" operator="greaterThanOrEqual">
      <formula>19</formula>
    </cfRule>
  </conditionalFormatting>
  <dataValidations count="1">
    <dataValidation type="list" allowBlank="1" showInputMessage="1" showErrorMessage="1" sqref="R8" xr:uid="{8AC9A169-5882-4413-AEAF-000EFE34BA1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2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E1FC-F3CA-45D0-B00D-2591319A8536}">
  <sheetPr>
    <pageSetUpPr fitToPage="1"/>
  </sheetPr>
  <dimension ref="A1:BE74"/>
  <sheetViews>
    <sheetView topLeftCell="A12" zoomScale="80" zoomScaleNormal="80" workbookViewId="0">
      <selection activeCell="B18" sqref="B18:O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45994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2" t="s">
        <v>33</v>
      </c>
      <c r="C10" s="366" t="str">
        <f>[22]Brewhouse!A108</f>
        <v>VM093</v>
      </c>
      <c r="D10" s="279">
        <f>[22]Brewhouse!AE108</f>
        <v>50.1</v>
      </c>
      <c r="E10" s="279">
        <f>[22]Brewhouse!AJ108</f>
        <v>47</v>
      </c>
      <c r="F10" s="278">
        <f>[22]Brewhouse!X108</f>
        <v>83</v>
      </c>
      <c r="G10" s="279">
        <f>[22]Brewhouse!AH108</f>
        <v>14.3</v>
      </c>
      <c r="H10" s="396">
        <v>14.4</v>
      </c>
      <c r="I10" s="368">
        <f>[22]Brewhouse!AV108</f>
        <v>95.341284424779616</v>
      </c>
      <c r="J10" s="368">
        <f>[22]Brewhouse!AW108</f>
        <v>95.366406333174339</v>
      </c>
      <c r="K10" s="281">
        <f>[22]Brewhouse!S108</f>
        <v>8.7025948103792548</v>
      </c>
      <c r="L10" s="276">
        <f>[22]Brewhouse!R108</f>
        <v>60</v>
      </c>
      <c r="M10" s="374">
        <f>[22]Brewhouse!$W108-[22]Brewhouse!$V108</f>
        <v>0.13750000000000001</v>
      </c>
      <c r="N10" s="370">
        <f>[22]Brewhouse!AB108</f>
        <v>0.27569444444444446</v>
      </c>
      <c r="O10" s="371" t="str">
        <f>[22]Brewhouse!$AZ108</f>
        <v>R.Sookram</v>
      </c>
      <c r="P10" s="418"/>
      <c r="R10" s="277" t="str">
        <f t="shared" ref="R10:R20" si="0">B10</f>
        <v>VITAMALT</v>
      </c>
      <c r="S10" s="475">
        <f t="shared" ref="S10:S20" si="1">VLOOKUP($B10,$R$3:$X$9,2,FALSE)</f>
        <v>14.2</v>
      </c>
      <c r="T10" s="475">
        <f t="shared" ref="T10:T20" si="2">VLOOKUP($B10,$R$3:$X$9,3,FALSE)</f>
        <v>14.6</v>
      </c>
      <c r="U10" s="297">
        <f t="shared" ref="U10:U20" si="3">VLOOKUP($B10,$R$3:$X$9,4,FALSE)</f>
        <v>0</v>
      </c>
      <c r="V10" s="297">
        <f t="shared" ref="V10:V20" si="4">VLOOKUP($B10,$R$3:$X$9,5,FALSE)</f>
        <v>0.13905092592592591</v>
      </c>
      <c r="W10" s="297">
        <f t="shared" ref="W10:W20" si="5">VLOOKUP($B10,$R$3:$X$9,6,FALSE)</f>
        <v>0.26041666666666669</v>
      </c>
      <c r="X10" s="297">
        <f t="shared" ref="X10:X20" si="6">VLOOKUP($B10,$R$3:$X$9,7,FALSE)</f>
        <v>0.2951388888888889</v>
      </c>
      <c r="Y10" s="297">
        <f t="shared" ref="Y10:Y20" si="7">VLOOKUP($B10,$R$3:$Z$9,8,FALSE)</f>
        <v>0</v>
      </c>
      <c r="Z10" s="475">
        <f t="shared" ref="Z10:Z20" si="8">VLOOKUP($B10,$R$3:$Z$9,9,FALSE)</f>
        <v>75</v>
      </c>
    </row>
    <row r="11" spans="2:29" ht="16.5" customHeight="1">
      <c r="B11" s="22" t="s">
        <v>33</v>
      </c>
      <c r="C11" s="366" t="str">
        <f>[22]Brewhouse!A109</f>
        <v>VM094</v>
      </c>
      <c r="D11" s="279">
        <f>[22]Brewhouse!AE109</f>
        <v>50</v>
      </c>
      <c r="E11" s="279">
        <f>[22]Brewhouse!AJ109</f>
        <v>47.2</v>
      </c>
      <c r="F11" s="278">
        <f>[22]Brewhouse!X109</f>
        <v>77</v>
      </c>
      <c r="G11" s="279">
        <f>[22]Brewhouse!AH109</f>
        <v>14.4</v>
      </c>
      <c r="H11" s="396">
        <v>14.4</v>
      </c>
      <c r="I11" s="368">
        <f>[22]Brewhouse!AV109</f>
        <v>96.709535020269172</v>
      </c>
      <c r="J11" s="368">
        <f>[22]Brewhouse!AW109</f>
        <v>96.734806023569249</v>
      </c>
      <c r="K11" s="281">
        <f>[22]Brewhouse!S109</f>
        <v>10.319999999999993</v>
      </c>
      <c r="L11" s="276">
        <f>[22]Brewhouse!R109</f>
        <v>61</v>
      </c>
      <c r="M11" s="374">
        <f>[22]Brewhouse!$W109-[22]Brewhouse!$V109</f>
        <v>0.13750000000000001</v>
      </c>
      <c r="N11" s="370">
        <f>[22]Brewhouse!AB109</f>
        <v>0.28263888888888888</v>
      </c>
      <c r="O11" s="371" t="str">
        <f>[22]Brewhouse!$AZ109</f>
        <v>R.Sookram</v>
      </c>
      <c r="P11" s="418"/>
      <c r="R11" s="277" t="str">
        <f t="shared" si="0"/>
        <v>VITAMALT</v>
      </c>
      <c r="S11" s="475">
        <f t="shared" si="1"/>
        <v>14.2</v>
      </c>
      <c r="T11" s="475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5">
        <f t="shared" si="8"/>
        <v>75</v>
      </c>
    </row>
    <row r="12" spans="2:29" ht="16.5" customHeight="1">
      <c r="B12" s="22" t="s">
        <v>33</v>
      </c>
      <c r="C12" s="366" t="str">
        <f>[22]Brewhouse!A110</f>
        <v>VM095</v>
      </c>
      <c r="D12" s="279">
        <f>[22]Brewhouse!AE110</f>
        <v>50</v>
      </c>
      <c r="E12" s="279">
        <f>[22]Brewhouse!AJ110</f>
        <v>47.3</v>
      </c>
      <c r="F12" s="278">
        <f>[22]Brewhouse!X110</f>
        <v>74</v>
      </c>
      <c r="G12" s="279">
        <f>[22]Brewhouse!AH110</f>
        <v>14.5</v>
      </c>
      <c r="H12" s="396">
        <v>14.5</v>
      </c>
      <c r="I12" s="368">
        <f>[22]Brewhouse!AV110</f>
        <v>97.716943840911028</v>
      </c>
      <c r="J12" s="368">
        <f>[22]Brewhouse!AW110</f>
        <v>97.742370936663093</v>
      </c>
      <c r="K12" s="281">
        <f>[22]Brewhouse!S110</f>
        <v>5.5200000000000102</v>
      </c>
      <c r="L12" s="276">
        <f>[22]Brewhouse!R110</f>
        <v>60</v>
      </c>
      <c r="M12" s="374">
        <f>[22]Brewhouse!$W110-[22]Brewhouse!$V110</f>
        <v>0.13263888888888892</v>
      </c>
      <c r="N12" s="370">
        <f>[22]Brewhouse!AB110</f>
        <v>0.26944444444444443</v>
      </c>
      <c r="O12" s="371" t="str">
        <f>[22]Brewhouse!$AZ110</f>
        <v>K. Benjamin</v>
      </c>
      <c r="P12" s="418"/>
      <c r="R12" s="277" t="str">
        <f t="shared" si="0"/>
        <v>VITAMALT</v>
      </c>
      <c r="S12" s="475">
        <f t="shared" si="1"/>
        <v>14.2</v>
      </c>
      <c r="T12" s="475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5">
        <f t="shared" si="8"/>
        <v>75</v>
      </c>
    </row>
    <row r="13" spans="2:29" ht="16.5" customHeight="1">
      <c r="B13" s="22" t="s">
        <v>33</v>
      </c>
      <c r="C13" s="366" t="str">
        <f>[22]Brewhouse!A111</f>
        <v>VM096</v>
      </c>
      <c r="D13" s="279">
        <f>[22]Brewhouse!AE111</f>
        <v>50</v>
      </c>
      <c r="E13" s="279">
        <f>[22]Brewhouse!AJ111</f>
        <v>47.47</v>
      </c>
      <c r="F13" s="278">
        <f>[22]Brewhouse!X111</f>
        <v>81</v>
      </c>
      <c r="G13" s="279">
        <f>[22]Brewhouse!AH111</f>
        <v>14.3</v>
      </c>
      <c r="H13" s="396">
        <v>14.34</v>
      </c>
      <c r="I13" s="368">
        <f>[22]Brewhouse!AV111</f>
        <v>96.596804334704856</v>
      </c>
      <c r="J13" s="368">
        <f>[22]Brewhouse!AW111</f>
        <v>96.621939957009616</v>
      </c>
      <c r="K13" s="281">
        <f>[22]Brewhouse!S111</f>
        <v>6.719999999999998</v>
      </c>
      <c r="L13" s="276">
        <f>[22]Brewhouse!R111</f>
        <v>60</v>
      </c>
      <c r="M13" s="374">
        <f>[22]Brewhouse!$W111-[22]Brewhouse!$V111</f>
        <v>0.1388888888888889</v>
      </c>
      <c r="N13" s="370">
        <f>[22]Brewhouse!AB111</f>
        <v>0.27499999999999997</v>
      </c>
      <c r="O13" s="371" t="str">
        <f>[22]Brewhouse!$AZ111</f>
        <v>K. Benjamin</v>
      </c>
      <c r="P13" s="418"/>
      <c r="R13" s="277" t="str">
        <f t="shared" si="0"/>
        <v>VITAMALT</v>
      </c>
      <c r="S13" s="475">
        <f t="shared" si="1"/>
        <v>14.2</v>
      </c>
      <c r="T13" s="475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5">
        <f t="shared" si="8"/>
        <v>75</v>
      </c>
    </row>
    <row r="14" spans="2:29" ht="16.5" customHeight="1">
      <c r="B14" s="22" t="s">
        <v>33</v>
      </c>
      <c r="C14" s="366" t="str">
        <f>[22]Brewhouse!A112</f>
        <v>VM097</v>
      </c>
      <c r="D14" s="279">
        <f>[22]Brewhouse!AE112</f>
        <v>50</v>
      </c>
      <c r="E14" s="279">
        <f>[22]Brewhouse!AJ112</f>
        <v>48</v>
      </c>
      <c r="F14" s="278">
        <f>[22]Brewhouse!X112</f>
        <v>85</v>
      </c>
      <c r="G14" s="279">
        <f>[22]Brewhouse!AH112</f>
        <v>14.3</v>
      </c>
      <c r="H14" s="396">
        <v>14.4</v>
      </c>
      <c r="I14" s="368">
        <f>[22]Brewhouse!AV112</f>
        <v>97.675302466101385</v>
      </c>
      <c r="J14" s="368">
        <f>[22]Brewhouse!AW112</f>
        <v>97.70071872627895</v>
      </c>
      <c r="K14" s="281">
        <f>[22]Brewhouse!S112</f>
        <v>6.1200000000000045</v>
      </c>
      <c r="L14" s="276">
        <f>[22]Brewhouse!R112</f>
        <v>60</v>
      </c>
      <c r="M14" s="374">
        <f>[22]Brewhouse!$W112-[22]Brewhouse!$V112</f>
        <v>0.1430555555555556</v>
      </c>
      <c r="N14" s="370">
        <f>[22]Brewhouse!AB112</f>
        <v>0.28750000000000003</v>
      </c>
      <c r="O14" s="371" t="str">
        <f>[22]Brewhouse!$AZ112</f>
        <v>K. Benjamin</v>
      </c>
      <c r="P14" s="418"/>
      <c r="R14" s="277" t="str">
        <f t="shared" si="0"/>
        <v>VITAMALT</v>
      </c>
      <c r="S14" s="475">
        <f t="shared" si="1"/>
        <v>14.2</v>
      </c>
      <c r="T14" s="475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5">
        <f t="shared" si="8"/>
        <v>75</v>
      </c>
    </row>
    <row r="15" spans="2:29" ht="16.5" customHeight="1">
      <c r="B15" s="22" t="s">
        <v>33</v>
      </c>
      <c r="C15" s="366" t="str">
        <f>[22]Brewhouse!A113</f>
        <v>VM098</v>
      </c>
      <c r="D15" s="279">
        <f>[22]Brewhouse!AE113</f>
        <v>50</v>
      </c>
      <c r="E15" s="279">
        <f>[22]Brewhouse!AJ113</f>
        <v>47.3</v>
      </c>
      <c r="F15" s="278">
        <f>[22]Brewhouse!X113</f>
        <v>85</v>
      </c>
      <c r="G15" s="279">
        <f>[22]Brewhouse!AH113</f>
        <v>14.6</v>
      </c>
      <c r="H15" s="396">
        <v>14.7</v>
      </c>
      <c r="I15" s="368">
        <f>[22]Brewhouse!AV113</f>
        <v>98.521139833975539</v>
      </c>
      <c r="J15" s="368">
        <f>[22]Brewhouse!AW113</f>
        <v>98.546667931339343</v>
      </c>
      <c r="K15" s="281">
        <f>[22]Brewhouse!S113</f>
        <v>5.9199999999999875</v>
      </c>
      <c r="L15" s="276">
        <f>[22]Brewhouse!R113</f>
        <v>60</v>
      </c>
      <c r="M15" s="374">
        <f>[22]Brewhouse!$W113-[22]Brewhouse!$V113</f>
        <v>0.13888888888888884</v>
      </c>
      <c r="N15" s="370">
        <f>[22]Brewhouse!AB113</f>
        <v>0.28611111111111109</v>
      </c>
      <c r="O15" s="371" t="str">
        <f>[22]Brewhouse!$AZ113</f>
        <v>R. Regis</v>
      </c>
      <c r="P15" s="418"/>
      <c r="R15" s="277" t="str">
        <f t="shared" si="0"/>
        <v>VITAMALT</v>
      </c>
      <c r="S15" s="475">
        <f t="shared" si="1"/>
        <v>14.2</v>
      </c>
      <c r="T15" s="475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5">
        <f t="shared" si="8"/>
        <v>75</v>
      </c>
    </row>
    <row r="16" spans="2:29" ht="16.5" customHeight="1">
      <c r="B16" s="22" t="s">
        <v>33</v>
      </c>
      <c r="C16" s="366" t="str">
        <f>[22]Brewhouse!A114</f>
        <v>VM099</v>
      </c>
      <c r="D16" s="279">
        <f>[22]Brewhouse!AE114</f>
        <v>50</v>
      </c>
      <c r="E16" s="279">
        <f>[22]Brewhouse!AJ114</f>
        <v>48.4</v>
      </c>
      <c r="F16" s="278">
        <f>[22]Brewhouse!X114</f>
        <v>86</v>
      </c>
      <c r="G16" s="279">
        <f>[22]Brewhouse!AH114</f>
        <v>14.3</v>
      </c>
      <c r="H16" s="396">
        <v>14.4</v>
      </c>
      <c r="I16" s="368">
        <f>[22]Brewhouse!AV114</f>
        <v>98.695689814836541</v>
      </c>
      <c r="J16" s="368">
        <f>[22]Brewhouse!AW114</f>
        <v>98.721154461854439</v>
      </c>
      <c r="K16" s="281">
        <f>[22]Brewhouse!S114</f>
        <v>5.5200000000000102</v>
      </c>
      <c r="L16" s="276">
        <f>[22]Brewhouse!R114</f>
        <v>62</v>
      </c>
      <c r="M16" s="374">
        <f>[22]Brewhouse!$W114-[22]Brewhouse!$V114</f>
        <v>0.12569444444444444</v>
      </c>
      <c r="N16" s="370">
        <f>[22]Brewhouse!AB114</f>
        <v>0.27083333333333326</v>
      </c>
      <c r="O16" s="371" t="str">
        <f>[22]Brewhouse!$AZ114</f>
        <v>R. Regis</v>
      </c>
      <c r="P16" s="418"/>
      <c r="R16" s="277" t="str">
        <f t="shared" si="0"/>
        <v>VITAMALT</v>
      </c>
      <c r="S16" s="475">
        <f t="shared" si="1"/>
        <v>14.2</v>
      </c>
      <c r="T16" s="475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5">
        <f t="shared" si="8"/>
        <v>75</v>
      </c>
    </row>
    <row r="17" spans="1:27" ht="16.5" customHeight="1">
      <c r="B17" s="22" t="s">
        <v>33</v>
      </c>
      <c r="C17" s="366" t="str">
        <f>[22]Brewhouse!A115</f>
        <v>VM100</v>
      </c>
      <c r="D17" s="279">
        <f>[22]Brewhouse!AE115</f>
        <v>50</v>
      </c>
      <c r="E17" s="279">
        <f>[22]Brewhouse!AJ115</f>
        <v>47.9</v>
      </c>
      <c r="F17" s="278">
        <f>[22]Brewhouse!X115</f>
        <v>88</v>
      </c>
      <c r="G17" s="279">
        <f>[22]Brewhouse!AH115</f>
        <v>14.2</v>
      </c>
      <c r="H17" s="396">
        <v>14.2</v>
      </c>
      <c r="I17" s="368">
        <f>[22]Brewhouse!AV115</f>
        <v>96.358675644942622</v>
      </c>
      <c r="J17" s="368">
        <f>[22]Brewhouse!AW115</f>
        <v>96.384170633931603</v>
      </c>
      <c r="K17" s="281">
        <f>[22]Brewhouse!S115</f>
        <v>6.1200000000000045</v>
      </c>
      <c r="L17" s="276">
        <f>[22]Brewhouse!R115</f>
        <v>61</v>
      </c>
      <c r="M17" s="374">
        <f>[22]Brewhouse!$W115-[22]Brewhouse!$V115</f>
        <v>0.14027777777777783</v>
      </c>
      <c r="N17" s="370">
        <f>[22]Brewhouse!AB115</f>
        <v>0.27847222222222223</v>
      </c>
      <c r="O17" s="371" t="str">
        <f>[22]Brewhouse!$AZ115</f>
        <v>R. Regis</v>
      </c>
      <c r="P17" s="418"/>
      <c r="R17" s="277" t="str">
        <f t="shared" si="0"/>
        <v>VITAMALT</v>
      </c>
      <c r="S17" s="475">
        <f t="shared" si="1"/>
        <v>14.2</v>
      </c>
      <c r="T17" s="475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5">
        <f t="shared" si="8"/>
        <v>75</v>
      </c>
    </row>
    <row r="18" spans="1:27" ht="16.5" customHeight="1">
      <c r="B18" s="22" t="s">
        <v>33</v>
      </c>
      <c r="C18" s="366" t="str">
        <f>[22]Brewhouse!A116</f>
        <v>VM101</v>
      </c>
      <c r="D18" s="279">
        <f>[22]Brewhouse!AE116</f>
        <v>50.1</v>
      </c>
      <c r="E18" s="279">
        <f>[22]Brewhouse!AJ116</f>
        <v>47.8</v>
      </c>
      <c r="F18" s="278">
        <f>[22]Brewhouse!X116</f>
        <v>82</v>
      </c>
      <c r="G18" s="279">
        <f>[22]Brewhouse!AH116</f>
        <v>14.3</v>
      </c>
      <c r="H18" s="396">
        <v>14.4</v>
      </c>
      <c r="I18" s="368">
        <f>[22]Brewhouse!AV116</f>
        <v>97.166707759262266</v>
      </c>
      <c r="J18" s="368">
        <f>[22]Brewhouse!AW116</f>
        <v>97.192098225589376</v>
      </c>
      <c r="K18" s="281">
        <f>[22]Brewhouse!S116</f>
        <v>6.7065868263473192</v>
      </c>
      <c r="L18" s="276">
        <f>[22]Brewhouse!R116</f>
        <v>58</v>
      </c>
      <c r="M18" s="374">
        <f>[22]Brewhouse!$W116-[22]Brewhouse!$V116</f>
        <v>0.13611111111111107</v>
      </c>
      <c r="N18" s="370">
        <f>[22]Brewhouse!AB116</f>
        <v>0.30347222222222214</v>
      </c>
      <c r="O18" s="371" t="str">
        <f>[22]Brewhouse!$AZ116</f>
        <v>R.Sookram</v>
      </c>
      <c r="P18" s="418"/>
      <c r="R18" s="277" t="str">
        <f t="shared" si="0"/>
        <v>VITAMALT</v>
      </c>
      <c r="S18" s="475">
        <f t="shared" si="1"/>
        <v>14.2</v>
      </c>
      <c r="T18" s="475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475">
        <f t="shared" si="8"/>
        <v>75</v>
      </c>
    </row>
    <row r="19" spans="1:27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469"/>
      <c r="I21" s="368"/>
      <c r="J21" s="368"/>
      <c r="K21" s="281"/>
      <c r="L21" s="276"/>
      <c r="M21" s="397"/>
      <c r="N21" s="370"/>
      <c r="O21" s="420"/>
      <c r="P21" s="418"/>
      <c r="R21" s="277">
        <f t="shared" ref="R21:R36" si="9">B21</f>
        <v>0</v>
      </c>
      <c r="S21" s="475" t="e">
        <f t="shared" ref="S21:S36" si="10">VLOOKUP($B21,$R$3:$X$9,2,FALSE)</f>
        <v>#N/A</v>
      </c>
      <c r="T21" s="475" t="e">
        <f t="shared" ref="T21:T36" si="11">VLOOKUP($B21,$R$3:$X$9,3,FALSE)</f>
        <v>#N/A</v>
      </c>
      <c r="U21" s="297" t="e">
        <f t="shared" ref="U21:U36" si="12">VLOOKUP($B21,$R$3:$X$9,4,FALSE)</f>
        <v>#N/A</v>
      </c>
      <c r="V21" s="297" t="e">
        <f t="shared" ref="V21:V36" si="13">VLOOKUP($B21,$R$3:$X$9,5,FALSE)</f>
        <v>#N/A</v>
      </c>
      <c r="W21" s="297" t="e">
        <f t="shared" ref="W21:W36" si="14">VLOOKUP($B21,$R$3:$X$9,6,FALSE)</f>
        <v>#N/A</v>
      </c>
      <c r="X21" s="297" t="e">
        <f t="shared" ref="X21:X36" si="15">VLOOKUP($B21,$R$3:$X$9,7,FALSE)</f>
        <v>#N/A</v>
      </c>
      <c r="Y21" s="297" t="e">
        <f t="shared" ref="Y21:Y36" si="16">VLOOKUP($B21,$R$3:$Z$9,8,FALSE)</f>
        <v>#N/A</v>
      </c>
      <c r="Z21" s="475" t="e">
        <f t="shared" ref="Z21:Z36" si="17">VLOOKUP($B21,$R$3:$Z$9,9,FALSE)</f>
        <v>#N/A</v>
      </c>
    </row>
    <row r="22" spans="1:27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5" t="e">
        <f t="shared" si="10"/>
        <v>#N/A</v>
      </c>
      <c r="T22" s="475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5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28"/>
      <c r="J23" s="528"/>
      <c r="K23" s="528"/>
      <c r="L23" s="528"/>
      <c r="M23" s="528"/>
      <c r="N23" s="528"/>
      <c r="O23" s="1"/>
      <c r="P23" s="12"/>
      <c r="R23" s="277">
        <f t="shared" si="9"/>
        <v>0</v>
      </c>
      <c r="S23" s="475" t="e">
        <f t="shared" si="10"/>
        <v>#N/A</v>
      </c>
      <c r="T23" s="475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5" t="e">
        <f t="shared" si="17"/>
        <v>#N/A</v>
      </c>
    </row>
    <row r="24" spans="1:27" ht="15.75" customHeight="1" thickBot="1">
      <c r="B24" s="388" t="s">
        <v>162</v>
      </c>
      <c r="C24" s="388"/>
      <c r="D24" s="506" t="s">
        <v>35</v>
      </c>
      <c r="E24" s="50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5" t="e">
        <f t="shared" si="10"/>
        <v>#N/A</v>
      </c>
      <c r="T24" s="475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5" t="e">
        <f t="shared" si="17"/>
        <v>#N/A</v>
      </c>
    </row>
    <row r="25" spans="1:27" ht="15" customHeight="1">
      <c r="A25" s="28"/>
      <c r="B25" s="587" t="str">
        <f>I25</f>
        <v>CARIB</v>
      </c>
      <c r="C25" s="362" cm="1">
        <f t="array" ref="C25:C29">[23]Process!$D$941:$D$945</f>
        <v>11.8</v>
      </c>
      <c r="D25" s="532">
        <v>11.94</v>
      </c>
      <c r="E25" s="533"/>
      <c r="F25" s="294"/>
      <c r="G25" s="294"/>
      <c r="H25" s="348"/>
      <c r="I25" s="29" t="s">
        <v>6</v>
      </c>
      <c r="J25" s="280"/>
      <c r="K25" s="284"/>
      <c r="L25" s="305"/>
      <c r="M2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$1003)</f>
        <v>97.75183132969201</v>
      </c>
      <c r="N25" s="30">
        <v>98</v>
      </c>
      <c r="O25" s="11"/>
      <c r="P25" s="31"/>
      <c r="R25" s="277" t="str">
        <f t="shared" si="9"/>
        <v>CARIB</v>
      </c>
      <c r="S25" s="475">
        <f t="shared" si="10"/>
        <v>11.6</v>
      </c>
      <c r="T25" s="475">
        <f t="shared" si="11"/>
        <v>12</v>
      </c>
      <c r="U25" s="297">
        <f t="shared" si="12"/>
        <v>0</v>
      </c>
      <c r="V25" s="297">
        <f t="shared" si="13"/>
        <v>0.118055555555556</v>
      </c>
      <c r="W25" s="297">
        <f t="shared" si="14"/>
        <v>0.22569444444444445</v>
      </c>
      <c r="X25" s="297">
        <f t="shared" si="15"/>
        <v>0.2638888888888889</v>
      </c>
      <c r="Y25" s="297">
        <f t="shared" si="16"/>
        <v>0</v>
      </c>
      <c r="Z25" s="475">
        <f t="shared" si="17"/>
        <v>60</v>
      </c>
    </row>
    <row r="26" spans="1:27" ht="15" customHeight="1">
      <c r="A26" s="28"/>
      <c r="B26" s="588"/>
      <c r="C26" s="362">
        <v>11.7</v>
      </c>
      <c r="D26" s="534"/>
      <c r="E26" s="535"/>
      <c r="F26" s="294"/>
      <c r="G26" s="294"/>
      <c r="H26" s="348"/>
      <c r="I26" s="33" t="s">
        <v>9</v>
      </c>
      <c r="J26" s="280"/>
      <c r="K26" s="284"/>
      <c r="L26" s="302"/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$484)</f>
        <v>97.847961594552643</v>
      </c>
      <c r="N26" s="30">
        <v>98</v>
      </c>
      <c r="O26" s="11"/>
      <c r="P26" s="31"/>
      <c r="R26" s="277">
        <f t="shared" si="9"/>
        <v>0</v>
      </c>
      <c r="S26" s="475" t="e">
        <f t="shared" si="10"/>
        <v>#N/A</v>
      </c>
      <c r="T26" s="475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5" t="e">
        <f t="shared" si="17"/>
        <v>#N/A</v>
      </c>
    </row>
    <row r="27" spans="1:27" ht="14.65" customHeight="1">
      <c r="A27" s="28"/>
      <c r="B27" s="588"/>
      <c r="C27" s="362">
        <v>11.6</v>
      </c>
      <c r="D27" s="580">
        <v>11.93</v>
      </c>
      <c r="E27" s="581"/>
      <c r="F27" s="294"/>
      <c r="G27" s="294"/>
      <c r="H27" s="348"/>
      <c r="I27" s="34" t="s">
        <v>12</v>
      </c>
      <c r="J27" s="280"/>
      <c r="K27" s="284"/>
      <c r="L27" s="302"/>
      <c r="M27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$123)</f>
        <v>96.481276590905978</v>
      </c>
      <c r="N27" s="30">
        <v>98</v>
      </c>
      <c r="O27" s="11"/>
      <c r="P27" s="31"/>
      <c r="R27" s="277">
        <f t="shared" si="9"/>
        <v>0</v>
      </c>
      <c r="S27" s="475" t="e">
        <f t="shared" si="10"/>
        <v>#N/A</v>
      </c>
      <c r="T27" s="475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5" t="e">
        <f t="shared" si="17"/>
        <v>#N/A</v>
      </c>
    </row>
    <row r="28" spans="1:27" ht="14.65" customHeight="1">
      <c r="A28" s="28"/>
      <c r="B28" s="588"/>
      <c r="C28" s="362">
        <v>11.8</v>
      </c>
      <c r="D28" s="547"/>
      <c r="E28" s="535"/>
      <c r="F28" s="294"/>
      <c r="G28" s="294"/>
      <c r="H28" s="348"/>
      <c r="I28" s="22" t="s">
        <v>33</v>
      </c>
      <c r="J28" s="280">
        <f>AVERAGE(I10:I18)</f>
        <v>97.198009237753681</v>
      </c>
      <c r="K28" s="284">
        <f>COUNTA([22]Brewhouse!$A$107:$A$116)</f>
        <v>10</v>
      </c>
      <c r="L28" s="302">
        <f>AVERAGE([22]Brewhouse!$AV$107:$AV$116)</f>
        <v>97.093478275115658</v>
      </c>
      <c r="M28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28" s="30">
        <v>98</v>
      </c>
      <c r="O28" s="11"/>
      <c r="P28" s="31"/>
      <c r="R28" s="277">
        <f t="shared" si="9"/>
        <v>0</v>
      </c>
      <c r="S28" s="475" t="e">
        <f t="shared" si="10"/>
        <v>#N/A</v>
      </c>
      <c r="T28" s="475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5" t="e">
        <f t="shared" si="17"/>
        <v>#N/A</v>
      </c>
    </row>
    <row r="29" spans="1:27" ht="14.65" customHeight="1">
      <c r="A29" s="28"/>
      <c r="B29" s="588"/>
      <c r="C29" s="362">
        <v>11.6</v>
      </c>
      <c r="D29" s="580"/>
      <c r="E29" s="58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5" t="e">
        <f t="shared" si="10"/>
        <v>#N/A</v>
      </c>
      <c r="T29" s="475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5" t="e">
        <f t="shared" si="17"/>
        <v>#N/A</v>
      </c>
    </row>
    <row r="30" spans="1:27" ht="14.65" customHeight="1">
      <c r="A30" s="28"/>
      <c r="B30" s="588"/>
      <c r="C30" s="362"/>
      <c r="D30" s="547"/>
      <c r="E30" s="535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9"/>
        <v>0</v>
      </c>
      <c r="S30" s="475" t="e">
        <f t="shared" si="10"/>
        <v>#N/A</v>
      </c>
      <c r="T30" s="475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5" t="e">
        <f t="shared" si="17"/>
        <v>#N/A</v>
      </c>
      <c r="AA30" s="475"/>
    </row>
    <row r="31" spans="1:27" ht="14.65" customHeight="1">
      <c r="A31" s="28"/>
      <c r="B31" s="588"/>
      <c r="C31" s="362"/>
      <c r="D31" s="580"/>
      <c r="E31" s="581"/>
      <c r="F31" s="417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[27]Brewhouse!$AY$56:$AY$73,[27]Brewhouse!$AY$75:$AY$92,[27]Brewhouse!$AY$94:$AY$97)</f>
        <v>97.370192538913813</v>
      </c>
      <c r="N31" s="30">
        <v>98</v>
      </c>
      <c r="O31" s="11"/>
      <c r="P31" s="31" t="s">
        <v>41</v>
      </c>
      <c r="R31" s="277">
        <f t="shared" si="9"/>
        <v>0</v>
      </c>
      <c r="S31" s="475" t="e">
        <f t="shared" si="10"/>
        <v>#N/A</v>
      </c>
      <c r="T31" s="475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5" t="e">
        <f t="shared" si="17"/>
        <v>#N/A</v>
      </c>
      <c r="AA31" s="475"/>
    </row>
    <row r="32" spans="1:27" ht="14.65" customHeight="1">
      <c r="A32" s="28"/>
      <c r="B32" s="588"/>
      <c r="C32" s="362"/>
      <c r="D32" s="547"/>
      <c r="E32" s="535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9"/>
        <v>0</v>
      </c>
      <c r="S32" s="475" t="e">
        <f t="shared" si="10"/>
        <v>#N/A</v>
      </c>
      <c r="T32" s="475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5" t="e">
        <f t="shared" si="17"/>
        <v>#N/A</v>
      </c>
      <c r="AA32" s="475"/>
    </row>
    <row r="33" spans="1:56" ht="14.65" customHeight="1">
      <c r="A33" s="28"/>
      <c r="B33" s="588"/>
      <c r="C33" s="349"/>
      <c r="D33" s="580"/>
      <c r="E33" s="581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9"/>
        <v>0</v>
      </c>
      <c r="S33" s="475" t="e">
        <f t="shared" si="10"/>
        <v>#N/A</v>
      </c>
      <c r="T33" s="475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5" t="e">
        <f t="shared" si="17"/>
        <v>#N/A</v>
      </c>
      <c r="AA33" s="475"/>
    </row>
    <row r="34" spans="1:56" ht="15" customHeight="1" thickBot="1">
      <c r="A34" s="28"/>
      <c r="B34" s="588"/>
      <c r="C34" s="349"/>
      <c r="D34" s="547"/>
      <c r="E34" s="535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9"/>
        <v>0</v>
      </c>
      <c r="S34" s="475" t="e">
        <f t="shared" si="10"/>
        <v>#N/A</v>
      </c>
      <c r="T34" s="475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5" t="e">
        <f t="shared" si="17"/>
        <v>#N/A</v>
      </c>
      <c r="AA34" s="475"/>
    </row>
    <row r="35" spans="1:56" ht="15" customHeight="1" thickBot="1">
      <c r="A35" s="28"/>
      <c r="B35" s="588"/>
      <c r="C35" s="349"/>
      <c r="D35" s="532"/>
      <c r="E35" s="533"/>
      <c r="F35" s="294"/>
      <c r="G35" s="294"/>
      <c r="H35" s="348"/>
      <c r="I35" s="1"/>
      <c r="J35" s="39"/>
      <c r="K35" s="404">
        <f>SUM(K25:K34)</f>
        <v>10</v>
      </c>
      <c r="L35" s="405">
        <f>((L25*K25)+(L26*K26)+(L27*K27)+(L28*K28)+(L29*K29)+(K32*L32)+(L30*K30)+(L31*K31)+(L34*K34))/(K35)</f>
        <v>97.093478275115658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97.527298067193357</v>
      </c>
      <c r="N35" s="40">
        <v>98</v>
      </c>
      <c r="O35" s="11"/>
      <c r="P35" s="31"/>
      <c r="R35" s="277">
        <f t="shared" si="9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  <c r="AA35" s="475"/>
    </row>
    <row r="36" spans="1:56" ht="15.75" thickBot="1">
      <c r="B36" s="589"/>
      <c r="C36" s="350"/>
      <c r="D36" s="534"/>
      <c r="E36" s="53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5" t="e">
        <f t="shared" si="10"/>
        <v>#N/A</v>
      </c>
      <c r="T36" s="475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5" t="e">
        <f t="shared" si="17"/>
        <v>#N/A</v>
      </c>
      <c r="AA36" s="475"/>
    </row>
    <row r="37" spans="1:56" ht="15.75" thickBot="1">
      <c r="B37" s="529"/>
      <c r="C37" s="362"/>
      <c r="D37" s="545"/>
      <c r="E37" s="546"/>
      <c r="F37" s="294"/>
      <c r="G37" s="42"/>
      <c r="H37" s="41"/>
      <c r="I37" s="42"/>
      <c r="J37" s="579" t="s">
        <v>129</v>
      </c>
      <c r="K37" s="579"/>
      <c r="L37" s="294"/>
      <c r="M37" s="294"/>
      <c r="N37" s="294"/>
      <c r="O37" s="294"/>
      <c r="P37" s="12"/>
    </row>
    <row r="38" spans="1:56" ht="15.75" thickBot="1">
      <c r="B38" s="530"/>
      <c r="C38" s="362"/>
      <c r="D38" s="547"/>
      <c r="E38" s="535"/>
      <c r="F38" s="294"/>
      <c r="G38" s="42"/>
      <c r="H38" s="42"/>
      <c r="I38" s="42"/>
      <c r="J38" s="292" t="s">
        <v>17</v>
      </c>
      <c r="K38" s="293" t="s">
        <v>147</v>
      </c>
      <c r="L38" s="549" t="s">
        <v>136</v>
      </c>
      <c r="M38" s="549"/>
      <c r="N38" s="550"/>
      <c r="O38" s="294"/>
      <c r="P38" s="12"/>
    </row>
    <row r="39" spans="1:56" ht="15" customHeight="1" thickBot="1">
      <c r="B39" s="530"/>
      <c r="C39" s="349"/>
      <c r="D39" s="580"/>
      <c r="E39" s="581"/>
      <c r="F39" s="294"/>
      <c r="G39" s="42"/>
      <c r="H39" s="42"/>
      <c r="I39" s="42"/>
      <c r="J39" s="287" t="s">
        <v>6</v>
      </c>
      <c r="K39" s="324"/>
      <c r="L39" s="476" t="s">
        <v>37</v>
      </c>
      <c r="M39" s="477" t="s">
        <v>38</v>
      </c>
      <c r="N39" s="477" t="s">
        <v>84</v>
      </c>
      <c r="O39" s="294"/>
      <c r="P39" s="12"/>
    </row>
    <row r="40" spans="1:56" ht="15.75" customHeight="1" thickBot="1">
      <c r="B40" s="530"/>
      <c r="C40" s="349"/>
      <c r="D40" s="547"/>
      <c r="E40" s="535"/>
      <c r="F40" s="294"/>
      <c r="G40" s="42"/>
      <c r="H40" s="42"/>
      <c r="I40" s="42"/>
      <c r="J40" s="345" t="s">
        <v>9</v>
      </c>
      <c r="K40" s="324"/>
      <c r="L40" s="344">
        <f>AVERAGE(K49,'Dec 1st'!K43)</f>
        <v>5</v>
      </c>
      <c r="M40" s="325">
        <f>AVERAGE('[31]Jan 29th '!$M$70,'[32]Feb 28th'!$L$40,'[33]Mar. 31st'!$L$40,'[34]Apr. 30th'!$L$50,'[35]May 30th'!$L$42,'[36]June 30th'!$L$62,'[37]July 29th '!$L$49,'[38]Aug 29th'!$L$34,'[39]Sept 30th'!$L$40,[40]Oct.31st!$L$43,'[41]Nov 28th-30th'!$L$45,L40)</f>
        <v>6.8061977512063327</v>
      </c>
      <c r="N40" s="416">
        <v>9.1999999999999993</v>
      </c>
      <c r="O40" s="294"/>
      <c r="P40" s="12"/>
    </row>
    <row r="41" spans="1:56" ht="15" customHeight="1">
      <c r="B41" s="530"/>
      <c r="C41" s="349"/>
      <c r="D41" s="580"/>
      <c r="E41" s="58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30"/>
      <c r="C42" s="349"/>
      <c r="D42" s="547"/>
      <c r="E42" s="535"/>
      <c r="F42" s="294"/>
      <c r="G42" s="42"/>
      <c r="H42" s="42"/>
      <c r="I42" s="42"/>
      <c r="J42" s="289" t="s">
        <v>33</v>
      </c>
      <c r="K42" s="324">
        <f>COUNTA(B10:B18)</f>
        <v>9</v>
      </c>
      <c r="L42" s="294"/>
      <c r="M42" s="294"/>
      <c r="N42" s="294"/>
      <c r="O42" s="294"/>
      <c r="P42" s="12"/>
    </row>
    <row r="43" spans="1:56" ht="15">
      <c r="B43" s="530"/>
      <c r="C43" s="349"/>
      <c r="D43" s="580"/>
      <c r="E43" s="58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0"/>
      <c r="C44" s="349"/>
      <c r="D44" s="547"/>
      <c r="E44" s="53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30"/>
      <c r="C45" s="349"/>
      <c r="D45" s="580"/>
      <c r="E45" s="58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1"/>
      <c r="C46" s="350"/>
      <c r="D46" s="582"/>
      <c r="E46" s="58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7"/>
      <c r="E47" s="578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9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57" t="s">
        <v>17</v>
      </c>
      <c r="C52" s="557" t="s">
        <v>44</v>
      </c>
      <c r="D52" s="559" t="s">
        <v>45</v>
      </c>
      <c r="E52" s="514" t="s">
        <v>46</v>
      </c>
      <c r="F52" s="574" t="s">
        <v>47</v>
      </c>
      <c r="G52" s="568" t="s">
        <v>48</v>
      </c>
      <c r="H52" s="557" t="s">
        <v>49</v>
      </c>
      <c r="I52" s="557" t="s">
        <v>50</v>
      </c>
      <c r="J52" s="562" t="s">
        <v>28</v>
      </c>
      <c r="K52" s="512" t="s">
        <v>51</v>
      </c>
      <c r="L52" s="524" t="s">
        <v>52</v>
      </c>
      <c r="M52" s="562" t="s">
        <v>53</v>
      </c>
      <c r="N52" s="13"/>
      <c r="O52" s="13"/>
      <c r="P52" s="50"/>
    </row>
    <row r="53" spans="2:57" ht="28.5" customHeight="1" thickTop="1" thickBot="1">
      <c r="B53" s="558"/>
      <c r="C53" s="558"/>
      <c r="D53" s="560"/>
      <c r="E53" s="561"/>
      <c r="F53" s="575"/>
      <c r="G53" s="569"/>
      <c r="H53" s="576"/>
      <c r="I53" s="576"/>
      <c r="J53" s="563"/>
      <c r="K53" s="572"/>
      <c r="L53" s="573"/>
      <c r="M53" s="563"/>
      <c r="N53" s="13"/>
      <c r="O53" s="13"/>
      <c r="P53" s="50"/>
      <c r="Q53" s="355"/>
      <c r="AB53" s="478">
        <v>43474</v>
      </c>
      <c r="AC53" s="478">
        <v>43475</v>
      </c>
      <c r="AD53" s="478">
        <v>43476</v>
      </c>
      <c r="AE53" s="478">
        <v>43477</v>
      </c>
      <c r="AF53" s="478">
        <v>43478</v>
      </c>
      <c r="AG53" s="478">
        <v>43479</v>
      </c>
      <c r="AH53" s="478">
        <v>43480</v>
      </c>
      <c r="AI53" s="478">
        <v>43481</v>
      </c>
      <c r="AJ53" s="478">
        <v>43482</v>
      </c>
      <c r="AK53" s="478">
        <v>43483</v>
      </c>
      <c r="AL53" s="478">
        <v>43484</v>
      </c>
      <c r="AM53" s="478">
        <v>43485</v>
      </c>
      <c r="AN53" s="478">
        <v>43486</v>
      </c>
      <c r="AO53" s="478">
        <v>43487</v>
      </c>
      <c r="AP53" s="478">
        <v>43488</v>
      </c>
      <c r="AQ53" s="478">
        <v>43489</v>
      </c>
      <c r="AR53" s="478">
        <v>43490</v>
      </c>
      <c r="AS53" s="478">
        <v>43491</v>
      </c>
      <c r="AT53" s="478">
        <v>43492</v>
      </c>
      <c r="AU53" s="478">
        <v>43493</v>
      </c>
      <c r="AV53" s="478">
        <v>43494</v>
      </c>
      <c r="AW53" s="478">
        <v>43495</v>
      </c>
      <c r="AX53" s="478">
        <v>43496</v>
      </c>
    </row>
    <row r="54" spans="2:57" s="54" customFormat="1" ht="43.15" customHeight="1" thickBot="1">
      <c r="B54" s="456" t="str">
        <f>J39</f>
        <v>CARIB</v>
      </c>
      <c r="C54" s="441">
        <v>45993</v>
      </c>
      <c r="D54" s="442">
        <f>[42]December_2025!$E$3</f>
        <v>249.16</v>
      </c>
      <c r="E54" s="443"/>
      <c r="F54" s="444"/>
      <c r="G54" s="444">
        <f>[42]December_2025!$E$7</f>
        <v>237.7</v>
      </c>
      <c r="H54" s="458"/>
      <c r="I54" s="458"/>
      <c r="J54" s="448" t="s">
        <v>173</v>
      </c>
      <c r="K54" s="449">
        <f>[43]December_2025!$E$18</f>
        <v>0.41701754385964912</v>
      </c>
      <c r="L54" s="486">
        <f>(((D54+E54)-G54)/(D54+E54))*100</f>
        <v>4.5994541659977557</v>
      </c>
      <c r="M54" s="455" t="s">
        <v>171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6"/>
      <c r="C56" s="441"/>
      <c r="D56" s="442"/>
      <c r="E56" s="443"/>
      <c r="F56" s="444"/>
      <c r="G56" s="445"/>
      <c r="H56" s="458"/>
      <c r="I56" s="458"/>
      <c r="J56" s="448"/>
      <c r="K56" s="460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 t="e">
        <f>(((D60+E60)-G60)/(D60+E60))*100</f>
        <v>#DIV/0!</v>
      </c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64" t="s">
        <v>55</v>
      </c>
      <c r="C63" s="565"/>
      <c r="D63" s="565"/>
      <c r="E63" s="565"/>
      <c r="F63" s="566"/>
      <c r="G63" s="564" t="s">
        <v>56</v>
      </c>
      <c r="H63" s="565"/>
      <c r="I63" s="565"/>
      <c r="J63" s="566"/>
      <c r="K63" s="564" t="s">
        <v>51</v>
      </c>
      <c r="L63" s="565"/>
      <c r="M63" s="565"/>
      <c r="N63" s="56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>
        <f>L54</f>
        <v>4.5994541659977557</v>
      </c>
      <c r="D65" s="76">
        <v>5.9758575355563517</v>
      </c>
      <c r="E65" s="76">
        <v>6.0702956271126167</v>
      </c>
      <c r="F65" s="66">
        <v>4.8</v>
      </c>
      <c r="G65" s="65">
        <f>[42]December_2025!$E$11</f>
        <v>2.8833364159175856</v>
      </c>
      <c r="H65" s="76">
        <v>5.2012421312801864</v>
      </c>
      <c r="I65" s="76">
        <v>5.988023632718261</v>
      </c>
      <c r="J65" s="66">
        <v>4.8</v>
      </c>
      <c r="K65" s="67">
        <f>K54</f>
        <v>0.41701754385964912</v>
      </c>
      <c r="L65" s="194">
        <v>0.44929824561403514</v>
      </c>
      <c r="M65" s="194">
        <v>0.72631455889225571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5.7025207923266077</v>
      </c>
      <c r="F66" s="66">
        <v>4.8</v>
      </c>
      <c r="G66" s="65"/>
      <c r="H66" s="76"/>
      <c r="I66" s="76">
        <v>6.2228279500853976</v>
      </c>
      <c r="J66" s="66">
        <v>4.8</v>
      </c>
      <c r="K66" s="67"/>
      <c r="L66" s="194"/>
      <c r="M66" s="194">
        <v>0.68415239152009877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11.016453256230184</v>
      </c>
      <c r="F67" s="66">
        <v>5.5</v>
      </c>
      <c r="G67" s="65"/>
      <c r="H67" s="76"/>
      <c r="I67" s="76">
        <v>12.536311479158377</v>
      </c>
      <c r="J67" s="66">
        <v>5.5</v>
      </c>
      <c r="K67" s="67"/>
      <c r="L67" s="194"/>
      <c r="M67" s="194">
        <v>0.51633622959452352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4.6226456706805745</v>
      </c>
      <c r="F68" s="66">
        <v>3.3</v>
      </c>
      <c r="G68" s="65"/>
      <c r="H68" s="76"/>
      <c r="I68" s="76">
        <v>4.4171317623593813</v>
      </c>
      <c r="J68" s="66">
        <v>3.3</v>
      </c>
      <c r="K68" s="67"/>
      <c r="L68" s="194"/>
      <c r="M68" s="194">
        <v>0.83111215538847116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/>
      <c r="E71" s="76">
        <v>2.9297033255778997</v>
      </c>
      <c r="F71" s="66">
        <v>3.3</v>
      </c>
      <c r="G71" s="282"/>
      <c r="H71" s="76"/>
      <c r="I71" s="76">
        <v>4.2684292436723528</v>
      </c>
      <c r="J71" s="66">
        <v>3.3</v>
      </c>
      <c r="K71" s="67"/>
      <c r="L71" s="194"/>
      <c r="M71" s="194">
        <v>0.84660147761842675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5.9758575355563517</v>
      </c>
      <c r="E74" s="76">
        <v>6.1053451637805072</v>
      </c>
      <c r="F74" s="341">
        <v>5.5</v>
      </c>
      <c r="H74" s="76">
        <v>5.2012421312801864</v>
      </c>
      <c r="I74" s="76">
        <v>6.526756833226341</v>
      </c>
      <c r="J74" s="341">
        <v>5.5</v>
      </c>
      <c r="L74" s="194">
        <v>0.44929824561403514</v>
      </c>
      <c r="M74" s="194">
        <v>0.70331193543610249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3691" priority="31" operator="notBetween">
      <formula>#REF!</formula>
      <formula>#REF!</formula>
    </cfRule>
  </conditionalFormatting>
  <conditionalFormatting sqref="C51">
    <cfRule type="cellIs" dxfId="3690" priority="179" stopIfTrue="1" operator="greaterThan">
      <formula>100</formula>
    </cfRule>
    <cfRule type="cellIs" dxfId="3689" priority="178" stopIfTrue="1" operator="lessThan">
      <formula>96</formula>
    </cfRule>
  </conditionalFormatting>
  <conditionalFormatting sqref="C65:C69">
    <cfRule type="cellIs" dxfId="3688" priority="132" stopIfTrue="1" operator="lessThanOrEqual">
      <formula>0</formula>
    </cfRule>
  </conditionalFormatting>
  <conditionalFormatting sqref="C65:C73">
    <cfRule type="cellIs" dxfId="3687" priority="131" stopIfTrue="1" operator="greaterThan">
      <formula>$F65</formula>
    </cfRule>
  </conditionalFormatting>
  <conditionalFormatting sqref="C66">
    <cfRule type="cellIs" dxfId="3686" priority="182" stopIfTrue="1" operator="greaterThan">
      <formula>$F65</formula>
    </cfRule>
  </conditionalFormatting>
  <conditionalFormatting sqref="C70">
    <cfRule type="cellIs" dxfId="3685" priority="71" stopIfTrue="1" operator="lessThanOrEqual">
      <formula>0</formula>
    </cfRule>
    <cfRule type="cellIs" dxfId="3684" priority="72" stopIfTrue="1" operator="greaterThan">
      <formula>$F69</formula>
    </cfRule>
  </conditionalFormatting>
  <conditionalFormatting sqref="C76:C80">
    <cfRule type="cellIs" dxfId="3683" priority="170" stopIfTrue="1" operator="lessThanOrEqual">
      <formula>0</formula>
    </cfRule>
  </conditionalFormatting>
  <conditionalFormatting sqref="C77:C80">
    <cfRule type="cellIs" dxfId="3682" priority="169" stopIfTrue="1" operator="greaterThan">
      <formula>$F$76</formula>
    </cfRule>
  </conditionalFormatting>
  <conditionalFormatting sqref="C82">
    <cfRule type="cellIs" dxfId="3681" priority="172" stopIfTrue="1" operator="lessThanOrEqual">
      <formula>0</formula>
    </cfRule>
    <cfRule type="cellIs" dxfId="3680" priority="171" stopIfTrue="1" operator="greaterThan">
      <formula>$F$76</formula>
    </cfRule>
  </conditionalFormatting>
  <conditionalFormatting sqref="C76:D76 D78:D84">
    <cfRule type="cellIs" dxfId="3679" priority="164" stopIfTrue="1" operator="greaterThan">
      <formula>4.5</formula>
    </cfRule>
  </conditionalFormatting>
  <conditionalFormatting sqref="D47:D48">
    <cfRule type="cellIs" dxfId="3678" priority="32" operator="notBetween">
      <formula>#REF!</formula>
      <formula>#REF!</formula>
    </cfRule>
  </conditionalFormatting>
  <conditionalFormatting sqref="D65:D72">
    <cfRule type="cellIs" dxfId="3677" priority="144" stopIfTrue="1" operator="lessThanOrEqual">
      <formula>0</formula>
    </cfRule>
  </conditionalFormatting>
  <conditionalFormatting sqref="D73">
    <cfRule type="cellIs" dxfId="3676" priority="143" stopIfTrue="1" operator="lessThanOrEqual">
      <formula>0</formula>
    </cfRule>
  </conditionalFormatting>
  <conditionalFormatting sqref="D76 D78:D84">
    <cfRule type="cellIs" dxfId="3675" priority="165" stopIfTrue="1" operator="lessThanOrEqual">
      <formula>0</formula>
    </cfRule>
  </conditionalFormatting>
  <conditionalFormatting sqref="D77">
    <cfRule type="cellIs" dxfId="3674" priority="156" stopIfTrue="1" operator="greaterThan">
      <formula>$F$76</formula>
    </cfRule>
    <cfRule type="cellIs" dxfId="3673" priority="157" stopIfTrue="1" operator="lessThanOrEqual">
      <formula>0</formula>
    </cfRule>
  </conditionalFormatting>
  <conditionalFormatting sqref="D65:E74">
    <cfRule type="cellIs" dxfId="3672" priority="129" stopIfTrue="1" operator="greaterThan">
      <formula>$F65</formula>
    </cfRule>
  </conditionalFormatting>
  <conditionalFormatting sqref="D74:E74">
    <cfRule type="cellIs" dxfId="3671" priority="130" stopIfTrue="1" operator="lessThanOrEqual">
      <formula>0</formula>
    </cfRule>
  </conditionalFormatting>
  <conditionalFormatting sqref="E10:E22">
    <cfRule type="cellIs" dxfId="3670" priority="24" operator="lessThan">
      <formula>48</formula>
    </cfRule>
  </conditionalFormatting>
  <conditionalFormatting sqref="E50 E51:F51">
    <cfRule type="cellIs" dxfId="3669" priority="161" stopIfTrue="1" operator="greaterThan">
      <formula>100</formula>
    </cfRule>
  </conditionalFormatting>
  <conditionalFormatting sqref="E51">
    <cfRule type="cellIs" dxfId="3668" priority="158" stopIfTrue="1" operator="lessThan">
      <formula>96.8</formula>
    </cfRule>
    <cfRule type="cellIs" dxfId="3667" priority="159" stopIfTrue="1" operator="greaterThan">
      <formula>100</formula>
    </cfRule>
  </conditionalFormatting>
  <conditionalFormatting sqref="E65:E73">
    <cfRule type="cellIs" dxfId="3666" priority="140" stopIfTrue="1" operator="lessThanOrEqual">
      <formula>0</formula>
    </cfRule>
  </conditionalFormatting>
  <conditionalFormatting sqref="E76:E84">
    <cfRule type="cellIs" dxfId="3665" priority="151" stopIfTrue="1" operator="lessThanOrEqual">
      <formula>0</formula>
    </cfRule>
    <cfRule type="cellIs" dxfId="3664" priority="150" stopIfTrue="1" operator="greaterThan">
      <formula>4.5</formula>
    </cfRule>
  </conditionalFormatting>
  <conditionalFormatting sqref="E51:F51 E50">
    <cfRule type="cellIs" dxfId="3663" priority="160" stopIfTrue="1" operator="lessThan">
      <formula>96.5</formula>
    </cfRule>
  </conditionalFormatting>
  <conditionalFormatting sqref="F10:F22">
    <cfRule type="cellIs" dxfId="3662" priority="25" operator="greaterThan">
      <formula>60</formula>
    </cfRule>
  </conditionalFormatting>
  <conditionalFormatting sqref="F51">
    <cfRule type="cellIs" dxfId="3661" priority="177" stopIfTrue="1" operator="greaterThan">
      <formula>100</formula>
    </cfRule>
    <cfRule type="cellIs" dxfId="3660" priority="176" stopIfTrue="1" operator="lessThan">
      <formula>96.8</formula>
    </cfRule>
  </conditionalFormatting>
  <conditionalFormatting sqref="F74">
    <cfRule type="cellIs" dxfId="3659" priority="141" stopIfTrue="1" operator="greaterThan">
      <formula>$F74</formula>
    </cfRule>
    <cfRule type="cellIs" dxfId="3658" priority="142" stopIfTrue="1" operator="lessThanOrEqual">
      <formula>0</formula>
    </cfRule>
  </conditionalFormatting>
  <conditionalFormatting sqref="G20:G21">
    <cfRule type="expression" dxfId="3657" priority="2">
      <formula>IF(+(IF(G20&lt;S20,0,IF(G20&gt;T20,0,1)))=0,1)</formula>
    </cfRule>
  </conditionalFormatting>
  <conditionalFormatting sqref="G65:G66 C71:C73">
    <cfRule type="cellIs" dxfId="3656" priority="146" stopIfTrue="1" operator="lessThanOrEqual">
      <formula>0</formula>
    </cfRule>
  </conditionalFormatting>
  <conditionalFormatting sqref="G65:G66">
    <cfRule type="cellIs" dxfId="3655" priority="133" stopIfTrue="1" operator="greaterThan">
      <formula>$F65</formula>
    </cfRule>
    <cfRule type="cellIs" dxfId="3654" priority="134" stopIfTrue="1" operator="lessThanOrEqual">
      <formula>0</formula>
    </cfRule>
    <cfRule type="cellIs" dxfId="3653" priority="145" stopIfTrue="1" operator="greaterThan">
      <formula>$F65</formula>
    </cfRule>
  </conditionalFormatting>
  <conditionalFormatting sqref="G67">
    <cfRule type="cellIs" dxfId="3652" priority="180" stopIfTrue="1" operator="greaterThan">
      <formula>$F66</formula>
    </cfRule>
    <cfRule type="cellIs" dxfId="3651" priority="181" stopIfTrue="1" operator="lessThanOrEqual">
      <formula>0</formula>
    </cfRule>
  </conditionalFormatting>
  <conditionalFormatting sqref="G68">
    <cfRule type="cellIs" dxfId="3650" priority="30" stopIfTrue="1" operator="lessThanOrEqual">
      <formula>0</formula>
    </cfRule>
    <cfRule type="cellIs" dxfId="3649" priority="29" stopIfTrue="1" operator="greaterThan">
      <formula>$F68</formula>
    </cfRule>
    <cfRule type="cellIs" dxfId="3648" priority="28" stopIfTrue="1" operator="lessThanOrEqual">
      <formula>0</formula>
    </cfRule>
    <cfRule type="cellIs" dxfId="3647" priority="27" stopIfTrue="1" operator="greaterThan">
      <formula>$F68</formula>
    </cfRule>
  </conditionalFormatting>
  <conditionalFormatting sqref="G69:G73">
    <cfRule type="cellIs" dxfId="3646" priority="148" stopIfTrue="1" operator="lessThanOrEqual">
      <formula>0</formula>
    </cfRule>
    <cfRule type="cellIs" dxfId="3645" priority="147" stopIfTrue="1" operator="greaterThan">
      <formula>$J69</formula>
    </cfRule>
  </conditionalFormatting>
  <conditionalFormatting sqref="G78:G83 C81 C83">
    <cfRule type="cellIs" dxfId="3644" priority="173" stopIfTrue="1" operator="greaterThan">
      <formula>4.5</formula>
    </cfRule>
    <cfRule type="cellIs" dxfId="3643" priority="174" stopIfTrue="1" operator="lessThanOrEqual">
      <formula>0</formula>
    </cfRule>
  </conditionalFormatting>
  <conditionalFormatting sqref="G77:H77">
    <cfRule type="cellIs" dxfId="3642" priority="154" stopIfTrue="1" operator="greaterThan">
      <formula>$F$76</formula>
    </cfRule>
    <cfRule type="cellIs" dxfId="3641" priority="155" stopIfTrue="1" operator="lessThanOrEqual">
      <formula>0</formula>
    </cfRule>
  </conditionalFormatting>
  <conditionalFormatting sqref="H10:H17 G10:G19 G22:H22">
    <cfRule type="expression" dxfId="3640" priority="26">
      <formula>IF(+(IF(G10&lt;#REF!,0,IF(G10&gt;#REF!,0,1)))=0,1)</formula>
    </cfRule>
  </conditionalFormatting>
  <conditionalFormatting sqref="H36:H37 H50">
    <cfRule type="cellIs" dxfId="3639" priority="152" stopIfTrue="1" operator="greaterThan">
      <formula>0</formula>
    </cfRule>
  </conditionalFormatting>
  <conditionalFormatting sqref="H54">
    <cfRule type="cellIs" dxfId="3638" priority="22" stopIfTrue="1" operator="greaterThan">
      <formula>$F$70</formula>
    </cfRule>
    <cfRule type="cellIs" dxfId="3637" priority="21" stopIfTrue="1" operator="lessThanOrEqual">
      <formula>0</formula>
    </cfRule>
    <cfRule type="cellIs" dxfId="3636" priority="20" stopIfTrue="1" operator="greaterThan">
      <formula>$F$72</formula>
    </cfRule>
    <cfRule type="cellIs" dxfId="3635" priority="23" stopIfTrue="1" operator="lessThanOrEqual">
      <formula>0</formula>
    </cfRule>
    <cfRule type="cellIs" dxfId="3634" priority="12" stopIfTrue="1" operator="greaterThan">
      <formula>$F$69</formula>
    </cfRule>
    <cfRule type="cellIs" dxfId="3633" priority="11" stopIfTrue="1" operator="lessThanOrEqual">
      <formula>0</formula>
    </cfRule>
  </conditionalFormatting>
  <conditionalFormatting sqref="H55">
    <cfRule type="cellIs" dxfId="3632" priority="98" stopIfTrue="1" operator="lessThanOrEqual">
      <formula>0</formula>
    </cfRule>
    <cfRule type="cellIs" dxfId="3631" priority="97" stopIfTrue="1" operator="greaterThan">
      <formula>$F$23</formula>
    </cfRule>
    <cfRule type="cellIs" dxfId="3630" priority="88" stopIfTrue="1" operator="lessThanOrEqual">
      <formula>0</formula>
    </cfRule>
    <cfRule type="cellIs" dxfId="3629" priority="89" stopIfTrue="1" operator="greaterThan">
      <formula>#REF!</formula>
    </cfRule>
    <cfRule type="cellIs" dxfId="3628" priority="100" stopIfTrue="1" operator="lessThanOrEqual">
      <formula>0</formula>
    </cfRule>
    <cfRule type="cellIs" dxfId="3627" priority="99" stopIfTrue="1" operator="greaterThan">
      <formula>#REF!</formula>
    </cfRule>
  </conditionalFormatting>
  <conditionalFormatting sqref="H56">
    <cfRule type="cellIs" dxfId="3626" priority="68" stopIfTrue="1" operator="lessThanOrEqual">
      <formula>0</formula>
    </cfRule>
    <cfRule type="cellIs" dxfId="3625" priority="56" stopIfTrue="1" operator="lessThanOrEqual">
      <formula>0</formula>
    </cfRule>
    <cfRule type="cellIs" dxfId="3624" priority="67" stopIfTrue="1" operator="greaterThan">
      <formula>$F$67</formula>
    </cfRule>
    <cfRule type="cellIs" dxfId="3623" priority="66" stopIfTrue="1" operator="lessThanOrEqual">
      <formula>0</formula>
    </cfRule>
    <cfRule type="cellIs" dxfId="3622" priority="65" stopIfTrue="1" operator="greaterThan">
      <formula>$F$69</formula>
    </cfRule>
    <cfRule type="cellIs" dxfId="3621" priority="57" stopIfTrue="1" operator="greaterThan">
      <formula>$F$66</formula>
    </cfRule>
  </conditionalFormatting>
  <conditionalFormatting sqref="H57:H58">
    <cfRule type="cellIs" dxfId="3620" priority="75" stopIfTrue="1" operator="greaterThan">
      <formula>#REF!</formula>
    </cfRule>
    <cfRule type="cellIs" dxfId="3619" priority="85" stopIfTrue="1" operator="greaterThan">
      <formula>#REF!</formula>
    </cfRule>
    <cfRule type="cellIs" dxfId="3618" priority="86" stopIfTrue="1" operator="lessThanOrEqual">
      <formula>0</formula>
    </cfRule>
    <cfRule type="cellIs" dxfId="3617" priority="74" stopIfTrue="1" operator="lessThanOrEqual">
      <formula>0</formula>
    </cfRule>
    <cfRule type="cellIs" dxfId="3616" priority="84" stopIfTrue="1" operator="lessThanOrEqual">
      <formula>0</formula>
    </cfRule>
    <cfRule type="cellIs" dxfId="3615" priority="83" stopIfTrue="1" operator="greaterThan">
      <formula>$F$22</formula>
    </cfRule>
  </conditionalFormatting>
  <conditionalFormatting sqref="H59">
    <cfRule type="cellIs" dxfId="3614" priority="104" stopIfTrue="1" operator="greaterThan">
      <formula>$F$35</formula>
    </cfRule>
    <cfRule type="cellIs" dxfId="3613" priority="103" stopIfTrue="1" operator="lessThanOrEqual">
      <formula>0</formula>
    </cfRule>
    <cfRule type="cellIs" dxfId="3612" priority="112" stopIfTrue="1" operator="greaterThan">
      <formula>$F$38</formula>
    </cfRule>
    <cfRule type="cellIs" dxfId="3611" priority="113" stopIfTrue="1" operator="lessThanOrEqual">
      <formula>0</formula>
    </cfRule>
    <cfRule type="cellIs" dxfId="3610" priority="115" stopIfTrue="1" operator="lessThanOrEqual">
      <formula>0</formula>
    </cfRule>
    <cfRule type="cellIs" dxfId="3609" priority="114" stopIfTrue="1" operator="greaterThan">
      <formula>$F$36</formula>
    </cfRule>
  </conditionalFormatting>
  <conditionalFormatting sqref="H60:H61">
    <cfRule type="cellIs" dxfId="3608" priority="52" stopIfTrue="1" operator="lessThanOrEqual">
      <formula>0</formula>
    </cfRule>
    <cfRule type="cellIs" dxfId="3607" priority="54" stopIfTrue="1" operator="lessThanOrEqual">
      <formula>0</formula>
    </cfRule>
    <cfRule type="cellIs" dxfId="3606" priority="51" stopIfTrue="1" operator="greaterThan">
      <formula>$F$22</formula>
    </cfRule>
    <cfRule type="cellIs" dxfId="3605" priority="43" stopIfTrue="1" operator="greaterThan">
      <formula>#REF!</formula>
    </cfRule>
    <cfRule type="cellIs" dxfId="3604" priority="42" stopIfTrue="1" operator="lessThanOrEqual">
      <formula>0</formula>
    </cfRule>
    <cfRule type="cellIs" dxfId="3603" priority="53" stopIfTrue="1" operator="greaterThan">
      <formula>#REF!</formula>
    </cfRule>
  </conditionalFormatting>
  <conditionalFormatting sqref="H65:H72">
    <cfRule type="cellIs" dxfId="3602" priority="135" stopIfTrue="1" operator="greaterThan">
      <formula>$J65</formula>
    </cfRule>
    <cfRule type="cellIs" dxfId="3601" priority="136" stopIfTrue="1" operator="lessThanOrEqual">
      <formula>0</formula>
    </cfRule>
  </conditionalFormatting>
  <conditionalFormatting sqref="H73">
    <cfRule type="cellIs" dxfId="3600" priority="137" operator="greaterThan">
      <formula>5.3</formula>
    </cfRule>
  </conditionalFormatting>
  <conditionalFormatting sqref="H76 H78:H84">
    <cfRule type="cellIs" dxfId="3599" priority="167" stopIfTrue="1" operator="lessThanOrEqual">
      <formula>0</formula>
    </cfRule>
    <cfRule type="cellIs" dxfId="3598" priority="166" stopIfTrue="1" operator="greaterThan">
      <formula>4.5</formula>
    </cfRule>
  </conditionalFormatting>
  <conditionalFormatting sqref="H54:I54">
    <cfRule type="cellIs" dxfId="3597" priority="10" stopIfTrue="1" operator="greaterThan">
      <formula>$F$71</formula>
    </cfRule>
    <cfRule type="cellIs" dxfId="3596" priority="13" stopIfTrue="1" operator="lessThanOrEqual">
      <formula>0</formula>
    </cfRule>
  </conditionalFormatting>
  <conditionalFormatting sqref="H55:I55">
    <cfRule type="cellIs" dxfId="3595" priority="87" stopIfTrue="1" operator="greaterThan">
      <formula>$F$22</formula>
    </cfRule>
    <cfRule type="cellIs" dxfId="3594" priority="90" stopIfTrue="1" operator="lessThanOrEqual">
      <formula>0</formula>
    </cfRule>
  </conditionalFormatting>
  <conditionalFormatting sqref="H56:I56">
    <cfRule type="cellIs" dxfId="3593" priority="58" stopIfTrue="1" operator="lessThanOrEqual">
      <formula>0</formula>
    </cfRule>
    <cfRule type="cellIs" dxfId="3592" priority="55" stopIfTrue="1" operator="greaterThan">
      <formula>$F$68</formula>
    </cfRule>
  </conditionalFormatting>
  <conditionalFormatting sqref="H57:I58">
    <cfRule type="cellIs" dxfId="3591" priority="76" stopIfTrue="1" operator="lessThanOrEqual">
      <formula>0</formula>
    </cfRule>
    <cfRule type="cellIs" dxfId="3590" priority="73" stopIfTrue="1" operator="greaterThan">
      <formula>#REF!</formula>
    </cfRule>
  </conditionalFormatting>
  <conditionalFormatting sqref="H59:I59">
    <cfRule type="cellIs" dxfId="3589" priority="102" stopIfTrue="1" operator="greaterThan">
      <formula>$F$37</formula>
    </cfRule>
    <cfRule type="cellIs" dxfId="3588" priority="105" stopIfTrue="1" operator="lessThanOrEqual">
      <formula>0</formula>
    </cfRule>
  </conditionalFormatting>
  <conditionalFormatting sqref="H60:I61">
    <cfRule type="cellIs" dxfId="3587" priority="44" stopIfTrue="1" operator="lessThanOrEqual">
      <formula>0</formula>
    </cfRule>
    <cfRule type="cellIs" dxfId="3586" priority="41" stopIfTrue="1" operator="greaterThan">
      <formula>#REF!</formula>
    </cfRule>
  </conditionalFormatting>
  <conditionalFormatting sqref="H74:I74">
    <cfRule type="cellIs" dxfId="3585" priority="127" stopIfTrue="1" operator="greaterThan">
      <formula>$J74</formula>
    </cfRule>
    <cfRule type="cellIs" dxfId="3584" priority="128" stopIfTrue="1" operator="lessThanOrEqual">
      <formula>0</formula>
    </cfRule>
  </conditionalFormatting>
  <conditionalFormatting sqref="I54">
    <cfRule type="cellIs" dxfId="3583" priority="18" stopIfTrue="1" operator="greaterThan">
      <formula>$F$69</formula>
    </cfRule>
    <cfRule type="cellIs" dxfId="3582" priority="19" stopIfTrue="1" operator="lessThanOrEqual">
      <formula>0</formula>
    </cfRule>
    <cfRule type="cellIs" dxfId="3581" priority="17" stopIfTrue="1" operator="lessThanOrEqual">
      <formula>0</formula>
    </cfRule>
    <cfRule type="cellIs" dxfId="3580" priority="15" stopIfTrue="1" operator="lessThanOrEqual">
      <formula>0</formula>
    </cfRule>
    <cfRule type="cellIs" dxfId="3579" priority="14" stopIfTrue="1" operator="greaterThan">
      <formula>$F$69</formula>
    </cfRule>
    <cfRule type="cellIs" dxfId="3578" priority="16" stopIfTrue="1" operator="greaterThan">
      <formula>$F$71</formula>
    </cfRule>
  </conditionalFormatting>
  <conditionalFormatting sqref="I55">
    <cfRule type="cellIs" dxfId="3577" priority="93" stopIfTrue="1" operator="greaterThan">
      <formula>$F$22</formula>
    </cfRule>
    <cfRule type="cellIs" dxfId="3576" priority="95" stopIfTrue="1" operator="greaterThan">
      <formula>#REF!</formula>
    </cfRule>
    <cfRule type="cellIs" dxfId="3575" priority="96" stopIfTrue="1" operator="lessThanOrEqual">
      <formula>0</formula>
    </cfRule>
    <cfRule type="cellIs" dxfId="3574" priority="91" stopIfTrue="1" operator="greaterThan">
      <formula>#REF!</formula>
    </cfRule>
    <cfRule type="cellIs" dxfId="3573" priority="94" stopIfTrue="1" operator="lessThanOrEqual">
      <formula>0</formula>
    </cfRule>
    <cfRule type="cellIs" dxfId="3572" priority="92" stopIfTrue="1" operator="lessThanOrEqual">
      <formula>0</formula>
    </cfRule>
  </conditionalFormatting>
  <conditionalFormatting sqref="I56">
    <cfRule type="cellIs" dxfId="3571" priority="64" stopIfTrue="1" operator="lessThanOrEqual">
      <formula>0</formula>
    </cfRule>
    <cfRule type="cellIs" dxfId="3570" priority="62" stopIfTrue="1" operator="lessThanOrEqual">
      <formula>0</formula>
    </cfRule>
    <cfRule type="cellIs" dxfId="3569" priority="59" stopIfTrue="1" operator="greaterThan">
      <formula>$F$66</formula>
    </cfRule>
    <cfRule type="cellIs" dxfId="3568" priority="61" stopIfTrue="1" operator="greaterThan">
      <formula>$F$68</formula>
    </cfRule>
    <cfRule type="cellIs" dxfId="3567" priority="60" stopIfTrue="1" operator="lessThanOrEqual">
      <formula>0</formula>
    </cfRule>
    <cfRule type="cellIs" dxfId="3566" priority="63" stopIfTrue="1" operator="greaterThan">
      <formula>$F$66</formula>
    </cfRule>
  </conditionalFormatting>
  <conditionalFormatting sqref="I57:I58">
    <cfRule type="cellIs" dxfId="3565" priority="77" stopIfTrue="1" operator="greaterThan">
      <formula>#REF!</formula>
    </cfRule>
    <cfRule type="cellIs" dxfId="3564" priority="81" stopIfTrue="1" operator="greaterThan">
      <formula>#REF!</formula>
    </cfRule>
    <cfRule type="cellIs" dxfId="3563" priority="80" stopIfTrue="1" operator="lessThanOrEqual">
      <formula>0</formula>
    </cfRule>
    <cfRule type="cellIs" dxfId="3562" priority="82" stopIfTrue="1" operator="lessThanOrEqual">
      <formula>0</formula>
    </cfRule>
    <cfRule type="cellIs" dxfId="3561" priority="79" stopIfTrue="1" operator="greaterThan">
      <formula>#REF!</formula>
    </cfRule>
    <cfRule type="cellIs" dxfId="3560" priority="78" stopIfTrue="1" operator="lessThanOrEqual">
      <formula>0</formula>
    </cfRule>
  </conditionalFormatting>
  <conditionalFormatting sqref="I59">
    <cfRule type="cellIs" dxfId="3559" priority="108" stopIfTrue="1" operator="greaterThan">
      <formula>$F$37</formula>
    </cfRule>
    <cfRule type="cellIs" dxfId="3558" priority="107" stopIfTrue="1" operator="lessThanOrEqual">
      <formula>0</formula>
    </cfRule>
    <cfRule type="cellIs" dxfId="3557" priority="106" stopIfTrue="1" operator="greaterThan">
      <formula>$F$35</formula>
    </cfRule>
    <cfRule type="cellIs" dxfId="3556" priority="111" stopIfTrue="1" operator="lessThanOrEqual">
      <formula>0</formula>
    </cfRule>
    <cfRule type="cellIs" dxfId="3555" priority="110" stopIfTrue="1" operator="greaterThan">
      <formula>$F$35</formula>
    </cfRule>
    <cfRule type="cellIs" dxfId="3554" priority="109" stopIfTrue="1" operator="lessThanOrEqual">
      <formula>0</formula>
    </cfRule>
  </conditionalFormatting>
  <conditionalFormatting sqref="I60:I61">
    <cfRule type="cellIs" dxfId="3553" priority="50" stopIfTrue="1" operator="lessThanOrEqual">
      <formula>0</formula>
    </cfRule>
    <cfRule type="cellIs" dxfId="3552" priority="45" stopIfTrue="1" operator="greaterThan">
      <formula>#REF!</formula>
    </cfRule>
    <cfRule type="cellIs" dxfId="3551" priority="46" stopIfTrue="1" operator="lessThanOrEqual">
      <formula>0</formula>
    </cfRule>
    <cfRule type="cellIs" dxfId="3550" priority="47" stopIfTrue="1" operator="greaterThan">
      <formula>#REF!</formula>
    </cfRule>
    <cfRule type="cellIs" dxfId="3549" priority="48" stopIfTrue="1" operator="lessThanOrEqual">
      <formula>0</formula>
    </cfRule>
    <cfRule type="cellIs" dxfId="3548" priority="49" stopIfTrue="1" operator="greaterThan">
      <formula>#REF!</formula>
    </cfRule>
  </conditionalFormatting>
  <conditionalFormatting sqref="I65:I73">
    <cfRule type="cellIs" dxfId="3547" priority="139" stopIfTrue="1" operator="lessThanOrEqual">
      <formula>0</formula>
    </cfRule>
    <cfRule type="cellIs" dxfId="3546" priority="138" stopIfTrue="1" operator="greaterThan">
      <formula>$J65</formula>
    </cfRule>
  </conditionalFormatting>
  <conditionalFormatting sqref="I76:I84">
    <cfRule type="cellIs" dxfId="3545" priority="162" stopIfTrue="1" operator="greaterThan">
      <formula>4.5</formula>
    </cfRule>
    <cfRule type="cellIs" dxfId="3544" priority="163" stopIfTrue="1" operator="lessThanOrEqual">
      <formula>0</formula>
    </cfRule>
  </conditionalFormatting>
  <conditionalFormatting sqref="I10:J22">
    <cfRule type="cellIs" dxfId="3543" priority="4" operator="lessThan">
      <formula>97.9</formula>
    </cfRule>
  </conditionalFormatting>
  <conditionalFormatting sqref="J26:J27">
    <cfRule type="cellIs" dxfId="3542" priority="117" stopIfTrue="1" operator="lessThan">
      <formula>96.8</formula>
    </cfRule>
    <cfRule type="cellIs" dxfId="3541" priority="118" stopIfTrue="1" operator="greaterThan">
      <formula>100</formula>
    </cfRule>
    <cfRule type="cellIs" dxfId="3540" priority="119" operator="lessThan">
      <formula>98</formula>
    </cfRule>
  </conditionalFormatting>
  <conditionalFormatting sqref="J26:J29">
    <cfRule type="cellIs" dxfId="3539" priority="116" operator="lessThan">
      <formula>97.4</formula>
    </cfRule>
  </conditionalFormatting>
  <conditionalFormatting sqref="J30:J31">
    <cfRule type="cellIs" dxfId="3538" priority="120" operator="lessThan">
      <formula>98</formula>
    </cfRule>
  </conditionalFormatting>
  <conditionalFormatting sqref="J32:J33">
    <cfRule type="cellIs" dxfId="3537" priority="121" stopIfTrue="1" operator="lessThan">
      <formula>96.8</formula>
    </cfRule>
    <cfRule type="cellIs" dxfId="3536" priority="122" stopIfTrue="1" operator="greaterThan">
      <formula>100</formula>
    </cfRule>
  </conditionalFormatting>
  <conditionalFormatting sqref="J32:J34">
    <cfRule type="cellIs" dxfId="3535" priority="123" operator="lessThan">
      <formula>98</formula>
    </cfRule>
  </conditionalFormatting>
  <conditionalFormatting sqref="J61">
    <cfRule type="cellIs" dxfId="3534" priority="37" stopIfTrue="1" operator="greaterThan">
      <formula>#REF!</formula>
    </cfRule>
    <cfRule type="cellIs" dxfId="3533" priority="39" stopIfTrue="1" operator="greaterThan">
      <formula>#REF!</formula>
    </cfRule>
    <cfRule type="cellIs" dxfId="3532" priority="35" stopIfTrue="1" operator="greaterThan">
      <formula>#REF!</formula>
    </cfRule>
    <cfRule type="cellIs" dxfId="3531" priority="36" stopIfTrue="1" operator="lessThanOrEqual">
      <formula>0</formula>
    </cfRule>
    <cfRule type="cellIs" dxfId="3530" priority="38" stopIfTrue="1" operator="lessThanOrEqual">
      <formula>0</formula>
    </cfRule>
    <cfRule type="cellIs" dxfId="3529" priority="34" stopIfTrue="1" operator="lessThanOrEqual">
      <formula>0</formula>
    </cfRule>
    <cfRule type="cellIs" dxfId="3528" priority="33" stopIfTrue="1" operator="greaterThan">
      <formula>#REF!</formula>
    </cfRule>
    <cfRule type="cellIs" dxfId="3527" priority="40" stopIfTrue="1" operator="lessThanOrEqual">
      <formula>0</formula>
    </cfRule>
  </conditionalFormatting>
  <conditionalFormatting sqref="J74">
    <cfRule type="cellIs" dxfId="3526" priority="124" stopIfTrue="1" operator="greaterThan">
      <formula>$F74</formula>
    </cfRule>
    <cfRule type="cellIs" dxfId="3525" priority="125" stopIfTrue="1" operator="lessThanOrEqual">
      <formula>0</formula>
    </cfRule>
  </conditionalFormatting>
  <conditionalFormatting sqref="K10:K22">
    <cfRule type="cellIs" dxfId="3524" priority="7" operator="greaterThan">
      <formula>6.4</formula>
    </cfRule>
    <cfRule type="cellIs" dxfId="3523" priority="6" operator="lessThan">
      <formula>4</formula>
    </cfRule>
    <cfRule type="cellIs" dxfId="3522" priority="5" operator="greaterThan">
      <formula>6</formula>
    </cfRule>
  </conditionalFormatting>
  <conditionalFormatting sqref="K54:K61 K65:N71 K72 M72:N72 K73:N73">
    <cfRule type="cellIs" dxfId="3521" priority="101" stopIfTrue="1" operator="lessThan">
      <formula>100%</formula>
    </cfRule>
  </conditionalFormatting>
  <conditionalFormatting sqref="K76:K81">
    <cfRule type="cellIs" dxfId="3520" priority="168" stopIfTrue="1" operator="lessThan">
      <formula>100%</formula>
    </cfRule>
  </conditionalFormatting>
  <conditionalFormatting sqref="K83:K84">
    <cfRule type="cellIs" dxfId="3519" priority="175" stopIfTrue="1" operator="lessThan">
      <formula>100%</formula>
    </cfRule>
  </conditionalFormatting>
  <conditionalFormatting sqref="L10:L22">
    <cfRule type="cellIs" dxfId="3518" priority="9" operator="greaterThan">
      <formula>65</formula>
    </cfRule>
    <cfRule type="cellIs" dxfId="3517" priority="8" operator="between">
      <formula>61</formula>
      <formula>65</formula>
    </cfRule>
  </conditionalFormatting>
  <conditionalFormatting sqref="L25:M36">
    <cfRule type="cellIs" dxfId="3516" priority="69" operator="lessThan">
      <formula>97.95</formula>
    </cfRule>
  </conditionalFormatting>
  <conditionalFormatting sqref="L40:N40">
    <cfRule type="cellIs" dxfId="3515" priority="70" operator="notEqual">
      <formula>#REF!</formula>
    </cfRule>
  </conditionalFormatting>
  <conditionalFormatting sqref="L74:N74">
    <cfRule type="cellIs" dxfId="3514" priority="126" stopIfTrue="1" operator="lessThan">
      <formula>100%</formula>
    </cfRule>
  </conditionalFormatting>
  <conditionalFormatting sqref="L76:N84">
    <cfRule type="cellIs" dxfId="3513" priority="153" stopIfTrue="1" operator="lessThan">
      <formula>100%</formula>
    </cfRule>
  </conditionalFormatting>
  <conditionalFormatting sqref="M10:M21">
    <cfRule type="expression" dxfId="3512" priority="1">
      <formula>IF(+(IF(M10&lt;U10,0,IF(M10&gt;V10,0,1)))=0,1)</formula>
    </cfRule>
  </conditionalFormatting>
  <conditionalFormatting sqref="M22:N22">
    <cfRule type="expression" dxfId="3511" priority="183">
      <formula>IF(+(IF(M22&lt;#REF!,0,IF(M22&gt;#REF!,0,1)))=0,1)</formula>
    </cfRule>
  </conditionalFormatting>
  <conditionalFormatting sqref="N10:N21">
    <cfRule type="expression" dxfId="3510" priority="3">
      <formula>IF(+(IF(N10&lt;W10,0,IF(N10&gt;X10,0,1)))=0,1)</formula>
    </cfRule>
  </conditionalFormatting>
  <conditionalFormatting sqref="P6">
    <cfRule type="cellIs" dxfId="3509" priority="149" operator="greaterThanOrEqual">
      <formula>19</formula>
    </cfRule>
  </conditionalFormatting>
  <dataValidations count="1">
    <dataValidation type="list" allowBlank="1" showInputMessage="1" showErrorMessage="1" sqref="R8" xr:uid="{77997470-5707-46B4-8B1C-94A0F5F48A4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197-714B-45A2-A895-24AD4D8F07B5}">
  <sheetPr>
    <pageSetUpPr fitToPage="1"/>
  </sheetPr>
  <dimension ref="A1:BE83"/>
  <sheetViews>
    <sheetView topLeftCell="A32" zoomScale="80" zoomScaleNormal="80" workbookViewId="0">
      <selection activeCell="G36" sqref="G3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45994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[24]Brewhouse!$A486</f>
        <v>ST461</v>
      </c>
      <c r="D10" s="279">
        <f>[24]Brewhouse!$AD486</f>
        <v>46.7</v>
      </c>
      <c r="E10" s="279">
        <f>[24]Brewhouse!$AG486</f>
        <v>49.81</v>
      </c>
      <c r="F10" s="278">
        <f>[24]Brewhouse!$V486</f>
        <v>50</v>
      </c>
      <c r="G10" s="279">
        <f>[24]Brewhouse!$AE486</f>
        <v>11.8</v>
      </c>
      <c r="H10" s="396">
        <v>11.7</v>
      </c>
      <c r="I10" s="488">
        <f>[24]Brewhouse!$AS486</f>
        <v>98.902019427458782</v>
      </c>
      <c r="J10" s="488">
        <f>[24]Brewhouse!$AT486</f>
        <v>99.004796709252176</v>
      </c>
      <c r="K10" s="281">
        <f>[24]Brewhouse!$Q486</f>
        <v>15.336538461538465</v>
      </c>
      <c r="L10" s="276">
        <f>[24]Brewhouse!$P486</f>
        <v>59</v>
      </c>
      <c r="M10" s="374">
        <f>[24]Brewhouse!$U486-[24]Brewhouse!$T486</f>
        <v>0.1069444444444444</v>
      </c>
      <c r="N10" s="370">
        <f>[24]Brewhouse!$AW486</f>
        <v>0.24305555555555552</v>
      </c>
      <c r="O10" s="420" t="str">
        <f>[24]Brewhouse!$AV486</f>
        <v>K. Benjamin</v>
      </c>
      <c r="P10" s="418"/>
      <c r="R10" s="277" t="str">
        <f t="shared" ref="R10:R27" si="0">B10</f>
        <v>STAG</v>
      </c>
      <c r="S10" s="475">
        <f t="shared" ref="S10:S27" si="1">VLOOKUP($B10,$R$3:$X$9,2,FALSE)</f>
        <v>11.6</v>
      </c>
      <c r="T10" s="475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475">
        <f t="shared" ref="Z10:Z27" si="8">VLOOKUP($B10,$R$3:$Z$9,9,FALSE)</f>
        <v>60</v>
      </c>
    </row>
    <row r="11" spans="2:29" ht="16.5" customHeight="1">
      <c r="B11" s="33" t="s">
        <v>9</v>
      </c>
      <c r="C11" s="366" t="str">
        <f>[24]Brewhouse!$A487</f>
        <v>ST462</v>
      </c>
      <c r="D11" s="279">
        <f>[24]Brewhouse!$AD487</f>
        <v>48.2</v>
      </c>
      <c r="E11" s="279">
        <f>[24]Brewhouse!$AG487</f>
        <v>48.5</v>
      </c>
      <c r="F11" s="278">
        <f>[24]Brewhouse!$V487</f>
        <v>58</v>
      </c>
      <c r="G11" s="279">
        <f>[24]Brewhouse!$AE487</f>
        <v>12</v>
      </c>
      <c r="H11" s="396">
        <v>12</v>
      </c>
      <c r="I11" s="488">
        <f>[24]Brewhouse!$AS487</f>
        <v>98.26316865185926</v>
      </c>
      <c r="J11" s="488">
        <f>[24]Brewhouse!$AT487</f>
        <v>98.365215207576156</v>
      </c>
      <c r="K11" s="281">
        <f>[24]Brewhouse!$Q487</f>
        <v>11.105769230769228</v>
      </c>
      <c r="L11" s="276">
        <f>[24]Brewhouse!$P487</f>
        <v>59</v>
      </c>
      <c r="M11" s="374">
        <f>[24]Brewhouse!$U487-[24]Brewhouse!$T487</f>
        <v>0.10833333333333328</v>
      </c>
      <c r="N11" s="370">
        <f>[24]Brewhouse!$AW487</f>
        <v>0.24374999999999997</v>
      </c>
      <c r="O11" s="420" t="str">
        <f>[24]Brewhouse!$AV487</f>
        <v>K. Benjamin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[24]Brewhouse!$A488</f>
        <v>ST463</v>
      </c>
      <c r="D12" s="279">
        <f>[24]Brewhouse!$AD488</f>
        <v>47.1</v>
      </c>
      <c r="E12" s="279">
        <f>[24]Brewhouse!$AG488</f>
        <v>47.2</v>
      </c>
      <c r="F12" s="278">
        <f>[24]Brewhouse!$V488</f>
        <v>55</v>
      </c>
      <c r="G12" s="279">
        <f>[24]Brewhouse!$AE488</f>
        <v>11.9</v>
      </c>
      <c r="H12" s="396">
        <v>11.8</v>
      </c>
      <c r="I12" s="488">
        <f>[24]Brewhouse!$AS488</f>
        <v>94.910600429356919</v>
      </c>
      <c r="J12" s="488">
        <f>[24]Brewhouse!$AT488</f>
        <v>95.009132931558497</v>
      </c>
      <c r="K12" s="281">
        <f>[24]Brewhouse!$Q488</f>
        <v>11.852207293666021</v>
      </c>
      <c r="L12" s="276">
        <f>[24]Brewhouse!$P488</f>
        <v>61</v>
      </c>
      <c r="M12" s="374">
        <f>[24]Brewhouse!$U488-[24]Brewhouse!$T488</f>
        <v>0.10624999999999996</v>
      </c>
      <c r="N12" s="370">
        <f>[24]Brewhouse!$AW488</f>
        <v>0.24791666666666667</v>
      </c>
      <c r="O12" s="420" t="str">
        <f>[24]Brewhouse!$AV488</f>
        <v>R. Regis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[24]Brewhouse!$A489</f>
        <v>ST464</v>
      </c>
      <c r="D13" s="279">
        <f>[24]Brewhouse!$AD489</f>
        <v>48.2</v>
      </c>
      <c r="E13" s="279">
        <f>[24]Brewhouse!$AG489</f>
        <v>47.26</v>
      </c>
      <c r="F13" s="278">
        <f>[24]Brewhouse!$V489</f>
        <v>58</v>
      </c>
      <c r="G13" s="279">
        <f>[24]Brewhouse!$AE489</f>
        <v>12</v>
      </c>
      <c r="H13" s="396">
        <v>11.7</v>
      </c>
      <c r="I13" s="488">
        <f>[24]Brewhouse!$AS489</f>
        <v>94.333843875735141</v>
      </c>
      <c r="J13" s="488">
        <f>[24]Brewhouse!$AT489</f>
        <v>94.432190092792055</v>
      </c>
      <c r="K13" s="281">
        <f>[24]Brewhouse!$Q489</f>
        <v>11.276391554702494</v>
      </c>
      <c r="L13" s="276">
        <f>[24]Brewhouse!$P489</f>
        <v>60</v>
      </c>
      <c r="M13" s="374">
        <f>[24]Brewhouse!$U489-[24]Brewhouse!$T489</f>
        <v>0.10833333333333328</v>
      </c>
      <c r="N13" s="370">
        <f>[24]Brewhouse!$AW489</f>
        <v>0.24652777777777779</v>
      </c>
      <c r="O13" s="420" t="str">
        <f>[24]Brewhouse!$AV489</f>
        <v>R. Regis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 t="s">
        <v>9</v>
      </c>
      <c r="C14" s="366" t="str">
        <f>[24]Brewhouse!$A490</f>
        <v>ST465</v>
      </c>
      <c r="D14" s="279">
        <f>[24]Brewhouse!$AD490</f>
        <v>50.5</v>
      </c>
      <c r="E14" s="279">
        <f>[24]Brewhouse!$AG490</f>
        <v>49.48</v>
      </c>
      <c r="F14" s="278">
        <f>[24]Brewhouse!$V490</f>
        <v>59</v>
      </c>
      <c r="G14" s="279">
        <f>[24]Brewhouse!$AE490</f>
        <v>11.7</v>
      </c>
      <c r="H14" s="396">
        <v>11.8</v>
      </c>
      <c r="I14" s="488">
        <f>[24]Brewhouse!$AS490</f>
        <v>97.249562918834613</v>
      </c>
      <c r="J14" s="488">
        <f>[24]Brewhouse!$AT490</f>
        <v>97.350655949360814</v>
      </c>
      <c r="K14" s="281">
        <f>[24]Brewhouse!$Q490</f>
        <v>10.700575815738969</v>
      </c>
      <c r="L14" s="276">
        <f>[24]Brewhouse!$P490</f>
        <v>58</v>
      </c>
      <c r="M14" s="374">
        <f>[24]Brewhouse!$U490-[24]Brewhouse!$T490</f>
        <v>0.1645833333333333</v>
      </c>
      <c r="N14" s="370">
        <f>[24]Brewhouse!$AW490</f>
        <v>0.30208333333333326</v>
      </c>
      <c r="O14" s="420" t="str">
        <f>[24]Brewhouse!$AV490</f>
        <v>R. Regis</v>
      </c>
      <c r="P14" s="418"/>
      <c r="R14" s="277" t="str">
        <f t="shared" si="0"/>
        <v>STAG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33" t="s">
        <v>9</v>
      </c>
      <c r="C15" s="366" t="str">
        <f>[24]Brewhouse!$A491</f>
        <v>ST466</v>
      </c>
      <c r="D15" s="279">
        <f>[24]Brewhouse!$AD491</f>
        <v>49.4</v>
      </c>
      <c r="E15" s="279">
        <f>[24]Brewhouse!$AG491</f>
        <v>48.43</v>
      </c>
      <c r="F15" s="278">
        <f>[24]Brewhouse!$V491</f>
        <v>58</v>
      </c>
      <c r="G15" s="279">
        <f>[24]Brewhouse!$AE491</f>
        <v>11.7</v>
      </c>
      <c r="H15" s="396">
        <v>11.8</v>
      </c>
      <c r="I15" s="488">
        <f>[24]Brewhouse!$AS491</f>
        <v>95.185859582844785</v>
      </c>
      <c r="J15" s="488">
        <f>[24]Brewhouse!$AT491</f>
        <v>95.28480734898028</v>
      </c>
      <c r="K15" s="281">
        <f>[24]Brewhouse!$Q491</f>
        <v>10.144230769230766</v>
      </c>
      <c r="L15" s="276">
        <f>[24]Brewhouse!$P491</f>
        <v>61</v>
      </c>
      <c r="M15" s="374">
        <f>[24]Brewhouse!$U491-[24]Brewhouse!$T491</f>
        <v>0.11319444444444438</v>
      </c>
      <c r="N15" s="370">
        <f>[24]Brewhouse!$AW491</f>
        <v>0.29097222222222208</v>
      </c>
      <c r="O15" s="420" t="str">
        <f>[24]Brewhouse!$AV491</f>
        <v>R.Sookram</v>
      </c>
      <c r="P15" s="418"/>
      <c r="R15" s="277" t="str">
        <f t="shared" si="0"/>
        <v>STAG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489">
        <v>45995</v>
      </c>
      <c r="C16" s="366"/>
      <c r="D16" s="279"/>
      <c r="E16" s="279"/>
      <c r="F16" s="278"/>
      <c r="G16" s="279"/>
      <c r="H16" s="396"/>
      <c r="I16" s="488"/>
      <c r="J16" s="488"/>
      <c r="K16" s="281"/>
      <c r="L16" s="276"/>
      <c r="M16" s="374"/>
      <c r="N16" s="370"/>
      <c r="O16" s="420"/>
      <c r="P16" s="418"/>
      <c r="R16" s="277">
        <f t="shared" si="0"/>
        <v>45995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2:26" ht="16.5" customHeight="1">
      <c r="B17" s="33" t="s">
        <v>9</v>
      </c>
      <c r="C17" s="366" t="str">
        <f>[24]Brewhouse!$A492</f>
        <v>ST467</v>
      </c>
      <c r="D17" s="279">
        <f>[24]Brewhouse!$AD492</f>
        <v>48.1</v>
      </c>
      <c r="E17" s="279">
        <f>[24]Brewhouse!$AG492</f>
        <v>47.4</v>
      </c>
      <c r="F17" s="278">
        <f>[24]Brewhouse!$V492</f>
        <v>56</v>
      </c>
      <c r="G17" s="279">
        <f>[24]Brewhouse!$AE492</f>
        <v>11.9</v>
      </c>
      <c r="H17" s="396">
        <v>11.9</v>
      </c>
      <c r="I17" s="488">
        <f>[24]Brewhouse!$AS492</f>
        <v>95.193452814567109</v>
      </c>
      <c r="J17" s="488">
        <f>[24]Brewhouse!$AT492</f>
        <v>95.29231146241861</v>
      </c>
      <c r="K17" s="281">
        <f>[24]Brewhouse!$Q492</f>
        <v>12.811900191938575</v>
      </c>
      <c r="L17" s="276">
        <f>[24]Brewhouse!$P492</f>
        <v>56</v>
      </c>
      <c r="M17" s="374">
        <f>[24]Brewhouse!$U492-[24]Brewhouse!$T492</f>
        <v>0.10416666666666674</v>
      </c>
      <c r="N17" s="370">
        <f>[24]Brewhouse!$AW492</f>
        <v>0.25694444444444442</v>
      </c>
      <c r="O17" s="420" t="str">
        <f>[24]Brewhouse!$AV492</f>
        <v>R.Sookram</v>
      </c>
      <c r="P17" s="418"/>
      <c r="R17" s="277" t="str">
        <f t="shared" si="0"/>
        <v>STAG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2:26" ht="16.5" customHeight="1">
      <c r="B18" s="33"/>
      <c r="C18" s="366"/>
      <c r="D18" s="279"/>
      <c r="E18" s="279"/>
      <c r="F18" s="278"/>
      <c r="G18" s="279"/>
      <c r="H18" s="396"/>
      <c r="I18" s="488"/>
      <c r="J18" s="488"/>
      <c r="K18" s="281"/>
      <c r="L18" s="276"/>
      <c r="M18" s="374"/>
      <c r="N18" s="370"/>
      <c r="O18" s="420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2:26" ht="16.5" customHeight="1">
      <c r="B19" s="33"/>
      <c r="C19" s="366"/>
      <c r="D19" s="279"/>
      <c r="E19" s="279"/>
      <c r="F19" s="278"/>
      <c r="G19" s="279"/>
      <c r="H19" s="396"/>
      <c r="I19" s="488"/>
      <c r="J19" s="488"/>
      <c r="K19" s="281"/>
      <c r="L19" s="276"/>
      <c r="M19" s="374"/>
      <c r="N19" s="370"/>
      <c r="O19" s="420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2:26" ht="16.5" hidden="1" customHeight="1">
      <c r="B20" s="33"/>
      <c r="C20" s="366"/>
      <c r="D20" s="279"/>
      <c r="E20" s="279"/>
      <c r="F20" s="278"/>
      <c r="G20" s="279"/>
      <c r="H20" s="396"/>
      <c r="I20" s="488"/>
      <c r="J20" s="488"/>
      <c r="K20" s="281"/>
      <c r="L20" s="276"/>
      <c r="M20" s="374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2:26" ht="16.5" hidden="1" customHeight="1">
      <c r="B21" s="33"/>
      <c r="C21" s="366"/>
      <c r="D21" s="279"/>
      <c r="E21" s="279"/>
      <c r="F21" s="278"/>
      <c r="G21" s="279"/>
      <c r="H21" s="396"/>
      <c r="I21" s="488"/>
      <c r="J21" s="488"/>
      <c r="K21" s="281"/>
      <c r="L21" s="276"/>
      <c r="M21" s="374"/>
      <c r="N21" s="370"/>
      <c r="O21" s="420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2:26" ht="16.5" hidden="1" customHeight="1">
      <c r="B22" s="33"/>
      <c r="C22" s="366"/>
      <c r="D22" s="279"/>
      <c r="E22" s="279"/>
      <c r="F22" s="278"/>
      <c r="G22" s="279"/>
      <c r="H22" s="396"/>
      <c r="I22" s="488"/>
      <c r="J22" s="488"/>
      <c r="K22" s="281"/>
      <c r="L22" s="276"/>
      <c r="M22" s="374"/>
      <c r="N22" s="370"/>
      <c r="O22" s="420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2:26" ht="16.5" hidden="1" customHeight="1">
      <c r="B23" s="33"/>
      <c r="C23" s="366"/>
      <c r="D23" s="279"/>
      <c r="E23" s="279"/>
      <c r="F23" s="278"/>
      <c r="G23" s="279"/>
      <c r="H23" s="396"/>
      <c r="I23" s="488"/>
      <c r="J23" s="488"/>
      <c r="K23" s="281"/>
      <c r="L23" s="276"/>
      <c r="M23" s="374"/>
      <c r="N23" s="370"/>
      <c r="O23" s="420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2:26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2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2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2:26" ht="16.5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2:26" ht="16.5" customHeight="1">
      <c r="B28" s="22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ref="R28:R45" si="9">B28</f>
        <v>0</v>
      </c>
      <c r="S28" s="475" t="e">
        <f t="shared" ref="S28:S45" si="10">VLOOKUP($B28,$R$3:$X$9,2,FALSE)</f>
        <v>#N/A</v>
      </c>
      <c r="T28" s="475" t="e">
        <f t="shared" ref="T28:T45" si="11">VLOOKUP($B28,$R$3:$X$9,3,FALSE)</f>
        <v>#N/A</v>
      </c>
      <c r="U28" s="297" t="e">
        <f t="shared" ref="U28:U45" si="12">VLOOKUP($B28,$R$3:$X$9,4,FALSE)</f>
        <v>#N/A</v>
      </c>
      <c r="V28" s="297" t="e">
        <f t="shared" ref="V28:V45" si="13">VLOOKUP($B28,$R$3:$X$9,5,FALSE)</f>
        <v>#N/A</v>
      </c>
      <c r="W28" s="297" t="e">
        <f t="shared" ref="W28:W45" si="14">VLOOKUP($B28,$R$3:$X$9,6,FALSE)</f>
        <v>#N/A</v>
      </c>
      <c r="X28" s="297" t="e">
        <f t="shared" ref="X28:X45" si="15">VLOOKUP($B28,$R$3:$X$9,7,FALSE)</f>
        <v>#N/A</v>
      </c>
      <c r="Y28" s="297" t="e">
        <f t="shared" ref="Y28:Y45" si="16">VLOOKUP($B28,$R$3:$Z$9,8,FALSE)</f>
        <v>#N/A</v>
      </c>
      <c r="Z28" s="475" t="e">
        <f t="shared" ref="Z28:Z45" si="17">VLOOKUP($B28,$R$3:$Z$9,9,FALSE)</f>
        <v>#N/A</v>
      </c>
    </row>
    <row r="29" spans="2:26" ht="16.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9"/>
        <v>0</v>
      </c>
      <c r="S29" s="475" t="e">
        <f t="shared" si="10"/>
        <v>#N/A</v>
      </c>
      <c r="T29" s="475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5" t="e">
        <f t="shared" si="17"/>
        <v>#N/A</v>
      </c>
    </row>
    <row r="30" spans="2:26" ht="16.5" hidden="1" customHeight="1">
      <c r="B30" s="29"/>
      <c r="C30" s="366"/>
      <c r="D30" s="279"/>
      <c r="E30" s="279"/>
      <c r="F30" s="278"/>
      <c r="G30" s="279"/>
      <c r="H30" s="469"/>
      <c r="I30" s="368"/>
      <c r="J30" s="368"/>
      <c r="K30" s="281"/>
      <c r="L30" s="276"/>
      <c r="M30" s="397"/>
      <c r="N30" s="370"/>
      <c r="O30" s="420"/>
      <c r="P30" s="418"/>
      <c r="R30" s="277">
        <f t="shared" si="9"/>
        <v>0</v>
      </c>
      <c r="S30" s="475" t="e">
        <f t="shared" si="10"/>
        <v>#N/A</v>
      </c>
      <c r="T30" s="475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5" t="e">
        <f t="shared" si="17"/>
        <v>#N/A</v>
      </c>
    </row>
    <row r="31" spans="2:26" ht="16.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9"/>
        <v>0</v>
      </c>
      <c r="S31" s="475" t="e">
        <f t="shared" si="10"/>
        <v>#N/A</v>
      </c>
      <c r="T31" s="475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5" t="e">
        <f t="shared" si="17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28"/>
      <c r="J32" s="528"/>
      <c r="K32" s="528"/>
      <c r="L32" s="528"/>
      <c r="M32" s="528"/>
      <c r="N32" s="528"/>
      <c r="O32" s="1"/>
      <c r="P32" s="12"/>
      <c r="R32" s="277">
        <f t="shared" si="9"/>
        <v>0</v>
      </c>
      <c r="S32" s="475" t="e">
        <f t="shared" si="10"/>
        <v>#N/A</v>
      </c>
      <c r="T32" s="475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5" t="e">
        <f t="shared" si="17"/>
        <v>#N/A</v>
      </c>
    </row>
    <row r="33" spans="1:27" ht="15.75" customHeight="1" thickBot="1">
      <c r="B33" s="388" t="s">
        <v>162</v>
      </c>
      <c r="C33" s="388"/>
      <c r="D33" s="506" t="s">
        <v>35</v>
      </c>
      <c r="E33" s="507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9"/>
        <v xml:space="preserve">BRAND </v>
      </c>
      <c r="S33" s="475" t="e">
        <f t="shared" si="10"/>
        <v>#N/A</v>
      </c>
      <c r="T33" s="475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5" t="e">
        <f t="shared" si="17"/>
        <v>#N/A</v>
      </c>
    </row>
    <row r="34" spans="1:27" ht="15" customHeight="1">
      <c r="A34" s="28"/>
      <c r="B34" s="593" t="str">
        <f>J57</f>
        <v>CARIBE</v>
      </c>
      <c r="C34" s="362"/>
      <c r="D34" s="532"/>
      <c r="E34" s="533"/>
      <c r="F34" s="294"/>
      <c r="G34" s="294"/>
      <c r="H34" s="348"/>
      <c r="I34" s="29" t="s">
        <v>6</v>
      </c>
      <c r="J34" s="280"/>
      <c r="K34" s="284"/>
      <c r="L34" s="305"/>
      <c r="M3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$1003)</f>
        <v>97.75183132969201</v>
      </c>
      <c r="N34" s="30">
        <v>98</v>
      </c>
      <c r="O34" s="11"/>
      <c r="P34" s="31"/>
      <c r="R34" s="277" t="str">
        <f t="shared" si="9"/>
        <v>CARIBE</v>
      </c>
      <c r="S34" s="475" t="e">
        <f t="shared" si="10"/>
        <v>#N/A</v>
      </c>
      <c r="T34" s="475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5" t="e">
        <f t="shared" si="17"/>
        <v>#N/A</v>
      </c>
    </row>
    <row r="35" spans="1:27" ht="15" customHeight="1">
      <c r="A35" s="28"/>
      <c r="B35" s="594"/>
      <c r="C35" s="362"/>
      <c r="D35" s="534"/>
      <c r="E35" s="535"/>
      <c r="F35" s="294"/>
      <c r="G35" s="294"/>
      <c r="H35" s="348"/>
      <c r="I35" s="33" t="s">
        <v>9</v>
      </c>
      <c r="J35" s="280">
        <f>AVERAGE(I10:I17)</f>
        <v>96.291215385808073</v>
      </c>
      <c r="K35" s="284">
        <f>COUNTA([24]Brewhouse!$A$486:$A$492)</f>
        <v>7</v>
      </c>
      <c r="L35" s="302">
        <f>AVERAGE([24]Brewhouse!$AS$486:$AS$492)</f>
        <v>96.291215385808073</v>
      </c>
      <c r="M35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$492)</f>
        <v>97.824425474765988</v>
      </c>
      <c r="N35" s="30">
        <v>98</v>
      </c>
      <c r="O35" s="11"/>
      <c r="P35" s="31"/>
      <c r="R35" s="277">
        <f t="shared" si="9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</row>
    <row r="36" spans="1:27" ht="14.65" customHeight="1">
      <c r="A36" s="28"/>
      <c r="B36" s="594"/>
      <c r="C36" s="362"/>
      <c r="D36" s="580"/>
      <c r="E36" s="581"/>
      <c r="F36" s="294"/>
      <c r="G36" s="294"/>
      <c r="H36" s="348"/>
      <c r="I36" s="34" t="s">
        <v>12</v>
      </c>
      <c r="J36" s="280"/>
      <c r="K36" s="284"/>
      <c r="L36" s="302"/>
      <c r="M36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$123)</f>
        <v>96.481276590905978</v>
      </c>
      <c r="N36" s="30">
        <v>98</v>
      </c>
      <c r="O36" s="11"/>
      <c r="P36" s="31"/>
      <c r="R36" s="277">
        <f t="shared" si="9"/>
        <v>0</v>
      </c>
      <c r="S36" s="475" t="e">
        <f t="shared" si="10"/>
        <v>#N/A</v>
      </c>
      <c r="T36" s="475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5" t="e">
        <f t="shared" si="17"/>
        <v>#N/A</v>
      </c>
    </row>
    <row r="37" spans="1:27" ht="14.65" customHeight="1">
      <c r="A37" s="28"/>
      <c r="B37" s="594"/>
      <c r="C37" s="362"/>
      <c r="D37" s="547"/>
      <c r="E37" s="535"/>
      <c r="F37" s="294"/>
      <c r="G37" s="294"/>
      <c r="H37" s="348"/>
      <c r="I37" s="22" t="s">
        <v>33</v>
      </c>
      <c r="J37" s="280"/>
      <c r="K37" s="284">
        <f>COUNTA([22]Brewhouse!$A$107:$A$116)</f>
        <v>10</v>
      </c>
      <c r="L37" s="302">
        <f>AVERAGE([22]Brewhouse!$AV$107:$AV$116)</f>
        <v>97.093478275115658</v>
      </c>
      <c r="M37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37" s="30">
        <v>98</v>
      </c>
      <c r="O37" s="11"/>
      <c r="P37" s="31"/>
      <c r="R37" s="277">
        <f t="shared" si="9"/>
        <v>0</v>
      </c>
      <c r="S37" s="475" t="e">
        <f t="shared" si="10"/>
        <v>#N/A</v>
      </c>
      <c r="T37" s="475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5" t="e">
        <f t="shared" si="17"/>
        <v>#N/A</v>
      </c>
    </row>
    <row r="38" spans="1:27" ht="14.65" customHeight="1">
      <c r="A38" s="28"/>
      <c r="B38" s="594"/>
      <c r="C38" s="362"/>
      <c r="D38" s="580"/>
      <c r="E38" s="581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9"/>
        <v>0</v>
      </c>
      <c r="S38" s="475" t="e">
        <f t="shared" si="10"/>
        <v>#N/A</v>
      </c>
      <c r="T38" s="475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5" t="e">
        <f t="shared" si="17"/>
        <v>#N/A</v>
      </c>
    </row>
    <row r="39" spans="1:27" ht="14.65" customHeight="1">
      <c r="A39" s="28"/>
      <c r="B39" s="594"/>
      <c r="C39" s="362"/>
      <c r="D39" s="547"/>
      <c r="E39" s="535"/>
      <c r="F39" s="417"/>
      <c r="G39" s="294"/>
      <c r="H39" s="348"/>
      <c r="I39" s="36" t="s">
        <v>15</v>
      </c>
      <c r="J39" s="323"/>
      <c r="K39" s="284"/>
      <c r="L39" s="302"/>
      <c r="M39" s="302">
        <f>AVERAGE([26]Brewhouse!$AT$4:$AT$11,[26]Brewhouse!$AT$13:$AT$16,[26]Brewhouse!$AT$18:$AT$21,[26]Brewhouse!$AT$26,[26]Brewhouse!$AT$28:$AT$35)</f>
        <v>94.794664331624134</v>
      </c>
      <c r="N39" s="30">
        <v>98</v>
      </c>
      <c r="O39" s="11"/>
      <c r="P39" s="31"/>
      <c r="R39" s="277">
        <f t="shared" si="9"/>
        <v>0</v>
      </c>
      <c r="S39" s="475" t="e">
        <f t="shared" si="10"/>
        <v>#N/A</v>
      </c>
      <c r="T39" s="475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5" t="e">
        <f t="shared" si="17"/>
        <v>#N/A</v>
      </c>
      <c r="AA39" s="475"/>
    </row>
    <row r="40" spans="1:27" ht="14.65" customHeight="1">
      <c r="A40" s="28"/>
      <c r="B40" s="594"/>
      <c r="C40" s="362"/>
      <c r="D40" s="580"/>
      <c r="E40" s="581"/>
      <c r="F40" s="417"/>
      <c r="G40" s="294"/>
      <c r="H40" s="348"/>
      <c r="I40" s="37" t="s">
        <v>16</v>
      </c>
      <c r="J40" s="323"/>
      <c r="K40" s="284"/>
      <c r="L40" s="302"/>
      <c r="M40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[27]Brewhouse!$AY$56:$AY$73,[27]Brewhouse!$AY$75:$AY$92,[27]Brewhouse!$AY$94:$AY$97)</f>
        <v>97.370192538913813</v>
      </c>
      <c r="N40" s="30">
        <v>98</v>
      </c>
      <c r="O40" s="11"/>
      <c r="P40" s="31" t="s">
        <v>41</v>
      </c>
      <c r="R40" s="277">
        <f t="shared" si="9"/>
        <v>0</v>
      </c>
      <c r="S40" s="475" t="e">
        <f t="shared" si="10"/>
        <v>#N/A</v>
      </c>
      <c r="T40" s="475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5" t="e">
        <f t="shared" si="17"/>
        <v>#N/A</v>
      </c>
      <c r="AA40" s="475"/>
    </row>
    <row r="41" spans="1:27" ht="14.65" customHeight="1">
      <c r="A41" s="28"/>
      <c r="B41" s="594"/>
      <c r="C41" s="362"/>
      <c r="D41" s="547"/>
      <c r="E41" s="535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AVERAGE([28]Brewhouse!$AU$5:$AU$8,[28]Brewhouse!$AU$10:$AU$13,[27]Brewhouse!$AY$75:$AY$77)</f>
        <v>94.749192473706671</v>
      </c>
      <c r="N41" s="30">
        <v>98</v>
      </c>
      <c r="O41" s="11"/>
      <c r="P41" s="31"/>
      <c r="R41" s="277">
        <f t="shared" si="9"/>
        <v>0</v>
      </c>
      <c r="S41" s="475" t="e">
        <f t="shared" si="10"/>
        <v>#N/A</v>
      </c>
      <c r="T41" s="475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5" t="e">
        <f t="shared" si="17"/>
        <v>#N/A</v>
      </c>
      <c r="AA41" s="475"/>
    </row>
    <row r="42" spans="1:27" ht="14.65" customHeight="1">
      <c r="A42" s="28"/>
      <c r="B42" s="594"/>
      <c r="C42" s="349"/>
      <c r="D42" s="580"/>
      <c r="E42" s="581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>
        <f t="shared" si="9"/>
        <v>0</v>
      </c>
      <c r="S42" s="475" t="e">
        <f t="shared" si="10"/>
        <v>#N/A</v>
      </c>
      <c r="T42" s="475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5" t="e">
        <f t="shared" si="17"/>
        <v>#N/A</v>
      </c>
      <c r="AA42" s="475"/>
    </row>
    <row r="43" spans="1:27" ht="15" customHeight="1" thickBot="1">
      <c r="A43" s="28"/>
      <c r="B43" s="594"/>
      <c r="C43" s="349"/>
      <c r="D43" s="547"/>
      <c r="E43" s="535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>
        <f t="shared" si="9"/>
        <v>0</v>
      </c>
      <c r="S43" s="475" t="e">
        <f t="shared" si="10"/>
        <v>#N/A</v>
      </c>
      <c r="T43" s="475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5" t="e">
        <f t="shared" si="17"/>
        <v>#N/A</v>
      </c>
      <c r="AA43" s="475"/>
    </row>
    <row r="44" spans="1:27" ht="15" customHeight="1" thickBot="1">
      <c r="A44" s="28"/>
      <c r="B44" s="594"/>
      <c r="C44" s="349"/>
      <c r="D44" s="532"/>
      <c r="E44" s="533"/>
      <c r="F44" s="294"/>
      <c r="G44" s="294"/>
      <c r="H44" s="348"/>
      <c r="I44" s="1"/>
      <c r="J44" s="39"/>
      <c r="K44" s="404">
        <f>SUM(K34:K43)</f>
        <v>17</v>
      </c>
      <c r="L44" s="405">
        <f>((L34*K34)+(L35*K35)+(L36*K36)+(L37*K37)+(L38*K38)+(K41*L41)+(L39*K39)+(L40*K40)+(L43*K43))/(K44)</f>
        <v>96.763134732459605</v>
      </c>
      <c r="M44" s="405">
        <f>AVERAGE('[31]Jan 31st'!$L$65,'[32]Feb 28th'!$L$35,'[33]Mar. 31st'!$L$35,'[34]Apr. 30th'!$L$45,'[35]May 30th'!$L$37,'[36]June 30th'!$L$57,'[37]July 29th '!$L$44,'[38]Aug 29th'!$L$29,'[39]Sept 30th'!$L$35,L44)</f>
        <v>97.494263712927747</v>
      </c>
      <c r="N44" s="40">
        <v>98</v>
      </c>
      <c r="O44" s="11"/>
      <c r="P44" s="31"/>
      <c r="R44" s="277">
        <f t="shared" si="9"/>
        <v>0</v>
      </c>
      <c r="S44" s="475" t="e">
        <f t="shared" si="10"/>
        <v>#N/A</v>
      </c>
      <c r="T44" s="475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5" t="e">
        <f t="shared" si="17"/>
        <v>#N/A</v>
      </c>
      <c r="AA44" s="475"/>
    </row>
    <row r="45" spans="1:27" ht="15.75" thickBot="1">
      <c r="B45" s="595"/>
      <c r="C45" s="350"/>
      <c r="D45" s="534"/>
      <c r="E45" s="535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9"/>
        <v>0</v>
      </c>
      <c r="S45" s="475" t="e">
        <f t="shared" si="10"/>
        <v>#N/A</v>
      </c>
      <c r="T45" s="475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475" t="e">
        <f t="shared" si="17"/>
        <v>#N/A</v>
      </c>
      <c r="AA45" s="475"/>
    </row>
    <row r="46" spans="1:27" ht="15.75" thickBot="1">
      <c r="B46" s="529"/>
      <c r="C46" s="362"/>
      <c r="D46" s="545"/>
      <c r="E46" s="546"/>
      <c r="F46" s="294"/>
      <c r="G46" s="42"/>
      <c r="H46" s="41"/>
      <c r="I46" s="42"/>
      <c r="J46" s="579" t="s">
        <v>129</v>
      </c>
      <c r="K46" s="579"/>
      <c r="L46" s="294"/>
      <c r="M46" s="294"/>
      <c r="N46" s="294"/>
      <c r="O46" s="294"/>
      <c r="P46" s="12"/>
    </row>
    <row r="47" spans="1:27" ht="15.75" thickBot="1">
      <c r="B47" s="530"/>
      <c r="C47" s="362"/>
      <c r="D47" s="547"/>
      <c r="E47" s="535"/>
      <c r="F47" s="294"/>
      <c r="G47" s="42"/>
      <c r="H47" s="42"/>
      <c r="I47" s="42"/>
      <c r="J47" s="292" t="s">
        <v>17</v>
      </c>
      <c r="K47" s="293" t="s">
        <v>147</v>
      </c>
      <c r="L47" s="549" t="s">
        <v>136</v>
      </c>
      <c r="M47" s="549"/>
      <c r="N47" s="550"/>
      <c r="O47" s="294"/>
      <c r="P47" s="12"/>
    </row>
    <row r="48" spans="1:27" ht="15" customHeight="1" thickBot="1">
      <c r="B48" s="530"/>
      <c r="C48" s="349"/>
      <c r="D48" s="580"/>
      <c r="E48" s="581"/>
      <c r="F48" s="294"/>
      <c r="G48" s="42"/>
      <c r="H48" s="42"/>
      <c r="I48" s="42"/>
      <c r="J48" s="287" t="s">
        <v>6</v>
      </c>
      <c r="K48" s="324"/>
      <c r="L48" s="476" t="s">
        <v>37</v>
      </c>
      <c r="M48" s="477" t="s">
        <v>38</v>
      </c>
      <c r="N48" s="477" t="s">
        <v>84</v>
      </c>
      <c r="O48" s="294"/>
      <c r="P48" s="12"/>
    </row>
    <row r="49" spans="2:57" ht="15.75" customHeight="1" thickBot="1">
      <c r="B49" s="530"/>
      <c r="C49" s="349"/>
      <c r="D49" s="547"/>
      <c r="E49" s="535"/>
      <c r="F49" s="294"/>
      <c r="G49" s="42"/>
      <c r="H49" s="42"/>
      <c r="I49" s="42"/>
      <c r="J49" s="345" t="s">
        <v>9</v>
      </c>
      <c r="K49" s="324">
        <v>6</v>
      </c>
      <c r="L49" s="344">
        <f>AVERAGE(K58,'Dec 1st'!K43,'Dec 2nd'!K49)</f>
        <v>5.333333333333333</v>
      </c>
      <c r="M49" s="325">
        <f>AVERAGE('[31]Jan 29th '!$M$70,'[32]Feb 28th'!$L$40,'[33]Mar. 31st'!$L$40,'[34]Apr. 30th'!$L$50,'[35]May 30th'!$L$42,'[36]June 30th'!$L$62,'[37]July 29th '!$L$49,'[38]Aug 29th'!$L$34,'[39]Sept 30th'!$L$40,[40]Oct.31st!$L$43,'[41]Nov 28th-30th'!$L$45,L49)</f>
        <v>6.8339755289841095</v>
      </c>
      <c r="N49" s="416">
        <v>9.1999999999999993</v>
      </c>
      <c r="O49" s="294"/>
      <c r="P49" s="12"/>
    </row>
    <row r="50" spans="2:57" ht="15" customHeight="1">
      <c r="B50" s="530"/>
      <c r="C50" s="349"/>
      <c r="D50" s="580"/>
      <c r="E50" s="581"/>
      <c r="F50" s="294"/>
      <c r="G50" s="42"/>
      <c r="H50" s="42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30"/>
      <c r="C51" s="349"/>
      <c r="D51" s="547"/>
      <c r="E51" s="535"/>
      <c r="F51" s="294"/>
      <c r="G51" s="42"/>
      <c r="H51" s="42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30"/>
      <c r="C52" s="349"/>
      <c r="D52" s="580"/>
      <c r="E52" s="581"/>
      <c r="F52" s="294"/>
      <c r="G52" s="42"/>
      <c r="H52" s="42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30"/>
      <c r="C53" s="349"/>
      <c r="D53" s="547"/>
      <c r="E53" s="535"/>
      <c r="F53" s="294"/>
      <c r="G53" s="42"/>
      <c r="H53" s="42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30"/>
      <c r="C54" s="349"/>
      <c r="D54" s="580"/>
      <c r="E54" s="581"/>
      <c r="F54" s="294"/>
      <c r="G54" s="42"/>
      <c r="H54" s="42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31"/>
      <c r="C55" s="350"/>
      <c r="D55" s="582"/>
      <c r="E55" s="583"/>
      <c r="F55" s="294" t="s">
        <v>166</v>
      </c>
      <c r="G55" s="42"/>
      <c r="H55" s="42"/>
      <c r="I55" s="42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7"/>
      <c r="E56" s="578"/>
      <c r="F56" s="294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42"/>
      <c r="J58" s="346" t="s">
        <v>130</v>
      </c>
      <c r="K58" s="324">
        <f>SUM(K48:K57)</f>
        <v>6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J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57" t="s">
        <v>17</v>
      </c>
      <c r="C61" s="557" t="s">
        <v>44</v>
      </c>
      <c r="D61" s="559" t="s">
        <v>45</v>
      </c>
      <c r="E61" s="514" t="s">
        <v>46</v>
      </c>
      <c r="F61" s="574" t="s">
        <v>47</v>
      </c>
      <c r="G61" s="568" t="s">
        <v>48</v>
      </c>
      <c r="H61" s="557" t="s">
        <v>49</v>
      </c>
      <c r="I61" s="557" t="s">
        <v>50</v>
      </c>
      <c r="J61" s="562" t="s">
        <v>28</v>
      </c>
      <c r="K61" s="512" t="s">
        <v>51</v>
      </c>
      <c r="L61" s="524" t="s">
        <v>52</v>
      </c>
      <c r="M61" s="562" t="s">
        <v>53</v>
      </c>
      <c r="N61" s="13"/>
      <c r="O61" s="13"/>
      <c r="P61" s="50"/>
    </row>
    <row r="62" spans="2:57" ht="28.5" customHeight="1" thickTop="1" thickBot="1">
      <c r="B62" s="558"/>
      <c r="C62" s="558"/>
      <c r="D62" s="560"/>
      <c r="E62" s="561"/>
      <c r="F62" s="575"/>
      <c r="G62" s="569"/>
      <c r="H62" s="576"/>
      <c r="I62" s="576"/>
      <c r="J62" s="563"/>
      <c r="K62" s="572"/>
      <c r="L62" s="573"/>
      <c r="M62" s="563"/>
      <c r="N62" s="13"/>
      <c r="O62" s="13"/>
      <c r="P62" s="50"/>
      <c r="Q62" s="355"/>
      <c r="AB62" s="478">
        <v>43474</v>
      </c>
      <c r="AC62" s="478">
        <v>43475</v>
      </c>
      <c r="AD62" s="478">
        <v>43476</v>
      </c>
      <c r="AE62" s="478">
        <v>43477</v>
      </c>
      <c r="AF62" s="478">
        <v>43478</v>
      </c>
      <c r="AG62" s="478">
        <v>43479</v>
      </c>
      <c r="AH62" s="478">
        <v>43480</v>
      </c>
      <c r="AI62" s="478">
        <v>43481</v>
      </c>
      <c r="AJ62" s="478">
        <v>43482</v>
      </c>
      <c r="AK62" s="478">
        <v>43483</v>
      </c>
      <c r="AL62" s="478">
        <v>43484</v>
      </c>
      <c r="AM62" s="478">
        <v>43485</v>
      </c>
      <c r="AN62" s="478">
        <v>43486</v>
      </c>
      <c r="AO62" s="478">
        <v>43487</v>
      </c>
      <c r="AP62" s="478">
        <v>43488</v>
      </c>
      <c r="AQ62" s="478">
        <v>43489</v>
      </c>
      <c r="AR62" s="478">
        <v>43490</v>
      </c>
      <c r="AS62" s="478">
        <v>43491</v>
      </c>
      <c r="AT62" s="478">
        <v>43492</v>
      </c>
      <c r="AU62" s="478">
        <v>43493</v>
      </c>
      <c r="AV62" s="478">
        <v>43494</v>
      </c>
      <c r="AW62" s="478">
        <v>43495</v>
      </c>
      <c r="AX62" s="478">
        <v>43496</v>
      </c>
    </row>
    <row r="63" spans="2:57" s="54" customFormat="1" ht="43.15" customHeight="1" thickBot="1">
      <c r="B63" s="487"/>
      <c r="C63" s="441"/>
      <c r="D63" s="442"/>
      <c r="E63" s="443"/>
      <c r="F63" s="444"/>
      <c r="G63" s="444"/>
      <c r="H63" s="458"/>
      <c r="I63" s="458"/>
      <c r="J63" s="448"/>
      <c r="K63" s="449"/>
      <c r="L63" s="486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hidden="1" customHeight="1" thickBot="1">
      <c r="B64" s="468"/>
      <c r="C64" s="430"/>
      <c r="D64" s="431"/>
      <c r="E64" s="432"/>
      <c r="F64" s="433"/>
      <c r="G64" s="434"/>
      <c r="H64" s="428"/>
      <c r="I64" s="42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56"/>
      <c r="C65" s="441"/>
      <c r="D65" s="442"/>
      <c r="E65" s="443"/>
      <c r="F65" s="444"/>
      <c r="G65" s="445"/>
      <c r="H65" s="458"/>
      <c r="I65" s="458"/>
      <c r="J65" s="448"/>
      <c r="K65" s="460"/>
      <c r="L65" s="457" t="e">
        <f>(((D65+E65)-G65)/(D65+E65))*100</f>
        <v>#DIV/0!</v>
      </c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59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 t="e">
        <f>(((D69+E69)-G69)/(D69+E69))*100</f>
        <v>#DIV/0!</v>
      </c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7"/>
      <c r="C70" s="430"/>
      <c r="D70" s="461"/>
      <c r="E70" s="462"/>
      <c r="F70" s="463"/>
      <c r="G70" s="461"/>
      <c r="H70" s="464"/>
      <c r="I70" s="464"/>
      <c r="J70" s="464"/>
      <c r="K70" s="465"/>
      <c r="L70" s="466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64" t="s">
        <v>55</v>
      </c>
      <c r="C72" s="565"/>
      <c r="D72" s="565"/>
      <c r="E72" s="565"/>
      <c r="F72" s="566"/>
      <c r="G72" s="564" t="s">
        <v>56</v>
      </c>
      <c r="H72" s="565"/>
      <c r="I72" s="565"/>
      <c r="J72" s="566"/>
      <c r="K72" s="564" t="s">
        <v>51</v>
      </c>
      <c r="L72" s="565"/>
      <c r="M72" s="565"/>
      <c r="N72" s="567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 t="s">
        <v>36</v>
      </c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282"/>
      <c r="D74" s="76">
        <v>5.9758575355563517</v>
      </c>
      <c r="E74" s="76">
        <v>6.0702956271126167</v>
      </c>
      <c r="F74" s="66">
        <v>4.8</v>
      </c>
      <c r="G74" s="65">
        <f>[42]December_2025!$E$11</f>
        <v>2.8833364159175856</v>
      </c>
      <c r="H74" s="76"/>
      <c r="I74" s="76">
        <v>5.988023632718261</v>
      </c>
      <c r="J74" s="66">
        <v>4.8</v>
      </c>
      <c r="K74" s="67"/>
      <c r="L74" s="194">
        <v>0.44929824561403514</v>
      </c>
      <c r="M74" s="194">
        <v>0.72631455889225571</v>
      </c>
      <c r="N74" s="68">
        <v>1</v>
      </c>
      <c r="O74" s="56"/>
      <c r="P74" s="69"/>
    </row>
    <row r="75" spans="2:57" ht="15">
      <c r="B75" s="33" t="s">
        <v>9</v>
      </c>
      <c r="C75" s="65"/>
      <c r="D75" s="76"/>
      <c r="E75" s="76">
        <v>5.7025207923266077</v>
      </c>
      <c r="F75" s="66">
        <v>4.8</v>
      </c>
      <c r="G75" s="65"/>
      <c r="H75" s="76"/>
      <c r="I75" s="76">
        <v>6.2228279500853976</v>
      </c>
      <c r="J75" s="66">
        <v>4.8</v>
      </c>
      <c r="K75" s="67"/>
      <c r="L75" s="194"/>
      <c r="M75" s="194">
        <v>0.68415239152009877</v>
      </c>
      <c r="N75" s="68">
        <v>1</v>
      </c>
      <c r="P75" s="69"/>
    </row>
    <row r="76" spans="2:57" ht="15">
      <c r="B76" s="34" t="s">
        <v>40</v>
      </c>
      <c r="C76" s="65"/>
      <c r="D76" s="76"/>
      <c r="E76" s="76">
        <v>11.016453256230184</v>
      </c>
      <c r="F76" s="66">
        <v>5.5</v>
      </c>
      <c r="G76" s="65"/>
      <c r="H76" s="76"/>
      <c r="I76" s="76">
        <v>12.536311479158377</v>
      </c>
      <c r="J76" s="66">
        <v>5.5</v>
      </c>
      <c r="K76" s="67"/>
      <c r="L76" s="194"/>
      <c r="M76" s="194">
        <v>0.51633622959452352</v>
      </c>
      <c r="N76" s="68">
        <v>1</v>
      </c>
      <c r="P76" s="69"/>
    </row>
    <row r="77" spans="2:57" ht="15">
      <c r="B77" s="22" t="s">
        <v>33</v>
      </c>
      <c r="C77" s="65"/>
      <c r="D77" s="76"/>
      <c r="E77" s="76">
        <v>4.6226456706805745</v>
      </c>
      <c r="F77" s="66">
        <v>3.3</v>
      </c>
      <c r="G77" s="65"/>
      <c r="H77" s="76"/>
      <c r="I77" s="76">
        <v>4.4171317623593813</v>
      </c>
      <c r="J77" s="66">
        <v>3.3</v>
      </c>
      <c r="K77" s="67"/>
      <c r="L77" s="194"/>
      <c r="M77" s="194">
        <v>0.83111215538847116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>
        <v>7.837301587301579</v>
      </c>
      <c r="F78" s="66">
        <v>3.3</v>
      </c>
      <c r="G78" s="282"/>
      <c r="H78" s="76"/>
      <c r="I78" s="76">
        <v>5.3377569154690221</v>
      </c>
      <c r="J78" s="66">
        <v>3</v>
      </c>
      <c r="K78" s="67"/>
      <c r="L78" s="194"/>
      <c r="M78" s="194">
        <v>0.32596491228070179</v>
      </c>
      <c r="N78" s="68">
        <v>1</v>
      </c>
      <c r="P78" s="69"/>
    </row>
    <row r="79" spans="2:57" ht="15">
      <c r="B79" s="36" t="s">
        <v>15</v>
      </c>
      <c r="C79" s="65"/>
      <c r="D79" s="76"/>
      <c r="E79" s="76">
        <v>6.8851328044153277</v>
      </c>
      <c r="F79" s="70">
        <f>[21]May_2022!$M$43</f>
        <v>3.4878406700073312</v>
      </c>
      <c r="G79" s="282"/>
      <c r="H79" s="76"/>
      <c r="I79" s="76">
        <v>8.6614709463340702</v>
      </c>
      <c r="J79" s="66">
        <v>5.5</v>
      </c>
      <c r="K79" s="67"/>
      <c r="L79" s="194"/>
      <c r="M79" s="194">
        <v>0.73160818713450293</v>
      </c>
      <c r="N79" s="68">
        <v>1</v>
      </c>
      <c r="P79" s="69"/>
    </row>
    <row r="80" spans="2:57" ht="15">
      <c r="B80" s="37" t="s">
        <v>16</v>
      </c>
      <c r="C80" s="65"/>
      <c r="D80" s="76"/>
      <c r="E80" s="76">
        <v>2.9297033255778997</v>
      </c>
      <c r="F80" s="66">
        <v>3.3</v>
      </c>
      <c r="G80" s="282"/>
      <c r="H80" s="76"/>
      <c r="I80" s="76">
        <v>4.2684292436723528</v>
      </c>
      <c r="J80" s="66">
        <v>3.3</v>
      </c>
      <c r="K80" s="67"/>
      <c r="L80" s="194"/>
      <c r="M80" s="194">
        <v>0.84660147761842675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>
        <v>11.483253588516746</v>
      </c>
      <c r="F81" s="66">
        <v>7.5</v>
      </c>
      <c r="G81" s="282"/>
      <c r="H81" s="76"/>
      <c r="I81" s="76">
        <v>9.7934336121043764</v>
      </c>
      <c r="J81" s="66">
        <v>7.5</v>
      </c>
      <c r="K81" s="67"/>
      <c r="M81" s="194">
        <v>0.32456140350877194</v>
      </c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>
        <v>7.2653644592663174</v>
      </c>
      <c r="F82" s="66">
        <v>4.8</v>
      </c>
      <c r="G82" s="282"/>
      <c r="H82" s="76"/>
      <c r="I82" s="76">
        <v>8.1715311054411259</v>
      </c>
      <c r="J82" s="66">
        <v>4.8</v>
      </c>
      <c r="K82" s="67"/>
      <c r="L82" s="194"/>
      <c r="M82" s="194">
        <v>0.51368421052631585</v>
      </c>
      <c r="N82" s="71">
        <v>1</v>
      </c>
      <c r="O82" s="74"/>
      <c r="P82" s="75"/>
    </row>
    <row r="83" spans="2:16" ht="15">
      <c r="D83" s="76">
        <v>5.9758575355563517</v>
      </c>
      <c r="E83" s="76">
        <v>6.1053451637805072</v>
      </c>
      <c r="F83" s="341">
        <v>5.5</v>
      </c>
      <c r="H83" s="76">
        <v>5.2012421312801864</v>
      </c>
      <c r="I83" s="76">
        <v>6.526756833226341</v>
      </c>
      <c r="J83" s="341">
        <v>5.5</v>
      </c>
      <c r="L83" s="194">
        <v>0.44929824561403514</v>
      </c>
      <c r="M83" s="194">
        <v>0.70331193543610249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72:F72"/>
    <mergeCell ref="G72:J72"/>
    <mergeCell ref="K72:N72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3508" priority="41" operator="notBetween">
      <formula>#REF!</formula>
      <formula>#REF!</formula>
    </cfRule>
  </conditionalFormatting>
  <conditionalFormatting sqref="C60">
    <cfRule type="cellIs" dxfId="3507" priority="189" stopIfTrue="1" operator="greaterThan">
      <formula>100</formula>
    </cfRule>
    <cfRule type="cellIs" dxfId="3506" priority="188" stopIfTrue="1" operator="lessThan">
      <formula>96</formula>
    </cfRule>
  </conditionalFormatting>
  <conditionalFormatting sqref="C74:C78">
    <cfRule type="cellIs" dxfId="3505" priority="142" stopIfTrue="1" operator="lessThanOrEqual">
      <formula>0</formula>
    </cfRule>
  </conditionalFormatting>
  <conditionalFormatting sqref="C74:C82">
    <cfRule type="cellIs" dxfId="3504" priority="141" stopIfTrue="1" operator="greaterThan">
      <formula>$F74</formula>
    </cfRule>
  </conditionalFormatting>
  <conditionalFormatting sqref="C75">
    <cfRule type="cellIs" dxfId="3503" priority="192" stopIfTrue="1" operator="greaterThan">
      <formula>$F74</formula>
    </cfRule>
  </conditionalFormatting>
  <conditionalFormatting sqref="C79">
    <cfRule type="cellIs" dxfId="3502" priority="82" stopIfTrue="1" operator="greaterThan">
      <formula>$F78</formula>
    </cfRule>
    <cfRule type="cellIs" dxfId="3501" priority="81" stopIfTrue="1" operator="lessThanOrEqual">
      <formula>0</formula>
    </cfRule>
  </conditionalFormatting>
  <conditionalFormatting sqref="C85:C89">
    <cfRule type="cellIs" dxfId="3500" priority="180" stopIfTrue="1" operator="lessThanOrEqual">
      <formula>0</formula>
    </cfRule>
  </conditionalFormatting>
  <conditionalFormatting sqref="C86:C89">
    <cfRule type="cellIs" dxfId="3499" priority="179" stopIfTrue="1" operator="greaterThan">
      <formula>$F$85</formula>
    </cfRule>
  </conditionalFormatting>
  <conditionalFormatting sqref="C91">
    <cfRule type="cellIs" dxfId="3498" priority="181" stopIfTrue="1" operator="greaterThan">
      <formula>$F$85</formula>
    </cfRule>
    <cfRule type="cellIs" dxfId="3497" priority="182" stopIfTrue="1" operator="lessThanOrEqual">
      <formula>0</formula>
    </cfRule>
  </conditionalFormatting>
  <conditionalFormatting sqref="C85:D85 D87:D93">
    <cfRule type="cellIs" dxfId="3496" priority="174" stopIfTrue="1" operator="greaterThan">
      <formula>4.5</formula>
    </cfRule>
  </conditionalFormatting>
  <conditionalFormatting sqref="D56:D57">
    <cfRule type="cellIs" dxfId="3495" priority="42" operator="notBetween">
      <formula>#REF!</formula>
      <formula>#REF!</formula>
    </cfRule>
  </conditionalFormatting>
  <conditionalFormatting sqref="D74:D81">
    <cfRule type="cellIs" dxfId="3494" priority="154" stopIfTrue="1" operator="lessThanOrEqual">
      <formula>0</formula>
    </cfRule>
  </conditionalFormatting>
  <conditionalFormatting sqref="D82">
    <cfRule type="cellIs" dxfId="3493" priority="153" stopIfTrue="1" operator="lessThanOrEqual">
      <formula>0</formula>
    </cfRule>
  </conditionalFormatting>
  <conditionalFormatting sqref="D85 D87:D93">
    <cfRule type="cellIs" dxfId="3492" priority="175" stopIfTrue="1" operator="lessThanOrEqual">
      <formula>0</formula>
    </cfRule>
  </conditionalFormatting>
  <conditionalFormatting sqref="D86">
    <cfRule type="cellIs" dxfId="3491" priority="167" stopIfTrue="1" operator="lessThanOrEqual">
      <formula>0</formula>
    </cfRule>
    <cfRule type="cellIs" dxfId="3490" priority="166" stopIfTrue="1" operator="greaterThan">
      <formula>$F$85</formula>
    </cfRule>
  </conditionalFormatting>
  <conditionalFormatting sqref="D74:E83">
    <cfRule type="cellIs" dxfId="3489" priority="139" stopIfTrue="1" operator="greaterThan">
      <formula>$F74</formula>
    </cfRule>
  </conditionalFormatting>
  <conditionalFormatting sqref="D83:E83">
    <cfRule type="cellIs" dxfId="3488" priority="140" stopIfTrue="1" operator="lessThanOrEqual">
      <formula>0</formula>
    </cfRule>
  </conditionalFormatting>
  <conditionalFormatting sqref="E10:E31">
    <cfRule type="cellIs" dxfId="3487" priority="34" operator="lessThan">
      <formula>48</formula>
    </cfRule>
  </conditionalFormatting>
  <conditionalFormatting sqref="E59 E60:F60">
    <cfRule type="cellIs" dxfId="3486" priority="171" stopIfTrue="1" operator="greaterThan">
      <formula>100</formula>
    </cfRule>
  </conditionalFormatting>
  <conditionalFormatting sqref="E60">
    <cfRule type="cellIs" dxfId="3485" priority="169" stopIfTrue="1" operator="greaterThan">
      <formula>100</formula>
    </cfRule>
    <cfRule type="cellIs" dxfId="3484" priority="168" stopIfTrue="1" operator="lessThan">
      <formula>96.8</formula>
    </cfRule>
  </conditionalFormatting>
  <conditionalFormatting sqref="E74:E82">
    <cfRule type="cellIs" dxfId="3483" priority="150" stopIfTrue="1" operator="lessThanOrEqual">
      <formula>0</formula>
    </cfRule>
  </conditionalFormatting>
  <conditionalFormatting sqref="E85:E93">
    <cfRule type="cellIs" dxfId="3482" priority="160" stopIfTrue="1" operator="greaterThan">
      <formula>4.5</formula>
    </cfRule>
    <cfRule type="cellIs" dxfId="3481" priority="161" stopIfTrue="1" operator="lessThanOrEqual">
      <formula>0</formula>
    </cfRule>
  </conditionalFormatting>
  <conditionalFormatting sqref="E60:F60 E59">
    <cfRule type="cellIs" dxfId="3480" priority="170" stopIfTrue="1" operator="lessThan">
      <formula>96.5</formula>
    </cfRule>
  </conditionalFormatting>
  <conditionalFormatting sqref="F10:F31">
    <cfRule type="cellIs" dxfId="3479" priority="35" operator="greaterThan">
      <formula>60</formula>
    </cfRule>
  </conditionalFormatting>
  <conditionalFormatting sqref="F60">
    <cfRule type="cellIs" dxfId="3478" priority="187" stopIfTrue="1" operator="greaterThan">
      <formula>100</formula>
    </cfRule>
    <cfRule type="cellIs" dxfId="3477" priority="186" stopIfTrue="1" operator="lessThan">
      <formula>96.8</formula>
    </cfRule>
  </conditionalFormatting>
  <conditionalFormatting sqref="F83">
    <cfRule type="cellIs" dxfId="3476" priority="151" stopIfTrue="1" operator="greaterThan">
      <formula>$F83</formula>
    </cfRule>
    <cfRule type="cellIs" dxfId="3475" priority="152" stopIfTrue="1" operator="lessThanOrEqual">
      <formula>0</formula>
    </cfRule>
  </conditionalFormatting>
  <conditionalFormatting sqref="G29:G30">
    <cfRule type="expression" dxfId="3474" priority="12">
      <formula>IF(+(IF(G29&lt;S29,0,IF(G29&gt;T29,0,1)))=0,1)</formula>
    </cfRule>
  </conditionalFormatting>
  <conditionalFormatting sqref="G74:G75 C80:C82">
    <cfRule type="cellIs" dxfId="3473" priority="156" stopIfTrue="1" operator="lessThanOrEqual">
      <formula>0</formula>
    </cfRule>
  </conditionalFormatting>
  <conditionalFormatting sqref="G74:G75">
    <cfRule type="cellIs" dxfId="3472" priority="144" stopIfTrue="1" operator="lessThanOrEqual">
      <formula>0</formula>
    </cfRule>
    <cfRule type="cellIs" dxfId="3471" priority="155" stopIfTrue="1" operator="greaterThan">
      <formula>$F74</formula>
    </cfRule>
    <cfRule type="cellIs" dxfId="3470" priority="143" stopIfTrue="1" operator="greaterThan">
      <formula>$F74</formula>
    </cfRule>
  </conditionalFormatting>
  <conditionalFormatting sqref="G76">
    <cfRule type="cellIs" dxfId="3469" priority="191" stopIfTrue="1" operator="lessThanOrEqual">
      <formula>0</formula>
    </cfRule>
    <cfRule type="cellIs" dxfId="3468" priority="190" stopIfTrue="1" operator="greaterThan">
      <formula>$F75</formula>
    </cfRule>
  </conditionalFormatting>
  <conditionalFormatting sqref="G77">
    <cfRule type="cellIs" dxfId="3467" priority="38" stopIfTrue="1" operator="lessThanOrEqual">
      <formula>0</formula>
    </cfRule>
    <cfRule type="cellIs" dxfId="3466" priority="39" stopIfTrue="1" operator="greaterThan">
      <formula>$F77</formula>
    </cfRule>
    <cfRule type="cellIs" dxfId="3465" priority="40" stopIfTrue="1" operator="lessThanOrEqual">
      <formula>0</formula>
    </cfRule>
    <cfRule type="cellIs" dxfId="3464" priority="37" stopIfTrue="1" operator="greaterThan">
      <formula>$F77</formula>
    </cfRule>
  </conditionalFormatting>
  <conditionalFormatting sqref="G78:G82">
    <cfRule type="cellIs" dxfId="3463" priority="158" stopIfTrue="1" operator="lessThanOrEqual">
      <formula>0</formula>
    </cfRule>
    <cfRule type="cellIs" dxfId="3462" priority="157" stopIfTrue="1" operator="greaterThan">
      <formula>$J78</formula>
    </cfRule>
  </conditionalFormatting>
  <conditionalFormatting sqref="G87:G92 C90 C92">
    <cfRule type="cellIs" dxfId="3461" priority="183" stopIfTrue="1" operator="greaterThan">
      <formula>4.5</formula>
    </cfRule>
    <cfRule type="cellIs" dxfId="3460" priority="184" stopIfTrue="1" operator="lessThanOrEqual">
      <formula>0</formula>
    </cfRule>
  </conditionalFormatting>
  <conditionalFormatting sqref="G86:H86">
    <cfRule type="cellIs" dxfId="3459" priority="165" stopIfTrue="1" operator="lessThanOrEqual">
      <formula>0</formula>
    </cfRule>
    <cfRule type="cellIs" dxfId="3458" priority="164" stopIfTrue="1" operator="greaterThan">
      <formula>$F$85</formula>
    </cfRule>
  </conditionalFormatting>
  <conditionalFormatting sqref="H45:H46 H59">
    <cfRule type="cellIs" dxfId="3457" priority="162" stopIfTrue="1" operator="greaterThan">
      <formula>0</formula>
    </cfRule>
  </conditionalFormatting>
  <conditionalFormatting sqref="H63">
    <cfRule type="cellIs" dxfId="3456" priority="21" stopIfTrue="1" operator="lessThanOrEqual">
      <formula>0</formula>
    </cfRule>
    <cfRule type="cellIs" dxfId="3455" priority="22" stopIfTrue="1" operator="greaterThan">
      <formula>$F$78</formula>
    </cfRule>
    <cfRule type="cellIs" dxfId="3454" priority="30" stopIfTrue="1" operator="greaterThan">
      <formula>$F$81</formula>
    </cfRule>
    <cfRule type="cellIs" dxfId="3453" priority="31" stopIfTrue="1" operator="lessThanOrEqual">
      <formula>0</formula>
    </cfRule>
    <cfRule type="cellIs" dxfId="3452" priority="33" stopIfTrue="1" operator="lessThanOrEqual">
      <formula>0</formula>
    </cfRule>
    <cfRule type="cellIs" dxfId="3451" priority="32" stopIfTrue="1" operator="greaterThan">
      <formula>$F$79</formula>
    </cfRule>
  </conditionalFormatting>
  <conditionalFormatting sqref="H64">
    <cfRule type="cellIs" dxfId="3450" priority="107" stopIfTrue="1" operator="greaterThan">
      <formula>$F$32</formula>
    </cfRule>
    <cfRule type="cellIs" dxfId="3449" priority="99" stopIfTrue="1" operator="greaterThan">
      <formula>#REF!</formula>
    </cfRule>
    <cfRule type="cellIs" dxfId="3448" priority="98" stopIfTrue="1" operator="lessThanOrEqual">
      <formula>0</formula>
    </cfRule>
    <cfRule type="cellIs" dxfId="3447" priority="110" stopIfTrue="1" operator="lessThanOrEqual">
      <formula>0</formula>
    </cfRule>
    <cfRule type="cellIs" dxfId="3446" priority="109" stopIfTrue="1" operator="greaterThan">
      <formula>#REF!</formula>
    </cfRule>
    <cfRule type="cellIs" dxfId="3445" priority="108" stopIfTrue="1" operator="lessThanOrEqual">
      <formula>0</formula>
    </cfRule>
  </conditionalFormatting>
  <conditionalFormatting sqref="H65">
    <cfRule type="cellIs" dxfId="3444" priority="67" stopIfTrue="1" operator="greaterThan">
      <formula>$F$75</formula>
    </cfRule>
    <cfRule type="cellIs" dxfId="3443" priority="75" stopIfTrue="1" operator="greaterThan">
      <formula>$F$78</formula>
    </cfRule>
    <cfRule type="cellIs" dxfId="3442" priority="77" stopIfTrue="1" operator="greaterThan">
      <formula>$F$76</formula>
    </cfRule>
    <cfRule type="cellIs" dxfId="3441" priority="78" stopIfTrue="1" operator="lessThanOrEqual">
      <formula>0</formula>
    </cfRule>
    <cfRule type="cellIs" dxfId="3440" priority="66" stopIfTrue="1" operator="lessThanOrEqual">
      <formula>0</formula>
    </cfRule>
    <cfRule type="cellIs" dxfId="3439" priority="76" stopIfTrue="1" operator="lessThanOrEqual">
      <formula>0</formula>
    </cfRule>
  </conditionalFormatting>
  <conditionalFormatting sqref="H66:H67">
    <cfRule type="cellIs" dxfId="3438" priority="84" stopIfTrue="1" operator="lessThanOrEqual">
      <formula>0</formula>
    </cfRule>
    <cfRule type="cellIs" dxfId="3437" priority="85" stopIfTrue="1" operator="greaterThan">
      <formula>#REF!</formula>
    </cfRule>
    <cfRule type="cellIs" dxfId="3436" priority="93" stopIfTrue="1" operator="greaterThan">
      <formula>$F$31</formula>
    </cfRule>
    <cfRule type="cellIs" dxfId="3435" priority="94" stopIfTrue="1" operator="lessThanOrEqual">
      <formula>0</formula>
    </cfRule>
    <cfRule type="cellIs" dxfId="3434" priority="95" stopIfTrue="1" operator="greaterThan">
      <formula>#REF!</formula>
    </cfRule>
    <cfRule type="cellIs" dxfId="3433" priority="96" stopIfTrue="1" operator="lessThanOrEqual">
      <formula>0</formula>
    </cfRule>
  </conditionalFormatting>
  <conditionalFormatting sqref="H68">
    <cfRule type="cellIs" dxfId="3432" priority="124" stopIfTrue="1" operator="greaterThan">
      <formula>$F$45</formula>
    </cfRule>
    <cfRule type="cellIs" dxfId="3431" priority="125" stopIfTrue="1" operator="lessThanOrEqual">
      <formula>0</formula>
    </cfRule>
    <cfRule type="cellIs" dxfId="3430" priority="122" stopIfTrue="1" operator="greaterThan">
      <formula>$F$47</formula>
    </cfRule>
    <cfRule type="cellIs" dxfId="3429" priority="114" stopIfTrue="1" operator="greaterThan">
      <formula>$F$44</formula>
    </cfRule>
    <cfRule type="cellIs" dxfId="3428" priority="113" stopIfTrue="1" operator="lessThanOrEqual">
      <formula>0</formula>
    </cfRule>
    <cfRule type="cellIs" dxfId="3427" priority="123" stopIfTrue="1" operator="lessThanOrEqual">
      <formula>0</formula>
    </cfRule>
  </conditionalFormatting>
  <conditionalFormatting sqref="H69:H70">
    <cfRule type="cellIs" dxfId="3426" priority="53" stopIfTrue="1" operator="greaterThan">
      <formula>#REF!</formula>
    </cfRule>
    <cfRule type="cellIs" dxfId="3425" priority="61" stopIfTrue="1" operator="greaterThan">
      <formula>$F$31</formula>
    </cfRule>
    <cfRule type="cellIs" dxfId="3424" priority="62" stopIfTrue="1" operator="lessThanOrEqual">
      <formula>0</formula>
    </cfRule>
    <cfRule type="cellIs" dxfId="3423" priority="63" stopIfTrue="1" operator="greaterThan">
      <formula>#REF!</formula>
    </cfRule>
    <cfRule type="cellIs" dxfId="3422" priority="64" stopIfTrue="1" operator="lessThanOrEqual">
      <formula>0</formula>
    </cfRule>
    <cfRule type="cellIs" dxfId="3421" priority="52" stopIfTrue="1" operator="lessThanOrEqual">
      <formula>0</formula>
    </cfRule>
  </conditionalFormatting>
  <conditionalFormatting sqref="H74:H81">
    <cfRule type="cellIs" dxfId="3420" priority="146" stopIfTrue="1" operator="lessThanOrEqual">
      <formula>0</formula>
    </cfRule>
    <cfRule type="cellIs" dxfId="3419" priority="145" stopIfTrue="1" operator="greaterThan">
      <formula>$J74</formula>
    </cfRule>
  </conditionalFormatting>
  <conditionalFormatting sqref="H82">
    <cfRule type="cellIs" dxfId="3418" priority="147" operator="greaterThan">
      <formula>5.3</formula>
    </cfRule>
  </conditionalFormatting>
  <conditionalFormatting sqref="H85 H87:H93">
    <cfRule type="cellIs" dxfId="3417" priority="177" stopIfTrue="1" operator="lessThanOrEqual">
      <formula>0</formula>
    </cfRule>
    <cfRule type="cellIs" dxfId="3416" priority="176" stopIfTrue="1" operator="greaterThan">
      <formula>4.5</formula>
    </cfRule>
  </conditionalFormatting>
  <conditionalFormatting sqref="H63:I63">
    <cfRule type="cellIs" dxfId="3415" priority="20" stopIfTrue="1" operator="greaterThan">
      <formula>$F$80</formula>
    </cfRule>
    <cfRule type="cellIs" dxfId="3414" priority="23" stopIfTrue="1" operator="lessThanOrEqual">
      <formula>0</formula>
    </cfRule>
  </conditionalFormatting>
  <conditionalFormatting sqref="H64:I64">
    <cfRule type="cellIs" dxfId="3413" priority="100" stopIfTrue="1" operator="lessThanOrEqual">
      <formula>0</formula>
    </cfRule>
    <cfRule type="cellIs" dxfId="3412" priority="97" stopIfTrue="1" operator="greaterThan">
      <formula>$F$31</formula>
    </cfRule>
  </conditionalFormatting>
  <conditionalFormatting sqref="H65:I65">
    <cfRule type="cellIs" dxfId="3411" priority="65" stopIfTrue="1" operator="greaterThan">
      <formula>$F$77</formula>
    </cfRule>
    <cfRule type="cellIs" dxfId="3410" priority="68" stopIfTrue="1" operator="lessThanOrEqual">
      <formula>0</formula>
    </cfRule>
  </conditionalFormatting>
  <conditionalFormatting sqref="H66:I67">
    <cfRule type="cellIs" dxfId="3409" priority="86" stopIfTrue="1" operator="lessThanOrEqual">
      <formula>0</formula>
    </cfRule>
    <cfRule type="cellIs" dxfId="3408" priority="83" stopIfTrue="1" operator="greaterThan">
      <formula>#REF!</formula>
    </cfRule>
  </conditionalFormatting>
  <conditionalFormatting sqref="H68:I68">
    <cfRule type="cellIs" dxfId="3407" priority="112" stopIfTrue="1" operator="greaterThan">
      <formula>$F$46</formula>
    </cfRule>
    <cfRule type="cellIs" dxfId="3406" priority="115" stopIfTrue="1" operator="lessThanOrEqual">
      <formula>0</formula>
    </cfRule>
  </conditionalFormatting>
  <conditionalFormatting sqref="H69:I70">
    <cfRule type="cellIs" dxfId="3405" priority="51" stopIfTrue="1" operator="greaterThan">
      <formula>#REF!</formula>
    </cfRule>
    <cfRule type="cellIs" dxfId="3404" priority="54" stopIfTrue="1" operator="lessThanOrEqual">
      <formula>0</formula>
    </cfRule>
  </conditionalFormatting>
  <conditionalFormatting sqref="H83:I83">
    <cfRule type="cellIs" dxfId="3403" priority="137" stopIfTrue="1" operator="greaterThan">
      <formula>$J83</formula>
    </cfRule>
    <cfRule type="cellIs" dxfId="3402" priority="138" stopIfTrue="1" operator="lessThanOrEqual">
      <formula>0</formula>
    </cfRule>
  </conditionalFormatting>
  <conditionalFormatting sqref="I63">
    <cfRule type="cellIs" dxfId="3401" priority="24" stopIfTrue="1" operator="greaterThan">
      <formula>$F$78</formula>
    </cfRule>
    <cfRule type="cellIs" dxfId="3400" priority="29" stopIfTrue="1" operator="lessThanOrEqual">
      <formula>0</formula>
    </cfRule>
    <cfRule type="cellIs" dxfId="3399" priority="28" stopIfTrue="1" operator="greaterThan">
      <formula>$F$78</formula>
    </cfRule>
    <cfRule type="cellIs" dxfId="3398" priority="27" stopIfTrue="1" operator="lessThanOrEqual">
      <formula>0</formula>
    </cfRule>
    <cfRule type="cellIs" dxfId="3397" priority="26" stopIfTrue="1" operator="greaterThan">
      <formula>$F$80</formula>
    </cfRule>
    <cfRule type="cellIs" dxfId="3396" priority="25" stopIfTrue="1" operator="lessThanOrEqual">
      <formula>0</formula>
    </cfRule>
  </conditionalFormatting>
  <conditionalFormatting sqref="I64">
    <cfRule type="cellIs" dxfId="3395" priority="101" stopIfTrue="1" operator="greaterThan">
      <formula>#REF!</formula>
    </cfRule>
    <cfRule type="cellIs" dxfId="3394" priority="105" stopIfTrue="1" operator="greaterThan">
      <formula>#REF!</formula>
    </cfRule>
    <cfRule type="cellIs" dxfId="3393" priority="102" stopIfTrue="1" operator="lessThanOrEqual">
      <formula>0</formula>
    </cfRule>
    <cfRule type="cellIs" dxfId="3392" priority="103" stopIfTrue="1" operator="greaterThan">
      <formula>$F$31</formula>
    </cfRule>
    <cfRule type="cellIs" dxfId="3391" priority="104" stopIfTrue="1" operator="lessThanOrEqual">
      <formula>0</formula>
    </cfRule>
    <cfRule type="cellIs" dxfId="3390" priority="106" stopIfTrue="1" operator="lessThanOrEqual">
      <formula>0</formula>
    </cfRule>
  </conditionalFormatting>
  <conditionalFormatting sqref="I65">
    <cfRule type="cellIs" dxfId="3389" priority="73" stopIfTrue="1" operator="greaterThan">
      <formula>$F$75</formula>
    </cfRule>
    <cfRule type="cellIs" dxfId="3388" priority="69" stopIfTrue="1" operator="greaterThan">
      <formula>$F$75</formula>
    </cfRule>
    <cfRule type="cellIs" dxfId="3387" priority="70" stopIfTrue="1" operator="lessThanOrEqual">
      <formula>0</formula>
    </cfRule>
    <cfRule type="cellIs" dxfId="3386" priority="71" stopIfTrue="1" operator="greaterThan">
      <formula>$F$77</formula>
    </cfRule>
    <cfRule type="cellIs" dxfId="3385" priority="72" stopIfTrue="1" operator="lessThanOrEqual">
      <formula>0</formula>
    </cfRule>
    <cfRule type="cellIs" dxfId="3384" priority="74" stopIfTrue="1" operator="lessThanOrEqual">
      <formula>0</formula>
    </cfRule>
  </conditionalFormatting>
  <conditionalFormatting sqref="I66:I67">
    <cfRule type="cellIs" dxfId="3383" priority="87" stopIfTrue="1" operator="greaterThan">
      <formula>#REF!</formula>
    </cfRule>
    <cfRule type="cellIs" dxfId="3382" priority="92" stopIfTrue="1" operator="lessThanOrEqual">
      <formula>0</formula>
    </cfRule>
    <cfRule type="cellIs" dxfId="3381" priority="91" stopIfTrue="1" operator="greaterThan">
      <formula>#REF!</formula>
    </cfRule>
    <cfRule type="cellIs" dxfId="3380" priority="90" stopIfTrue="1" operator="lessThanOrEqual">
      <formula>0</formula>
    </cfRule>
    <cfRule type="cellIs" dxfId="3379" priority="89" stopIfTrue="1" operator="greaterThan">
      <formula>#REF!</formula>
    </cfRule>
    <cfRule type="cellIs" dxfId="3378" priority="88" stopIfTrue="1" operator="lessThanOrEqual">
      <formula>0</formula>
    </cfRule>
  </conditionalFormatting>
  <conditionalFormatting sqref="I68">
    <cfRule type="cellIs" dxfId="3377" priority="118" stopIfTrue="1" operator="greaterThan">
      <formula>$F$46</formula>
    </cfRule>
    <cfRule type="cellIs" dxfId="3376" priority="116" stopIfTrue="1" operator="greaterThan">
      <formula>$F$44</formula>
    </cfRule>
    <cfRule type="cellIs" dxfId="3375" priority="121" stopIfTrue="1" operator="lessThanOrEqual">
      <formula>0</formula>
    </cfRule>
    <cfRule type="cellIs" dxfId="3374" priority="120" stopIfTrue="1" operator="greaterThan">
      <formula>$F$44</formula>
    </cfRule>
    <cfRule type="cellIs" dxfId="3373" priority="119" stopIfTrue="1" operator="lessThanOrEqual">
      <formula>0</formula>
    </cfRule>
    <cfRule type="cellIs" dxfId="3372" priority="117" stopIfTrue="1" operator="lessThanOrEqual">
      <formula>0</formula>
    </cfRule>
  </conditionalFormatting>
  <conditionalFormatting sqref="I69:I70">
    <cfRule type="cellIs" dxfId="3371" priority="60" stopIfTrue="1" operator="lessThanOrEqual">
      <formula>0</formula>
    </cfRule>
    <cfRule type="cellIs" dxfId="3370" priority="58" stopIfTrue="1" operator="lessThanOrEqual">
      <formula>0</formula>
    </cfRule>
    <cfRule type="cellIs" dxfId="3369" priority="57" stopIfTrue="1" operator="greaterThan">
      <formula>#REF!</formula>
    </cfRule>
    <cfRule type="cellIs" dxfId="3368" priority="56" stopIfTrue="1" operator="lessThanOrEqual">
      <formula>0</formula>
    </cfRule>
    <cfRule type="cellIs" dxfId="3367" priority="55" stopIfTrue="1" operator="greaterThan">
      <formula>#REF!</formula>
    </cfRule>
    <cfRule type="cellIs" dxfId="3366" priority="59" stopIfTrue="1" operator="greaterThan">
      <formula>#REF!</formula>
    </cfRule>
  </conditionalFormatting>
  <conditionalFormatting sqref="I74:I82">
    <cfRule type="cellIs" dxfId="3365" priority="149" stopIfTrue="1" operator="lessThanOrEqual">
      <formula>0</formula>
    </cfRule>
    <cfRule type="cellIs" dxfId="3364" priority="148" stopIfTrue="1" operator="greaterThan">
      <formula>$J74</formula>
    </cfRule>
  </conditionalFormatting>
  <conditionalFormatting sqref="I85:I93">
    <cfRule type="cellIs" dxfId="3363" priority="172" stopIfTrue="1" operator="greaterThan">
      <formula>4.5</formula>
    </cfRule>
    <cfRule type="cellIs" dxfId="3362" priority="173" stopIfTrue="1" operator="lessThanOrEqual">
      <formula>0</formula>
    </cfRule>
  </conditionalFormatting>
  <conditionalFormatting sqref="I10:J31">
    <cfRule type="cellIs" dxfId="3361" priority="14" operator="lessThan">
      <formula>97.9</formula>
    </cfRule>
  </conditionalFormatting>
  <conditionalFormatting sqref="J35:J36">
    <cfRule type="cellIs" dxfId="3360" priority="129" operator="lessThan">
      <formula>98</formula>
    </cfRule>
    <cfRule type="cellIs" dxfId="3359" priority="128" stopIfTrue="1" operator="greaterThan">
      <formula>100</formula>
    </cfRule>
    <cfRule type="cellIs" dxfId="3358" priority="127" stopIfTrue="1" operator="lessThan">
      <formula>96.8</formula>
    </cfRule>
  </conditionalFormatting>
  <conditionalFormatting sqref="J35:J38">
    <cfRule type="cellIs" dxfId="3357" priority="126" operator="lessThan">
      <formula>97.4</formula>
    </cfRule>
  </conditionalFormatting>
  <conditionalFormatting sqref="J39:J40">
    <cfRule type="cellIs" dxfId="3356" priority="130" operator="lessThan">
      <formula>98</formula>
    </cfRule>
  </conditionalFormatting>
  <conditionalFormatting sqref="J41:J42">
    <cfRule type="cellIs" dxfId="3355" priority="132" stopIfTrue="1" operator="greaterThan">
      <formula>100</formula>
    </cfRule>
    <cfRule type="cellIs" dxfId="3354" priority="131" stopIfTrue="1" operator="lessThan">
      <formula>96.8</formula>
    </cfRule>
  </conditionalFormatting>
  <conditionalFormatting sqref="J41:J43">
    <cfRule type="cellIs" dxfId="3353" priority="133" operator="lessThan">
      <formula>98</formula>
    </cfRule>
  </conditionalFormatting>
  <conditionalFormatting sqref="J70">
    <cfRule type="cellIs" dxfId="3352" priority="50" stopIfTrue="1" operator="lessThanOrEqual">
      <formula>0</formula>
    </cfRule>
    <cfRule type="cellIs" dxfId="3351" priority="49" stopIfTrue="1" operator="greaterThan">
      <formula>#REF!</formula>
    </cfRule>
    <cfRule type="cellIs" dxfId="3350" priority="48" stopIfTrue="1" operator="lessThanOrEqual">
      <formula>0</formula>
    </cfRule>
    <cfRule type="cellIs" dxfId="3349" priority="47" stopIfTrue="1" operator="greaterThan">
      <formula>#REF!</formula>
    </cfRule>
    <cfRule type="cellIs" dxfId="3348" priority="46" stopIfTrue="1" operator="lessThanOrEqual">
      <formula>0</formula>
    </cfRule>
    <cfRule type="cellIs" dxfId="3347" priority="45" stopIfTrue="1" operator="greaterThan">
      <formula>#REF!</formula>
    </cfRule>
    <cfRule type="cellIs" dxfId="3346" priority="43" stopIfTrue="1" operator="greaterThan">
      <formula>#REF!</formula>
    </cfRule>
    <cfRule type="cellIs" dxfId="3345" priority="44" stopIfTrue="1" operator="lessThanOrEqual">
      <formula>0</formula>
    </cfRule>
  </conditionalFormatting>
  <conditionalFormatting sqref="J83">
    <cfRule type="cellIs" dxfId="3344" priority="135" stopIfTrue="1" operator="lessThanOrEqual">
      <formula>0</formula>
    </cfRule>
    <cfRule type="cellIs" dxfId="3343" priority="134" stopIfTrue="1" operator="greaterThan">
      <formula>$F83</formula>
    </cfRule>
  </conditionalFormatting>
  <conditionalFormatting sqref="K10:K31">
    <cfRule type="cellIs" dxfId="3342" priority="17" operator="greaterThan">
      <formula>6.4</formula>
    </cfRule>
    <cfRule type="cellIs" dxfId="3341" priority="16" operator="lessThan">
      <formula>4</formula>
    </cfRule>
    <cfRule type="cellIs" dxfId="3340" priority="15" operator="greaterThan">
      <formula>6</formula>
    </cfRule>
  </conditionalFormatting>
  <conditionalFormatting sqref="K63:K70 K74:N80 K81 M81:N81 K82:N82">
    <cfRule type="cellIs" dxfId="3339" priority="111" stopIfTrue="1" operator="lessThan">
      <formula>100%</formula>
    </cfRule>
  </conditionalFormatting>
  <conditionalFormatting sqref="K85:K90">
    <cfRule type="cellIs" dxfId="3338" priority="178" stopIfTrue="1" operator="lessThan">
      <formula>100%</formula>
    </cfRule>
  </conditionalFormatting>
  <conditionalFormatting sqref="K92:K93">
    <cfRule type="cellIs" dxfId="3337" priority="185" stopIfTrue="1" operator="lessThan">
      <formula>100%</formula>
    </cfRule>
  </conditionalFormatting>
  <conditionalFormatting sqref="L24:L31">
    <cfRule type="cellIs" dxfId="3336" priority="19" operator="greaterThan">
      <formula>65</formula>
    </cfRule>
    <cfRule type="cellIs" dxfId="3335" priority="18" operator="between">
      <formula>61</formula>
      <formula>65</formula>
    </cfRule>
  </conditionalFormatting>
  <conditionalFormatting sqref="L10:M23">
    <cfRule type="cellIs" dxfId="3334" priority="1" operator="greaterThan">
      <formula>65</formula>
    </cfRule>
    <cfRule type="cellIs" dxfId="3333" priority="2" operator="between">
      <formula>61</formula>
      <formula>65</formula>
    </cfRule>
  </conditionalFormatting>
  <conditionalFormatting sqref="L34:M45">
    <cfRule type="cellIs" dxfId="3332" priority="79" operator="lessThan">
      <formula>97.95</formula>
    </cfRule>
  </conditionalFormatting>
  <conditionalFormatting sqref="L49:N49">
    <cfRule type="cellIs" dxfId="3331" priority="80" operator="notEqual">
      <formula>#REF!</formula>
    </cfRule>
  </conditionalFormatting>
  <conditionalFormatting sqref="L83:N83">
    <cfRule type="cellIs" dxfId="3330" priority="136" stopIfTrue="1" operator="lessThan">
      <formula>100%</formula>
    </cfRule>
  </conditionalFormatting>
  <conditionalFormatting sqref="L85:N93">
    <cfRule type="cellIs" dxfId="3329" priority="163" stopIfTrue="1" operator="lessThan">
      <formula>100%</formula>
    </cfRule>
  </conditionalFormatting>
  <conditionalFormatting sqref="M10:M23 G10:G28 H24:H26 G31:H31">
    <cfRule type="expression" dxfId="3328" priority="36">
      <formula>IF(+(IF(G10&lt;#REF!,0,IF(G10&gt;#REF!,0,1)))=0,1)</formula>
    </cfRule>
  </conditionalFormatting>
  <conditionalFormatting sqref="M24:M30">
    <cfRule type="expression" dxfId="3327" priority="11">
      <formula>IF(+(IF(M24&lt;U24,0,IF(M24&gt;V24,0,1)))=0,1)</formula>
    </cfRule>
  </conditionalFormatting>
  <conditionalFormatting sqref="M31:N31">
    <cfRule type="expression" dxfId="3326" priority="193">
      <formula>IF(+(IF(M31&lt;#REF!,0,IF(M31&gt;#REF!,0,1)))=0,1)</formula>
    </cfRule>
  </conditionalFormatting>
  <conditionalFormatting sqref="N10:N30">
    <cfRule type="expression" dxfId="3325" priority="13">
      <formula>IF(+(IF(N10&lt;W10,0,IF(N10&gt;X10,0,1)))=0,1)</formula>
    </cfRule>
  </conditionalFormatting>
  <conditionalFormatting sqref="P6">
    <cfRule type="cellIs" dxfId="3324" priority="159" operator="greaterThanOrEqual">
      <formula>19</formula>
    </cfRule>
  </conditionalFormatting>
  <dataValidations count="1">
    <dataValidation type="list" allowBlank="1" showInputMessage="1" showErrorMessage="1" sqref="R8" xr:uid="{28713005-6FA5-4F93-962F-D8E6891ADEA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91A7-C17A-4F2A-A42A-62EEDB5CAE79}">
  <sheetPr>
    <pageSetUpPr fitToPage="1"/>
  </sheetPr>
  <dimension ref="A1:BE76"/>
  <sheetViews>
    <sheetView topLeftCell="A15" zoomScale="80" zoomScaleNormal="80" workbookViewId="0">
      <selection activeCell="B15" sqref="B15:O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45996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[24]Brewhouse!$A492</f>
        <v>ST467</v>
      </c>
      <c r="D10" s="279">
        <f>[24]Brewhouse!$AD492</f>
        <v>48.1</v>
      </c>
      <c r="E10" s="279">
        <f>[24]Brewhouse!$AG492</f>
        <v>47.4</v>
      </c>
      <c r="F10" s="278">
        <f>[24]Brewhouse!$V492</f>
        <v>56</v>
      </c>
      <c r="G10" s="279">
        <f>[24]Brewhouse!$AE492</f>
        <v>11.9</v>
      </c>
      <c r="H10" s="396">
        <v>11.9</v>
      </c>
      <c r="I10" s="488">
        <f>[24]Brewhouse!$AS492</f>
        <v>95.193452814567109</v>
      </c>
      <c r="J10" s="488">
        <f>[24]Brewhouse!$AT492</f>
        <v>95.29231146241861</v>
      </c>
      <c r="K10" s="281">
        <f>[24]Brewhouse!$Q492</f>
        <v>12.811900191938575</v>
      </c>
      <c r="L10" s="276">
        <f>[24]Brewhouse!$P492</f>
        <v>56</v>
      </c>
      <c r="M10" s="374">
        <f>[24]Brewhouse!$U492-[24]Brewhouse!$T492</f>
        <v>0.10416666666666674</v>
      </c>
      <c r="N10" s="370">
        <f>[24]Brewhouse!$AW492</f>
        <v>0.25694444444444442</v>
      </c>
      <c r="O10" s="420" t="str">
        <f>[24]Brewhouse!$AV492</f>
        <v>R.Sookram</v>
      </c>
      <c r="P10" s="418"/>
      <c r="R10" s="277" t="str">
        <f t="shared" ref="R10:R38" si="0">B10</f>
        <v>STAG</v>
      </c>
      <c r="S10" s="475">
        <f t="shared" ref="S10:S38" si="1">VLOOKUP($B10,$R$3:$X$9,2,FALSE)</f>
        <v>11.6</v>
      </c>
      <c r="T10" s="475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5">
        <f t="shared" ref="Z10:Z38" si="8">VLOOKUP($B10,$R$3:$Z$9,9,FALSE)</f>
        <v>60</v>
      </c>
    </row>
    <row r="11" spans="2:29" ht="16.5" customHeight="1">
      <c r="B11" s="33" t="s">
        <v>9</v>
      </c>
      <c r="C11" s="366" t="str">
        <f>[24]Brewhouse!$A493</f>
        <v>ST468</v>
      </c>
      <c r="D11" s="279">
        <f>[24]Brewhouse!$AD493</f>
        <v>47.9</v>
      </c>
      <c r="E11" s="279">
        <f>[24]Brewhouse!$AG493</f>
        <v>45.8</v>
      </c>
      <c r="F11" s="278">
        <f>[24]Brewhouse!$V493</f>
        <v>58</v>
      </c>
      <c r="G11" s="279">
        <f>[24]Brewhouse!$AE493</f>
        <v>12</v>
      </c>
      <c r="H11" s="396">
        <v>11.9</v>
      </c>
      <c r="I11" s="488">
        <f>[24]Brewhouse!$AS493</f>
        <v>93.142631827925101</v>
      </c>
      <c r="J11" s="488">
        <f>[24]Brewhouse!$AT493</f>
        <v>93.239265055815039</v>
      </c>
      <c r="K11" s="281">
        <f>[24]Brewhouse!$Q493</f>
        <v>10.913461538461533</v>
      </c>
      <c r="L11" s="276">
        <f>[24]Brewhouse!$P493</f>
        <v>62</v>
      </c>
      <c r="M11" s="374">
        <f>[24]Brewhouse!$U493-[24]Brewhouse!$T493</f>
        <v>0.11597222222222225</v>
      </c>
      <c r="N11" s="370">
        <f>[24]Brewhouse!$AW493</f>
        <v>0.29027777777777775</v>
      </c>
      <c r="O11" s="420" t="str">
        <f>[24]Brewhouse!$AV493</f>
        <v>K. Benjamin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[24]Brewhouse!$A494</f>
        <v>ST469</v>
      </c>
      <c r="D12" s="279">
        <f>[24]Brewhouse!$AD494</f>
        <v>48.3</v>
      </c>
      <c r="E12" s="279">
        <f>[24]Brewhouse!$AG494</f>
        <v>49.21</v>
      </c>
      <c r="F12" s="278">
        <f>[24]Brewhouse!$V494</f>
        <v>60</v>
      </c>
      <c r="G12" s="279">
        <f>[24]Brewhouse!$AE494</f>
        <v>11.8</v>
      </c>
      <c r="H12" s="396">
        <v>11.8</v>
      </c>
      <c r="I12" s="488">
        <f>[24]Brewhouse!$AS494</f>
        <v>97.832827979542373</v>
      </c>
      <c r="J12" s="488">
        <f>[24]Brewhouse!$AT494</f>
        <v>97.934460942230388</v>
      </c>
      <c r="K12" s="281">
        <f>[24]Brewhouse!$Q494</f>
        <v>10.144230769230766</v>
      </c>
      <c r="L12" s="276">
        <f>[24]Brewhouse!$P494</f>
        <v>59</v>
      </c>
      <c r="M12" s="374">
        <f>[24]Brewhouse!$U494-[24]Brewhouse!$T494</f>
        <v>0.11527777777777781</v>
      </c>
      <c r="N12" s="370">
        <f>[24]Brewhouse!$AW494</f>
        <v>0.26250000000000001</v>
      </c>
      <c r="O12" s="420" t="str">
        <f>[24]Brewhouse!$AV494</f>
        <v>K. Benjamin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[24]Brewhouse!$A495</f>
        <v>ST470</v>
      </c>
      <c r="D13" s="279">
        <f>[24]Brewhouse!$AD495</f>
        <v>49</v>
      </c>
      <c r="E13" s="279">
        <f>[24]Brewhouse!$AG495</f>
        <v>48.8</v>
      </c>
      <c r="F13" s="278">
        <f>[24]Brewhouse!$V495</f>
        <v>61</v>
      </c>
      <c r="G13" s="279">
        <f>[24]Brewhouse!$AE495</f>
        <v>12</v>
      </c>
      <c r="H13" s="396">
        <v>11.9</v>
      </c>
      <c r="I13" s="488">
        <f>[24]Brewhouse!$AS495</f>
        <v>99.119133938675546</v>
      </c>
      <c r="J13" s="488">
        <f>[24]Brewhouse!$AT495</f>
        <v>99.22200165262079</v>
      </c>
      <c r="K13" s="281">
        <f>[24]Brewhouse!$Q495</f>
        <v>9.7408829174664167</v>
      </c>
      <c r="L13" s="276">
        <f>[24]Brewhouse!$P495</f>
        <v>60</v>
      </c>
      <c r="M13" s="374">
        <f>[24]Brewhouse!$U495-[24]Brewhouse!$T495</f>
        <v>0.11388888888888893</v>
      </c>
      <c r="N13" s="370">
        <f>[24]Brewhouse!$AW495</f>
        <v>0.33819444444444446</v>
      </c>
      <c r="O13" s="420" t="str">
        <f>[24]Brewhouse!$AV495</f>
        <v>R. Regis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/>
      <c r="C14" s="366"/>
      <c r="D14" s="279"/>
      <c r="E14" s="279"/>
      <c r="F14" s="278"/>
      <c r="G14" s="279"/>
      <c r="H14" s="396"/>
      <c r="I14" s="488"/>
      <c r="J14" s="488"/>
      <c r="K14" s="281"/>
      <c r="L14" s="276"/>
      <c r="M14" s="374"/>
      <c r="N14" s="370"/>
      <c r="O14" s="420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29" t="s">
        <v>6</v>
      </c>
      <c r="C15" s="366" t="str">
        <f>[23]Brewhouse!$A1005</f>
        <v>CA889</v>
      </c>
      <c r="D15" s="279">
        <f>[23]Brewhouse!$AF1005</f>
        <v>51.2</v>
      </c>
      <c r="E15" s="279">
        <f>[23]Brewhouse!$AI1005</f>
        <v>51.2</v>
      </c>
      <c r="F15" s="278">
        <f>[23]Brewhouse!$V1005</f>
        <v>59</v>
      </c>
      <c r="G15" s="279">
        <f>[23]Brewhouse!AG1005</f>
        <v>11.7</v>
      </c>
      <c r="H15" s="396">
        <v>11.6</v>
      </c>
      <c r="I15" s="368">
        <f>[23]Brewhouse!$AU1005</f>
        <v>109.1388839985792</v>
      </c>
      <c r="J15" s="368">
        <f>[23]Brewhouse!$AV1005</f>
        <v>109.26910746702991</v>
      </c>
      <c r="K15" s="281">
        <f>[23]Brewhouse!$Q1005</f>
        <v>0.64000000000000057</v>
      </c>
      <c r="L15" s="276">
        <f>[23]Brewhouse!$P1005</f>
        <v>60</v>
      </c>
      <c r="M15" s="397">
        <f>[23]Brewhouse!$U1005-[23]Brewhouse!$T1005</f>
        <v>0.12986111111111109</v>
      </c>
      <c r="N15" s="370">
        <f>[23]Brewhouse!$Z1005</f>
        <v>0.26111111111111107</v>
      </c>
      <c r="O15" s="420" t="str">
        <f>[23]Brewhouse!$AX1005</f>
        <v>K. Benjamin</v>
      </c>
      <c r="P15" s="418"/>
      <c r="R15" s="277" t="str">
        <f t="shared" si="0"/>
        <v>CARIB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488"/>
      <c r="J16" s="488"/>
      <c r="K16" s="281"/>
      <c r="L16" s="276"/>
      <c r="M16" s="374"/>
      <c r="N16" s="370"/>
      <c r="O16" s="420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hidden="1" customHeight="1">
      <c r="B23" s="29"/>
      <c r="C23" s="366"/>
      <c r="D23" s="279"/>
      <c r="E23" s="279"/>
      <c r="F23" s="278"/>
      <c r="G23" s="279"/>
      <c r="H23" s="469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5.75" customHeight="1" thickBot="1">
      <c r="B26" s="388" t="s">
        <v>162</v>
      </c>
      <c r="C26" s="388"/>
      <c r="D26" s="506" t="s">
        <v>35</v>
      </c>
      <c r="E26" s="50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5" customHeight="1">
      <c r="A27" s="28"/>
      <c r="B27" s="593" t="str">
        <f>J50</f>
        <v>CARIBE</v>
      </c>
      <c r="C27" s="362"/>
      <c r="D27" s="532"/>
      <c r="E27" s="533"/>
      <c r="F27" s="294"/>
      <c r="G27" s="294"/>
      <c r="H27" s="348"/>
      <c r="I27" s="29" t="s">
        <v>6</v>
      </c>
      <c r="J27" s="280">
        <f>I15</f>
        <v>109.1388839985792</v>
      </c>
      <c r="K27" s="284">
        <f>COUNTA([23]Brewhouse!$A$1005)</f>
        <v>1</v>
      </c>
      <c r="L27" s="305">
        <f>AVERAGE([23]Brewhouse!$AU$1005)</f>
        <v>109.1388839985792</v>
      </c>
      <c r="M2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$1005)</f>
        <v>97.765906796526224</v>
      </c>
      <c r="N27" s="30">
        <v>98</v>
      </c>
      <c r="O27" s="11"/>
      <c r="P27" s="31"/>
      <c r="R27" s="277" t="str">
        <f t="shared" si="0"/>
        <v>CARIBE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5" customHeight="1">
      <c r="A28" s="28"/>
      <c r="B28" s="594"/>
      <c r="C28" s="362"/>
      <c r="D28" s="534"/>
      <c r="E28" s="535"/>
      <c r="F28" s="294"/>
      <c r="G28" s="294"/>
      <c r="H28" s="348"/>
      <c r="I28" s="33" t="s">
        <v>9</v>
      </c>
      <c r="J28" s="280">
        <f>AVERAGE(I10:I14)</f>
        <v>96.322011640177521</v>
      </c>
      <c r="K28" s="284">
        <f>COUNTA([24]Brewhouse!$A$486:$A$495)</f>
        <v>10</v>
      </c>
      <c r="L28" s="302">
        <f>AVERAGE([24]Brewhouse!$AS$486:$AS$495)</f>
        <v>96.413310144679954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$495)</f>
        <v>97.817175082752797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94"/>
      <c r="C29" s="362"/>
      <c r="D29" s="580"/>
      <c r="E29" s="581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$123)</f>
        <v>96.481276590905978</v>
      </c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94"/>
      <c r="C30" s="362"/>
      <c r="D30" s="547"/>
      <c r="E30" s="535"/>
      <c r="F30" s="294"/>
      <c r="G30" s="294"/>
      <c r="H30" s="348"/>
      <c r="I30" s="22" t="s">
        <v>33</v>
      </c>
      <c r="J30" s="280"/>
      <c r="K30" s="284">
        <f>COUNTA([22]Brewhouse!$A$107:$A$116)</f>
        <v>10</v>
      </c>
      <c r="L30" s="302">
        <f>AVERAGE([22]Brewhouse!$AV$107:$AV$116)</f>
        <v>97.093478275115658</v>
      </c>
      <c r="M3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7" ht="14.65" customHeight="1">
      <c r="A31" s="28"/>
      <c r="B31" s="594"/>
      <c r="C31" s="362"/>
      <c r="D31" s="580"/>
      <c r="E31" s="581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7" ht="14.65" customHeight="1">
      <c r="A32" s="28"/>
      <c r="B32" s="594"/>
      <c r="C32" s="362"/>
      <c r="D32" s="547"/>
      <c r="E32" s="535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94"/>
      <c r="C33" s="362"/>
      <c r="D33" s="580"/>
      <c r="E33" s="581"/>
      <c r="F33" s="417"/>
      <c r="G33" s="294"/>
      <c r="H33" s="348"/>
      <c r="I33" s="37" t="s">
        <v>16</v>
      </c>
      <c r="J33" s="323"/>
      <c r="K33" s="284"/>
      <c r="L33" s="302"/>
      <c r="M3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[27]Brewhouse!$AY$56:$AY$73,[27]Brewhouse!$AY$75:$AY$92,[27]Brewhouse!$AY$94:$AY$97)</f>
        <v>97.370192538913813</v>
      </c>
      <c r="N33" s="30">
        <v>98</v>
      </c>
      <c r="O33" s="11"/>
      <c r="P33" s="31" t="s">
        <v>41</v>
      </c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4.65" customHeight="1">
      <c r="A34" s="28"/>
      <c r="B34" s="594"/>
      <c r="C34" s="362"/>
      <c r="D34" s="547"/>
      <c r="E34" s="535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594"/>
      <c r="C35" s="349"/>
      <c r="D35" s="580"/>
      <c r="E35" s="581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" customHeight="1" thickBot="1">
      <c r="A36" s="28"/>
      <c r="B36" s="594"/>
      <c r="C36" s="349"/>
      <c r="D36" s="547"/>
      <c r="E36" s="535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" customHeight="1" thickBot="1">
      <c r="A37" s="28"/>
      <c r="B37" s="594"/>
      <c r="C37" s="349"/>
      <c r="D37" s="532"/>
      <c r="E37" s="533"/>
      <c r="F37" s="294"/>
      <c r="G37" s="294"/>
      <c r="H37" s="348"/>
      <c r="I37" s="1"/>
      <c r="J37" s="39"/>
      <c r="K37" s="404">
        <f>SUM(K27:K36)</f>
        <v>21</v>
      </c>
      <c r="L37" s="405">
        <f>((L27*K27)+(L28*K28)+(L29*K29)+(L30*K30)+(L31*K31)+(K34*L34)+(L32*K32)+(L33*K33)+(L36*K36))/(K37)</f>
        <v>97.34317943793026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97.552268183474823</v>
      </c>
      <c r="N37" s="4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.75" thickBot="1">
      <c r="B38" s="595"/>
      <c r="C38" s="350"/>
      <c r="D38" s="534"/>
      <c r="E38" s="53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.75" thickBot="1">
      <c r="B39" s="529"/>
      <c r="C39" s="362"/>
      <c r="D39" s="545"/>
      <c r="E39" s="546"/>
      <c r="F39" s="294"/>
      <c r="G39" s="42"/>
      <c r="H39" s="41"/>
      <c r="I39" s="42"/>
      <c r="J39" s="579" t="s">
        <v>129</v>
      </c>
      <c r="K39" s="579"/>
      <c r="L39" s="294"/>
      <c r="M39" s="294"/>
      <c r="N39" s="294"/>
      <c r="O39" s="294"/>
      <c r="P39" s="12"/>
    </row>
    <row r="40" spans="1:56" ht="15.75" thickBot="1">
      <c r="B40" s="530"/>
      <c r="C40" s="362"/>
      <c r="D40" s="547"/>
      <c r="E40" s="535"/>
      <c r="F40" s="294"/>
      <c r="G40" s="42"/>
      <c r="H40" s="42"/>
      <c r="I40" s="42"/>
      <c r="J40" s="292" t="s">
        <v>17</v>
      </c>
      <c r="K40" s="293" t="s">
        <v>147</v>
      </c>
      <c r="L40" s="549" t="s">
        <v>136</v>
      </c>
      <c r="M40" s="549"/>
      <c r="N40" s="550"/>
      <c r="O40" s="294"/>
      <c r="P40" s="12"/>
    </row>
    <row r="41" spans="1:56" ht="15" customHeight="1" thickBot="1">
      <c r="B41" s="530"/>
      <c r="C41" s="349"/>
      <c r="D41" s="580"/>
      <c r="E41" s="581"/>
      <c r="F41" s="294"/>
      <c r="G41" s="42"/>
      <c r="H41" s="42"/>
      <c r="I41" s="42"/>
      <c r="J41" s="287" t="s">
        <v>6</v>
      </c>
      <c r="K41" s="324">
        <v>1</v>
      </c>
      <c r="L41" s="476" t="s">
        <v>37</v>
      </c>
      <c r="M41" s="477" t="s">
        <v>38</v>
      </c>
      <c r="N41" s="477" t="s">
        <v>84</v>
      </c>
      <c r="O41" s="294"/>
      <c r="P41" s="12"/>
    </row>
    <row r="42" spans="1:56" ht="15.75" customHeight="1" thickBot="1">
      <c r="B42" s="530"/>
      <c r="C42" s="349"/>
      <c r="D42" s="547"/>
      <c r="E42" s="535"/>
      <c r="F42" s="294"/>
      <c r="G42" s="42"/>
      <c r="H42" s="42"/>
      <c r="I42" s="42"/>
      <c r="J42" s="345" t="s">
        <v>9</v>
      </c>
      <c r="K42" s="324">
        <v>4</v>
      </c>
      <c r="L42" s="344">
        <f>AVERAGE(K51,'Dec 1st'!K43,'Dec 2nd'!K49,'Dec 3rd '!K58)</f>
        <v>5.25</v>
      </c>
      <c r="M42" s="325">
        <f>AVERAGE('[31]Jan 29th '!$M$70,'[32]Feb 28th'!$L$40,'[33]Mar. 31st'!$L$40,'[34]Apr. 30th'!$L$50,'[35]May 30th'!$L$42,'[36]June 30th'!$L$62,'[37]July 29th '!$L$49,'[38]Aug 29th'!$L$34,'[39]Sept 30th'!$L$40,[40]Oct.31st!$L$43,'[41]Nov 28th-30th'!$L$45,L42)</f>
        <v>6.8270310845396658</v>
      </c>
      <c r="N42" s="416">
        <v>9.1999999999999993</v>
      </c>
      <c r="O42" s="294"/>
      <c r="P42" s="12"/>
    </row>
    <row r="43" spans="1:56" ht="15" customHeight="1">
      <c r="B43" s="530"/>
      <c r="C43" s="349"/>
      <c r="D43" s="580"/>
      <c r="E43" s="58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30"/>
      <c r="C44" s="349"/>
      <c r="D44" s="547"/>
      <c r="E44" s="53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30"/>
      <c r="C45" s="349"/>
      <c r="D45" s="580"/>
      <c r="E45" s="58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30"/>
      <c r="C46" s="349"/>
      <c r="D46" s="547"/>
      <c r="E46" s="53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30"/>
      <c r="C47" s="349"/>
      <c r="D47" s="580"/>
      <c r="E47" s="58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1"/>
      <c r="C48" s="350"/>
      <c r="D48" s="582"/>
      <c r="E48" s="583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7"/>
      <c r="E49" s="57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5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7" t="s">
        <v>17</v>
      </c>
      <c r="C54" s="557" t="s">
        <v>44</v>
      </c>
      <c r="D54" s="559" t="s">
        <v>45</v>
      </c>
      <c r="E54" s="514" t="s">
        <v>46</v>
      </c>
      <c r="F54" s="574" t="s">
        <v>47</v>
      </c>
      <c r="G54" s="568" t="s">
        <v>48</v>
      </c>
      <c r="H54" s="557" t="s">
        <v>49</v>
      </c>
      <c r="I54" s="557" t="s">
        <v>50</v>
      </c>
      <c r="J54" s="562" t="s">
        <v>28</v>
      </c>
      <c r="K54" s="512" t="s">
        <v>51</v>
      </c>
      <c r="L54" s="524" t="s">
        <v>52</v>
      </c>
      <c r="M54" s="562" t="s">
        <v>53</v>
      </c>
      <c r="N54" s="13"/>
      <c r="O54" s="13"/>
      <c r="P54" s="50"/>
    </row>
    <row r="55" spans="2:57" ht="28.5" customHeight="1" thickTop="1" thickBot="1">
      <c r="B55" s="558"/>
      <c r="C55" s="558"/>
      <c r="D55" s="560"/>
      <c r="E55" s="561"/>
      <c r="F55" s="575"/>
      <c r="G55" s="569"/>
      <c r="H55" s="576"/>
      <c r="I55" s="576"/>
      <c r="J55" s="563"/>
      <c r="K55" s="572"/>
      <c r="L55" s="573"/>
      <c r="M55" s="563"/>
      <c r="N55" s="13"/>
      <c r="O55" s="13"/>
      <c r="P55" s="50"/>
      <c r="Q55" s="355"/>
      <c r="AB55" s="478">
        <v>43474</v>
      </c>
      <c r="AC55" s="478">
        <v>43475</v>
      </c>
      <c r="AD55" s="478">
        <v>43476</v>
      </c>
      <c r="AE55" s="478">
        <v>43477</v>
      </c>
      <c r="AF55" s="478">
        <v>43478</v>
      </c>
      <c r="AG55" s="478">
        <v>43479</v>
      </c>
      <c r="AH55" s="478">
        <v>43480</v>
      </c>
      <c r="AI55" s="478">
        <v>43481</v>
      </c>
      <c r="AJ55" s="478">
        <v>43482</v>
      </c>
      <c r="AK55" s="478">
        <v>43483</v>
      </c>
      <c r="AL55" s="478">
        <v>43484</v>
      </c>
      <c r="AM55" s="478">
        <v>43485</v>
      </c>
      <c r="AN55" s="478">
        <v>43486</v>
      </c>
      <c r="AO55" s="478">
        <v>43487</v>
      </c>
      <c r="AP55" s="478">
        <v>43488</v>
      </c>
      <c r="AQ55" s="478">
        <v>43489</v>
      </c>
      <c r="AR55" s="478">
        <v>43490</v>
      </c>
      <c r="AS55" s="478">
        <v>43491</v>
      </c>
      <c r="AT55" s="478">
        <v>43492</v>
      </c>
      <c r="AU55" s="478">
        <v>43493</v>
      </c>
      <c r="AV55" s="478">
        <v>43494</v>
      </c>
      <c r="AW55" s="478">
        <v>43495</v>
      </c>
      <c r="AX55" s="478">
        <v>43496</v>
      </c>
    </row>
    <row r="56" spans="2:57" s="54" customFormat="1" ht="43.15" customHeight="1" thickBot="1">
      <c r="B56" s="487"/>
      <c r="C56" s="441"/>
      <c r="D56" s="442"/>
      <c r="E56" s="443"/>
      <c r="F56" s="444"/>
      <c r="G56" s="444"/>
      <c r="H56" s="458"/>
      <c r="I56" s="458"/>
      <c r="J56" s="448"/>
      <c r="K56" s="449"/>
      <c r="L56" s="486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6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56"/>
      <c r="C58" s="441"/>
      <c r="D58" s="442"/>
      <c r="E58" s="443"/>
      <c r="F58" s="444"/>
      <c r="G58" s="445"/>
      <c r="H58" s="458"/>
      <c r="I58" s="458"/>
      <c r="J58" s="448"/>
      <c r="K58" s="460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59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 t="e">
        <f>(((D62+E62)-G62)/(D62+E62))*100</f>
        <v>#DIV/0!</v>
      </c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64" t="s">
        <v>55</v>
      </c>
      <c r="C65" s="565"/>
      <c r="D65" s="565"/>
      <c r="E65" s="565"/>
      <c r="F65" s="566"/>
      <c r="G65" s="564" t="s">
        <v>56</v>
      </c>
      <c r="H65" s="565"/>
      <c r="I65" s="565"/>
      <c r="J65" s="566"/>
      <c r="K65" s="564" t="s">
        <v>51</v>
      </c>
      <c r="L65" s="565"/>
      <c r="M65" s="565"/>
      <c r="N65" s="56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5.9758575355563517</v>
      </c>
      <c r="E67" s="76">
        <v>6.0702956271126167</v>
      </c>
      <c r="F67" s="66">
        <v>4.8</v>
      </c>
      <c r="G67" s="65">
        <f>[42]December_2025!$E$11</f>
        <v>2.8833364159175856</v>
      </c>
      <c r="H67" s="491">
        <v>5.2</v>
      </c>
      <c r="I67" s="76">
        <v>5.988023632718261</v>
      </c>
      <c r="J67" s="66">
        <v>4.8</v>
      </c>
      <c r="K67" s="67"/>
      <c r="L67" s="194">
        <v>0.44929824561403514</v>
      </c>
      <c r="M67" s="194">
        <v>0.72631455889225571</v>
      </c>
      <c r="N67" s="68">
        <v>1</v>
      </c>
      <c r="O67" s="56"/>
      <c r="P67" s="69"/>
    </row>
    <row r="68" spans="2:16" ht="15">
      <c r="B68" s="33" t="s">
        <v>9</v>
      </c>
      <c r="C68" s="65"/>
      <c r="D68" s="76"/>
      <c r="E68" s="76">
        <v>5.7025207923266077</v>
      </c>
      <c r="F68" s="66">
        <v>4.8</v>
      </c>
      <c r="G68" s="65"/>
      <c r="H68" s="76"/>
      <c r="I68" s="76">
        <v>6.2228279500853976</v>
      </c>
      <c r="J68" s="66">
        <v>4.8</v>
      </c>
      <c r="K68" s="67"/>
      <c r="L68" s="194"/>
      <c r="M68" s="194">
        <v>0.68415239152009877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11.016453256230184</v>
      </c>
      <c r="F69" s="66">
        <v>5.5</v>
      </c>
      <c r="G69" s="65"/>
      <c r="H69" s="76"/>
      <c r="I69" s="76">
        <v>12.536311479158377</v>
      </c>
      <c r="J69" s="66">
        <v>5.5</v>
      </c>
      <c r="K69" s="67"/>
      <c r="L69" s="194"/>
      <c r="M69" s="194">
        <v>0.51633622959452352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4.6226456706805745</v>
      </c>
      <c r="F70" s="66">
        <v>3.3</v>
      </c>
      <c r="G70" s="65"/>
      <c r="H70" s="76"/>
      <c r="I70" s="76">
        <v>4.4171317623593813</v>
      </c>
      <c r="J70" s="66">
        <v>3.3</v>
      </c>
      <c r="K70" s="67"/>
      <c r="L70" s="194"/>
      <c r="M70" s="194">
        <v>0.83111215538847116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2.9297033255778997</v>
      </c>
      <c r="F73" s="66">
        <v>3.3</v>
      </c>
      <c r="G73" s="282"/>
      <c r="H73" s="76"/>
      <c r="I73" s="76">
        <v>4.2684292436723528</v>
      </c>
      <c r="J73" s="66">
        <v>3.3</v>
      </c>
      <c r="K73" s="67"/>
      <c r="L73" s="194"/>
      <c r="M73" s="194">
        <v>0.84660147761842675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5.9758575355563517</v>
      </c>
      <c r="E76" s="76">
        <v>6.1053451637805072</v>
      </c>
      <c r="F76" s="341">
        <v>5.5</v>
      </c>
      <c r="H76" s="76">
        <v>5.2012421312801864</v>
      </c>
      <c r="I76" s="76">
        <v>6.526756833226341</v>
      </c>
      <c r="J76" s="341">
        <v>5.5</v>
      </c>
      <c r="L76" s="194">
        <v>0.44929824561403514</v>
      </c>
      <c r="M76" s="194">
        <v>0.70331193543610249</v>
      </c>
      <c r="N76" s="386">
        <v>1</v>
      </c>
    </row>
  </sheetData>
  <mergeCells count="51"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3323" priority="44" operator="notBetween">
      <formula>#REF!</formula>
      <formula>#REF!</formula>
    </cfRule>
  </conditionalFormatting>
  <conditionalFormatting sqref="C53">
    <cfRule type="cellIs" dxfId="3322" priority="192" stopIfTrue="1" operator="greaterThan">
      <formula>100</formula>
    </cfRule>
    <cfRule type="cellIs" dxfId="3321" priority="191" stopIfTrue="1" operator="lessThan">
      <formula>96</formula>
    </cfRule>
  </conditionalFormatting>
  <conditionalFormatting sqref="C67:C71">
    <cfRule type="cellIs" dxfId="3320" priority="145" stopIfTrue="1" operator="lessThanOrEqual">
      <formula>0</formula>
    </cfRule>
  </conditionalFormatting>
  <conditionalFormatting sqref="C67:C75">
    <cfRule type="cellIs" dxfId="3319" priority="144" stopIfTrue="1" operator="greaterThan">
      <formula>$F67</formula>
    </cfRule>
  </conditionalFormatting>
  <conditionalFormatting sqref="C68">
    <cfRule type="cellIs" dxfId="3318" priority="195" stopIfTrue="1" operator="greaterThan">
      <formula>$F67</formula>
    </cfRule>
  </conditionalFormatting>
  <conditionalFormatting sqref="C72">
    <cfRule type="cellIs" dxfId="3317" priority="84" stopIfTrue="1" operator="lessThanOrEqual">
      <formula>0</formula>
    </cfRule>
    <cfRule type="cellIs" dxfId="3316" priority="85" stopIfTrue="1" operator="greaterThan">
      <formula>$F71</formula>
    </cfRule>
  </conditionalFormatting>
  <conditionalFormatting sqref="C78:C82">
    <cfRule type="cellIs" dxfId="3315" priority="183" stopIfTrue="1" operator="lessThanOrEqual">
      <formula>0</formula>
    </cfRule>
  </conditionalFormatting>
  <conditionalFormatting sqref="C79:C82">
    <cfRule type="cellIs" dxfId="3314" priority="182" stopIfTrue="1" operator="greaterThan">
      <formula>$F$78</formula>
    </cfRule>
  </conditionalFormatting>
  <conditionalFormatting sqref="C84">
    <cfRule type="cellIs" dxfId="3313" priority="185" stopIfTrue="1" operator="lessThanOrEqual">
      <formula>0</formula>
    </cfRule>
    <cfRule type="cellIs" dxfId="3312" priority="184" stopIfTrue="1" operator="greaterThan">
      <formula>$F$78</formula>
    </cfRule>
  </conditionalFormatting>
  <conditionalFormatting sqref="C78:D78 D80:D86">
    <cfRule type="cellIs" dxfId="3311" priority="177" stopIfTrue="1" operator="greaterThan">
      <formula>4.5</formula>
    </cfRule>
  </conditionalFormatting>
  <conditionalFormatting sqref="D49:D50">
    <cfRule type="cellIs" dxfId="3310" priority="45" operator="notBetween">
      <formula>#REF!</formula>
      <formula>#REF!</formula>
    </cfRule>
  </conditionalFormatting>
  <conditionalFormatting sqref="D67:D74">
    <cfRule type="cellIs" dxfId="3309" priority="157" stopIfTrue="1" operator="lessThanOrEqual">
      <formula>0</formula>
    </cfRule>
  </conditionalFormatting>
  <conditionalFormatting sqref="D75">
    <cfRule type="cellIs" dxfId="3308" priority="156" stopIfTrue="1" operator="lessThanOrEqual">
      <formula>0</formula>
    </cfRule>
  </conditionalFormatting>
  <conditionalFormatting sqref="D78 D80:D86">
    <cfRule type="cellIs" dxfId="3307" priority="178" stopIfTrue="1" operator="lessThanOrEqual">
      <formula>0</formula>
    </cfRule>
  </conditionalFormatting>
  <conditionalFormatting sqref="D79">
    <cfRule type="cellIs" dxfId="3306" priority="170" stopIfTrue="1" operator="lessThanOrEqual">
      <formula>0</formula>
    </cfRule>
    <cfRule type="cellIs" dxfId="3305" priority="169" stopIfTrue="1" operator="greaterThan">
      <formula>$F$78</formula>
    </cfRule>
  </conditionalFormatting>
  <conditionalFormatting sqref="D67:E76">
    <cfRule type="cellIs" dxfId="3304" priority="142" stopIfTrue="1" operator="greaterThan">
      <formula>$F67</formula>
    </cfRule>
  </conditionalFormatting>
  <conditionalFormatting sqref="D76:E76">
    <cfRule type="cellIs" dxfId="3303" priority="143" stopIfTrue="1" operator="lessThanOrEqual">
      <formula>0</formula>
    </cfRule>
  </conditionalFormatting>
  <conditionalFormatting sqref="E10:E24">
    <cfRule type="cellIs" dxfId="3302" priority="10" operator="lessThan">
      <formula>48</formula>
    </cfRule>
  </conditionalFormatting>
  <conditionalFormatting sqref="E52 E53:F53">
    <cfRule type="cellIs" dxfId="3301" priority="174" stopIfTrue="1" operator="greaterThan">
      <formula>100</formula>
    </cfRule>
  </conditionalFormatting>
  <conditionalFormatting sqref="E53">
    <cfRule type="cellIs" dxfId="3300" priority="171" stopIfTrue="1" operator="lessThan">
      <formula>96.8</formula>
    </cfRule>
    <cfRule type="cellIs" dxfId="3299" priority="172" stopIfTrue="1" operator="greaterThan">
      <formula>100</formula>
    </cfRule>
  </conditionalFormatting>
  <conditionalFormatting sqref="E67:E75">
    <cfRule type="cellIs" dxfId="3298" priority="153" stopIfTrue="1" operator="lessThanOrEqual">
      <formula>0</formula>
    </cfRule>
  </conditionalFormatting>
  <conditionalFormatting sqref="E78:E86">
    <cfRule type="cellIs" dxfId="3297" priority="164" stopIfTrue="1" operator="lessThanOrEqual">
      <formula>0</formula>
    </cfRule>
    <cfRule type="cellIs" dxfId="3296" priority="163" stopIfTrue="1" operator="greaterThan">
      <formula>4.5</formula>
    </cfRule>
  </conditionalFormatting>
  <conditionalFormatting sqref="E53:F53 E52">
    <cfRule type="cellIs" dxfId="3295" priority="173" stopIfTrue="1" operator="lessThan">
      <formula>96.5</formula>
    </cfRule>
  </conditionalFormatting>
  <conditionalFormatting sqref="F10:F24">
    <cfRule type="cellIs" dxfId="3294" priority="11" operator="greaterThan">
      <formula>60</formula>
    </cfRule>
  </conditionalFormatting>
  <conditionalFormatting sqref="F53">
    <cfRule type="cellIs" dxfId="3293" priority="190" stopIfTrue="1" operator="greaterThan">
      <formula>100</formula>
    </cfRule>
    <cfRule type="cellIs" dxfId="3292" priority="189" stopIfTrue="1" operator="lessThan">
      <formula>96.8</formula>
    </cfRule>
  </conditionalFormatting>
  <conditionalFormatting sqref="F76">
    <cfRule type="cellIs" dxfId="3291" priority="155" stopIfTrue="1" operator="lessThanOrEqual">
      <formula>0</formula>
    </cfRule>
    <cfRule type="cellIs" dxfId="3290" priority="154" stopIfTrue="1" operator="greaterThan">
      <formula>$F76</formula>
    </cfRule>
  </conditionalFormatting>
  <conditionalFormatting sqref="G15">
    <cfRule type="expression" dxfId="3289" priority="2">
      <formula>IF(+(IF(G15&lt;S15,0,IF(G15&gt;T15,0,1)))=0,1)</formula>
    </cfRule>
  </conditionalFormatting>
  <conditionalFormatting sqref="G22:G23">
    <cfRule type="expression" dxfId="3288" priority="15">
      <formula>IF(+(IF(G22&lt;S22,0,IF(G22&gt;T22,0,1)))=0,1)</formula>
    </cfRule>
  </conditionalFormatting>
  <conditionalFormatting sqref="G67:G68 C73:C75">
    <cfRule type="cellIs" dxfId="3287" priority="159" stopIfTrue="1" operator="lessThanOrEqual">
      <formula>0</formula>
    </cfRule>
  </conditionalFormatting>
  <conditionalFormatting sqref="G67:G68">
    <cfRule type="cellIs" dxfId="3286" priority="147" stopIfTrue="1" operator="lessThanOrEqual">
      <formula>0</formula>
    </cfRule>
    <cfRule type="cellIs" dxfId="3285" priority="146" stopIfTrue="1" operator="greaterThan">
      <formula>$F67</formula>
    </cfRule>
    <cfRule type="cellIs" dxfId="3284" priority="158" stopIfTrue="1" operator="greaterThan">
      <formula>$F67</formula>
    </cfRule>
  </conditionalFormatting>
  <conditionalFormatting sqref="G69">
    <cfRule type="cellIs" dxfId="3283" priority="194" stopIfTrue="1" operator="lessThanOrEqual">
      <formula>0</formula>
    </cfRule>
    <cfRule type="cellIs" dxfId="3282" priority="193" stopIfTrue="1" operator="greaterThan">
      <formula>$F68</formula>
    </cfRule>
  </conditionalFormatting>
  <conditionalFormatting sqref="G70">
    <cfRule type="cellIs" dxfId="3281" priority="40" stopIfTrue="1" operator="greaterThan">
      <formula>$F70</formula>
    </cfRule>
    <cfRule type="cellIs" dxfId="3280" priority="41" stopIfTrue="1" operator="lessThanOrEqual">
      <formula>0</formula>
    </cfRule>
    <cfRule type="cellIs" dxfId="3279" priority="42" stopIfTrue="1" operator="greaterThan">
      <formula>$F70</formula>
    </cfRule>
    <cfRule type="cellIs" dxfId="3278" priority="43" stopIfTrue="1" operator="lessThanOrEqual">
      <formula>0</formula>
    </cfRule>
  </conditionalFormatting>
  <conditionalFormatting sqref="G71:G75">
    <cfRule type="cellIs" dxfId="3277" priority="160" stopIfTrue="1" operator="greaterThan">
      <formula>$J71</formula>
    </cfRule>
    <cfRule type="cellIs" dxfId="3276" priority="161" stopIfTrue="1" operator="lessThanOrEqual">
      <formula>0</formula>
    </cfRule>
  </conditionalFormatting>
  <conditionalFormatting sqref="G80:G85 C83 C85">
    <cfRule type="cellIs" dxfId="3275" priority="187" stopIfTrue="1" operator="lessThanOrEqual">
      <formula>0</formula>
    </cfRule>
    <cfRule type="cellIs" dxfId="3274" priority="186" stopIfTrue="1" operator="greaterThan">
      <formula>4.5</formula>
    </cfRule>
  </conditionalFormatting>
  <conditionalFormatting sqref="G79:H79">
    <cfRule type="cellIs" dxfId="3273" priority="167" stopIfTrue="1" operator="greaterThan">
      <formula>$F$78</formula>
    </cfRule>
    <cfRule type="cellIs" dxfId="3272" priority="168" stopIfTrue="1" operator="lessThanOrEqual">
      <formula>0</formula>
    </cfRule>
  </conditionalFormatting>
  <conditionalFormatting sqref="H38:H39 H52">
    <cfRule type="cellIs" dxfId="3271" priority="165" stopIfTrue="1" operator="greaterThan">
      <formula>0</formula>
    </cfRule>
  </conditionalFormatting>
  <conditionalFormatting sqref="H56">
    <cfRule type="cellIs" dxfId="3270" priority="35" stopIfTrue="1" operator="greaterThan">
      <formula>$F$72</formula>
    </cfRule>
    <cfRule type="cellIs" dxfId="3269" priority="36" stopIfTrue="1" operator="lessThanOrEqual">
      <formula>0</formula>
    </cfRule>
    <cfRule type="cellIs" dxfId="3268" priority="34" stopIfTrue="1" operator="lessThanOrEqual">
      <formula>0</formula>
    </cfRule>
    <cfRule type="cellIs" dxfId="3267" priority="33" stopIfTrue="1" operator="greaterThan">
      <formula>$F$74</formula>
    </cfRule>
    <cfRule type="cellIs" dxfId="3266" priority="25" stopIfTrue="1" operator="greaterThan">
      <formula>$F$71</formula>
    </cfRule>
    <cfRule type="cellIs" dxfId="3265" priority="24" stopIfTrue="1" operator="lessThanOrEqual">
      <formula>0</formula>
    </cfRule>
  </conditionalFormatting>
  <conditionalFormatting sqref="H57">
    <cfRule type="cellIs" dxfId="3264" priority="101" stopIfTrue="1" operator="lessThanOrEqual">
      <formula>0</formula>
    </cfRule>
    <cfRule type="cellIs" dxfId="3263" priority="110" stopIfTrue="1" operator="greaterThan">
      <formula>$F$25</formula>
    </cfRule>
    <cfRule type="cellIs" dxfId="3262" priority="102" stopIfTrue="1" operator="greaterThan">
      <formula>#REF!</formula>
    </cfRule>
    <cfRule type="cellIs" dxfId="3261" priority="113" stopIfTrue="1" operator="lessThanOrEqual">
      <formula>0</formula>
    </cfRule>
    <cfRule type="cellIs" dxfId="3260" priority="112" stopIfTrue="1" operator="greaterThan">
      <formula>#REF!</formula>
    </cfRule>
    <cfRule type="cellIs" dxfId="3259" priority="111" stopIfTrue="1" operator="lessThanOrEqual">
      <formula>0</formula>
    </cfRule>
  </conditionalFormatting>
  <conditionalFormatting sqref="H58">
    <cfRule type="cellIs" dxfId="3258" priority="81" stopIfTrue="1" operator="lessThanOrEqual">
      <formula>0</formula>
    </cfRule>
    <cfRule type="cellIs" dxfId="3257" priority="80" stopIfTrue="1" operator="greaterThan">
      <formula>$F$69</formula>
    </cfRule>
    <cfRule type="cellIs" dxfId="3256" priority="79" stopIfTrue="1" operator="lessThanOrEqual">
      <formula>0</formula>
    </cfRule>
    <cfRule type="cellIs" dxfId="3255" priority="69" stopIfTrue="1" operator="lessThanOrEqual">
      <formula>0</formula>
    </cfRule>
    <cfRule type="cellIs" dxfId="3254" priority="70" stopIfTrue="1" operator="greaterThan">
      <formula>$F$68</formula>
    </cfRule>
    <cfRule type="cellIs" dxfId="3253" priority="78" stopIfTrue="1" operator="greaterThan">
      <formula>$F$71</formula>
    </cfRule>
  </conditionalFormatting>
  <conditionalFormatting sqref="H59:H60">
    <cfRule type="cellIs" dxfId="3252" priority="99" stopIfTrue="1" operator="lessThanOrEqual">
      <formula>0</formula>
    </cfRule>
    <cfRule type="cellIs" dxfId="3251" priority="88" stopIfTrue="1" operator="greaterThan">
      <formula>#REF!</formula>
    </cfRule>
    <cfRule type="cellIs" dxfId="3250" priority="87" stopIfTrue="1" operator="lessThanOrEqual">
      <formula>0</formula>
    </cfRule>
    <cfRule type="cellIs" dxfId="3249" priority="96" stopIfTrue="1" operator="greaterThan">
      <formula>$F$24</formula>
    </cfRule>
    <cfRule type="cellIs" dxfId="3248" priority="97" stopIfTrue="1" operator="lessThanOrEqual">
      <formula>0</formula>
    </cfRule>
    <cfRule type="cellIs" dxfId="3247" priority="98" stopIfTrue="1" operator="greaterThan">
      <formula>#REF!</formula>
    </cfRule>
  </conditionalFormatting>
  <conditionalFormatting sqref="H61">
    <cfRule type="cellIs" dxfId="3246" priority="127" stopIfTrue="1" operator="greaterThan">
      <formula>$F$38</formula>
    </cfRule>
    <cfRule type="cellIs" dxfId="3245" priority="126" stopIfTrue="1" operator="lessThanOrEqual">
      <formula>0</formula>
    </cfRule>
    <cfRule type="cellIs" dxfId="3244" priority="125" stopIfTrue="1" operator="greaterThan">
      <formula>$F$40</formula>
    </cfRule>
    <cfRule type="cellIs" dxfId="3243" priority="117" stopIfTrue="1" operator="greaterThan">
      <formula>$F$37</formula>
    </cfRule>
    <cfRule type="cellIs" dxfId="3242" priority="116" stopIfTrue="1" operator="lessThanOrEqual">
      <formula>0</formula>
    </cfRule>
    <cfRule type="cellIs" dxfId="3241" priority="128" stopIfTrue="1" operator="lessThanOrEqual">
      <formula>0</formula>
    </cfRule>
  </conditionalFormatting>
  <conditionalFormatting sqref="H62:H63">
    <cfRule type="cellIs" dxfId="3240" priority="55" stopIfTrue="1" operator="lessThanOrEqual">
      <formula>0</formula>
    </cfRule>
    <cfRule type="cellIs" dxfId="3239" priority="67" stopIfTrue="1" operator="lessThanOrEqual">
      <formula>0</formula>
    </cfRule>
    <cfRule type="cellIs" dxfId="3238" priority="56" stopIfTrue="1" operator="greaterThan">
      <formula>#REF!</formula>
    </cfRule>
    <cfRule type="cellIs" dxfId="3237" priority="66" stopIfTrue="1" operator="greaterThan">
      <formula>#REF!</formula>
    </cfRule>
    <cfRule type="cellIs" dxfId="3236" priority="65" stopIfTrue="1" operator="lessThanOrEqual">
      <formula>0</formula>
    </cfRule>
    <cfRule type="cellIs" dxfId="3235" priority="64" stopIfTrue="1" operator="greaterThan">
      <formula>$F$24</formula>
    </cfRule>
  </conditionalFormatting>
  <conditionalFormatting sqref="H67:H74">
    <cfRule type="cellIs" dxfId="3234" priority="149" stopIfTrue="1" operator="lessThanOrEqual">
      <formula>0</formula>
    </cfRule>
    <cfRule type="cellIs" dxfId="3233" priority="148" stopIfTrue="1" operator="greaterThan">
      <formula>$J67</formula>
    </cfRule>
  </conditionalFormatting>
  <conditionalFormatting sqref="H75">
    <cfRule type="cellIs" dxfId="3232" priority="150" operator="greaterThan">
      <formula>5.3</formula>
    </cfRule>
  </conditionalFormatting>
  <conditionalFormatting sqref="H78 H80:H86">
    <cfRule type="cellIs" dxfId="3231" priority="179" stopIfTrue="1" operator="greaterThan">
      <formula>4.5</formula>
    </cfRule>
    <cfRule type="cellIs" dxfId="3230" priority="180" stopIfTrue="1" operator="lessThanOrEqual">
      <formula>0</formula>
    </cfRule>
  </conditionalFormatting>
  <conditionalFormatting sqref="H56:I56">
    <cfRule type="cellIs" dxfId="3229" priority="26" stopIfTrue="1" operator="lessThanOrEqual">
      <formula>0</formula>
    </cfRule>
    <cfRule type="cellIs" dxfId="3228" priority="23" stopIfTrue="1" operator="greaterThan">
      <formula>$F$73</formula>
    </cfRule>
  </conditionalFormatting>
  <conditionalFormatting sqref="H57:I57">
    <cfRule type="cellIs" dxfId="3227" priority="103" stopIfTrue="1" operator="lessThanOrEqual">
      <formula>0</formula>
    </cfRule>
    <cfRule type="cellIs" dxfId="3226" priority="100" stopIfTrue="1" operator="greaterThan">
      <formula>$F$24</formula>
    </cfRule>
  </conditionalFormatting>
  <conditionalFormatting sqref="H58:I58">
    <cfRule type="cellIs" dxfId="3225" priority="68" stopIfTrue="1" operator="greaterThan">
      <formula>$F$70</formula>
    </cfRule>
    <cfRule type="cellIs" dxfId="3224" priority="71" stopIfTrue="1" operator="lessThanOrEqual">
      <formula>0</formula>
    </cfRule>
  </conditionalFormatting>
  <conditionalFormatting sqref="H59:I60">
    <cfRule type="cellIs" dxfId="3223" priority="86" stopIfTrue="1" operator="greaterThan">
      <formula>#REF!</formula>
    </cfRule>
    <cfRule type="cellIs" dxfId="3222" priority="89" stopIfTrue="1" operator="lessThanOrEqual">
      <formula>0</formula>
    </cfRule>
  </conditionalFormatting>
  <conditionalFormatting sqref="H61:I61">
    <cfRule type="cellIs" dxfId="3221" priority="115" stopIfTrue="1" operator="greaterThan">
      <formula>$F$39</formula>
    </cfRule>
    <cfRule type="cellIs" dxfId="3220" priority="118" stopIfTrue="1" operator="lessThanOrEqual">
      <formula>0</formula>
    </cfRule>
  </conditionalFormatting>
  <conditionalFormatting sqref="H62:I63">
    <cfRule type="cellIs" dxfId="3219" priority="54" stopIfTrue="1" operator="greaterThan">
      <formula>#REF!</formula>
    </cfRule>
    <cfRule type="cellIs" dxfId="3218" priority="57" stopIfTrue="1" operator="lessThanOrEqual">
      <formula>0</formula>
    </cfRule>
  </conditionalFormatting>
  <conditionalFormatting sqref="H76:I76">
    <cfRule type="cellIs" dxfId="3217" priority="141" stopIfTrue="1" operator="lessThanOrEqual">
      <formula>0</formula>
    </cfRule>
    <cfRule type="cellIs" dxfId="3216" priority="140" stopIfTrue="1" operator="greaterThan">
      <formula>$J76</formula>
    </cfRule>
  </conditionalFormatting>
  <conditionalFormatting sqref="I56">
    <cfRule type="cellIs" dxfId="3215" priority="31" stopIfTrue="1" operator="greaterThan">
      <formula>$F$71</formula>
    </cfRule>
    <cfRule type="cellIs" dxfId="3214" priority="29" stopIfTrue="1" operator="greaterThan">
      <formula>$F$73</formula>
    </cfRule>
    <cfRule type="cellIs" dxfId="3213" priority="32" stopIfTrue="1" operator="lessThanOrEqual">
      <formula>0</formula>
    </cfRule>
    <cfRule type="cellIs" dxfId="3212" priority="27" stopIfTrue="1" operator="greaterThan">
      <formula>$F$71</formula>
    </cfRule>
    <cfRule type="cellIs" dxfId="3211" priority="28" stopIfTrue="1" operator="lessThanOrEqual">
      <formula>0</formula>
    </cfRule>
    <cfRule type="cellIs" dxfId="3210" priority="30" stopIfTrue="1" operator="lessThanOrEqual">
      <formula>0</formula>
    </cfRule>
  </conditionalFormatting>
  <conditionalFormatting sqref="I57">
    <cfRule type="cellIs" dxfId="3209" priority="104" stopIfTrue="1" operator="greaterThan">
      <formula>#REF!</formula>
    </cfRule>
    <cfRule type="cellIs" dxfId="3208" priority="109" stopIfTrue="1" operator="lessThanOrEqual">
      <formula>0</formula>
    </cfRule>
    <cfRule type="cellIs" dxfId="3207" priority="108" stopIfTrue="1" operator="greaterThan">
      <formula>#REF!</formula>
    </cfRule>
    <cfRule type="cellIs" dxfId="3206" priority="107" stopIfTrue="1" operator="lessThanOrEqual">
      <formula>0</formula>
    </cfRule>
    <cfRule type="cellIs" dxfId="3205" priority="106" stopIfTrue="1" operator="greaterThan">
      <formula>$F$24</formula>
    </cfRule>
    <cfRule type="cellIs" dxfId="3204" priority="105" stopIfTrue="1" operator="lessThanOrEqual">
      <formula>0</formula>
    </cfRule>
  </conditionalFormatting>
  <conditionalFormatting sqref="I58">
    <cfRule type="cellIs" dxfId="3203" priority="72" stopIfTrue="1" operator="greaterThan">
      <formula>$F$68</formula>
    </cfRule>
    <cfRule type="cellIs" dxfId="3202" priority="77" stopIfTrue="1" operator="lessThanOrEqual">
      <formula>0</formula>
    </cfRule>
    <cfRule type="cellIs" dxfId="3201" priority="76" stopIfTrue="1" operator="greaterThan">
      <formula>$F$68</formula>
    </cfRule>
    <cfRule type="cellIs" dxfId="3200" priority="75" stopIfTrue="1" operator="lessThanOrEqual">
      <formula>0</formula>
    </cfRule>
    <cfRule type="cellIs" dxfId="3199" priority="74" stopIfTrue="1" operator="greaterThan">
      <formula>$F$70</formula>
    </cfRule>
    <cfRule type="cellIs" dxfId="3198" priority="73" stopIfTrue="1" operator="lessThanOrEqual">
      <formula>0</formula>
    </cfRule>
  </conditionalFormatting>
  <conditionalFormatting sqref="I59:I60">
    <cfRule type="cellIs" dxfId="3197" priority="91" stopIfTrue="1" operator="lessThanOrEqual">
      <formula>0</formula>
    </cfRule>
    <cfRule type="cellIs" dxfId="3196" priority="90" stopIfTrue="1" operator="greaterThan">
      <formula>#REF!</formula>
    </cfRule>
    <cfRule type="cellIs" dxfId="3195" priority="95" stopIfTrue="1" operator="lessThanOrEqual">
      <formula>0</formula>
    </cfRule>
    <cfRule type="cellIs" dxfId="3194" priority="93" stopIfTrue="1" operator="lessThanOrEqual">
      <formula>0</formula>
    </cfRule>
    <cfRule type="cellIs" dxfId="3193" priority="94" stopIfTrue="1" operator="greaterThan">
      <formula>#REF!</formula>
    </cfRule>
    <cfRule type="cellIs" dxfId="3192" priority="92" stopIfTrue="1" operator="greaterThan">
      <formula>#REF!</formula>
    </cfRule>
  </conditionalFormatting>
  <conditionalFormatting sqref="I61">
    <cfRule type="cellIs" dxfId="3191" priority="123" stopIfTrue="1" operator="greaterThan">
      <formula>$F$37</formula>
    </cfRule>
    <cfRule type="cellIs" dxfId="3190" priority="119" stopIfTrue="1" operator="greaterThan">
      <formula>$F$37</formula>
    </cfRule>
    <cfRule type="cellIs" dxfId="3189" priority="120" stopIfTrue="1" operator="lessThanOrEqual">
      <formula>0</formula>
    </cfRule>
    <cfRule type="cellIs" dxfId="3188" priority="121" stopIfTrue="1" operator="greaterThan">
      <formula>$F$39</formula>
    </cfRule>
    <cfRule type="cellIs" dxfId="3187" priority="122" stopIfTrue="1" operator="lessThanOrEqual">
      <formula>0</formula>
    </cfRule>
    <cfRule type="cellIs" dxfId="3186" priority="124" stopIfTrue="1" operator="lessThanOrEqual">
      <formula>0</formula>
    </cfRule>
  </conditionalFormatting>
  <conditionalFormatting sqref="I62:I63">
    <cfRule type="cellIs" dxfId="3185" priority="62" stopIfTrue="1" operator="greaterThan">
      <formula>#REF!</formula>
    </cfRule>
    <cfRule type="cellIs" dxfId="3184" priority="63" stopIfTrue="1" operator="lessThanOrEqual">
      <formula>0</formula>
    </cfRule>
    <cfRule type="cellIs" dxfId="3183" priority="61" stopIfTrue="1" operator="lessThanOrEqual">
      <formula>0</formula>
    </cfRule>
    <cfRule type="cellIs" dxfId="3182" priority="60" stopIfTrue="1" operator="greaterThan">
      <formula>#REF!</formula>
    </cfRule>
    <cfRule type="cellIs" dxfId="3181" priority="59" stopIfTrue="1" operator="lessThanOrEqual">
      <formula>0</formula>
    </cfRule>
    <cfRule type="cellIs" dxfId="3180" priority="58" stopIfTrue="1" operator="greaterThan">
      <formula>#REF!</formula>
    </cfRule>
  </conditionalFormatting>
  <conditionalFormatting sqref="I67:I75">
    <cfRule type="cellIs" dxfId="3179" priority="151" stopIfTrue="1" operator="greaterThan">
      <formula>$J67</formula>
    </cfRule>
    <cfRule type="cellIs" dxfId="3178" priority="152" stopIfTrue="1" operator="lessThanOrEqual">
      <formula>0</formula>
    </cfRule>
  </conditionalFormatting>
  <conditionalFormatting sqref="I78:I86">
    <cfRule type="cellIs" dxfId="3177" priority="176" stopIfTrue="1" operator="lessThanOrEqual">
      <formula>0</formula>
    </cfRule>
    <cfRule type="cellIs" dxfId="3176" priority="175" stopIfTrue="1" operator="greaterThan">
      <formula>4.5</formula>
    </cfRule>
  </conditionalFormatting>
  <conditionalFormatting sqref="I10:J24">
    <cfRule type="cellIs" dxfId="3175" priority="4" operator="lessThan">
      <formula>97.9</formula>
    </cfRule>
  </conditionalFormatting>
  <conditionalFormatting sqref="J28:J29">
    <cfRule type="cellIs" dxfId="3174" priority="130" stopIfTrue="1" operator="lessThan">
      <formula>96.8</formula>
    </cfRule>
    <cfRule type="cellIs" dxfId="3173" priority="131" stopIfTrue="1" operator="greaterThan">
      <formula>100</formula>
    </cfRule>
    <cfRule type="cellIs" dxfId="3172" priority="132" operator="lessThan">
      <formula>98</formula>
    </cfRule>
  </conditionalFormatting>
  <conditionalFormatting sqref="J28:J31">
    <cfRule type="cellIs" dxfId="3171" priority="129" operator="lessThan">
      <formula>97.4</formula>
    </cfRule>
  </conditionalFormatting>
  <conditionalFormatting sqref="J32:J33">
    <cfRule type="cellIs" dxfId="3170" priority="133" operator="lessThan">
      <formula>98</formula>
    </cfRule>
  </conditionalFormatting>
  <conditionalFormatting sqref="J34:J35">
    <cfRule type="cellIs" dxfId="3169" priority="134" stopIfTrue="1" operator="lessThan">
      <formula>96.8</formula>
    </cfRule>
    <cfRule type="cellIs" dxfId="3168" priority="135" stopIfTrue="1" operator="greaterThan">
      <formula>100</formula>
    </cfRule>
  </conditionalFormatting>
  <conditionalFormatting sqref="J34:J36">
    <cfRule type="cellIs" dxfId="3167" priority="136" operator="lessThan">
      <formula>98</formula>
    </cfRule>
  </conditionalFormatting>
  <conditionalFormatting sqref="J63">
    <cfRule type="cellIs" dxfId="3166" priority="51" stopIfTrue="1" operator="lessThanOrEqual">
      <formula>0</formula>
    </cfRule>
    <cfRule type="cellIs" dxfId="3165" priority="50" stopIfTrue="1" operator="greaterThan">
      <formula>#REF!</formula>
    </cfRule>
    <cfRule type="cellIs" dxfId="3164" priority="49" stopIfTrue="1" operator="lessThanOrEqual">
      <formula>0</formula>
    </cfRule>
    <cfRule type="cellIs" dxfId="3163" priority="53" stopIfTrue="1" operator="lessThanOrEqual">
      <formula>0</formula>
    </cfRule>
    <cfRule type="cellIs" dxfId="3162" priority="47" stopIfTrue="1" operator="lessThanOrEqual">
      <formula>0</formula>
    </cfRule>
    <cfRule type="cellIs" dxfId="3161" priority="46" stopIfTrue="1" operator="greaterThan">
      <formula>#REF!</formula>
    </cfRule>
    <cfRule type="cellIs" dxfId="3160" priority="48" stopIfTrue="1" operator="greaterThan">
      <formula>#REF!</formula>
    </cfRule>
    <cfRule type="cellIs" dxfId="3159" priority="52" stopIfTrue="1" operator="greaterThan">
      <formula>#REF!</formula>
    </cfRule>
  </conditionalFormatting>
  <conditionalFormatting sqref="J76">
    <cfRule type="cellIs" dxfId="3158" priority="138" stopIfTrue="1" operator="lessThanOrEqual">
      <formula>0</formula>
    </cfRule>
    <cfRule type="cellIs" dxfId="3157" priority="137" stopIfTrue="1" operator="greaterThan">
      <formula>$F76</formula>
    </cfRule>
  </conditionalFormatting>
  <conditionalFormatting sqref="K10:K24">
    <cfRule type="cellIs" dxfId="3156" priority="7" operator="greaterThan">
      <formula>6.4</formula>
    </cfRule>
    <cfRule type="cellIs" dxfId="3155" priority="6" operator="lessThan">
      <formula>4</formula>
    </cfRule>
    <cfRule type="cellIs" dxfId="3154" priority="5" operator="greaterThan">
      <formula>6</formula>
    </cfRule>
  </conditionalFormatting>
  <conditionalFormatting sqref="K56:K63 K67:N73 K74 M74:N74 K75:N75">
    <cfRule type="cellIs" dxfId="3153" priority="114" stopIfTrue="1" operator="lessThan">
      <formula>100%</formula>
    </cfRule>
  </conditionalFormatting>
  <conditionalFormatting sqref="K78:K83">
    <cfRule type="cellIs" dxfId="3152" priority="181" stopIfTrue="1" operator="lessThan">
      <formula>100%</formula>
    </cfRule>
  </conditionalFormatting>
  <conditionalFormatting sqref="K85:K86">
    <cfRule type="cellIs" dxfId="3151" priority="188" stopIfTrue="1" operator="lessThan">
      <formula>100%</formula>
    </cfRule>
  </conditionalFormatting>
  <conditionalFormatting sqref="L15">
    <cfRule type="cellIs" dxfId="3150" priority="9" operator="greaterThan">
      <formula>65</formula>
    </cfRule>
    <cfRule type="cellIs" dxfId="3149" priority="8" operator="between">
      <formula>61</formula>
      <formula>65</formula>
    </cfRule>
  </conditionalFormatting>
  <conditionalFormatting sqref="L17:L24">
    <cfRule type="cellIs" dxfId="3148" priority="22" operator="greaterThan">
      <formula>65</formula>
    </cfRule>
    <cfRule type="cellIs" dxfId="3147" priority="21" operator="between">
      <formula>61</formula>
      <formula>65</formula>
    </cfRule>
  </conditionalFormatting>
  <conditionalFormatting sqref="L10:M14 L16:M16">
    <cfRule type="cellIs" dxfId="3146" priority="13" operator="between">
      <formula>61</formula>
      <formula>65</formula>
    </cfRule>
    <cfRule type="cellIs" dxfId="3145" priority="12" operator="greaterThan">
      <formula>65</formula>
    </cfRule>
  </conditionalFormatting>
  <conditionalFormatting sqref="L27:M38">
    <cfRule type="cellIs" dxfId="3144" priority="82" operator="lessThan">
      <formula>97.95</formula>
    </cfRule>
  </conditionalFormatting>
  <conditionalFormatting sqref="L42:N42">
    <cfRule type="cellIs" dxfId="3143" priority="83" operator="notEqual">
      <formula>#REF!</formula>
    </cfRule>
  </conditionalFormatting>
  <conditionalFormatting sqref="L76:N76">
    <cfRule type="cellIs" dxfId="3142" priority="139" stopIfTrue="1" operator="lessThan">
      <formula>100%</formula>
    </cfRule>
  </conditionalFormatting>
  <conditionalFormatting sqref="L78:N86">
    <cfRule type="cellIs" dxfId="3141" priority="166" stopIfTrue="1" operator="lessThan">
      <formula>100%</formula>
    </cfRule>
  </conditionalFormatting>
  <conditionalFormatting sqref="M10:M14 M16 G10:G14 G16:G21 H17:H19 G24:H24">
    <cfRule type="expression" dxfId="3140" priority="39">
      <formula>IF(+(IF(G10&lt;#REF!,0,IF(G10&gt;#REF!,0,1)))=0,1)</formula>
    </cfRule>
  </conditionalFormatting>
  <conditionalFormatting sqref="M15">
    <cfRule type="expression" dxfId="3139" priority="1">
      <formula>IF(+(IF(M15&lt;U15,0,IF(M15&gt;V15,0,1)))=0,1)</formula>
    </cfRule>
  </conditionalFormatting>
  <conditionalFormatting sqref="M17:M23">
    <cfRule type="expression" dxfId="3138" priority="14">
      <formula>IF(+(IF(M17&lt;U17,0,IF(M17&gt;V17,0,1)))=0,1)</formula>
    </cfRule>
  </conditionalFormatting>
  <conditionalFormatting sqref="M24:N24">
    <cfRule type="expression" dxfId="3137" priority="196">
      <formula>IF(+(IF(M24&lt;#REF!,0,IF(M24&gt;#REF!,0,1)))=0,1)</formula>
    </cfRule>
  </conditionalFormatting>
  <conditionalFormatting sqref="N10:N23">
    <cfRule type="expression" dxfId="3136" priority="3">
      <formula>IF(+(IF(N10&lt;W10,0,IF(N10&gt;X10,0,1)))=0,1)</formula>
    </cfRule>
  </conditionalFormatting>
  <conditionalFormatting sqref="P6">
    <cfRule type="cellIs" dxfId="3135" priority="162" operator="greaterThanOrEqual">
      <formula>19</formula>
    </cfRule>
  </conditionalFormatting>
  <dataValidations disablePrompts="1" count="1">
    <dataValidation type="list" allowBlank="1" showInputMessage="1" showErrorMessage="1" sqref="R8" xr:uid="{839DD266-25A5-4C3A-A680-F01EBF46896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5071-39B9-4221-8CDE-72560B65D75F}">
  <sheetPr>
    <pageSetUpPr fitToPage="1"/>
  </sheetPr>
  <dimension ref="A1:BE95"/>
  <sheetViews>
    <sheetView topLeftCell="A46" zoomScale="80" zoomScaleNormal="80" workbookViewId="0">
      <selection activeCell="B34" sqref="B34:O34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45999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[24]Brewhouse!$A496</f>
        <v>ST471</v>
      </c>
      <c r="D10" s="279">
        <f>[24]Brewhouse!$AD496</f>
        <v>46.9</v>
      </c>
      <c r="E10" s="279">
        <f>[24]Brewhouse!$AG496</f>
        <v>47.1</v>
      </c>
      <c r="F10" s="278">
        <f>[24]Brewhouse!$V496</f>
        <v>55</v>
      </c>
      <c r="G10" s="279">
        <f>[24]Brewhouse!$AE496</f>
        <v>11.9</v>
      </c>
      <c r="H10" s="396">
        <v>11.9</v>
      </c>
      <c r="I10" s="488">
        <f>[24]Brewhouse!$AS496</f>
        <v>94.354738740056135</v>
      </c>
      <c r="J10" s="488">
        <f>[24]Brewhouse!$AT496</f>
        <v>94.452790565773796</v>
      </c>
      <c r="K10" s="281">
        <f>[24]Brewhouse!$Q496</f>
        <v>14.951923076923073</v>
      </c>
      <c r="L10" s="276">
        <f>[24]Brewhouse!$P496</f>
        <v>60</v>
      </c>
      <c r="M10" s="374">
        <f>[24]Brewhouse!$U496-[24]Brewhouse!$T496</f>
        <v>0.13124999999999998</v>
      </c>
      <c r="N10" s="370">
        <f>[24]Brewhouse!$AW496</f>
        <v>0.25972222222222219</v>
      </c>
      <c r="O10" s="420" t="str">
        <f>[24]Brewhouse!$AV496</f>
        <v>K. Benjamin</v>
      </c>
      <c r="P10" s="418"/>
      <c r="R10" s="277" t="str">
        <f t="shared" ref="R10:R30" si="0">B10</f>
        <v>STAG</v>
      </c>
      <c r="S10" s="475">
        <f t="shared" ref="S10:S20" si="1">VLOOKUP($B10,$R$3:$X$9,2,FALSE)</f>
        <v>11.6</v>
      </c>
      <c r="T10" s="475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475">
        <f t="shared" ref="Z10:Z20" si="8">VLOOKUP($B10,$R$3:$Z$9,9,FALSE)</f>
        <v>60</v>
      </c>
    </row>
    <row r="11" spans="2:29" ht="16.5" customHeight="1">
      <c r="B11" s="33" t="s">
        <v>9</v>
      </c>
      <c r="C11" s="366" t="str">
        <f>[24]Brewhouse!$A497</f>
        <v>ST472</v>
      </c>
      <c r="D11" s="279">
        <f>[24]Brewhouse!$AD497</f>
        <v>47.9</v>
      </c>
      <c r="E11" s="279">
        <f>[24]Brewhouse!$AG497</f>
        <v>45.4</v>
      </c>
      <c r="F11" s="278">
        <f>[24]Brewhouse!$V497</f>
        <v>56</v>
      </c>
      <c r="G11" s="279">
        <f>[24]Brewhouse!$AE497</f>
        <v>12</v>
      </c>
      <c r="H11" s="396">
        <v>12</v>
      </c>
      <c r="I11" s="488">
        <f>[24]Brewhouse!$AS497</f>
        <v>91.982430036998167</v>
      </c>
      <c r="J11" s="488">
        <f>[24]Brewhouse!$AT497</f>
        <v>92.077954029359972</v>
      </c>
      <c r="K11" s="281">
        <f>[24]Brewhouse!$Q497</f>
        <v>11.852207293666021</v>
      </c>
      <c r="L11" s="276">
        <f>[24]Brewhouse!$P497</f>
        <v>61</v>
      </c>
      <c r="M11" s="374">
        <f>[24]Brewhouse!$U497-[24]Brewhouse!$T497</f>
        <v>0.11249999999999993</v>
      </c>
      <c r="N11" s="370">
        <f>[24]Brewhouse!$AW497</f>
        <v>0.24166666666666664</v>
      </c>
      <c r="O11" s="420" t="str">
        <f>[24]Brewhouse!$AV497</f>
        <v>R. Regis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[24]Brewhouse!$A498</f>
        <v>ST473</v>
      </c>
      <c r="D12" s="279">
        <f>[24]Brewhouse!$AD498</f>
        <v>47.8</v>
      </c>
      <c r="E12" s="279">
        <f>[24]Brewhouse!$AG498</f>
        <v>48.2</v>
      </c>
      <c r="F12" s="278">
        <f>[24]Brewhouse!$V498</f>
        <v>59</v>
      </c>
      <c r="G12" s="279">
        <f>[24]Brewhouse!$AE498</f>
        <v>11.8</v>
      </c>
      <c r="H12" s="396">
        <v>11.9</v>
      </c>
      <c r="I12" s="488">
        <f>[24]Brewhouse!$AS498</f>
        <v>96.306496849476957</v>
      </c>
      <c r="J12" s="488">
        <f>[24]Brewhouse!$AT498</f>
        <v>96.406412510809474</v>
      </c>
      <c r="K12" s="281">
        <f>[24]Brewhouse!$Q498</f>
        <v>12.811900191938575</v>
      </c>
      <c r="L12" s="276">
        <f>[24]Brewhouse!$P498</f>
        <v>61</v>
      </c>
      <c r="M12" s="374">
        <f>[24]Brewhouse!$U498-[24]Brewhouse!$T498</f>
        <v>0.11249999999999993</v>
      </c>
      <c r="N12" s="370">
        <f>[24]Brewhouse!$AW498</f>
        <v>0.24722222222222212</v>
      </c>
      <c r="O12" s="420" t="str">
        <f>[24]Brewhouse!$AV498</f>
        <v>R. Regis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[24]Brewhouse!$A499</f>
        <v>ST474</v>
      </c>
      <c r="D13" s="279">
        <f>[24]Brewhouse!$AD499</f>
        <v>47.9</v>
      </c>
      <c r="E13" s="279">
        <f>[24]Brewhouse!$AG499</f>
        <v>47.9</v>
      </c>
      <c r="F13" s="278">
        <f>[24]Brewhouse!$V499</f>
        <v>58</v>
      </c>
      <c r="G13" s="279">
        <f>[24]Brewhouse!$AE499</f>
        <v>12</v>
      </c>
      <c r="H13" s="396">
        <v>11.9</v>
      </c>
      <c r="I13" s="488">
        <f>[24]Brewhouse!$AS499</f>
        <v>96.324079067745117</v>
      </c>
      <c r="J13" s="488">
        <f>[24]Brewhouse!$AT499</f>
        <v>96.424307469976469</v>
      </c>
      <c r="K13" s="281">
        <f>[24]Brewhouse!$Q499</f>
        <v>10.892514395393468</v>
      </c>
      <c r="L13" s="276">
        <f>[24]Brewhouse!$P499</f>
        <v>58</v>
      </c>
      <c r="M13" s="374">
        <f>[24]Brewhouse!$U499-[24]Brewhouse!$T499</f>
        <v>0.10625000000000007</v>
      </c>
      <c r="N13" s="370">
        <f>[24]Brewhouse!$AW499</f>
        <v>0.24375000000000002</v>
      </c>
      <c r="O13" s="420" t="str">
        <f>[24]Brewhouse!$AV499</f>
        <v>R.Sookram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 t="s">
        <v>9</v>
      </c>
      <c r="C14" s="366" t="str">
        <f>[24]Brewhouse!$A500</f>
        <v>ST475</v>
      </c>
      <c r="D14" s="279">
        <f>[24]Brewhouse!$AD500</f>
        <v>48.7</v>
      </c>
      <c r="E14" s="279">
        <f>[24]Brewhouse!$AG500</f>
        <v>48.41</v>
      </c>
      <c r="F14" s="278">
        <f>[24]Brewhouse!$V500</f>
        <v>71</v>
      </c>
      <c r="G14" s="279">
        <f>[24]Brewhouse!$AE500</f>
        <v>12</v>
      </c>
      <c r="H14" s="396">
        <v>12</v>
      </c>
      <c r="I14" s="488">
        <f>[24]Brewhouse!$AS500</f>
        <v>97.108353669089894</v>
      </c>
      <c r="J14" s="488">
        <f>[24]Brewhouse!$AT500</f>
        <v>97.2094632130934</v>
      </c>
      <c r="K14" s="281">
        <f>[24]Brewhouse!$Q500</f>
        <v>12.428023032629561</v>
      </c>
      <c r="L14" s="276">
        <f>[24]Brewhouse!$P500</f>
        <v>58</v>
      </c>
      <c r="M14" s="374">
        <f>[24]Brewhouse!$U500-[24]Brewhouse!$T500</f>
        <v>0.125</v>
      </c>
      <c r="N14" s="370">
        <f>[24]Brewhouse!$AW500</f>
        <v>0.26527777777777772</v>
      </c>
      <c r="O14" s="420" t="str">
        <f>[24]Brewhouse!$AV500</f>
        <v>R.Sookram</v>
      </c>
      <c r="P14" s="418"/>
      <c r="R14" s="277" t="str">
        <f t="shared" si="0"/>
        <v>STAG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33" t="s">
        <v>9</v>
      </c>
      <c r="C15" s="366" t="str">
        <f>[24]Brewhouse!$A501</f>
        <v>ST476</v>
      </c>
      <c r="D15" s="279">
        <f>[24]Brewhouse!$AD501</f>
        <v>48.2</v>
      </c>
      <c r="E15" s="279">
        <f>[24]Brewhouse!$AG501</f>
        <v>47.9</v>
      </c>
      <c r="F15" s="278">
        <f>[24]Brewhouse!$V501</f>
        <v>72</v>
      </c>
      <c r="G15" s="279">
        <f>[24]Brewhouse!$AE501</f>
        <v>11.9</v>
      </c>
      <c r="H15" s="396">
        <v>11.9</v>
      </c>
      <c r="I15" s="488">
        <f>[24]Brewhouse!$AS501</f>
        <v>96.318172893351601</v>
      </c>
      <c r="J15" s="488">
        <f>[24]Brewhouse!$AT501</f>
        <v>96.418166682662104</v>
      </c>
      <c r="K15" s="281">
        <f>[24]Brewhouse!$Q501</f>
        <v>11.852207293666021</v>
      </c>
      <c r="L15" s="276">
        <f>[24]Brewhouse!$P501</f>
        <v>60</v>
      </c>
      <c r="M15" s="374">
        <f>[24]Brewhouse!$U501-[24]Brewhouse!$T501</f>
        <v>0.11597222222222214</v>
      </c>
      <c r="N15" s="370">
        <f>[24]Brewhouse!$AW501</f>
        <v>0.2618055555555554</v>
      </c>
      <c r="O15" s="420" t="str">
        <f>[24]Brewhouse!$AV501</f>
        <v>R.Sookram</v>
      </c>
      <c r="P15" s="418"/>
      <c r="R15" s="277" t="str">
        <f t="shared" si="0"/>
        <v>STAG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488"/>
      <c r="J16" s="488"/>
      <c r="K16" s="281"/>
      <c r="L16" s="276"/>
      <c r="M16" s="374"/>
      <c r="N16" s="370"/>
      <c r="O16" s="420"/>
      <c r="P16" s="418"/>
      <c r="R16" s="277">
        <f t="shared" ref="R16:R17" si="9">B16</f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2:26" ht="16.5" customHeight="1">
      <c r="B17" s="489">
        <v>45997</v>
      </c>
      <c r="C17" s="366"/>
      <c r="D17" s="279"/>
      <c r="E17" s="279"/>
      <c r="F17" s="278"/>
      <c r="G17" s="279"/>
      <c r="H17" s="396"/>
      <c r="I17" s="488"/>
      <c r="J17" s="488"/>
      <c r="K17" s="281"/>
      <c r="L17" s="276"/>
      <c r="M17" s="374"/>
      <c r="N17" s="370"/>
      <c r="O17" s="420"/>
      <c r="P17" s="418"/>
      <c r="R17" s="277">
        <f t="shared" si="9"/>
        <v>45997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2:26" ht="16.5" customHeight="1">
      <c r="B18" s="33" t="s">
        <v>9</v>
      </c>
      <c r="C18" s="366" t="str">
        <f>[24]Brewhouse!$A502</f>
        <v>ST477</v>
      </c>
      <c r="D18" s="279">
        <f>[24]Brewhouse!$AD502</f>
        <v>49.3</v>
      </c>
      <c r="E18" s="279">
        <f>[24]Brewhouse!$AG502</f>
        <v>48.68</v>
      </c>
      <c r="F18" s="278">
        <f>[24]Brewhouse!$V502</f>
        <v>63</v>
      </c>
      <c r="G18" s="279">
        <f>[24]Brewhouse!$AE502</f>
        <v>12</v>
      </c>
      <c r="H18" s="396">
        <v>11.8</v>
      </c>
      <c r="I18" s="488">
        <f>[24]Brewhouse!$AS502</f>
        <v>97.288232268099577</v>
      </c>
      <c r="J18" s="488">
        <f>[24]Brewhouse!$AT502</f>
        <v>97.389626296509036</v>
      </c>
      <c r="K18" s="281">
        <f>[24]Brewhouse!$Q502</f>
        <v>12.811900191938575</v>
      </c>
      <c r="L18" s="276">
        <f>[24]Brewhouse!$P502</f>
        <v>59</v>
      </c>
      <c r="M18" s="374">
        <f>[24]Brewhouse!$U502-[24]Brewhouse!$T502</f>
        <v>0.12777777777777774</v>
      </c>
      <c r="N18" s="370">
        <f>[24]Brewhouse!$AW502</f>
        <v>0.26458333333333328</v>
      </c>
      <c r="O18" s="420" t="str">
        <f>[24]Brewhouse!$AV502</f>
        <v>R.Sookram</v>
      </c>
      <c r="P18" s="418"/>
      <c r="R18" s="277" t="str">
        <f t="shared" si="0"/>
        <v>STAG</v>
      </c>
      <c r="S18" s="475">
        <f t="shared" si="1"/>
        <v>11.6</v>
      </c>
      <c r="T18" s="475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5">
        <f t="shared" si="8"/>
        <v>60</v>
      </c>
    </row>
    <row r="19" spans="2:26" ht="16.5" customHeight="1">
      <c r="B19" s="33" t="s">
        <v>9</v>
      </c>
      <c r="C19" s="366" t="str">
        <f>[24]Brewhouse!$A503</f>
        <v>ST478</v>
      </c>
      <c r="D19" s="279">
        <f>[24]Brewhouse!$AD503</f>
        <v>50</v>
      </c>
      <c r="E19" s="279">
        <f>[24]Brewhouse!$AG503</f>
        <v>49.61</v>
      </c>
      <c r="F19" s="278">
        <f>[24]Brewhouse!$V503</f>
        <v>62</v>
      </c>
      <c r="G19" s="279">
        <f>[24]Brewhouse!$AE503</f>
        <v>11.8</v>
      </c>
      <c r="H19" s="396">
        <v>11.8</v>
      </c>
      <c r="I19" s="488">
        <f>[24]Brewhouse!$AS503</f>
        <v>98.751516404135572</v>
      </c>
      <c r="J19" s="488">
        <f>[24]Brewhouse!$AT503</f>
        <v>98.854070110260878</v>
      </c>
      <c r="K19" s="281">
        <f>[24]Brewhouse!$Q503</f>
        <v>12.236084452975048</v>
      </c>
      <c r="L19" s="276">
        <f>[24]Brewhouse!$P503</f>
        <v>57</v>
      </c>
      <c r="M19" s="374">
        <f>[24]Brewhouse!$U503-[24]Brewhouse!$T503</f>
        <v>0.11666666666666664</v>
      </c>
      <c r="N19" s="370">
        <f>[24]Brewhouse!$AW503</f>
        <v>0.26597222222222222</v>
      </c>
      <c r="O19" s="420" t="str">
        <f>[24]Brewhouse!$AV503</f>
        <v>R.Sookram</v>
      </c>
      <c r="P19" s="418"/>
      <c r="R19" s="277" t="str">
        <f t="shared" si="0"/>
        <v>STAG</v>
      </c>
      <c r="S19" s="475">
        <f t="shared" si="1"/>
        <v>11.6</v>
      </c>
      <c r="T19" s="475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5">
        <f t="shared" si="8"/>
        <v>60</v>
      </c>
    </row>
    <row r="20" spans="2:26" ht="16.5" customHeight="1">
      <c r="B20" s="33"/>
      <c r="C20" s="366"/>
      <c r="D20" s="279"/>
      <c r="E20" s="279"/>
      <c r="F20" s="278"/>
      <c r="G20" s="279"/>
      <c r="H20" s="396"/>
      <c r="I20" s="488"/>
      <c r="J20" s="488"/>
      <c r="K20" s="281"/>
      <c r="L20" s="276"/>
      <c r="M20" s="374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2:26" ht="16.5" customHeight="1">
      <c r="B21" s="29" t="s">
        <v>6</v>
      </c>
      <c r="C21" s="366" t="str">
        <f>[23]Brewhouse!$A1006</f>
        <v>CA890</v>
      </c>
      <c r="D21" s="279">
        <f>[23]Brewhouse!$AF1006</f>
        <v>47.7</v>
      </c>
      <c r="E21" s="279">
        <f>[23]Brewhouse!$AI1006</f>
        <v>47.5</v>
      </c>
      <c r="F21" s="278">
        <f>[23]Brewhouse!$V1006</f>
        <v>62</v>
      </c>
      <c r="G21" s="279">
        <f>[23]Brewhouse!AG1006</f>
        <v>11.7</v>
      </c>
      <c r="H21" s="396">
        <v>11.8</v>
      </c>
      <c r="I21" s="368">
        <f>[23]Brewhouse!$AU1006</f>
        <v>92.236557150347181</v>
      </c>
      <c r="J21" s="368">
        <f>[23]Brewhouse!$AV1006</f>
        <v>92.350076254447956</v>
      </c>
      <c r="K21" s="281">
        <f>[23]Brewhouse!$Q1006</f>
        <v>11.525423728813553</v>
      </c>
      <c r="L21" s="276">
        <f>[23]Brewhouse!$P1006</f>
        <v>57</v>
      </c>
      <c r="M21" s="397">
        <f>[23]Brewhouse!$U1006-[23]Brewhouse!$T1006</f>
        <v>0.11319444444444438</v>
      </c>
      <c r="N21" s="370">
        <f>[23]Brewhouse!$Z1006</f>
        <v>0.24583333333333329</v>
      </c>
      <c r="O21" s="420" t="str">
        <f>[23]Brewhouse!$AX1006</f>
        <v>G.Mason</v>
      </c>
      <c r="P21" s="418"/>
      <c r="R21" s="277" t="str">
        <f t="shared" si="0"/>
        <v>CARIB</v>
      </c>
      <c r="S21" s="475">
        <f t="shared" ref="S21:S57" si="10">VLOOKUP($B21,$R$3:$X$9,2,FALSE)</f>
        <v>11.6</v>
      </c>
      <c r="T21" s="475">
        <f t="shared" ref="T21:T57" si="11">VLOOKUP($B21,$R$3:$X$9,3,FALSE)</f>
        <v>12</v>
      </c>
      <c r="U21" s="297">
        <f t="shared" ref="U21:U57" si="12">VLOOKUP($B21,$R$3:$X$9,4,FALSE)</f>
        <v>0</v>
      </c>
      <c r="V21" s="297">
        <f t="shared" ref="V21:V57" si="13">VLOOKUP($B21,$R$3:$X$9,5,FALSE)</f>
        <v>0.118055555555556</v>
      </c>
      <c r="W21" s="297">
        <f t="shared" ref="W21:W57" si="14">VLOOKUP($B21,$R$3:$X$9,6,FALSE)</f>
        <v>0.22569444444444445</v>
      </c>
      <c r="X21" s="297">
        <f t="shared" ref="X21:X57" si="15">VLOOKUP($B21,$R$3:$X$9,7,FALSE)</f>
        <v>0.2638888888888889</v>
      </c>
      <c r="Y21" s="297">
        <f t="shared" ref="Y21:Y57" si="16">VLOOKUP($B21,$R$3:$Z$9,8,FALSE)</f>
        <v>0</v>
      </c>
      <c r="Z21" s="475">
        <f t="shared" ref="Z21:Z57" si="17">VLOOKUP($B21,$R$3:$Z$9,9,FALSE)</f>
        <v>60</v>
      </c>
    </row>
    <row r="22" spans="2:26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5" t="e">
        <f t="shared" si="10"/>
        <v>#N/A</v>
      </c>
      <c r="T22" s="475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5" t="e">
        <f t="shared" si="17"/>
        <v>#N/A</v>
      </c>
    </row>
    <row r="23" spans="2:26" ht="16.5" customHeight="1">
      <c r="B23" s="37" t="s">
        <v>16</v>
      </c>
      <c r="C23" s="366" t="str">
        <f>[27]Brewhouse!$A99</f>
        <v>SM085</v>
      </c>
      <c r="D23" s="279">
        <f>[27]Brewhouse!$AH99</f>
        <v>53</v>
      </c>
      <c r="E23" s="279">
        <f>[27]Brewhouse!$AM99</f>
        <v>50.2</v>
      </c>
      <c r="F23" s="278">
        <f>[27]Brewhouse!$Z99</f>
        <v>64</v>
      </c>
      <c r="G23" s="279">
        <f>[27]Brewhouse!$AK99</f>
        <v>17.399999999999999</v>
      </c>
      <c r="H23" s="396">
        <v>17.3</v>
      </c>
      <c r="I23" s="368">
        <f>[27]Brewhouse!$AY99</f>
        <v>96.558713604123923</v>
      </c>
      <c r="J23" s="368">
        <f>[27]Brewhouse!$AZ99</f>
        <v>96.617255340299423</v>
      </c>
      <c r="K23" s="281">
        <f>[27]Brewhouse!$U99</f>
        <v>10.905660377358492</v>
      </c>
      <c r="L23" s="276">
        <f>[27]Brewhouse!$T99</f>
        <v>60</v>
      </c>
      <c r="M23" s="374">
        <f>[27]Brewhouse!$Y99-[27]Brewhouse!$X99</f>
        <v>0.12638888888888888</v>
      </c>
      <c r="N23" s="370">
        <f>[27]Brewhouse!$AD99</f>
        <v>0.28055555555555556</v>
      </c>
      <c r="O23" s="371" t="str">
        <f>[27]Brewhouse!$BC99</f>
        <v>R. Regis</v>
      </c>
      <c r="P23" s="418"/>
      <c r="R23" s="277" t="str">
        <f t="shared" si="0"/>
        <v>STARMALT</v>
      </c>
      <c r="S23" s="475">
        <f t="shared" si="10"/>
        <v>17</v>
      </c>
      <c r="T23" s="475">
        <f t="shared" si="11"/>
        <v>17.399999999999999</v>
      </c>
      <c r="U23" s="297">
        <f t="shared" si="12"/>
        <v>0</v>
      </c>
      <c r="V23" s="297">
        <f t="shared" si="13"/>
        <v>0.13605324074074074</v>
      </c>
      <c r="W23" s="297">
        <f t="shared" si="14"/>
        <v>0.27430555555555552</v>
      </c>
      <c r="X23" s="297">
        <f t="shared" si="15"/>
        <v>0.30902777777777779</v>
      </c>
      <c r="Y23" s="297">
        <f t="shared" si="16"/>
        <v>0</v>
      </c>
      <c r="Z23" s="475">
        <f t="shared" si="17"/>
        <v>85</v>
      </c>
    </row>
    <row r="24" spans="2:26" ht="16.5" customHeight="1">
      <c r="B24" s="37" t="s">
        <v>16</v>
      </c>
      <c r="C24" s="366" t="str">
        <f>[27]Brewhouse!$A100</f>
        <v>SM086</v>
      </c>
      <c r="D24" s="279">
        <f>[27]Brewhouse!$AH100</f>
        <v>53.1</v>
      </c>
      <c r="E24" s="279">
        <f>[27]Brewhouse!$AM100</f>
        <v>54.5</v>
      </c>
      <c r="F24" s="278">
        <f>[27]Brewhouse!$Z100</f>
        <v>67</v>
      </c>
      <c r="G24" s="279">
        <f>[27]Brewhouse!$AK100</f>
        <v>17.5</v>
      </c>
      <c r="H24" s="396">
        <v>17.5</v>
      </c>
      <c r="I24" s="368">
        <f>[27]Brewhouse!$AY100</f>
        <v>105.44930644693808</v>
      </c>
      <c r="J24" s="368">
        <f>[27]Brewhouse!$AZ100</f>
        <v>105.51323838272602</v>
      </c>
      <c r="K24" s="281">
        <f>[27]Brewhouse!$U100</f>
        <v>5.0470809792843818</v>
      </c>
      <c r="L24" s="276">
        <f>[27]Brewhouse!$T100</f>
        <v>60</v>
      </c>
      <c r="M24" s="374">
        <f>[27]Brewhouse!$Y100-[27]Brewhouse!$X100</f>
        <v>0.12638888888888888</v>
      </c>
      <c r="N24" s="370">
        <f>[27]Brewhouse!$AD100</f>
        <v>0.28611111111111109</v>
      </c>
      <c r="O24" s="371" t="str">
        <f>[27]Brewhouse!$BC100</f>
        <v>R. Regis</v>
      </c>
      <c r="P24" s="418"/>
      <c r="R24" s="277" t="str">
        <f t="shared" si="0"/>
        <v>STARMALT</v>
      </c>
      <c r="S24" s="475">
        <f t="shared" si="10"/>
        <v>17</v>
      </c>
      <c r="T24" s="475">
        <f t="shared" si="11"/>
        <v>17.399999999999999</v>
      </c>
      <c r="U24" s="297">
        <f t="shared" si="12"/>
        <v>0</v>
      </c>
      <c r="V24" s="297">
        <f t="shared" si="13"/>
        <v>0.13605324074074074</v>
      </c>
      <c r="W24" s="297">
        <f t="shared" si="14"/>
        <v>0.27430555555555552</v>
      </c>
      <c r="X24" s="297">
        <f t="shared" si="15"/>
        <v>0.30902777777777779</v>
      </c>
      <c r="Y24" s="297">
        <f t="shared" si="16"/>
        <v>0</v>
      </c>
      <c r="Z24" s="475">
        <f t="shared" si="17"/>
        <v>85</v>
      </c>
    </row>
    <row r="25" spans="2:26" ht="16.5" customHeight="1">
      <c r="B25" s="37" t="s">
        <v>16</v>
      </c>
      <c r="C25" s="366" t="str">
        <f>[27]Brewhouse!$A101</f>
        <v>SM087</v>
      </c>
      <c r="D25" s="279">
        <f>[27]Brewhouse!$AH101</f>
        <v>53.1</v>
      </c>
      <c r="E25" s="279">
        <f>[27]Brewhouse!$AM101</f>
        <v>51</v>
      </c>
      <c r="F25" s="278">
        <f>[27]Brewhouse!$Z101</f>
        <v>63</v>
      </c>
      <c r="G25" s="279">
        <f>[27]Brewhouse!$AK101</f>
        <v>17.100000000000001</v>
      </c>
      <c r="H25" s="396">
        <v>17</v>
      </c>
      <c r="I25" s="368">
        <f>[27]Brewhouse!$AY101</f>
        <v>96.382586916121909</v>
      </c>
      <c r="J25" s="368">
        <f>[27]Brewhouse!$AZ101</f>
        <v>96.440967388489511</v>
      </c>
      <c r="K25" s="281">
        <f>[27]Brewhouse!$U101</f>
        <v>6.5536723163841879</v>
      </c>
      <c r="L25" s="276">
        <f>[27]Brewhouse!$T101</f>
        <v>60</v>
      </c>
      <c r="M25" s="374">
        <f>[27]Brewhouse!$Y101-[27]Brewhouse!$X101</f>
        <v>0.12777777777777777</v>
      </c>
      <c r="N25" s="370">
        <f>[27]Brewhouse!$AD101</f>
        <v>0.28263888888888888</v>
      </c>
      <c r="O25" s="371" t="str">
        <f>[27]Brewhouse!$BC101</f>
        <v>R. Regis</v>
      </c>
      <c r="P25" s="418"/>
      <c r="R25" s="277" t="str">
        <f t="shared" si="0"/>
        <v>STARMALT</v>
      </c>
      <c r="S25" s="475">
        <f t="shared" si="10"/>
        <v>17</v>
      </c>
      <c r="T25" s="475">
        <f t="shared" si="11"/>
        <v>17.399999999999999</v>
      </c>
      <c r="U25" s="297">
        <f t="shared" si="12"/>
        <v>0</v>
      </c>
      <c r="V25" s="297">
        <f t="shared" si="13"/>
        <v>0.13605324074074074</v>
      </c>
      <c r="W25" s="297">
        <f t="shared" si="14"/>
        <v>0.27430555555555552</v>
      </c>
      <c r="X25" s="297">
        <f t="shared" si="15"/>
        <v>0.30902777777777779</v>
      </c>
      <c r="Y25" s="297">
        <f t="shared" si="16"/>
        <v>0</v>
      </c>
      <c r="Z25" s="475">
        <f t="shared" si="17"/>
        <v>85</v>
      </c>
    </row>
    <row r="26" spans="2:26" ht="16.5" customHeight="1">
      <c r="B26" s="37" t="s">
        <v>16</v>
      </c>
      <c r="C26" s="366" t="str">
        <f>[27]Brewhouse!$A102</f>
        <v>SM088</v>
      </c>
      <c r="D26" s="279">
        <f>[27]Brewhouse!$AH102</f>
        <v>53.1</v>
      </c>
      <c r="E26" s="279">
        <f>[27]Brewhouse!$AM102</f>
        <v>50.5</v>
      </c>
      <c r="F26" s="278">
        <f>[27]Brewhouse!$Z102</f>
        <v>64</v>
      </c>
      <c r="G26" s="279">
        <f>[27]Brewhouse!$AK102</f>
        <v>17.100000000000001</v>
      </c>
      <c r="H26" s="396">
        <v>17.100000000000001</v>
      </c>
      <c r="I26" s="368">
        <f>[27]Brewhouse!$AY102</f>
        <v>95.591124152324554</v>
      </c>
      <c r="J26" s="368">
        <f>[27]Brewhouse!$AZ102</f>
        <v>95.64891689434171</v>
      </c>
      <c r="K26" s="281">
        <f>[27]Brewhouse!$U102</f>
        <v>7.871939736346528</v>
      </c>
      <c r="L26" s="276">
        <f>[27]Brewhouse!$T102</f>
        <v>60</v>
      </c>
      <c r="M26" s="374">
        <f>[27]Brewhouse!$Y102-[27]Brewhouse!$X102</f>
        <v>0.125</v>
      </c>
      <c r="N26" s="370">
        <f>[27]Brewhouse!$AD102</f>
        <v>0.28819444444444453</v>
      </c>
      <c r="O26" s="371" t="str">
        <f>[27]Brewhouse!$BC102</f>
        <v>R. Regis</v>
      </c>
      <c r="P26" s="418"/>
      <c r="R26" s="277" t="str">
        <f t="shared" si="0"/>
        <v>STARMALT</v>
      </c>
      <c r="S26" s="475">
        <f t="shared" si="10"/>
        <v>17</v>
      </c>
      <c r="T26" s="475">
        <f t="shared" si="11"/>
        <v>17.399999999999999</v>
      </c>
      <c r="U26" s="297">
        <f t="shared" si="12"/>
        <v>0</v>
      </c>
      <c r="V26" s="297">
        <f t="shared" si="13"/>
        <v>0.13605324074074074</v>
      </c>
      <c r="W26" s="297">
        <f t="shared" si="14"/>
        <v>0.27430555555555552</v>
      </c>
      <c r="X26" s="297">
        <f t="shared" si="15"/>
        <v>0.30902777777777779</v>
      </c>
      <c r="Y26" s="297">
        <f t="shared" si="16"/>
        <v>0</v>
      </c>
      <c r="Z26" s="475">
        <f t="shared" si="17"/>
        <v>85</v>
      </c>
    </row>
    <row r="27" spans="2:26" ht="16.5" customHeight="1">
      <c r="B27" s="37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ref="R27:R28" si="18">B27</f>
        <v>0</v>
      </c>
      <c r="S27" s="475" t="e">
        <f t="shared" si="10"/>
        <v>#N/A</v>
      </c>
      <c r="T27" s="475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5" t="e">
        <f t="shared" si="17"/>
        <v>#N/A</v>
      </c>
    </row>
    <row r="28" spans="2:26" ht="16.5" customHeight="1">
      <c r="B28" s="489">
        <v>45998</v>
      </c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18"/>
        <v>45998</v>
      </c>
      <c r="S28" s="475" t="e">
        <f t="shared" si="10"/>
        <v>#N/A</v>
      </c>
      <c r="T28" s="475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5" t="e">
        <f t="shared" si="17"/>
        <v>#N/A</v>
      </c>
    </row>
    <row r="29" spans="2:26" ht="16.5" customHeight="1">
      <c r="B29" s="37" t="s">
        <v>16</v>
      </c>
      <c r="C29" s="366" t="str">
        <f>[27]Brewhouse!$A103</f>
        <v>SM089</v>
      </c>
      <c r="D29" s="279">
        <f>[27]Brewhouse!$AH103</f>
        <v>53.1</v>
      </c>
      <c r="E29" s="279">
        <f>[27]Brewhouse!$AM103</f>
        <v>49.8</v>
      </c>
      <c r="F29" s="278">
        <f>[27]Brewhouse!$Z103</f>
        <v>70</v>
      </c>
      <c r="G29" s="279">
        <f>[27]Brewhouse!$AK103</f>
        <v>17.5</v>
      </c>
      <c r="H29" s="396">
        <v>17.5</v>
      </c>
      <c r="I29" s="368">
        <f>[27]Brewhouse!$AY103</f>
        <v>96.201192942013037</v>
      </c>
      <c r="J29" s="368">
        <f>[27]Brewhouse!$AZ103</f>
        <v>96.259626416961481</v>
      </c>
      <c r="K29" s="281">
        <f>[27]Brewhouse!$U103</f>
        <v>8.6252354048964328</v>
      </c>
      <c r="L29" s="276">
        <f>[27]Brewhouse!$T103</f>
        <v>62</v>
      </c>
      <c r="M29" s="374">
        <f>[27]Brewhouse!$Y103-[27]Brewhouse!$X103</f>
        <v>0.13680555555555557</v>
      </c>
      <c r="N29" s="370">
        <f>[27]Brewhouse!$AD103</f>
        <v>0.3125</v>
      </c>
      <c r="O29" s="371" t="str">
        <f>[27]Brewhouse!$BC103</f>
        <v>R. Regis</v>
      </c>
      <c r="P29" s="418"/>
      <c r="R29" s="277" t="str">
        <f t="shared" si="0"/>
        <v>STARMALT</v>
      </c>
      <c r="S29" s="475">
        <f t="shared" si="10"/>
        <v>17</v>
      </c>
      <c r="T29" s="475">
        <f t="shared" si="11"/>
        <v>17.399999999999999</v>
      </c>
      <c r="U29" s="297">
        <f t="shared" si="12"/>
        <v>0</v>
      </c>
      <c r="V29" s="297">
        <f t="shared" si="13"/>
        <v>0.13605324074074074</v>
      </c>
      <c r="W29" s="297">
        <f t="shared" si="14"/>
        <v>0.27430555555555552</v>
      </c>
      <c r="X29" s="297">
        <f t="shared" si="15"/>
        <v>0.30902777777777779</v>
      </c>
      <c r="Y29" s="297">
        <f t="shared" si="16"/>
        <v>0</v>
      </c>
      <c r="Z29" s="475">
        <f t="shared" si="17"/>
        <v>85</v>
      </c>
    </row>
    <row r="30" spans="2:26" ht="16.5" customHeight="1">
      <c r="B30" s="37" t="s">
        <v>16</v>
      </c>
      <c r="C30" s="366" t="str">
        <f>[27]Brewhouse!$A104</f>
        <v>SM090</v>
      </c>
      <c r="D30" s="279">
        <f>[27]Brewhouse!$AH104</f>
        <v>53</v>
      </c>
      <c r="E30" s="279">
        <f>[27]Brewhouse!$AM104</f>
        <v>50</v>
      </c>
      <c r="F30" s="278">
        <f>[27]Brewhouse!$Z104</f>
        <v>83</v>
      </c>
      <c r="G30" s="279">
        <f>[27]Brewhouse!$AK104</f>
        <v>17.399999999999999</v>
      </c>
      <c r="H30" s="396">
        <v>17.399999999999999</v>
      </c>
      <c r="I30" s="368">
        <f>[27]Brewhouse!$AY104</f>
        <v>95.943158261936006</v>
      </c>
      <c r="J30" s="368">
        <f>[27]Brewhouse!$AZ104</f>
        <v>96.001488977419584</v>
      </c>
      <c r="K30" s="281">
        <f>[27]Brewhouse!$U104</f>
        <v>6.9433962264150937</v>
      </c>
      <c r="L30" s="276">
        <f>[27]Brewhouse!$T104</f>
        <v>63</v>
      </c>
      <c r="M30" s="374">
        <f>[27]Brewhouse!$Y104-[27]Brewhouse!$X104</f>
        <v>0.14513888888888882</v>
      </c>
      <c r="N30" s="370">
        <f>[27]Brewhouse!$AD104</f>
        <v>0.31527777777777777</v>
      </c>
      <c r="O30" s="371" t="str">
        <f>[27]Brewhouse!$BC104</f>
        <v>K. Benjamin</v>
      </c>
      <c r="P30" s="418"/>
      <c r="R30" s="277" t="str">
        <f t="shared" si="0"/>
        <v>STARMALT</v>
      </c>
      <c r="S30" s="475">
        <f t="shared" si="10"/>
        <v>17</v>
      </c>
      <c r="T30" s="475">
        <f t="shared" si="11"/>
        <v>17.399999999999999</v>
      </c>
      <c r="U30" s="297">
        <f t="shared" si="12"/>
        <v>0</v>
      </c>
      <c r="V30" s="297">
        <f t="shared" si="13"/>
        <v>0.13605324074074074</v>
      </c>
      <c r="W30" s="297">
        <f t="shared" si="14"/>
        <v>0.27430555555555552</v>
      </c>
      <c r="X30" s="297">
        <f t="shared" si="15"/>
        <v>0.30902777777777779</v>
      </c>
      <c r="Y30" s="297">
        <f t="shared" si="16"/>
        <v>0</v>
      </c>
      <c r="Z30" s="475">
        <f t="shared" si="17"/>
        <v>85</v>
      </c>
    </row>
    <row r="31" spans="2:26" ht="16.5" customHeight="1">
      <c r="B31" s="37" t="s">
        <v>16</v>
      </c>
      <c r="C31" s="366" t="str">
        <f>[27]Brewhouse!$A105</f>
        <v>SM091</v>
      </c>
      <c r="D31" s="279">
        <f>[27]Brewhouse!$AH105</f>
        <v>53</v>
      </c>
      <c r="E31" s="279">
        <f>[27]Brewhouse!$AM105</f>
        <v>53</v>
      </c>
      <c r="F31" s="278">
        <f>[27]Brewhouse!$Z105</f>
        <v>66</v>
      </c>
      <c r="G31" s="279">
        <f>[27]Brewhouse!$AK105</f>
        <v>17</v>
      </c>
      <c r="H31" s="396">
        <v>17</v>
      </c>
      <c r="I31" s="368">
        <f>[27]Brewhouse!$AY105</f>
        <v>99.265370832227902</v>
      </c>
      <c r="J31" s="368">
        <f>[27]Brewhouse!$AZ105</f>
        <v>99.325665516549208</v>
      </c>
      <c r="K31" s="281">
        <f>[27]Brewhouse!$U105</f>
        <v>4.4905660377358538</v>
      </c>
      <c r="L31" s="276">
        <f>[27]Brewhouse!$T105</f>
        <v>60</v>
      </c>
      <c r="M31" s="374">
        <f>[27]Brewhouse!$Y105-[27]Brewhouse!$X105</f>
        <v>0.1479166666666667</v>
      </c>
      <c r="N31" s="370">
        <f>[27]Brewhouse!$AD105</f>
        <v>0.31458333333333333</v>
      </c>
      <c r="O31" s="371" t="str">
        <f>[27]Brewhouse!$BC105</f>
        <v>K. Benjamin</v>
      </c>
      <c r="P31" s="418"/>
      <c r="R31" s="277" t="str">
        <f t="shared" ref="R31:R57" si="19">B31</f>
        <v>STARMALT</v>
      </c>
      <c r="S31" s="475">
        <f t="shared" si="10"/>
        <v>17</v>
      </c>
      <c r="T31" s="475">
        <f t="shared" si="11"/>
        <v>17.399999999999999</v>
      </c>
      <c r="U31" s="297">
        <f t="shared" si="12"/>
        <v>0</v>
      </c>
      <c r="V31" s="297">
        <f t="shared" si="13"/>
        <v>0.13605324074074074</v>
      </c>
      <c r="W31" s="297">
        <f t="shared" si="14"/>
        <v>0.27430555555555552</v>
      </c>
      <c r="X31" s="297">
        <f t="shared" si="15"/>
        <v>0.30902777777777779</v>
      </c>
      <c r="Y31" s="297">
        <f t="shared" si="16"/>
        <v>0</v>
      </c>
      <c r="Z31" s="475">
        <f t="shared" si="17"/>
        <v>85</v>
      </c>
    </row>
    <row r="32" spans="2:26" ht="16.5" customHeight="1">
      <c r="B32" s="37" t="s">
        <v>16</v>
      </c>
      <c r="C32" s="366" t="str">
        <f>[27]Brewhouse!$A106</f>
        <v>SM092</v>
      </c>
      <c r="D32" s="279">
        <f>[27]Brewhouse!$AH106</f>
        <v>53</v>
      </c>
      <c r="E32" s="279">
        <f>[27]Brewhouse!$AM106</f>
        <v>55.3</v>
      </c>
      <c r="F32" s="278">
        <f>[27]Brewhouse!$Z106</f>
        <v>74</v>
      </c>
      <c r="G32" s="279">
        <f>[27]Brewhouse!$AK106</f>
        <v>17.399999999999999</v>
      </c>
      <c r="H32" s="396">
        <v>17.399999999999999</v>
      </c>
      <c r="I32" s="368">
        <f>[27]Brewhouse!$AY106</f>
        <v>106.36846339259067</v>
      </c>
      <c r="J32" s="368">
        <f>[27]Brewhouse!$AZ106</f>
        <v>106.43295259598719</v>
      </c>
      <c r="K32" s="281">
        <f>[27]Brewhouse!$U106</f>
        <v>10.716981132075471</v>
      </c>
      <c r="L32" s="276">
        <f>[27]Brewhouse!$T106</f>
        <v>60</v>
      </c>
      <c r="M32" s="374">
        <f>[27]Brewhouse!$Y106-[27]Brewhouse!$X106</f>
        <v>0.15416666666666667</v>
      </c>
      <c r="N32" s="370">
        <f>[27]Brewhouse!$AD106</f>
        <v>0.3833333333333333</v>
      </c>
      <c r="O32" s="371" t="str">
        <f>[27]Brewhouse!$BC106</f>
        <v>K. Benjamin</v>
      </c>
      <c r="P32" s="418" t="s">
        <v>177</v>
      </c>
      <c r="R32" s="277" t="str">
        <f t="shared" si="19"/>
        <v>STARMALT</v>
      </c>
      <c r="S32" s="475">
        <f t="shared" si="10"/>
        <v>17</v>
      </c>
      <c r="T32" s="475">
        <f t="shared" si="11"/>
        <v>17.399999999999999</v>
      </c>
      <c r="U32" s="297">
        <f t="shared" si="12"/>
        <v>0</v>
      </c>
      <c r="V32" s="297">
        <f t="shared" si="13"/>
        <v>0.13605324074074074</v>
      </c>
      <c r="W32" s="297">
        <f t="shared" si="14"/>
        <v>0.27430555555555552</v>
      </c>
      <c r="X32" s="297">
        <f t="shared" si="15"/>
        <v>0.30902777777777779</v>
      </c>
      <c r="Y32" s="297">
        <f t="shared" si="16"/>
        <v>0</v>
      </c>
      <c r="Z32" s="475">
        <f t="shared" si="17"/>
        <v>85</v>
      </c>
    </row>
    <row r="33" spans="1:26" ht="16.5" customHeight="1">
      <c r="B33" s="37" t="s">
        <v>16</v>
      </c>
      <c r="C33" s="366" t="str">
        <f>[27]Brewhouse!$A107</f>
        <v>SM093</v>
      </c>
      <c r="D33" s="279">
        <f>[27]Brewhouse!$AH107</f>
        <v>53.1</v>
      </c>
      <c r="E33" s="279">
        <f>[27]Brewhouse!$AM107</f>
        <v>51.2</v>
      </c>
      <c r="F33" s="278">
        <f>[27]Brewhouse!$Z107</f>
        <v>65</v>
      </c>
      <c r="G33" s="279">
        <f>[27]Brewhouse!$AK107</f>
        <v>17.100000000000001</v>
      </c>
      <c r="H33" s="396">
        <v>17.100000000000001</v>
      </c>
      <c r="I33" s="368">
        <f>[27]Brewhouse!$AY107</f>
        <v>96.528104626400491</v>
      </c>
      <c r="J33" s="368">
        <f>[27]Brewhouse!$AZ107</f>
        <v>96.586736670463665</v>
      </c>
      <c r="K33" s="281">
        <f>[27]Brewhouse!$U107</f>
        <v>5.4237288135593271</v>
      </c>
      <c r="L33" s="276">
        <f>[27]Brewhouse!$T107</f>
        <v>60</v>
      </c>
      <c r="M33" s="374">
        <f>[27]Brewhouse!$Y107-[27]Brewhouse!$X107</f>
        <v>0.12361111111111101</v>
      </c>
      <c r="N33" s="370">
        <f>[27]Brewhouse!$AD107</f>
        <v>0.38749999999999996</v>
      </c>
      <c r="O33" s="371" t="str">
        <f>[27]Brewhouse!$BC107</f>
        <v>R. Regis</v>
      </c>
      <c r="P33" s="418" t="s">
        <v>183</v>
      </c>
      <c r="R33" s="277" t="str">
        <f t="shared" si="19"/>
        <v>STARMALT</v>
      </c>
      <c r="S33" s="475">
        <f t="shared" si="10"/>
        <v>17</v>
      </c>
      <c r="T33" s="475">
        <f t="shared" si="11"/>
        <v>17.399999999999999</v>
      </c>
      <c r="U33" s="297">
        <f t="shared" si="12"/>
        <v>0</v>
      </c>
      <c r="V33" s="297">
        <f t="shared" si="13"/>
        <v>0.13605324074074074</v>
      </c>
      <c r="W33" s="297">
        <f t="shared" si="14"/>
        <v>0.27430555555555552</v>
      </c>
      <c r="X33" s="297">
        <f t="shared" si="15"/>
        <v>0.30902777777777779</v>
      </c>
      <c r="Y33" s="297">
        <f t="shared" si="16"/>
        <v>0</v>
      </c>
      <c r="Z33" s="475">
        <f t="shared" si="17"/>
        <v>85</v>
      </c>
    </row>
    <row r="34" spans="1:26" ht="16.5" customHeight="1">
      <c r="B34" s="37" t="s">
        <v>16</v>
      </c>
      <c r="C34" s="366" t="str">
        <f>[27]Brewhouse!$A108</f>
        <v>SM094</v>
      </c>
      <c r="D34" s="279">
        <f>[27]Brewhouse!$AH108</f>
        <v>53.1</v>
      </c>
      <c r="E34" s="279">
        <f>[27]Brewhouse!$AM108</f>
        <v>45.8</v>
      </c>
      <c r="F34" s="278">
        <f>[27]Brewhouse!$Z108</f>
        <v>94</v>
      </c>
      <c r="G34" s="279">
        <f>[27]Brewhouse!$AK108</f>
        <v>17</v>
      </c>
      <c r="H34" s="396">
        <v>17</v>
      </c>
      <c r="I34" s="368">
        <f>[27]Brewhouse!$AY108</f>
        <v>85.849010453703045</v>
      </c>
      <c r="J34" s="368">
        <f>[27]Brewhouse!$AZ108</f>
        <v>85.901107547355807</v>
      </c>
      <c r="K34" s="281">
        <f>[27]Brewhouse!$U108</f>
        <v>5.2354048964218478</v>
      </c>
      <c r="L34" s="276">
        <f>[27]Brewhouse!$T108</f>
        <v>60</v>
      </c>
      <c r="M34" s="374">
        <f>[27]Brewhouse!$Y108-[27]Brewhouse!$X108</f>
        <v>0.16736111111111107</v>
      </c>
      <c r="N34" s="370">
        <f>[27]Brewhouse!$AD108</f>
        <v>0.31944444444444453</v>
      </c>
      <c r="O34" s="371" t="str">
        <f>[27]Brewhouse!$BC108</f>
        <v>R. Regis</v>
      </c>
      <c r="P34" s="418"/>
      <c r="R34" s="277" t="str">
        <f t="shared" ref="R34:R47" si="20">B34</f>
        <v>STARMALT</v>
      </c>
      <c r="S34" s="475">
        <f t="shared" si="10"/>
        <v>17</v>
      </c>
      <c r="T34" s="475">
        <f t="shared" si="11"/>
        <v>17.399999999999999</v>
      </c>
      <c r="U34" s="297">
        <f t="shared" si="12"/>
        <v>0</v>
      </c>
      <c r="V34" s="297">
        <f t="shared" si="13"/>
        <v>0.13605324074074074</v>
      </c>
      <c r="W34" s="297">
        <f t="shared" si="14"/>
        <v>0.27430555555555552</v>
      </c>
      <c r="X34" s="297">
        <f t="shared" si="15"/>
        <v>0.30902777777777779</v>
      </c>
      <c r="Y34" s="297">
        <f t="shared" si="16"/>
        <v>0</v>
      </c>
      <c r="Z34" s="475">
        <f t="shared" si="17"/>
        <v>85</v>
      </c>
    </row>
    <row r="35" spans="1:26" ht="16.5" customHeight="1">
      <c r="B35" s="22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74"/>
      <c r="N35" s="370"/>
      <c r="O35" s="371"/>
      <c r="P35" s="418"/>
      <c r="R35" s="277">
        <f t="shared" si="20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</row>
    <row r="36" spans="1:26" ht="16.5" hidden="1" customHeight="1">
      <c r="B36" s="22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74"/>
      <c r="N36" s="370"/>
      <c r="O36" s="371"/>
      <c r="P36" s="418"/>
      <c r="R36" s="277">
        <f t="shared" si="20"/>
        <v>0</v>
      </c>
      <c r="S36" s="475" t="e">
        <f t="shared" si="10"/>
        <v>#N/A</v>
      </c>
      <c r="T36" s="475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5" t="e">
        <f t="shared" si="17"/>
        <v>#N/A</v>
      </c>
    </row>
    <row r="37" spans="1:26" ht="16.5" hidden="1" customHeight="1">
      <c r="B37" s="22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74"/>
      <c r="N37" s="370"/>
      <c r="O37" s="371"/>
      <c r="P37" s="418"/>
      <c r="R37" s="277">
        <f t="shared" si="20"/>
        <v>0</v>
      </c>
      <c r="S37" s="475" t="e">
        <f t="shared" si="10"/>
        <v>#N/A</v>
      </c>
      <c r="T37" s="475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5" t="e">
        <f t="shared" si="17"/>
        <v>#N/A</v>
      </c>
    </row>
    <row r="38" spans="1:26" ht="16.5" hidden="1" customHeight="1">
      <c r="B38" s="22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74"/>
      <c r="N38" s="370"/>
      <c r="O38" s="371"/>
      <c r="P38" s="418"/>
      <c r="R38" s="277">
        <f t="shared" si="20"/>
        <v>0</v>
      </c>
      <c r="S38" s="475" t="e">
        <f t="shared" si="10"/>
        <v>#N/A</v>
      </c>
      <c r="T38" s="475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5" t="e">
        <f t="shared" si="17"/>
        <v>#N/A</v>
      </c>
    </row>
    <row r="39" spans="1:26" ht="16.5" hidden="1" customHeight="1">
      <c r="B39" s="22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74"/>
      <c r="N39" s="370"/>
      <c r="O39" s="371"/>
      <c r="P39" s="418"/>
      <c r="R39" s="277">
        <f t="shared" si="20"/>
        <v>0</v>
      </c>
      <c r="S39" s="475" t="e">
        <f t="shared" si="10"/>
        <v>#N/A</v>
      </c>
      <c r="T39" s="475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5" t="e">
        <f t="shared" si="17"/>
        <v>#N/A</v>
      </c>
    </row>
    <row r="40" spans="1:26" ht="16.5" hidden="1" customHeight="1">
      <c r="B40" s="22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420"/>
      <c r="P40" s="418"/>
      <c r="R40" s="277">
        <f t="shared" si="20"/>
        <v>0</v>
      </c>
      <c r="S40" s="475" t="e">
        <f t="shared" si="10"/>
        <v>#N/A</v>
      </c>
      <c r="T40" s="475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5" t="e">
        <f t="shared" si="17"/>
        <v>#N/A</v>
      </c>
    </row>
    <row r="41" spans="1:26" ht="16.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420"/>
      <c r="P41" s="418"/>
      <c r="R41" s="277">
        <f t="shared" si="20"/>
        <v>0</v>
      </c>
      <c r="S41" s="475" t="e">
        <f t="shared" si="10"/>
        <v>#N/A</v>
      </c>
      <c r="T41" s="475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5" t="e">
        <f t="shared" si="17"/>
        <v>#N/A</v>
      </c>
    </row>
    <row r="42" spans="1:26" ht="16.5" hidden="1" customHeight="1">
      <c r="B42" s="29"/>
      <c r="C42" s="366"/>
      <c r="D42" s="279"/>
      <c r="E42" s="279"/>
      <c r="F42" s="278"/>
      <c r="G42" s="279"/>
      <c r="H42" s="469"/>
      <c r="I42" s="368"/>
      <c r="J42" s="368"/>
      <c r="K42" s="281"/>
      <c r="L42" s="276"/>
      <c r="M42" s="397"/>
      <c r="N42" s="370"/>
      <c r="O42" s="420"/>
      <c r="P42" s="418"/>
      <c r="R42" s="277">
        <f t="shared" si="20"/>
        <v>0</v>
      </c>
      <c r="S42" s="475" t="e">
        <f t="shared" si="10"/>
        <v>#N/A</v>
      </c>
      <c r="T42" s="475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5" t="e">
        <f t="shared" si="17"/>
        <v>#N/A</v>
      </c>
    </row>
    <row r="43" spans="1:26" ht="16.5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8"/>
      <c r="R43" s="277">
        <f t="shared" si="20"/>
        <v>0</v>
      </c>
      <c r="S43" s="475" t="e">
        <f t="shared" si="10"/>
        <v>#N/A</v>
      </c>
      <c r="T43" s="475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5" t="e">
        <f t="shared" si="17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28"/>
      <c r="J44" s="528"/>
      <c r="K44" s="528"/>
      <c r="L44" s="528"/>
      <c r="M44" s="528"/>
      <c r="N44" s="528"/>
      <c r="O44" s="1"/>
      <c r="P44" s="12"/>
      <c r="R44" s="277">
        <f t="shared" si="20"/>
        <v>0</v>
      </c>
      <c r="S44" s="475" t="e">
        <f t="shared" si="10"/>
        <v>#N/A</v>
      </c>
      <c r="T44" s="475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5" t="e">
        <f t="shared" si="17"/>
        <v>#N/A</v>
      </c>
    </row>
    <row r="45" spans="1:26" ht="15.75" customHeight="1" thickBot="1">
      <c r="B45" s="388" t="s">
        <v>162</v>
      </c>
      <c r="C45" s="388"/>
      <c r="D45" s="506" t="s">
        <v>35</v>
      </c>
      <c r="E45" s="507"/>
      <c r="F45" s="294"/>
      <c r="G45" s="294"/>
      <c r="H45" s="348"/>
      <c r="I45" s="24" t="s">
        <v>17</v>
      </c>
      <c r="J45" s="25"/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20"/>
        <v xml:space="preserve">BRAND </v>
      </c>
      <c r="S45" s="475" t="e">
        <f t="shared" si="10"/>
        <v>#N/A</v>
      </c>
      <c r="T45" s="475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475" t="e">
        <f t="shared" si="17"/>
        <v>#N/A</v>
      </c>
    </row>
    <row r="46" spans="1:26" ht="15" customHeight="1">
      <c r="A46" s="28"/>
      <c r="B46" s="593"/>
      <c r="C46" s="362"/>
      <c r="D46" s="532"/>
      <c r="E46" s="533"/>
      <c r="F46" s="294"/>
      <c r="G46" s="294"/>
      <c r="H46" s="348"/>
      <c r="I46" s="29" t="s">
        <v>6</v>
      </c>
      <c r="J46" s="280">
        <f>AVERAGE(I21)</f>
        <v>92.236557150347181</v>
      </c>
      <c r="K46" s="284">
        <f>COUNTA([23]Brewhouse!$A$1005:$A$1006)</f>
        <v>2</v>
      </c>
      <c r="L46" s="305">
        <f>AVERAGE([23]Brewhouse!$AU$1005:$AU$1006)</f>
        <v>100.68772057446319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$1006)</f>
        <v>97.759080438938355</v>
      </c>
      <c r="N46" s="30">
        <v>98</v>
      </c>
      <c r="O46" s="11"/>
      <c r="P46" s="31"/>
      <c r="R46" s="277">
        <f t="shared" si="20"/>
        <v>0</v>
      </c>
      <c r="S46" s="475" t="e">
        <f t="shared" si="10"/>
        <v>#N/A</v>
      </c>
      <c r="T46" s="475" t="e">
        <f t="shared" si="11"/>
        <v>#N/A</v>
      </c>
      <c r="U46" s="297" t="e">
        <f t="shared" si="12"/>
        <v>#N/A</v>
      </c>
      <c r="V46" s="297" t="e">
        <f t="shared" si="13"/>
        <v>#N/A</v>
      </c>
      <c r="W46" s="297" t="e">
        <f t="shared" si="14"/>
        <v>#N/A</v>
      </c>
      <c r="X46" s="297" t="e">
        <f t="shared" si="15"/>
        <v>#N/A</v>
      </c>
      <c r="Y46" s="297" t="e">
        <f t="shared" si="16"/>
        <v>#N/A</v>
      </c>
      <c r="Z46" s="475" t="e">
        <f t="shared" si="17"/>
        <v>#N/A</v>
      </c>
    </row>
    <row r="47" spans="1:26" ht="15" customHeight="1">
      <c r="A47" s="28"/>
      <c r="B47" s="594"/>
      <c r="C47" s="362"/>
      <c r="D47" s="534"/>
      <c r="E47" s="535"/>
      <c r="F47" s="294"/>
      <c r="G47" s="294"/>
      <c r="H47" s="348"/>
      <c r="I47" s="33" t="s">
        <v>9</v>
      </c>
      <c r="J47" s="280">
        <f>AVERAGE(I10:I15,I18:I19)</f>
        <v>96.054252491119144</v>
      </c>
      <c r="K47" s="284">
        <f>COUNTA([24]Brewhouse!$A$486:$A$503)</f>
        <v>18</v>
      </c>
      <c r="L47" s="302">
        <f>AVERAGE([24]Brewhouse!$AS$486:$AS$503)</f>
        <v>96.253728965319596</v>
      </c>
      <c r="M47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$503)</f>
        <v>97.787421114961489</v>
      </c>
      <c r="N47" s="30">
        <v>98</v>
      </c>
      <c r="O47" s="11"/>
      <c r="P47" s="31"/>
      <c r="R47" s="277">
        <f t="shared" si="20"/>
        <v>0</v>
      </c>
      <c r="S47" s="475" t="e">
        <f t="shared" si="10"/>
        <v>#N/A</v>
      </c>
      <c r="T47" s="475" t="e">
        <f t="shared" si="11"/>
        <v>#N/A</v>
      </c>
      <c r="U47" s="297" t="e">
        <f t="shared" si="12"/>
        <v>#N/A</v>
      </c>
      <c r="V47" s="297" t="e">
        <f t="shared" si="13"/>
        <v>#N/A</v>
      </c>
      <c r="W47" s="297" t="e">
        <f t="shared" si="14"/>
        <v>#N/A</v>
      </c>
      <c r="X47" s="297" t="e">
        <f t="shared" si="15"/>
        <v>#N/A</v>
      </c>
      <c r="Y47" s="297" t="e">
        <f t="shared" si="16"/>
        <v>#N/A</v>
      </c>
      <c r="Z47" s="475" t="e">
        <f t="shared" si="17"/>
        <v>#N/A</v>
      </c>
    </row>
    <row r="48" spans="1:26" ht="14.65" customHeight="1">
      <c r="A48" s="28"/>
      <c r="B48" s="594"/>
      <c r="C48" s="362"/>
      <c r="D48" s="580"/>
      <c r="E48" s="581"/>
      <c r="F48" s="294"/>
      <c r="G48" s="294"/>
      <c r="H48" s="348"/>
      <c r="I48" s="34" t="s">
        <v>12</v>
      </c>
      <c r="J48" s="280"/>
      <c r="K48" s="284"/>
      <c r="L48" s="302"/>
      <c r="M48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$123)</f>
        <v>96.481276590905978</v>
      </c>
      <c r="N48" s="30">
        <v>98</v>
      </c>
      <c r="O48" s="11"/>
      <c r="P48" s="31"/>
      <c r="R48" s="277">
        <f t="shared" si="19"/>
        <v>0</v>
      </c>
      <c r="S48" s="475" t="e">
        <f t="shared" si="10"/>
        <v>#N/A</v>
      </c>
      <c r="T48" s="475" t="e">
        <f t="shared" si="11"/>
        <v>#N/A</v>
      </c>
      <c r="U48" s="297" t="e">
        <f t="shared" si="12"/>
        <v>#N/A</v>
      </c>
      <c r="V48" s="297" t="e">
        <f t="shared" si="13"/>
        <v>#N/A</v>
      </c>
      <c r="W48" s="297" t="e">
        <f t="shared" si="14"/>
        <v>#N/A</v>
      </c>
      <c r="X48" s="297" t="e">
        <f t="shared" si="15"/>
        <v>#N/A</v>
      </c>
      <c r="Y48" s="297" t="e">
        <f t="shared" si="16"/>
        <v>#N/A</v>
      </c>
      <c r="Z48" s="475" t="e">
        <f t="shared" si="17"/>
        <v>#N/A</v>
      </c>
    </row>
    <row r="49" spans="1:56" ht="14.65" customHeight="1">
      <c r="A49" s="28"/>
      <c r="B49" s="594"/>
      <c r="C49" s="362"/>
      <c r="D49" s="547"/>
      <c r="E49" s="535"/>
      <c r="F49" s="294"/>
      <c r="G49" s="294"/>
      <c r="H49" s="348"/>
      <c r="I49" s="22" t="s">
        <v>33</v>
      </c>
      <c r="J49" s="280"/>
      <c r="K49" s="284">
        <f>COUNTA([22]Brewhouse!$A$107:$A$116)</f>
        <v>10</v>
      </c>
      <c r="L49" s="302">
        <f>AVERAGE([22]Brewhouse!$AV$107:$AV$116)</f>
        <v>97.093478275115658</v>
      </c>
      <c r="M49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49" s="30">
        <v>98</v>
      </c>
      <c r="O49" s="11"/>
      <c r="P49" s="31"/>
      <c r="R49" s="277">
        <f t="shared" si="19"/>
        <v>0</v>
      </c>
      <c r="S49" s="475" t="e">
        <f t="shared" si="10"/>
        <v>#N/A</v>
      </c>
      <c r="T49" s="475" t="e">
        <f t="shared" si="11"/>
        <v>#N/A</v>
      </c>
      <c r="U49" s="297" t="e">
        <f t="shared" si="12"/>
        <v>#N/A</v>
      </c>
      <c r="V49" s="297" t="e">
        <f t="shared" si="13"/>
        <v>#N/A</v>
      </c>
      <c r="W49" s="297" t="e">
        <f t="shared" si="14"/>
        <v>#N/A</v>
      </c>
      <c r="X49" s="297" t="e">
        <f t="shared" si="15"/>
        <v>#N/A</v>
      </c>
      <c r="Y49" s="297" t="e">
        <f t="shared" si="16"/>
        <v>#N/A</v>
      </c>
      <c r="Z49" s="475" t="e">
        <f t="shared" si="17"/>
        <v>#N/A</v>
      </c>
    </row>
    <row r="50" spans="1:56" ht="14.65" customHeight="1">
      <c r="A50" s="28"/>
      <c r="B50" s="594"/>
      <c r="C50" s="362"/>
      <c r="D50" s="580"/>
      <c r="E50" s="581"/>
      <c r="F50" s="417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>
        <f t="shared" si="19"/>
        <v>0</v>
      </c>
      <c r="S50" s="475" t="e">
        <f t="shared" si="10"/>
        <v>#N/A</v>
      </c>
      <c r="T50" s="475" t="e">
        <f t="shared" si="11"/>
        <v>#N/A</v>
      </c>
      <c r="U50" s="297" t="e">
        <f t="shared" si="12"/>
        <v>#N/A</v>
      </c>
      <c r="V50" s="297" t="e">
        <f t="shared" si="13"/>
        <v>#N/A</v>
      </c>
      <c r="W50" s="297" t="e">
        <f t="shared" si="14"/>
        <v>#N/A</v>
      </c>
      <c r="X50" s="297" t="e">
        <f t="shared" si="15"/>
        <v>#N/A</v>
      </c>
      <c r="Y50" s="297" t="e">
        <f t="shared" si="16"/>
        <v>#N/A</v>
      </c>
      <c r="Z50" s="475" t="e">
        <f t="shared" si="17"/>
        <v>#N/A</v>
      </c>
    </row>
    <row r="51" spans="1:56" ht="14.65" customHeight="1">
      <c r="A51" s="28"/>
      <c r="B51" s="594"/>
      <c r="C51" s="362"/>
      <c r="D51" s="547"/>
      <c r="E51" s="535"/>
      <c r="F51" s="417"/>
      <c r="G51" s="294"/>
      <c r="H51" s="348"/>
      <c r="I51" s="36" t="s">
        <v>15</v>
      </c>
      <c r="J51" s="323"/>
      <c r="K51" s="284"/>
      <c r="L51" s="302"/>
      <c r="M51" s="302">
        <f>AVERAGE([26]Brewhouse!$AT$4:$AT$11,[26]Brewhouse!$AT$13:$AT$16,[26]Brewhouse!$AT$18:$AT$21,[26]Brewhouse!$AT$26,[26]Brewhouse!$AT$28:$AT$35)</f>
        <v>94.794664331624134</v>
      </c>
      <c r="N51" s="30">
        <v>98</v>
      </c>
      <c r="O51" s="11"/>
      <c r="P51" s="31"/>
      <c r="R51" s="277">
        <f t="shared" si="19"/>
        <v>0</v>
      </c>
      <c r="S51" s="475" t="e">
        <f t="shared" si="10"/>
        <v>#N/A</v>
      </c>
      <c r="T51" s="475" t="e">
        <f t="shared" si="11"/>
        <v>#N/A</v>
      </c>
      <c r="U51" s="297" t="e">
        <f t="shared" si="12"/>
        <v>#N/A</v>
      </c>
      <c r="V51" s="297" t="e">
        <f t="shared" si="13"/>
        <v>#N/A</v>
      </c>
      <c r="W51" s="297" t="e">
        <f t="shared" si="14"/>
        <v>#N/A</v>
      </c>
      <c r="X51" s="297" t="e">
        <f t="shared" si="15"/>
        <v>#N/A</v>
      </c>
      <c r="Y51" s="297" t="e">
        <f t="shared" si="16"/>
        <v>#N/A</v>
      </c>
      <c r="Z51" s="475" t="e">
        <f t="shared" si="17"/>
        <v>#N/A</v>
      </c>
      <c r="AA51" s="475"/>
    </row>
    <row r="52" spans="1:56" ht="14.65" customHeight="1">
      <c r="A52" s="28"/>
      <c r="B52" s="594"/>
      <c r="C52" s="362"/>
      <c r="D52" s="580"/>
      <c r="E52" s="581"/>
      <c r="F52" s="417"/>
      <c r="G52" s="294"/>
      <c r="H52" s="348"/>
      <c r="I52" s="37" t="s">
        <v>16</v>
      </c>
      <c r="J52" s="323">
        <f>AVERAGE(I23:I26,I29:I34)</f>
        <v>97.413703162837948</v>
      </c>
      <c r="K52" s="284">
        <f>COUNTA([27]Brewhouse!$A$99:$A$108)</f>
        <v>10</v>
      </c>
      <c r="L52" s="302">
        <f>AVERAGE([27]Brewhouse!$AY$99:$AY$108)</f>
        <v>97.413703162837948</v>
      </c>
      <c r="M52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52" s="30">
        <v>98</v>
      </c>
      <c r="O52" s="11"/>
      <c r="P52" s="31" t="s">
        <v>41</v>
      </c>
      <c r="R52" s="277">
        <f t="shared" si="19"/>
        <v>0</v>
      </c>
      <c r="S52" s="475" t="e">
        <f t="shared" si="10"/>
        <v>#N/A</v>
      </c>
      <c r="T52" s="475" t="e">
        <f t="shared" si="11"/>
        <v>#N/A</v>
      </c>
      <c r="U52" s="297" t="e">
        <f t="shared" si="12"/>
        <v>#N/A</v>
      </c>
      <c r="V52" s="297" t="e">
        <f t="shared" si="13"/>
        <v>#N/A</v>
      </c>
      <c r="W52" s="297" t="e">
        <f t="shared" si="14"/>
        <v>#N/A</v>
      </c>
      <c r="X52" s="297" t="e">
        <f t="shared" si="15"/>
        <v>#N/A</v>
      </c>
      <c r="Y52" s="297" t="e">
        <f t="shared" si="16"/>
        <v>#N/A</v>
      </c>
      <c r="Z52" s="475" t="e">
        <f t="shared" si="17"/>
        <v>#N/A</v>
      </c>
      <c r="AA52" s="475"/>
    </row>
    <row r="53" spans="1:56" ht="14.65" customHeight="1">
      <c r="A53" s="28"/>
      <c r="B53" s="594"/>
      <c r="C53" s="362"/>
      <c r="D53" s="547"/>
      <c r="E53" s="535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AVERAGE([28]Brewhouse!$AU$5:$AU$8,[28]Brewhouse!$AU$10:$AU$13,[27]Brewhouse!$AY$75:$AY$77)</f>
        <v>94.749192473706671</v>
      </c>
      <c r="N53" s="30">
        <v>98</v>
      </c>
      <c r="O53" s="11"/>
      <c r="P53" s="31"/>
      <c r="R53" s="277">
        <f t="shared" si="19"/>
        <v>0</v>
      </c>
      <c r="S53" s="475" t="e">
        <f t="shared" si="10"/>
        <v>#N/A</v>
      </c>
      <c r="T53" s="475" t="e">
        <f t="shared" si="11"/>
        <v>#N/A</v>
      </c>
      <c r="U53" s="297" t="e">
        <f t="shared" si="12"/>
        <v>#N/A</v>
      </c>
      <c r="V53" s="297" t="e">
        <f t="shared" si="13"/>
        <v>#N/A</v>
      </c>
      <c r="W53" s="297" t="e">
        <f t="shared" si="14"/>
        <v>#N/A</v>
      </c>
      <c r="X53" s="297" t="e">
        <f t="shared" si="15"/>
        <v>#N/A</v>
      </c>
      <c r="Y53" s="297" t="e">
        <f t="shared" si="16"/>
        <v>#N/A</v>
      </c>
      <c r="Z53" s="475" t="e">
        <f t="shared" si="17"/>
        <v>#N/A</v>
      </c>
      <c r="AA53" s="475"/>
    </row>
    <row r="54" spans="1:56" ht="14.65" customHeight="1">
      <c r="A54" s="28"/>
      <c r="B54" s="594"/>
      <c r="C54" s="349"/>
      <c r="D54" s="580"/>
      <c r="E54" s="581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>
        <f t="shared" si="19"/>
        <v>0</v>
      </c>
      <c r="S54" s="475" t="e">
        <f t="shared" si="10"/>
        <v>#N/A</v>
      </c>
      <c r="T54" s="475" t="e">
        <f t="shared" si="11"/>
        <v>#N/A</v>
      </c>
      <c r="U54" s="297" t="e">
        <f t="shared" si="12"/>
        <v>#N/A</v>
      </c>
      <c r="V54" s="297" t="e">
        <f t="shared" si="13"/>
        <v>#N/A</v>
      </c>
      <c r="W54" s="297" t="e">
        <f t="shared" si="14"/>
        <v>#N/A</v>
      </c>
      <c r="X54" s="297" t="e">
        <f t="shared" si="15"/>
        <v>#N/A</v>
      </c>
      <c r="Y54" s="297" t="e">
        <f t="shared" si="16"/>
        <v>#N/A</v>
      </c>
      <c r="Z54" s="475" t="e">
        <f t="shared" si="17"/>
        <v>#N/A</v>
      </c>
      <c r="AA54" s="475"/>
    </row>
    <row r="55" spans="1:56" ht="15" customHeight="1" thickBot="1">
      <c r="A55" s="28"/>
      <c r="B55" s="594"/>
      <c r="C55" s="349"/>
      <c r="D55" s="547"/>
      <c r="E55" s="535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>
        <f t="shared" si="19"/>
        <v>0</v>
      </c>
      <c r="S55" s="475" t="e">
        <f t="shared" si="10"/>
        <v>#N/A</v>
      </c>
      <c r="T55" s="475" t="e">
        <f t="shared" si="11"/>
        <v>#N/A</v>
      </c>
      <c r="U55" s="297" t="e">
        <f t="shared" si="12"/>
        <v>#N/A</v>
      </c>
      <c r="V55" s="297" t="e">
        <f t="shared" si="13"/>
        <v>#N/A</v>
      </c>
      <c r="W55" s="297" t="e">
        <f t="shared" si="14"/>
        <v>#N/A</v>
      </c>
      <c r="X55" s="297" t="e">
        <f t="shared" si="15"/>
        <v>#N/A</v>
      </c>
      <c r="Y55" s="297" t="e">
        <f t="shared" si="16"/>
        <v>#N/A</v>
      </c>
      <c r="Z55" s="475" t="e">
        <f t="shared" si="17"/>
        <v>#N/A</v>
      </c>
      <c r="AA55" s="475"/>
    </row>
    <row r="56" spans="1:56" ht="15" customHeight="1" thickBot="1">
      <c r="A56" s="28"/>
      <c r="B56" s="594"/>
      <c r="C56" s="349"/>
      <c r="D56" s="532"/>
      <c r="E56" s="533"/>
      <c r="F56" s="294"/>
      <c r="G56" s="294"/>
      <c r="H56" s="348"/>
      <c r="I56" s="1"/>
      <c r="J56" s="39"/>
      <c r="K56" s="404">
        <f>SUM(K46:K55)</f>
        <v>40</v>
      </c>
      <c r="L56" s="405">
        <f>((L46*K46)+(L47*K47)+(L48*K48)+(L49*K49)+(L50*K50)+(K53*L53)+(L51*K51)+(L52*K52)+(L55*K55))/(K56)</f>
        <v>96.975359422605379</v>
      </c>
      <c r="M56" s="405">
        <f>AVERAGE('[31]Jan 31st'!$L$65,'[32]Feb 28th'!$L$35,'[33]Mar. 31st'!$L$35,'[34]Apr. 30th'!$L$45,'[35]May 30th'!$L$37,'[36]June 30th'!$L$57,'[37]July 29th '!$L$44,'[38]Aug 29th'!$L$29,'[39]Sept 30th'!$L$35,L56)</f>
        <v>97.515486181942336</v>
      </c>
      <c r="N56" s="40">
        <v>98</v>
      </c>
      <c r="O56" s="11"/>
      <c r="P56" s="31"/>
      <c r="R56" s="277">
        <f t="shared" si="19"/>
        <v>0</v>
      </c>
      <c r="S56" s="475" t="e">
        <f t="shared" si="10"/>
        <v>#N/A</v>
      </c>
      <c r="T56" s="475" t="e">
        <f t="shared" si="11"/>
        <v>#N/A</v>
      </c>
      <c r="U56" s="297" t="e">
        <f t="shared" si="12"/>
        <v>#N/A</v>
      </c>
      <c r="V56" s="297" t="e">
        <f t="shared" si="13"/>
        <v>#N/A</v>
      </c>
      <c r="W56" s="297" t="e">
        <f t="shared" si="14"/>
        <v>#N/A</v>
      </c>
      <c r="X56" s="297" t="e">
        <f t="shared" si="15"/>
        <v>#N/A</v>
      </c>
      <c r="Y56" s="297" t="e">
        <f t="shared" si="16"/>
        <v>#N/A</v>
      </c>
      <c r="Z56" s="475" t="e">
        <f t="shared" si="17"/>
        <v>#N/A</v>
      </c>
      <c r="AA56" s="475"/>
    </row>
    <row r="57" spans="1:56" ht="15.75" thickBot="1">
      <c r="B57" s="595"/>
      <c r="C57" s="350"/>
      <c r="D57" s="534"/>
      <c r="E57" s="535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>
        <f t="shared" si="19"/>
        <v>0</v>
      </c>
      <c r="S57" s="475" t="e">
        <f t="shared" si="10"/>
        <v>#N/A</v>
      </c>
      <c r="T57" s="475" t="e">
        <f t="shared" si="11"/>
        <v>#N/A</v>
      </c>
      <c r="U57" s="297" t="e">
        <f t="shared" si="12"/>
        <v>#N/A</v>
      </c>
      <c r="V57" s="297" t="e">
        <f t="shared" si="13"/>
        <v>#N/A</v>
      </c>
      <c r="W57" s="297" t="e">
        <f t="shared" si="14"/>
        <v>#N/A</v>
      </c>
      <c r="X57" s="297" t="e">
        <f t="shared" si="15"/>
        <v>#N/A</v>
      </c>
      <c r="Y57" s="297" t="e">
        <f t="shared" si="16"/>
        <v>#N/A</v>
      </c>
      <c r="Z57" s="475" t="e">
        <f t="shared" si="17"/>
        <v>#N/A</v>
      </c>
      <c r="AA57" s="475"/>
    </row>
    <row r="58" spans="1:56" ht="15.75" thickBot="1">
      <c r="B58" s="529"/>
      <c r="C58" s="362"/>
      <c r="D58" s="545"/>
      <c r="E58" s="546"/>
      <c r="F58" s="294"/>
      <c r="G58" s="42"/>
      <c r="H58" s="41"/>
      <c r="I58" s="42"/>
      <c r="J58" s="579" t="s">
        <v>129</v>
      </c>
      <c r="K58" s="579"/>
      <c r="L58" s="294"/>
      <c r="M58" s="294"/>
      <c r="N58" s="294"/>
      <c r="O58" s="294"/>
      <c r="P58" s="12"/>
    </row>
    <row r="59" spans="1:56" ht="15.75" thickBot="1">
      <c r="B59" s="530"/>
      <c r="C59" s="362"/>
      <c r="D59" s="547"/>
      <c r="E59" s="535"/>
      <c r="F59" s="294"/>
      <c r="G59" s="42"/>
      <c r="H59" s="292" t="s">
        <v>17</v>
      </c>
      <c r="I59" s="293" t="s">
        <v>174</v>
      </c>
      <c r="J59" s="293" t="s">
        <v>175</v>
      </c>
      <c r="K59" s="293" t="s">
        <v>176</v>
      </c>
      <c r="L59" s="549" t="s">
        <v>136</v>
      </c>
      <c r="M59" s="549"/>
      <c r="N59" s="550"/>
      <c r="O59" s="294"/>
      <c r="P59" s="12"/>
    </row>
    <row r="60" spans="1:56" ht="15" customHeight="1" thickBot="1">
      <c r="B60" s="530"/>
      <c r="C60" s="349"/>
      <c r="D60" s="580"/>
      <c r="E60" s="581"/>
      <c r="F60" s="294"/>
      <c r="G60" s="42"/>
      <c r="H60" s="287" t="s">
        <v>6</v>
      </c>
      <c r="I60" s="324"/>
      <c r="J60" s="324">
        <f>COUNTA(C21)</f>
        <v>1</v>
      </c>
      <c r="K60" s="324"/>
      <c r="L60" s="476" t="s">
        <v>37</v>
      </c>
      <c r="M60" s="477" t="s">
        <v>38</v>
      </c>
      <c r="N60" s="477" t="s">
        <v>84</v>
      </c>
      <c r="O60" s="294"/>
      <c r="P60" s="12"/>
    </row>
    <row r="61" spans="1:56" ht="15.75" customHeight="1" thickBot="1">
      <c r="B61" s="530"/>
      <c r="C61" s="349"/>
      <c r="D61" s="547"/>
      <c r="E61" s="535"/>
      <c r="F61" s="294"/>
      <c r="G61" s="42"/>
      <c r="H61" s="345" t="s">
        <v>9</v>
      </c>
      <c r="I61" s="324">
        <f>COUNTA(B10:B15)</f>
        <v>6</v>
      </c>
      <c r="J61" s="324">
        <f>COUNTA(C18:C19)</f>
        <v>2</v>
      </c>
      <c r="K61" s="324"/>
      <c r="L61" s="344">
        <f>AVERAGE('Dec 1st'!K43,'Dec 2nd'!K49,'Dec 3rd '!K58,'Dec 4th'!K51,'Dec 5th-7th'!I70,'Dec 5th-7th'!J70,'Dec 5th-7th'!K70)</f>
        <v>5.7142857142857144</v>
      </c>
      <c r="M61" s="325">
        <f>AVERAGE('[31]Jan 29th '!$M$70,'[32]Feb 28th'!$L$40,'[33]Mar. 31st'!$L$40,'[34]Apr. 30th'!$L$50,'[35]May 30th'!$L$42,'[36]June 30th'!$L$62,'[37]July 29th '!$L$49,'[38]Aug 29th'!$L$34,'[39]Sept 30th'!$L$40,[40]Oct.31st!$L$43,'[41]Nov 28th-30th'!$L$45,L61)</f>
        <v>6.8657215607301412</v>
      </c>
      <c r="N61" s="416">
        <v>9.1999999999999993</v>
      </c>
      <c r="O61" s="294"/>
      <c r="P61" s="12"/>
    </row>
    <row r="62" spans="1:56" ht="15" customHeight="1">
      <c r="B62" s="530"/>
      <c r="C62" s="349"/>
      <c r="D62" s="580"/>
      <c r="E62" s="581"/>
      <c r="F62" s="294"/>
      <c r="G62" s="42"/>
      <c r="H62" s="288" t="s">
        <v>40</v>
      </c>
      <c r="I62" s="324"/>
      <c r="J62" s="324"/>
      <c r="K62" s="324"/>
      <c r="L62" s="294"/>
      <c r="M62" s="294"/>
      <c r="N62" s="294"/>
      <c r="O62" s="294"/>
      <c r="P62" s="12"/>
    </row>
    <row r="63" spans="1:56" ht="15" customHeight="1">
      <c r="B63" s="530"/>
      <c r="C63" s="349"/>
      <c r="D63" s="547"/>
      <c r="E63" s="535"/>
      <c r="F63" s="294"/>
      <c r="G63" s="42"/>
      <c r="H63" s="289" t="s">
        <v>33</v>
      </c>
      <c r="I63" s="324"/>
      <c r="J63" s="324"/>
      <c r="K63" s="324"/>
      <c r="L63" s="294"/>
      <c r="M63" s="294"/>
      <c r="N63" s="294"/>
      <c r="O63" s="294"/>
      <c r="P63" s="12"/>
    </row>
    <row r="64" spans="1:56" ht="15">
      <c r="B64" s="530"/>
      <c r="C64" s="349"/>
      <c r="D64" s="580"/>
      <c r="E64" s="581"/>
      <c r="F64" s="294"/>
      <c r="G64" s="42"/>
      <c r="H64" s="290" t="s">
        <v>16</v>
      </c>
      <c r="I64" s="324"/>
      <c r="J64" s="324">
        <f>COUNTA(C23:C26)</f>
        <v>4</v>
      </c>
      <c r="K64" s="324">
        <f>COUNTA(C29:C34)</f>
        <v>6</v>
      </c>
      <c r="L64" s="294"/>
      <c r="M64" s="294"/>
      <c r="N64" s="294"/>
      <c r="O64" s="294"/>
      <c r="P64" s="12"/>
      <c r="BC64" s="44"/>
      <c r="BD64" s="44"/>
    </row>
    <row r="65" spans="2:57" ht="15">
      <c r="B65" s="530"/>
      <c r="C65" s="349"/>
      <c r="D65" s="547"/>
      <c r="E65" s="535"/>
      <c r="F65" s="294"/>
      <c r="G65" s="42"/>
      <c r="H65" s="291" t="s">
        <v>15</v>
      </c>
      <c r="I65" s="324"/>
      <c r="J65" s="324"/>
      <c r="K65" s="324"/>
      <c r="L65" s="294"/>
      <c r="M65" s="294"/>
      <c r="N65" s="294"/>
      <c r="O65" s="294"/>
      <c r="P65" s="12"/>
      <c r="BC65" s="44"/>
      <c r="BD65" s="44"/>
    </row>
    <row r="66" spans="2:57" ht="15">
      <c r="B66" s="530"/>
      <c r="C66" s="349"/>
      <c r="D66" s="580"/>
      <c r="E66" s="581"/>
      <c r="F66" s="294"/>
      <c r="G66" s="42"/>
      <c r="H66" s="291" t="s">
        <v>149</v>
      </c>
      <c r="I66" s="324"/>
      <c r="J66" s="324"/>
      <c r="K66" s="324"/>
      <c r="L66" s="294"/>
      <c r="M66" s="294"/>
      <c r="N66" s="294"/>
      <c r="O66" s="294"/>
      <c r="P66" s="12"/>
      <c r="BC66" s="44"/>
      <c r="BD66" s="44"/>
    </row>
    <row r="67" spans="2:57" ht="15.75" thickBot="1">
      <c r="B67" s="531"/>
      <c r="C67" s="350"/>
      <c r="D67" s="582"/>
      <c r="E67" s="583"/>
      <c r="F67" s="294" t="s">
        <v>166</v>
      </c>
      <c r="G67" s="42"/>
      <c r="H67" s="291" t="s">
        <v>148</v>
      </c>
      <c r="I67" s="324"/>
      <c r="J67" s="324"/>
      <c r="K67" s="324"/>
      <c r="L67" s="294"/>
      <c r="M67" s="294"/>
      <c r="N67" s="294" t="s">
        <v>41</v>
      </c>
      <c r="O67" s="294"/>
      <c r="P67" s="12"/>
      <c r="BC67" s="44"/>
      <c r="BD67" s="44"/>
    </row>
    <row r="68" spans="2:57" ht="17.649999999999999" customHeight="1" thickBot="1">
      <c r="B68" s="312" t="s">
        <v>139</v>
      </c>
      <c r="C68" s="313"/>
      <c r="D68" s="577"/>
      <c r="E68" s="578"/>
      <c r="F68" s="294"/>
      <c r="H68" s="295" t="s">
        <v>134</v>
      </c>
      <c r="I68" s="324"/>
      <c r="J68" s="324"/>
      <c r="K68" s="324"/>
      <c r="L68" s="294"/>
      <c r="M68" s="294"/>
      <c r="N68" s="294"/>
      <c r="O68" s="294"/>
      <c r="P68" s="12"/>
      <c r="BC68" s="44"/>
      <c r="BD68" s="44"/>
    </row>
    <row r="69" spans="2:57" ht="17.649999999999999" customHeight="1">
      <c r="B69" s="363"/>
      <c r="C69" s="364"/>
      <c r="D69" s="365"/>
      <c r="E69" s="365"/>
      <c r="F69" s="294"/>
      <c r="G69" s="42"/>
      <c r="H69" s="295" t="s">
        <v>131</v>
      </c>
      <c r="I69" s="324"/>
      <c r="J69" s="324"/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346" t="s">
        <v>130</v>
      </c>
      <c r="I70" s="324">
        <f t="shared" ref="I70:J70" si="21">SUM(I60:I69)</f>
        <v>6</v>
      </c>
      <c r="J70" s="324">
        <f t="shared" si="21"/>
        <v>7</v>
      </c>
      <c r="K70" s="324">
        <f>SUM(K60:K69)</f>
        <v>6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J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557" t="s">
        <v>17</v>
      </c>
      <c r="C73" s="557" t="s">
        <v>44</v>
      </c>
      <c r="D73" s="559" t="s">
        <v>45</v>
      </c>
      <c r="E73" s="514" t="s">
        <v>46</v>
      </c>
      <c r="F73" s="574" t="s">
        <v>47</v>
      </c>
      <c r="G73" s="568" t="s">
        <v>48</v>
      </c>
      <c r="H73" s="557" t="s">
        <v>49</v>
      </c>
      <c r="I73" s="557" t="s">
        <v>50</v>
      </c>
      <c r="J73" s="562" t="s">
        <v>28</v>
      </c>
      <c r="K73" s="512" t="s">
        <v>51</v>
      </c>
      <c r="L73" s="524" t="s">
        <v>52</v>
      </c>
      <c r="M73" s="562" t="s">
        <v>53</v>
      </c>
      <c r="N73" s="13"/>
      <c r="O73" s="13"/>
      <c r="P73" s="50"/>
    </row>
    <row r="74" spans="2:57" ht="28.5" customHeight="1" thickTop="1" thickBot="1">
      <c r="B74" s="558"/>
      <c r="C74" s="558"/>
      <c r="D74" s="560"/>
      <c r="E74" s="561"/>
      <c r="F74" s="575"/>
      <c r="G74" s="569"/>
      <c r="H74" s="576"/>
      <c r="I74" s="576"/>
      <c r="J74" s="563"/>
      <c r="K74" s="572"/>
      <c r="L74" s="573"/>
      <c r="M74" s="563"/>
      <c r="N74" s="13"/>
      <c r="O74" s="13"/>
      <c r="P74" s="50"/>
      <c r="Q74" s="355"/>
      <c r="AB74" s="478">
        <v>43474</v>
      </c>
      <c r="AC74" s="478">
        <v>43475</v>
      </c>
      <c r="AD74" s="478">
        <v>43476</v>
      </c>
      <c r="AE74" s="478">
        <v>43477</v>
      </c>
      <c r="AF74" s="478">
        <v>43478</v>
      </c>
      <c r="AG74" s="478">
        <v>43479</v>
      </c>
      <c r="AH74" s="478">
        <v>43480</v>
      </c>
      <c r="AI74" s="478">
        <v>43481</v>
      </c>
      <c r="AJ74" s="478">
        <v>43482</v>
      </c>
      <c r="AK74" s="478">
        <v>43483</v>
      </c>
      <c r="AL74" s="478">
        <v>43484</v>
      </c>
      <c r="AM74" s="478">
        <v>43485</v>
      </c>
      <c r="AN74" s="478">
        <v>43486</v>
      </c>
      <c r="AO74" s="478">
        <v>43487</v>
      </c>
      <c r="AP74" s="478">
        <v>43488</v>
      </c>
      <c r="AQ74" s="478">
        <v>43489</v>
      </c>
      <c r="AR74" s="478">
        <v>43490</v>
      </c>
      <c r="AS74" s="478">
        <v>43491</v>
      </c>
      <c r="AT74" s="478">
        <v>43492</v>
      </c>
      <c r="AU74" s="478">
        <v>43493</v>
      </c>
      <c r="AV74" s="478">
        <v>43494</v>
      </c>
      <c r="AW74" s="478">
        <v>43495</v>
      </c>
      <c r="AX74" s="478">
        <v>43496</v>
      </c>
    </row>
    <row r="75" spans="2:57" s="54" customFormat="1" ht="43.15" customHeight="1" thickBot="1">
      <c r="B75" s="468" t="str">
        <f>H61</f>
        <v>STAG</v>
      </c>
      <c r="C75" s="441">
        <v>45996</v>
      </c>
      <c r="D75" s="442">
        <f>[42]December_2025!$H$13</f>
        <v>482.41</v>
      </c>
      <c r="E75" s="443"/>
      <c r="F75" s="444"/>
      <c r="G75" s="444">
        <f>[42]December_2025!$H$17</f>
        <v>474.4</v>
      </c>
      <c r="H75" s="458"/>
      <c r="I75" s="458"/>
      <c r="J75" s="448" t="s">
        <v>182</v>
      </c>
      <c r="K75" s="449">
        <f>[43]December_2025!$H$25</f>
        <v>0.5548538011695906</v>
      </c>
      <c r="L75" s="486">
        <f>(((D75+E75)-G75)/(D75+E75))*100</f>
        <v>1.660413341348655</v>
      </c>
      <c r="M75" s="455" t="s">
        <v>179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45" customHeight="1" thickBot="1">
      <c r="B76" s="468"/>
      <c r="C76" s="430"/>
      <c r="D76" s="431"/>
      <c r="E76" s="432"/>
      <c r="F76" s="433"/>
      <c r="G76" s="434"/>
      <c r="H76" s="428"/>
      <c r="I76" s="428"/>
      <c r="J76" s="451"/>
      <c r="K76" s="436"/>
      <c r="L76" s="452"/>
      <c r="M76" s="421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8.450000000000003" customHeight="1" thickBot="1">
      <c r="B77" s="490" t="str">
        <f>H63</f>
        <v>VITAMALT</v>
      </c>
      <c r="C77" s="441">
        <v>45996</v>
      </c>
      <c r="D77" s="442">
        <f>[42]December_2025!$H$65</f>
        <v>284.37</v>
      </c>
      <c r="E77" s="443">
        <f>SUM([44]VITAMALT!$J$7:$J$12)</f>
        <v>12.299999999999999</v>
      </c>
      <c r="F77" s="444"/>
      <c r="G77" s="445">
        <f>[42]December_2025!$H$70</f>
        <v>286.8</v>
      </c>
      <c r="H77" s="458"/>
      <c r="I77" s="458"/>
      <c r="J77" s="448" t="s">
        <v>173</v>
      </c>
      <c r="K77" s="460">
        <f>[43]December_2025!$H$60</f>
        <v>1.0063157894736843</v>
      </c>
      <c r="L77" s="457">
        <f>(((D77+E77)-G77)/(D77+E77))*100</f>
        <v>3.3269289109111142</v>
      </c>
      <c r="M77" s="455" t="s">
        <v>179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5.75" thickBot="1">
      <c r="B78" s="453"/>
      <c r="C78" s="430"/>
      <c r="D78" s="431"/>
      <c r="E78" s="432"/>
      <c r="F78" s="433"/>
      <c r="G78" s="434"/>
      <c r="H78" s="435"/>
      <c r="I78" s="450"/>
      <c r="J78" s="451"/>
      <c r="K78" s="436"/>
      <c r="L78" s="452"/>
      <c r="M78" s="421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7.15" customHeight="1" thickBot="1">
      <c r="B79" s="459" t="str">
        <f>H61</f>
        <v>STAG</v>
      </c>
      <c r="C79" s="441">
        <v>45997</v>
      </c>
      <c r="D79" s="442">
        <f>[42]December_2025!$I$13</f>
        <v>100.6</v>
      </c>
      <c r="E79" s="443"/>
      <c r="F79" s="444"/>
      <c r="G79" s="445">
        <f>[42]December_2025!$I$17</f>
        <v>103.1</v>
      </c>
      <c r="H79" s="446"/>
      <c r="I79" s="447"/>
      <c r="J79" s="448" t="s">
        <v>181</v>
      </c>
      <c r="K79" s="449">
        <f>[43]December_2025!$I$25</f>
        <v>0.36175438596491227</v>
      </c>
      <c r="L79" s="486">
        <f>(((D79+E79)-G79)/(D79+E79))*100</f>
        <v>-2.4850894632206759</v>
      </c>
      <c r="M79" s="454" t="s">
        <v>180</v>
      </c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 thickBot="1">
      <c r="B80" s="437"/>
      <c r="C80" s="423"/>
      <c r="D80" s="424"/>
      <c r="E80" s="425"/>
      <c r="F80" s="426"/>
      <c r="G80" s="427"/>
      <c r="H80" s="428"/>
      <c r="I80" s="438"/>
      <c r="J80" s="439"/>
      <c r="K80" s="429"/>
      <c r="L80" s="440"/>
      <c r="M80" s="422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57" s="54" customFormat="1" ht="37.15" customHeight="1" thickBot="1">
      <c r="B81" s="490" t="str">
        <f>H63</f>
        <v>VITAMALT</v>
      </c>
      <c r="C81" s="441">
        <v>45998</v>
      </c>
      <c r="D81" s="442">
        <f>[42]December_2025!$J$65</f>
        <v>191.39999999999998</v>
      </c>
      <c r="E81" s="443">
        <f>SUM([44]VITAMALT!$J$13:$J$16)</f>
        <v>8.1999999999999993</v>
      </c>
      <c r="F81" s="444"/>
      <c r="G81" s="445">
        <f>[42]December_2025!$J$70</f>
        <v>191.5</v>
      </c>
      <c r="H81" s="446"/>
      <c r="I81" s="447"/>
      <c r="J81" s="448" t="s">
        <v>173</v>
      </c>
      <c r="K81" s="449">
        <f>[43]December_2025!$J$60</f>
        <v>0.33596491228070174</v>
      </c>
      <c r="L81" s="457">
        <f>(((D81+E81)-G81)/(D81+E81))*100</f>
        <v>4.058116232464914</v>
      </c>
      <c r="M81" s="454" t="s">
        <v>178</v>
      </c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s="54" customFormat="1" ht="37.15" customHeight="1">
      <c r="B82" s="467"/>
      <c r="C82" s="430"/>
      <c r="D82" s="461"/>
      <c r="E82" s="462"/>
      <c r="F82" s="463"/>
      <c r="G82" s="461"/>
      <c r="H82" s="464"/>
      <c r="I82" s="464"/>
      <c r="J82" s="464"/>
      <c r="K82" s="465"/>
      <c r="L82" s="466"/>
      <c r="M82" s="50"/>
      <c r="N82" s="13"/>
      <c r="O82" s="13"/>
      <c r="P82" s="50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277"/>
      <c r="AY82" s="277"/>
      <c r="AZ82" s="277"/>
      <c r="BA82" s="277"/>
      <c r="BB82" s="277"/>
      <c r="BC82" s="277"/>
      <c r="BD82" s="277"/>
      <c r="BE82" s="277"/>
    </row>
    <row r="83" spans="2:57" ht="18" customHeight="1" thickBot="1">
      <c r="B83" s="59"/>
      <c r="C83" s="30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 t="s">
        <v>41</v>
      </c>
      <c r="O83" s="56"/>
      <c r="P83" s="60"/>
    </row>
    <row r="84" spans="2:57" ht="15.75" thickBot="1">
      <c r="B84" s="564" t="s">
        <v>55</v>
      </c>
      <c r="C84" s="565"/>
      <c r="D84" s="565"/>
      <c r="E84" s="565"/>
      <c r="F84" s="566"/>
      <c r="G84" s="564" t="s">
        <v>56</v>
      </c>
      <c r="H84" s="565"/>
      <c r="I84" s="565"/>
      <c r="J84" s="566"/>
      <c r="K84" s="564" t="s">
        <v>51</v>
      </c>
      <c r="L84" s="565"/>
      <c r="M84" s="565"/>
      <c r="N84" s="567"/>
      <c r="O84" s="56"/>
      <c r="P84" s="50"/>
    </row>
    <row r="85" spans="2:57" ht="15">
      <c r="B85" s="61" t="s">
        <v>17</v>
      </c>
      <c r="C85" s="62" t="s">
        <v>36</v>
      </c>
      <c r="D85" s="62" t="s">
        <v>37</v>
      </c>
      <c r="E85" s="62" t="s">
        <v>38</v>
      </c>
      <c r="F85" s="63" t="s">
        <v>39</v>
      </c>
      <c r="G85" s="62" t="s">
        <v>36</v>
      </c>
      <c r="H85" s="62" t="s">
        <v>37</v>
      </c>
      <c r="I85" s="62" t="s">
        <v>38</v>
      </c>
      <c r="J85" s="63" t="s">
        <v>39</v>
      </c>
      <c r="K85" s="62" t="s">
        <v>36</v>
      </c>
      <c r="L85" s="62" t="s">
        <v>37</v>
      </c>
      <c r="M85" s="62" t="s">
        <v>38</v>
      </c>
      <c r="N85" s="63" t="s">
        <v>39</v>
      </c>
      <c r="O85" s="56"/>
      <c r="P85" s="64"/>
    </row>
    <row r="86" spans="2:57" ht="15">
      <c r="B86" s="29" t="s">
        <v>6</v>
      </c>
      <c r="C86" s="282"/>
      <c r="D86" s="76">
        <v>5.9758575355563517</v>
      </c>
      <c r="E86" s="76">
        <v>6.0702956271126167</v>
      </c>
      <c r="F86" s="66">
        <v>4.8</v>
      </c>
      <c r="G86" s="65"/>
      <c r="H86" s="76">
        <v>5.2012421312801864</v>
      </c>
      <c r="I86" s="76">
        <v>5.988023632718261</v>
      </c>
      <c r="J86" s="66">
        <v>4.8</v>
      </c>
      <c r="K86" s="67"/>
      <c r="L86" s="194">
        <v>0.44929824561403514</v>
      </c>
      <c r="M86" s="194">
        <v>0.72631455889225571</v>
      </c>
      <c r="N86" s="68">
        <v>1</v>
      </c>
      <c r="O86" s="56"/>
      <c r="P86" s="69"/>
    </row>
    <row r="87" spans="2:57" ht="15">
      <c r="B87" s="33" t="s">
        <v>9</v>
      </c>
      <c r="C87" s="282">
        <f>AVERAGE(L75,L79)</f>
        <v>-0.41233806093601044</v>
      </c>
      <c r="D87" s="76">
        <v>1.5625804017083973</v>
      </c>
      <c r="E87" s="76">
        <v>5.5960664917440779</v>
      </c>
      <c r="F87" s="66">
        <v>4.8</v>
      </c>
      <c r="G87" s="65">
        <f>[42]December_2025!$E$11</f>
        <v>2.8833364159175856</v>
      </c>
      <c r="H87" s="76">
        <v>2.1472714173633256</v>
      </c>
      <c r="I87" s="76">
        <v>6.1167972180873393</v>
      </c>
      <c r="J87" s="66">
        <v>4.8</v>
      </c>
      <c r="K87" s="67">
        <f>AVERAGE(K75,K79)</f>
        <v>0.45830409356725144</v>
      </c>
      <c r="L87" s="194">
        <v>0.45210526315789473</v>
      </c>
      <c r="M87" s="194">
        <v>0.67706581940207577</v>
      </c>
      <c r="N87" s="68">
        <v>1</v>
      </c>
      <c r="P87" s="69"/>
    </row>
    <row r="88" spans="2:57" ht="15">
      <c r="B88" s="34" t="s">
        <v>40</v>
      </c>
      <c r="C88" s="65"/>
      <c r="D88" s="76"/>
      <c r="E88" s="76">
        <v>11.016453256230184</v>
      </c>
      <c r="F88" s="66">
        <v>5.5</v>
      </c>
      <c r="G88" s="65"/>
      <c r="H88" s="76"/>
      <c r="I88" s="76">
        <v>12.536311479158377</v>
      </c>
      <c r="J88" s="66">
        <v>5.5</v>
      </c>
      <c r="K88" s="67"/>
      <c r="L88" s="194"/>
      <c r="M88" s="194">
        <v>0.51633622959452352</v>
      </c>
      <c r="N88" s="68">
        <v>1</v>
      </c>
      <c r="P88" s="69"/>
    </row>
    <row r="89" spans="2:57" ht="15">
      <c r="B89" s="22" t="s">
        <v>33</v>
      </c>
      <c r="C89" s="65">
        <f>AVERAGE(L77,L81)</f>
        <v>3.6925225716880141</v>
      </c>
      <c r="D89" s="76">
        <v>4.6285288250347536</v>
      </c>
      <c r="E89" s="76">
        <v>4.6232260603879718</v>
      </c>
      <c r="F89" s="66">
        <v>3.3</v>
      </c>
      <c r="G89" s="65">
        <f>AVERAGE([42]December_2025!$H$74,[42]December_2025!$J$74)</f>
        <v>2.9598949876852219</v>
      </c>
      <c r="H89" s="76">
        <v>3.8616758206815294</v>
      </c>
      <c r="I89" s="76">
        <v>4.3622188190609918</v>
      </c>
      <c r="J89" s="66">
        <v>3.3</v>
      </c>
      <c r="K89" s="67">
        <f>AVERAGE(K77,K81)</f>
        <v>0.67114035087719304</v>
      </c>
      <c r="L89" s="194">
        <v>0.66675438596491232</v>
      </c>
      <c r="M89" s="194">
        <v>0.81056743421052635</v>
      </c>
      <c r="N89" s="68">
        <v>1</v>
      </c>
      <c r="P89" s="69"/>
    </row>
    <row r="90" spans="2:57" ht="15">
      <c r="B90" s="35" t="s">
        <v>164</v>
      </c>
      <c r="C90" s="65"/>
      <c r="D90" s="76"/>
      <c r="E90" s="76">
        <v>7.837301587301579</v>
      </c>
      <c r="F90" s="66">
        <v>3.3</v>
      </c>
      <c r="G90" s="282"/>
      <c r="H90" s="76"/>
      <c r="I90" s="76">
        <v>5.3377569154690221</v>
      </c>
      <c r="J90" s="66">
        <v>3</v>
      </c>
      <c r="K90" s="67"/>
      <c r="L90" s="194"/>
      <c r="M90" s="194">
        <v>0.32596491228070179</v>
      </c>
      <c r="N90" s="68">
        <v>1</v>
      </c>
      <c r="P90" s="69"/>
    </row>
    <row r="91" spans="2:57" ht="15">
      <c r="B91" s="36" t="s">
        <v>15</v>
      </c>
      <c r="C91" s="65"/>
      <c r="D91" s="76"/>
      <c r="E91" s="76">
        <v>6.8851328044153277</v>
      </c>
      <c r="F91" s="70">
        <f>[21]May_2022!$M$43</f>
        <v>3.4878406700073312</v>
      </c>
      <c r="G91" s="282"/>
      <c r="H91" s="76"/>
      <c r="I91" s="76">
        <v>8.6614709463340702</v>
      </c>
      <c r="J91" s="66">
        <v>5.5</v>
      </c>
      <c r="K91" s="67"/>
      <c r="L91" s="194"/>
      <c r="M91" s="194">
        <v>0.73160818713450293</v>
      </c>
      <c r="N91" s="68">
        <v>1</v>
      </c>
      <c r="P91" s="69"/>
    </row>
    <row r="92" spans="2:57" ht="15">
      <c r="B92" s="37" t="s">
        <v>16</v>
      </c>
      <c r="C92" s="65"/>
      <c r="D92" s="76"/>
      <c r="E92" s="76">
        <v>2.9297033255778997</v>
      </c>
      <c r="F92" s="66">
        <v>3.3</v>
      </c>
      <c r="G92" s="282"/>
      <c r="H92" s="76"/>
      <c r="I92" s="76">
        <v>4.2684292436723528</v>
      </c>
      <c r="J92" s="66">
        <v>3.3</v>
      </c>
      <c r="K92" s="67"/>
      <c r="L92" s="194"/>
      <c r="M92" s="194">
        <v>0.84660147761842675</v>
      </c>
      <c r="N92" s="71">
        <v>1</v>
      </c>
      <c r="P92" s="69"/>
    </row>
    <row r="93" spans="2:57" ht="15.75" thickBot="1">
      <c r="B93" s="38" t="s">
        <v>163</v>
      </c>
      <c r="C93" s="65"/>
      <c r="D93" s="76"/>
      <c r="E93" s="76">
        <v>11.483253588516746</v>
      </c>
      <c r="F93" s="66">
        <v>7.5</v>
      </c>
      <c r="G93" s="282"/>
      <c r="H93" s="76"/>
      <c r="I93" s="76">
        <v>9.7934336121043764</v>
      </c>
      <c r="J93" s="66">
        <v>7.5</v>
      </c>
      <c r="K93" s="67"/>
      <c r="M93" s="194">
        <v>0.32456140350877194</v>
      </c>
      <c r="N93" s="71">
        <v>1</v>
      </c>
      <c r="P93" s="69"/>
    </row>
    <row r="94" spans="2:57" ht="15.75" thickBot="1">
      <c r="B94" s="414" t="s">
        <v>161</v>
      </c>
      <c r="C94" s="65"/>
      <c r="D94" s="76"/>
      <c r="E94" s="76">
        <v>7.2653644592663174</v>
      </c>
      <c r="F94" s="66">
        <v>4.8</v>
      </c>
      <c r="G94" s="282"/>
      <c r="H94" s="76"/>
      <c r="I94" s="76">
        <v>8.1715311054411259</v>
      </c>
      <c r="J94" s="66">
        <v>4.8</v>
      </c>
      <c r="K94" s="67"/>
      <c r="L94" s="194"/>
      <c r="M94" s="194">
        <v>0.51368421052631585</v>
      </c>
      <c r="N94" s="71">
        <v>1</v>
      </c>
      <c r="O94" s="74"/>
      <c r="P94" s="75"/>
    </row>
    <row r="95" spans="2:57" ht="15">
      <c r="D95" s="76">
        <v>4.2839695612689148</v>
      </c>
      <c r="E95" s="76">
        <v>6.0651644320978093</v>
      </c>
      <c r="F95" s="341">
        <v>5.5</v>
      </c>
      <c r="H95" s="76">
        <v>3.9080743212919877</v>
      </c>
      <c r="I95" s="76">
        <v>6.4781085061056949</v>
      </c>
      <c r="J95" s="341">
        <v>5.5</v>
      </c>
      <c r="L95" s="194">
        <v>0.52271929824561403</v>
      </c>
      <c r="M95" s="194">
        <v>0.70092332896461351</v>
      </c>
      <c r="N95" s="386">
        <v>1</v>
      </c>
    </row>
  </sheetData>
  <mergeCells count="51">
    <mergeCell ref="M73:M74"/>
    <mergeCell ref="B84:F84"/>
    <mergeCell ref="G84:J84"/>
    <mergeCell ref="K84:N84"/>
    <mergeCell ref="G73:G74"/>
    <mergeCell ref="H73:H74"/>
    <mergeCell ref="I73:I74"/>
    <mergeCell ref="J73:J74"/>
    <mergeCell ref="K73:K74"/>
    <mergeCell ref="L73:L74"/>
    <mergeCell ref="F73:F74"/>
    <mergeCell ref="D68:E68"/>
    <mergeCell ref="B73:B74"/>
    <mergeCell ref="C73:C74"/>
    <mergeCell ref="D73:D74"/>
    <mergeCell ref="E73:E74"/>
    <mergeCell ref="B58:B67"/>
    <mergeCell ref="D58:E59"/>
    <mergeCell ref="J58:K58"/>
    <mergeCell ref="L59:N59"/>
    <mergeCell ref="D60:E61"/>
    <mergeCell ref="D62:E63"/>
    <mergeCell ref="D64:E65"/>
    <mergeCell ref="D66:E67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8:B69">
    <cfRule type="cellIs" dxfId="3134" priority="48" operator="notBetween">
      <formula>#REF!</formula>
      <formula>#REF!</formula>
    </cfRule>
  </conditionalFormatting>
  <conditionalFormatting sqref="C72">
    <cfRule type="cellIs" dxfId="3133" priority="196" stopIfTrue="1" operator="greaterThan">
      <formula>100</formula>
    </cfRule>
    <cfRule type="cellIs" dxfId="3132" priority="195" stopIfTrue="1" operator="lessThan">
      <formula>96</formula>
    </cfRule>
  </conditionalFormatting>
  <conditionalFormatting sqref="C86:C90">
    <cfRule type="cellIs" dxfId="3131" priority="149" stopIfTrue="1" operator="lessThanOrEqual">
      <formula>0</formula>
    </cfRule>
  </conditionalFormatting>
  <conditionalFormatting sqref="C86:C94">
    <cfRule type="cellIs" dxfId="3130" priority="148" stopIfTrue="1" operator="greaterThan">
      <formula>$F86</formula>
    </cfRule>
  </conditionalFormatting>
  <conditionalFormatting sqref="C87">
    <cfRule type="cellIs" dxfId="3129" priority="199" stopIfTrue="1" operator="greaterThan">
      <formula>$F86</formula>
    </cfRule>
  </conditionalFormatting>
  <conditionalFormatting sqref="C91">
    <cfRule type="cellIs" dxfId="3128" priority="89" stopIfTrue="1" operator="greaterThan">
      <formula>$F90</formula>
    </cfRule>
    <cfRule type="cellIs" dxfId="3127" priority="88" stopIfTrue="1" operator="lessThanOrEqual">
      <formula>0</formula>
    </cfRule>
  </conditionalFormatting>
  <conditionalFormatting sqref="C97:C101">
    <cfRule type="cellIs" dxfId="3126" priority="187" stopIfTrue="1" operator="lessThanOrEqual">
      <formula>0</formula>
    </cfRule>
  </conditionalFormatting>
  <conditionalFormatting sqref="C98:C101">
    <cfRule type="cellIs" dxfId="3125" priority="186" stopIfTrue="1" operator="greaterThan">
      <formula>$F$97</formula>
    </cfRule>
  </conditionalFormatting>
  <conditionalFormatting sqref="C103">
    <cfRule type="cellIs" dxfId="3124" priority="189" stopIfTrue="1" operator="lessThanOrEqual">
      <formula>0</formula>
    </cfRule>
    <cfRule type="cellIs" dxfId="3123" priority="188" stopIfTrue="1" operator="greaterThan">
      <formula>$F$97</formula>
    </cfRule>
  </conditionalFormatting>
  <conditionalFormatting sqref="C97:D97 D99:D105">
    <cfRule type="cellIs" dxfId="3122" priority="181" stopIfTrue="1" operator="greaterThan">
      <formula>4.5</formula>
    </cfRule>
  </conditionalFormatting>
  <conditionalFormatting sqref="D68:D69">
    <cfRule type="cellIs" dxfId="3121" priority="49" operator="notBetween">
      <formula>#REF!</formula>
      <formula>#REF!</formula>
    </cfRule>
  </conditionalFormatting>
  <conditionalFormatting sqref="D86:D93">
    <cfRule type="cellIs" dxfId="3120" priority="161" stopIfTrue="1" operator="lessThanOrEqual">
      <formula>0</formula>
    </cfRule>
  </conditionalFormatting>
  <conditionalFormatting sqref="D94">
    <cfRule type="cellIs" dxfId="3119" priority="160" stopIfTrue="1" operator="lessThanOrEqual">
      <formula>0</formula>
    </cfRule>
  </conditionalFormatting>
  <conditionalFormatting sqref="D97 D99:D105">
    <cfRule type="cellIs" dxfId="3118" priority="182" stopIfTrue="1" operator="lessThanOrEqual">
      <formula>0</formula>
    </cfRule>
  </conditionalFormatting>
  <conditionalFormatting sqref="D98">
    <cfRule type="cellIs" dxfId="3117" priority="174" stopIfTrue="1" operator="lessThanOrEqual">
      <formula>0</formula>
    </cfRule>
    <cfRule type="cellIs" dxfId="3116" priority="173" stopIfTrue="1" operator="greaterThan">
      <formula>$F$97</formula>
    </cfRule>
  </conditionalFormatting>
  <conditionalFormatting sqref="D86:E95">
    <cfRule type="cellIs" dxfId="3115" priority="146" stopIfTrue="1" operator="greaterThan">
      <formula>$F86</formula>
    </cfRule>
  </conditionalFormatting>
  <conditionalFormatting sqref="D95:E95">
    <cfRule type="cellIs" dxfId="3114" priority="147" stopIfTrue="1" operator="lessThanOrEqual">
      <formula>0</formula>
    </cfRule>
  </conditionalFormatting>
  <conditionalFormatting sqref="E10:E43">
    <cfRule type="cellIs" dxfId="3113" priority="21" operator="lessThan">
      <formula>48</formula>
    </cfRule>
  </conditionalFormatting>
  <conditionalFormatting sqref="E71 E72:F72">
    <cfRule type="cellIs" dxfId="3112" priority="178" stopIfTrue="1" operator="greaterThan">
      <formula>100</formula>
    </cfRule>
  </conditionalFormatting>
  <conditionalFormatting sqref="E72">
    <cfRule type="cellIs" dxfId="3111" priority="176" stopIfTrue="1" operator="greaterThan">
      <formula>100</formula>
    </cfRule>
    <cfRule type="cellIs" dxfId="3110" priority="175" stopIfTrue="1" operator="lessThan">
      <formula>96.8</formula>
    </cfRule>
  </conditionalFormatting>
  <conditionalFormatting sqref="E86:E94">
    <cfRule type="cellIs" dxfId="3109" priority="157" stopIfTrue="1" operator="lessThanOrEqual">
      <formula>0</formula>
    </cfRule>
  </conditionalFormatting>
  <conditionalFormatting sqref="E97:E105">
    <cfRule type="cellIs" dxfId="3108" priority="167" stopIfTrue="1" operator="greaterThan">
      <formula>4.5</formula>
    </cfRule>
    <cfRule type="cellIs" dxfId="3107" priority="168" stopIfTrue="1" operator="lessThanOrEqual">
      <formula>0</formula>
    </cfRule>
  </conditionalFormatting>
  <conditionalFormatting sqref="E72:F72 E71">
    <cfRule type="cellIs" dxfId="3106" priority="177" stopIfTrue="1" operator="lessThan">
      <formula>96.5</formula>
    </cfRule>
  </conditionalFormatting>
  <conditionalFormatting sqref="F10:F22 F35:F43">
    <cfRule type="cellIs" dxfId="3105" priority="22" operator="greaterThan">
      <formula>60</formula>
    </cfRule>
  </conditionalFormatting>
  <conditionalFormatting sqref="F72">
    <cfRule type="cellIs" dxfId="3104" priority="194" stopIfTrue="1" operator="greaterThan">
      <formula>100</formula>
    </cfRule>
    <cfRule type="cellIs" dxfId="3103" priority="193" stopIfTrue="1" operator="lessThan">
      <formula>96.8</formula>
    </cfRule>
  </conditionalFormatting>
  <conditionalFormatting sqref="F95">
    <cfRule type="cellIs" dxfId="3102" priority="158" stopIfTrue="1" operator="greaterThan">
      <formula>$F95</formula>
    </cfRule>
    <cfRule type="cellIs" dxfId="3101" priority="159" stopIfTrue="1" operator="lessThanOrEqual">
      <formula>0</formula>
    </cfRule>
  </conditionalFormatting>
  <conditionalFormatting sqref="G21:G34">
    <cfRule type="expression" dxfId="3100" priority="13">
      <formula>IF(+(IF(G21&lt;S21,0,IF(G21&gt;T21,0,1)))=0,1)</formula>
    </cfRule>
  </conditionalFormatting>
  <conditionalFormatting sqref="G41:G42">
    <cfRule type="expression" dxfId="3099" priority="26">
      <formula>IF(+(IF(G41&lt;S41,0,IF(G41&gt;T41,0,1)))=0,1)</formula>
    </cfRule>
  </conditionalFormatting>
  <conditionalFormatting sqref="G86:G87 C92:C94">
    <cfRule type="cellIs" dxfId="3098" priority="163" stopIfTrue="1" operator="lessThanOrEqual">
      <formula>0</formula>
    </cfRule>
  </conditionalFormatting>
  <conditionalFormatting sqref="G86:G87">
    <cfRule type="cellIs" dxfId="3097" priority="150" stopIfTrue="1" operator="greaterThan">
      <formula>$F86</formula>
    </cfRule>
    <cfRule type="cellIs" dxfId="3096" priority="151" stopIfTrue="1" operator="lessThanOrEqual">
      <formula>0</formula>
    </cfRule>
    <cfRule type="cellIs" dxfId="3095" priority="162" stopIfTrue="1" operator="greaterThan">
      <formula>$F86</formula>
    </cfRule>
  </conditionalFormatting>
  <conditionalFormatting sqref="G88">
    <cfRule type="cellIs" dxfId="3094" priority="197" stopIfTrue="1" operator="greaterThan">
      <formula>$F87</formula>
    </cfRule>
    <cfRule type="cellIs" dxfId="3093" priority="198" stopIfTrue="1" operator="lessThanOrEqual">
      <formula>0</formula>
    </cfRule>
  </conditionalFormatting>
  <conditionalFormatting sqref="G89">
    <cfRule type="cellIs" dxfId="3092" priority="46" stopIfTrue="1" operator="greaterThan">
      <formula>$F89</formula>
    </cfRule>
    <cfRule type="cellIs" dxfId="3091" priority="47" stopIfTrue="1" operator="lessThanOrEqual">
      <formula>0</formula>
    </cfRule>
    <cfRule type="cellIs" dxfId="3090" priority="45" stopIfTrue="1" operator="lessThanOrEqual">
      <formula>0</formula>
    </cfRule>
    <cfRule type="cellIs" dxfId="3089" priority="44" stopIfTrue="1" operator="greaterThan">
      <formula>$F89</formula>
    </cfRule>
  </conditionalFormatting>
  <conditionalFormatting sqref="G90:G94">
    <cfRule type="cellIs" dxfId="3088" priority="165" stopIfTrue="1" operator="lessThanOrEqual">
      <formula>0</formula>
    </cfRule>
    <cfRule type="cellIs" dxfId="3087" priority="164" stopIfTrue="1" operator="greaterThan">
      <formula>$J90</formula>
    </cfRule>
  </conditionalFormatting>
  <conditionalFormatting sqref="G99:G104 C102 C104">
    <cfRule type="cellIs" dxfId="3086" priority="190" stopIfTrue="1" operator="greaterThan">
      <formula>4.5</formula>
    </cfRule>
    <cfRule type="cellIs" dxfId="3085" priority="191" stopIfTrue="1" operator="lessThanOrEqual">
      <formula>0</formula>
    </cfRule>
  </conditionalFormatting>
  <conditionalFormatting sqref="G98:H98">
    <cfRule type="cellIs" dxfId="3084" priority="171" stopIfTrue="1" operator="greaterThan">
      <formula>$F$97</formula>
    </cfRule>
    <cfRule type="cellIs" dxfId="3083" priority="172" stopIfTrue="1" operator="lessThanOrEqual">
      <formula>0</formula>
    </cfRule>
  </conditionalFormatting>
  <conditionalFormatting sqref="H31:H38">
    <cfRule type="expression" dxfId="3082" priority="11">
      <formula>IF(+(IF(H31&lt;#REF!,0,IF(H31&gt;#REF!,0,1)))=0,1)</formula>
    </cfRule>
  </conditionalFormatting>
  <conditionalFormatting sqref="H57:H58 H71">
    <cfRule type="cellIs" dxfId="3081" priority="169" stopIfTrue="1" operator="greaterThan">
      <formula>0</formula>
    </cfRule>
  </conditionalFormatting>
  <conditionalFormatting sqref="H75">
    <cfRule type="cellIs" dxfId="3080" priority="31" stopIfTrue="1" operator="greaterThan">
      <formula>$F$90</formula>
    </cfRule>
    <cfRule type="cellIs" dxfId="3079" priority="30" stopIfTrue="1" operator="lessThanOrEqual">
      <formula>0</formula>
    </cfRule>
    <cfRule type="cellIs" dxfId="3078" priority="42" stopIfTrue="1" operator="lessThanOrEqual">
      <formula>0</formula>
    </cfRule>
    <cfRule type="cellIs" dxfId="3077" priority="41" stopIfTrue="1" operator="greaterThan">
      <formula>$F$91</formula>
    </cfRule>
    <cfRule type="cellIs" dxfId="3076" priority="40" stopIfTrue="1" operator="lessThanOrEqual">
      <formula>0</formula>
    </cfRule>
    <cfRule type="cellIs" dxfId="3075" priority="39" stopIfTrue="1" operator="greaterThan">
      <formula>$F$93</formula>
    </cfRule>
  </conditionalFormatting>
  <conditionalFormatting sqref="H76">
    <cfRule type="cellIs" dxfId="3074" priority="105" stopIfTrue="1" operator="lessThanOrEqual">
      <formula>0</formula>
    </cfRule>
    <cfRule type="cellIs" dxfId="3073" priority="106" stopIfTrue="1" operator="greaterThan">
      <formula>#REF!</formula>
    </cfRule>
    <cfRule type="cellIs" dxfId="3072" priority="116" stopIfTrue="1" operator="greaterThan">
      <formula>#REF!</formula>
    </cfRule>
    <cfRule type="cellIs" dxfId="3071" priority="114" stopIfTrue="1" operator="greaterThan">
      <formula>$F$44</formula>
    </cfRule>
    <cfRule type="cellIs" dxfId="3070" priority="117" stopIfTrue="1" operator="lessThanOrEqual">
      <formula>0</formula>
    </cfRule>
    <cfRule type="cellIs" dxfId="3069" priority="115" stopIfTrue="1" operator="lessThanOrEqual">
      <formula>0</formula>
    </cfRule>
  </conditionalFormatting>
  <conditionalFormatting sqref="H77">
    <cfRule type="cellIs" dxfId="3068" priority="74" stopIfTrue="1" operator="greaterThan">
      <formula>$F$87</formula>
    </cfRule>
    <cfRule type="cellIs" dxfId="3067" priority="73" stopIfTrue="1" operator="lessThanOrEqual">
      <formula>0</formula>
    </cfRule>
    <cfRule type="cellIs" dxfId="3066" priority="82" stopIfTrue="1" operator="greaterThan">
      <formula>$F$90</formula>
    </cfRule>
    <cfRule type="cellIs" dxfId="3065" priority="83" stopIfTrue="1" operator="lessThanOrEqual">
      <formula>0</formula>
    </cfRule>
    <cfRule type="cellIs" dxfId="3064" priority="84" stopIfTrue="1" operator="greaterThan">
      <formula>$F$88</formula>
    </cfRule>
    <cfRule type="cellIs" dxfId="3063" priority="85" stopIfTrue="1" operator="lessThanOrEqual">
      <formula>0</formula>
    </cfRule>
  </conditionalFormatting>
  <conditionalFormatting sqref="H78:H79">
    <cfRule type="cellIs" dxfId="3062" priority="103" stopIfTrue="1" operator="lessThanOrEqual">
      <formula>0</formula>
    </cfRule>
    <cfRule type="cellIs" dxfId="3061" priority="102" stopIfTrue="1" operator="greaterThan">
      <formula>#REF!</formula>
    </cfRule>
    <cfRule type="cellIs" dxfId="3060" priority="101" stopIfTrue="1" operator="lessThanOrEqual">
      <formula>0</formula>
    </cfRule>
    <cfRule type="cellIs" dxfId="3059" priority="100" stopIfTrue="1" operator="greaterThan">
      <formula>$F$43</formula>
    </cfRule>
    <cfRule type="cellIs" dxfId="3058" priority="92" stopIfTrue="1" operator="greaterThan">
      <formula>#REF!</formula>
    </cfRule>
    <cfRule type="cellIs" dxfId="3057" priority="91" stopIfTrue="1" operator="lessThanOrEqual">
      <formula>0</formula>
    </cfRule>
  </conditionalFormatting>
  <conditionalFormatting sqref="H80">
    <cfRule type="cellIs" dxfId="3056" priority="130" stopIfTrue="1" operator="lessThanOrEqual">
      <formula>0</formula>
    </cfRule>
    <cfRule type="cellIs" dxfId="3055" priority="132" stopIfTrue="1" operator="lessThanOrEqual">
      <formula>0</formula>
    </cfRule>
    <cfRule type="cellIs" dxfId="3054" priority="131" stopIfTrue="1" operator="greaterThan">
      <formula>$F$57</formula>
    </cfRule>
    <cfRule type="cellIs" dxfId="3053" priority="129" stopIfTrue="1" operator="greaterThan">
      <formula>$F$59</formula>
    </cfRule>
    <cfRule type="cellIs" dxfId="3052" priority="121" stopIfTrue="1" operator="greaterThan">
      <formula>$F$56</formula>
    </cfRule>
    <cfRule type="cellIs" dxfId="3051" priority="120" stopIfTrue="1" operator="lessThanOrEqual">
      <formula>0</formula>
    </cfRule>
  </conditionalFormatting>
  <conditionalFormatting sqref="H81:H82">
    <cfRule type="cellIs" dxfId="3050" priority="69" stopIfTrue="1" operator="lessThanOrEqual">
      <formula>0</formula>
    </cfRule>
    <cfRule type="cellIs" dxfId="3049" priority="70" stopIfTrue="1" operator="greaterThan">
      <formula>#REF!</formula>
    </cfRule>
    <cfRule type="cellIs" dxfId="3048" priority="71" stopIfTrue="1" operator="lessThanOrEqual">
      <formula>0</formula>
    </cfRule>
    <cfRule type="cellIs" dxfId="3047" priority="60" stopIfTrue="1" operator="greaterThan">
      <formula>#REF!</formula>
    </cfRule>
    <cfRule type="cellIs" dxfId="3046" priority="59" stopIfTrue="1" operator="lessThanOrEqual">
      <formula>0</formula>
    </cfRule>
    <cfRule type="cellIs" dxfId="3045" priority="68" stopIfTrue="1" operator="greaterThan">
      <formula>$F$43</formula>
    </cfRule>
  </conditionalFormatting>
  <conditionalFormatting sqref="H86:H93">
    <cfRule type="cellIs" dxfId="3044" priority="153" stopIfTrue="1" operator="lessThanOrEqual">
      <formula>0</formula>
    </cfRule>
    <cfRule type="cellIs" dxfId="3043" priority="152" stopIfTrue="1" operator="greaterThan">
      <formula>$J86</formula>
    </cfRule>
  </conditionalFormatting>
  <conditionalFormatting sqref="H94">
    <cfRule type="cellIs" dxfId="3042" priority="154" operator="greaterThan">
      <formula>5.3</formula>
    </cfRule>
  </conditionalFormatting>
  <conditionalFormatting sqref="H97 H99:H105">
    <cfRule type="cellIs" dxfId="3041" priority="183" stopIfTrue="1" operator="greaterThan">
      <formula>4.5</formula>
    </cfRule>
    <cfRule type="cellIs" dxfId="3040" priority="184" stopIfTrue="1" operator="lessThanOrEqual">
      <formula>0</formula>
    </cfRule>
  </conditionalFormatting>
  <conditionalFormatting sqref="H75:I75">
    <cfRule type="cellIs" dxfId="3039" priority="32" stopIfTrue="1" operator="lessThanOrEqual">
      <formula>0</formula>
    </cfRule>
    <cfRule type="cellIs" dxfId="3038" priority="29" stopIfTrue="1" operator="greaterThan">
      <formula>$F$92</formula>
    </cfRule>
  </conditionalFormatting>
  <conditionalFormatting sqref="H76:I76">
    <cfRule type="cellIs" dxfId="3037" priority="107" stopIfTrue="1" operator="lessThanOrEqual">
      <formula>0</formula>
    </cfRule>
    <cfRule type="cellIs" dxfId="3036" priority="104" stopIfTrue="1" operator="greaterThan">
      <formula>$F$43</formula>
    </cfRule>
  </conditionalFormatting>
  <conditionalFormatting sqref="H77:I77">
    <cfRule type="cellIs" dxfId="3035" priority="75" stopIfTrue="1" operator="lessThanOrEqual">
      <formula>0</formula>
    </cfRule>
    <cfRule type="cellIs" dxfId="3034" priority="72" stopIfTrue="1" operator="greaterThan">
      <formula>$F$89</formula>
    </cfRule>
  </conditionalFormatting>
  <conditionalFormatting sqref="H78:I79">
    <cfRule type="cellIs" dxfId="3033" priority="90" stopIfTrue="1" operator="greaterThan">
      <formula>#REF!</formula>
    </cfRule>
    <cfRule type="cellIs" dxfId="3032" priority="93" stopIfTrue="1" operator="lessThanOrEqual">
      <formula>0</formula>
    </cfRule>
  </conditionalFormatting>
  <conditionalFormatting sqref="H80:I80">
    <cfRule type="cellIs" dxfId="3031" priority="119" stopIfTrue="1" operator="greaterThan">
      <formula>$F$58</formula>
    </cfRule>
    <cfRule type="cellIs" dxfId="3030" priority="122" stopIfTrue="1" operator="lessThanOrEqual">
      <formula>0</formula>
    </cfRule>
  </conditionalFormatting>
  <conditionalFormatting sqref="H81:I82">
    <cfRule type="cellIs" dxfId="3029" priority="61" stopIfTrue="1" operator="lessThanOrEqual">
      <formula>0</formula>
    </cfRule>
    <cfRule type="cellIs" dxfId="3028" priority="58" stopIfTrue="1" operator="greaterThan">
      <formula>#REF!</formula>
    </cfRule>
  </conditionalFormatting>
  <conditionalFormatting sqref="H95:I95">
    <cfRule type="cellIs" dxfId="3027" priority="145" stopIfTrue="1" operator="lessThanOrEqual">
      <formula>0</formula>
    </cfRule>
    <cfRule type="cellIs" dxfId="3026" priority="144" stopIfTrue="1" operator="greaterThan">
      <formula>$J95</formula>
    </cfRule>
  </conditionalFormatting>
  <conditionalFormatting sqref="I75">
    <cfRule type="cellIs" dxfId="3025" priority="35" stopIfTrue="1" operator="greaterThan">
      <formula>$F$92</formula>
    </cfRule>
    <cfRule type="cellIs" dxfId="3024" priority="33" stopIfTrue="1" operator="greaterThan">
      <formula>$F$90</formula>
    </cfRule>
    <cfRule type="cellIs" dxfId="3023" priority="34" stopIfTrue="1" operator="lessThanOrEqual">
      <formula>0</formula>
    </cfRule>
    <cfRule type="cellIs" dxfId="3022" priority="36" stopIfTrue="1" operator="lessThanOrEqual">
      <formula>0</formula>
    </cfRule>
    <cfRule type="cellIs" dxfId="3021" priority="37" stopIfTrue="1" operator="greaterThan">
      <formula>$F$90</formula>
    </cfRule>
    <cfRule type="cellIs" dxfId="3020" priority="38" stopIfTrue="1" operator="lessThanOrEqual">
      <formula>0</formula>
    </cfRule>
  </conditionalFormatting>
  <conditionalFormatting sqref="I76">
    <cfRule type="cellIs" dxfId="3019" priority="108" stopIfTrue="1" operator="greaterThan">
      <formula>#REF!</formula>
    </cfRule>
    <cfRule type="cellIs" dxfId="3018" priority="109" stopIfTrue="1" operator="lessThanOrEqual">
      <formula>0</formula>
    </cfRule>
    <cfRule type="cellIs" dxfId="3017" priority="111" stopIfTrue="1" operator="lessThanOrEqual">
      <formula>0</formula>
    </cfRule>
    <cfRule type="cellIs" dxfId="3016" priority="112" stopIfTrue="1" operator="greaterThan">
      <formula>#REF!</formula>
    </cfRule>
    <cfRule type="cellIs" dxfId="3015" priority="113" stopIfTrue="1" operator="lessThanOrEqual">
      <formula>0</formula>
    </cfRule>
    <cfRule type="cellIs" dxfId="3014" priority="110" stopIfTrue="1" operator="greaterThan">
      <formula>$F$43</formula>
    </cfRule>
  </conditionalFormatting>
  <conditionalFormatting sqref="I77">
    <cfRule type="cellIs" dxfId="3013" priority="76" stopIfTrue="1" operator="greaterThan">
      <formula>$F$87</formula>
    </cfRule>
    <cfRule type="cellIs" dxfId="3012" priority="81" stopIfTrue="1" operator="lessThanOrEqual">
      <formula>0</formula>
    </cfRule>
    <cfRule type="cellIs" dxfId="3011" priority="80" stopIfTrue="1" operator="greaterThan">
      <formula>$F$87</formula>
    </cfRule>
    <cfRule type="cellIs" dxfId="3010" priority="79" stopIfTrue="1" operator="lessThanOrEqual">
      <formula>0</formula>
    </cfRule>
    <cfRule type="cellIs" dxfId="3009" priority="78" stopIfTrue="1" operator="greaterThan">
      <formula>$F$89</formula>
    </cfRule>
    <cfRule type="cellIs" dxfId="3008" priority="77" stopIfTrue="1" operator="lessThanOrEqual">
      <formula>0</formula>
    </cfRule>
  </conditionalFormatting>
  <conditionalFormatting sqref="I78:I79">
    <cfRule type="cellIs" dxfId="3007" priority="99" stopIfTrue="1" operator="lessThanOrEqual">
      <formula>0</formula>
    </cfRule>
    <cfRule type="cellIs" dxfId="3006" priority="95" stopIfTrue="1" operator="lessThanOrEqual">
      <formula>0</formula>
    </cfRule>
    <cfRule type="cellIs" dxfId="3005" priority="96" stopIfTrue="1" operator="greaterThan">
      <formula>#REF!</formula>
    </cfRule>
    <cfRule type="cellIs" dxfId="3004" priority="94" stopIfTrue="1" operator="greaterThan">
      <formula>#REF!</formula>
    </cfRule>
    <cfRule type="cellIs" dxfId="3003" priority="98" stopIfTrue="1" operator="greaterThan">
      <formula>#REF!</formula>
    </cfRule>
    <cfRule type="cellIs" dxfId="3002" priority="97" stopIfTrue="1" operator="lessThanOrEqual">
      <formula>0</formula>
    </cfRule>
  </conditionalFormatting>
  <conditionalFormatting sqref="I80">
    <cfRule type="cellIs" dxfId="3001" priority="128" stopIfTrue="1" operator="lessThanOrEqual">
      <formula>0</formula>
    </cfRule>
    <cfRule type="cellIs" dxfId="3000" priority="123" stopIfTrue="1" operator="greaterThan">
      <formula>$F$56</formula>
    </cfRule>
    <cfRule type="cellIs" dxfId="2999" priority="124" stopIfTrue="1" operator="lessThanOrEqual">
      <formula>0</formula>
    </cfRule>
    <cfRule type="cellIs" dxfId="2998" priority="125" stopIfTrue="1" operator="greaterThan">
      <formula>$F$58</formula>
    </cfRule>
    <cfRule type="cellIs" dxfId="2997" priority="126" stopIfTrue="1" operator="lessThanOrEqual">
      <formula>0</formula>
    </cfRule>
    <cfRule type="cellIs" dxfId="2996" priority="127" stopIfTrue="1" operator="greaterThan">
      <formula>$F$56</formula>
    </cfRule>
  </conditionalFormatting>
  <conditionalFormatting sqref="I81:I82">
    <cfRule type="cellIs" dxfId="2995" priority="67" stopIfTrue="1" operator="lessThanOrEqual">
      <formula>0</formula>
    </cfRule>
    <cfRule type="cellIs" dxfId="2994" priority="66" stopIfTrue="1" operator="greaterThan">
      <formula>#REF!</formula>
    </cfRule>
    <cfRule type="cellIs" dxfId="2993" priority="65" stopIfTrue="1" operator="lessThanOrEqual">
      <formula>0</formula>
    </cfRule>
    <cfRule type="cellIs" dxfId="2992" priority="64" stopIfTrue="1" operator="greaterThan">
      <formula>#REF!</formula>
    </cfRule>
    <cfRule type="cellIs" dxfId="2991" priority="62" stopIfTrue="1" operator="greaterThan">
      <formula>#REF!</formula>
    </cfRule>
    <cfRule type="cellIs" dxfId="2990" priority="63" stopIfTrue="1" operator="lessThanOrEqual">
      <formula>0</formula>
    </cfRule>
  </conditionalFormatting>
  <conditionalFormatting sqref="I86:I94">
    <cfRule type="cellIs" dxfId="2989" priority="155" stopIfTrue="1" operator="greaterThan">
      <formula>$J86</formula>
    </cfRule>
    <cfRule type="cellIs" dxfId="2988" priority="156" stopIfTrue="1" operator="lessThanOrEqual">
      <formula>0</formula>
    </cfRule>
  </conditionalFormatting>
  <conditionalFormatting sqref="I97:I105">
    <cfRule type="cellIs" dxfId="2987" priority="179" stopIfTrue="1" operator="greaterThan">
      <formula>4.5</formula>
    </cfRule>
    <cfRule type="cellIs" dxfId="2986" priority="180" stopIfTrue="1" operator="lessThanOrEqual">
      <formula>0</formula>
    </cfRule>
  </conditionalFormatting>
  <conditionalFormatting sqref="I10:J43">
    <cfRule type="cellIs" dxfId="2985" priority="15" operator="lessThan">
      <formula>97.9</formula>
    </cfRule>
  </conditionalFormatting>
  <conditionalFormatting sqref="J47:J48">
    <cfRule type="cellIs" dxfId="2984" priority="136" operator="lessThan">
      <formula>98</formula>
    </cfRule>
    <cfRule type="cellIs" dxfId="2983" priority="135" stopIfTrue="1" operator="greaterThan">
      <formula>100</formula>
    </cfRule>
    <cfRule type="cellIs" dxfId="2982" priority="134" stopIfTrue="1" operator="lessThan">
      <formula>96.8</formula>
    </cfRule>
  </conditionalFormatting>
  <conditionalFormatting sqref="J47:J50">
    <cfRule type="cellIs" dxfId="2981" priority="133" operator="lessThan">
      <formula>97.4</formula>
    </cfRule>
  </conditionalFormatting>
  <conditionalFormatting sqref="J51:J52">
    <cfRule type="cellIs" dxfId="2980" priority="137" operator="lessThan">
      <formula>98</formula>
    </cfRule>
  </conditionalFormatting>
  <conditionalFormatting sqref="J53:J54">
    <cfRule type="cellIs" dxfId="2979" priority="139" stopIfTrue="1" operator="greaterThan">
      <formula>100</formula>
    </cfRule>
    <cfRule type="cellIs" dxfId="2978" priority="138" stopIfTrue="1" operator="lessThan">
      <formula>96.8</formula>
    </cfRule>
  </conditionalFormatting>
  <conditionalFormatting sqref="J53:J55">
    <cfRule type="cellIs" dxfId="2977" priority="140" operator="lessThan">
      <formula>98</formula>
    </cfRule>
  </conditionalFormatting>
  <conditionalFormatting sqref="J82">
    <cfRule type="cellIs" dxfId="2976" priority="53" stopIfTrue="1" operator="lessThanOrEqual">
      <formula>0</formula>
    </cfRule>
    <cfRule type="cellIs" dxfId="2975" priority="50" stopIfTrue="1" operator="greaterThan">
      <formula>#REF!</formula>
    </cfRule>
    <cfRule type="cellIs" dxfId="2974" priority="52" stopIfTrue="1" operator="greaterThan">
      <formula>#REF!</formula>
    </cfRule>
    <cfRule type="cellIs" dxfId="2973" priority="57" stopIfTrue="1" operator="lessThanOrEqual">
      <formula>0</formula>
    </cfRule>
    <cfRule type="cellIs" dxfId="2972" priority="56" stopIfTrue="1" operator="greaterThan">
      <formula>#REF!</formula>
    </cfRule>
    <cfRule type="cellIs" dxfId="2971" priority="55" stopIfTrue="1" operator="lessThanOrEqual">
      <formula>0</formula>
    </cfRule>
    <cfRule type="cellIs" dxfId="2970" priority="54" stopIfTrue="1" operator="greaterThan">
      <formula>#REF!</formula>
    </cfRule>
    <cfRule type="cellIs" dxfId="2969" priority="51" stopIfTrue="1" operator="lessThanOrEqual">
      <formula>0</formula>
    </cfRule>
  </conditionalFormatting>
  <conditionalFormatting sqref="J95">
    <cfRule type="cellIs" dxfId="2968" priority="141" stopIfTrue="1" operator="greaterThan">
      <formula>$F95</formula>
    </cfRule>
    <cfRule type="cellIs" dxfId="2967" priority="142" stopIfTrue="1" operator="lessThanOrEqual">
      <formula>0</formula>
    </cfRule>
  </conditionalFormatting>
  <conditionalFormatting sqref="K10:K43">
    <cfRule type="cellIs" dxfId="2966" priority="16" operator="greaterThan">
      <formula>6</formula>
    </cfRule>
    <cfRule type="cellIs" dxfId="2965" priority="18" operator="greaterThan">
      <formula>6.4</formula>
    </cfRule>
    <cfRule type="cellIs" dxfId="2964" priority="17" operator="lessThan">
      <formula>4</formula>
    </cfRule>
  </conditionalFormatting>
  <conditionalFormatting sqref="K75:K82 K86:N92 K93 M93:N93 K94:N94">
    <cfRule type="cellIs" dxfId="2963" priority="118" stopIfTrue="1" operator="lessThan">
      <formula>100%</formula>
    </cfRule>
  </conditionalFormatting>
  <conditionalFormatting sqref="K97:K102">
    <cfRule type="cellIs" dxfId="2962" priority="185" stopIfTrue="1" operator="lessThan">
      <formula>100%</formula>
    </cfRule>
  </conditionalFormatting>
  <conditionalFormatting sqref="K104:K105">
    <cfRule type="cellIs" dxfId="2961" priority="192" stopIfTrue="1" operator="lessThan">
      <formula>100%</formula>
    </cfRule>
  </conditionalFormatting>
  <conditionalFormatting sqref="L21:L43">
    <cfRule type="cellIs" dxfId="2960" priority="20" operator="greaterThan">
      <formula>65</formula>
    </cfRule>
    <cfRule type="cellIs" dxfId="2959" priority="19" operator="between">
      <formula>61</formula>
      <formula>65</formula>
    </cfRule>
  </conditionalFormatting>
  <conditionalFormatting sqref="L10:M20">
    <cfRule type="cellIs" dxfId="2958" priority="24" operator="between">
      <formula>61</formula>
      <formula>65</formula>
    </cfRule>
    <cfRule type="cellIs" dxfId="2957" priority="23" operator="greaterThan">
      <formula>65</formula>
    </cfRule>
  </conditionalFormatting>
  <conditionalFormatting sqref="L46:M57">
    <cfRule type="cellIs" dxfId="2956" priority="86" operator="lessThan">
      <formula>97.95</formula>
    </cfRule>
  </conditionalFormatting>
  <conditionalFormatting sqref="L61:N61">
    <cfRule type="cellIs" dxfId="2955" priority="87" operator="notEqual">
      <formula>#REF!</formula>
    </cfRule>
  </conditionalFormatting>
  <conditionalFormatting sqref="L95:N95">
    <cfRule type="cellIs" dxfId="2954" priority="143" stopIfTrue="1" operator="lessThan">
      <formula>100%</formula>
    </cfRule>
  </conditionalFormatting>
  <conditionalFormatting sqref="L97:N105">
    <cfRule type="cellIs" dxfId="2953" priority="170" stopIfTrue="1" operator="lessThan">
      <formula>100%</formula>
    </cfRule>
  </conditionalFormatting>
  <conditionalFormatting sqref="M10:M20 G10:G20 G35:G40 G43:H43">
    <cfRule type="expression" dxfId="2952" priority="43">
      <formula>IF(+(IF(G10&lt;#REF!,0,IF(G10&gt;#REF!,0,1)))=0,1)</formula>
    </cfRule>
  </conditionalFormatting>
  <conditionalFormatting sqref="M21:M42">
    <cfRule type="expression" dxfId="2951" priority="12">
      <formula>IF(+(IF(M21&lt;U21,0,IF(M21&gt;V21,0,1)))=0,1)</formula>
    </cfRule>
  </conditionalFormatting>
  <conditionalFormatting sqref="M43:N43">
    <cfRule type="expression" dxfId="2950" priority="200">
      <formula>IF(+(IF(M43&lt;#REF!,0,IF(M43&gt;#REF!,0,1)))=0,1)</formula>
    </cfRule>
  </conditionalFormatting>
  <conditionalFormatting sqref="N10:N42">
    <cfRule type="expression" dxfId="2949" priority="14">
      <formula>IF(+(IF(N10&lt;W10,0,IF(N10&gt;X10,0,1)))=0,1)</formula>
    </cfRule>
  </conditionalFormatting>
  <conditionalFormatting sqref="P6">
    <cfRule type="cellIs" dxfId="2948" priority="166" operator="greaterThanOrEqual">
      <formula>19</formula>
    </cfRule>
  </conditionalFormatting>
  <dataValidations disablePrompts="1" count="1">
    <dataValidation type="list" allowBlank="1" showInputMessage="1" showErrorMessage="1" sqref="R8" xr:uid="{E5C00BB7-278D-436D-97B8-B70AAA95246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FFFA-FE23-4992-BF8E-F2D35C922E62}">
  <sheetPr>
    <pageSetUpPr fitToPage="1"/>
  </sheetPr>
  <dimension ref="A1:BE74"/>
  <sheetViews>
    <sheetView topLeftCell="A23" zoomScale="80" zoomScaleNormal="80" workbookViewId="0">
      <selection activeCell="B18" sqref="B18:O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46000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4" t="s">
        <v>12</v>
      </c>
      <c r="C10" s="366" t="str">
        <f>[25]Brewhouse!$A125</f>
        <v>GU112</v>
      </c>
      <c r="D10" s="279">
        <f>[25]Brewhouse!$AF125</f>
        <v>51.4</v>
      </c>
      <c r="E10" s="279">
        <f>[25]Brewhouse!$AI125</f>
        <v>50.4</v>
      </c>
      <c r="F10" s="278">
        <f>[25]Brewhouse!$V125</f>
        <v>56</v>
      </c>
      <c r="G10" s="279">
        <f>[25]Brewhouse!$AG125</f>
        <v>17.100000000000001</v>
      </c>
      <c r="H10" s="396">
        <v>17.100000000000001</v>
      </c>
      <c r="I10" s="488">
        <f>[25]Brewhouse!$AU125</f>
        <v>94.301648328514517</v>
      </c>
      <c r="J10" s="488">
        <f>[25]Brewhouse!$AV125</f>
        <v>94.40311667008406</v>
      </c>
      <c r="K10" s="493">
        <f>[25]Brewhouse!$R125</f>
        <v>10.303030303030305</v>
      </c>
      <c r="L10" s="276">
        <f>[25]Brewhouse!$O125</f>
        <v>55</v>
      </c>
      <c r="M10" s="374">
        <f>[25]Brewhouse!$U125-[25]Brewhouse!$T125</f>
        <v>0.13541666666666663</v>
      </c>
      <c r="N10" s="370">
        <f>[25]Brewhouse!$Z125</f>
        <v>0.28333333333333333</v>
      </c>
      <c r="O10" s="420" t="str">
        <f>[25]Brewhouse!$AW125</f>
        <v>R. Sookram</v>
      </c>
      <c r="P10" s="418"/>
      <c r="R10" s="277" t="str">
        <f t="shared" ref="R10:R36" si="0">B10</f>
        <v>GUINNESS</v>
      </c>
      <c r="S10" s="475">
        <f t="shared" ref="S10:S36" si="1">VLOOKUP($B10,$R$3:$X$9,2,FALSE)</f>
        <v>17</v>
      </c>
      <c r="T10" s="475">
        <f t="shared" ref="T10:T36" si="2">VLOOKUP($B10,$R$3:$X$9,3,FALSE)</f>
        <v>17.5</v>
      </c>
      <c r="U10" s="297">
        <f t="shared" ref="U10:U36" si="3">VLOOKUP($B10,$R$3:$X$9,4,FALSE)</f>
        <v>0</v>
      </c>
      <c r="V10" s="297">
        <f t="shared" ref="V10:V36" si="4">VLOOKUP($B10,$R$3:$X$9,5,FALSE)</f>
        <v>0.1076388888888889</v>
      </c>
      <c r="W10" s="297">
        <f t="shared" ref="W10:W36" si="5">VLOOKUP($B10,$R$3:$X$9,6,FALSE)</f>
        <v>0.24652777777777779</v>
      </c>
      <c r="X10" s="297">
        <f t="shared" ref="X10:X36" si="6">VLOOKUP($B10,$R$3:$X$9,7,FALSE)</f>
        <v>0.28472222222222221</v>
      </c>
      <c r="Y10" s="297">
        <f t="shared" ref="Y10:Y36" si="7">VLOOKUP($B10,$R$3:$Z$9,8,FALSE)</f>
        <v>0</v>
      </c>
      <c r="Z10" s="475">
        <f t="shared" ref="Z10:Z36" si="8">VLOOKUP($B10,$R$3:$Z$9,9,FALSE)</f>
        <v>60</v>
      </c>
    </row>
    <row r="11" spans="2:29" ht="16.5" customHeight="1">
      <c r="B11" s="34" t="s">
        <v>12</v>
      </c>
      <c r="C11" s="366" t="str">
        <f>[25]Brewhouse!$A126</f>
        <v>GU113</v>
      </c>
      <c r="D11" s="279">
        <f>[25]Brewhouse!$AF126</f>
        <v>52.8</v>
      </c>
      <c r="E11" s="279">
        <f>[25]Brewhouse!$AI126</f>
        <v>51.8</v>
      </c>
      <c r="F11" s="278">
        <f>[25]Brewhouse!$V126</f>
        <v>61</v>
      </c>
      <c r="G11" s="279">
        <f>[25]Brewhouse!$AG126</f>
        <v>17.3</v>
      </c>
      <c r="H11" s="396">
        <v>17.3</v>
      </c>
      <c r="I11" s="488">
        <f>[25]Brewhouse!$AU126</f>
        <v>98.375820642000406</v>
      </c>
      <c r="J11" s="488">
        <f>[25]Brewhouse!$AV126</f>
        <v>98.481617552603851</v>
      </c>
      <c r="K11" s="493">
        <f>[25]Brewhouse!$R126</f>
        <v>11.214285714285717</v>
      </c>
      <c r="L11" s="276">
        <f>[25]Brewhouse!$O126</f>
        <v>55</v>
      </c>
      <c r="M11" s="374">
        <f>[25]Brewhouse!$U126-[25]Brewhouse!$T126</f>
        <v>0.11736111111111103</v>
      </c>
      <c r="N11" s="370">
        <f>[25]Brewhouse!$Z126</f>
        <v>0.35624999999999996</v>
      </c>
      <c r="O11" s="420" t="str">
        <f>[25]Brewhouse!$AW126</f>
        <v>R. Sookram</v>
      </c>
      <c r="P11" s="418"/>
      <c r="R11" s="277" t="str">
        <f t="shared" si="0"/>
        <v>GUINNESS</v>
      </c>
      <c r="S11" s="475">
        <f t="shared" si="1"/>
        <v>17</v>
      </c>
      <c r="T11" s="475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5">
        <f t="shared" si="8"/>
        <v>60</v>
      </c>
    </row>
    <row r="12" spans="2:29" ht="16.5" customHeight="1">
      <c r="B12" s="34" t="s">
        <v>12</v>
      </c>
      <c r="C12" s="366" t="str">
        <f>[25]Brewhouse!$A127</f>
        <v>GU114</v>
      </c>
      <c r="D12" s="279">
        <f>[25]Brewhouse!$AF127</f>
        <v>52.1</v>
      </c>
      <c r="E12" s="279">
        <f>[25]Brewhouse!$AI127</f>
        <v>51.1</v>
      </c>
      <c r="F12" s="278">
        <f>[25]Brewhouse!$V127</f>
        <v>59</v>
      </c>
      <c r="G12" s="279">
        <f>[25]Brewhouse!$AG127</f>
        <v>17.399999999999999</v>
      </c>
      <c r="H12" s="396">
        <v>17.2</v>
      </c>
      <c r="I12" s="488">
        <f>[25]Brewhouse!$AU127</f>
        <v>97.468157975369934</v>
      </c>
      <c r="J12" s="488">
        <f>[25]Brewhouse!$AV127</f>
        <v>97.573015262280364</v>
      </c>
      <c r="K12" s="493">
        <f>[25]Brewhouse!$R127</f>
        <v>8.892857142857137</v>
      </c>
      <c r="L12" s="276">
        <f>[25]Brewhouse!$O127</f>
        <v>59</v>
      </c>
      <c r="M12" s="374">
        <f>[25]Brewhouse!$U127-[25]Brewhouse!$T127</f>
        <v>0.12152777777777779</v>
      </c>
      <c r="N12" s="370">
        <f>[25]Brewhouse!$Z127</f>
        <v>0.30972222222222229</v>
      </c>
      <c r="O12" s="420" t="str">
        <f>[25]Brewhouse!$AW127</f>
        <v>K. Benjamin</v>
      </c>
      <c r="P12" s="418"/>
      <c r="R12" s="277" t="str">
        <f t="shared" si="0"/>
        <v>GUINNESS</v>
      </c>
      <c r="S12" s="475">
        <f t="shared" si="1"/>
        <v>17</v>
      </c>
      <c r="T12" s="475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5">
        <f t="shared" si="8"/>
        <v>60</v>
      </c>
    </row>
    <row r="13" spans="2:29" ht="16.5" customHeight="1">
      <c r="B13" s="34" t="s">
        <v>12</v>
      </c>
      <c r="C13" s="366" t="str">
        <f>[25]Brewhouse!$A128</f>
        <v>GU115</v>
      </c>
      <c r="D13" s="279">
        <f>[25]Brewhouse!$AF128</f>
        <v>51.5</v>
      </c>
      <c r="E13" s="279">
        <f>[25]Brewhouse!$AI128</f>
        <v>50.4</v>
      </c>
      <c r="F13" s="278">
        <f>[25]Brewhouse!$V128</f>
        <v>54</v>
      </c>
      <c r="G13" s="279">
        <f>[25]Brewhouse!$AG128</f>
        <v>17.3</v>
      </c>
      <c r="H13" s="396">
        <v>17.3</v>
      </c>
      <c r="I13" s="488">
        <f>[25]Brewhouse!$AU128</f>
        <v>95.640824171323942</v>
      </c>
      <c r="J13" s="488">
        <f>[25]Brewhouse!$AV128</f>
        <v>95.743697694716857</v>
      </c>
      <c r="K13" s="493">
        <f>[25]Brewhouse!$R128</f>
        <v>9.9642857142857117</v>
      </c>
      <c r="L13" s="276">
        <f>[25]Brewhouse!$O128</f>
        <v>60</v>
      </c>
      <c r="M13" s="374">
        <f>[25]Brewhouse!$U128-[25]Brewhouse!$T128</f>
        <v>0.1118055555555556</v>
      </c>
      <c r="N13" s="370">
        <f>[25]Brewhouse!$Z128</f>
        <v>0.27013888888888893</v>
      </c>
      <c r="O13" s="420" t="str">
        <f>[25]Brewhouse!$AW128</f>
        <v>K. Benjamin</v>
      </c>
      <c r="P13" s="418"/>
      <c r="R13" s="277" t="str">
        <f t="shared" si="0"/>
        <v>GUINNESS</v>
      </c>
      <c r="S13" s="475">
        <f t="shared" si="1"/>
        <v>17</v>
      </c>
      <c r="T13" s="475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5">
        <f t="shared" si="8"/>
        <v>60</v>
      </c>
    </row>
    <row r="14" spans="2:29" ht="16.5" customHeight="1">
      <c r="B14" s="34" t="s">
        <v>12</v>
      </c>
      <c r="C14" s="366" t="str">
        <f>[25]Brewhouse!$A129</f>
        <v>GU116</v>
      </c>
      <c r="D14" s="279">
        <f>[25]Brewhouse!$AF129</f>
        <v>54.2</v>
      </c>
      <c r="E14" s="279">
        <f>[25]Brewhouse!$AI129</f>
        <v>51.5</v>
      </c>
      <c r="F14" s="278">
        <f>[25]Brewhouse!$V129</f>
        <v>63</v>
      </c>
      <c r="G14" s="279">
        <f>[25]Brewhouse!$AG129</f>
        <v>17.399999999999999</v>
      </c>
      <c r="H14" s="396">
        <v>17.399999999999999</v>
      </c>
      <c r="I14" s="488">
        <f>[25]Brewhouse!$AU129</f>
        <v>98.466067336601881</v>
      </c>
      <c r="J14" s="488">
        <f>[25]Brewhouse!$AV129</f>
        <v>98.571942816003286</v>
      </c>
      <c r="K14" s="493">
        <f>[25]Brewhouse!$R129</f>
        <v>7.8214285714285641</v>
      </c>
      <c r="L14" s="276">
        <f>[25]Brewhouse!$O129</f>
        <v>60</v>
      </c>
      <c r="M14" s="374">
        <f>[25]Brewhouse!$U129-[25]Brewhouse!$T129</f>
        <v>0.12916666666666665</v>
      </c>
      <c r="N14" s="370">
        <f>[25]Brewhouse!$Z129</f>
        <v>0.28194444444444444</v>
      </c>
      <c r="O14" s="420" t="str">
        <f>[25]Brewhouse!$AW129</f>
        <v>K. Benjamin</v>
      </c>
      <c r="P14" s="418"/>
      <c r="R14" s="277" t="str">
        <f t="shared" si="0"/>
        <v>GUINNESS</v>
      </c>
      <c r="S14" s="475">
        <f t="shared" si="1"/>
        <v>17</v>
      </c>
      <c r="T14" s="475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5">
        <f t="shared" si="8"/>
        <v>60</v>
      </c>
    </row>
    <row r="15" spans="2:29" ht="16.5" customHeight="1">
      <c r="B15" s="34" t="s">
        <v>12</v>
      </c>
      <c r="C15" s="366" t="str">
        <f>[25]Brewhouse!$A130</f>
        <v>GU117</v>
      </c>
      <c r="D15" s="279">
        <f>[25]Brewhouse!$AF130</f>
        <v>52.2</v>
      </c>
      <c r="E15" s="279">
        <f>[25]Brewhouse!$AI130</f>
        <v>48.9</v>
      </c>
      <c r="F15" s="278">
        <f>[25]Brewhouse!$V130</f>
        <v>58</v>
      </c>
      <c r="G15" s="279">
        <f>[25]Brewhouse!$AG130</f>
        <v>17.2</v>
      </c>
      <c r="H15" s="396">
        <v>17.2</v>
      </c>
      <c r="I15" s="488">
        <f>[25]Brewhouse!$AU130</f>
        <v>92.192461637012954</v>
      </c>
      <c r="J15" s="488">
        <f>[25]Brewhouse!$AV130</f>
        <v>92.291626020434364</v>
      </c>
      <c r="K15" s="493">
        <f>[25]Brewhouse!$R130</f>
        <v>5.333333333333325</v>
      </c>
      <c r="L15" s="276">
        <f>[25]Brewhouse!$O130</f>
        <v>0</v>
      </c>
      <c r="M15" s="374">
        <f>[25]Brewhouse!$U130-[25]Brewhouse!$T130</f>
        <v>0.11875000000000002</v>
      </c>
      <c r="N15" s="370">
        <f>[25]Brewhouse!$Z130</f>
        <v>0.26666666666666661</v>
      </c>
      <c r="O15" s="420" t="str">
        <f>[25]Brewhouse!$AW130</f>
        <v>K. Benjamin</v>
      </c>
      <c r="P15" s="418"/>
      <c r="R15" s="277" t="str">
        <f t="shared" si="0"/>
        <v>GUINNESS</v>
      </c>
      <c r="S15" s="475">
        <f t="shared" si="1"/>
        <v>17</v>
      </c>
      <c r="T15" s="475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5">
        <f t="shared" si="8"/>
        <v>60</v>
      </c>
    </row>
    <row r="16" spans="2:29" ht="16.5" customHeight="1">
      <c r="B16" s="34" t="s">
        <v>12</v>
      </c>
      <c r="C16" s="366" t="str">
        <f>[25]Brewhouse!$A131</f>
        <v>GU118</v>
      </c>
      <c r="D16" s="279">
        <f>[25]Brewhouse!$AF131</f>
        <v>52.8</v>
      </c>
      <c r="E16" s="279">
        <f>[25]Brewhouse!$AI131</f>
        <v>51.1</v>
      </c>
      <c r="F16" s="278">
        <f>[25]Brewhouse!$V131</f>
        <v>61</v>
      </c>
      <c r="G16" s="279">
        <f>[25]Brewhouse!$AG131</f>
        <v>17.399999999999999</v>
      </c>
      <c r="H16" s="396">
        <v>17.399999999999999</v>
      </c>
      <c r="I16" s="488">
        <f>[25]Brewhouse!$AU131</f>
        <v>97.468157975369934</v>
      </c>
      <c r="J16" s="488">
        <f>[25]Brewhouse!$AV131</f>
        <v>97.573015262280364</v>
      </c>
      <c r="K16" s="493">
        <f>[25]Brewhouse!$R131</f>
        <v>4.6792452830188616</v>
      </c>
      <c r="L16" s="276">
        <f>[25]Brewhouse!$O131</f>
        <v>59</v>
      </c>
      <c r="M16" s="374">
        <f>[25]Brewhouse!$U131-[25]Brewhouse!$T131</f>
        <v>0.11805555555555558</v>
      </c>
      <c r="N16" s="370">
        <f>[25]Brewhouse!$Z131</f>
        <v>0.25624999999999998</v>
      </c>
      <c r="O16" s="420" t="str">
        <f>[25]Brewhouse!$AW131</f>
        <v>R. Regis</v>
      </c>
      <c r="P16" s="418"/>
      <c r="R16" s="277" t="str">
        <f t="shared" si="0"/>
        <v>GUINNESS</v>
      </c>
      <c r="S16" s="475">
        <f t="shared" si="1"/>
        <v>17</v>
      </c>
      <c r="T16" s="475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5">
        <f t="shared" si="8"/>
        <v>60</v>
      </c>
    </row>
    <row r="17" spans="1:27" ht="16.5" customHeight="1">
      <c r="B17" s="489">
        <v>46000</v>
      </c>
      <c r="C17" s="366"/>
      <c r="D17" s="279"/>
      <c r="E17" s="279"/>
      <c r="F17" s="278"/>
      <c r="G17" s="279"/>
      <c r="H17" s="396"/>
      <c r="I17" s="488"/>
      <c r="J17" s="488"/>
      <c r="K17" s="493"/>
      <c r="L17" s="276"/>
      <c r="M17" s="374"/>
      <c r="N17" s="370"/>
      <c r="O17" s="420"/>
      <c r="P17" s="418"/>
      <c r="R17" s="277"/>
      <c r="S17" s="475"/>
      <c r="T17" s="475"/>
      <c r="U17" s="297"/>
      <c r="V17" s="297"/>
      <c r="W17" s="297"/>
      <c r="X17" s="297"/>
      <c r="Y17" s="297"/>
      <c r="Z17" s="475"/>
    </row>
    <row r="18" spans="1:27" ht="16.5" customHeight="1">
      <c r="B18" s="34" t="s">
        <v>12</v>
      </c>
      <c r="C18" s="366" t="str">
        <f>[25]Brewhouse!$A132</f>
        <v>GU119</v>
      </c>
      <c r="D18" s="279">
        <f>[25]Brewhouse!$AF132</f>
        <v>53.7</v>
      </c>
      <c r="E18" s="279">
        <f>[25]Brewhouse!$AI132</f>
        <v>52</v>
      </c>
      <c r="F18" s="278">
        <f>[25]Brewhouse!$V132</f>
        <v>64</v>
      </c>
      <c r="G18" s="279">
        <f>[25]Brewhouse!$AG132</f>
        <v>17.2</v>
      </c>
      <c r="H18" s="396">
        <v>17.2</v>
      </c>
      <c r="I18" s="488">
        <f>[25]Brewhouse!$AU132</f>
        <v>97.881147216858494</v>
      </c>
      <c r="J18" s="488">
        <f>[25]Brewhouse!$AV132</f>
        <v>97.986467090424441</v>
      </c>
      <c r="K18" s="493">
        <f>[25]Brewhouse!$R132</f>
        <v>7.47252747252747</v>
      </c>
      <c r="L18" s="276">
        <f>[25]Brewhouse!$O132</f>
        <v>58</v>
      </c>
      <c r="M18" s="374">
        <f>[25]Brewhouse!$U132-[25]Brewhouse!$T132</f>
        <v>0.11458333333333337</v>
      </c>
      <c r="N18" s="370">
        <f>[25]Brewhouse!$Z132</f>
        <v>0.2479166666666667</v>
      </c>
      <c r="O18" s="420" t="str">
        <f>[25]Brewhouse!$AW132</f>
        <v>R. Regis</v>
      </c>
      <c r="P18" s="418"/>
      <c r="R18" s="277" t="str">
        <f t="shared" si="0"/>
        <v>GUINNESS</v>
      </c>
      <c r="S18" s="475">
        <f t="shared" si="1"/>
        <v>17</v>
      </c>
      <c r="T18" s="475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5">
        <f t="shared" si="8"/>
        <v>60</v>
      </c>
    </row>
    <row r="19" spans="1:27" ht="16.5" customHeight="1">
      <c r="B19" s="34"/>
      <c r="C19" s="366"/>
      <c r="D19" s="279"/>
      <c r="E19" s="279"/>
      <c r="F19" s="278"/>
      <c r="G19" s="279"/>
      <c r="H19" s="396"/>
      <c r="I19" s="488"/>
      <c r="J19" s="488"/>
      <c r="K19" s="493"/>
      <c r="L19" s="276"/>
      <c r="M19" s="374"/>
      <c r="N19" s="370"/>
      <c r="O19" s="420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469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28"/>
      <c r="J23" s="528"/>
      <c r="K23" s="528"/>
      <c r="L23" s="528"/>
      <c r="M23" s="528"/>
      <c r="N23" s="528"/>
      <c r="O23" s="1"/>
      <c r="P23" s="12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5.75" customHeight="1" thickBot="1">
      <c r="B24" s="388" t="s">
        <v>162</v>
      </c>
      <c r="C24" s="388"/>
      <c r="D24" s="506" t="s">
        <v>35</v>
      </c>
      <c r="E24" s="50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" customHeight="1">
      <c r="A25" s="28"/>
      <c r="B25" s="596" t="str">
        <f>I27</f>
        <v>GUINNESS</v>
      </c>
      <c r="C25" s="362" cm="1">
        <f t="array" ref="C25:C32">[25]Process!$D$128:$D$135</f>
        <v>17.2</v>
      </c>
      <c r="D25" s="532">
        <v>17.8</v>
      </c>
      <c r="E25" s="533"/>
      <c r="F25" s="294"/>
      <c r="G25" s="294"/>
      <c r="H25" s="348"/>
      <c r="I25" s="29" t="s">
        <v>6</v>
      </c>
      <c r="J25" s="280"/>
      <c r="K25" s="284">
        <f>COUNTA([23]Brewhouse!$A$1005:$A$1006)</f>
        <v>2</v>
      </c>
      <c r="L25" s="305">
        <f>AVERAGE([23]Brewhouse!$AU$1005:$AU$1006)</f>
        <v>100.68772057446319</v>
      </c>
      <c r="M2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$1006)</f>
        <v>97.759080438938355</v>
      </c>
      <c r="N25" s="30">
        <v>98</v>
      </c>
      <c r="O25" s="11"/>
      <c r="P25" s="31"/>
      <c r="R25" s="277" t="str">
        <f t="shared" si="0"/>
        <v>GUINNESS</v>
      </c>
      <c r="S25" s="475">
        <f t="shared" si="1"/>
        <v>17</v>
      </c>
      <c r="T25" s="475">
        <f t="shared" si="2"/>
        <v>17.5</v>
      </c>
      <c r="U25" s="297">
        <f t="shared" si="3"/>
        <v>0</v>
      </c>
      <c r="V25" s="297">
        <f t="shared" si="4"/>
        <v>0.1076388888888889</v>
      </c>
      <c r="W25" s="297">
        <f t="shared" si="5"/>
        <v>0.24652777777777779</v>
      </c>
      <c r="X25" s="297">
        <f t="shared" si="6"/>
        <v>0.28472222222222221</v>
      </c>
      <c r="Y25" s="297">
        <f t="shared" si="7"/>
        <v>0</v>
      </c>
      <c r="Z25" s="475">
        <f t="shared" si="8"/>
        <v>60</v>
      </c>
    </row>
    <row r="26" spans="1:27" ht="15" customHeight="1">
      <c r="A26" s="28"/>
      <c r="B26" s="597"/>
      <c r="C26" s="362">
        <v>17</v>
      </c>
      <c r="D26" s="534"/>
      <c r="E26" s="535"/>
      <c r="F26" s="294"/>
      <c r="G26" s="294"/>
      <c r="H26" s="348"/>
      <c r="I26" s="33" t="s">
        <v>9</v>
      </c>
      <c r="J26" s="280"/>
      <c r="K26" s="284">
        <f>COUNTA([24]Brewhouse!$A$486:$A$503)</f>
        <v>18</v>
      </c>
      <c r="L26" s="302">
        <f>AVERAGE([24]Brewhouse!$AS$486:$AS$503)</f>
        <v>96.253728965319596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$503)</f>
        <v>97.787421114961489</v>
      </c>
      <c r="N26" s="30">
        <v>98</v>
      </c>
      <c r="O26" s="11"/>
      <c r="P26" s="31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4.65" customHeight="1">
      <c r="A27" s="28"/>
      <c r="B27" s="597"/>
      <c r="C27" s="362">
        <v>17.3</v>
      </c>
      <c r="D27" s="580">
        <v>17.66</v>
      </c>
      <c r="E27" s="581"/>
      <c r="F27" s="294"/>
      <c r="G27" s="294"/>
      <c r="H27" s="348"/>
      <c r="I27" s="34" t="s">
        <v>12</v>
      </c>
      <c r="J27" s="280">
        <f>AVERAGE(I10:I16)</f>
        <v>96.273305438027663</v>
      </c>
      <c r="K27" s="284">
        <f>COUNTA([25]Brewhouse!$A$125:$A$132)</f>
        <v>8</v>
      </c>
      <c r="L27" s="302">
        <f>AVERAGE([25]Brewhouse!$AU$125:$AU$132)</f>
        <v>96.474285660381511</v>
      </c>
      <c r="M27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4.65" customHeight="1">
      <c r="A28" s="28"/>
      <c r="B28" s="597"/>
      <c r="C28" s="362">
        <v>17.399999999999999</v>
      </c>
      <c r="D28" s="547"/>
      <c r="E28" s="535"/>
      <c r="F28" s="294"/>
      <c r="G28" s="294"/>
      <c r="H28" s="348"/>
      <c r="I28" s="22" t="s">
        <v>33</v>
      </c>
      <c r="J28" s="280"/>
      <c r="K28" s="284">
        <f>COUNTA([22]Brewhouse!$A$107:$A$116)</f>
        <v>10</v>
      </c>
      <c r="L28" s="302">
        <f>AVERAGE([22]Brewhouse!$AV$107:$AV$116)</f>
        <v>97.093478275115658</v>
      </c>
      <c r="M28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97"/>
      <c r="C29" s="362">
        <v>17.3</v>
      </c>
      <c r="D29" s="580">
        <v>17.420000000000002</v>
      </c>
      <c r="E29" s="58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97"/>
      <c r="C30" s="362">
        <v>17.3</v>
      </c>
      <c r="D30" s="547"/>
      <c r="E30" s="535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4.65" customHeight="1">
      <c r="A31" s="28"/>
      <c r="B31" s="597"/>
      <c r="C31" s="362">
        <v>17.3</v>
      </c>
      <c r="D31" s="580">
        <v>17.53</v>
      </c>
      <c r="E31" s="581"/>
      <c r="F31" s="417"/>
      <c r="G31" s="294"/>
      <c r="H31" s="348"/>
      <c r="I31" s="37" t="s">
        <v>16</v>
      </c>
      <c r="J31" s="323"/>
      <c r="K31" s="284">
        <f>COUNTA([27]Brewhouse!$A$99:$A$108)</f>
        <v>10</v>
      </c>
      <c r="L31" s="302">
        <f>AVERAGE([27]Brewhouse!$AY$99:$AY$108)</f>
        <v>97.413703162837948</v>
      </c>
      <c r="M31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31" s="30">
        <v>98</v>
      </c>
      <c r="O31" s="11"/>
      <c r="P31" s="31" t="s">
        <v>41</v>
      </c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4.65" customHeight="1">
      <c r="A32" s="28"/>
      <c r="B32" s="597"/>
      <c r="C32" s="362">
        <v>17.899999999999999</v>
      </c>
      <c r="D32" s="547"/>
      <c r="E32" s="535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97"/>
      <c r="C33" s="349"/>
      <c r="D33" s="580"/>
      <c r="E33" s="581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5" customHeight="1" thickBot="1">
      <c r="A34" s="28"/>
      <c r="B34" s="597"/>
      <c r="C34" s="349"/>
      <c r="D34" s="547"/>
      <c r="E34" s="535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5" customHeight="1" thickBot="1">
      <c r="A35" s="28"/>
      <c r="B35" s="597"/>
      <c r="C35" s="349"/>
      <c r="D35" s="532"/>
      <c r="E35" s="533"/>
      <c r="F35" s="294"/>
      <c r="G35" s="294"/>
      <c r="H35" s="348"/>
      <c r="I35" s="1"/>
      <c r="J35" s="39"/>
      <c r="K35" s="404">
        <f>SUM(K25:K34)</f>
        <v>48</v>
      </c>
      <c r="L35" s="405">
        <f>((L25*K25)+(L26*K26)+(L27*K27)+(L28*K28)+(L29*K29)+(K32*L32)+(L30*K30)+(L31*K31)+(L34*K34))/(K35)</f>
        <v>96.891847128901404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97.507134952571931</v>
      </c>
      <c r="N35" s="40">
        <v>98</v>
      </c>
      <c r="O35" s="11"/>
      <c r="P35" s="31"/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.75" thickBot="1">
      <c r="B36" s="598"/>
      <c r="C36" s="350"/>
      <c r="D36" s="534"/>
      <c r="E36" s="53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.75" thickBot="1">
      <c r="B37" s="529"/>
      <c r="C37" s="362"/>
      <c r="D37" s="545"/>
      <c r="E37" s="546"/>
      <c r="F37" s="294"/>
      <c r="G37" s="42"/>
      <c r="H37" s="41"/>
      <c r="I37" s="42"/>
      <c r="J37" s="579" t="s">
        <v>129</v>
      </c>
      <c r="K37" s="579"/>
      <c r="L37" s="294"/>
      <c r="M37" s="294"/>
      <c r="N37" s="294"/>
      <c r="O37" s="294"/>
      <c r="P37" s="12"/>
    </row>
    <row r="38" spans="1:56" ht="15.75" thickBot="1">
      <c r="B38" s="530"/>
      <c r="C38" s="362"/>
      <c r="D38" s="547"/>
      <c r="E38" s="535"/>
      <c r="F38" s="294"/>
      <c r="G38" s="42"/>
      <c r="H38" s="42"/>
      <c r="I38" s="42"/>
      <c r="J38" s="292" t="s">
        <v>17</v>
      </c>
      <c r="K38" s="293" t="s">
        <v>147</v>
      </c>
      <c r="L38" s="549" t="s">
        <v>136</v>
      </c>
      <c r="M38" s="549"/>
      <c r="N38" s="550"/>
      <c r="O38" s="294"/>
      <c r="P38" s="12"/>
    </row>
    <row r="39" spans="1:56" ht="15" customHeight="1" thickBot="1">
      <c r="B39" s="530"/>
      <c r="C39" s="349"/>
      <c r="D39" s="580"/>
      <c r="E39" s="581"/>
      <c r="F39" s="294"/>
      <c r="G39" s="42"/>
      <c r="H39" s="42"/>
      <c r="I39" s="42"/>
      <c r="J39" s="287" t="s">
        <v>6</v>
      </c>
      <c r="K39" s="324"/>
      <c r="L39" s="476" t="s">
        <v>37</v>
      </c>
      <c r="M39" s="477" t="s">
        <v>38</v>
      </c>
      <c r="N39" s="477" t="s">
        <v>84</v>
      </c>
      <c r="O39" s="294"/>
      <c r="P39" s="12"/>
    </row>
    <row r="40" spans="1:56" ht="15.75" customHeight="1" thickBot="1">
      <c r="B40" s="530"/>
      <c r="C40" s="349"/>
      <c r="D40" s="547"/>
      <c r="E40" s="535"/>
      <c r="F40" s="294"/>
      <c r="G40" s="42"/>
      <c r="H40" s="42"/>
      <c r="I40" s="42"/>
      <c r="J40" s="345" t="s">
        <v>9</v>
      </c>
      <c r="K40" s="324"/>
      <c r="L40" s="344">
        <f>AVERAGE('Dec 1st'!K43,'Dec 2nd'!K49,'Dec 3rd '!K58,'Dec 4th'!K51,'Dec 5th-7th'!I70,'Dec 5th-7th'!J70,'Dec 5th-7th'!K70,'Dec 8th '!K49)</f>
        <v>5.875</v>
      </c>
      <c r="M40" s="325">
        <f>AVERAGE('[31]Jan 29th '!$M$70,'[32]Feb 28th'!$L$40,'[33]Mar. 31st'!$L$40,'[34]Apr. 30th'!$L$50,'[35]May 30th'!$L$42,'[36]June 30th'!$L$62,'[37]July 29th '!$L$49,'[38]Aug 29th'!$L$34,'[39]Sept 30th'!$L$40,[40]Oct.31st!$L$43,'[41]Nov 28th-30th'!$L$45,L40)</f>
        <v>6.8791144178729988</v>
      </c>
      <c r="N40" s="416">
        <v>9.1999999999999993</v>
      </c>
      <c r="O40" s="294"/>
      <c r="P40" s="12"/>
    </row>
    <row r="41" spans="1:56" ht="15" customHeight="1">
      <c r="B41" s="530"/>
      <c r="C41" s="349"/>
      <c r="D41" s="580"/>
      <c r="E41" s="581"/>
      <c r="F41" s="294"/>
      <c r="G41" s="42"/>
      <c r="H41" s="42"/>
      <c r="I41" s="42"/>
      <c r="J41" s="288" t="s">
        <v>40</v>
      </c>
      <c r="K41" s="324">
        <v>7</v>
      </c>
      <c r="L41" s="294"/>
      <c r="M41" s="294"/>
      <c r="N41" s="294"/>
      <c r="O41" s="294"/>
      <c r="P41" s="12"/>
    </row>
    <row r="42" spans="1:56" ht="15" customHeight="1">
      <c r="B42" s="530"/>
      <c r="C42" s="349"/>
      <c r="D42" s="547"/>
      <c r="E42" s="535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30"/>
      <c r="C43" s="349"/>
      <c r="D43" s="580"/>
      <c r="E43" s="58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0"/>
      <c r="C44" s="349"/>
      <c r="D44" s="547"/>
      <c r="E44" s="53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30"/>
      <c r="C45" s="349"/>
      <c r="D45" s="580"/>
      <c r="E45" s="58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1"/>
      <c r="C46" s="350"/>
      <c r="D46" s="582"/>
      <c r="E46" s="58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7"/>
      <c r="E47" s="578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57" t="s">
        <v>17</v>
      </c>
      <c r="C52" s="557" t="s">
        <v>44</v>
      </c>
      <c r="D52" s="559" t="s">
        <v>45</v>
      </c>
      <c r="E52" s="514" t="s">
        <v>46</v>
      </c>
      <c r="F52" s="574" t="s">
        <v>47</v>
      </c>
      <c r="G52" s="568" t="s">
        <v>48</v>
      </c>
      <c r="H52" s="557" t="s">
        <v>49</v>
      </c>
      <c r="I52" s="557" t="s">
        <v>50</v>
      </c>
      <c r="J52" s="562" t="s">
        <v>28</v>
      </c>
      <c r="K52" s="512" t="s">
        <v>51</v>
      </c>
      <c r="L52" s="524" t="s">
        <v>52</v>
      </c>
      <c r="M52" s="562" t="s">
        <v>53</v>
      </c>
      <c r="N52" s="13"/>
      <c r="O52" s="13"/>
      <c r="P52" s="50"/>
    </row>
    <row r="53" spans="2:57" ht="28.5" customHeight="1" thickTop="1" thickBot="1">
      <c r="B53" s="558"/>
      <c r="C53" s="558"/>
      <c r="D53" s="560"/>
      <c r="E53" s="561"/>
      <c r="F53" s="575"/>
      <c r="G53" s="569"/>
      <c r="H53" s="576"/>
      <c r="I53" s="576"/>
      <c r="J53" s="563"/>
      <c r="K53" s="572"/>
      <c r="L53" s="573"/>
      <c r="M53" s="563"/>
      <c r="N53" s="13"/>
      <c r="O53" s="13"/>
      <c r="P53" s="50"/>
      <c r="Q53" s="355"/>
      <c r="AB53" s="478">
        <v>43474</v>
      </c>
      <c r="AC53" s="478">
        <v>43475</v>
      </c>
      <c r="AD53" s="478">
        <v>43476</v>
      </c>
      <c r="AE53" s="478">
        <v>43477</v>
      </c>
      <c r="AF53" s="478">
        <v>43478</v>
      </c>
      <c r="AG53" s="478">
        <v>43479</v>
      </c>
      <c r="AH53" s="478">
        <v>43480</v>
      </c>
      <c r="AI53" s="478">
        <v>43481</v>
      </c>
      <c r="AJ53" s="478">
        <v>43482</v>
      </c>
      <c r="AK53" s="478">
        <v>43483</v>
      </c>
      <c r="AL53" s="478">
        <v>43484</v>
      </c>
      <c r="AM53" s="478">
        <v>43485</v>
      </c>
      <c r="AN53" s="478">
        <v>43486</v>
      </c>
      <c r="AO53" s="478">
        <v>43487</v>
      </c>
      <c r="AP53" s="478">
        <v>43488</v>
      </c>
      <c r="AQ53" s="478">
        <v>43489</v>
      </c>
      <c r="AR53" s="478">
        <v>43490</v>
      </c>
      <c r="AS53" s="478">
        <v>43491</v>
      </c>
      <c r="AT53" s="478">
        <v>43492</v>
      </c>
      <c r="AU53" s="478">
        <v>43493</v>
      </c>
      <c r="AV53" s="478">
        <v>43494</v>
      </c>
      <c r="AW53" s="478">
        <v>43495</v>
      </c>
      <c r="AX53" s="478">
        <v>43496</v>
      </c>
    </row>
    <row r="54" spans="2:57" s="54" customFormat="1" ht="43.15" customHeight="1" thickBot="1">
      <c r="B54" s="492" t="str">
        <f>I27</f>
        <v>GUINNESS</v>
      </c>
      <c r="C54" s="441">
        <v>45999</v>
      </c>
      <c r="D54" s="442">
        <f>[42]December_2025!$K$23</f>
        <v>403.09999999999997</v>
      </c>
      <c r="E54" s="443"/>
      <c r="F54" s="444">
        <f>[44]GUINNESS!$S$6</f>
        <v>9</v>
      </c>
      <c r="G54" s="444">
        <f>[42]December_2025!$K$28</f>
        <v>360.1</v>
      </c>
      <c r="H54" s="458"/>
      <c r="I54" s="458"/>
      <c r="J54" s="448" t="s">
        <v>172</v>
      </c>
      <c r="K54" s="449">
        <f>[43]December_2025!$K$32</f>
        <v>0.31587719298245615</v>
      </c>
      <c r="L54" s="457">
        <f>(((D54+E54)-G54)/(D54+E54))*100</f>
        <v>10.667328206400384</v>
      </c>
      <c r="M54" s="455" t="s">
        <v>184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6"/>
      <c r="C56" s="441"/>
      <c r="D56" s="442"/>
      <c r="E56" s="443"/>
      <c r="F56" s="444"/>
      <c r="G56" s="445"/>
      <c r="H56" s="458"/>
      <c r="I56" s="458"/>
      <c r="J56" s="448"/>
      <c r="K56" s="460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 t="e">
        <f>(((D60+E60)-G60)/(D60+E60))*100</f>
        <v>#DIV/0!</v>
      </c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64" t="s">
        <v>55</v>
      </c>
      <c r="C63" s="565"/>
      <c r="D63" s="565"/>
      <c r="E63" s="565"/>
      <c r="F63" s="566"/>
      <c r="G63" s="564" t="s">
        <v>56</v>
      </c>
      <c r="H63" s="565"/>
      <c r="I63" s="565"/>
      <c r="J63" s="566"/>
      <c r="K63" s="564" t="s">
        <v>51</v>
      </c>
      <c r="L63" s="565"/>
      <c r="M63" s="565"/>
      <c r="N63" s="56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5.9758575355563517</v>
      </c>
      <c r="E65" s="76">
        <v>6.0702956271126167</v>
      </c>
      <c r="F65" s="66">
        <v>4.8</v>
      </c>
      <c r="G65" s="65"/>
      <c r="H65" s="491">
        <v>5.2012421312801864</v>
      </c>
      <c r="I65" s="76">
        <v>5.988023632718261</v>
      </c>
      <c r="J65" s="66">
        <v>4.8</v>
      </c>
      <c r="K65" s="67"/>
      <c r="L65" s="194">
        <v>0.44929824561403514</v>
      </c>
      <c r="M65" s="194">
        <v>0.72631455889225571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1.5625804017083973</v>
      </c>
      <c r="E66" s="76">
        <v>5.5960664917440779</v>
      </c>
      <c r="F66" s="66">
        <v>4.8</v>
      </c>
      <c r="G66" s="65"/>
      <c r="H66" s="76">
        <v>2.1472714173633256</v>
      </c>
      <c r="I66" s="76">
        <v>6.1167972180873393</v>
      </c>
      <c r="J66" s="66">
        <v>4.8</v>
      </c>
      <c r="K66" s="67"/>
      <c r="L66" s="194">
        <v>0.45210526315789473</v>
      </c>
      <c r="M66" s="194">
        <v>0.67706581940207577</v>
      </c>
      <c r="N66" s="68">
        <v>1</v>
      </c>
      <c r="P66" s="69"/>
    </row>
    <row r="67" spans="2:16" ht="15">
      <c r="B67" s="34" t="s">
        <v>40</v>
      </c>
      <c r="C67" s="65">
        <f>L54</f>
        <v>10.667328206400384</v>
      </c>
      <c r="D67" s="76">
        <v>12.618296529968443</v>
      </c>
      <c r="E67" s="76">
        <v>11.122539172358353</v>
      </c>
      <c r="F67" s="66">
        <v>5.5</v>
      </c>
      <c r="G67" s="65">
        <f>[42]December_2025!$K$32</f>
        <v>12.654091067358683</v>
      </c>
      <c r="H67" s="76">
        <v>12.288892572095527</v>
      </c>
      <c r="I67" s="76">
        <v>12.520142311925225</v>
      </c>
      <c r="J67" s="66">
        <v>5.5</v>
      </c>
      <c r="K67" s="67">
        <f>K54</f>
        <v>0.31587719298245615</v>
      </c>
      <c r="L67" s="194">
        <v>0.31587719298245615</v>
      </c>
      <c r="M67" s="194">
        <v>0.50769967246157732</v>
      </c>
      <c r="N67" s="68">
        <v>1</v>
      </c>
      <c r="P67" s="69"/>
    </row>
    <row r="68" spans="2:16" ht="15">
      <c r="B68" s="22" t="s">
        <v>33</v>
      </c>
      <c r="C68" s="65"/>
      <c r="D68" s="76">
        <v>3.6210127551534388</v>
      </c>
      <c r="E68" s="76">
        <v>4.5238317691984813</v>
      </c>
      <c r="F68" s="66">
        <v>3.3</v>
      </c>
      <c r="G68" s="65"/>
      <c r="H68" s="76">
        <v>2.8491888487026817</v>
      </c>
      <c r="I68" s="76">
        <v>4.2621233200108142</v>
      </c>
      <c r="J68" s="66">
        <v>3.3</v>
      </c>
      <c r="K68" s="67"/>
      <c r="L68" s="194">
        <v>0.67114035087719304</v>
      </c>
      <c r="M68" s="194">
        <v>0.81111567982456145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/>
      <c r="E71" s="76">
        <v>2.9297033255778997</v>
      </c>
      <c r="F71" s="66">
        <v>3.3</v>
      </c>
      <c r="G71" s="282"/>
      <c r="H71" s="76"/>
      <c r="I71" s="76">
        <v>4.2684292436723528</v>
      </c>
      <c r="J71" s="66">
        <v>3.3</v>
      </c>
      <c r="K71" s="67"/>
      <c r="L71" s="194"/>
      <c r="M71" s="194">
        <v>0.84660147761842675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5.544483007456785</v>
      </c>
      <c r="E74" s="76">
        <v>6.091185979661649</v>
      </c>
      <c r="F74" s="341">
        <v>5.5</v>
      </c>
      <c r="H74" s="76">
        <v>5.5540085859078729</v>
      </c>
      <c r="I74" s="76">
        <v>6.5097095535465961</v>
      </c>
      <c r="J74" s="341">
        <v>5.5</v>
      </c>
      <c r="L74" s="194">
        <v>0.4944235588972431</v>
      </c>
      <c r="M74" s="194">
        <v>0.69936813864114289</v>
      </c>
      <c r="N74" s="386">
        <v>1</v>
      </c>
    </row>
  </sheetData>
  <mergeCells count="51"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947" priority="50" operator="notBetween">
      <formula>#REF!</formula>
      <formula>#REF!</formula>
    </cfRule>
  </conditionalFormatting>
  <conditionalFormatting sqref="C51">
    <cfRule type="cellIs" dxfId="2946" priority="198" stopIfTrue="1" operator="greaterThan">
      <formula>100</formula>
    </cfRule>
    <cfRule type="cellIs" dxfId="2945" priority="197" stopIfTrue="1" operator="lessThan">
      <formula>96</formula>
    </cfRule>
  </conditionalFormatting>
  <conditionalFormatting sqref="C65:C69">
    <cfRule type="cellIs" dxfId="2944" priority="151" stopIfTrue="1" operator="lessThanOrEqual">
      <formula>0</formula>
    </cfRule>
  </conditionalFormatting>
  <conditionalFormatting sqref="C65:C73">
    <cfRule type="cellIs" dxfId="2943" priority="150" stopIfTrue="1" operator="greaterThan">
      <formula>$F65</formula>
    </cfRule>
  </conditionalFormatting>
  <conditionalFormatting sqref="C66">
    <cfRule type="cellIs" dxfId="2942" priority="201" stopIfTrue="1" operator="greaterThan">
      <formula>$F65</formula>
    </cfRule>
  </conditionalFormatting>
  <conditionalFormatting sqref="C70">
    <cfRule type="cellIs" dxfId="2941" priority="91" stopIfTrue="1" operator="greaterThan">
      <formula>$F69</formula>
    </cfRule>
    <cfRule type="cellIs" dxfId="2940" priority="90" stopIfTrue="1" operator="lessThanOrEqual">
      <formula>0</formula>
    </cfRule>
  </conditionalFormatting>
  <conditionalFormatting sqref="C76:C80">
    <cfRule type="cellIs" dxfId="2939" priority="189" stopIfTrue="1" operator="lessThanOrEqual">
      <formula>0</formula>
    </cfRule>
  </conditionalFormatting>
  <conditionalFormatting sqref="C77:C80">
    <cfRule type="cellIs" dxfId="2938" priority="188" stopIfTrue="1" operator="greaterThan">
      <formula>$F$76</formula>
    </cfRule>
  </conditionalFormatting>
  <conditionalFormatting sqref="C82">
    <cfRule type="cellIs" dxfId="2937" priority="191" stopIfTrue="1" operator="lessThanOrEqual">
      <formula>0</formula>
    </cfRule>
    <cfRule type="cellIs" dxfId="2936" priority="190" stopIfTrue="1" operator="greaterThan">
      <formula>$F$76</formula>
    </cfRule>
  </conditionalFormatting>
  <conditionalFormatting sqref="C76:D76 D78:D84">
    <cfRule type="cellIs" dxfId="2935" priority="183" stopIfTrue="1" operator="greaterThan">
      <formula>4.5</formula>
    </cfRule>
  </conditionalFormatting>
  <conditionalFormatting sqref="D47:D48">
    <cfRule type="cellIs" dxfId="2934" priority="51" operator="notBetween">
      <formula>#REF!</formula>
      <formula>#REF!</formula>
    </cfRule>
  </conditionalFormatting>
  <conditionalFormatting sqref="D65:D72">
    <cfRule type="cellIs" dxfId="2933" priority="163" stopIfTrue="1" operator="lessThanOrEqual">
      <formula>0</formula>
    </cfRule>
  </conditionalFormatting>
  <conditionalFormatting sqref="D73">
    <cfRule type="cellIs" dxfId="2932" priority="162" stopIfTrue="1" operator="lessThanOrEqual">
      <formula>0</formula>
    </cfRule>
  </conditionalFormatting>
  <conditionalFormatting sqref="D76 D78:D84">
    <cfRule type="cellIs" dxfId="2931" priority="184" stopIfTrue="1" operator="lessThanOrEqual">
      <formula>0</formula>
    </cfRule>
  </conditionalFormatting>
  <conditionalFormatting sqref="D77">
    <cfRule type="cellIs" dxfId="2930" priority="176" stopIfTrue="1" operator="lessThanOrEqual">
      <formula>0</formula>
    </cfRule>
    <cfRule type="cellIs" dxfId="2929" priority="175" stopIfTrue="1" operator="greaterThan">
      <formula>$F$76</formula>
    </cfRule>
  </conditionalFormatting>
  <conditionalFormatting sqref="D65:E74">
    <cfRule type="cellIs" dxfId="2928" priority="148" stopIfTrue="1" operator="greaterThan">
      <formula>$F65</formula>
    </cfRule>
  </conditionalFormatting>
  <conditionalFormatting sqref="D74:E74">
    <cfRule type="cellIs" dxfId="2927" priority="149" stopIfTrue="1" operator="lessThanOrEqual">
      <formula>0</formula>
    </cfRule>
  </conditionalFormatting>
  <conditionalFormatting sqref="E10:E22">
    <cfRule type="cellIs" dxfId="2926" priority="23" operator="lessThan">
      <formula>48</formula>
    </cfRule>
  </conditionalFormatting>
  <conditionalFormatting sqref="E50 E51:F51">
    <cfRule type="cellIs" dxfId="2925" priority="180" stopIfTrue="1" operator="greaterThan">
      <formula>100</formula>
    </cfRule>
  </conditionalFormatting>
  <conditionalFormatting sqref="E51">
    <cfRule type="cellIs" dxfId="2924" priority="178" stopIfTrue="1" operator="greaterThan">
      <formula>100</formula>
    </cfRule>
    <cfRule type="cellIs" dxfId="2923" priority="177" stopIfTrue="1" operator="lessThan">
      <formula>96.8</formula>
    </cfRule>
  </conditionalFormatting>
  <conditionalFormatting sqref="E65:E73">
    <cfRule type="cellIs" dxfId="2922" priority="159" stopIfTrue="1" operator="lessThanOrEqual">
      <formula>0</formula>
    </cfRule>
  </conditionalFormatting>
  <conditionalFormatting sqref="E76:E84">
    <cfRule type="cellIs" dxfId="2921" priority="170" stopIfTrue="1" operator="lessThanOrEqual">
      <formula>0</formula>
    </cfRule>
    <cfRule type="cellIs" dxfId="2920" priority="169" stopIfTrue="1" operator="greaterThan">
      <formula>4.5</formula>
    </cfRule>
  </conditionalFormatting>
  <conditionalFormatting sqref="E51:F51 E50">
    <cfRule type="cellIs" dxfId="2919" priority="179" stopIfTrue="1" operator="lessThan">
      <formula>96.5</formula>
    </cfRule>
  </conditionalFormatting>
  <conditionalFormatting sqref="F10:F22">
    <cfRule type="cellIs" dxfId="2918" priority="24" operator="greaterThan">
      <formula>60</formula>
    </cfRule>
  </conditionalFormatting>
  <conditionalFormatting sqref="F51">
    <cfRule type="cellIs" dxfId="2917" priority="196" stopIfTrue="1" operator="greaterThan">
      <formula>100</formula>
    </cfRule>
    <cfRule type="cellIs" dxfId="2916" priority="195" stopIfTrue="1" operator="lessThan">
      <formula>96.8</formula>
    </cfRule>
  </conditionalFormatting>
  <conditionalFormatting sqref="F74">
    <cfRule type="cellIs" dxfId="2915" priority="161" stopIfTrue="1" operator="lessThanOrEqual">
      <formula>0</formula>
    </cfRule>
    <cfRule type="cellIs" dxfId="2914" priority="160" stopIfTrue="1" operator="greaterThan">
      <formula>$F74</formula>
    </cfRule>
  </conditionalFormatting>
  <conditionalFormatting sqref="G10:G21">
    <cfRule type="expression" dxfId="2913" priority="28">
      <formula>IF(+(IF(G10&lt;S10,0,IF(G10&gt;T10,0,1)))=0,1)</formula>
    </cfRule>
  </conditionalFormatting>
  <conditionalFormatting sqref="G65:G66 C71:C73">
    <cfRule type="cellIs" dxfId="2912" priority="165" stopIfTrue="1" operator="lessThanOrEqual">
      <formula>0</formula>
    </cfRule>
  </conditionalFormatting>
  <conditionalFormatting sqref="G65:G66">
    <cfRule type="cellIs" dxfId="2911" priority="152" stopIfTrue="1" operator="greaterThan">
      <formula>$F65</formula>
    </cfRule>
    <cfRule type="cellIs" dxfId="2910" priority="153" stopIfTrue="1" operator="lessThanOrEqual">
      <formula>0</formula>
    </cfRule>
    <cfRule type="cellIs" dxfId="2909" priority="164" stopIfTrue="1" operator="greaterThan">
      <formula>$F65</formula>
    </cfRule>
  </conditionalFormatting>
  <conditionalFormatting sqref="G67">
    <cfRule type="cellIs" dxfId="2908" priority="200" stopIfTrue="1" operator="lessThanOrEqual">
      <formula>0</formula>
    </cfRule>
    <cfRule type="cellIs" dxfId="2907" priority="199" stopIfTrue="1" operator="greaterThan">
      <formula>$F66</formula>
    </cfRule>
  </conditionalFormatting>
  <conditionalFormatting sqref="G68">
    <cfRule type="cellIs" dxfId="2906" priority="49" stopIfTrue="1" operator="lessThanOrEqual">
      <formula>0</formula>
    </cfRule>
    <cfRule type="cellIs" dxfId="2905" priority="46" stopIfTrue="1" operator="greaterThan">
      <formula>$F68</formula>
    </cfRule>
    <cfRule type="cellIs" dxfId="2904" priority="47" stopIfTrue="1" operator="lessThanOrEqual">
      <formula>0</formula>
    </cfRule>
    <cfRule type="cellIs" dxfId="2903" priority="48" stopIfTrue="1" operator="greaterThan">
      <formula>$F68</formula>
    </cfRule>
  </conditionalFormatting>
  <conditionalFormatting sqref="G69:G73">
    <cfRule type="cellIs" dxfId="2902" priority="167" stopIfTrue="1" operator="lessThanOrEqual">
      <formula>0</formula>
    </cfRule>
    <cfRule type="cellIs" dxfId="2901" priority="166" stopIfTrue="1" operator="greaterThan">
      <formula>$J69</formula>
    </cfRule>
  </conditionalFormatting>
  <conditionalFormatting sqref="G78:G83 C81 C83">
    <cfRule type="cellIs" dxfId="2900" priority="192" stopIfTrue="1" operator="greaterThan">
      <formula>4.5</formula>
    </cfRule>
    <cfRule type="cellIs" dxfId="2899" priority="193" stopIfTrue="1" operator="lessThanOrEqual">
      <formula>0</formula>
    </cfRule>
  </conditionalFormatting>
  <conditionalFormatting sqref="G22:H22">
    <cfRule type="expression" dxfId="2898" priority="45">
      <formula>IF(+(IF(G22&lt;#REF!,0,IF(G22&gt;#REF!,0,1)))=0,1)</formula>
    </cfRule>
  </conditionalFormatting>
  <conditionalFormatting sqref="G77:H77">
    <cfRule type="cellIs" dxfId="2897" priority="173" stopIfTrue="1" operator="greaterThan">
      <formula>$F$76</formula>
    </cfRule>
    <cfRule type="cellIs" dxfId="2896" priority="174" stopIfTrue="1" operator="lessThanOrEqual">
      <formula>0</formula>
    </cfRule>
  </conditionalFormatting>
  <conditionalFormatting sqref="H36:H37 H50">
    <cfRule type="cellIs" dxfId="2895" priority="171" stopIfTrue="1" operator="greaterThan">
      <formula>0</formula>
    </cfRule>
  </conditionalFormatting>
  <conditionalFormatting sqref="H54">
    <cfRule type="cellIs" dxfId="2894" priority="43" stopIfTrue="1" operator="greaterThan">
      <formula>$F$70</formula>
    </cfRule>
    <cfRule type="cellIs" dxfId="2893" priority="42" stopIfTrue="1" operator="lessThanOrEqual">
      <formula>0</formula>
    </cfRule>
    <cfRule type="cellIs" dxfId="2892" priority="41" stopIfTrue="1" operator="greaterThan">
      <formula>$F$72</formula>
    </cfRule>
    <cfRule type="cellIs" dxfId="2891" priority="44" stopIfTrue="1" operator="lessThanOrEqual">
      <formula>0</formula>
    </cfRule>
    <cfRule type="cellIs" dxfId="2890" priority="32" stopIfTrue="1" operator="lessThanOrEqual">
      <formula>0</formula>
    </cfRule>
    <cfRule type="cellIs" dxfId="2889" priority="33" stopIfTrue="1" operator="greaterThan">
      <formula>$F$69</formula>
    </cfRule>
  </conditionalFormatting>
  <conditionalFormatting sqref="H55">
    <cfRule type="cellIs" dxfId="2888" priority="108" stopIfTrue="1" operator="greaterThan">
      <formula>#REF!</formula>
    </cfRule>
    <cfRule type="cellIs" dxfId="2887" priority="107" stopIfTrue="1" operator="lessThanOrEqual">
      <formula>0</formula>
    </cfRule>
    <cfRule type="cellIs" dxfId="2886" priority="117" stopIfTrue="1" operator="lessThanOrEqual">
      <formula>0</formula>
    </cfRule>
    <cfRule type="cellIs" dxfId="2885" priority="119" stopIfTrue="1" operator="lessThanOrEqual">
      <formula>0</formula>
    </cfRule>
    <cfRule type="cellIs" dxfId="2884" priority="118" stopIfTrue="1" operator="greaterThan">
      <formula>#REF!</formula>
    </cfRule>
    <cfRule type="cellIs" dxfId="2883" priority="116" stopIfTrue="1" operator="greaterThan">
      <formula>$F$23</formula>
    </cfRule>
  </conditionalFormatting>
  <conditionalFormatting sqref="H56">
    <cfRule type="cellIs" dxfId="2882" priority="86" stopIfTrue="1" operator="greaterThan">
      <formula>$F$67</formula>
    </cfRule>
    <cfRule type="cellIs" dxfId="2881" priority="87" stopIfTrue="1" operator="lessThanOrEqual">
      <formula>0</formula>
    </cfRule>
    <cfRule type="cellIs" dxfId="2880" priority="85" stopIfTrue="1" operator="lessThanOrEqual">
      <formula>0</formula>
    </cfRule>
    <cfRule type="cellIs" dxfId="2879" priority="84" stopIfTrue="1" operator="greaterThan">
      <formula>$F$69</formula>
    </cfRule>
    <cfRule type="cellIs" dxfId="2878" priority="75" stopIfTrue="1" operator="lessThanOrEqual">
      <formula>0</formula>
    </cfRule>
    <cfRule type="cellIs" dxfId="2877" priority="76" stopIfTrue="1" operator="greaterThan">
      <formula>$F$66</formula>
    </cfRule>
  </conditionalFormatting>
  <conditionalFormatting sqref="H57:H58">
    <cfRule type="cellIs" dxfId="2876" priority="94" stopIfTrue="1" operator="greaterThan">
      <formula>#REF!</formula>
    </cfRule>
    <cfRule type="cellIs" dxfId="2875" priority="93" stopIfTrue="1" operator="lessThanOrEqual">
      <formula>0</formula>
    </cfRule>
    <cfRule type="cellIs" dxfId="2874" priority="105" stopIfTrue="1" operator="lessThanOrEqual">
      <formula>0</formula>
    </cfRule>
    <cfRule type="cellIs" dxfId="2873" priority="103" stopIfTrue="1" operator="lessThanOrEqual">
      <formula>0</formula>
    </cfRule>
    <cfRule type="cellIs" dxfId="2872" priority="102" stopIfTrue="1" operator="greaterThan">
      <formula>$F$22</formula>
    </cfRule>
    <cfRule type="cellIs" dxfId="2871" priority="104" stopIfTrue="1" operator="greaterThan">
      <formula>#REF!</formula>
    </cfRule>
  </conditionalFormatting>
  <conditionalFormatting sqref="H59">
    <cfRule type="cellIs" dxfId="2870" priority="123" stopIfTrue="1" operator="greaterThan">
      <formula>$F$35</formula>
    </cfRule>
    <cfRule type="cellIs" dxfId="2869" priority="133" stopIfTrue="1" operator="greaterThan">
      <formula>$F$36</formula>
    </cfRule>
    <cfRule type="cellIs" dxfId="2868" priority="131" stopIfTrue="1" operator="greaterThan">
      <formula>$F$38</formula>
    </cfRule>
    <cfRule type="cellIs" dxfId="2867" priority="134" stopIfTrue="1" operator="lessThanOrEqual">
      <formula>0</formula>
    </cfRule>
    <cfRule type="cellIs" dxfId="2866" priority="132" stopIfTrue="1" operator="lessThanOrEqual">
      <formula>0</formula>
    </cfRule>
    <cfRule type="cellIs" dxfId="2865" priority="122" stopIfTrue="1" operator="lessThanOrEqual">
      <formula>0</formula>
    </cfRule>
  </conditionalFormatting>
  <conditionalFormatting sqref="H60:H61">
    <cfRule type="cellIs" dxfId="2864" priority="61" stopIfTrue="1" operator="lessThanOrEqual">
      <formula>0</formula>
    </cfRule>
    <cfRule type="cellIs" dxfId="2863" priority="70" stopIfTrue="1" operator="greaterThan">
      <formula>$F$22</formula>
    </cfRule>
    <cfRule type="cellIs" dxfId="2862" priority="71" stopIfTrue="1" operator="lessThanOrEqual">
      <formula>0</formula>
    </cfRule>
    <cfRule type="cellIs" dxfId="2861" priority="62" stopIfTrue="1" operator="greaterThan">
      <formula>#REF!</formula>
    </cfRule>
    <cfRule type="cellIs" dxfId="2860" priority="73" stopIfTrue="1" operator="lessThanOrEqual">
      <formula>0</formula>
    </cfRule>
    <cfRule type="cellIs" dxfId="2859" priority="72" stopIfTrue="1" operator="greaterThan">
      <formula>#REF!</formula>
    </cfRule>
  </conditionalFormatting>
  <conditionalFormatting sqref="H65:H72">
    <cfRule type="cellIs" dxfId="2858" priority="154" stopIfTrue="1" operator="greaterThan">
      <formula>$J65</formula>
    </cfRule>
    <cfRule type="cellIs" dxfId="2857" priority="155" stopIfTrue="1" operator="lessThanOrEqual">
      <formula>0</formula>
    </cfRule>
  </conditionalFormatting>
  <conditionalFormatting sqref="H73">
    <cfRule type="cellIs" dxfId="2856" priority="156" operator="greaterThan">
      <formula>5.3</formula>
    </cfRule>
  </conditionalFormatting>
  <conditionalFormatting sqref="H76 H78:H84">
    <cfRule type="cellIs" dxfId="2855" priority="185" stopIfTrue="1" operator="greaterThan">
      <formula>4.5</formula>
    </cfRule>
    <cfRule type="cellIs" dxfId="2854" priority="186" stopIfTrue="1" operator="lessThanOrEqual">
      <formula>0</formula>
    </cfRule>
  </conditionalFormatting>
  <conditionalFormatting sqref="H54:I54">
    <cfRule type="cellIs" dxfId="2853" priority="31" stopIfTrue="1" operator="greaterThan">
      <formula>$F$71</formula>
    </cfRule>
    <cfRule type="cellIs" dxfId="2852" priority="34" stopIfTrue="1" operator="lessThanOrEqual">
      <formula>0</formula>
    </cfRule>
  </conditionalFormatting>
  <conditionalFormatting sqref="H55:I55">
    <cfRule type="cellIs" dxfId="2851" priority="109" stopIfTrue="1" operator="lessThanOrEqual">
      <formula>0</formula>
    </cfRule>
    <cfRule type="cellIs" dxfId="2850" priority="106" stopIfTrue="1" operator="greaterThan">
      <formula>$F$22</formula>
    </cfRule>
  </conditionalFormatting>
  <conditionalFormatting sqref="H56:I56">
    <cfRule type="cellIs" dxfId="2849" priority="77" stopIfTrue="1" operator="lessThanOrEqual">
      <formula>0</formula>
    </cfRule>
    <cfRule type="cellIs" dxfId="2848" priority="74" stopIfTrue="1" operator="greaterThan">
      <formula>$F$68</formula>
    </cfRule>
  </conditionalFormatting>
  <conditionalFormatting sqref="H57:I58">
    <cfRule type="cellIs" dxfId="2847" priority="92" stopIfTrue="1" operator="greaterThan">
      <formula>#REF!</formula>
    </cfRule>
    <cfRule type="cellIs" dxfId="2846" priority="95" stopIfTrue="1" operator="lessThanOrEqual">
      <formula>0</formula>
    </cfRule>
  </conditionalFormatting>
  <conditionalFormatting sqref="H59:I59">
    <cfRule type="cellIs" dxfId="2845" priority="121" stopIfTrue="1" operator="greaterThan">
      <formula>$F$37</formula>
    </cfRule>
    <cfRule type="cellIs" dxfId="2844" priority="124" stopIfTrue="1" operator="lessThanOrEqual">
      <formula>0</formula>
    </cfRule>
  </conditionalFormatting>
  <conditionalFormatting sqref="H60:I61">
    <cfRule type="cellIs" dxfId="2843" priority="60" stopIfTrue="1" operator="greaterThan">
      <formula>#REF!</formula>
    </cfRule>
    <cfRule type="cellIs" dxfId="2842" priority="63" stopIfTrue="1" operator="lessThanOrEqual">
      <formula>0</formula>
    </cfRule>
  </conditionalFormatting>
  <conditionalFormatting sqref="H74:I74">
    <cfRule type="cellIs" dxfId="2841" priority="147" stopIfTrue="1" operator="lessThanOrEqual">
      <formula>0</formula>
    </cfRule>
    <cfRule type="cellIs" dxfId="2840" priority="146" stopIfTrue="1" operator="greaterThan">
      <formula>$J74</formula>
    </cfRule>
  </conditionalFormatting>
  <conditionalFormatting sqref="I54">
    <cfRule type="cellIs" dxfId="2839" priority="39" stopIfTrue="1" operator="greaterThan">
      <formula>$F$69</formula>
    </cfRule>
    <cfRule type="cellIs" dxfId="2838" priority="40" stopIfTrue="1" operator="lessThanOrEqual">
      <formula>0</formula>
    </cfRule>
    <cfRule type="cellIs" dxfId="2837" priority="35" stopIfTrue="1" operator="greaterThan">
      <formula>$F$69</formula>
    </cfRule>
    <cfRule type="cellIs" dxfId="2836" priority="36" stopIfTrue="1" operator="lessThanOrEqual">
      <formula>0</formula>
    </cfRule>
    <cfRule type="cellIs" dxfId="2835" priority="37" stopIfTrue="1" operator="greaterThan">
      <formula>$F$71</formula>
    </cfRule>
    <cfRule type="cellIs" dxfId="2834" priority="38" stopIfTrue="1" operator="lessThanOrEqual">
      <formula>0</formula>
    </cfRule>
  </conditionalFormatting>
  <conditionalFormatting sqref="I55">
    <cfRule type="cellIs" dxfId="2833" priority="113" stopIfTrue="1" operator="lessThanOrEqual">
      <formula>0</formula>
    </cfRule>
    <cfRule type="cellIs" dxfId="2832" priority="114" stopIfTrue="1" operator="greaterThan">
      <formula>#REF!</formula>
    </cfRule>
    <cfRule type="cellIs" dxfId="2831" priority="111" stopIfTrue="1" operator="lessThanOrEqual">
      <formula>0</formula>
    </cfRule>
    <cfRule type="cellIs" dxfId="2830" priority="115" stopIfTrue="1" operator="lessThanOrEqual">
      <formula>0</formula>
    </cfRule>
    <cfRule type="cellIs" dxfId="2829" priority="112" stopIfTrue="1" operator="greaterThan">
      <formula>$F$22</formula>
    </cfRule>
    <cfRule type="cellIs" dxfId="2828" priority="110" stopIfTrue="1" operator="greaterThan">
      <formula>#REF!</formula>
    </cfRule>
  </conditionalFormatting>
  <conditionalFormatting sqref="I56">
    <cfRule type="cellIs" dxfId="2827" priority="80" stopIfTrue="1" operator="greaterThan">
      <formula>$F$68</formula>
    </cfRule>
    <cfRule type="cellIs" dxfId="2826" priority="79" stopIfTrue="1" operator="lessThanOrEqual">
      <formula>0</formula>
    </cfRule>
    <cfRule type="cellIs" dxfId="2825" priority="78" stopIfTrue="1" operator="greaterThan">
      <formula>$F$66</formula>
    </cfRule>
    <cfRule type="cellIs" dxfId="2824" priority="82" stopIfTrue="1" operator="greaterThan">
      <formula>$F$66</formula>
    </cfRule>
    <cfRule type="cellIs" dxfId="2823" priority="83" stopIfTrue="1" operator="lessThanOrEqual">
      <formula>0</formula>
    </cfRule>
    <cfRule type="cellIs" dxfId="2822" priority="81" stopIfTrue="1" operator="lessThanOrEqual">
      <formula>0</formula>
    </cfRule>
  </conditionalFormatting>
  <conditionalFormatting sqref="I57:I58">
    <cfRule type="cellIs" dxfId="2821" priority="99" stopIfTrue="1" operator="lessThanOrEqual">
      <formula>0</formula>
    </cfRule>
    <cfRule type="cellIs" dxfId="2820" priority="98" stopIfTrue="1" operator="greaterThan">
      <formula>#REF!</formula>
    </cfRule>
    <cfRule type="cellIs" dxfId="2819" priority="97" stopIfTrue="1" operator="lessThanOrEqual">
      <formula>0</formula>
    </cfRule>
    <cfRule type="cellIs" dxfId="2818" priority="96" stopIfTrue="1" operator="greaterThan">
      <formula>#REF!</formula>
    </cfRule>
    <cfRule type="cellIs" dxfId="2817" priority="101" stopIfTrue="1" operator="lessThanOrEqual">
      <formula>0</formula>
    </cfRule>
    <cfRule type="cellIs" dxfId="2816" priority="100" stopIfTrue="1" operator="greaterThan">
      <formula>#REF!</formula>
    </cfRule>
  </conditionalFormatting>
  <conditionalFormatting sqref="I59">
    <cfRule type="cellIs" dxfId="2815" priority="125" stopIfTrue="1" operator="greaterThan">
      <formula>$F$35</formula>
    </cfRule>
    <cfRule type="cellIs" dxfId="2814" priority="126" stopIfTrue="1" operator="lessThanOrEqual">
      <formula>0</formula>
    </cfRule>
    <cfRule type="cellIs" dxfId="2813" priority="127" stopIfTrue="1" operator="greaterThan">
      <formula>$F$37</formula>
    </cfRule>
    <cfRule type="cellIs" dxfId="2812" priority="129" stopIfTrue="1" operator="greaterThan">
      <formula>$F$35</formula>
    </cfRule>
    <cfRule type="cellIs" dxfId="2811" priority="130" stopIfTrue="1" operator="lessThanOrEqual">
      <formula>0</formula>
    </cfRule>
    <cfRule type="cellIs" dxfId="2810" priority="128" stopIfTrue="1" operator="lessThanOrEqual">
      <formula>0</formula>
    </cfRule>
  </conditionalFormatting>
  <conditionalFormatting sqref="I60:I61">
    <cfRule type="cellIs" dxfId="2809" priority="67" stopIfTrue="1" operator="lessThanOrEqual">
      <formula>0</formula>
    </cfRule>
    <cfRule type="cellIs" dxfId="2808" priority="64" stopIfTrue="1" operator="greaterThan">
      <formula>#REF!</formula>
    </cfRule>
    <cfRule type="cellIs" dxfId="2807" priority="65" stopIfTrue="1" operator="lessThanOrEqual">
      <formula>0</formula>
    </cfRule>
    <cfRule type="cellIs" dxfId="2806" priority="66" stopIfTrue="1" operator="greaterThan">
      <formula>#REF!</formula>
    </cfRule>
    <cfRule type="cellIs" dxfId="2805" priority="68" stopIfTrue="1" operator="greaterThan">
      <formula>#REF!</formula>
    </cfRule>
    <cfRule type="cellIs" dxfId="2804" priority="69" stopIfTrue="1" operator="lessThanOrEqual">
      <formula>0</formula>
    </cfRule>
  </conditionalFormatting>
  <conditionalFormatting sqref="I65:I73">
    <cfRule type="cellIs" dxfId="2803" priority="157" stopIfTrue="1" operator="greaterThan">
      <formula>$J65</formula>
    </cfRule>
    <cfRule type="cellIs" dxfId="2802" priority="158" stopIfTrue="1" operator="lessThanOrEqual">
      <formula>0</formula>
    </cfRule>
  </conditionalFormatting>
  <conditionalFormatting sqref="I76:I84">
    <cfRule type="cellIs" dxfId="2801" priority="182" stopIfTrue="1" operator="lessThanOrEqual">
      <formula>0</formula>
    </cfRule>
    <cfRule type="cellIs" dxfId="2800" priority="181" stopIfTrue="1" operator="greaterThan">
      <formula>4.5</formula>
    </cfRule>
  </conditionalFormatting>
  <conditionalFormatting sqref="I10:J22">
    <cfRule type="cellIs" dxfId="2799" priority="17" operator="lessThan">
      <formula>97.9</formula>
    </cfRule>
  </conditionalFormatting>
  <conditionalFormatting sqref="J26:J27">
    <cfRule type="cellIs" dxfId="2798" priority="136" stopIfTrue="1" operator="lessThan">
      <formula>96.8</formula>
    </cfRule>
    <cfRule type="cellIs" dxfId="2797" priority="137" stopIfTrue="1" operator="greaterThan">
      <formula>100</formula>
    </cfRule>
    <cfRule type="cellIs" dxfId="2796" priority="138" operator="lessThan">
      <formula>98</formula>
    </cfRule>
  </conditionalFormatting>
  <conditionalFormatting sqref="J26:J29">
    <cfRule type="cellIs" dxfId="2795" priority="135" operator="lessThan">
      <formula>97.4</formula>
    </cfRule>
  </conditionalFormatting>
  <conditionalFormatting sqref="J30:J31">
    <cfRule type="cellIs" dxfId="2794" priority="139" operator="lessThan">
      <formula>98</formula>
    </cfRule>
  </conditionalFormatting>
  <conditionalFormatting sqref="J32:J33">
    <cfRule type="cellIs" dxfId="2793" priority="140" stopIfTrue="1" operator="lessThan">
      <formula>96.8</formula>
    </cfRule>
    <cfRule type="cellIs" dxfId="2792" priority="141" stopIfTrue="1" operator="greaterThan">
      <formula>100</formula>
    </cfRule>
  </conditionalFormatting>
  <conditionalFormatting sqref="J32:J34">
    <cfRule type="cellIs" dxfId="2791" priority="142" operator="lessThan">
      <formula>98</formula>
    </cfRule>
  </conditionalFormatting>
  <conditionalFormatting sqref="J61">
    <cfRule type="cellIs" dxfId="2790" priority="59" stopIfTrue="1" operator="lessThanOrEqual">
      <formula>0</formula>
    </cfRule>
    <cfRule type="cellIs" dxfId="2789" priority="58" stopIfTrue="1" operator="greaterThan">
      <formula>#REF!</formula>
    </cfRule>
    <cfRule type="cellIs" dxfId="2788" priority="57" stopIfTrue="1" operator="lessThanOrEqual">
      <formula>0</formula>
    </cfRule>
    <cfRule type="cellIs" dxfId="2787" priority="56" stopIfTrue="1" operator="greaterThan">
      <formula>#REF!</formula>
    </cfRule>
    <cfRule type="cellIs" dxfId="2786" priority="54" stopIfTrue="1" operator="greaterThan">
      <formula>#REF!</formula>
    </cfRule>
    <cfRule type="cellIs" dxfId="2785" priority="53" stopIfTrue="1" operator="lessThanOrEqual">
      <formula>0</formula>
    </cfRule>
    <cfRule type="cellIs" dxfId="2784" priority="52" stopIfTrue="1" operator="greaterThan">
      <formula>#REF!</formula>
    </cfRule>
    <cfRule type="cellIs" dxfId="2783" priority="55" stopIfTrue="1" operator="lessThanOrEqual">
      <formula>0</formula>
    </cfRule>
  </conditionalFormatting>
  <conditionalFormatting sqref="J74">
    <cfRule type="cellIs" dxfId="2782" priority="144" stopIfTrue="1" operator="lessThanOrEqual">
      <formula>0</formula>
    </cfRule>
    <cfRule type="cellIs" dxfId="2781" priority="143" stopIfTrue="1" operator="greaterThan">
      <formula>$F74</formula>
    </cfRule>
  </conditionalFormatting>
  <conditionalFormatting sqref="K10:K22">
    <cfRule type="cellIs" dxfId="2780" priority="20" operator="greaterThan">
      <formula>6.4</formula>
    </cfRule>
    <cfRule type="cellIs" dxfId="2779" priority="19" operator="lessThan">
      <formula>4</formula>
    </cfRule>
    <cfRule type="cellIs" dxfId="2778" priority="18" operator="greaterThan">
      <formula>6</formula>
    </cfRule>
  </conditionalFormatting>
  <conditionalFormatting sqref="K54:K61 K65:N71 K72 M72:N72 K73:N73">
    <cfRule type="cellIs" dxfId="2777" priority="120" stopIfTrue="1" operator="lessThan">
      <formula>100%</formula>
    </cfRule>
  </conditionalFormatting>
  <conditionalFormatting sqref="K76:K81">
    <cfRule type="cellIs" dxfId="2776" priority="187" stopIfTrue="1" operator="lessThan">
      <formula>100%</formula>
    </cfRule>
  </conditionalFormatting>
  <conditionalFormatting sqref="K83:K84">
    <cfRule type="cellIs" dxfId="2775" priority="194" stopIfTrue="1" operator="lessThan">
      <formula>100%</formula>
    </cfRule>
  </conditionalFormatting>
  <conditionalFormatting sqref="L10:L22">
    <cfRule type="cellIs" dxfId="2774" priority="29" operator="between">
      <formula>61</formula>
      <formula>65</formula>
    </cfRule>
    <cfRule type="cellIs" dxfId="2773" priority="30" operator="greaterThan">
      <formula>65</formula>
    </cfRule>
  </conditionalFormatting>
  <conditionalFormatting sqref="L25:M36">
    <cfRule type="cellIs" dxfId="2772" priority="12" operator="lessThan">
      <formula>97.95</formula>
    </cfRule>
  </conditionalFormatting>
  <conditionalFormatting sqref="L40:N40">
    <cfRule type="cellIs" dxfId="2771" priority="13" operator="notEqual">
      <formula>#REF!</formula>
    </cfRule>
  </conditionalFormatting>
  <conditionalFormatting sqref="L74:N74">
    <cfRule type="cellIs" dxfId="2770" priority="145" stopIfTrue="1" operator="lessThan">
      <formula>100%</formula>
    </cfRule>
  </conditionalFormatting>
  <conditionalFormatting sqref="L76:N84">
    <cfRule type="cellIs" dxfId="2769" priority="172" stopIfTrue="1" operator="lessThan">
      <formula>100%</formula>
    </cfRule>
  </conditionalFormatting>
  <conditionalFormatting sqref="M10:M21">
    <cfRule type="expression" dxfId="2768" priority="27">
      <formula>IF(+(IF(M10&lt;U10,0,IF(M10&gt;V10,0,1)))=0,1)</formula>
    </cfRule>
  </conditionalFormatting>
  <conditionalFormatting sqref="M22:N22">
    <cfRule type="expression" dxfId="2767" priority="202">
      <formula>IF(+(IF(M22&lt;#REF!,0,IF(M22&gt;#REF!,0,1)))=0,1)</formula>
    </cfRule>
  </conditionalFormatting>
  <conditionalFormatting sqref="N10:N21">
    <cfRule type="expression" dxfId="2766" priority="16">
      <formula>IF(+(IF(N10&lt;W10,0,IF(N10&gt;X10,0,1)))=0,1)</formula>
    </cfRule>
  </conditionalFormatting>
  <conditionalFormatting sqref="P6">
    <cfRule type="cellIs" dxfId="2765" priority="168" operator="greaterThanOrEqual">
      <formula>19</formula>
    </cfRule>
  </conditionalFormatting>
  <dataValidations count="1">
    <dataValidation type="list" allowBlank="1" showInputMessage="1" showErrorMessage="1" sqref="R8" xr:uid="{2585D7D1-58EF-4CF4-8905-A5DD0C01056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ECB8-BD18-4AC9-9D2F-AB87D45167C4}">
  <sheetPr>
    <pageSetUpPr fitToPage="1"/>
  </sheetPr>
  <dimension ref="A1:BE74"/>
  <sheetViews>
    <sheetView topLeftCell="A14" zoomScale="80" zoomScaleNormal="80" workbookViewId="0">
      <selection activeCell="K42" sqref="K4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46001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[23]Brewhouse!$A1007</f>
        <v>CA891</v>
      </c>
      <c r="D10" s="279">
        <f>[23]Brewhouse!$AF1007</f>
        <v>48.7</v>
      </c>
      <c r="E10" s="279">
        <f>[23]Brewhouse!$AI1007</f>
        <v>48.5</v>
      </c>
      <c r="F10" s="278">
        <f>[23]Brewhouse!$V1007</f>
        <v>60</v>
      </c>
      <c r="G10" s="279">
        <f>[23]Brewhouse!AG1007</f>
        <v>11.6</v>
      </c>
      <c r="H10" s="396">
        <v>11.7</v>
      </c>
      <c r="I10" s="368">
        <f>[23]Brewhouse!$AU1007</f>
        <v>92.96419657191592</v>
      </c>
      <c r="J10" s="368">
        <f>[23]Brewhouse!$AV1007</f>
        <v>93.446179496302591</v>
      </c>
      <c r="K10" s="281">
        <f>[23]Brewhouse!$Q1007</f>
        <v>9.4716981132075393</v>
      </c>
      <c r="L10" s="276">
        <f>[23]Brewhouse!$P1007</f>
        <v>60</v>
      </c>
      <c r="M10" s="397">
        <f>[23]Brewhouse!$U1007-[23]Brewhouse!$T1007</f>
        <v>0.11527777777777781</v>
      </c>
      <c r="N10" s="370">
        <f>[23]Brewhouse!$Z1007</f>
        <v>0.24305555555555558</v>
      </c>
      <c r="O10" s="420" t="str">
        <f>[23]Brewhouse!$AX1007</f>
        <v>K. Benjamin</v>
      </c>
      <c r="P10" s="418"/>
      <c r="R10" s="277" t="str">
        <f t="shared" ref="R10" si="0">B10</f>
        <v>CARIB</v>
      </c>
      <c r="S10" s="475">
        <f t="shared" ref="S10:S36" si="1">VLOOKUP($B10,$R$3:$X$9,2,FALSE)</f>
        <v>11.6</v>
      </c>
      <c r="T10" s="475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5">
        <f t="shared" ref="Z10:Z36" si="8">VLOOKUP($B10,$R$3:$Z$9,9,FALSE)</f>
        <v>60</v>
      </c>
    </row>
    <row r="11" spans="2:29" ht="16.5" customHeight="1">
      <c r="B11" s="29" t="s">
        <v>6</v>
      </c>
      <c r="C11" s="366" t="str">
        <f>[23]Brewhouse!$A1008</f>
        <v>CA892</v>
      </c>
      <c r="D11" s="279">
        <f>[23]Brewhouse!$AF1008</f>
        <v>50</v>
      </c>
      <c r="E11" s="279">
        <f>[23]Brewhouse!$AI1008</f>
        <v>49.5</v>
      </c>
      <c r="F11" s="278">
        <f>[23]Brewhouse!$V1008</f>
        <v>57</v>
      </c>
      <c r="G11" s="279">
        <f>[23]Brewhouse!AG1008</f>
        <v>12</v>
      </c>
      <c r="H11" s="396">
        <v>12</v>
      </c>
      <c r="I11" s="368">
        <f>[23]Brewhouse!$AU1008</f>
        <v>98.325508306440028</v>
      </c>
      <c r="J11" s="368">
        <f>[23]Brewhouse!$AV1008</f>
        <v>98.835287530946985</v>
      </c>
      <c r="K11" s="281">
        <f>[23]Brewhouse!$Q1008</f>
        <v>7.0188679245282994</v>
      </c>
      <c r="L11" s="276">
        <f>[23]Brewhouse!$P1008</f>
        <v>61</v>
      </c>
      <c r="M11" s="397">
        <f>[23]Brewhouse!$U1008-[23]Brewhouse!$T1008</f>
        <v>0.10555555555555562</v>
      </c>
      <c r="N11" s="370">
        <f>[23]Brewhouse!$Z1008</f>
        <v>0.2416666666666667</v>
      </c>
      <c r="O11" s="420" t="str">
        <f>[23]Brewhouse!$AX1008</f>
        <v>K. Benjamin</v>
      </c>
      <c r="P11" s="418"/>
      <c r="R11" s="277" t="str">
        <f t="shared" ref="R11:R36" si="9">B11</f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[23]Brewhouse!$A1009</f>
        <v>CA893</v>
      </c>
      <c r="D12" s="279">
        <f>[23]Brewhouse!$AF1009</f>
        <v>50.5</v>
      </c>
      <c r="E12" s="279">
        <f>[23]Brewhouse!$AI1009</f>
        <v>50.5</v>
      </c>
      <c r="F12" s="278">
        <f>[23]Brewhouse!$V1009</f>
        <v>61</v>
      </c>
      <c r="G12" s="279">
        <f>[23]Brewhouse!AG1009</f>
        <v>11.9</v>
      </c>
      <c r="H12" s="396">
        <v>12</v>
      </c>
      <c r="I12" s="368">
        <f>[23]Brewhouse!$AU1009</f>
        <v>99.679050974705348</v>
      </c>
      <c r="J12" s="368">
        <f>[23]Brewhouse!$AV1009</f>
        <v>100.19576457168409</v>
      </c>
      <c r="K12" s="281">
        <f>[23]Brewhouse!$Q1009</f>
        <v>6.0754716981132049</v>
      </c>
      <c r="L12" s="276">
        <f>[23]Brewhouse!$P1009</f>
        <v>60</v>
      </c>
      <c r="M12" s="397">
        <f>[23]Brewhouse!$U1009-[23]Brewhouse!$T1009</f>
        <v>0.10972222222222217</v>
      </c>
      <c r="N12" s="370">
        <f>[23]Brewhouse!$Z1009</f>
        <v>0.24583333333333335</v>
      </c>
      <c r="O12" s="420" t="str">
        <f>[23]Brewhouse!$AX1009</f>
        <v>K. Benjamin</v>
      </c>
      <c r="P12" s="418"/>
      <c r="R12" s="277" t="str">
        <f t="shared" ref="R12:R26" si="10">B12</f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 t="s">
        <v>6</v>
      </c>
      <c r="C13" s="366" t="str">
        <f>[23]Brewhouse!$A1010</f>
        <v>CA894</v>
      </c>
      <c r="D13" s="279">
        <f>[23]Brewhouse!$AF1010</f>
        <v>52.2</v>
      </c>
      <c r="E13" s="279">
        <f>[23]Brewhouse!$AI1010</f>
        <v>51.5</v>
      </c>
      <c r="F13" s="278">
        <f>[23]Brewhouse!$V1010</f>
        <v>63</v>
      </c>
      <c r="G13" s="279">
        <f>[23]Brewhouse!AG1010</f>
        <v>11.7</v>
      </c>
      <c r="H13" s="396">
        <v>11.7</v>
      </c>
      <c r="I13" s="368">
        <f>[23]Brewhouse!$AU1010</f>
        <v>99.856617537338749</v>
      </c>
      <c r="J13" s="368">
        <f>[23]Brewhouse!$AV1010</f>
        <v>100.37425159911308</v>
      </c>
      <c r="K13" s="281">
        <f>[23]Brewhouse!$Q1010</f>
        <v>2.8679245283018791</v>
      </c>
      <c r="L13" s="276">
        <f>[23]Brewhouse!$P1010</f>
        <v>61</v>
      </c>
      <c r="M13" s="397">
        <f>[23]Brewhouse!$U1010-[23]Brewhouse!$T1010</f>
        <v>0.10624999999999996</v>
      </c>
      <c r="N13" s="370">
        <f>[23]Brewhouse!$Z1010</f>
        <v>0.25069444444444444</v>
      </c>
      <c r="O13" s="420" t="str">
        <f>[23]Brewhouse!$AX1010</f>
        <v>K. Benjamin</v>
      </c>
      <c r="P13" s="418"/>
      <c r="R13" s="277" t="str">
        <f t="shared" si="10"/>
        <v>CARIB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29" t="s">
        <v>6</v>
      </c>
      <c r="C14" s="366" t="str">
        <f>[23]Brewhouse!$A1011</f>
        <v>CA895</v>
      </c>
      <c r="D14" s="279">
        <f>[23]Brewhouse!$AF1011</f>
        <v>51.9</v>
      </c>
      <c r="E14" s="279">
        <f>[23]Brewhouse!$AI1011</f>
        <v>52.5</v>
      </c>
      <c r="F14" s="278">
        <f>[23]Brewhouse!$V1011</f>
        <v>67</v>
      </c>
      <c r="G14" s="279">
        <f>[23]Brewhouse!AG1011</f>
        <v>11.6</v>
      </c>
      <c r="H14" s="396">
        <v>11.6</v>
      </c>
      <c r="I14" s="368">
        <f>[23]Brewhouse!$AU1011</f>
        <v>100.75552168444408</v>
      </c>
      <c r="J14" s="368">
        <f>[23]Brewhouse!$AV1011</f>
        <v>101.27785757058845</v>
      </c>
      <c r="K14" s="281">
        <f>[23]Brewhouse!$Q1011</f>
        <v>3.6158192090395511</v>
      </c>
      <c r="L14" s="276">
        <f>[23]Brewhouse!$P1011</f>
        <v>61</v>
      </c>
      <c r="M14" s="397">
        <f>[23]Brewhouse!$U1011-[23]Brewhouse!$T1011</f>
        <v>0.1166666666666667</v>
      </c>
      <c r="N14" s="370">
        <f>[23]Brewhouse!$Z1011</f>
        <v>0.26388888888888884</v>
      </c>
      <c r="O14" s="420" t="str">
        <f>[23]Brewhouse!$AX1011</f>
        <v>R. Regis</v>
      </c>
      <c r="P14" s="418"/>
      <c r="R14" s="277" t="str">
        <f t="shared" si="10"/>
        <v>CARIB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489">
        <v>46001</v>
      </c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10"/>
        <v>46001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customHeight="1">
      <c r="B16" s="29" t="s">
        <v>6</v>
      </c>
      <c r="C16" s="366" t="str">
        <f>[23]Brewhouse!$A1012</f>
        <v>CA896</v>
      </c>
      <c r="D16" s="279">
        <f>[23]Brewhouse!$AF1012</f>
        <v>52.8</v>
      </c>
      <c r="E16" s="279">
        <f>[23]Brewhouse!$AI1012</f>
        <v>53.5</v>
      </c>
      <c r="F16" s="278">
        <f>[23]Brewhouse!$V1012</f>
        <v>64</v>
      </c>
      <c r="G16" s="279">
        <f>[23]Brewhouse!AG1012</f>
        <v>11.6</v>
      </c>
      <c r="H16" s="396">
        <v>11.6</v>
      </c>
      <c r="I16" s="368">
        <f>[23]Brewhouse!$AU1012</f>
        <v>103.05617552998515</v>
      </c>
      <c r="J16" s="368">
        <f>[23]Brewhouse!$AV1012</f>
        <v>103.59030891364365</v>
      </c>
      <c r="K16" s="281">
        <f>[23]Brewhouse!$Q1012</f>
        <v>2.6741996233521688</v>
      </c>
      <c r="L16" s="276">
        <f>[23]Brewhouse!$P1012</f>
        <v>60</v>
      </c>
      <c r="M16" s="397">
        <f>[23]Brewhouse!$U1012-[23]Brewhouse!$T1012</f>
        <v>0.11180555555555571</v>
      </c>
      <c r="N16" s="370">
        <f>[23]Brewhouse!$Z1012</f>
        <v>0.25416666666666665</v>
      </c>
      <c r="O16" s="420" t="str">
        <f>[23]Brewhouse!$AX1012</f>
        <v>R. Regis</v>
      </c>
      <c r="P16" s="418"/>
      <c r="R16" s="277" t="str">
        <f t="shared" si="10"/>
        <v>CARIB</v>
      </c>
      <c r="S16" s="475">
        <f t="shared" si="1"/>
        <v>11.6</v>
      </c>
      <c r="T16" s="475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5">
        <f t="shared" si="8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1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1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1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1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469"/>
      <c r="I21" s="368"/>
      <c r="J21" s="368"/>
      <c r="K21" s="281"/>
      <c r="L21" s="276"/>
      <c r="M21" s="397"/>
      <c r="N21" s="370"/>
      <c r="O21" s="420"/>
      <c r="P21" s="418"/>
      <c r="R21" s="277">
        <f t="shared" si="1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28"/>
      <c r="J23" s="528"/>
      <c r="K23" s="528"/>
      <c r="L23" s="528"/>
      <c r="M23" s="528"/>
      <c r="N23" s="528"/>
      <c r="O23" s="1"/>
      <c r="P23" s="12"/>
      <c r="R23" s="277">
        <f t="shared" si="1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5.75" customHeight="1" thickBot="1">
      <c r="B24" s="388" t="s">
        <v>162</v>
      </c>
      <c r="C24" s="388"/>
      <c r="D24" s="506" t="s">
        <v>35</v>
      </c>
      <c r="E24" s="50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0"/>
        <v xml:space="preserve">BRAND 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" customHeight="1">
      <c r="A25" s="28"/>
      <c r="B25" s="587" t="str">
        <f>I25</f>
        <v>CARIB</v>
      </c>
      <c r="C25" s="362" cm="1">
        <f t="array" ref="C25:C36">[23]Process!$D$954:$D$965</f>
        <v>11.9</v>
      </c>
      <c r="D25" s="532">
        <v>11.85</v>
      </c>
      <c r="E25" s="533"/>
      <c r="F25" s="294"/>
      <c r="G25" s="294"/>
      <c r="H25" s="348"/>
      <c r="I25" s="29" t="s">
        <v>6</v>
      </c>
      <c r="J25" s="280">
        <f>AVERAGE(I10:I14)</f>
        <v>98.316179014968839</v>
      </c>
      <c r="K25" s="284">
        <f>COUNTA([23]Brewhouse!$A$1005:$A$1012)</f>
        <v>8</v>
      </c>
      <c r="L25" s="305">
        <f>AVERAGE([23]Brewhouse!$AU$1005:$AU$1012)</f>
        <v>99.501563969219447</v>
      </c>
      <c r="M2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$1012)</f>
        <v>97.76898557125601</v>
      </c>
      <c r="N25" s="30">
        <v>98</v>
      </c>
      <c r="O25" s="11"/>
      <c r="P25" s="31"/>
      <c r="R25" s="277" t="str">
        <f t="shared" si="10"/>
        <v>CARIB</v>
      </c>
      <c r="S25" s="475">
        <f t="shared" si="1"/>
        <v>11.6</v>
      </c>
      <c r="T25" s="475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5">
        <f t="shared" si="8"/>
        <v>60</v>
      </c>
    </row>
    <row r="26" spans="1:27" ht="15" customHeight="1">
      <c r="A26" s="28"/>
      <c r="B26" s="588"/>
      <c r="C26" s="362">
        <v>11.9</v>
      </c>
      <c r="D26" s="534"/>
      <c r="E26" s="535"/>
      <c r="F26" s="294"/>
      <c r="G26" s="294"/>
      <c r="H26" s="348"/>
      <c r="I26" s="33" t="s">
        <v>9</v>
      </c>
      <c r="J26" s="280"/>
      <c r="K26" s="284">
        <f>COUNTA([24]Brewhouse!$A$486:$A$503)</f>
        <v>18</v>
      </c>
      <c r="L26" s="302">
        <f>AVERAGE([24]Brewhouse!$AS$486:$AS$503)</f>
        <v>96.253728965319596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$503)</f>
        <v>97.787421114961489</v>
      </c>
      <c r="N26" s="30">
        <v>98</v>
      </c>
      <c r="O26" s="11"/>
      <c r="P26" s="31"/>
      <c r="R26" s="277">
        <f t="shared" si="1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4.65" customHeight="1">
      <c r="A27" s="28"/>
      <c r="B27" s="588"/>
      <c r="C27" s="362">
        <v>11.8</v>
      </c>
      <c r="D27" s="580">
        <v>11.9</v>
      </c>
      <c r="E27" s="581"/>
      <c r="F27" s="294"/>
      <c r="G27" s="294"/>
      <c r="H27" s="348"/>
      <c r="I27" s="34" t="s">
        <v>12</v>
      </c>
      <c r="J27" s="280"/>
      <c r="K27" s="284">
        <f>COUNTA([25]Brewhouse!$A$125:$A$132)</f>
        <v>8</v>
      </c>
      <c r="L27" s="302">
        <f>AVERAGE([25]Brewhouse!$AU$125:$AU$132)</f>
        <v>96.474285660381511</v>
      </c>
      <c r="M27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7" s="30">
        <v>98</v>
      </c>
      <c r="O27" s="11"/>
      <c r="P27" s="31"/>
      <c r="R27" s="277">
        <f t="shared" si="9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4.65" customHeight="1">
      <c r="A28" s="28"/>
      <c r="B28" s="588"/>
      <c r="C28" s="362">
        <v>11.8</v>
      </c>
      <c r="D28" s="547"/>
      <c r="E28" s="535"/>
      <c r="F28" s="294"/>
      <c r="G28" s="294"/>
      <c r="H28" s="348"/>
      <c r="I28" s="22" t="s">
        <v>33</v>
      </c>
      <c r="J28" s="280"/>
      <c r="K28" s="284">
        <f>COUNTA([22]Brewhouse!$A$107:$A$116)</f>
        <v>10</v>
      </c>
      <c r="L28" s="302">
        <f>AVERAGE([22]Brewhouse!$AV$107:$AV$116)</f>
        <v>97.093478275115658</v>
      </c>
      <c r="M28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28" s="30">
        <v>98</v>
      </c>
      <c r="O28" s="11"/>
      <c r="P28" s="31"/>
      <c r="R28" s="277">
        <f t="shared" si="9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88"/>
      <c r="C29" s="362">
        <v>11.6</v>
      </c>
      <c r="D29" s="580">
        <v>11.74</v>
      </c>
      <c r="E29" s="58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88"/>
      <c r="C30" s="362">
        <v>11.9</v>
      </c>
      <c r="D30" s="547"/>
      <c r="E30" s="535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9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4.65" customHeight="1">
      <c r="A31" s="28"/>
      <c r="B31" s="588"/>
      <c r="C31" s="362">
        <v>11.7</v>
      </c>
      <c r="D31" s="580">
        <v>11.79</v>
      </c>
      <c r="E31" s="581"/>
      <c r="F31" s="417"/>
      <c r="G31" s="294"/>
      <c r="H31" s="348"/>
      <c r="I31" s="37" t="s">
        <v>16</v>
      </c>
      <c r="J31" s="323"/>
      <c r="K31" s="284">
        <f>COUNTA([27]Brewhouse!$A$99:$A$108)</f>
        <v>10</v>
      </c>
      <c r="L31" s="302">
        <f>AVERAGE([27]Brewhouse!$AY$99:$AY$108)</f>
        <v>97.413703162837948</v>
      </c>
      <c r="M31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31" s="30">
        <v>98</v>
      </c>
      <c r="O31" s="11"/>
      <c r="P31" s="31" t="s">
        <v>41</v>
      </c>
      <c r="R31" s="277">
        <f t="shared" si="9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4.65" customHeight="1">
      <c r="A32" s="28"/>
      <c r="B32" s="588"/>
      <c r="C32" s="362">
        <v>11.6</v>
      </c>
      <c r="D32" s="547"/>
      <c r="E32" s="535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9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88"/>
      <c r="C33" s="349">
        <v>11.9</v>
      </c>
      <c r="D33" s="580">
        <v>11.8</v>
      </c>
      <c r="E33" s="581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9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5" customHeight="1" thickBot="1">
      <c r="A34" s="28"/>
      <c r="B34" s="588"/>
      <c r="C34" s="349">
        <v>11.8</v>
      </c>
      <c r="D34" s="547"/>
      <c r="E34" s="535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9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5" customHeight="1" thickBot="1">
      <c r="A35" s="28"/>
      <c r="B35" s="588"/>
      <c r="C35" s="349">
        <v>11.7</v>
      </c>
      <c r="D35" s="532">
        <v>11.82</v>
      </c>
      <c r="E35" s="533"/>
      <c r="F35" s="294"/>
      <c r="G35" s="294"/>
      <c r="H35" s="348"/>
      <c r="I35" s="1"/>
      <c r="J35" s="39"/>
      <c r="K35" s="404">
        <f>SUM(K25:K34)</f>
        <v>54</v>
      </c>
      <c r="L35" s="405">
        <f>((L25*K25)+(L26*K26)+(L27*K27)+(L28*K28)+(L29*K29)+(K32*L32)+(L30*K30)+(L31*K31)+(L34*K34))/(K35)</f>
        <v>97.137883940594378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97.531738633741242</v>
      </c>
      <c r="N35" s="40">
        <v>98</v>
      </c>
      <c r="O35" s="11"/>
      <c r="P35" s="31"/>
      <c r="R35" s="277">
        <f t="shared" si="9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.75" thickBot="1">
      <c r="B36" s="589"/>
      <c r="C36" s="350">
        <v>11.7</v>
      </c>
      <c r="D36" s="534"/>
      <c r="E36" s="53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.75" thickBot="1">
      <c r="B37" s="529"/>
      <c r="C37" s="362"/>
      <c r="D37" s="545"/>
      <c r="E37" s="546"/>
      <c r="F37" s="294"/>
      <c r="G37" s="42"/>
      <c r="H37" s="41"/>
      <c r="I37" s="42"/>
      <c r="J37" s="579" t="s">
        <v>129</v>
      </c>
      <c r="K37" s="579"/>
      <c r="L37" s="294"/>
      <c r="M37" s="294"/>
      <c r="N37" s="294"/>
      <c r="O37" s="294"/>
      <c r="P37" s="12"/>
    </row>
    <row r="38" spans="1:56" ht="15.75" thickBot="1">
      <c r="B38" s="530"/>
      <c r="C38" s="362"/>
      <c r="D38" s="547"/>
      <c r="E38" s="535"/>
      <c r="F38" s="294"/>
      <c r="G38" s="42"/>
      <c r="H38" s="42"/>
      <c r="I38" s="42"/>
      <c r="J38" s="292" t="s">
        <v>17</v>
      </c>
      <c r="K38" s="293" t="s">
        <v>147</v>
      </c>
      <c r="L38" s="549" t="s">
        <v>136</v>
      </c>
      <c r="M38" s="549"/>
      <c r="N38" s="550"/>
      <c r="O38" s="294"/>
      <c r="P38" s="12"/>
    </row>
    <row r="39" spans="1:56" ht="15" customHeight="1" thickBot="1">
      <c r="B39" s="530"/>
      <c r="C39" s="349"/>
      <c r="D39" s="580"/>
      <c r="E39" s="581"/>
      <c r="F39" s="294"/>
      <c r="G39" s="42"/>
      <c r="H39" s="42"/>
      <c r="I39" s="42"/>
      <c r="J39" s="287" t="s">
        <v>6</v>
      </c>
      <c r="K39" s="324">
        <f>COUNTA(C10:C14)</f>
        <v>5</v>
      </c>
      <c r="L39" s="476" t="s">
        <v>37</v>
      </c>
      <c r="M39" s="477" t="s">
        <v>38</v>
      </c>
      <c r="N39" s="477" t="s">
        <v>84</v>
      </c>
      <c r="O39" s="294"/>
      <c r="P39" s="12"/>
    </row>
    <row r="40" spans="1:56" ht="15.75" customHeight="1" thickBot="1">
      <c r="B40" s="530"/>
      <c r="C40" s="349"/>
      <c r="D40" s="547"/>
      <c r="E40" s="535"/>
      <c r="F40" s="294"/>
      <c r="G40" s="42"/>
      <c r="H40" s="42"/>
      <c r="I40" s="42"/>
      <c r="J40" s="345" t="s">
        <v>9</v>
      </c>
      <c r="K40" s="324"/>
      <c r="L40" s="344">
        <f>AVERAGE('Dec 1st'!K43,'Dec 2nd'!K49,'Dec 3rd '!K58,'Dec 4th'!K51,'Dec 5th-7th'!I70,'Dec 5th-7th'!J70,'Dec 5th-7th'!K70,'Dec 8th '!K49,'Dec 9th'!K49)</f>
        <v>5.8888888888888893</v>
      </c>
      <c r="M40" s="325">
        <f>AVERAGE('[31]Jan 29th '!$M$70,'[32]Feb 28th'!$L$40,'[33]Mar. 31st'!$L$40,'[34]Apr. 30th'!$L$50,'[35]May 30th'!$L$42,'[36]June 30th'!$L$62,'[37]July 29th '!$L$49,'[38]Aug 29th'!$L$34,'[39]Sept 30th'!$L$40,[40]Oct.31st!$L$43,'[41]Nov 28th-30th'!$L$45,L40)</f>
        <v>6.8802718252804063</v>
      </c>
      <c r="N40" s="416">
        <v>9.1999999999999993</v>
      </c>
      <c r="O40" s="294"/>
      <c r="P40" s="12"/>
    </row>
    <row r="41" spans="1:56" ht="15" customHeight="1">
      <c r="B41" s="530"/>
      <c r="C41" s="349"/>
      <c r="D41" s="580"/>
      <c r="E41" s="581"/>
      <c r="F41" s="294"/>
      <c r="G41" s="42"/>
      <c r="H41" s="42"/>
      <c r="I41" s="42"/>
      <c r="J41" s="288" t="s">
        <v>40</v>
      </c>
      <c r="K41" s="324">
        <v>1</v>
      </c>
      <c r="L41" s="294"/>
      <c r="M41" s="294"/>
      <c r="N41" s="294"/>
      <c r="O41" s="294"/>
      <c r="P41" s="12"/>
    </row>
    <row r="42" spans="1:56" ht="15" customHeight="1">
      <c r="B42" s="530"/>
      <c r="C42" s="349"/>
      <c r="D42" s="547"/>
      <c r="E42" s="535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30"/>
      <c r="C43" s="349"/>
      <c r="D43" s="580"/>
      <c r="E43" s="58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0"/>
      <c r="C44" s="349"/>
      <c r="D44" s="547"/>
      <c r="E44" s="53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30"/>
      <c r="C45" s="349"/>
      <c r="D45" s="580"/>
      <c r="E45" s="58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1"/>
      <c r="C46" s="350"/>
      <c r="D46" s="582"/>
      <c r="E46" s="58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7"/>
      <c r="E47" s="578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57" t="s">
        <v>17</v>
      </c>
      <c r="C52" s="557" t="s">
        <v>44</v>
      </c>
      <c r="D52" s="559" t="s">
        <v>45</v>
      </c>
      <c r="E52" s="514" t="s">
        <v>46</v>
      </c>
      <c r="F52" s="574" t="s">
        <v>47</v>
      </c>
      <c r="G52" s="568" t="s">
        <v>48</v>
      </c>
      <c r="H52" s="557" t="s">
        <v>49</v>
      </c>
      <c r="I52" s="557" t="s">
        <v>50</v>
      </c>
      <c r="J52" s="562" t="s">
        <v>28</v>
      </c>
      <c r="K52" s="512" t="s">
        <v>51</v>
      </c>
      <c r="L52" s="524" t="s">
        <v>52</v>
      </c>
      <c r="M52" s="562" t="s">
        <v>53</v>
      </c>
      <c r="N52" s="13"/>
      <c r="O52" s="13"/>
      <c r="P52" s="50"/>
    </row>
    <row r="53" spans="2:57" ht="28.5" customHeight="1" thickTop="1" thickBot="1">
      <c r="B53" s="558"/>
      <c r="C53" s="558"/>
      <c r="D53" s="560"/>
      <c r="E53" s="561"/>
      <c r="F53" s="575"/>
      <c r="G53" s="569"/>
      <c r="H53" s="576"/>
      <c r="I53" s="576"/>
      <c r="J53" s="563"/>
      <c r="K53" s="572"/>
      <c r="L53" s="573"/>
      <c r="M53" s="563"/>
      <c r="N53" s="13"/>
      <c r="O53" s="13"/>
      <c r="P53" s="50"/>
      <c r="Q53" s="355"/>
      <c r="AB53" s="478">
        <v>43474</v>
      </c>
      <c r="AC53" s="478">
        <v>43475</v>
      </c>
      <c r="AD53" s="478">
        <v>43476</v>
      </c>
      <c r="AE53" s="478">
        <v>43477</v>
      </c>
      <c r="AF53" s="478">
        <v>43478</v>
      </c>
      <c r="AG53" s="478">
        <v>43479</v>
      </c>
      <c r="AH53" s="478">
        <v>43480</v>
      </c>
      <c r="AI53" s="478">
        <v>43481</v>
      </c>
      <c r="AJ53" s="478">
        <v>43482</v>
      </c>
      <c r="AK53" s="478">
        <v>43483</v>
      </c>
      <c r="AL53" s="478">
        <v>43484</v>
      </c>
      <c r="AM53" s="478">
        <v>43485</v>
      </c>
      <c r="AN53" s="478">
        <v>43486</v>
      </c>
      <c r="AO53" s="478">
        <v>43487</v>
      </c>
      <c r="AP53" s="478">
        <v>43488</v>
      </c>
      <c r="AQ53" s="478">
        <v>43489</v>
      </c>
      <c r="AR53" s="478">
        <v>43490</v>
      </c>
      <c r="AS53" s="478">
        <v>43491</v>
      </c>
      <c r="AT53" s="478">
        <v>43492</v>
      </c>
      <c r="AU53" s="478">
        <v>43493</v>
      </c>
      <c r="AV53" s="478">
        <v>43494</v>
      </c>
      <c r="AW53" s="478">
        <v>43495</v>
      </c>
      <c r="AX53" s="478">
        <v>43496</v>
      </c>
    </row>
    <row r="54" spans="2:57" s="54" customFormat="1" ht="43.15" customHeight="1" thickBot="1">
      <c r="B54" s="456" t="str">
        <f>J39</f>
        <v>CARIB</v>
      </c>
      <c r="C54" s="441">
        <v>46000</v>
      </c>
      <c r="D54" s="442">
        <f>[42]December_2025!$K$3</f>
        <v>200.2</v>
      </c>
      <c r="E54" s="443"/>
      <c r="F54" s="444"/>
      <c r="G54" s="444">
        <f>[42]December_2025!$K$7</f>
        <v>191</v>
      </c>
      <c r="H54" s="458"/>
      <c r="I54" s="458"/>
      <c r="J54" s="448" t="s">
        <v>186</v>
      </c>
      <c r="K54" s="449">
        <f>[43]December_2025!$K$18</f>
        <v>0.6701754385964912</v>
      </c>
      <c r="L54" s="486">
        <f>(((D54+E54)-G54)/(D54+E54))*100</f>
        <v>4.5954045954045899</v>
      </c>
      <c r="M54" s="455" t="s">
        <v>187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customHeight="1" thickBot="1">
      <c r="B56" s="456" t="str">
        <f>J39</f>
        <v>CARIB</v>
      </c>
      <c r="C56" s="441">
        <v>46000</v>
      </c>
      <c r="D56" s="442">
        <f>[42]December_2025!$L$3</f>
        <v>411.28000000000003</v>
      </c>
      <c r="E56" s="443"/>
      <c r="F56" s="444"/>
      <c r="G56" s="445">
        <f>[42]December_2025!$L$7</f>
        <v>380.2</v>
      </c>
      <c r="H56" s="458"/>
      <c r="I56" s="458"/>
      <c r="J56" s="448" t="s">
        <v>185</v>
      </c>
      <c r="K56" s="460">
        <f>[43]December_2025!$L$18</f>
        <v>0.2668070175438596</v>
      </c>
      <c r="L56" s="457">
        <f>(((D56+E56)-G56)/(D56+E56))*100</f>
        <v>7.5568955456137035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 t="e">
        <f>(((D60+E60)-G60)/(D60+E60))*100</f>
        <v>#DIV/0!</v>
      </c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64" t="s">
        <v>55</v>
      </c>
      <c r="C63" s="565"/>
      <c r="D63" s="565"/>
      <c r="E63" s="565"/>
      <c r="F63" s="566"/>
      <c r="G63" s="564" t="s">
        <v>56</v>
      </c>
      <c r="H63" s="565"/>
      <c r="I63" s="565"/>
      <c r="J63" s="566"/>
      <c r="K63" s="564" t="s">
        <v>51</v>
      </c>
      <c r="L63" s="565"/>
      <c r="M63" s="565"/>
      <c r="N63" s="56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>
        <f>AVERAGE(L54,L56)</f>
        <v>6.0761500705091471</v>
      </c>
      <c r="D65" s="76">
        <v>6.2340316811445922</v>
      </c>
      <c r="E65" s="76">
        <v>6.0773431397377013</v>
      </c>
      <c r="F65" s="66">
        <v>4.8</v>
      </c>
      <c r="G65" s="65">
        <f>AVERAGE([42]December_2025!$K$11:$L$11)</f>
        <v>5.7721576625133242</v>
      </c>
      <c r="H65" s="491">
        <v>5.6485075406120568</v>
      </c>
      <c r="I65" s="76">
        <v>5.9917086961662607</v>
      </c>
      <c r="J65" s="66">
        <v>4.8</v>
      </c>
      <c r="K65" s="67">
        <f>AVERAGE(K54,K56)</f>
        <v>0.4684912280701754</v>
      </c>
      <c r="L65" s="194">
        <v>0.45889473684210524</v>
      </c>
      <c r="M65" s="194">
        <v>0.72186132308783935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1.5625804017083973</v>
      </c>
      <c r="E66" s="76">
        <v>5.5960664917440779</v>
      </c>
      <c r="F66" s="66">
        <v>4.8</v>
      </c>
      <c r="G66" s="65"/>
      <c r="H66" s="76">
        <v>2.1472714173633256</v>
      </c>
      <c r="I66" s="76">
        <v>6.1167972180873393</v>
      </c>
      <c r="J66" s="66">
        <v>4.8</v>
      </c>
      <c r="K66" s="67"/>
      <c r="L66" s="194">
        <v>0.45210526315789473</v>
      </c>
      <c r="M66" s="194">
        <v>0.67706581940207577</v>
      </c>
      <c r="N66" s="68">
        <v>1</v>
      </c>
      <c r="P66" s="69"/>
    </row>
    <row r="67" spans="2:16" ht="15">
      <c r="B67" s="34" t="s">
        <v>40</v>
      </c>
      <c r="C67" s="65"/>
      <c r="D67" s="76">
        <v>12.618296529968443</v>
      </c>
      <c r="E67" s="76">
        <v>11.122539172358353</v>
      </c>
      <c r="F67" s="66">
        <v>5.5</v>
      </c>
      <c r="G67" s="65"/>
      <c r="H67" s="76">
        <v>12.288892572095527</v>
      </c>
      <c r="I67" s="76">
        <v>12.520142311925225</v>
      </c>
      <c r="J67" s="66">
        <v>5.5</v>
      </c>
      <c r="K67" s="67"/>
      <c r="L67" s="194">
        <v>0.31587719298245615</v>
      </c>
      <c r="M67" s="194">
        <v>0.50769967246157732</v>
      </c>
      <c r="N67" s="68">
        <v>1</v>
      </c>
      <c r="P67" s="69"/>
    </row>
    <row r="68" spans="2:16" ht="15">
      <c r="B68" s="22" t="s">
        <v>33</v>
      </c>
      <c r="C68" s="65"/>
      <c r="D68" s="76">
        <v>3.6210127551534388</v>
      </c>
      <c r="E68" s="76">
        <v>4.5238317691984813</v>
      </c>
      <c r="F68" s="66">
        <v>3.3</v>
      </c>
      <c r="G68" s="65"/>
      <c r="H68" s="76">
        <v>2.8491888487026817</v>
      </c>
      <c r="I68" s="76">
        <v>4.2621233200108142</v>
      </c>
      <c r="J68" s="66">
        <v>3.3</v>
      </c>
      <c r="K68" s="67"/>
      <c r="L68" s="194">
        <v>0.67114035087719304</v>
      </c>
      <c r="M68" s="194">
        <v>0.81111567982456145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/>
      <c r="E71" s="76">
        <v>2.9297033255778997</v>
      </c>
      <c r="F71" s="66">
        <v>3.3</v>
      </c>
      <c r="G71" s="282"/>
      <c r="H71" s="76"/>
      <c r="I71" s="76">
        <v>4.2684292436723528</v>
      </c>
      <c r="J71" s="66">
        <v>3.3</v>
      </c>
      <c r="K71" s="67"/>
      <c r="L71" s="194"/>
      <c r="M71" s="194">
        <v>0.84660147761842675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5.7614064689953493</v>
      </c>
      <c r="E74" s="76">
        <v>6.094747491041395</v>
      </c>
      <c r="F74" s="341">
        <v>5.5</v>
      </c>
      <c r="H74" s="76">
        <v>5.6816501323936395</v>
      </c>
      <c r="I74" s="76">
        <v>6.5080670856854468</v>
      </c>
      <c r="J74" s="341">
        <v>5.5</v>
      </c>
      <c r="L74" s="194">
        <v>0.4886608187134503</v>
      </c>
      <c r="M74" s="194">
        <v>0.69747529665587926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764" priority="44" operator="notBetween">
      <formula>#REF!</formula>
      <formula>#REF!</formula>
    </cfRule>
  </conditionalFormatting>
  <conditionalFormatting sqref="C51">
    <cfRule type="cellIs" dxfId="2763" priority="190" stopIfTrue="1" operator="greaterThan">
      <formula>100</formula>
    </cfRule>
    <cfRule type="cellIs" dxfId="2762" priority="189" stopIfTrue="1" operator="lessThan">
      <formula>96</formula>
    </cfRule>
  </conditionalFormatting>
  <conditionalFormatting sqref="C65:C69">
    <cfRule type="cellIs" dxfId="2761" priority="143" stopIfTrue="1" operator="lessThanOrEqual">
      <formula>0</formula>
    </cfRule>
  </conditionalFormatting>
  <conditionalFormatting sqref="C65:C73">
    <cfRule type="cellIs" dxfId="2760" priority="142" stopIfTrue="1" operator="greaterThan">
      <formula>$F65</formula>
    </cfRule>
  </conditionalFormatting>
  <conditionalFormatting sqref="C66">
    <cfRule type="cellIs" dxfId="2759" priority="193" stopIfTrue="1" operator="greaterThan">
      <formula>$F65</formula>
    </cfRule>
  </conditionalFormatting>
  <conditionalFormatting sqref="C70">
    <cfRule type="cellIs" dxfId="2758" priority="83" stopIfTrue="1" operator="greaterThan">
      <formula>$F69</formula>
    </cfRule>
    <cfRule type="cellIs" dxfId="2757" priority="82" stopIfTrue="1" operator="lessThanOrEqual">
      <formula>0</formula>
    </cfRule>
  </conditionalFormatting>
  <conditionalFormatting sqref="C76:C80">
    <cfRule type="cellIs" dxfId="2756" priority="181" stopIfTrue="1" operator="lessThanOrEqual">
      <formula>0</formula>
    </cfRule>
  </conditionalFormatting>
  <conditionalFormatting sqref="C77:C80">
    <cfRule type="cellIs" dxfId="2755" priority="180" stopIfTrue="1" operator="greaterThan">
      <formula>$F$76</formula>
    </cfRule>
  </conditionalFormatting>
  <conditionalFormatting sqref="C82">
    <cfRule type="cellIs" dxfId="2754" priority="183" stopIfTrue="1" operator="lessThanOrEqual">
      <formula>0</formula>
    </cfRule>
    <cfRule type="cellIs" dxfId="2753" priority="182" stopIfTrue="1" operator="greaterThan">
      <formula>$F$76</formula>
    </cfRule>
  </conditionalFormatting>
  <conditionalFormatting sqref="C76:D76 D78:D84">
    <cfRule type="cellIs" dxfId="2752" priority="175" stopIfTrue="1" operator="greaterThan">
      <formula>4.5</formula>
    </cfRule>
  </conditionalFormatting>
  <conditionalFormatting sqref="D47:D48">
    <cfRule type="cellIs" dxfId="2751" priority="45" operator="notBetween">
      <formula>#REF!</formula>
      <formula>#REF!</formula>
    </cfRule>
  </conditionalFormatting>
  <conditionalFormatting sqref="D65:D72">
    <cfRule type="cellIs" dxfId="2750" priority="155" stopIfTrue="1" operator="lessThanOrEqual">
      <formula>0</formula>
    </cfRule>
  </conditionalFormatting>
  <conditionalFormatting sqref="D73">
    <cfRule type="cellIs" dxfId="2749" priority="154" stopIfTrue="1" operator="lessThanOrEqual">
      <formula>0</formula>
    </cfRule>
  </conditionalFormatting>
  <conditionalFormatting sqref="D76 D78:D84">
    <cfRule type="cellIs" dxfId="2748" priority="176" stopIfTrue="1" operator="lessThanOrEqual">
      <formula>0</formula>
    </cfRule>
  </conditionalFormatting>
  <conditionalFormatting sqref="D77">
    <cfRule type="cellIs" dxfId="2747" priority="168" stopIfTrue="1" operator="lessThanOrEqual">
      <formula>0</formula>
    </cfRule>
    <cfRule type="cellIs" dxfId="2746" priority="167" stopIfTrue="1" operator="greaterThan">
      <formula>$F$76</formula>
    </cfRule>
  </conditionalFormatting>
  <conditionalFormatting sqref="D65:E74">
    <cfRule type="cellIs" dxfId="2745" priority="140" stopIfTrue="1" operator="greaterThan">
      <formula>$F65</formula>
    </cfRule>
  </conditionalFormatting>
  <conditionalFormatting sqref="D74:E74">
    <cfRule type="cellIs" dxfId="2744" priority="141" stopIfTrue="1" operator="lessThanOrEqual">
      <formula>0</formula>
    </cfRule>
  </conditionalFormatting>
  <conditionalFormatting sqref="E10:E22">
    <cfRule type="cellIs" dxfId="2743" priority="19" operator="lessThan">
      <formula>48</formula>
    </cfRule>
  </conditionalFormatting>
  <conditionalFormatting sqref="E50 E51:F51">
    <cfRule type="cellIs" dxfId="2742" priority="172" stopIfTrue="1" operator="greaterThan">
      <formula>100</formula>
    </cfRule>
  </conditionalFormatting>
  <conditionalFormatting sqref="E51">
    <cfRule type="cellIs" dxfId="2741" priority="170" stopIfTrue="1" operator="greaterThan">
      <formula>100</formula>
    </cfRule>
    <cfRule type="cellIs" dxfId="2740" priority="169" stopIfTrue="1" operator="lessThan">
      <formula>96.8</formula>
    </cfRule>
  </conditionalFormatting>
  <conditionalFormatting sqref="E65:E73">
    <cfRule type="cellIs" dxfId="2739" priority="151" stopIfTrue="1" operator="lessThanOrEqual">
      <formula>0</formula>
    </cfRule>
  </conditionalFormatting>
  <conditionalFormatting sqref="E76:E84">
    <cfRule type="cellIs" dxfId="2738" priority="162" stopIfTrue="1" operator="lessThanOrEqual">
      <formula>0</formula>
    </cfRule>
    <cfRule type="cellIs" dxfId="2737" priority="161" stopIfTrue="1" operator="greaterThan">
      <formula>4.5</formula>
    </cfRule>
  </conditionalFormatting>
  <conditionalFormatting sqref="E51:F51 E50">
    <cfRule type="cellIs" dxfId="2736" priority="171" stopIfTrue="1" operator="lessThan">
      <formula>96.5</formula>
    </cfRule>
  </conditionalFormatting>
  <conditionalFormatting sqref="F10:F22">
    <cfRule type="cellIs" dxfId="2735" priority="20" operator="greaterThan">
      <formula>60</formula>
    </cfRule>
  </conditionalFormatting>
  <conditionalFormatting sqref="F51">
    <cfRule type="cellIs" dxfId="2734" priority="188" stopIfTrue="1" operator="greaterThan">
      <formula>100</formula>
    </cfRule>
    <cfRule type="cellIs" dxfId="2733" priority="187" stopIfTrue="1" operator="lessThan">
      <formula>96.8</formula>
    </cfRule>
  </conditionalFormatting>
  <conditionalFormatting sqref="F74">
    <cfRule type="cellIs" dxfId="2732" priority="153" stopIfTrue="1" operator="lessThanOrEqual">
      <formula>0</formula>
    </cfRule>
    <cfRule type="cellIs" dxfId="2731" priority="152" stopIfTrue="1" operator="greaterThan">
      <formula>$F74</formula>
    </cfRule>
  </conditionalFormatting>
  <conditionalFormatting sqref="G10:G21">
    <cfRule type="expression" dxfId="2730" priority="22">
      <formula>IF(+(IF(G10&lt;S10,0,IF(G10&gt;T10,0,1)))=0,1)</formula>
    </cfRule>
  </conditionalFormatting>
  <conditionalFormatting sqref="G65:G66 C71:C73">
    <cfRule type="cellIs" dxfId="2729" priority="157" stopIfTrue="1" operator="lessThanOrEqual">
      <formula>0</formula>
    </cfRule>
  </conditionalFormatting>
  <conditionalFormatting sqref="G65:G66">
    <cfRule type="cellIs" dxfId="2728" priority="144" stopIfTrue="1" operator="greaterThan">
      <formula>$F65</formula>
    </cfRule>
    <cfRule type="cellIs" dxfId="2727" priority="145" stopIfTrue="1" operator="lessThanOrEqual">
      <formula>0</formula>
    </cfRule>
    <cfRule type="cellIs" dxfId="2726" priority="156" stopIfTrue="1" operator="greaterThan">
      <formula>$F65</formula>
    </cfRule>
  </conditionalFormatting>
  <conditionalFormatting sqref="G67">
    <cfRule type="cellIs" dxfId="2725" priority="192" stopIfTrue="1" operator="lessThanOrEqual">
      <formula>0</formula>
    </cfRule>
    <cfRule type="cellIs" dxfId="2724" priority="191" stopIfTrue="1" operator="greaterThan">
      <formula>$F66</formula>
    </cfRule>
  </conditionalFormatting>
  <conditionalFormatting sqref="G68">
    <cfRule type="cellIs" dxfId="2723" priority="43" stopIfTrue="1" operator="lessThanOrEqual">
      <formula>0</formula>
    </cfRule>
    <cfRule type="cellIs" dxfId="2722" priority="40" stopIfTrue="1" operator="greaterThan">
      <formula>$F68</formula>
    </cfRule>
    <cfRule type="cellIs" dxfId="2721" priority="41" stopIfTrue="1" operator="lessThanOrEqual">
      <formula>0</formula>
    </cfRule>
    <cfRule type="cellIs" dxfId="2720" priority="42" stopIfTrue="1" operator="greaterThan">
      <formula>$F68</formula>
    </cfRule>
  </conditionalFormatting>
  <conditionalFormatting sqref="G69:G73">
    <cfRule type="cellIs" dxfId="2719" priority="159" stopIfTrue="1" operator="lessThanOrEqual">
      <formula>0</formula>
    </cfRule>
    <cfRule type="cellIs" dxfId="2718" priority="158" stopIfTrue="1" operator="greaterThan">
      <formula>$J69</formula>
    </cfRule>
  </conditionalFormatting>
  <conditionalFormatting sqref="G78:G83 C81 C83">
    <cfRule type="cellIs" dxfId="2717" priority="184" stopIfTrue="1" operator="greaterThan">
      <formula>4.5</formula>
    </cfRule>
    <cfRule type="cellIs" dxfId="2716" priority="185" stopIfTrue="1" operator="lessThanOrEqual">
      <formula>0</formula>
    </cfRule>
  </conditionalFormatting>
  <conditionalFormatting sqref="G22:H22">
    <cfRule type="expression" dxfId="2715" priority="39">
      <formula>IF(+(IF(G22&lt;#REF!,0,IF(G22&gt;#REF!,0,1)))=0,1)</formula>
    </cfRule>
  </conditionalFormatting>
  <conditionalFormatting sqref="G77:H77">
    <cfRule type="cellIs" dxfId="2714" priority="165" stopIfTrue="1" operator="greaterThan">
      <formula>$F$76</formula>
    </cfRule>
    <cfRule type="cellIs" dxfId="2713" priority="166" stopIfTrue="1" operator="lessThanOrEqual">
      <formula>0</formula>
    </cfRule>
  </conditionalFormatting>
  <conditionalFormatting sqref="H36:H37 H50">
    <cfRule type="cellIs" dxfId="2712" priority="163" stopIfTrue="1" operator="greaterThan">
      <formula>0</formula>
    </cfRule>
  </conditionalFormatting>
  <conditionalFormatting sqref="H54">
    <cfRule type="cellIs" dxfId="2711" priority="37" stopIfTrue="1" operator="greaterThan">
      <formula>$F$70</formula>
    </cfRule>
    <cfRule type="cellIs" dxfId="2710" priority="36" stopIfTrue="1" operator="lessThanOrEqual">
      <formula>0</formula>
    </cfRule>
    <cfRule type="cellIs" dxfId="2709" priority="35" stopIfTrue="1" operator="greaterThan">
      <formula>$F$72</formula>
    </cfRule>
    <cfRule type="cellIs" dxfId="2708" priority="38" stopIfTrue="1" operator="lessThanOrEqual">
      <formula>0</formula>
    </cfRule>
    <cfRule type="cellIs" dxfId="2707" priority="26" stopIfTrue="1" operator="lessThanOrEqual">
      <formula>0</formula>
    </cfRule>
    <cfRule type="cellIs" dxfId="2706" priority="27" stopIfTrue="1" operator="greaterThan">
      <formula>$F$69</formula>
    </cfRule>
  </conditionalFormatting>
  <conditionalFormatting sqref="H55">
    <cfRule type="cellIs" dxfId="2705" priority="100" stopIfTrue="1" operator="greaterThan">
      <formula>#REF!</formula>
    </cfRule>
    <cfRule type="cellIs" dxfId="2704" priority="99" stopIfTrue="1" operator="lessThanOrEqual">
      <formula>0</formula>
    </cfRule>
    <cfRule type="cellIs" dxfId="2703" priority="109" stopIfTrue="1" operator="lessThanOrEqual">
      <formula>0</formula>
    </cfRule>
    <cfRule type="cellIs" dxfId="2702" priority="111" stopIfTrue="1" operator="lessThanOrEqual">
      <formula>0</formula>
    </cfRule>
    <cfRule type="cellIs" dxfId="2701" priority="110" stopIfTrue="1" operator="greaterThan">
      <formula>#REF!</formula>
    </cfRule>
    <cfRule type="cellIs" dxfId="2700" priority="108" stopIfTrue="1" operator="greaterThan">
      <formula>$F$23</formula>
    </cfRule>
  </conditionalFormatting>
  <conditionalFormatting sqref="H56">
    <cfRule type="cellIs" dxfId="2699" priority="80" stopIfTrue="1" operator="greaterThan">
      <formula>$F$67</formula>
    </cfRule>
    <cfRule type="cellIs" dxfId="2698" priority="81" stopIfTrue="1" operator="lessThanOrEqual">
      <formula>0</formula>
    </cfRule>
    <cfRule type="cellIs" dxfId="2697" priority="79" stopIfTrue="1" operator="lessThanOrEqual">
      <formula>0</formula>
    </cfRule>
    <cfRule type="cellIs" dxfId="2696" priority="78" stopIfTrue="1" operator="greaterThan">
      <formula>$F$69</formula>
    </cfRule>
    <cfRule type="cellIs" dxfId="2695" priority="69" stopIfTrue="1" operator="lessThanOrEqual">
      <formula>0</formula>
    </cfRule>
    <cfRule type="cellIs" dxfId="2694" priority="70" stopIfTrue="1" operator="greaterThan">
      <formula>$F$66</formula>
    </cfRule>
  </conditionalFormatting>
  <conditionalFormatting sqref="H57:H58">
    <cfRule type="cellIs" dxfId="2693" priority="86" stopIfTrue="1" operator="greaterThan">
      <formula>#REF!</formula>
    </cfRule>
    <cfRule type="cellIs" dxfId="2692" priority="85" stopIfTrue="1" operator="lessThanOrEqual">
      <formula>0</formula>
    </cfRule>
    <cfRule type="cellIs" dxfId="2691" priority="97" stopIfTrue="1" operator="lessThanOrEqual">
      <formula>0</formula>
    </cfRule>
    <cfRule type="cellIs" dxfId="2690" priority="95" stopIfTrue="1" operator="lessThanOrEqual">
      <formula>0</formula>
    </cfRule>
    <cfRule type="cellIs" dxfId="2689" priority="94" stopIfTrue="1" operator="greaterThan">
      <formula>$F$22</formula>
    </cfRule>
    <cfRule type="cellIs" dxfId="2688" priority="96" stopIfTrue="1" operator="greaterThan">
      <formula>#REF!</formula>
    </cfRule>
  </conditionalFormatting>
  <conditionalFormatting sqref="H59">
    <cfRule type="cellIs" dxfId="2687" priority="115" stopIfTrue="1" operator="greaterThan">
      <formula>$F$35</formula>
    </cfRule>
    <cfRule type="cellIs" dxfId="2686" priority="125" stopIfTrue="1" operator="greaterThan">
      <formula>$F$36</formula>
    </cfRule>
    <cfRule type="cellIs" dxfId="2685" priority="123" stopIfTrue="1" operator="greaterThan">
      <formula>$F$38</formula>
    </cfRule>
    <cfRule type="cellIs" dxfId="2684" priority="126" stopIfTrue="1" operator="lessThanOrEqual">
      <formula>0</formula>
    </cfRule>
    <cfRule type="cellIs" dxfId="2683" priority="124" stopIfTrue="1" operator="lessThanOrEqual">
      <formula>0</formula>
    </cfRule>
    <cfRule type="cellIs" dxfId="2682" priority="114" stopIfTrue="1" operator="lessThanOrEqual">
      <formula>0</formula>
    </cfRule>
  </conditionalFormatting>
  <conditionalFormatting sqref="H60:H61">
    <cfRule type="cellIs" dxfId="2681" priority="55" stopIfTrue="1" operator="lessThanOrEqual">
      <formula>0</formula>
    </cfRule>
    <cfRule type="cellIs" dxfId="2680" priority="64" stopIfTrue="1" operator="greaterThan">
      <formula>$F$22</formula>
    </cfRule>
    <cfRule type="cellIs" dxfId="2679" priority="65" stopIfTrue="1" operator="lessThanOrEqual">
      <formula>0</formula>
    </cfRule>
    <cfRule type="cellIs" dxfId="2678" priority="56" stopIfTrue="1" operator="greaterThan">
      <formula>#REF!</formula>
    </cfRule>
    <cfRule type="cellIs" dxfId="2677" priority="67" stopIfTrue="1" operator="lessThanOrEqual">
      <formula>0</formula>
    </cfRule>
    <cfRule type="cellIs" dxfId="2676" priority="66" stopIfTrue="1" operator="greaterThan">
      <formula>#REF!</formula>
    </cfRule>
  </conditionalFormatting>
  <conditionalFormatting sqref="H65:H72">
    <cfRule type="cellIs" dxfId="2675" priority="146" stopIfTrue="1" operator="greaterThan">
      <formula>$J65</formula>
    </cfRule>
    <cfRule type="cellIs" dxfId="2674" priority="147" stopIfTrue="1" operator="lessThanOrEqual">
      <formula>0</formula>
    </cfRule>
  </conditionalFormatting>
  <conditionalFormatting sqref="H73">
    <cfRule type="cellIs" dxfId="2673" priority="148" operator="greaterThan">
      <formula>5.3</formula>
    </cfRule>
  </conditionalFormatting>
  <conditionalFormatting sqref="H76 H78:H84">
    <cfRule type="cellIs" dxfId="2672" priority="177" stopIfTrue="1" operator="greaterThan">
      <formula>4.5</formula>
    </cfRule>
    <cfRule type="cellIs" dxfId="2671" priority="178" stopIfTrue="1" operator="lessThanOrEqual">
      <formula>0</formula>
    </cfRule>
  </conditionalFormatting>
  <conditionalFormatting sqref="H54:I54">
    <cfRule type="cellIs" dxfId="2670" priority="25" stopIfTrue="1" operator="greaterThan">
      <formula>$F$71</formula>
    </cfRule>
    <cfRule type="cellIs" dxfId="2669" priority="28" stopIfTrue="1" operator="lessThanOrEqual">
      <formula>0</formula>
    </cfRule>
  </conditionalFormatting>
  <conditionalFormatting sqref="H55:I55">
    <cfRule type="cellIs" dxfId="2668" priority="101" stopIfTrue="1" operator="lessThanOrEqual">
      <formula>0</formula>
    </cfRule>
    <cfRule type="cellIs" dxfId="2667" priority="98" stopIfTrue="1" operator="greaterThan">
      <formula>$F$22</formula>
    </cfRule>
  </conditionalFormatting>
  <conditionalFormatting sqref="H56:I56">
    <cfRule type="cellIs" dxfId="2666" priority="71" stopIfTrue="1" operator="lessThanOrEqual">
      <formula>0</formula>
    </cfRule>
    <cfRule type="cellIs" dxfId="2665" priority="68" stopIfTrue="1" operator="greaterThan">
      <formula>$F$68</formula>
    </cfRule>
  </conditionalFormatting>
  <conditionalFormatting sqref="H57:I58">
    <cfRule type="cellIs" dxfId="2664" priority="84" stopIfTrue="1" operator="greaterThan">
      <formula>#REF!</formula>
    </cfRule>
    <cfRule type="cellIs" dxfId="2663" priority="87" stopIfTrue="1" operator="lessThanOrEqual">
      <formula>0</formula>
    </cfRule>
  </conditionalFormatting>
  <conditionalFormatting sqref="H59:I59">
    <cfRule type="cellIs" dxfId="2662" priority="113" stopIfTrue="1" operator="greaterThan">
      <formula>$F$37</formula>
    </cfRule>
    <cfRule type="cellIs" dxfId="2661" priority="116" stopIfTrue="1" operator="lessThanOrEqual">
      <formula>0</formula>
    </cfRule>
  </conditionalFormatting>
  <conditionalFormatting sqref="H60:I61">
    <cfRule type="cellIs" dxfId="2660" priority="54" stopIfTrue="1" operator="greaterThan">
      <formula>#REF!</formula>
    </cfRule>
    <cfRule type="cellIs" dxfId="2659" priority="57" stopIfTrue="1" operator="lessThanOrEqual">
      <formula>0</formula>
    </cfRule>
  </conditionalFormatting>
  <conditionalFormatting sqref="H74:I74">
    <cfRule type="cellIs" dxfId="2658" priority="139" stopIfTrue="1" operator="lessThanOrEqual">
      <formula>0</formula>
    </cfRule>
    <cfRule type="cellIs" dxfId="2657" priority="138" stopIfTrue="1" operator="greaterThan">
      <formula>$J74</formula>
    </cfRule>
  </conditionalFormatting>
  <conditionalFormatting sqref="I54">
    <cfRule type="cellIs" dxfId="2656" priority="33" stopIfTrue="1" operator="greaterThan">
      <formula>$F$69</formula>
    </cfRule>
    <cfRule type="cellIs" dxfId="2655" priority="34" stopIfTrue="1" operator="lessThanOrEqual">
      <formula>0</formula>
    </cfRule>
    <cfRule type="cellIs" dxfId="2654" priority="29" stopIfTrue="1" operator="greaterThan">
      <formula>$F$69</formula>
    </cfRule>
    <cfRule type="cellIs" dxfId="2653" priority="30" stopIfTrue="1" operator="lessThanOrEqual">
      <formula>0</formula>
    </cfRule>
    <cfRule type="cellIs" dxfId="2652" priority="31" stopIfTrue="1" operator="greaterThan">
      <formula>$F$71</formula>
    </cfRule>
    <cfRule type="cellIs" dxfId="2651" priority="32" stopIfTrue="1" operator="lessThanOrEqual">
      <formula>0</formula>
    </cfRule>
  </conditionalFormatting>
  <conditionalFormatting sqref="I55">
    <cfRule type="cellIs" dxfId="2650" priority="105" stopIfTrue="1" operator="lessThanOrEqual">
      <formula>0</formula>
    </cfRule>
    <cfRule type="cellIs" dxfId="2649" priority="106" stopIfTrue="1" operator="greaterThan">
      <formula>#REF!</formula>
    </cfRule>
    <cfRule type="cellIs" dxfId="2648" priority="103" stopIfTrue="1" operator="lessThanOrEqual">
      <formula>0</formula>
    </cfRule>
    <cfRule type="cellIs" dxfId="2647" priority="107" stopIfTrue="1" operator="lessThanOrEqual">
      <formula>0</formula>
    </cfRule>
    <cfRule type="cellIs" dxfId="2646" priority="104" stopIfTrue="1" operator="greaterThan">
      <formula>$F$22</formula>
    </cfRule>
    <cfRule type="cellIs" dxfId="2645" priority="102" stopIfTrue="1" operator="greaterThan">
      <formula>#REF!</formula>
    </cfRule>
  </conditionalFormatting>
  <conditionalFormatting sqref="I56">
    <cfRule type="cellIs" dxfId="2644" priority="74" stopIfTrue="1" operator="greaterThan">
      <formula>$F$68</formula>
    </cfRule>
    <cfRule type="cellIs" dxfId="2643" priority="73" stopIfTrue="1" operator="lessThanOrEqual">
      <formula>0</formula>
    </cfRule>
    <cfRule type="cellIs" dxfId="2642" priority="72" stopIfTrue="1" operator="greaterThan">
      <formula>$F$66</formula>
    </cfRule>
    <cfRule type="cellIs" dxfId="2641" priority="76" stopIfTrue="1" operator="greaterThan">
      <formula>$F$66</formula>
    </cfRule>
    <cfRule type="cellIs" dxfId="2640" priority="77" stopIfTrue="1" operator="lessThanOrEqual">
      <formula>0</formula>
    </cfRule>
    <cfRule type="cellIs" dxfId="2639" priority="75" stopIfTrue="1" operator="lessThanOrEqual">
      <formula>0</formula>
    </cfRule>
  </conditionalFormatting>
  <conditionalFormatting sqref="I57:I58">
    <cfRule type="cellIs" dxfId="2638" priority="91" stopIfTrue="1" operator="lessThanOrEqual">
      <formula>0</formula>
    </cfRule>
    <cfRule type="cellIs" dxfId="2637" priority="90" stopIfTrue="1" operator="greaterThan">
      <formula>#REF!</formula>
    </cfRule>
    <cfRule type="cellIs" dxfId="2636" priority="89" stopIfTrue="1" operator="lessThanOrEqual">
      <formula>0</formula>
    </cfRule>
    <cfRule type="cellIs" dxfId="2635" priority="88" stopIfTrue="1" operator="greaterThan">
      <formula>#REF!</formula>
    </cfRule>
    <cfRule type="cellIs" dxfId="2634" priority="93" stopIfTrue="1" operator="lessThanOrEqual">
      <formula>0</formula>
    </cfRule>
    <cfRule type="cellIs" dxfId="2633" priority="92" stopIfTrue="1" operator="greaterThan">
      <formula>#REF!</formula>
    </cfRule>
  </conditionalFormatting>
  <conditionalFormatting sqref="I59">
    <cfRule type="cellIs" dxfId="2632" priority="117" stopIfTrue="1" operator="greaterThan">
      <formula>$F$35</formula>
    </cfRule>
    <cfRule type="cellIs" dxfId="2631" priority="118" stopIfTrue="1" operator="lessThanOrEqual">
      <formula>0</formula>
    </cfRule>
    <cfRule type="cellIs" dxfId="2630" priority="119" stopIfTrue="1" operator="greaterThan">
      <formula>$F$37</formula>
    </cfRule>
    <cfRule type="cellIs" dxfId="2629" priority="121" stopIfTrue="1" operator="greaterThan">
      <formula>$F$35</formula>
    </cfRule>
    <cfRule type="cellIs" dxfId="2628" priority="122" stopIfTrue="1" operator="lessThanOrEqual">
      <formula>0</formula>
    </cfRule>
    <cfRule type="cellIs" dxfId="2627" priority="120" stopIfTrue="1" operator="lessThanOrEqual">
      <formula>0</formula>
    </cfRule>
  </conditionalFormatting>
  <conditionalFormatting sqref="I60:I61">
    <cfRule type="cellIs" dxfId="2626" priority="61" stopIfTrue="1" operator="lessThanOrEqual">
      <formula>0</formula>
    </cfRule>
    <cfRule type="cellIs" dxfId="2625" priority="58" stopIfTrue="1" operator="greaterThan">
      <formula>#REF!</formula>
    </cfRule>
    <cfRule type="cellIs" dxfId="2624" priority="59" stopIfTrue="1" operator="lessThanOrEqual">
      <formula>0</formula>
    </cfRule>
    <cfRule type="cellIs" dxfId="2623" priority="60" stopIfTrue="1" operator="greaterThan">
      <formula>#REF!</formula>
    </cfRule>
    <cfRule type="cellIs" dxfId="2622" priority="62" stopIfTrue="1" operator="greaterThan">
      <formula>#REF!</formula>
    </cfRule>
    <cfRule type="cellIs" dxfId="2621" priority="63" stopIfTrue="1" operator="lessThanOrEqual">
      <formula>0</formula>
    </cfRule>
  </conditionalFormatting>
  <conditionalFormatting sqref="I65:I73">
    <cfRule type="cellIs" dxfId="2620" priority="149" stopIfTrue="1" operator="greaterThan">
      <formula>$J65</formula>
    </cfRule>
    <cfRule type="cellIs" dxfId="2619" priority="150" stopIfTrue="1" operator="lessThanOrEqual">
      <formula>0</formula>
    </cfRule>
  </conditionalFormatting>
  <conditionalFormatting sqref="I76:I84">
    <cfRule type="cellIs" dxfId="2618" priority="174" stopIfTrue="1" operator="lessThanOrEqual">
      <formula>0</formula>
    </cfRule>
    <cfRule type="cellIs" dxfId="2617" priority="173" stopIfTrue="1" operator="greaterThan">
      <formula>4.5</formula>
    </cfRule>
  </conditionalFormatting>
  <conditionalFormatting sqref="I10:J22">
    <cfRule type="cellIs" dxfId="2616" priority="15" operator="lessThan">
      <formula>97.9</formula>
    </cfRule>
  </conditionalFormatting>
  <conditionalFormatting sqref="J26:J27">
    <cfRule type="cellIs" dxfId="2615" priority="128" stopIfTrue="1" operator="lessThan">
      <formula>96.8</formula>
    </cfRule>
    <cfRule type="cellIs" dxfId="2614" priority="129" stopIfTrue="1" operator="greaterThan">
      <formula>100</formula>
    </cfRule>
    <cfRule type="cellIs" dxfId="2613" priority="130" operator="lessThan">
      <formula>98</formula>
    </cfRule>
  </conditionalFormatting>
  <conditionalFormatting sqref="J26:J29">
    <cfRule type="cellIs" dxfId="2612" priority="127" operator="lessThan">
      <formula>97.4</formula>
    </cfRule>
  </conditionalFormatting>
  <conditionalFormatting sqref="J30:J31">
    <cfRule type="cellIs" dxfId="2611" priority="131" operator="lessThan">
      <formula>98</formula>
    </cfRule>
  </conditionalFormatting>
  <conditionalFormatting sqref="J32:J33">
    <cfRule type="cellIs" dxfId="2610" priority="132" stopIfTrue="1" operator="lessThan">
      <formula>96.8</formula>
    </cfRule>
    <cfRule type="cellIs" dxfId="2609" priority="133" stopIfTrue="1" operator="greaterThan">
      <formula>100</formula>
    </cfRule>
  </conditionalFormatting>
  <conditionalFormatting sqref="J32:J34">
    <cfRule type="cellIs" dxfId="2608" priority="134" operator="lessThan">
      <formula>98</formula>
    </cfRule>
  </conditionalFormatting>
  <conditionalFormatting sqref="J61">
    <cfRule type="cellIs" dxfId="2607" priority="53" stopIfTrue="1" operator="lessThanOrEqual">
      <formula>0</formula>
    </cfRule>
    <cfRule type="cellIs" dxfId="2606" priority="52" stopIfTrue="1" operator="greaterThan">
      <formula>#REF!</formula>
    </cfRule>
    <cfRule type="cellIs" dxfId="2605" priority="51" stopIfTrue="1" operator="lessThanOrEqual">
      <formula>0</formula>
    </cfRule>
    <cfRule type="cellIs" dxfId="2604" priority="50" stopIfTrue="1" operator="greaterThan">
      <formula>#REF!</formula>
    </cfRule>
    <cfRule type="cellIs" dxfId="2603" priority="48" stopIfTrue="1" operator="greaterThan">
      <formula>#REF!</formula>
    </cfRule>
    <cfRule type="cellIs" dxfId="2602" priority="47" stopIfTrue="1" operator="lessThanOrEqual">
      <formula>0</formula>
    </cfRule>
    <cfRule type="cellIs" dxfId="2601" priority="46" stopIfTrue="1" operator="greaterThan">
      <formula>#REF!</formula>
    </cfRule>
    <cfRule type="cellIs" dxfId="2600" priority="49" stopIfTrue="1" operator="lessThanOrEqual">
      <formula>0</formula>
    </cfRule>
  </conditionalFormatting>
  <conditionalFormatting sqref="J74">
    <cfRule type="cellIs" dxfId="2599" priority="136" stopIfTrue="1" operator="lessThanOrEqual">
      <formula>0</formula>
    </cfRule>
    <cfRule type="cellIs" dxfId="2598" priority="135" stopIfTrue="1" operator="greaterThan">
      <formula>$F74</formula>
    </cfRule>
  </conditionalFormatting>
  <conditionalFormatting sqref="K10:K22">
    <cfRule type="cellIs" dxfId="2597" priority="18" operator="greaterThan">
      <formula>6.4</formula>
    </cfRule>
    <cfRule type="cellIs" dxfId="2596" priority="17" operator="lessThan">
      <formula>4</formula>
    </cfRule>
    <cfRule type="cellIs" dxfId="2595" priority="16" operator="greaterThan">
      <formula>6</formula>
    </cfRule>
  </conditionalFormatting>
  <conditionalFormatting sqref="K54:K61 K65:N71 K72 M72:N72 K73:N73">
    <cfRule type="cellIs" dxfId="2594" priority="112" stopIfTrue="1" operator="lessThan">
      <formula>100%</formula>
    </cfRule>
  </conditionalFormatting>
  <conditionalFormatting sqref="K76:K81">
    <cfRule type="cellIs" dxfId="2593" priority="179" stopIfTrue="1" operator="lessThan">
      <formula>100%</formula>
    </cfRule>
  </conditionalFormatting>
  <conditionalFormatting sqref="K83:K84">
    <cfRule type="cellIs" dxfId="2592" priority="186" stopIfTrue="1" operator="lessThan">
      <formula>100%</formula>
    </cfRule>
  </conditionalFormatting>
  <conditionalFormatting sqref="L10:L22">
    <cfRule type="cellIs" dxfId="2591" priority="23" operator="between">
      <formula>61</formula>
      <formula>65</formula>
    </cfRule>
    <cfRule type="cellIs" dxfId="2590" priority="24" operator="greaterThan">
      <formula>65</formula>
    </cfRule>
  </conditionalFormatting>
  <conditionalFormatting sqref="L25:M36">
    <cfRule type="cellIs" dxfId="2589" priority="12" operator="lessThan">
      <formula>97.95</formula>
    </cfRule>
  </conditionalFormatting>
  <conditionalFormatting sqref="L40:N40">
    <cfRule type="cellIs" dxfId="2588" priority="13" operator="notEqual">
      <formula>#REF!</formula>
    </cfRule>
  </conditionalFormatting>
  <conditionalFormatting sqref="L74:N74">
    <cfRule type="cellIs" dxfId="2587" priority="137" stopIfTrue="1" operator="lessThan">
      <formula>100%</formula>
    </cfRule>
  </conditionalFormatting>
  <conditionalFormatting sqref="L76:N84">
    <cfRule type="cellIs" dxfId="2586" priority="164" stopIfTrue="1" operator="lessThan">
      <formula>100%</formula>
    </cfRule>
  </conditionalFormatting>
  <conditionalFormatting sqref="M10:M21">
    <cfRule type="expression" dxfId="2585" priority="21">
      <formula>IF(+(IF(M10&lt;U10,0,IF(M10&gt;V10,0,1)))=0,1)</formula>
    </cfRule>
  </conditionalFormatting>
  <conditionalFormatting sqref="M22:N22">
    <cfRule type="expression" dxfId="2584" priority="194">
      <formula>IF(+(IF(M22&lt;#REF!,0,IF(M22&gt;#REF!,0,1)))=0,1)</formula>
    </cfRule>
  </conditionalFormatting>
  <conditionalFormatting sqref="N10:N21">
    <cfRule type="expression" dxfId="2583" priority="14">
      <formula>IF(+(IF(N10&lt;W10,0,IF(N10&gt;X10,0,1)))=0,1)</formula>
    </cfRule>
  </conditionalFormatting>
  <conditionalFormatting sqref="P6">
    <cfRule type="cellIs" dxfId="2582" priority="160" operator="greaterThanOrEqual">
      <formula>19</formula>
    </cfRule>
  </conditionalFormatting>
  <dataValidations count="1">
    <dataValidation type="list" allowBlank="1" showInputMessage="1" showErrorMessage="1" sqref="R8" xr:uid="{21468E72-2882-46FA-B0E6-965B7A02CC4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2965-F889-4C54-98FE-BDAA96E655B4}">
  <sheetPr>
    <pageSetUpPr fitToPage="1"/>
  </sheetPr>
  <dimension ref="A1:BE86"/>
  <sheetViews>
    <sheetView topLeftCell="A37" zoomScale="80" zoomScaleNormal="80" workbookViewId="0">
      <selection activeCell="E10" sqref="E10:E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46002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[23]Brewhouse!$A1012</f>
        <v>CA896</v>
      </c>
      <c r="D10" s="279">
        <f>[23]Brewhouse!$AF1012</f>
        <v>52.8</v>
      </c>
      <c r="E10" s="279">
        <f>[23]Brewhouse!$AI1012</f>
        <v>53.5</v>
      </c>
      <c r="F10" s="278">
        <f>[23]Brewhouse!$V1012</f>
        <v>64</v>
      </c>
      <c r="G10" s="279">
        <f>[23]Brewhouse!AG1012</f>
        <v>11.6</v>
      </c>
      <c r="H10" s="396">
        <v>11.6</v>
      </c>
      <c r="I10" s="368">
        <f>[23]Brewhouse!$AU1012</f>
        <v>103.05617552998515</v>
      </c>
      <c r="J10" s="368">
        <f>[23]Brewhouse!$AV1012</f>
        <v>103.59030891364365</v>
      </c>
      <c r="K10" s="281">
        <f>[23]Brewhouse!$Q1012</f>
        <v>2.6741996233521688</v>
      </c>
      <c r="L10" s="276">
        <f>[23]Brewhouse!$P1012</f>
        <v>60</v>
      </c>
      <c r="M10" s="397">
        <f>[23]Brewhouse!$U1012-[23]Brewhouse!$T1012</f>
        <v>0.11180555555555571</v>
      </c>
      <c r="N10" s="370">
        <f>[23]Brewhouse!$Z1012</f>
        <v>0.25416666666666665</v>
      </c>
      <c r="O10" s="420" t="str">
        <f>[23]Brewhouse!$AX1012</f>
        <v>R. Regis</v>
      </c>
      <c r="P10" s="418"/>
      <c r="R10" s="277" t="str">
        <f t="shared" ref="R10" si="0">B10</f>
        <v>CARIB</v>
      </c>
      <c r="S10" s="475">
        <f t="shared" ref="S10:S48" si="1">VLOOKUP($B10,$R$3:$X$9,2,FALSE)</f>
        <v>11.6</v>
      </c>
      <c r="T10" s="475">
        <f t="shared" ref="T10:T48" si="2">VLOOKUP($B10,$R$3:$X$9,3,FALSE)</f>
        <v>12</v>
      </c>
      <c r="U10" s="297">
        <f t="shared" ref="U10:U48" si="3">VLOOKUP($B10,$R$3:$X$9,4,FALSE)</f>
        <v>0</v>
      </c>
      <c r="V10" s="297">
        <f t="shared" ref="V10:V48" si="4">VLOOKUP($B10,$R$3:$X$9,5,FALSE)</f>
        <v>0.118055555555556</v>
      </c>
      <c r="W10" s="297">
        <f t="shared" ref="W10:W48" si="5">VLOOKUP($B10,$R$3:$X$9,6,FALSE)</f>
        <v>0.22569444444444445</v>
      </c>
      <c r="X10" s="297">
        <f t="shared" ref="X10:X48" si="6">VLOOKUP($B10,$R$3:$X$9,7,FALSE)</f>
        <v>0.2638888888888889</v>
      </c>
      <c r="Y10" s="297">
        <f t="shared" ref="Y10:Y48" si="7">VLOOKUP($B10,$R$3:$Z$9,8,FALSE)</f>
        <v>0</v>
      </c>
      <c r="Z10" s="475">
        <f t="shared" ref="Z10:Z48" si="8">VLOOKUP($B10,$R$3:$Z$9,9,FALSE)</f>
        <v>60</v>
      </c>
    </row>
    <row r="11" spans="2:29" ht="16.5" customHeight="1">
      <c r="B11" s="29" t="s">
        <v>6</v>
      </c>
      <c r="C11" s="366" t="str">
        <f>[23]Brewhouse!$A1013</f>
        <v>CA897</v>
      </c>
      <c r="D11" s="279">
        <f>[23]Brewhouse!$AF1013</f>
        <v>55.2</v>
      </c>
      <c r="E11" s="279">
        <f>[23]Brewhouse!$AI1013</f>
        <v>54.2</v>
      </c>
      <c r="F11" s="278">
        <f>[23]Brewhouse!$V1013</f>
        <v>66</v>
      </c>
      <c r="G11" s="279">
        <f>[23]Brewhouse!AG1013</f>
        <v>11.7</v>
      </c>
      <c r="H11" s="396">
        <v>11.7</v>
      </c>
      <c r="I11" s="368">
        <f>[23]Brewhouse!$AU1013</f>
        <v>104.06327180555589</v>
      </c>
      <c r="J11" s="368">
        <f>[23]Brewhouse!$AV1013</f>
        <v>104.60305716276356</v>
      </c>
      <c r="K11" s="281">
        <f>[23]Brewhouse!$Q1013</f>
        <v>2.4812030075187974</v>
      </c>
      <c r="L11" s="276">
        <f>[23]Brewhouse!$P1013</f>
        <v>57</v>
      </c>
      <c r="M11" s="397">
        <f>[23]Brewhouse!$U1013-[23]Brewhouse!$T1013</f>
        <v>0.1166666666666667</v>
      </c>
      <c r="N11" s="370">
        <f>[23]Brewhouse!$Z1013</f>
        <v>0.26111111111111113</v>
      </c>
      <c r="O11" s="420" t="str">
        <f>[23]Brewhouse!$AX1013</f>
        <v>R.Sookram</v>
      </c>
      <c r="P11" s="418"/>
      <c r="R11" s="277" t="str">
        <f t="shared" ref="R11:R14" si="9">B11</f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[23]Brewhouse!$A1014</f>
        <v>CA898</v>
      </c>
      <c r="D12" s="279">
        <f>[23]Brewhouse!$AF1014</f>
        <v>53.4</v>
      </c>
      <c r="E12" s="279">
        <f>[23]Brewhouse!$AI1014</f>
        <v>52.2</v>
      </c>
      <c r="F12" s="278">
        <f>[23]Brewhouse!$V1014</f>
        <v>64</v>
      </c>
      <c r="G12" s="279">
        <f>[23]Brewhouse!AG1014</f>
        <v>11.8</v>
      </c>
      <c r="H12" s="396">
        <v>11.8</v>
      </c>
      <c r="I12" s="368">
        <f>[23]Brewhouse!$AU1014</f>
        <v>101.7471172345124</v>
      </c>
      <c r="J12" s="368">
        <f>[23]Brewhouse!$AV1014</f>
        <v>102.2746784746583</v>
      </c>
      <c r="K12" s="281">
        <f>[23]Brewhouse!$Q1014</f>
        <v>1.5442561205273075</v>
      </c>
      <c r="L12" s="276">
        <f>[23]Brewhouse!$P1014</f>
        <v>76</v>
      </c>
      <c r="M12" s="397">
        <f>[23]Brewhouse!$U1014-[23]Brewhouse!$T1014</f>
        <v>0.12777777777777777</v>
      </c>
      <c r="N12" s="370">
        <f>[23]Brewhouse!$Z1014</f>
        <v>0.25277777777777777</v>
      </c>
      <c r="O12" s="420" t="str">
        <f>[23]Brewhouse!$AX1014</f>
        <v>R.Sookram</v>
      </c>
      <c r="P12" s="418"/>
      <c r="R12" s="277" t="str">
        <f t="shared" si="9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9"/>
        <v>0</v>
      </c>
      <c r="S13" s="475" t="e">
        <f t="shared" si="1"/>
        <v>#N/A</v>
      </c>
      <c r="T13" s="475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5" t="e">
        <f t="shared" si="8"/>
        <v>#N/A</v>
      </c>
    </row>
    <row r="14" spans="2:29" ht="16.5" customHeight="1">
      <c r="B14" s="33" t="s">
        <v>9</v>
      </c>
      <c r="C14" s="366" t="str">
        <f>[24]Brewhouse!$A504</f>
        <v>ST479</v>
      </c>
      <c r="D14" s="279">
        <f>[24]Brewhouse!$AD504</f>
        <v>46.7</v>
      </c>
      <c r="E14" s="279">
        <f>[24]Brewhouse!$AG504</f>
        <v>45.5</v>
      </c>
      <c r="F14" s="278">
        <f>[24]Brewhouse!$V504</f>
        <v>55</v>
      </c>
      <c r="G14" s="279">
        <f>[24]Brewhouse!$AE504</f>
        <v>11.8</v>
      </c>
      <c r="H14" s="396">
        <v>11.8</v>
      </c>
      <c r="I14" s="488">
        <f>[24]Brewhouse!$AS504</f>
        <v>90.83852238031325</v>
      </c>
      <c r="J14" s="488">
        <f>[24]Brewhouse!$AT504</f>
        <v>91.235265732887598</v>
      </c>
      <c r="K14" s="281">
        <f>[24]Brewhouse!$Q504</f>
        <v>13.798076923076918</v>
      </c>
      <c r="L14" s="276">
        <f>[24]Brewhouse!$P504</f>
        <v>62</v>
      </c>
      <c r="M14" s="374">
        <f>[24]Brewhouse!$U504-[24]Brewhouse!$T504</f>
        <v>0.11319444444444449</v>
      </c>
      <c r="N14" s="370">
        <f>[24]Brewhouse!$AW504</f>
        <v>0.24305555555555558</v>
      </c>
      <c r="O14" s="420" t="str">
        <f>[24]Brewhouse!$AV504</f>
        <v>K. Benjamin</v>
      </c>
      <c r="P14" s="418"/>
      <c r="R14" s="277" t="str">
        <f t="shared" si="9"/>
        <v>STAG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33" t="s">
        <v>9</v>
      </c>
      <c r="C15" s="366" t="str">
        <f>[24]Brewhouse!$A505</f>
        <v>ST480</v>
      </c>
      <c r="D15" s="279">
        <f>[24]Brewhouse!$AD505</f>
        <v>49.2</v>
      </c>
      <c r="E15" s="279">
        <f>[24]Brewhouse!$AG505</f>
        <v>48</v>
      </c>
      <c r="F15" s="278">
        <f>[24]Brewhouse!$V505</f>
        <v>58</v>
      </c>
      <c r="G15" s="279">
        <f>[24]Brewhouse!$AE505</f>
        <v>12</v>
      </c>
      <c r="H15" s="396">
        <v>11.9</v>
      </c>
      <c r="I15" s="488">
        <f>[24]Brewhouse!$AS505</f>
        <v>96.684836556310898</v>
      </c>
      <c r="J15" s="488">
        <f>[24]Brewhouse!$AT505</f>
        <v>97.108089898948165</v>
      </c>
      <c r="K15" s="281">
        <f>[24]Brewhouse!$Q505</f>
        <v>8.4134615384615383</v>
      </c>
      <c r="L15" s="276">
        <f>[24]Brewhouse!$P505</f>
        <v>60</v>
      </c>
      <c r="M15" s="374">
        <f>[24]Brewhouse!$U505-[24]Brewhouse!$T505</f>
        <v>0.10833333333333328</v>
      </c>
      <c r="N15" s="370">
        <f>[24]Brewhouse!$AW505</f>
        <v>0.23819444444444449</v>
      </c>
      <c r="O15" s="420" t="str">
        <f>[24]Brewhouse!$AV505</f>
        <v>K. Benjamin</v>
      </c>
      <c r="P15" s="418"/>
      <c r="R15" s="277" t="str">
        <f t="shared" ref="R15:R48" si="10">B15</f>
        <v>STAG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33" t="s">
        <v>9</v>
      </c>
      <c r="C16" s="366" t="str">
        <f>[24]Brewhouse!$A506</f>
        <v>ST481</v>
      </c>
      <c r="D16" s="279">
        <f>[24]Brewhouse!$AD506</f>
        <v>49.6</v>
      </c>
      <c r="E16" s="279">
        <f>[24]Brewhouse!$AG506</f>
        <v>49.7</v>
      </c>
      <c r="F16" s="278">
        <f>[24]Brewhouse!$V506</f>
        <v>62</v>
      </c>
      <c r="G16" s="279">
        <f>[24]Brewhouse!$AE506</f>
        <v>11.9</v>
      </c>
      <c r="H16" s="396">
        <v>11.8</v>
      </c>
      <c r="I16" s="488">
        <f>[24]Brewhouse!$AS506</f>
        <v>99.232339589579539</v>
      </c>
      <c r="J16" s="488">
        <f>[24]Brewhouse!$AT506</f>
        <v>99.666745034372781</v>
      </c>
      <c r="K16" s="281">
        <f>[24]Brewhouse!$Q506</f>
        <v>10.721153846153838</v>
      </c>
      <c r="L16" s="276">
        <f>[24]Brewhouse!$P506</f>
        <v>60</v>
      </c>
      <c r="M16" s="374">
        <f>[24]Brewhouse!$U506-[24]Brewhouse!$T506</f>
        <v>0.11388888888888893</v>
      </c>
      <c r="N16" s="370">
        <f>[24]Brewhouse!$AW506</f>
        <v>0.24930555555555556</v>
      </c>
      <c r="O16" s="420" t="str">
        <f>[24]Brewhouse!$AV506</f>
        <v>K. Benjamin</v>
      </c>
      <c r="P16" s="418"/>
      <c r="R16" s="277" t="str">
        <f t="shared" si="10"/>
        <v>STAG</v>
      </c>
      <c r="S16" s="475">
        <f t="shared" si="1"/>
        <v>11.6</v>
      </c>
      <c r="T16" s="475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5">
        <f t="shared" si="8"/>
        <v>60</v>
      </c>
    </row>
    <row r="17" spans="2:26" ht="16.5" customHeight="1">
      <c r="B17" s="33" t="s">
        <v>9</v>
      </c>
      <c r="C17" s="366" t="str">
        <f>[24]Brewhouse!$A507</f>
        <v>ST482</v>
      </c>
      <c r="D17" s="279">
        <f>[24]Brewhouse!$AD507</f>
        <v>48.7</v>
      </c>
      <c r="E17" s="279">
        <f>[24]Brewhouse!$AG507</f>
        <v>48.8</v>
      </c>
      <c r="F17" s="278">
        <f>[24]Brewhouse!$V507</f>
        <v>62</v>
      </c>
      <c r="G17" s="279">
        <f>[24]Brewhouse!$AE507</f>
        <v>11.9</v>
      </c>
      <c r="H17" s="396">
        <v>12</v>
      </c>
      <c r="I17" s="488">
        <f>[24]Brewhouse!$AS507</f>
        <v>97.192444367259839</v>
      </c>
      <c r="J17" s="488">
        <f>[24]Brewhouse!$AT507</f>
        <v>97.618196972814005</v>
      </c>
      <c r="K17" s="281">
        <f>[24]Brewhouse!$Q507</f>
        <v>13.028846153846152</v>
      </c>
      <c r="L17" s="276">
        <f>[24]Brewhouse!$P507</f>
        <v>62</v>
      </c>
      <c r="M17" s="374">
        <f>[24]Brewhouse!$U507-[24]Brewhouse!$T507</f>
        <v>7.9861111111111049E-2</v>
      </c>
      <c r="N17" s="370">
        <f>[24]Brewhouse!$AW507</f>
        <v>0.24722222222222212</v>
      </c>
      <c r="O17" s="420" t="str">
        <f>[24]Brewhouse!$AV507</f>
        <v>K. Benjamin</v>
      </c>
      <c r="P17" s="418"/>
      <c r="R17" s="277" t="str">
        <f t="shared" si="10"/>
        <v>STAG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2:26" ht="16.5" customHeight="1">
      <c r="B18" s="33"/>
      <c r="C18" s="366"/>
      <c r="D18" s="279"/>
      <c r="E18" s="279"/>
      <c r="F18" s="278"/>
      <c r="G18" s="279"/>
      <c r="H18" s="396"/>
      <c r="I18" s="488"/>
      <c r="J18" s="488"/>
      <c r="K18" s="281"/>
      <c r="L18" s="276"/>
      <c r="M18" s="374"/>
      <c r="N18" s="370"/>
      <c r="O18" s="420"/>
      <c r="P18" s="418"/>
      <c r="R18" s="277">
        <f t="shared" si="1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2:26" ht="16.5" customHeight="1">
      <c r="B19" s="33"/>
      <c r="C19" s="366"/>
      <c r="D19" s="279"/>
      <c r="E19" s="279"/>
      <c r="F19" s="278"/>
      <c r="G19" s="279"/>
      <c r="H19" s="396"/>
      <c r="I19" s="488"/>
      <c r="J19" s="488"/>
      <c r="K19" s="281"/>
      <c r="L19" s="276"/>
      <c r="M19" s="374"/>
      <c r="N19" s="370"/>
      <c r="O19" s="420"/>
      <c r="P19" s="418"/>
      <c r="R19" s="277">
        <f t="shared" si="1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2:26" ht="16.5" customHeight="1">
      <c r="B20" s="33"/>
      <c r="C20" s="366"/>
      <c r="D20" s="279"/>
      <c r="E20" s="279"/>
      <c r="F20" s="278"/>
      <c r="G20" s="279"/>
      <c r="H20" s="396"/>
      <c r="I20" s="488"/>
      <c r="J20" s="488"/>
      <c r="K20" s="281"/>
      <c r="L20" s="276"/>
      <c r="M20" s="374"/>
      <c r="N20" s="370"/>
      <c r="O20" s="420"/>
      <c r="P20" s="418"/>
      <c r="R20" s="277">
        <f t="shared" si="1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2:26" ht="16.5" hidden="1" customHeight="1">
      <c r="B21" s="33"/>
      <c r="C21" s="366"/>
      <c r="D21" s="279"/>
      <c r="E21" s="279"/>
      <c r="F21" s="278"/>
      <c r="G21" s="279"/>
      <c r="H21" s="396"/>
      <c r="I21" s="488"/>
      <c r="J21" s="488"/>
      <c r="K21" s="281"/>
      <c r="L21" s="276"/>
      <c r="M21" s="374"/>
      <c r="N21" s="370"/>
      <c r="O21" s="420"/>
      <c r="P21" s="418"/>
      <c r="R21" s="277">
        <f t="shared" si="1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2:26" ht="16.5" hidden="1" customHeight="1">
      <c r="B22" s="33"/>
      <c r="C22" s="366"/>
      <c r="D22" s="279"/>
      <c r="E22" s="279"/>
      <c r="F22" s="278"/>
      <c r="G22" s="279"/>
      <c r="H22" s="396"/>
      <c r="I22" s="488"/>
      <c r="J22" s="488"/>
      <c r="K22" s="281"/>
      <c r="L22" s="276"/>
      <c r="M22" s="374"/>
      <c r="N22" s="370"/>
      <c r="O22" s="420"/>
      <c r="P22" s="418"/>
      <c r="R22" s="277">
        <f t="shared" si="1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2:26" ht="16.5" hidden="1" customHeight="1">
      <c r="B23" s="33"/>
      <c r="C23" s="366"/>
      <c r="D23" s="279"/>
      <c r="E23" s="279"/>
      <c r="F23" s="278"/>
      <c r="G23" s="279"/>
      <c r="H23" s="396"/>
      <c r="I23" s="488"/>
      <c r="J23" s="488"/>
      <c r="K23" s="281"/>
      <c r="L23" s="276"/>
      <c r="M23" s="374"/>
      <c r="N23" s="370"/>
      <c r="O23" s="420"/>
      <c r="P23" s="418"/>
      <c r="R23" s="277">
        <f t="shared" si="1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2:26" ht="16.5" hidden="1" customHeight="1">
      <c r="B24" s="33"/>
      <c r="C24" s="366"/>
      <c r="D24" s="279"/>
      <c r="E24" s="279"/>
      <c r="F24" s="278"/>
      <c r="G24" s="279"/>
      <c r="H24" s="396"/>
      <c r="I24" s="488"/>
      <c r="J24" s="488"/>
      <c r="K24" s="281"/>
      <c r="L24" s="276"/>
      <c r="M24" s="374"/>
      <c r="N24" s="370"/>
      <c r="O24" s="420"/>
      <c r="P24" s="418"/>
      <c r="R24" s="277">
        <f t="shared" si="1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2:26" ht="16.5" hidden="1" customHeight="1">
      <c r="B25" s="33"/>
      <c r="C25" s="366"/>
      <c r="D25" s="279"/>
      <c r="E25" s="279"/>
      <c r="F25" s="278"/>
      <c r="G25" s="279"/>
      <c r="H25" s="396"/>
      <c r="I25" s="488"/>
      <c r="J25" s="488"/>
      <c r="K25" s="281"/>
      <c r="L25" s="276"/>
      <c r="M25" s="374"/>
      <c r="N25" s="370"/>
      <c r="O25" s="420"/>
      <c r="P25" s="418"/>
      <c r="R25" s="277">
        <f t="shared" si="1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2:26" ht="16.5" hidden="1" customHeight="1">
      <c r="B26" s="33"/>
      <c r="C26" s="366"/>
      <c r="D26" s="279"/>
      <c r="E26" s="279"/>
      <c r="F26" s="278"/>
      <c r="G26" s="279"/>
      <c r="H26" s="396"/>
      <c r="I26" s="488"/>
      <c r="J26" s="488"/>
      <c r="K26" s="281"/>
      <c r="L26" s="276"/>
      <c r="M26" s="374"/>
      <c r="N26" s="370"/>
      <c r="O26" s="420"/>
      <c r="P26" s="418"/>
      <c r="R26" s="277">
        <f t="shared" si="1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2:26" ht="16.5" hidden="1" customHeight="1">
      <c r="B27" s="33"/>
      <c r="C27" s="366"/>
      <c r="D27" s="279"/>
      <c r="E27" s="279"/>
      <c r="F27" s="278"/>
      <c r="G27" s="279"/>
      <c r="H27" s="396"/>
      <c r="I27" s="488"/>
      <c r="J27" s="488"/>
      <c r="K27" s="281"/>
      <c r="L27" s="276"/>
      <c r="M27" s="374"/>
      <c r="N27" s="370"/>
      <c r="O27" s="420"/>
      <c r="P27" s="418"/>
      <c r="R27" s="277">
        <f t="shared" si="1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2:26" ht="16.5" hidden="1" customHeight="1">
      <c r="B28" s="33"/>
      <c r="C28" s="366"/>
      <c r="D28" s="279"/>
      <c r="E28" s="279"/>
      <c r="F28" s="278"/>
      <c r="G28" s="279"/>
      <c r="H28" s="396"/>
      <c r="I28" s="488"/>
      <c r="J28" s="488"/>
      <c r="K28" s="281"/>
      <c r="L28" s="276"/>
      <c r="M28" s="374"/>
      <c r="N28" s="370"/>
      <c r="O28" s="420"/>
      <c r="P28" s="418"/>
      <c r="R28" s="277">
        <f t="shared" si="1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2:26" ht="16.5" hidden="1" customHeight="1">
      <c r="B29" s="33"/>
      <c r="C29" s="366"/>
      <c r="D29" s="279"/>
      <c r="E29" s="279"/>
      <c r="F29" s="278"/>
      <c r="G29" s="279"/>
      <c r="H29" s="396"/>
      <c r="I29" s="488"/>
      <c r="J29" s="488"/>
      <c r="K29" s="281"/>
      <c r="L29" s="276"/>
      <c r="M29" s="374"/>
      <c r="N29" s="370"/>
      <c r="O29" s="420"/>
      <c r="P29" s="418"/>
      <c r="R29" s="277">
        <f t="shared" si="1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2:26" ht="16.5" hidden="1" customHeight="1">
      <c r="B30" s="33"/>
      <c r="C30" s="366"/>
      <c r="D30" s="279"/>
      <c r="E30" s="279"/>
      <c r="F30" s="278"/>
      <c r="G30" s="279"/>
      <c r="H30" s="396"/>
      <c r="I30" s="488"/>
      <c r="J30" s="488"/>
      <c r="K30" s="281"/>
      <c r="L30" s="276"/>
      <c r="M30" s="374"/>
      <c r="N30" s="370"/>
      <c r="O30" s="420"/>
      <c r="P30" s="418"/>
      <c r="R30" s="277">
        <f t="shared" si="1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2:26" ht="16.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420"/>
      <c r="P31" s="418"/>
      <c r="R31" s="277">
        <f t="shared" si="1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2:26" ht="16.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420"/>
      <c r="P32" s="418"/>
      <c r="R32" s="277">
        <f t="shared" si="1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</row>
    <row r="33" spans="1:27" ht="16.5" hidden="1" customHeight="1">
      <c r="B33" s="29"/>
      <c r="C33" s="366"/>
      <c r="D33" s="279"/>
      <c r="E33" s="279"/>
      <c r="F33" s="278"/>
      <c r="G33" s="279"/>
      <c r="H33" s="469"/>
      <c r="I33" s="368"/>
      <c r="J33" s="368"/>
      <c r="K33" s="281"/>
      <c r="L33" s="276"/>
      <c r="M33" s="397"/>
      <c r="N33" s="370"/>
      <c r="O33" s="420"/>
      <c r="P33" s="418"/>
      <c r="R33" s="277">
        <f t="shared" si="1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</row>
    <row r="34" spans="1:27" ht="16.5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8"/>
      <c r="R34" s="277">
        <f t="shared" si="1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</row>
    <row r="35" spans="1:27" ht="15.75" customHeight="1" thickBot="1">
      <c r="B35" s="358"/>
      <c r="C35" s="358"/>
      <c r="D35" s="358"/>
      <c r="E35" s="358"/>
      <c r="F35" s="294"/>
      <c r="G35" s="294"/>
      <c r="H35" s="348"/>
      <c r="I35" s="528"/>
      <c r="J35" s="528"/>
      <c r="K35" s="528"/>
      <c r="L35" s="528"/>
      <c r="M35" s="528"/>
      <c r="N35" s="528"/>
      <c r="O35" s="1"/>
      <c r="P35" s="12"/>
      <c r="R35" s="277">
        <f t="shared" si="1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</row>
    <row r="36" spans="1:27" ht="15.75" customHeight="1" thickBot="1">
      <c r="B36" s="388" t="s">
        <v>162</v>
      </c>
      <c r="C36" s="388"/>
      <c r="D36" s="506" t="s">
        <v>35</v>
      </c>
      <c r="E36" s="507"/>
      <c r="F36" s="294"/>
      <c r="G36" s="294"/>
      <c r="H36" s="348"/>
      <c r="I36" s="24" t="s">
        <v>17</v>
      </c>
      <c r="J36" s="25"/>
      <c r="K36" s="26" t="s">
        <v>138</v>
      </c>
      <c r="L36" s="25" t="s">
        <v>37</v>
      </c>
      <c r="M36" s="25" t="s">
        <v>38</v>
      </c>
      <c r="N36" s="27" t="s">
        <v>39</v>
      </c>
      <c r="O36" s="294"/>
      <c r="P36" s="12"/>
      <c r="R36" s="277" t="str">
        <f t="shared" si="10"/>
        <v xml:space="preserve">BRAND 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</row>
    <row r="37" spans="1:27" ht="15" customHeight="1">
      <c r="A37" s="28"/>
      <c r="B37" s="593" t="str">
        <f>J60</f>
        <v>CARIBE</v>
      </c>
      <c r="C37" s="362"/>
      <c r="D37" s="532"/>
      <c r="E37" s="533"/>
      <c r="F37" s="294"/>
      <c r="G37" s="294"/>
      <c r="H37" s="348"/>
      <c r="I37" s="29" t="s">
        <v>6</v>
      </c>
      <c r="J37" s="280">
        <f>AVERAGE(I10:I12)</f>
        <v>102.95552152335115</v>
      </c>
      <c r="K37" s="284">
        <f>COUNTA([23]Brewhouse!$A$1005:$A$1014)</f>
        <v>10</v>
      </c>
      <c r="L37" s="305">
        <f>AVERAGE([23]Brewhouse!$AU$1005:$AU$1014)</f>
        <v>100.1822900793824</v>
      </c>
      <c r="M3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$1014)</f>
        <v>97.781543539345932</v>
      </c>
      <c r="N37" s="30">
        <v>98</v>
      </c>
      <c r="O37" s="11"/>
      <c r="P37" s="31"/>
      <c r="R37" s="277" t="str">
        <f t="shared" si="10"/>
        <v>CARIBE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</row>
    <row r="38" spans="1:27" ht="15" customHeight="1">
      <c r="A38" s="28"/>
      <c r="B38" s="594"/>
      <c r="C38" s="362"/>
      <c r="D38" s="534"/>
      <c r="E38" s="535"/>
      <c r="F38" s="294"/>
      <c r="G38" s="294"/>
      <c r="H38" s="348"/>
      <c r="I38" s="33" t="s">
        <v>9</v>
      </c>
      <c r="J38" s="280">
        <f>AVERAGE(I14:I17)</f>
        <v>95.987035723365878</v>
      </c>
      <c r="K38" s="284">
        <f>COUNTA([24]Brewhouse!$A$486:$A$507)</f>
        <v>22</v>
      </c>
      <c r="L38" s="302">
        <f>AVERAGE([24]Brewhouse!$AS$486:$AS$507)</f>
        <v>96.205239284964378</v>
      </c>
      <c r="M3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$507)</f>
        <v>97.772355128420955</v>
      </c>
      <c r="N38" s="30">
        <v>98</v>
      </c>
      <c r="O38" s="11"/>
      <c r="P38" s="31"/>
      <c r="R38" s="277">
        <f t="shared" si="1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</row>
    <row r="39" spans="1:27" ht="14.65" customHeight="1">
      <c r="A39" s="28"/>
      <c r="B39" s="594"/>
      <c r="C39" s="362"/>
      <c r="D39" s="580"/>
      <c r="E39" s="581"/>
      <c r="F39" s="294"/>
      <c r="G39" s="294"/>
      <c r="H39" s="348"/>
      <c r="I39" s="34" t="s">
        <v>12</v>
      </c>
      <c r="J39" s="280"/>
      <c r="K39" s="284">
        <f>COUNTA([25]Brewhouse!$A$125:$A$132)</f>
        <v>8</v>
      </c>
      <c r="L39" s="302">
        <f>AVERAGE([25]Brewhouse!$AU$125:$AU$132)</f>
        <v>96.474285660381511</v>
      </c>
      <c r="M3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39" s="30">
        <v>98</v>
      </c>
      <c r="O39" s="11"/>
      <c r="P39" s="31"/>
      <c r="R39" s="277">
        <f t="shared" si="10"/>
        <v>0</v>
      </c>
      <c r="S39" s="475" t="e">
        <f t="shared" si="1"/>
        <v>#N/A</v>
      </c>
      <c r="T39" s="475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5" t="e">
        <f t="shared" si="8"/>
        <v>#N/A</v>
      </c>
    </row>
    <row r="40" spans="1:27" ht="14.65" customHeight="1">
      <c r="A40" s="28"/>
      <c r="B40" s="594"/>
      <c r="C40" s="362"/>
      <c r="D40" s="547"/>
      <c r="E40" s="535"/>
      <c r="F40" s="294"/>
      <c r="G40" s="294"/>
      <c r="H40" s="348"/>
      <c r="I40" s="22" t="s">
        <v>33</v>
      </c>
      <c r="J40" s="280"/>
      <c r="K40" s="284">
        <f>COUNTA([22]Brewhouse!$A$107:$A$116)</f>
        <v>10</v>
      </c>
      <c r="L40" s="302">
        <f>AVERAGE([22]Brewhouse!$AV$107:$AV$116)</f>
        <v>97.093478275115658</v>
      </c>
      <c r="M4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40" s="30">
        <v>98</v>
      </c>
      <c r="O40" s="11"/>
      <c r="P40" s="31"/>
      <c r="R40" s="277">
        <f t="shared" si="10"/>
        <v>0</v>
      </c>
      <c r="S40" s="475" t="e">
        <f t="shared" si="1"/>
        <v>#N/A</v>
      </c>
      <c r="T40" s="475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5" t="e">
        <f t="shared" si="8"/>
        <v>#N/A</v>
      </c>
    </row>
    <row r="41" spans="1:27" ht="14.65" customHeight="1">
      <c r="A41" s="28"/>
      <c r="B41" s="594"/>
      <c r="C41" s="362"/>
      <c r="D41" s="580"/>
      <c r="E41" s="581"/>
      <c r="F41" s="417"/>
      <c r="G41" s="294"/>
      <c r="H41" s="348"/>
      <c r="I41" s="35" t="s">
        <v>29</v>
      </c>
      <c r="J41" s="280"/>
      <c r="K41" s="284"/>
      <c r="L41" s="302"/>
      <c r="M41" s="302"/>
      <c r="N41" s="30">
        <v>98</v>
      </c>
      <c r="O41" s="11"/>
      <c r="P41" s="31"/>
      <c r="R41" s="277">
        <f t="shared" si="10"/>
        <v>0</v>
      </c>
      <c r="S41" s="475" t="e">
        <f t="shared" si="1"/>
        <v>#N/A</v>
      </c>
      <c r="T41" s="475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5" t="e">
        <f t="shared" si="8"/>
        <v>#N/A</v>
      </c>
    </row>
    <row r="42" spans="1:27" ht="14.65" customHeight="1">
      <c r="A42" s="28"/>
      <c r="B42" s="594"/>
      <c r="C42" s="362"/>
      <c r="D42" s="547"/>
      <c r="E42" s="535"/>
      <c r="F42" s="417"/>
      <c r="G42" s="294"/>
      <c r="H42" s="348"/>
      <c r="I42" s="36" t="s">
        <v>15</v>
      </c>
      <c r="J42" s="323"/>
      <c r="K42" s="284"/>
      <c r="L42" s="302"/>
      <c r="M42" s="302">
        <f>AVERAGE([26]Brewhouse!$AT$4:$AT$11,[26]Brewhouse!$AT$13:$AT$16,[26]Brewhouse!$AT$18:$AT$21,[26]Brewhouse!$AT$26,[26]Brewhouse!$AT$28:$AT$35)</f>
        <v>94.794664331624134</v>
      </c>
      <c r="N42" s="30">
        <v>98</v>
      </c>
      <c r="O42" s="11"/>
      <c r="P42" s="31"/>
      <c r="R42" s="277">
        <f t="shared" si="10"/>
        <v>0</v>
      </c>
      <c r="S42" s="475" t="e">
        <f t="shared" si="1"/>
        <v>#N/A</v>
      </c>
      <c r="T42" s="475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5" t="e">
        <f t="shared" si="8"/>
        <v>#N/A</v>
      </c>
      <c r="AA42" s="475"/>
    </row>
    <row r="43" spans="1:27" ht="14.65" customHeight="1">
      <c r="A43" s="28"/>
      <c r="B43" s="594"/>
      <c r="C43" s="362"/>
      <c r="D43" s="580"/>
      <c r="E43" s="581"/>
      <c r="F43" s="417"/>
      <c r="G43" s="294"/>
      <c r="H43" s="348"/>
      <c r="I43" s="37" t="s">
        <v>16</v>
      </c>
      <c r="J43" s="323"/>
      <c r="K43" s="284">
        <f>COUNTA([27]Brewhouse!$A$99:$A$108)</f>
        <v>10</v>
      </c>
      <c r="L43" s="302">
        <f>AVERAGE([27]Brewhouse!$AY$99:$AY$108)</f>
        <v>97.413703162837948</v>
      </c>
      <c r="M4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43" s="30">
        <v>98</v>
      </c>
      <c r="O43" s="11"/>
      <c r="P43" s="31" t="s">
        <v>41</v>
      </c>
      <c r="R43" s="277">
        <f t="shared" si="10"/>
        <v>0</v>
      </c>
      <c r="S43" s="475" t="e">
        <f t="shared" si="1"/>
        <v>#N/A</v>
      </c>
      <c r="T43" s="475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5" t="e">
        <f t="shared" si="8"/>
        <v>#N/A</v>
      </c>
      <c r="AA43" s="475"/>
    </row>
    <row r="44" spans="1:27" ht="14.65" customHeight="1">
      <c r="A44" s="28"/>
      <c r="B44" s="594"/>
      <c r="C44" s="362"/>
      <c r="D44" s="547"/>
      <c r="E44" s="535"/>
      <c r="F44" s="294"/>
      <c r="G44" s="294"/>
      <c r="H44" s="348"/>
      <c r="I44" s="411" t="s">
        <v>158</v>
      </c>
      <c r="J44" s="326"/>
      <c r="K44" s="284"/>
      <c r="L44" s="305"/>
      <c r="M44" s="305">
        <f>AVERAGE([28]Brewhouse!$AU$5:$AU$8,[28]Brewhouse!$AU$10:$AU$13,[27]Brewhouse!$AY$75:$AY$77)</f>
        <v>94.749192473706671</v>
      </c>
      <c r="N44" s="30">
        <v>98</v>
      </c>
      <c r="O44" s="11"/>
      <c r="P44" s="31"/>
      <c r="R44" s="277">
        <f t="shared" si="10"/>
        <v>0</v>
      </c>
      <c r="S44" s="475" t="e">
        <f t="shared" si="1"/>
        <v>#N/A</v>
      </c>
      <c r="T44" s="475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5" t="e">
        <f t="shared" si="8"/>
        <v>#N/A</v>
      </c>
      <c r="AA44" s="475"/>
    </row>
    <row r="45" spans="1:27" ht="14.65" customHeight="1">
      <c r="A45" s="28"/>
      <c r="B45" s="594"/>
      <c r="C45" s="349"/>
      <c r="D45" s="580"/>
      <c r="E45" s="581"/>
      <c r="F45" s="294"/>
      <c r="G45" s="294"/>
      <c r="H45" s="348"/>
      <c r="I45" s="410" t="s">
        <v>157</v>
      </c>
      <c r="J45" s="326"/>
      <c r="K45" s="284"/>
      <c r="L45" s="305"/>
      <c r="M45" s="305">
        <f>AVERAGE([29]Brewhouse!$AW$26:$AW$27)</f>
        <v>95.310680905194914</v>
      </c>
      <c r="N45" s="30">
        <v>98</v>
      </c>
      <c r="O45" s="11"/>
      <c r="P45" s="31"/>
      <c r="R45" s="277">
        <f t="shared" si="10"/>
        <v>0</v>
      </c>
      <c r="S45" s="475" t="e">
        <f t="shared" si="1"/>
        <v>#N/A</v>
      </c>
      <c r="T45" s="475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5" t="e">
        <f t="shared" si="8"/>
        <v>#N/A</v>
      </c>
      <c r="AA45" s="475"/>
    </row>
    <row r="46" spans="1:27" ht="15" customHeight="1" thickBot="1">
      <c r="A46" s="28"/>
      <c r="B46" s="594"/>
      <c r="C46" s="349"/>
      <c r="D46" s="547"/>
      <c r="E46" s="535"/>
      <c r="F46" s="294"/>
      <c r="G46" s="294"/>
      <c r="H46" s="348"/>
      <c r="I46" s="406" t="s">
        <v>156</v>
      </c>
      <c r="J46" s="327"/>
      <c r="K46" s="407"/>
      <c r="L46" s="408"/>
      <c r="M46" s="408">
        <f>AVERAGE([30]Brewhouse!$AU$13:$AU$14)</f>
        <v>97.110575243268045</v>
      </c>
      <c r="N46" s="409">
        <v>98</v>
      </c>
      <c r="O46" s="11"/>
      <c r="P46" s="31"/>
      <c r="R46" s="277">
        <f t="shared" si="10"/>
        <v>0</v>
      </c>
      <c r="S46" s="475" t="e">
        <f t="shared" si="1"/>
        <v>#N/A</v>
      </c>
      <c r="T46" s="475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5" t="e">
        <f t="shared" si="8"/>
        <v>#N/A</v>
      </c>
      <c r="AA46" s="475"/>
    </row>
    <row r="47" spans="1:27" ht="15" customHeight="1" thickBot="1">
      <c r="A47" s="28"/>
      <c r="B47" s="594"/>
      <c r="C47" s="349"/>
      <c r="D47" s="532"/>
      <c r="E47" s="533"/>
      <c r="F47" s="294"/>
      <c r="G47" s="294"/>
      <c r="H47" s="348"/>
      <c r="I47" s="1"/>
      <c r="J47" s="39"/>
      <c r="K47" s="404">
        <f>SUM(K37:K46)</f>
        <v>60</v>
      </c>
      <c r="L47" s="405">
        <f>((L37*K37)+(L38*K38)+(L39*K39)+(L40*K40)+(L41*K41)+(K44*L44)+(L42*K42)+(L43*K43)+(L46*K46))/(K47)</f>
        <v>97.253404412093815</v>
      </c>
      <c r="M47" s="405">
        <f>AVERAGE('[31]Jan 31st'!$L$65,'[32]Feb 28th'!$L$35,'[33]Mar. 31st'!$L$35,'[34]Apr. 30th'!$L$45,'[35]May 30th'!$L$37,'[36]June 30th'!$L$57,'[37]July 29th '!$L$44,'[38]Aug 29th'!$L$29,'[39]Sept 30th'!$L$35,L47)</f>
        <v>97.543290680891175</v>
      </c>
      <c r="N47" s="40">
        <v>98</v>
      </c>
      <c r="O47" s="11"/>
      <c r="P47" s="31"/>
      <c r="R47" s="277">
        <f t="shared" si="10"/>
        <v>0</v>
      </c>
      <c r="S47" s="475" t="e">
        <f t="shared" si="1"/>
        <v>#N/A</v>
      </c>
      <c r="T47" s="475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5" t="e">
        <f t="shared" si="8"/>
        <v>#N/A</v>
      </c>
      <c r="AA47" s="475"/>
    </row>
    <row r="48" spans="1:27" ht="15.75" thickBot="1">
      <c r="B48" s="595"/>
      <c r="C48" s="350"/>
      <c r="D48" s="534"/>
      <c r="E48" s="535"/>
      <c r="F48" s="294"/>
      <c r="G48" s="42"/>
      <c r="H48" s="41"/>
      <c r="I48" s="42"/>
      <c r="J48" s="42"/>
      <c r="K48" s="351"/>
      <c r="L48" s="348"/>
      <c r="M48" s="348"/>
      <c r="N48" s="11"/>
      <c r="O48" s="294"/>
      <c r="P48" s="12"/>
      <c r="R48" s="277">
        <f t="shared" si="10"/>
        <v>0</v>
      </c>
      <c r="S48" s="475" t="e">
        <f t="shared" si="1"/>
        <v>#N/A</v>
      </c>
      <c r="T48" s="475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5" t="e">
        <f t="shared" si="8"/>
        <v>#N/A</v>
      </c>
      <c r="AA48" s="475"/>
    </row>
    <row r="49" spans="2:56" ht="15.75" thickBot="1">
      <c r="B49" s="529"/>
      <c r="C49" s="362"/>
      <c r="D49" s="545"/>
      <c r="E49" s="546"/>
      <c r="F49" s="294"/>
      <c r="G49" s="42"/>
      <c r="H49" s="41"/>
      <c r="I49" s="42"/>
      <c r="J49" s="579" t="s">
        <v>129</v>
      </c>
      <c r="K49" s="579"/>
      <c r="L49" s="294"/>
      <c r="M49" s="294"/>
      <c r="N49" s="294"/>
      <c r="O49" s="294"/>
      <c r="P49" s="12"/>
    </row>
    <row r="50" spans="2:56" ht="15.75" thickBot="1">
      <c r="B50" s="530"/>
      <c r="C50" s="362"/>
      <c r="D50" s="547"/>
      <c r="E50" s="535"/>
      <c r="F50" s="294"/>
      <c r="G50" s="42"/>
      <c r="H50" s="42"/>
      <c r="I50" s="42"/>
      <c r="J50" s="292" t="s">
        <v>17</v>
      </c>
      <c r="K50" s="293" t="s">
        <v>147</v>
      </c>
      <c r="L50" s="549" t="s">
        <v>136</v>
      </c>
      <c r="M50" s="549"/>
      <c r="N50" s="550"/>
      <c r="O50" s="294"/>
      <c r="P50" s="12"/>
    </row>
    <row r="51" spans="2:56" ht="15" customHeight="1" thickBot="1">
      <c r="B51" s="530"/>
      <c r="C51" s="349"/>
      <c r="D51" s="580"/>
      <c r="E51" s="581"/>
      <c r="F51" s="294"/>
      <c r="G51" s="42"/>
      <c r="H51" s="42"/>
      <c r="I51" s="42"/>
      <c r="J51" s="287" t="s">
        <v>6</v>
      </c>
      <c r="K51" s="324">
        <v>3</v>
      </c>
      <c r="L51" s="476" t="s">
        <v>37</v>
      </c>
      <c r="M51" s="477" t="s">
        <v>38</v>
      </c>
      <c r="N51" s="477" t="s">
        <v>84</v>
      </c>
      <c r="O51" s="294"/>
      <c r="P51" s="12"/>
    </row>
    <row r="52" spans="2:56" ht="15.75" customHeight="1" thickBot="1">
      <c r="B52" s="530"/>
      <c r="C52" s="349"/>
      <c r="D52" s="547"/>
      <c r="E52" s="535"/>
      <c r="F52" s="294"/>
      <c r="G52" s="42"/>
      <c r="H52" s="42"/>
      <c r="I52" s="42"/>
      <c r="J52" s="345" t="s">
        <v>9</v>
      </c>
      <c r="K52" s="324">
        <v>4</v>
      </c>
      <c r="L52" s="344">
        <f>AVERAGE('Dec 1st'!K43,'Dec 2nd'!K49,'Dec 3rd '!K58,'Dec 4th'!K51,'Dec 5th-7th'!I70,'Dec 5th-7th'!J70,'Dec 5th-7th'!K70,'Dec 8th '!K49,'Dec 9th'!K49,'Dec 10th'!K61)</f>
        <v>6</v>
      </c>
      <c r="M52" s="325">
        <f>AVERAGE('[31]Jan 29th '!$M$70,'[32]Feb 28th'!$L$40,'[33]Mar. 31st'!$L$40,'[34]Apr. 30th'!$L$50,'[35]May 30th'!$L$42,'[36]June 30th'!$L$62,'[37]July 29th '!$L$49,'[38]Aug 29th'!$L$34,'[39]Sept 30th'!$L$40,[40]Oct.31st!$L$43,'[41]Nov 28th-30th'!$L$45,L52)</f>
        <v>6.8895310845396658</v>
      </c>
      <c r="N52" s="416">
        <v>9.1999999999999993</v>
      </c>
      <c r="O52" s="294"/>
      <c r="P52" s="12"/>
    </row>
    <row r="53" spans="2:56" ht="15" customHeight="1">
      <c r="B53" s="530"/>
      <c r="C53" s="349"/>
      <c r="D53" s="580"/>
      <c r="E53" s="581"/>
      <c r="F53" s="294"/>
      <c r="G53" s="42"/>
      <c r="H53" s="42"/>
      <c r="I53" s="42"/>
      <c r="J53" s="288" t="s">
        <v>40</v>
      </c>
      <c r="K53" s="324"/>
      <c r="L53" s="294"/>
      <c r="M53" s="294"/>
      <c r="N53" s="294"/>
      <c r="O53" s="294"/>
      <c r="P53" s="12"/>
    </row>
    <row r="54" spans="2:56" ht="15" customHeight="1">
      <c r="B54" s="530"/>
      <c r="C54" s="349"/>
      <c r="D54" s="547"/>
      <c r="E54" s="535"/>
      <c r="F54" s="294"/>
      <c r="G54" s="42"/>
      <c r="H54" s="42"/>
      <c r="I54" s="42"/>
      <c r="J54" s="289" t="s">
        <v>33</v>
      </c>
      <c r="K54" s="324"/>
      <c r="L54" s="294"/>
      <c r="M54" s="294"/>
      <c r="N54" s="294"/>
      <c r="O54" s="294"/>
      <c r="P54" s="12"/>
    </row>
    <row r="55" spans="2:56" ht="15">
      <c r="B55" s="530"/>
      <c r="C55" s="349"/>
      <c r="D55" s="580"/>
      <c r="E55" s="581"/>
      <c r="F55" s="294"/>
      <c r="G55" s="42"/>
      <c r="H55" s="42"/>
      <c r="I55" s="42"/>
      <c r="J55" s="290" t="s">
        <v>16</v>
      </c>
      <c r="K55" s="324"/>
      <c r="L55" s="294"/>
      <c r="M55" s="294"/>
      <c r="N55" s="294"/>
      <c r="O55" s="294"/>
      <c r="P55" s="12"/>
      <c r="BC55" s="44"/>
      <c r="BD55" s="44"/>
    </row>
    <row r="56" spans="2:56" ht="15">
      <c r="B56" s="530"/>
      <c r="C56" s="349"/>
      <c r="D56" s="547"/>
      <c r="E56" s="535"/>
      <c r="F56" s="294"/>
      <c r="G56" s="42"/>
      <c r="H56" s="42"/>
      <c r="I56" s="42"/>
      <c r="J56" s="291" t="s">
        <v>15</v>
      </c>
      <c r="K56" s="324"/>
      <c r="L56" s="294"/>
      <c r="M56" s="294"/>
      <c r="N56" s="294"/>
      <c r="O56" s="294"/>
      <c r="P56" s="12"/>
      <c r="BC56" s="44"/>
      <c r="BD56" s="44"/>
    </row>
    <row r="57" spans="2:56" ht="15">
      <c r="B57" s="530"/>
      <c r="C57" s="349"/>
      <c r="D57" s="580"/>
      <c r="E57" s="581"/>
      <c r="F57" s="294"/>
      <c r="G57" s="42"/>
      <c r="H57" s="42"/>
      <c r="I57" s="42"/>
      <c r="J57" s="291" t="s">
        <v>149</v>
      </c>
      <c r="K57" s="324"/>
      <c r="L57" s="294"/>
      <c r="M57" s="294"/>
      <c r="N57" s="294"/>
      <c r="O57" s="294"/>
      <c r="P57" s="12"/>
      <c r="BC57" s="44"/>
      <c r="BD57" s="44"/>
    </row>
    <row r="58" spans="2:56" ht="15.75" thickBot="1">
      <c r="B58" s="531"/>
      <c r="C58" s="350"/>
      <c r="D58" s="582"/>
      <c r="E58" s="583"/>
      <c r="F58" s="294" t="s">
        <v>166</v>
      </c>
      <c r="G58" s="42"/>
      <c r="H58" s="42"/>
      <c r="I58" s="42"/>
      <c r="J58" s="291" t="s">
        <v>148</v>
      </c>
      <c r="K58" s="324"/>
      <c r="L58" s="294"/>
      <c r="M58" s="294"/>
      <c r="N58" s="294" t="s">
        <v>41</v>
      </c>
      <c r="O58" s="294"/>
      <c r="P58" s="12"/>
      <c r="BC58" s="44"/>
      <c r="BD58" s="44"/>
    </row>
    <row r="59" spans="2:56" ht="17.649999999999999" customHeight="1" thickBot="1">
      <c r="B59" s="312" t="s">
        <v>139</v>
      </c>
      <c r="C59" s="313"/>
      <c r="D59" s="577"/>
      <c r="E59" s="578"/>
      <c r="F59" s="294"/>
      <c r="J59" s="295" t="s">
        <v>134</v>
      </c>
      <c r="K59" s="324"/>
      <c r="L59" s="294"/>
      <c r="M59" s="294"/>
      <c r="N59" s="294"/>
      <c r="O59" s="294"/>
      <c r="P59" s="12"/>
      <c r="BC59" s="44"/>
      <c r="BD59" s="44"/>
    </row>
    <row r="60" spans="2:56" ht="17.649999999999999" customHeight="1">
      <c r="B60" s="363"/>
      <c r="C60" s="364"/>
      <c r="D60" s="365"/>
      <c r="E60" s="365"/>
      <c r="F60" s="294"/>
      <c r="G60" s="42"/>
      <c r="H60" s="42"/>
      <c r="I60" s="42"/>
      <c r="J60" s="295" t="s">
        <v>131</v>
      </c>
      <c r="K60" s="324"/>
      <c r="L60" s="294"/>
      <c r="M60" s="294"/>
      <c r="N60" s="294"/>
      <c r="O60" s="294"/>
      <c r="P60" s="12"/>
      <c r="BC60" s="44"/>
      <c r="BD60" s="44"/>
    </row>
    <row r="61" spans="2:56" ht="15.6" customHeight="1">
      <c r="B61" s="45"/>
      <c r="C61" s="11"/>
      <c r="D61" s="11"/>
      <c r="E61" s="46"/>
      <c r="F61" s="294"/>
      <c r="G61" s="42"/>
      <c r="H61" s="42"/>
      <c r="I61" s="42"/>
      <c r="J61" s="346" t="s">
        <v>130</v>
      </c>
      <c r="K61" s="324">
        <f>SUM(K51:K60)</f>
        <v>7</v>
      </c>
      <c r="L61" s="294"/>
      <c r="M61" s="294"/>
      <c r="N61" s="294"/>
      <c r="O61" s="294"/>
      <c r="P61" s="12"/>
    </row>
    <row r="62" spans="2:56" ht="20.25" customHeight="1">
      <c r="B62" s="15" t="s">
        <v>42</v>
      </c>
      <c r="C62" s="1" t="s">
        <v>43</v>
      </c>
      <c r="D62" s="1"/>
      <c r="E62" s="1"/>
      <c r="F62" s="294"/>
      <c r="G62" s="42"/>
      <c r="H62" s="41"/>
      <c r="I62" s="42"/>
      <c r="J62" s="42"/>
      <c r="L62" s="294"/>
      <c r="N62" s="315"/>
      <c r="P62" s="334"/>
    </row>
    <row r="63" spans="2:56" ht="15" customHeight="1" thickBot="1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1"/>
      <c r="O63" s="48"/>
      <c r="P63" s="49"/>
    </row>
    <row r="64" spans="2:56" ht="15" customHeight="1" thickBot="1">
      <c r="B64" s="557" t="s">
        <v>17</v>
      </c>
      <c r="C64" s="557" t="s">
        <v>44</v>
      </c>
      <c r="D64" s="559" t="s">
        <v>45</v>
      </c>
      <c r="E64" s="514" t="s">
        <v>46</v>
      </c>
      <c r="F64" s="574" t="s">
        <v>47</v>
      </c>
      <c r="G64" s="568" t="s">
        <v>48</v>
      </c>
      <c r="H64" s="557" t="s">
        <v>49</v>
      </c>
      <c r="I64" s="557" t="s">
        <v>50</v>
      </c>
      <c r="J64" s="562" t="s">
        <v>28</v>
      </c>
      <c r="K64" s="512" t="s">
        <v>51</v>
      </c>
      <c r="L64" s="524" t="s">
        <v>52</v>
      </c>
      <c r="M64" s="562" t="s">
        <v>53</v>
      </c>
      <c r="N64" s="13"/>
      <c r="O64" s="13"/>
      <c r="P64" s="50"/>
    </row>
    <row r="65" spans="2:57" ht="28.5" customHeight="1" thickTop="1" thickBot="1">
      <c r="B65" s="558"/>
      <c r="C65" s="558"/>
      <c r="D65" s="560"/>
      <c r="E65" s="561"/>
      <c r="F65" s="575"/>
      <c r="G65" s="569"/>
      <c r="H65" s="576"/>
      <c r="I65" s="576"/>
      <c r="J65" s="563"/>
      <c r="K65" s="572"/>
      <c r="L65" s="573"/>
      <c r="M65" s="563"/>
      <c r="N65" s="13"/>
      <c r="O65" s="13"/>
      <c r="P65" s="50"/>
      <c r="Q65" s="355"/>
      <c r="AB65" s="478">
        <v>43474</v>
      </c>
      <c r="AC65" s="478">
        <v>43475</v>
      </c>
      <c r="AD65" s="478">
        <v>43476</v>
      </c>
      <c r="AE65" s="478">
        <v>43477</v>
      </c>
      <c r="AF65" s="478">
        <v>43478</v>
      </c>
      <c r="AG65" s="478">
        <v>43479</v>
      </c>
      <c r="AH65" s="478">
        <v>43480</v>
      </c>
      <c r="AI65" s="478">
        <v>43481</v>
      </c>
      <c r="AJ65" s="478">
        <v>43482</v>
      </c>
      <c r="AK65" s="478">
        <v>43483</v>
      </c>
      <c r="AL65" s="478">
        <v>43484</v>
      </c>
      <c r="AM65" s="478">
        <v>43485</v>
      </c>
      <c r="AN65" s="478">
        <v>43486</v>
      </c>
      <c r="AO65" s="478">
        <v>43487</v>
      </c>
      <c r="AP65" s="478">
        <v>43488</v>
      </c>
      <c r="AQ65" s="478">
        <v>43489</v>
      </c>
      <c r="AR65" s="478">
        <v>43490</v>
      </c>
      <c r="AS65" s="478">
        <v>43491</v>
      </c>
      <c r="AT65" s="478">
        <v>43492</v>
      </c>
      <c r="AU65" s="478">
        <v>43493</v>
      </c>
      <c r="AV65" s="478">
        <v>43494</v>
      </c>
      <c r="AW65" s="478">
        <v>43495</v>
      </c>
      <c r="AX65" s="478">
        <v>43496</v>
      </c>
    </row>
    <row r="66" spans="2:57" s="54" customFormat="1" ht="43.15" customHeight="1" thickBot="1">
      <c r="B66" s="456"/>
      <c r="C66" s="441"/>
      <c r="D66" s="442"/>
      <c r="E66" s="443"/>
      <c r="F66" s="444"/>
      <c r="G66" s="444"/>
      <c r="H66" s="458"/>
      <c r="I66" s="458"/>
      <c r="J66" s="448"/>
      <c r="K66" s="449"/>
      <c r="L66" s="486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[20]January_2019!L7</f>
        <v>285.8</v>
      </c>
      <c r="AC66" s="57">
        <f>[20]January_2019!M7</f>
        <v>508.1</v>
      </c>
      <c r="AD66" s="57">
        <f>[20]January_2019!N7</f>
        <v>0</v>
      </c>
      <c r="AE66" s="57">
        <f>[20]January_2019!O7</f>
        <v>0</v>
      </c>
      <c r="AF66" s="57">
        <f>[20]January_2019!P7</f>
        <v>109.56666666666666</v>
      </c>
      <c r="AG66" s="57">
        <f>[20]January_2019!Q7</f>
        <v>297.64999999999998</v>
      </c>
      <c r="AH66" s="57">
        <f>[20]January_2019!R7</f>
        <v>122.3</v>
      </c>
      <c r="AI66" s="57">
        <f>[20]January_2019!S7</f>
        <v>0</v>
      </c>
      <c r="AJ66" s="57">
        <f>[20]January_2019!T7</f>
        <v>294.7</v>
      </c>
      <c r="AK66" s="57">
        <f>[20]January_2019!U7</f>
        <v>280.5</v>
      </c>
      <c r="AL66" s="57">
        <f>[20]January_2019!V7</f>
        <v>0</v>
      </c>
      <c r="AM66" s="57">
        <f>[20]January_2019!W7</f>
        <v>0</v>
      </c>
      <c r="AN66" s="57">
        <f>[20]January_2019!X7</f>
        <v>188.25</v>
      </c>
      <c r="AO66" s="57">
        <f>[20]January_2019!Y7</f>
        <v>295.7</v>
      </c>
      <c r="AP66" s="57">
        <f>[20]January_2019!Z7</f>
        <v>257.8</v>
      </c>
      <c r="AQ66" s="57">
        <f>[20]January_2019!AA7</f>
        <v>291.2</v>
      </c>
      <c r="AR66" s="57">
        <f>[20]January_2019!AB7</f>
        <v>187</v>
      </c>
      <c r="AS66" s="57">
        <f>[20]January_2019!AC7</f>
        <v>0</v>
      </c>
      <c r="AT66" s="57">
        <f>[20]January_2019!AD7</f>
        <v>0</v>
      </c>
      <c r="AU66" s="57">
        <f>[20]January_2019!AE7</f>
        <v>485.1</v>
      </c>
      <c r="AV66" s="57">
        <f>[20]January_2019!AF7</f>
        <v>171.55</v>
      </c>
      <c r="AW66" s="57">
        <f>[20]January_2019!AG7</f>
        <v>423.8</v>
      </c>
      <c r="AX66" s="277">
        <f>[20]January_2019!AH7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20.45" hidden="1" customHeight="1" thickBot="1">
      <c r="B67" s="468"/>
      <c r="C67" s="430"/>
      <c r="D67" s="431"/>
      <c r="E67" s="432"/>
      <c r="F67" s="433"/>
      <c r="G67" s="434"/>
      <c r="H67" s="428"/>
      <c r="I67" s="428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8.450000000000003" hidden="1" customHeight="1" thickBot="1">
      <c r="B68" s="456"/>
      <c r="C68" s="441"/>
      <c r="D68" s="442"/>
      <c r="E68" s="443"/>
      <c r="F68" s="444"/>
      <c r="G68" s="445"/>
      <c r="H68" s="458"/>
      <c r="I68" s="458"/>
      <c r="J68" s="448"/>
      <c r="K68" s="460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5" hidden="1">
      <c r="B69" s="453"/>
      <c r="C69" s="430"/>
      <c r="D69" s="431"/>
      <c r="E69" s="432"/>
      <c r="F69" s="433"/>
      <c r="G69" s="434"/>
      <c r="H69" s="435"/>
      <c r="I69" s="450"/>
      <c r="J69" s="451"/>
      <c r="K69" s="436"/>
      <c r="L69" s="452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hidden="1" customHeight="1" thickBot="1">
      <c r="B70" s="459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16.5" hidden="1" customHeight="1" thickBot="1">
      <c r="B71" s="437"/>
      <c r="C71" s="423"/>
      <c r="D71" s="424"/>
      <c r="E71" s="425"/>
      <c r="F71" s="426"/>
      <c r="G71" s="427"/>
      <c r="H71" s="428"/>
      <c r="I71" s="438"/>
      <c r="J71" s="439"/>
      <c r="K71" s="429"/>
      <c r="L71" s="440"/>
      <c r="M71" s="422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2:57" s="54" customFormat="1" ht="37.15" hidden="1" customHeight="1" thickBot="1">
      <c r="B72" s="456"/>
      <c r="C72" s="441"/>
      <c r="D72" s="442"/>
      <c r="E72" s="443"/>
      <c r="F72" s="444"/>
      <c r="G72" s="445"/>
      <c r="H72" s="446"/>
      <c r="I72" s="447"/>
      <c r="J72" s="448"/>
      <c r="K72" s="449"/>
      <c r="L72" s="457"/>
      <c r="M72" s="454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s="54" customFormat="1" ht="37.15" customHeight="1">
      <c r="B73" s="467"/>
      <c r="C73" s="430"/>
      <c r="D73" s="461"/>
      <c r="E73" s="462"/>
      <c r="F73" s="463"/>
      <c r="G73" s="461"/>
      <c r="H73" s="464"/>
      <c r="I73" s="464"/>
      <c r="J73" s="464"/>
      <c r="K73" s="465"/>
      <c r="L73" s="466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5.75" thickBot="1">
      <c r="B75" s="564" t="s">
        <v>55</v>
      </c>
      <c r="C75" s="565"/>
      <c r="D75" s="565"/>
      <c r="E75" s="565"/>
      <c r="F75" s="566"/>
      <c r="G75" s="564" t="s">
        <v>56</v>
      </c>
      <c r="H75" s="565"/>
      <c r="I75" s="565"/>
      <c r="J75" s="566"/>
      <c r="K75" s="564" t="s">
        <v>51</v>
      </c>
      <c r="L75" s="565"/>
      <c r="M75" s="565"/>
      <c r="N75" s="567"/>
      <c r="O75" s="56"/>
      <c r="P75" s="50"/>
    </row>
    <row r="76" spans="2:57" ht="15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2:57" ht="15">
      <c r="B77" s="29" t="s">
        <v>6</v>
      </c>
      <c r="C77" s="282"/>
      <c r="D77" s="76">
        <v>6.2340316811445922</v>
      </c>
      <c r="E77" s="76">
        <v>6.0773431397377013</v>
      </c>
      <c r="F77" s="66">
        <v>4.8</v>
      </c>
      <c r="G77" s="65"/>
      <c r="H77" s="491">
        <v>5.6485075406120568</v>
      </c>
      <c r="I77" s="76">
        <v>5.9917086961662607</v>
      </c>
      <c r="J77" s="66">
        <v>4.8</v>
      </c>
      <c r="K77" s="67"/>
      <c r="L77" s="194">
        <v>0.45889473684210524</v>
      </c>
      <c r="M77" s="194">
        <v>0.72186132308783935</v>
      </c>
      <c r="N77" s="68">
        <v>1</v>
      </c>
      <c r="O77" s="56"/>
      <c r="P77" s="69"/>
    </row>
    <row r="78" spans="2:57" ht="15">
      <c r="B78" s="33" t="s">
        <v>9</v>
      </c>
      <c r="C78" s="65"/>
      <c r="D78" s="76">
        <v>1.5625804017083973</v>
      </c>
      <c r="E78" s="76">
        <v>5.5960664917440779</v>
      </c>
      <c r="F78" s="66">
        <v>4.8</v>
      </c>
      <c r="G78" s="65"/>
      <c r="H78" s="76">
        <v>2.1472714173633256</v>
      </c>
      <c r="I78" s="76">
        <v>6.1167972180873393</v>
      </c>
      <c r="J78" s="66">
        <v>4.8</v>
      </c>
      <c r="K78" s="67"/>
      <c r="L78" s="194">
        <v>0.45210526315789473</v>
      </c>
      <c r="M78" s="194">
        <v>0.67706581940207577</v>
      </c>
      <c r="N78" s="68">
        <v>1</v>
      </c>
      <c r="P78" s="69"/>
    </row>
    <row r="79" spans="2:57" ht="15">
      <c r="B79" s="34" t="s">
        <v>40</v>
      </c>
      <c r="C79" s="65"/>
      <c r="D79" s="76">
        <v>12.618296529968443</v>
      </c>
      <c r="E79" s="76">
        <v>11.122539172358353</v>
      </c>
      <c r="F79" s="66">
        <v>5.5</v>
      </c>
      <c r="G79" s="65"/>
      <c r="H79" s="76">
        <v>12.288892572095527</v>
      </c>
      <c r="I79" s="76">
        <v>12.520142311925225</v>
      </c>
      <c r="J79" s="66">
        <v>5.5</v>
      </c>
      <c r="K79" s="67"/>
      <c r="L79" s="194">
        <v>0.31587719298245615</v>
      </c>
      <c r="M79" s="194">
        <v>0.50769967246157732</v>
      </c>
      <c r="N79" s="68">
        <v>1</v>
      </c>
      <c r="P79" s="69"/>
    </row>
    <row r="80" spans="2:57" ht="15">
      <c r="B80" s="22" t="s">
        <v>33</v>
      </c>
      <c r="C80" s="65"/>
      <c r="D80" s="76">
        <v>3.6210127551534388</v>
      </c>
      <c r="E80" s="76">
        <v>4.5238317691984813</v>
      </c>
      <c r="F80" s="66">
        <v>3.3</v>
      </c>
      <c r="G80" s="65"/>
      <c r="H80" s="76">
        <v>2.8491888487026817</v>
      </c>
      <c r="I80" s="76">
        <v>4.2621233200108142</v>
      </c>
      <c r="J80" s="66">
        <v>3.3</v>
      </c>
      <c r="K80" s="67"/>
      <c r="L80" s="194">
        <v>0.67114035087719304</v>
      </c>
      <c r="M80" s="194">
        <v>0.81111567982456145</v>
      </c>
      <c r="N80" s="68">
        <v>1</v>
      </c>
      <c r="P80" s="69"/>
    </row>
    <row r="81" spans="2:16" ht="15">
      <c r="B81" s="35" t="s">
        <v>164</v>
      </c>
      <c r="C81" s="65"/>
      <c r="D81" s="76"/>
      <c r="E81" s="76">
        <v>7.837301587301579</v>
      </c>
      <c r="F81" s="66">
        <v>3.3</v>
      </c>
      <c r="G81" s="282"/>
      <c r="H81" s="76"/>
      <c r="I81" s="76">
        <v>5.3377569154690221</v>
      </c>
      <c r="J81" s="66">
        <v>3</v>
      </c>
      <c r="K81" s="67"/>
      <c r="L81" s="194"/>
      <c r="M81" s="194">
        <v>0.32596491228070179</v>
      </c>
      <c r="N81" s="68">
        <v>1</v>
      </c>
      <c r="P81" s="69"/>
    </row>
    <row r="82" spans="2:16" ht="15">
      <c r="B82" s="36" t="s">
        <v>15</v>
      </c>
      <c r="C82" s="65"/>
      <c r="D82" s="76"/>
      <c r="E82" s="76">
        <v>6.8851328044153277</v>
      </c>
      <c r="F82" s="70">
        <f>[21]May_2022!$M$43</f>
        <v>3.4878406700073312</v>
      </c>
      <c r="G82" s="282"/>
      <c r="H82" s="76"/>
      <c r="I82" s="76">
        <v>8.6614709463340702</v>
      </c>
      <c r="J82" s="66">
        <v>5.5</v>
      </c>
      <c r="K82" s="67"/>
      <c r="L82" s="194"/>
      <c r="M82" s="194">
        <v>0.73160818713450293</v>
      </c>
      <c r="N82" s="68">
        <v>1</v>
      </c>
      <c r="P82" s="69"/>
    </row>
    <row r="83" spans="2:16" ht="15">
      <c r="B83" s="37" t="s">
        <v>16</v>
      </c>
      <c r="C83" s="65"/>
      <c r="D83" s="76"/>
      <c r="E83" s="76">
        <v>2.9297033255778997</v>
      </c>
      <c r="F83" s="66">
        <v>3.3</v>
      </c>
      <c r="G83" s="282"/>
      <c r="H83" s="76"/>
      <c r="I83" s="76">
        <v>4.2684292436723528</v>
      </c>
      <c r="J83" s="66">
        <v>3.3</v>
      </c>
      <c r="K83" s="67"/>
      <c r="L83" s="194"/>
      <c r="M83" s="194">
        <v>0.84660147761842675</v>
      </c>
      <c r="N83" s="71">
        <v>1</v>
      </c>
      <c r="P83" s="69"/>
    </row>
    <row r="84" spans="2:16" ht="15.75" thickBot="1">
      <c r="B84" s="38" t="s">
        <v>163</v>
      </c>
      <c r="C84" s="65"/>
      <c r="D84" s="76"/>
      <c r="E84" s="76">
        <v>11.483253588516746</v>
      </c>
      <c r="F84" s="66">
        <v>7.5</v>
      </c>
      <c r="G84" s="282"/>
      <c r="H84" s="76"/>
      <c r="I84" s="76">
        <v>9.7934336121043764</v>
      </c>
      <c r="J84" s="66">
        <v>7.5</v>
      </c>
      <c r="K84" s="67"/>
      <c r="M84" s="194">
        <v>0.32456140350877194</v>
      </c>
      <c r="N84" s="71">
        <v>1</v>
      </c>
      <c r="P84" s="69"/>
    </row>
    <row r="85" spans="2:16" ht="15.75" thickBot="1">
      <c r="B85" s="414" t="s">
        <v>161</v>
      </c>
      <c r="C85" s="65"/>
      <c r="D85" s="76"/>
      <c r="E85" s="76">
        <v>7.2653644592663174</v>
      </c>
      <c r="F85" s="66">
        <v>4.8</v>
      </c>
      <c r="G85" s="282"/>
      <c r="H85" s="76"/>
      <c r="I85" s="76">
        <v>8.1715311054411259</v>
      </c>
      <c r="J85" s="66">
        <v>4.8</v>
      </c>
      <c r="K85" s="67"/>
      <c r="L85" s="194"/>
      <c r="M85" s="194">
        <v>0.51368421052631585</v>
      </c>
      <c r="N85" s="71">
        <v>1</v>
      </c>
      <c r="O85" s="74"/>
      <c r="P85" s="75"/>
    </row>
    <row r="86" spans="2:16" ht="15">
      <c r="D86" s="76">
        <v>5.7614064689953493</v>
      </c>
      <c r="E86" s="76">
        <v>6.094747491041395</v>
      </c>
      <c r="F86" s="341">
        <v>5.5</v>
      </c>
      <c r="H86" s="76">
        <v>5.6816501323936395</v>
      </c>
      <c r="I86" s="76">
        <v>6.5080670856854468</v>
      </c>
      <c r="J86" s="341">
        <v>5.5</v>
      </c>
      <c r="L86" s="194">
        <v>0.4886608187134503</v>
      </c>
      <c r="M86" s="194">
        <v>0.69747529665587926</v>
      </c>
      <c r="N86" s="386">
        <v>1</v>
      </c>
    </row>
  </sheetData>
  <mergeCells count="51">
    <mergeCell ref="M64:M65"/>
    <mergeCell ref="B75:F75"/>
    <mergeCell ref="G75:J75"/>
    <mergeCell ref="K75:N75"/>
    <mergeCell ref="G64:G65"/>
    <mergeCell ref="H64:H65"/>
    <mergeCell ref="I64:I65"/>
    <mergeCell ref="J64:J65"/>
    <mergeCell ref="K64:K65"/>
    <mergeCell ref="L64:L65"/>
    <mergeCell ref="F64:F65"/>
    <mergeCell ref="D59:E59"/>
    <mergeCell ref="B64:B65"/>
    <mergeCell ref="C64:C65"/>
    <mergeCell ref="D64:D65"/>
    <mergeCell ref="E64:E65"/>
    <mergeCell ref="B49:B58"/>
    <mergeCell ref="D49:E50"/>
    <mergeCell ref="J49:K49"/>
    <mergeCell ref="L50:N50"/>
    <mergeCell ref="D51:E52"/>
    <mergeCell ref="D53:E54"/>
    <mergeCell ref="D55:E56"/>
    <mergeCell ref="D57:E58"/>
    <mergeCell ref="I35:N35"/>
    <mergeCell ref="D36:E36"/>
    <mergeCell ref="B37:B48"/>
    <mergeCell ref="D37:E38"/>
    <mergeCell ref="D39:E40"/>
    <mergeCell ref="D41:E42"/>
    <mergeCell ref="D43:E44"/>
    <mergeCell ref="D45:E46"/>
    <mergeCell ref="D47:E4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9:B60">
    <cfRule type="cellIs" dxfId="2581" priority="43" operator="notBetween">
      <formula>#REF!</formula>
      <formula>#REF!</formula>
    </cfRule>
  </conditionalFormatting>
  <conditionalFormatting sqref="C63">
    <cfRule type="cellIs" dxfId="2580" priority="188" stopIfTrue="1" operator="lessThan">
      <formula>96</formula>
    </cfRule>
    <cfRule type="cellIs" dxfId="2579" priority="189" stopIfTrue="1" operator="greaterThan">
      <formula>100</formula>
    </cfRule>
  </conditionalFormatting>
  <conditionalFormatting sqref="C77:C81">
    <cfRule type="cellIs" dxfId="2578" priority="142" stopIfTrue="1" operator="lessThanOrEqual">
      <formula>0</formula>
    </cfRule>
  </conditionalFormatting>
  <conditionalFormatting sqref="C77:C85">
    <cfRule type="cellIs" dxfId="2577" priority="141" stopIfTrue="1" operator="greaterThan">
      <formula>$F77</formula>
    </cfRule>
  </conditionalFormatting>
  <conditionalFormatting sqref="C78">
    <cfRule type="cellIs" dxfId="2576" priority="192" stopIfTrue="1" operator="greaterThan">
      <formula>$F77</formula>
    </cfRule>
  </conditionalFormatting>
  <conditionalFormatting sqref="C82">
    <cfRule type="cellIs" dxfId="2575" priority="82" stopIfTrue="1" operator="greaterThan">
      <formula>$F81</formula>
    </cfRule>
    <cfRule type="cellIs" dxfId="2574" priority="81" stopIfTrue="1" operator="lessThanOrEqual">
      <formula>0</formula>
    </cfRule>
  </conditionalFormatting>
  <conditionalFormatting sqref="C88:C92">
    <cfRule type="cellIs" dxfId="2573" priority="180" stopIfTrue="1" operator="lessThanOrEqual">
      <formula>0</formula>
    </cfRule>
  </conditionalFormatting>
  <conditionalFormatting sqref="C89:C92">
    <cfRule type="cellIs" dxfId="2572" priority="179" stopIfTrue="1" operator="greaterThan">
      <formula>$F$88</formula>
    </cfRule>
  </conditionalFormatting>
  <conditionalFormatting sqref="C94">
    <cfRule type="cellIs" dxfId="2571" priority="182" stopIfTrue="1" operator="lessThanOrEqual">
      <formula>0</formula>
    </cfRule>
    <cfRule type="cellIs" dxfId="2570" priority="181" stopIfTrue="1" operator="greaterThan">
      <formula>$F$88</formula>
    </cfRule>
  </conditionalFormatting>
  <conditionalFormatting sqref="C88:D88 D90:D96">
    <cfRule type="cellIs" dxfId="2569" priority="174" stopIfTrue="1" operator="greaterThan">
      <formula>4.5</formula>
    </cfRule>
  </conditionalFormatting>
  <conditionalFormatting sqref="D59:D60">
    <cfRule type="cellIs" dxfId="2568" priority="44" operator="notBetween">
      <formula>#REF!</formula>
      <formula>#REF!</formula>
    </cfRule>
  </conditionalFormatting>
  <conditionalFormatting sqref="D77:D84">
    <cfRule type="cellIs" dxfId="2567" priority="154" stopIfTrue="1" operator="lessThanOrEqual">
      <formula>0</formula>
    </cfRule>
  </conditionalFormatting>
  <conditionalFormatting sqref="D85">
    <cfRule type="cellIs" dxfId="2566" priority="153" stopIfTrue="1" operator="lessThanOrEqual">
      <formula>0</formula>
    </cfRule>
  </conditionalFormatting>
  <conditionalFormatting sqref="D88 D90:D96">
    <cfRule type="cellIs" dxfId="2565" priority="175" stopIfTrue="1" operator="lessThanOrEqual">
      <formula>0</formula>
    </cfRule>
  </conditionalFormatting>
  <conditionalFormatting sqref="D89">
    <cfRule type="cellIs" dxfId="2564" priority="166" stopIfTrue="1" operator="greaterThan">
      <formula>$F$88</formula>
    </cfRule>
    <cfRule type="cellIs" dxfId="2563" priority="167" stopIfTrue="1" operator="lessThanOrEqual">
      <formula>0</formula>
    </cfRule>
  </conditionalFormatting>
  <conditionalFormatting sqref="D77:E86">
    <cfRule type="cellIs" dxfId="2562" priority="139" stopIfTrue="1" operator="greaterThan">
      <formula>$F77</formula>
    </cfRule>
  </conditionalFormatting>
  <conditionalFormatting sqref="D86:E86">
    <cfRule type="cellIs" dxfId="2561" priority="140" stopIfTrue="1" operator="lessThanOrEqual">
      <formula>0</formula>
    </cfRule>
  </conditionalFormatting>
  <conditionalFormatting sqref="E10:E34">
    <cfRule type="cellIs" dxfId="2560" priority="18" operator="lessThan">
      <formula>48</formula>
    </cfRule>
  </conditionalFormatting>
  <conditionalFormatting sqref="E62 E63:F63">
    <cfRule type="cellIs" dxfId="2559" priority="171" stopIfTrue="1" operator="greaterThan">
      <formula>100</formula>
    </cfRule>
  </conditionalFormatting>
  <conditionalFormatting sqref="E63">
    <cfRule type="cellIs" dxfId="2558" priority="168" stopIfTrue="1" operator="lessThan">
      <formula>96.8</formula>
    </cfRule>
    <cfRule type="cellIs" dxfId="2557" priority="169" stopIfTrue="1" operator="greaterThan">
      <formula>100</formula>
    </cfRule>
  </conditionalFormatting>
  <conditionalFormatting sqref="E77:E85">
    <cfRule type="cellIs" dxfId="2556" priority="150" stopIfTrue="1" operator="lessThanOrEqual">
      <formula>0</formula>
    </cfRule>
  </conditionalFormatting>
  <conditionalFormatting sqref="E88:E96">
    <cfRule type="cellIs" dxfId="2555" priority="160" stopIfTrue="1" operator="greaterThan">
      <formula>4.5</formula>
    </cfRule>
    <cfRule type="cellIs" dxfId="2554" priority="161" stopIfTrue="1" operator="lessThanOrEqual">
      <formula>0</formula>
    </cfRule>
  </conditionalFormatting>
  <conditionalFormatting sqref="E63:F63 E62">
    <cfRule type="cellIs" dxfId="2553" priority="170" stopIfTrue="1" operator="lessThan">
      <formula>96.5</formula>
    </cfRule>
  </conditionalFormatting>
  <conditionalFormatting sqref="F10:F34">
    <cfRule type="cellIs" dxfId="2552" priority="19" operator="greaterThan">
      <formula>60</formula>
    </cfRule>
  </conditionalFormatting>
  <conditionalFormatting sqref="F63">
    <cfRule type="cellIs" dxfId="2551" priority="187" stopIfTrue="1" operator="greaterThan">
      <formula>100</formula>
    </cfRule>
    <cfRule type="cellIs" dxfId="2550" priority="186" stopIfTrue="1" operator="lessThan">
      <formula>96.8</formula>
    </cfRule>
  </conditionalFormatting>
  <conditionalFormatting sqref="F86">
    <cfRule type="cellIs" dxfId="2549" priority="151" stopIfTrue="1" operator="greaterThan">
      <formula>$F86</formula>
    </cfRule>
    <cfRule type="cellIs" dxfId="2548" priority="152" stopIfTrue="1" operator="lessThanOrEqual">
      <formula>0</formula>
    </cfRule>
  </conditionalFormatting>
  <conditionalFormatting sqref="G10:G13 G31:G33">
    <cfRule type="expression" dxfId="2547" priority="21">
      <formula>IF(+(IF(G10&lt;S10,0,IF(G10&gt;T10,0,1)))=0,1)</formula>
    </cfRule>
  </conditionalFormatting>
  <conditionalFormatting sqref="G77:G78 C83:C85">
    <cfRule type="cellIs" dxfId="2546" priority="156" stopIfTrue="1" operator="lessThanOrEqual">
      <formula>0</formula>
    </cfRule>
  </conditionalFormatting>
  <conditionalFormatting sqref="G77:G78">
    <cfRule type="cellIs" dxfId="2545" priority="155" stopIfTrue="1" operator="greaterThan">
      <formula>$F77</formula>
    </cfRule>
    <cfRule type="cellIs" dxfId="2544" priority="143" stopIfTrue="1" operator="greaterThan">
      <formula>$F77</formula>
    </cfRule>
    <cfRule type="cellIs" dxfId="2543" priority="144" stopIfTrue="1" operator="lessThanOrEqual">
      <formula>0</formula>
    </cfRule>
  </conditionalFormatting>
  <conditionalFormatting sqref="G79">
    <cfRule type="cellIs" dxfId="2542" priority="191" stopIfTrue="1" operator="lessThanOrEqual">
      <formula>0</formula>
    </cfRule>
    <cfRule type="cellIs" dxfId="2541" priority="190" stopIfTrue="1" operator="greaterThan">
      <formula>$F78</formula>
    </cfRule>
  </conditionalFormatting>
  <conditionalFormatting sqref="G80">
    <cfRule type="cellIs" dxfId="2540" priority="39" stopIfTrue="1" operator="greaterThan">
      <formula>$F80</formula>
    </cfRule>
    <cfRule type="cellIs" dxfId="2539" priority="40" stopIfTrue="1" operator="lessThanOrEqual">
      <formula>0</formula>
    </cfRule>
    <cfRule type="cellIs" dxfId="2538" priority="42" stopIfTrue="1" operator="lessThanOrEqual">
      <formula>0</formula>
    </cfRule>
    <cfRule type="cellIs" dxfId="2537" priority="41" stopIfTrue="1" operator="greaterThan">
      <formula>$F80</formula>
    </cfRule>
  </conditionalFormatting>
  <conditionalFormatting sqref="G81:G85">
    <cfRule type="cellIs" dxfId="2536" priority="158" stopIfTrue="1" operator="lessThanOrEqual">
      <formula>0</formula>
    </cfRule>
    <cfRule type="cellIs" dxfId="2535" priority="157" stopIfTrue="1" operator="greaterThan">
      <formula>$J81</formula>
    </cfRule>
  </conditionalFormatting>
  <conditionalFormatting sqref="G90:G95 C93 C95">
    <cfRule type="cellIs" dxfId="2534" priority="183" stopIfTrue="1" operator="greaterThan">
      <formula>4.5</formula>
    </cfRule>
    <cfRule type="cellIs" dxfId="2533" priority="184" stopIfTrue="1" operator="lessThanOrEqual">
      <formula>0</formula>
    </cfRule>
  </conditionalFormatting>
  <conditionalFormatting sqref="G89:H89">
    <cfRule type="cellIs" dxfId="2532" priority="165" stopIfTrue="1" operator="lessThanOrEqual">
      <formula>0</formula>
    </cfRule>
    <cfRule type="cellIs" dxfId="2531" priority="164" stopIfTrue="1" operator="greaterThan">
      <formula>$F$88</formula>
    </cfRule>
  </conditionalFormatting>
  <conditionalFormatting sqref="H48:H49 H62">
    <cfRule type="cellIs" dxfId="2530" priority="162" stopIfTrue="1" operator="greaterThan">
      <formula>0</formula>
    </cfRule>
  </conditionalFormatting>
  <conditionalFormatting sqref="H66">
    <cfRule type="cellIs" dxfId="2529" priority="26" stopIfTrue="1" operator="greaterThan">
      <formula>$F$81</formula>
    </cfRule>
    <cfRule type="cellIs" dxfId="2528" priority="25" stopIfTrue="1" operator="lessThanOrEqual">
      <formula>0</formula>
    </cfRule>
    <cfRule type="cellIs" dxfId="2527" priority="34" stopIfTrue="1" operator="greaterThan">
      <formula>$F$84</formula>
    </cfRule>
    <cfRule type="cellIs" dxfId="2526" priority="35" stopIfTrue="1" operator="lessThanOrEqual">
      <formula>0</formula>
    </cfRule>
    <cfRule type="cellIs" dxfId="2525" priority="36" stopIfTrue="1" operator="greaterThan">
      <formula>$F$82</formula>
    </cfRule>
    <cfRule type="cellIs" dxfId="2524" priority="37" stopIfTrue="1" operator="lessThanOrEqual">
      <formula>0</formula>
    </cfRule>
  </conditionalFormatting>
  <conditionalFormatting sqref="H67">
    <cfRule type="cellIs" dxfId="2523" priority="99" stopIfTrue="1" operator="greaterThan">
      <formula>#REF!</formula>
    </cfRule>
    <cfRule type="cellIs" dxfId="2522" priority="107" stopIfTrue="1" operator="greaterThan">
      <formula>$F$35</formula>
    </cfRule>
    <cfRule type="cellIs" dxfId="2521" priority="98" stopIfTrue="1" operator="lessThanOrEqual">
      <formula>0</formula>
    </cfRule>
    <cfRule type="cellIs" dxfId="2520" priority="110" stopIfTrue="1" operator="lessThanOrEqual">
      <formula>0</formula>
    </cfRule>
    <cfRule type="cellIs" dxfId="2519" priority="109" stopIfTrue="1" operator="greaterThan">
      <formula>#REF!</formula>
    </cfRule>
    <cfRule type="cellIs" dxfId="2518" priority="108" stopIfTrue="1" operator="lessThanOrEqual">
      <formula>0</formula>
    </cfRule>
  </conditionalFormatting>
  <conditionalFormatting sqref="H68">
    <cfRule type="cellIs" dxfId="2517" priority="77" stopIfTrue="1" operator="greaterThan">
      <formula>$F$81</formula>
    </cfRule>
    <cfRule type="cellIs" dxfId="2516" priority="78" stopIfTrue="1" operator="lessThanOrEqual">
      <formula>0</formula>
    </cfRule>
    <cfRule type="cellIs" dxfId="2515" priority="79" stopIfTrue="1" operator="greaterThan">
      <formula>$F$79</formula>
    </cfRule>
    <cfRule type="cellIs" dxfId="2514" priority="80" stopIfTrue="1" operator="lessThanOrEqual">
      <formula>0</formula>
    </cfRule>
    <cfRule type="cellIs" dxfId="2513" priority="68" stopIfTrue="1" operator="lessThanOrEqual">
      <formula>0</formula>
    </cfRule>
    <cfRule type="cellIs" dxfId="2512" priority="69" stopIfTrue="1" operator="greaterThan">
      <formula>$F$78</formula>
    </cfRule>
  </conditionalFormatting>
  <conditionalFormatting sqref="H69:H70">
    <cfRule type="cellIs" dxfId="2511" priority="84" stopIfTrue="1" operator="lessThanOrEqual">
      <formula>0</formula>
    </cfRule>
    <cfRule type="cellIs" dxfId="2510" priority="85" stopIfTrue="1" operator="greaterThan">
      <formula>#REF!</formula>
    </cfRule>
    <cfRule type="cellIs" dxfId="2509" priority="93" stopIfTrue="1" operator="greaterThan">
      <formula>$F$34</formula>
    </cfRule>
    <cfRule type="cellIs" dxfId="2508" priority="94" stopIfTrue="1" operator="lessThanOrEqual">
      <formula>0</formula>
    </cfRule>
    <cfRule type="cellIs" dxfId="2507" priority="95" stopIfTrue="1" operator="greaterThan">
      <formula>#REF!</formula>
    </cfRule>
    <cfRule type="cellIs" dxfId="2506" priority="96" stopIfTrue="1" operator="lessThanOrEqual">
      <formula>0</formula>
    </cfRule>
  </conditionalFormatting>
  <conditionalFormatting sqref="H71">
    <cfRule type="cellIs" dxfId="2505" priority="124" stopIfTrue="1" operator="greaterThan">
      <formula>$F$48</formula>
    </cfRule>
    <cfRule type="cellIs" dxfId="2504" priority="125" stopIfTrue="1" operator="lessThanOrEqual">
      <formula>0</formula>
    </cfRule>
    <cfRule type="cellIs" dxfId="2503" priority="122" stopIfTrue="1" operator="greaterThan">
      <formula>$F$50</formula>
    </cfRule>
    <cfRule type="cellIs" dxfId="2502" priority="114" stopIfTrue="1" operator="greaterThan">
      <formula>$F$47</formula>
    </cfRule>
    <cfRule type="cellIs" dxfId="2501" priority="113" stopIfTrue="1" operator="lessThanOrEqual">
      <formula>0</formula>
    </cfRule>
    <cfRule type="cellIs" dxfId="2500" priority="123" stopIfTrue="1" operator="lessThanOrEqual">
      <formula>0</formula>
    </cfRule>
  </conditionalFormatting>
  <conditionalFormatting sqref="H72:H73">
    <cfRule type="cellIs" dxfId="2499" priority="63" stopIfTrue="1" operator="greaterThan">
      <formula>$F$34</formula>
    </cfRule>
    <cfRule type="cellIs" dxfId="2498" priority="64" stopIfTrue="1" operator="lessThanOrEqual">
      <formula>0</formula>
    </cfRule>
    <cfRule type="cellIs" dxfId="2497" priority="65" stopIfTrue="1" operator="greaterThan">
      <formula>#REF!</formula>
    </cfRule>
    <cfRule type="cellIs" dxfId="2496" priority="66" stopIfTrue="1" operator="lessThanOrEqual">
      <formula>0</formula>
    </cfRule>
    <cfRule type="cellIs" dxfId="2495" priority="54" stopIfTrue="1" operator="lessThanOrEqual">
      <formula>0</formula>
    </cfRule>
    <cfRule type="cellIs" dxfId="2494" priority="55" stopIfTrue="1" operator="greaterThan">
      <formula>#REF!</formula>
    </cfRule>
  </conditionalFormatting>
  <conditionalFormatting sqref="H77:H84">
    <cfRule type="cellIs" dxfId="2493" priority="146" stopIfTrue="1" operator="lessThanOrEqual">
      <formula>0</formula>
    </cfRule>
    <cfRule type="cellIs" dxfId="2492" priority="145" stopIfTrue="1" operator="greaterThan">
      <formula>$J77</formula>
    </cfRule>
  </conditionalFormatting>
  <conditionalFormatting sqref="H85">
    <cfRule type="cellIs" dxfId="2491" priority="147" operator="greaterThan">
      <formula>5.3</formula>
    </cfRule>
  </conditionalFormatting>
  <conditionalFormatting sqref="H88 H90:H96">
    <cfRule type="cellIs" dxfId="2490" priority="177" stopIfTrue="1" operator="lessThanOrEqual">
      <formula>0</formula>
    </cfRule>
    <cfRule type="cellIs" dxfId="2489" priority="176" stopIfTrue="1" operator="greaterThan">
      <formula>4.5</formula>
    </cfRule>
  </conditionalFormatting>
  <conditionalFormatting sqref="H66:I66">
    <cfRule type="cellIs" dxfId="2488" priority="27" stopIfTrue="1" operator="lessThanOrEqual">
      <formula>0</formula>
    </cfRule>
    <cfRule type="cellIs" dxfId="2487" priority="24" stopIfTrue="1" operator="greaterThan">
      <formula>$F$83</formula>
    </cfRule>
  </conditionalFormatting>
  <conditionalFormatting sqref="H67:I67">
    <cfRule type="cellIs" dxfId="2486" priority="100" stopIfTrue="1" operator="lessThanOrEqual">
      <formula>0</formula>
    </cfRule>
    <cfRule type="cellIs" dxfId="2485" priority="97" stopIfTrue="1" operator="greaterThan">
      <formula>$F$34</formula>
    </cfRule>
  </conditionalFormatting>
  <conditionalFormatting sqref="H68:I68">
    <cfRule type="cellIs" dxfId="2484" priority="70" stopIfTrue="1" operator="lessThanOrEqual">
      <formula>0</formula>
    </cfRule>
    <cfRule type="cellIs" dxfId="2483" priority="67" stopIfTrue="1" operator="greaterThan">
      <formula>$F$80</formula>
    </cfRule>
  </conditionalFormatting>
  <conditionalFormatting sqref="H69:I70">
    <cfRule type="cellIs" dxfId="2482" priority="83" stopIfTrue="1" operator="greaterThan">
      <formula>#REF!</formula>
    </cfRule>
    <cfRule type="cellIs" dxfId="2481" priority="86" stopIfTrue="1" operator="lessThanOrEqual">
      <formula>0</formula>
    </cfRule>
  </conditionalFormatting>
  <conditionalFormatting sqref="H71:I71">
    <cfRule type="cellIs" dxfId="2480" priority="112" stopIfTrue="1" operator="greaterThan">
      <formula>$F$49</formula>
    </cfRule>
    <cfRule type="cellIs" dxfId="2479" priority="115" stopIfTrue="1" operator="lessThanOrEqual">
      <formula>0</formula>
    </cfRule>
  </conditionalFormatting>
  <conditionalFormatting sqref="H72:I73">
    <cfRule type="cellIs" dxfId="2478" priority="56" stopIfTrue="1" operator="lessThanOrEqual">
      <formula>0</formula>
    </cfRule>
    <cfRule type="cellIs" dxfId="2477" priority="53" stopIfTrue="1" operator="greaterThan">
      <formula>#REF!</formula>
    </cfRule>
  </conditionalFormatting>
  <conditionalFormatting sqref="H86:I86">
    <cfRule type="cellIs" dxfId="2476" priority="137" stopIfTrue="1" operator="greaterThan">
      <formula>$J86</formula>
    </cfRule>
    <cfRule type="cellIs" dxfId="2475" priority="138" stopIfTrue="1" operator="lessThanOrEqual">
      <formula>0</formula>
    </cfRule>
  </conditionalFormatting>
  <conditionalFormatting sqref="I66">
    <cfRule type="cellIs" dxfId="2474" priority="28" stopIfTrue="1" operator="greaterThan">
      <formula>$F$81</formula>
    </cfRule>
    <cfRule type="cellIs" dxfId="2473" priority="33" stopIfTrue="1" operator="lessThanOrEqual">
      <formula>0</formula>
    </cfRule>
    <cfRule type="cellIs" dxfId="2472" priority="32" stopIfTrue="1" operator="greaterThan">
      <formula>$F$81</formula>
    </cfRule>
    <cfRule type="cellIs" dxfId="2471" priority="31" stopIfTrue="1" operator="lessThanOrEqual">
      <formula>0</formula>
    </cfRule>
    <cfRule type="cellIs" dxfId="2470" priority="30" stopIfTrue="1" operator="greaterThan">
      <formula>$F$83</formula>
    </cfRule>
    <cfRule type="cellIs" dxfId="2469" priority="29" stopIfTrue="1" operator="lessThanOrEqual">
      <formula>0</formula>
    </cfRule>
  </conditionalFormatting>
  <conditionalFormatting sqref="I67">
    <cfRule type="cellIs" dxfId="2468" priority="105" stopIfTrue="1" operator="greaterThan">
      <formula>#REF!</formula>
    </cfRule>
    <cfRule type="cellIs" dxfId="2467" priority="102" stopIfTrue="1" operator="lessThanOrEqual">
      <formula>0</formula>
    </cfRule>
    <cfRule type="cellIs" dxfId="2466" priority="103" stopIfTrue="1" operator="greaterThan">
      <formula>$F$34</formula>
    </cfRule>
    <cfRule type="cellIs" dxfId="2465" priority="104" stopIfTrue="1" operator="lessThanOrEqual">
      <formula>0</formula>
    </cfRule>
    <cfRule type="cellIs" dxfId="2464" priority="106" stopIfTrue="1" operator="lessThanOrEqual">
      <formula>0</formula>
    </cfRule>
    <cfRule type="cellIs" dxfId="2463" priority="101" stopIfTrue="1" operator="greaterThan">
      <formula>#REF!</formula>
    </cfRule>
  </conditionalFormatting>
  <conditionalFormatting sqref="I68">
    <cfRule type="cellIs" dxfId="2462" priority="73" stopIfTrue="1" operator="greaterThan">
      <formula>$F$80</formula>
    </cfRule>
    <cfRule type="cellIs" dxfId="2461" priority="76" stopIfTrue="1" operator="lessThanOrEqual">
      <formula>0</formula>
    </cfRule>
    <cfRule type="cellIs" dxfId="2460" priority="72" stopIfTrue="1" operator="lessThanOrEqual">
      <formula>0</formula>
    </cfRule>
    <cfRule type="cellIs" dxfId="2459" priority="71" stopIfTrue="1" operator="greaterThan">
      <formula>$F$78</formula>
    </cfRule>
    <cfRule type="cellIs" dxfId="2458" priority="74" stopIfTrue="1" operator="lessThanOrEqual">
      <formula>0</formula>
    </cfRule>
    <cfRule type="cellIs" dxfId="2457" priority="75" stopIfTrue="1" operator="greaterThan">
      <formula>$F$78</formula>
    </cfRule>
  </conditionalFormatting>
  <conditionalFormatting sqref="I69:I70">
    <cfRule type="cellIs" dxfId="2456" priority="88" stopIfTrue="1" operator="lessThanOrEqual">
      <formula>0</formula>
    </cfRule>
    <cfRule type="cellIs" dxfId="2455" priority="92" stopIfTrue="1" operator="lessThanOrEqual">
      <formula>0</formula>
    </cfRule>
    <cfRule type="cellIs" dxfId="2454" priority="91" stopIfTrue="1" operator="greaterThan">
      <formula>#REF!</formula>
    </cfRule>
    <cfRule type="cellIs" dxfId="2453" priority="90" stopIfTrue="1" operator="lessThanOrEqual">
      <formula>0</formula>
    </cfRule>
    <cfRule type="cellIs" dxfId="2452" priority="89" stopIfTrue="1" operator="greaterThan">
      <formula>#REF!</formula>
    </cfRule>
    <cfRule type="cellIs" dxfId="2451" priority="87" stopIfTrue="1" operator="greaterThan">
      <formula>#REF!</formula>
    </cfRule>
  </conditionalFormatting>
  <conditionalFormatting sqref="I71">
    <cfRule type="cellIs" dxfId="2450" priority="116" stopIfTrue="1" operator="greaterThan">
      <formula>$F$47</formula>
    </cfRule>
    <cfRule type="cellIs" dxfId="2449" priority="117" stopIfTrue="1" operator="lessThanOrEqual">
      <formula>0</formula>
    </cfRule>
    <cfRule type="cellIs" dxfId="2448" priority="118" stopIfTrue="1" operator="greaterThan">
      <formula>$F$49</formula>
    </cfRule>
    <cfRule type="cellIs" dxfId="2447" priority="119" stopIfTrue="1" operator="lessThanOrEqual">
      <formula>0</formula>
    </cfRule>
    <cfRule type="cellIs" dxfId="2446" priority="120" stopIfTrue="1" operator="greaterThan">
      <formula>$F$47</formula>
    </cfRule>
    <cfRule type="cellIs" dxfId="2445" priority="121" stopIfTrue="1" operator="lessThanOrEqual">
      <formula>0</formula>
    </cfRule>
  </conditionalFormatting>
  <conditionalFormatting sqref="I72:I73">
    <cfRule type="cellIs" dxfId="2444" priority="58" stopIfTrue="1" operator="lessThanOrEqual">
      <formula>0</formula>
    </cfRule>
    <cfRule type="cellIs" dxfId="2443" priority="62" stopIfTrue="1" operator="lessThanOrEqual">
      <formula>0</formula>
    </cfRule>
    <cfRule type="cellIs" dxfId="2442" priority="59" stopIfTrue="1" operator="greaterThan">
      <formula>#REF!</formula>
    </cfRule>
    <cfRule type="cellIs" dxfId="2441" priority="61" stopIfTrue="1" operator="greaterThan">
      <formula>#REF!</formula>
    </cfRule>
    <cfRule type="cellIs" dxfId="2440" priority="60" stopIfTrue="1" operator="lessThanOrEqual">
      <formula>0</formula>
    </cfRule>
    <cfRule type="cellIs" dxfId="2439" priority="57" stopIfTrue="1" operator="greaterThan">
      <formula>#REF!</formula>
    </cfRule>
  </conditionalFormatting>
  <conditionalFormatting sqref="I77:I85">
    <cfRule type="cellIs" dxfId="2438" priority="149" stopIfTrue="1" operator="lessThanOrEqual">
      <formula>0</formula>
    </cfRule>
    <cfRule type="cellIs" dxfId="2437" priority="148" stopIfTrue="1" operator="greaterThan">
      <formula>$J77</formula>
    </cfRule>
  </conditionalFormatting>
  <conditionalFormatting sqref="I88:I96">
    <cfRule type="cellIs" dxfId="2436" priority="173" stopIfTrue="1" operator="lessThanOrEqual">
      <formula>0</formula>
    </cfRule>
    <cfRule type="cellIs" dxfId="2435" priority="172" stopIfTrue="1" operator="greaterThan">
      <formula>4.5</formula>
    </cfRule>
  </conditionalFormatting>
  <conditionalFormatting sqref="I10:J34">
    <cfRule type="cellIs" dxfId="2434" priority="14" operator="lessThan">
      <formula>97.9</formula>
    </cfRule>
  </conditionalFormatting>
  <conditionalFormatting sqref="J38:J39">
    <cfRule type="cellIs" dxfId="2433" priority="128" stopIfTrue="1" operator="greaterThan">
      <formula>100</formula>
    </cfRule>
    <cfRule type="cellIs" dxfId="2432" priority="129" operator="lessThan">
      <formula>98</formula>
    </cfRule>
    <cfRule type="cellIs" dxfId="2431" priority="127" stopIfTrue="1" operator="lessThan">
      <formula>96.8</formula>
    </cfRule>
  </conditionalFormatting>
  <conditionalFormatting sqref="J38:J41">
    <cfRule type="cellIs" dxfId="2430" priority="126" operator="lessThan">
      <formula>97.4</formula>
    </cfRule>
  </conditionalFormatting>
  <conditionalFormatting sqref="J42:J43">
    <cfRule type="cellIs" dxfId="2429" priority="130" operator="lessThan">
      <formula>98</formula>
    </cfRule>
  </conditionalFormatting>
  <conditionalFormatting sqref="J44:J45">
    <cfRule type="cellIs" dxfId="2428" priority="131" stopIfTrue="1" operator="lessThan">
      <formula>96.8</formula>
    </cfRule>
    <cfRule type="cellIs" dxfId="2427" priority="132" stopIfTrue="1" operator="greaterThan">
      <formula>100</formula>
    </cfRule>
  </conditionalFormatting>
  <conditionalFormatting sqref="J44:J46">
    <cfRule type="cellIs" dxfId="2426" priority="133" operator="lessThan">
      <formula>98</formula>
    </cfRule>
  </conditionalFormatting>
  <conditionalFormatting sqref="J73">
    <cfRule type="cellIs" dxfId="2425" priority="45" stopIfTrue="1" operator="greaterThan">
      <formula>#REF!</formula>
    </cfRule>
    <cfRule type="cellIs" dxfId="2424" priority="46" stopIfTrue="1" operator="lessThanOrEqual">
      <formula>0</formula>
    </cfRule>
    <cfRule type="cellIs" dxfId="2423" priority="52" stopIfTrue="1" operator="lessThanOrEqual">
      <formula>0</formula>
    </cfRule>
    <cfRule type="cellIs" dxfId="2422" priority="51" stopIfTrue="1" operator="greaterThan">
      <formula>#REF!</formula>
    </cfRule>
    <cfRule type="cellIs" dxfId="2421" priority="50" stopIfTrue="1" operator="lessThanOrEqual">
      <formula>0</formula>
    </cfRule>
    <cfRule type="cellIs" dxfId="2420" priority="49" stopIfTrue="1" operator="greaterThan">
      <formula>#REF!</formula>
    </cfRule>
    <cfRule type="cellIs" dxfId="2419" priority="48" stopIfTrue="1" operator="lessThanOrEqual">
      <formula>0</formula>
    </cfRule>
    <cfRule type="cellIs" dxfId="2418" priority="47" stopIfTrue="1" operator="greaterThan">
      <formula>#REF!</formula>
    </cfRule>
  </conditionalFormatting>
  <conditionalFormatting sqref="J86">
    <cfRule type="cellIs" dxfId="2417" priority="135" stopIfTrue="1" operator="lessThanOrEqual">
      <formula>0</formula>
    </cfRule>
    <cfRule type="cellIs" dxfId="2416" priority="134" stopIfTrue="1" operator="greaterThan">
      <formula>$F86</formula>
    </cfRule>
  </conditionalFormatting>
  <conditionalFormatting sqref="K10:K34">
    <cfRule type="cellIs" dxfId="2415" priority="17" operator="greaterThan">
      <formula>6.4</formula>
    </cfRule>
    <cfRule type="cellIs" dxfId="2414" priority="16" operator="lessThan">
      <formula>4</formula>
    </cfRule>
    <cfRule type="cellIs" dxfId="2413" priority="15" operator="greaterThan">
      <formula>6</formula>
    </cfRule>
  </conditionalFormatting>
  <conditionalFormatting sqref="K66:K73 K77:N83 K84 M84:N84 K85:N85">
    <cfRule type="cellIs" dxfId="2412" priority="111" stopIfTrue="1" operator="lessThan">
      <formula>100%</formula>
    </cfRule>
  </conditionalFormatting>
  <conditionalFormatting sqref="K88:K93">
    <cfRule type="cellIs" dxfId="2411" priority="178" stopIfTrue="1" operator="lessThan">
      <formula>100%</formula>
    </cfRule>
  </conditionalFormatting>
  <conditionalFormatting sqref="K95:K96">
    <cfRule type="cellIs" dxfId="2410" priority="185" stopIfTrue="1" operator="lessThan">
      <formula>100%</formula>
    </cfRule>
  </conditionalFormatting>
  <conditionalFormatting sqref="L10:L13 L31:L34">
    <cfRule type="cellIs" dxfId="2409" priority="23" operator="greaterThan">
      <formula>65</formula>
    </cfRule>
    <cfRule type="cellIs" dxfId="2408" priority="22" operator="between">
      <formula>61</formula>
      <formula>65</formula>
    </cfRule>
  </conditionalFormatting>
  <conditionalFormatting sqref="L14:M30">
    <cfRule type="cellIs" dxfId="2407" priority="9" operator="between">
      <formula>61</formula>
      <formula>65</formula>
    </cfRule>
    <cfRule type="cellIs" dxfId="2406" priority="8" operator="greaterThan">
      <formula>65</formula>
    </cfRule>
  </conditionalFormatting>
  <conditionalFormatting sqref="L37:M48">
    <cfRule type="cellIs" dxfId="2405" priority="11" operator="lessThan">
      <formula>97.95</formula>
    </cfRule>
  </conditionalFormatting>
  <conditionalFormatting sqref="L52:N52">
    <cfRule type="cellIs" dxfId="2404" priority="12" operator="notEqual">
      <formula>#REF!</formula>
    </cfRule>
  </conditionalFormatting>
  <conditionalFormatting sqref="L86:N86">
    <cfRule type="cellIs" dxfId="2403" priority="136" stopIfTrue="1" operator="lessThan">
      <formula>100%</formula>
    </cfRule>
  </conditionalFormatting>
  <conditionalFormatting sqref="L88:N96">
    <cfRule type="cellIs" dxfId="2402" priority="163" stopIfTrue="1" operator="lessThan">
      <formula>100%</formula>
    </cfRule>
  </conditionalFormatting>
  <conditionalFormatting sqref="M10:M13 M31:M33">
    <cfRule type="expression" dxfId="2401" priority="20">
      <formula>IF(+(IF(M10&lt;U10,0,IF(M10&gt;V10,0,1)))=0,1)</formula>
    </cfRule>
  </conditionalFormatting>
  <conditionalFormatting sqref="M14:M30 G14:G30 G34:H34">
    <cfRule type="expression" dxfId="2400" priority="38">
      <formula>IF(+(IF(G14&lt;#REF!,0,IF(G14&gt;#REF!,0,1)))=0,1)</formula>
    </cfRule>
  </conditionalFormatting>
  <conditionalFormatting sqref="M34:N34">
    <cfRule type="expression" dxfId="2399" priority="193">
      <formula>IF(+(IF(M34&lt;#REF!,0,IF(M34&gt;#REF!,0,1)))=0,1)</formula>
    </cfRule>
  </conditionalFormatting>
  <conditionalFormatting sqref="N10:N33">
    <cfRule type="expression" dxfId="2398" priority="13">
      <formula>IF(+(IF(N10&lt;W10,0,IF(N10&gt;X10,0,1)))=0,1)</formula>
    </cfRule>
  </conditionalFormatting>
  <conditionalFormatting sqref="P6">
    <cfRule type="cellIs" dxfId="2397" priority="159" operator="greaterThanOrEqual">
      <formula>19</formula>
    </cfRule>
  </conditionalFormatting>
  <dataValidations count="1">
    <dataValidation type="list" allowBlank="1" showInputMessage="1" showErrorMessage="1" sqref="R8" xr:uid="{7E11FDD7-921F-4C43-AF15-11A64DEF98B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9676-95FB-4EF9-8514-832D70CAD555}">
  <sheetPr>
    <pageSetUpPr fitToPage="1"/>
  </sheetPr>
  <dimension ref="A1:BE78"/>
  <sheetViews>
    <sheetView topLeftCell="A9" zoomScale="80" zoomScaleNormal="80" workbookViewId="0">
      <selection activeCell="N10" sqref="N10:N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46003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[24]Brewhouse!$A508</f>
        <v>ST483</v>
      </c>
      <c r="D10" s="279">
        <f>[24]Brewhouse!$AD508</f>
        <v>49</v>
      </c>
      <c r="E10" s="279">
        <f>[24]Brewhouse!$AG508</f>
        <v>49.6</v>
      </c>
      <c r="F10" s="278">
        <f>[24]Brewhouse!$V508</f>
        <v>59</v>
      </c>
      <c r="G10" s="279">
        <f>[24]Brewhouse!$AE508</f>
        <v>11.8</v>
      </c>
      <c r="H10" s="396">
        <v>11.8</v>
      </c>
      <c r="I10" s="488">
        <f>[24]Brewhouse!$AS508</f>
        <v>97.669442273884727</v>
      </c>
      <c r="J10" s="488">
        <f>[24]Brewhouse!$AT508</f>
        <v>98.09756147910268</v>
      </c>
      <c r="K10" s="281">
        <f>[24]Brewhouse!$Q508</f>
        <v>11.084452975047981</v>
      </c>
      <c r="L10" s="276">
        <f>[24]Brewhouse!$P508</f>
        <v>58</v>
      </c>
      <c r="M10" s="374">
        <f>[24]Brewhouse!$U508-[24]Brewhouse!$T508</f>
        <v>0.11319444444444449</v>
      </c>
      <c r="N10" s="370">
        <f>[24]Brewhouse!$AW508</f>
        <v>0.25624999999999998</v>
      </c>
      <c r="O10" s="420" t="str">
        <f>[24]Brewhouse!$AV508</f>
        <v>R.Sookram</v>
      </c>
      <c r="P10" s="418"/>
      <c r="R10" s="277" t="str">
        <f t="shared" ref="R10:R40" si="0">B10</f>
        <v>STAG</v>
      </c>
      <c r="S10" s="475">
        <f t="shared" ref="S10:S40" si="1">VLOOKUP($B10,$R$3:$X$9,2,FALSE)</f>
        <v>11.6</v>
      </c>
      <c r="T10" s="475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5">
        <f t="shared" ref="Z10:Z40" si="8">VLOOKUP($B10,$R$3:$Z$9,9,FALSE)</f>
        <v>60</v>
      </c>
    </row>
    <row r="11" spans="2:29" ht="16.5" customHeight="1">
      <c r="B11" s="33" t="s">
        <v>9</v>
      </c>
      <c r="C11" s="366" t="str">
        <f>[24]Brewhouse!$A509</f>
        <v>ST484</v>
      </c>
      <c r="D11" s="279">
        <f>[24]Brewhouse!$AD509</f>
        <v>50</v>
      </c>
      <c r="E11" s="279">
        <f>[24]Brewhouse!$AG509</f>
        <v>50.3</v>
      </c>
      <c r="F11" s="278">
        <f>[24]Brewhouse!$V509</f>
        <v>60</v>
      </c>
      <c r="G11" s="279">
        <f>[24]Brewhouse!$AE509</f>
        <v>11.7</v>
      </c>
      <c r="H11" s="396">
        <v>11.8</v>
      </c>
      <c r="I11" s="488">
        <f>[24]Brewhouse!$AS509</f>
        <v>98.409669512415022</v>
      </c>
      <c r="J11" s="488">
        <f>[24]Brewhouse!$AT509</f>
        <v>98.840754186531413</v>
      </c>
      <c r="K11" s="281">
        <f>[24]Brewhouse!$Q509</f>
        <v>9.3570057581573902</v>
      </c>
      <c r="L11" s="276">
        <f>[24]Brewhouse!$P509</f>
        <v>57</v>
      </c>
      <c r="M11" s="374">
        <f>[24]Brewhouse!$U509-[24]Brewhouse!$T509</f>
        <v>0.1118055555555556</v>
      </c>
      <c r="N11" s="370">
        <f>[24]Brewhouse!$AW509</f>
        <v>0.24375000000000002</v>
      </c>
      <c r="O11" s="420" t="str">
        <f>[24]Brewhouse!$AV509</f>
        <v>R.Sookram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[24]Brewhouse!$A510</f>
        <v>ST485</v>
      </c>
      <c r="D12" s="279">
        <f>[24]Brewhouse!$AD510</f>
        <v>48.6</v>
      </c>
      <c r="E12" s="279">
        <f>[24]Brewhouse!$AG510</f>
        <v>49.1</v>
      </c>
      <c r="F12" s="278">
        <f>[24]Brewhouse!$V510</f>
        <v>60</v>
      </c>
      <c r="G12" s="279">
        <f>[24]Brewhouse!$AE510</f>
        <v>11.9</v>
      </c>
      <c r="H12" s="367"/>
      <c r="I12" s="488">
        <f>[24]Brewhouse!$AS510</f>
        <v>98.526897208705151</v>
      </c>
      <c r="J12" s="488">
        <f>[24]Brewhouse!$AT510</f>
        <v>98.957648370181843</v>
      </c>
      <c r="K12" s="281">
        <f>[24]Brewhouse!$Q510</f>
        <v>10.316698656429942</v>
      </c>
      <c r="L12" s="276">
        <f>[24]Brewhouse!$P510</f>
        <v>74</v>
      </c>
      <c r="M12" s="374">
        <f>[24]Brewhouse!$U510-[24]Brewhouse!$T510</f>
        <v>0.12777777777777777</v>
      </c>
      <c r="N12" s="370">
        <f>[24]Brewhouse!$AW510</f>
        <v>0.25138888888888894</v>
      </c>
      <c r="O12" s="420" t="str">
        <f>[24]Brewhouse!$AV510</f>
        <v>R.Sookram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[24]Brewhouse!$A511</f>
        <v>ST486</v>
      </c>
      <c r="D13" s="279">
        <f>[24]Brewhouse!$AD511</f>
        <v>48.4</v>
      </c>
      <c r="E13" s="279">
        <f>[24]Brewhouse!$AG511</f>
        <v>48.6</v>
      </c>
      <c r="F13" s="278">
        <f>[24]Brewhouse!$V511</f>
        <v>59</v>
      </c>
      <c r="G13" s="279">
        <f>[24]Brewhouse!$AE511</f>
        <v>12</v>
      </c>
      <c r="H13" s="396">
        <v>12</v>
      </c>
      <c r="I13" s="488">
        <f>[24]Brewhouse!$AS511</f>
        <v>98.632992892535128</v>
      </c>
      <c r="J13" s="488">
        <f>[24]Brewhouse!$AT511</f>
        <v>99.063922403952219</v>
      </c>
      <c r="K13" s="281">
        <f>[24]Brewhouse!$Q511</f>
        <v>10.124760076775429</v>
      </c>
      <c r="L13" s="276">
        <f>[24]Brewhouse!$P511</f>
        <v>60</v>
      </c>
      <c r="M13" s="374">
        <f>[24]Brewhouse!$U511-[24]Brewhouse!$T511</f>
        <v>0.11249999999999993</v>
      </c>
      <c r="N13" s="370">
        <f>[24]Brewhouse!$AW511</f>
        <v>0.25277777777777771</v>
      </c>
      <c r="O13" s="420" t="str">
        <f>[24]Brewhouse!$AV511</f>
        <v>R.Sookram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/>
      <c r="C14" s="366"/>
      <c r="D14" s="279"/>
      <c r="E14" s="279"/>
      <c r="F14" s="278"/>
      <c r="G14" s="279"/>
      <c r="H14" s="396"/>
      <c r="I14" s="488"/>
      <c r="J14" s="488"/>
      <c r="K14" s="281"/>
      <c r="L14" s="276"/>
      <c r="M14" s="374"/>
      <c r="N14" s="370"/>
      <c r="O14" s="420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488"/>
      <c r="J15" s="488"/>
      <c r="K15" s="281"/>
      <c r="L15" s="276"/>
      <c r="M15" s="374"/>
      <c r="N15" s="370"/>
      <c r="O15" s="420"/>
      <c r="P15" s="418"/>
      <c r="R15" s="277">
        <f t="shared" si="0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hidden="1" customHeight="1">
      <c r="B16" s="33"/>
      <c r="C16" s="366"/>
      <c r="D16" s="279"/>
      <c r="E16" s="279"/>
      <c r="F16" s="278"/>
      <c r="G16" s="279"/>
      <c r="H16" s="396"/>
      <c r="I16" s="488"/>
      <c r="J16" s="488"/>
      <c r="K16" s="281"/>
      <c r="L16" s="276"/>
      <c r="M16" s="374"/>
      <c r="N16" s="370"/>
      <c r="O16" s="420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6" ht="16.5" hidden="1" customHeight="1">
      <c r="B17" s="33"/>
      <c r="C17" s="366"/>
      <c r="D17" s="279"/>
      <c r="E17" s="279"/>
      <c r="F17" s="278"/>
      <c r="G17" s="279"/>
      <c r="H17" s="396"/>
      <c r="I17" s="488"/>
      <c r="J17" s="488"/>
      <c r="K17" s="281"/>
      <c r="L17" s="276"/>
      <c r="M17" s="374"/>
      <c r="N17" s="370"/>
      <c r="O17" s="420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6" ht="16.5" hidden="1" customHeight="1">
      <c r="B18" s="33"/>
      <c r="C18" s="366"/>
      <c r="D18" s="279"/>
      <c r="E18" s="279"/>
      <c r="F18" s="278"/>
      <c r="G18" s="279"/>
      <c r="H18" s="396"/>
      <c r="I18" s="488"/>
      <c r="J18" s="488"/>
      <c r="K18" s="281"/>
      <c r="L18" s="276"/>
      <c r="M18" s="374"/>
      <c r="N18" s="370"/>
      <c r="O18" s="420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6" ht="16.5" hidden="1" customHeight="1">
      <c r="B19" s="33"/>
      <c r="C19" s="366"/>
      <c r="D19" s="279"/>
      <c r="E19" s="279"/>
      <c r="F19" s="278"/>
      <c r="G19" s="279"/>
      <c r="H19" s="396"/>
      <c r="I19" s="488"/>
      <c r="J19" s="488"/>
      <c r="K19" s="281"/>
      <c r="L19" s="276"/>
      <c r="M19" s="374"/>
      <c r="N19" s="370"/>
      <c r="O19" s="420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6" ht="16.5" hidden="1" customHeight="1">
      <c r="B20" s="33"/>
      <c r="C20" s="366"/>
      <c r="D20" s="279"/>
      <c r="E20" s="279"/>
      <c r="F20" s="278"/>
      <c r="G20" s="279"/>
      <c r="H20" s="396"/>
      <c r="I20" s="488"/>
      <c r="J20" s="488"/>
      <c r="K20" s="281"/>
      <c r="L20" s="276"/>
      <c r="M20" s="374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6" ht="16.5" hidden="1" customHeight="1">
      <c r="B21" s="33"/>
      <c r="C21" s="366"/>
      <c r="D21" s="279"/>
      <c r="E21" s="279"/>
      <c r="F21" s="278"/>
      <c r="G21" s="279"/>
      <c r="H21" s="396"/>
      <c r="I21" s="488"/>
      <c r="J21" s="488"/>
      <c r="K21" s="281"/>
      <c r="L21" s="276"/>
      <c r="M21" s="374"/>
      <c r="N21" s="370"/>
      <c r="O21" s="420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6" ht="16.5" hidden="1" customHeight="1">
      <c r="B22" s="33"/>
      <c r="C22" s="366"/>
      <c r="D22" s="279"/>
      <c r="E22" s="279"/>
      <c r="F22" s="278"/>
      <c r="G22" s="279"/>
      <c r="H22" s="396"/>
      <c r="I22" s="488"/>
      <c r="J22" s="488"/>
      <c r="K22" s="281"/>
      <c r="L22" s="276"/>
      <c r="M22" s="374"/>
      <c r="N22" s="370"/>
      <c r="O22" s="420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6" ht="16.5" hidden="1" customHeight="1">
      <c r="B25" s="29"/>
      <c r="C25" s="366"/>
      <c r="D25" s="279"/>
      <c r="E25" s="279"/>
      <c r="F25" s="278"/>
      <c r="G25" s="279"/>
      <c r="H25" s="469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6" ht="16.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28"/>
      <c r="J27" s="528"/>
      <c r="K27" s="528"/>
      <c r="L27" s="528"/>
      <c r="M27" s="528"/>
      <c r="N27" s="528"/>
      <c r="O27" s="1"/>
      <c r="P27" s="12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6" ht="15.75" customHeight="1" thickBot="1">
      <c r="B28" s="388" t="s">
        <v>162</v>
      </c>
      <c r="C28" s="388"/>
      <c r="D28" s="506" t="s">
        <v>35</v>
      </c>
      <c r="E28" s="507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6" ht="15" customHeight="1">
      <c r="A29" s="28"/>
      <c r="B29" s="599" t="str">
        <f>I35</f>
        <v>STARMALT</v>
      </c>
      <c r="C29" s="362" cm="1">
        <f t="array" ref="C29:C32">[27]Process!$D$100:$D$103</f>
        <v>17.100000000000001</v>
      </c>
      <c r="D29" s="532">
        <v>17.239999999999998</v>
      </c>
      <c r="E29" s="533"/>
      <c r="F29" s="294"/>
      <c r="G29" s="294"/>
      <c r="H29" s="348"/>
      <c r="I29" s="29" t="s">
        <v>6</v>
      </c>
      <c r="J29" s="280"/>
      <c r="K29" s="284">
        <f>COUNTA([23]Brewhouse!$A$1005:$A$1014)</f>
        <v>10</v>
      </c>
      <c r="L29" s="305">
        <f>AVERAGE([23]Brewhouse!$AU$1005:$AU$1014)</f>
        <v>100.1822900793824</v>
      </c>
      <c r="M29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$1014)</f>
        <v>97.781543539345932</v>
      </c>
      <c r="N29" s="30">
        <v>98</v>
      </c>
      <c r="O29" s="11"/>
      <c r="P29" s="31"/>
      <c r="R29" s="277" t="str">
        <f t="shared" si="0"/>
        <v>STARMALT</v>
      </c>
      <c r="S29" s="475">
        <f t="shared" si="1"/>
        <v>17</v>
      </c>
      <c r="T29" s="475">
        <f t="shared" si="2"/>
        <v>17.399999999999999</v>
      </c>
      <c r="U29" s="297">
        <f t="shared" si="3"/>
        <v>0</v>
      </c>
      <c r="V29" s="297">
        <f t="shared" si="4"/>
        <v>0.13605324074074074</v>
      </c>
      <c r="W29" s="297">
        <f t="shared" si="5"/>
        <v>0.27430555555555552</v>
      </c>
      <c r="X29" s="297">
        <f t="shared" si="6"/>
        <v>0.30902777777777779</v>
      </c>
      <c r="Y29" s="297">
        <f t="shared" si="7"/>
        <v>0</v>
      </c>
      <c r="Z29" s="475">
        <f t="shared" si="8"/>
        <v>85</v>
      </c>
    </row>
    <row r="30" spans="1:26" ht="15" customHeight="1">
      <c r="A30" s="28"/>
      <c r="B30" s="600"/>
      <c r="C30" s="362">
        <v>17.100000000000001</v>
      </c>
      <c r="D30" s="534"/>
      <c r="E30" s="535"/>
      <c r="F30" s="294"/>
      <c r="G30" s="294"/>
      <c r="H30" s="348"/>
      <c r="I30" s="33" t="s">
        <v>9</v>
      </c>
      <c r="J30" s="280">
        <f>AVERAGE(I10:I13)</f>
        <v>98.30975047188501</v>
      </c>
      <c r="K30" s="284">
        <f>COUNTA([24]Brewhouse!$A$486:$A$507)</f>
        <v>22</v>
      </c>
      <c r="L30" s="302">
        <f>AVERAGE([24]Brewhouse!$AS$486:$AS$507)</f>
        <v>96.205239284964378</v>
      </c>
      <c r="M3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$507)</f>
        <v>97.772355128420955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6" ht="14.65" customHeight="1">
      <c r="A31" s="28"/>
      <c r="B31" s="600"/>
      <c r="C31" s="362">
        <v>17.5</v>
      </c>
      <c r="D31" s="580">
        <v>13.75</v>
      </c>
      <c r="E31" s="581"/>
      <c r="F31" s="294"/>
      <c r="G31" s="294"/>
      <c r="H31" s="348"/>
      <c r="I31" s="34" t="s">
        <v>12</v>
      </c>
      <c r="J31" s="280"/>
      <c r="K31" s="284">
        <f>COUNTA([25]Brewhouse!$A$125:$A$132)</f>
        <v>8</v>
      </c>
      <c r="L31" s="302">
        <f>AVERAGE([25]Brewhouse!$AU$125:$AU$132)</f>
        <v>96.474285660381511</v>
      </c>
      <c r="M31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6" ht="14.65" customHeight="1">
      <c r="A32" s="28"/>
      <c r="B32" s="600"/>
      <c r="C32" s="362">
        <v>17.399999999999999</v>
      </c>
      <c r="D32" s="547"/>
      <c r="E32" s="535"/>
      <c r="F32" s="294"/>
      <c r="G32" s="294"/>
      <c r="H32" s="348"/>
      <c r="I32" s="22" t="s">
        <v>33</v>
      </c>
      <c r="J32" s="280"/>
      <c r="K32" s="284">
        <f>COUNTA([22]Brewhouse!$A$107:$A$116)</f>
        <v>10</v>
      </c>
      <c r="L32" s="302">
        <f>AVERAGE([22]Brewhouse!$AV$107:$AV$116)</f>
        <v>97.093478275115658</v>
      </c>
      <c r="M32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$116)</f>
        <v>98.152691034431029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</row>
    <row r="33" spans="1:56" ht="14.65" customHeight="1">
      <c r="A33" s="28"/>
      <c r="B33" s="600"/>
      <c r="C33" s="362"/>
      <c r="D33" s="580"/>
      <c r="E33" s="581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</row>
    <row r="34" spans="1:56" ht="14.65" customHeight="1">
      <c r="A34" s="28"/>
      <c r="B34" s="600"/>
      <c r="C34" s="362"/>
      <c r="D34" s="547"/>
      <c r="E34" s="535"/>
      <c r="F34" s="417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AVERAGE([26]Brewhouse!$AT$4:$AT$11,[26]Brewhouse!$AT$13:$AT$16,[26]Brewhouse!$AT$18:$AT$21,[26]Brewhouse!$AT$26,[26]Brewhouse!$AT$28:$AT$35)</f>
        <v>94.794664331624134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600"/>
      <c r="C35" s="362"/>
      <c r="D35" s="580"/>
      <c r="E35" s="581"/>
      <c r="F35" s="417"/>
      <c r="G35" s="294"/>
      <c r="H35" s="348"/>
      <c r="I35" s="37" t="s">
        <v>16</v>
      </c>
      <c r="J35" s="323"/>
      <c r="K35" s="284">
        <f>COUNTA([27]Brewhouse!$A$99:$A$108)</f>
        <v>10</v>
      </c>
      <c r="L35" s="302">
        <f>AVERAGE([27]Brewhouse!$AY$99:$AY$108)</f>
        <v>97.413703162837948</v>
      </c>
      <c r="M35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35" s="30">
        <v>98</v>
      </c>
      <c r="O35" s="11"/>
      <c r="P35" s="31" t="s">
        <v>41</v>
      </c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4.65" customHeight="1">
      <c r="A36" s="28"/>
      <c r="B36" s="600"/>
      <c r="C36" s="362"/>
      <c r="D36" s="547"/>
      <c r="E36" s="535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AVERAGE([28]Brewhouse!$AU$5:$AU$8,[28]Brewhouse!$AU$10:$AU$13,[27]Brewhouse!$AY$75:$AY$77)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4.65" customHeight="1">
      <c r="A37" s="28"/>
      <c r="B37" s="600"/>
      <c r="C37" s="349"/>
      <c r="D37" s="580"/>
      <c r="E37" s="581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" customHeight="1" thickBot="1">
      <c r="A38" s="28"/>
      <c r="B38" s="600"/>
      <c r="C38" s="349"/>
      <c r="D38" s="547"/>
      <c r="E38" s="535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" customHeight="1" thickBot="1">
      <c r="A39" s="28"/>
      <c r="B39" s="600"/>
      <c r="C39" s="349"/>
      <c r="D39" s="532"/>
      <c r="E39" s="533"/>
      <c r="F39" s="294"/>
      <c r="G39" s="294"/>
      <c r="H39" s="348"/>
      <c r="I39" s="1"/>
      <c r="J39" s="39"/>
      <c r="K39" s="404">
        <f>SUM(K29:K38)</f>
        <v>60</v>
      </c>
      <c r="L39" s="405">
        <f>((L29*K29)+(L30*K30)+(L31*K31)+(L32*K32)+(L33*K33)+(K36*L36)+(L34*K34)+(L35*K35)+(L38*K38))/(K39)</f>
        <v>97.253404412093815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97.543290680891175</v>
      </c>
      <c r="N39" s="40">
        <v>98</v>
      </c>
      <c r="O39" s="11"/>
      <c r="P39" s="31"/>
      <c r="R39" s="277">
        <f t="shared" si="0"/>
        <v>0</v>
      </c>
      <c r="S39" s="475" t="e">
        <f t="shared" si="1"/>
        <v>#N/A</v>
      </c>
      <c r="T39" s="475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5" t="e">
        <f t="shared" si="8"/>
        <v>#N/A</v>
      </c>
      <c r="AA39" s="475"/>
    </row>
    <row r="40" spans="1:56" ht="15.75" thickBot="1">
      <c r="B40" s="601"/>
      <c r="C40" s="350"/>
      <c r="D40" s="534"/>
      <c r="E40" s="53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5" t="e">
        <f t="shared" si="1"/>
        <v>#N/A</v>
      </c>
      <c r="T40" s="475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5" t="e">
        <f t="shared" si="8"/>
        <v>#N/A</v>
      </c>
      <c r="AA40" s="475"/>
    </row>
    <row r="41" spans="1:56" ht="15.75" thickBot="1">
      <c r="B41" s="529"/>
      <c r="C41" s="362"/>
      <c r="D41" s="545"/>
      <c r="E41" s="546"/>
      <c r="F41" s="294"/>
      <c r="G41" s="42"/>
      <c r="H41" s="41"/>
      <c r="I41" s="42"/>
      <c r="J41" s="579" t="s">
        <v>129</v>
      </c>
      <c r="K41" s="579"/>
      <c r="L41" s="294"/>
      <c r="M41" s="294"/>
      <c r="N41" s="294"/>
      <c r="O41" s="294"/>
      <c r="P41" s="12"/>
    </row>
    <row r="42" spans="1:56" ht="15.75" thickBot="1">
      <c r="B42" s="530"/>
      <c r="C42" s="362"/>
      <c r="D42" s="547"/>
      <c r="E42" s="535"/>
      <c r="F42" s="294"/>
      <c r="G42" s="42"/>
      <c r="H42" s="42"/>
      <c r="I42" s="42"/>
      <c r="J42" s="292" t="s">
        <v>17</v>
      </c>
      <c r="K42" s="293" t="s">
        <v>147</v>
      </c>
      <c r="L42" s="549" t="s">
        <v>136</v>
      </c>
      <c r="M42" s="549"/>
      <c r="N42" s="550"/>
      <c r="O42" s="294"/>
      <c r="P42" s="12"/>
    </row>
    <row r="43" spans="1:56" ht="15" customHeight="1" thickBot="1">
      <c r="B43" s="530"/>
      <c r="C43" s="349"/>
      <c r="D43" s="580"/>
      <c r="E43" s="581"/>
      <c r="F43" s="294"/>
      <c r="G43" s="42"/>
      <c r="H43" s="42"/>
      <c r="I43" s="42"/>
      <c r="J43" s="287" t="s">
        <v>6</v>
      </c>
      <c r="K43" s="324"/>
      <c r="L43" s="476" t="s">
        <v>37</v>
      </c>
      <c r="M43" s="477" t="s">
        <v>38</v>
      </c>
      <c r="N43" s="477" t="s">
        <v>84</v>
      </c>
      <c r="O43" s="294"/>
      <c r="P43" s="12"/>
    </row>
    <row r="44" spans="1:56" ht="15.75" customHeight="1" thickBot="1">
      <c r="B44" s="530"/>
      <c r="C44" s="349"/>
      <c r="D44" s="547"/>
      <c r="E44" s="535"/>
      <c r="F44" s="294"/>
      <c r="G44" s="42"/>
      <c r="H44" s="42"/>
      <c r="I44" s="42"/>
      <c r="J44" s="345" t="s">
        <v>9</v>
      </c>
      <c r="K44" s="324">
        <v>4</v>
      </c>
      <c r="L44" s="344">
        <f>AVERAGE('Dec 1st'!K43,'Dec 2nd'!K49,'Dec 3rd '!K58,'Dec 4th'!K51,'Dec 5th-7th'!I70,'Dec 5th-7th'!J70,'Dec 5th-7th'!K70,'Dec 8th '!K49,'Dec 9th'!K49,'Dec 11th'!K53,'Dec 10th'!K61)</f>
        <v>5.8181818181818183</v>
      </c>
      <c r="M44" s="325">
        <f>AVERAGE('[31]Jan 29th '!$M$70,'[32]Feb 28th'!$L$40,'[33]Mar. 31st'!$L$40,'[34]Apr. 30th'!$L$50,'[35]May 30th'!$L$42,'[36]June 30th'!$L$62,'[37]July 29th '!$L$49,'[38]Aug 29th'!$L$34,'[39]Sept 30th'!$L$40,[40]Oct.31st!$L$43,'[41]Nov 28th-30th'!$L$45,L44)</f>
        <v>6.8743795693881502</v>
      </c>
      <c r="N44" s="416">
        <v>9.1999999999999993</v>
      </c>
      <c r="O44" s="294"/>
      <c r="P44" s="12"/>
    </row>
    <row r="45" spans="1:56" ht="15" customHeight="1">
      <c r="B45" s="530"/>
      <c r="C45" s="349"/>
      <c r="D45" s="580"/>
      <c r="E45" s="581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30"/>
      <c r="C46" s="349"/>
      <c r="D46" s="547"/>
      <c r="E46" s="53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30"/>
      <c r="C47" s="349"/>
      <c r="D47" s="580"/>
      <c r="E47" s="581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30"/>
      <c r="C48" s="349"/>
      <c r="D48" s="547"/>
      <c r="E48" s="53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30"/>
      <c r="C49" s="349"/>
      <c r="D49" s="580"/>
      <c r="E49" s="581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31"/>
      <c r="C50" s="350"/>
      <c r="D50" s="582"/>
      <c r="E50" s="583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7"/>
      <c r="E51" s="578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4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J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57" t="s">
        <v>17</v>
      </c>
      <c r="C56" s="557" t="s">
        <v>44</v>
      </c>
      <c r="D56" s="559" t="s">
        <v>45</v>
      </c>
      <c r="E56" s="514" t="s">
        <v>46</v>
      </c>
      <c r="F56" s="574" t="s">
        <v>47</v>
      </c>
      <c r="G56" s="568" t="s">
        <v>48</v>
      </c>
      <c r="H56" s="557" t="s">
        <v>49</v>
      </c>
      <c r="I56" s="557" t="s">
        <v>50</v>
      </c>
      <c r="J56" s="562" t="s">
        <v>28</v>
      </c>
      <c r="K56" s="512" t="s">
        <v>51</v>
      </c>
      <c r="L56" s="524" t="s">
        <v>52</v>
      </c>
      <c r="M56" s="562" t="s">
        <v>53</v>
      </c>
      <c r="N56" s="13"/>
      <c r="O56" s="13"/>
      <c r="P56" s="50"/>
    </row>
    <row r="57" spans="2:57" ht="28.5" customHeight="1" thickTop="1" thickBot="1">
      <c r="B57" s="558"/>
      <c r="C57" s="558"/>
      <c r="D57" s="560"/>
      <c r="E57" s="561"/>
      <c r="F57" s="575"/>
      <c r="G57" s="569"/>
      <c r="H57" s="576"/>
      <c r="I57" s="576"/>
      <c r="J57" s="563"/>
      <c r="K57" s="572"/>
      <c r="L57" s="573"/>
      <c r="M57" s="563"/>
      <c r="N57" s="13"/>
      <c r="O57" s="13"/>
      <c r="P57" s="50"/>
      <c r="Q57" s="355"/>
      <c r="AB57" s="478">
        <v>43474</v>
      </c>
      <c r="AC57" s="478">
        <v>43475</v>
      </c>
      <c r="AD57" s="478">
        <v>43476</v>
      </c>
      <c r="AE57" s="478">
        <v>43477</v>
      </c>
      <c r="AF57" s="478">
        <v>43478</v>
      </c>
      <c r="AG57" s="478">
        <v>43479</v>
      </c>
      <c r="AH57" s="478">
        <v>43480</v>
      </c>
      <c r="AI57" s="478">
        <v>43481</v>
      </c>
      <c r="AJ57" s="478">
        <v>43482</v>
      </c>
      <c r="AK57" s="478">
        <v>43483</v>
      </c>
      <c r="AL57" s="478">
        <v>43484</v>
      </c>
      <c r="AM57" s="478">
        <v>43485</v>
      </c>
      <c r="AN57" s="478">
        <v>43486</v>
      </c>
      <c r="AO57" s="478">
        <v>43487</v>
      </c>
      <c r="AP57" s="478">
        <v>43488</v>
      </c>
      <c r="AQ57" s="478">
        <v>43489</v>
      </c>
      <c r="AR57" s="478">
        <v>43490</v>
      </c>
      <c r="AS57" s="478">
        <v>43491</v>
      </c>
      <c r="AT57" s="478">
        <v>43492</v>
      </c>
      <c r="AU57" s="478">
        <v>43493</v>
      </c>
      <c r="AV57" s="478">
        <v>43494</v>
      </c>
      <c r="AW57" s="478">
        <v>43495</v>
      </c>
      <c r="AX57" s="478">
        <v>43496</v>
      </c>
    </row>
    <row r="58" spans="2:57" s="54" customFormat="1" ht="43.15" customHeight="1" thickBot="1">
      <c r="B58" s="494" t="str">
        <f>J47</f>
        <v>STARMALT</v>
      </c>
      <c r="C58" s="441">
        <v>46002</v>
      </c>
      <c r="D58" s="442">
        <f>[42]December_2025!$N$55</f>
        <v>201.3</v>
      </c>
      <c r="E58" s="443"/>
      <c r="F58" s="444"/>
      <c r="G58" s="444">
        <f>[42]December_2025!$N$59</f>
        <v>196.9</v>
      </c>
      <c r="H58" s="458"/>
      <c r="I58" s="458"/>
      <c r="J58" s="448" t="s">
        <v>188</v>
      </c>
      <c r="K58" s="449">
        <f>[43]December_2025!$N$53</f>
        <v>0.6908771929824562</v>
      </c>
      <c r="L58" s="486">
        <f>(((D58+E58)-G58)/(D58+E58))*100</f>
        <v>2.1857923497267788</v>
      </c>
      <c r="M58" s="455" t="s">
        <v>187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68"/>
      <c r="C59" s="430"/>
      <c r="D59" s="431"/>
      <c r="E59" s="432"/>
      <c r="F59" s="433"/>
      <c r="G59" s="434"/>
      <c r="H59" s="428"/>
      <c r="I59" s="42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6"/>
      <c r="C60" s="441"/>
      <c r="D60" s="442"/>
      <c r="E60" s="443"/>
      <c r="F60" s="444"/>
      <c r="G60" s="445"/>
      <c r="H60" s="458"/>
      <c r="I60" s="458"/>
      <c r="J60" s="448"/>
      <c r="K60" s="460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59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7"/>
      <c r="C65" s="430"/>
      <c r="D65" s="461"/>
      <c r="E65" s="462"/>
      <c r="F65" s="463"/>
      <c r="G65" s="461"/>
      <c r="H65" s="464"/>
      <c r="I65" s="464"/>
      <c r="J65" s="464"/>
      <c r="K65" s="465"/>
      <c r="L65" s="466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64" t="s">
        <v>55</v>
      </c>
      <c r="C67" s="565"/>
      <c r="D67" s="565"/>
      <c r="E67" s="565"/>
      <c r="F67" s="566"/>
      <c r="G67" s="564" t="s">
        <v>56</v>
      </c>
      <c r="H67" s="565"/>
      <c r="I67" s="565"/>
      <c r="J67" s="566"/>
      <c r="K67" s="564" t="s">
        <v>51</v>
      </c>
      <c r="L67" s="565"/>
      <c r="M67" s="565"/>
      <c r="N67" s="567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6.2340316811445922</v>
      </c>
      <c r="E69" s="76">
        <v>6.0773431397377013</v>
      </c>
      <c r="F69" s="66">
        <v>4.8</v>
      </c>
      <c r="G69" s="65"/>
      <c r="H69" s="491">
        <v>5.6485075406120568</v>
      </c>
      <c r="I69" s="76">
        <v>5.9917086961662607</v>
      </c>
      <c r="J69" s="66">
        <v>4.8</v>
      </c>
      <c r="K69" s="67"/>
      <c r="L69" s="194">
        <v>0.45889473684210524</v>
      </c>
      <c r="M69" s="194">
        <v>0.72186132308783935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1.5625804017083973</v>
      </c>
      <c r="E70" s="76">
        <v>5.5960664917440779</v>
      </c>
      <c r="F70" s="66">
        <v>4.8</v>
      </c>
      <c r="G70" s="65"/>
      <c r="H70" s="76">
        <v>2.1472714173633256</v>
      </c>
      <c r="I70" s="76">
        <v>6.1167972180873393</v>
      </c>
      <c r="J70" s="66">
        <v>4.8</v>
      </c>
      <c r="K70" s="67"/>
      <c r="L70" s="194">
        <v>0.45210526315789473</v>
      </c>
      <c r="M70" s="194">
        <v>0.67706581940207577</v>
      </c>
      <c r="N70" s="68">
        <v>1</v>
      </c>
      <c r="P70" s="69"/>
    </row>
    <row r="71" spans="2:57" ht="15">
      <c r="B71" s="34" t="s">
        <v>40</v>
      </c>
      <c r="C71" s="65"/>
      <c r="D71" s="76">
        <v>12.618296529968443</v>
      </c>
      <c r="E71" s="76">
        <v>11.122539172358353</v>
      </c>
      <c r="F71" s="66">
        <v>5.5</v>
      </c>
      <c r="G71" s="65"/>
      <c r="H71" s="76">
        <v>12.288892572095527</v>
      </c>
      <c r="I71" s="76">
        <v>12.520142311925225</v>
      </c>
      <c r="J71" s="66">
        <v>5.5</v>
      </c>
      <c r="K71" s="67"/>
      <c r="L71" s="194">
        <v>0.31587719298245615</v>
      </c>
      <c r="M71" s="194">
        <v>0.50769967246157732</v>
      </c>
      <c r="N71" s="68">
        <v>1</v>
      </c>
      <c r="P71" s="69"/>
    </row>
    <row r="72" spans="2:57" ht="15">
      <c r="B72" s="22" t="s">
        <v>33</v>
      </c>
      <c r="C72" s="65"/>
      <c r="D72" s="76">
        <v>3.6210127551534388</v>
      </c>
      <c r="E72" s="76">
        <v>4.5238317691984813</v>
      </c>
      <c r="F72" s="66">
        <v>3.3</v>
      </c>
      <c r="G72" s="65"/>
      <c r="H72" s="76">
        <v>2.8491888487026817</v>
      </c>
      <c r="I72" s="76">
        <v>4.2621233200108142</v>
      </c>
      <c r="J72" s="66">
        <v>3.3</v>
      </c>
      <c r="K72" s="67"/>
      <c r="L72" s="194">
        <v>0.67114035087719304</v>
      </c>
      <c r="M72" s="194">
        <v>0.81111567982456145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>
        <f>L58</f>
        <v>2.1857923497267788</v>
      </c>
      <c r="D75" s="76">
        <v>0.5306319343946081</v>
      </c>
      <c r="E75" s="76">
        <v>2.8198416117167686</v>
      </c>
      <c r="F75" s="66">
        <v>3.3</v>
      </c>
      <c r="G75" s="282">
        <f>[42]December_2025!$O$63</f>
        <v>2.8881300129592913</v>
      </c>
      <c r="H75" s="76">
        <v>11.409252589106188</v>
      </c>
      <c r="I75" s="76">
        <v>4.5951174385920783</v>
      </c>
      <c r="J75" s="66">
        <v>3.3</v>
      </c>
      <c r="K75" s="67">
        <f>K58</f>
        <v>0.6908771929824562</v>
      </c>
      <c r="L75" s="194">
        <v>0.72350877192982455</v>
      </c>
      <c r="M75" s="194">
        <v>0.83808656957928795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5.4168282033519137</v>
      </c>
      <c r="E78" s="76">
        <v>6.0812387926835632</v>
      </c>
      <c r="F78" s="341">
        <v>5.5</v>
      </c>
      <c r="H78" s="76">
        <v>6.164883852588356</v>
      </c>
      <c r="I78" s="76">
        <v>6.5243212460127502</v>
      </c>
      <c r="J78" s="341">
        <v>5.5</v>
      </c>
      <c r="L78" s="194">
        <v>0.51214561403508774</v>
      </c>
      <c r="M78" s="194">
        <v>0.69758157857040548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396" priority="35" operator="notBetween">
      <formula>#REF!</formula>
      <formula>#REF!</formula>
    </cfRule>
  </conditionalFormatting>
  <conditionalFormatting sqref="C55">
    <cfRule type="cellIs" dxfId="2395" priority="180" stopIfTrue="1" operator="lessThan">
      <formula>96</formula>
    </cfRule>
    <cfRule type="cellIs" dxfId="2394" priority="181" stopIfTrue="1" operator="greaterThan">
      <formula>100</formula>
    </cfRule>
  </conditionalFormatting>
  <conditionalFormatting sqref="C69:C73">
    <cfRule type="cellIs" dxfId="2393" priority="134" stopIfTrue="1" operator="lessThanOrEqual">
      <formula>0</formula>
    </cfRule>
  </conditionalFormatting>
  <conditionalFormatting sqref="C69:C77">
    <cfRule type="cellIs" dxfId="2392" priority="133" stopIfTrue="1" operator="greaterThan">
      <formula>$F69</formula>
    </cfRule>
  </conditionalFormatting>
  <conditionalFormatting sqref="C70">
    <cfRule type="cellIs" dxfId="2391" priority="184" stopIfTrue="1" operator="greaterThan">
      <formula>$F69</formula>
    </cfRule>
  </conditionalFormatting>
  <conditionalFormatting sqref="C74">
    <cfRule type="cellIs" dxfId="2390" priority="74" stopIfTrue="1" operator="greaterThan">
      <formula>$F73</formula>
    </cfRule>
    <cfRule type="cellIs" dxfId="2389" priority="73" stopIfTrue="1" operator="lessThanOrEqual">
      <formula>0</formula>
    </cfRule>
  </conditionalFormatting>
  <conditionalFormatting sqref="C80:C84">
    <cfRule type="cellIs" dxfId="2388" priority="172" stopIfTrue="1" operator="lessThanOrEqual">
      <formula>0</formula>
    </cfRule>
  </conditionalFormatting>
  <conditionalFormatting sqref="C81:C84">
    <cfRule type="cellIs" dxfId="2387" priority="171" stopIfTrue="1" operator="greaterThan">
      <formula>$F$80</formula>
    </cfRule>
  </conditionalFormatting>
  <conditionalFormatting sqref="C86">
    <cfRule type="cellIs" dxfId="2386" priority="174" stopIfTrue="1" operator="lessThanOrEqual">
      <formula>0</formula>
    </cfRule>
    <cfRule type="cellIs" dxfId="2385" priority="173" stopIfTrue="1" operator="greaterThan">
      <formula>$F$80</formula>
    </cfRule>
  </conditionalFormatting>
  <conditionalFormatting sqref="C80:D80 D82:D88">
    <cfRule type="cellIs" dxfId="2384" priority="166" stopIfTrue="1" operator="greaterThan">
      <formula>4.5</formula>
    </cfRule>
  </conditionalFormatting>
  <conditionalFormatting sqref="D51:D52">
    <cfRule type="cellIs" dxfId="2383" priority="36" operator="notBetween">
      <formula>#REF!</formula>
      <formula>#REF!</formula>
    </cfRule>
  </conditionalFormatting>
  <conditionalFormatting sqref="D69:D76">
    <cfRule type="cellIs" dxfId="2382" priority="146" stopIfTrue="1" operator="lessThanOrEqual">
      <formula>0</formula>
    </cfRule>
  </conditionalFormatting>
  <conditionalFormatting sqref="D77">
    <cfRule type="cellIs" dxfId="2381" priority="145" stopIfTrue="1" operator="lessThanOrEqual">
      <formula>0</formula>
    </cfRule>
  </conditionalFormatting>
  <conditionalFormatting sqref="D80 D82:D88">
    <cfRule type="cellIs" dxfId="2380" priority="167" stopIfTrue="1" operator="lessThanOrEqual">
      <formula>0</formula>
    </cfRule>
  </conditionalFormatting>
  <conditionalFormatting sqref="D81">
    <cfRule type="cellIs" dxfId="2379" priority="158" stopIfTrue="1" operator="greaterThan">
      <formula>$F$80</formula>
    </cfRule>
    <cfRule type="cellIs" dxfId="2378" priority="159" stopIfTrue="1" operator="lessThanOrEqual">
      <formula>0</formula>
    </cfRule>
  </conditionalFormatting>
  <conditionalFormatting sqref="D69:E78">
    <cfRule type="cellIs" dxfId="2377" priority="131" stopIfTrue="1" operator="greaterThan">
      <formula>$F69</formula>
    </cfRule>
  </conditionalFormatting>
  <conditionalFormatting sqref="D78:E78">
    <cfRule type="cellIs" dxfId="2376" priority="132" stopIfTrue="1" operator="lessThanOrEqual">
      <formula>0</formula>
    </cfRule>
  </conditionalFormatting>
  <conditionalFormatting sqref="E10:E26">
    <cfRule type="cellIs" dxfId="2375" priority="10" operator="lessThan">
      <formula>48</formula>
    </cfRule>
  </conditionalFormatting>
  <conditionalFormatting sqref="E54 E55:F55">
    <cfRule type="cellIs" dxfId="2374" priority="163" stopIfTrue="1" operator="greaterThan">
      <formula>100</formula>
    </cfRule>
  </conditionalFormatting>
  <conditionalFormatting sqref="E55">
    <cfRule type="cellIs" dxfId="2373" priority="160" stopIfTrue="1" operator="lessThan">
      <formula>96.8</formula>
    </cfRule>
    <cfRule type="cellIs" dxfId="2372" priority="161" stopIfTrue="1" operator="greaterThan">
      <formula>100</formula>
    </cfRule>
  </conditionalFormatting>
  <conditionalFormatting sqref="E69:E77">
    <cfRule type="cellIs" dxfId="2371" priority="142" stopIfTrue="1" operator="lessThanOrEqual">
      <formula>0</formula>
    </cfRule>
  </conditionalFormatting>
  <conditionalFormatting sqref="E80:E88">
    <cfRule type="cellIs" dxfId="2370" priority="152" stopIfTrue="1" operator="greaterThan">
      <formula>4.5</formula>
    </cfRule>
    <cfRule type="cellIs" dxfId="2369" priority="153" stopIfTrue="1" operator="lessThanOrEqual">
      <formula>0</formula>
    </cfRule>
  </conditionalFormatting>
  <conditionalFormatting sqref="E55:F55 E54">
    <cfRule type="cellIs" dxfId="2368" priority="162" stopIfTrue="1" operator="lessThan">
      <formula>96.5</formula>
    </cfRule>
  </conditionalFormatting>
  <conditionalFormatting sqref="F10:F26">
    <cfRule type="cellIs" dxfId="2367" priority="11" operator="greaterThan">
      <formula>60</formula>
    </cfRule>
  </conditionalFormatting>
  <conditionalFormatting sqref="F55">
    <cfRule type="cellIs" dxfId="2366" priority="179" stopIfTrue="1" operator="greaterThan">
      <formula>100</formula>
    </cfRule>
    <cfRule type="cellIs" dxfId="2365" priority="178" stopIfTrue="1" operator="lessThan">
      <formula>96.8</formula>
    </cfRule>
  </conditionalFormatting>
  <conditionalFormatting sqref="F78">
    <cfRule type="cellIs" dxfId="2364" priority="143" stopIfTrue="1" operator="greaterThan">
      <formula>$F78</formula>
    </cfRule>
    <cfRule type="cellIs" dxfId="2363" priority="144" stopIfTrue="1" operator="lessThanOrEqual">
      <formula>0</formula>
    </cfRule>
  </conditionalFormatting>
  <conditionalFormatting sqref="G23:G25">
    <cfRule type="expression" dxfId="2362" priority="13">
      <formula>IF(+(IF(G23&lt;S23,0,IF(G23&gt;T23,0,1)))=0,1)</formula>
    </cfRule>
  </conditionalFormatting>
  <conditionalFormatting sqref="G69:G70 C75:C77">
    <cfRule type="cellIs" dxfId="2361" priority="148" stopIfTrue="1" operator="lessThanOrEqual">
      <formula>0</formula>
    </cfRule>
  </conditionalFormatting>
  <conditionalFormatting sqref="G69:G70">
    <cfRule type="cellIs" dxfId="2360" priority="147" stopIfTrue="1" operator="greaterThan">
      <formula>$F69</formula>
    </cfRule>
    <cfRule type="cellIs" dxfId="2359" priority="135" stopIfTrue="1" operator="greaterThan">
      <formula>$F69</formula>
    </cfRule>
    <cfRule type="cellIs" dxfId="2358" priority="136" stopIfTrue="1" operator="lessThanOrEqual">
      <formula>0</formula>
    </cfRule>
  </conditionalFormatting>
  <conditionalFormatting sqref="G71">
    <cfRule type="cellIs" dxfId="2357" priority="183" stopIfTrue="1" operator="lessThanOrEqual">
      <formula>0</formula>
    </cfRule>
    <cfRule type="cellIs" dxfId="2356" priority="182" stopIfTrue="1" operator="greaterThan">
      <formula>$F70</formula>
    </cfRule>
  </conditionalFormatting>
  <conditionalFormatting sqref="G72">
    <cfRule type="cellIs" dxfId="2355" priority="31" stopIfTrue="1" operator="greaterThan">
      <formula>$F72</formula>
    </cfRule>
    <cfRule type="cellIs" dxfId="2354" priority="32" stopIfTrue="1" operator="lessThanOrEqual">
      <formula>0</formula>
    </cfRule>
    <cfRule type="cellIs" dxfId="2353" priority="34" stopIfTrue="1" operator="lessThanOrEqual">
      <formula>0</formula>
    </cfRule>
    <cfRule type="cellIs" dxfId="2352" priority="33" stopIfTrue="1" operator="greaterThan">
      <formula>$F72</formula>
    </cfRule>
  </conditionalFormatting>
  <conditionalFormatting sqref="G73:G77">
    <cfRule type="cellIs" dxfId="2351" priority="150" stopIfTrue="1" operator="lessThanOrEqual">
      <formula>0</formula>
    </cfRule>
    <cfRule type="cellIs" dxfId="2350" priority="149" stopIfTrue="1" operator="greaterThan">
      <formula>$J73</formula>
    </cfRule>
  </conditionalFormatting>
  <conditionalFormatting sqref="G82:G87 C85 C87">
    <cfRule type="cellIs" dxfId="2349" priority="175" stopIfTrue="1" operator="greaterThan">
      <formula>4.5</formula>
    </cfRule>
    <cfRule type="cellIs" dxfId="2348" priority="176" stopIfTrue="1" operator="lessThanOrEqual">
      <formula>0</formula>
    </cfRule>
  </conditionalFormatting>
  <conditionalFormatting sqref="G81:H81">
    <cfRule type="cellIs" dxfId="2347" priority="157" stopIfTrue="1" operator="lessThanOrEqual">
      <formula>0</formula>
    </cfRule>
    <cfRule type="cellIs" dxfId="2346" priority="156" stopIfTrue="1" operator="greaterThan">
      <formula>$F$80</formula>
    </cfRule>
  </conditionalFormatting>
  <conditionalFormatting sqref="H40:H41 H54">
    <cfRule type="cellIs" dxfId="2345" priority="154" stopIfTrue="1" operator="greaterThan">
      <formula>0</formula>
    </cfRule>
  </conditionalFormatting>
  <conditionalFormatting sqref="H58">
    <cfRule type="cellIs" dxfId="2344" priority="18" stopIfTrue="1" operator="greaterThan">
      <formula>$F$73</formula>
    </cfRule>
    <cfRule type="cellIs" dxfId="2343" priority="17" stopIfTrue="1" operator="lessThanOrEqual">
      <formula>0</formula>
    </cfRule>
    <cfRule type="cellIs" dxfId="2342" priority="26" stopIfTrue="1" operator="greaterThan">
      <formula>$F$76</formula>
    </cfRule>
    <cfRule type="cellIs" dxfId="2341" priority="27" stopIfTrue="1" operator="lessThanOrEqual">
      <formula>0</formula>
    </cfRule>
    <cfRule type="cellIs" dxfId="2340" priority="28" stopIfTrue="1" operator="greaterThan">
      <formula>$F$74</formula>
    </cfRule>
    <cfRule type="cellIs" dxfId="2339" priority="29" stopIfTrue="1" operator="lessThanOrEqual">
      <formula>0</formula>
    </cfRule>
  </conditionalFormatting>
  <conditionalFormatting sqref="H59">
    <cfRule type="cellIs" dxfId="2338" priority="91" stopIfTrue="1" operator="greaterThan">
      <formula>#REF!</formula>
    </cfRule>
    <cfRule type="cellIs" dxfId="2337" priority="99" stopIfTrue="1" operator="greaterThan">
      <formula>$F$27</formula>
    </cfRule>
    <cfRule type="cellIs" dxfId="2336" priority="90" stopIfTrue="1" operator="lessThanOrEqual">
      <formula>0</formula>
    </cfRule>
    <cfRule type="cellIs" dxfId="2335" priority="102" stopIfTrue="1" operator="lessThanOrEqual">
      <formula>0</formula>
    </cfRule>
    <cfRule type="cellIs" dxfId="2334" priority="101" stopIfTrue="1" operator="greaterThan">
      <formula>#REF!</formula>
    </cfRule>
    <cfRule type="cellIs" dxfId="2333" priority="100" stopIfTrue="1" operator="lessThanOrEqual">
      <formula>0</formula>
    </cfRule>
  </conditionalFormatting>
  <conditionalFormatting sqref="H60">
    <cfRule type="cellIs" dxfId="2332" priority="69" stopIfTrue="1" operator="greaterThan">
      <formula>$F$73</formula>
    </cfRule>
    <cfRule type="cellIs" dxfId="2331" priority="70" stopIfTrue="1" operator="lessThanOrEqual">
      <formula>0</formula>
    </cfRule>
    <cfRule type="cellIs" dxfId="2330" priority="71" stopIfTrue="1" operator="greaterThan">
      <formula>$F$71</formula>
    </cfRule>
    <cfRule type="cellIs" dxfId="2329" priority="72" stopIfTrue="1" operator="lessThanOrEqual">
      <formula>0</formula>
    </cfRule>
    <cfRule type="cellIs" dxfId="2328" priority="60" stopIfTrue="1" operator="lessThanOrEqual">
      <formula>0</formula>
    </cfRule>
    <cfRule type="cellIs" dxfId="2327" priority="61" stopIfTrue="1" operator="greaterThan">
      <formula>$F$70</formula>
    </cfRule>
  </conditionalFormatting>
  <conditionalFormatting sqref="H61:H62">
    <cfRule type="cellIs" dxfId="2326" priority="76" stopIfTrue="1" operator="lessThanOrEqual">
      <formula>0</formula>
    </cfRule>
    <cfRule type="cellIs" dxfId="2325" priority="77" stopIfTrue="1" operator="greaterThan">
      <formula>#REF!</formula>
    </cfRule>
    <cfRule type="cellIs" dxfId="2324" priority="85" stopIfTrue="1" operator="greaterThan">
      <formula>$F$26</formula>
    </cfRule>
    <cfRule type="cellIs" dxfId="2323" priority="86" stopIfTrue="1" operator="lessThanOrEqual">
      <formula>0</formula>
    </cfRule>
    <cfRule type="cellIs" dxfId="2322" priority="87" stopIfTrue="1" operator="greaterThan">
      <formula>#REF!</formula>
    </cfRule>
    <cfRule type="cellIs" dxfId="2321" priority="88" stopIfTrue="1" operator="lessThanOrEqual">
      <formula>0</formula>
    </cfRule>
  </conditionalFormatting>
  <conditionalFormatting sqref="H63">
    <cfRule type="cellIs" dxfId="2320" priority="116" stopIfTrue="1" operator="greaterThan">
      <formula>$F$40</formula>
    </cfRule>
    <cfRule type="cellIs" dxfId="2319" priority="117" stopIfTrue="1" operator="lessThanOrEqual">
      <formula>0</formula>
    </cfRule>
    <cfRule type="cellIs" dxfId="2318" priority="114" stopIfTrue="1" operator="greaterThan">
      <formula>$F$42</formula>
    </cfRule>
    <cfRule type="cellIs" dxfId="2317" priority="106" stopIfTrue="1" operator="greaterThan">
      <formula>$F$39</formula>
    </cfRule>
    <cfRule type="cellIs" dxfId="2316" priority="105" stopIfTrue="1" operator="lessThanOrEqual">
      <formula>0</formula>
    </cfRule>
    <cfRule type="cellIs" dxfId="2315" priority="115" stopIfTrue="1" operator="lessThanOrEqual">
      <formula>0</formula>
    </cfRule>
  </conditionalFormatting>
  <conditionalFormatting sqref="H64:H65">
    <cfRule type="cellIs" dxfId="2314" priority="55" stopIfTrue="1" operator="greaterThan">
      <formula>$F$26</formula>
    </cfRule>
    <cfRule type="cellIs" dxfId="2313" priority="56" stopIfTrue="1" operator="lessThanOrEqual">
      <formula>0</formula>
    </cfRule>
    <cfRule type="cellIs" dxfId="2312" priority="57" stopIfTrue="1" operator="greaterThan">
      <formula>#REF!</formula>
    </cfRule>
    <cfRule type="cellIs" dxfId="2311" priority="58" stopIfTrue="1" operator="lessThanOrEqual">
      <formula>0</formula>
    </cfRule>
    <cfRule type="cellIs" dxfId="2310" priority="46" stopIfTrue="1" operator="lessThanOrEqual">
      <formula>0</formula>
    </cfRule>
    <cfRule type="cellIs" dxfId="2309" priority="47" stopIfTrue="1" operator="greaterThan">
      <formula>#REF!</formula>
    </cfRule>
  </conditionalFormatting>
  <conditionalFormatting sqref="H69:H76">
    <cfRule type="cellIs" dxfId="2308" priority="138" stopIfTrue="1" operator="lessThanOrEqual">
      <formula>0</formula>
    </cfRule>
    <cfRule type="cellIs" dxfId="2307" priority="137" stopIfTrue="1" operator="greaterThan">
      <formula>$J69</formula>
    </cfRule>
  </conditionalFormatting>
  <conditionalFormatting sqref="H77">
    <cfRule type="cellIs" dxfId="2306" priority="139" operator="greaterThan">
      <formula>5.3</formula>
    </cfRule>
  </conditionalFormatting>
  <conditionalFormatting sqref="H80 H82:H88">
    <cfRule type="cellIs" dxfId="2305" priority="169" stopIfTrue="1" operator="lessThanOrEqual">
      <formula>0</formula>
    </cfRule>
    <cfRule type="cellIs" dxfId="2304" priority="168" stopIfTrue="1" operator="greaterThan">
      <formula>4.5</formula>
    </cfRule>
  </conditionalFormatting>
  <conditionalFormatting sqref="H58:I58">
    <cfRule type="cellIs" dxfId="2303" priority="19" stopIfTrue="1" operator="lessThanOrEqual">
      <formula>0</formula>
    </cfRule>
    <cfRule type="cellIs" dxfId="2302" priority="16" stopIfTrue="1" operator="greaterThan">
      <formula>$F$75</formula>
    </cfRule>
  </conditionalFormatting>
  <conditionalFormatting sqref="H59:I59">
    <cfRule type="cellIs" dxfId="2301" priority="92" stopIfTrue="1" operator="lessThanOrEqual">
      <formula>0</formula>
    </cfRule>
    <cfRule type="cellIs" dxfId="2300" priority="89" stopIfTrue="1" operator="greaterThan">
      <formula>$F$26</formula>
    </cfRule>
  </conditionalFormatting>
  <conditionalFormatting sqref="H60:I60">
    <cfRule type="cellIs" dxfId="2299" priority="62" stopIfTrue="1" operator="lessThanOrEqual">
      <formula>0</formula>
    </cfRule>
    <cfRule type="cellIs" dxfId="2298" priority="59" stopIfTrue="1" operator="greaterThan">
      <formula>$F$72</formula>
    </cfRule>
  </conditionalFormatting>
  <conditionalFormatting sqref="H61:I62">
    <cfRule type="cellIs" dxfId="2297" priority="75" stopIfTrue="1" operator="greaterThan">
      <formula>#REF!</formula>
    </cfRule>
    <cfRule type="cellIs" dxfId="2296" priority="78" stopIfTrue="1" operator="lessThanOrEqual">
      <formula>0</formula>
    </cfRule>
  </conditionalFormatting>
  <conditionalFormatting sqref="H63:I63">
    <cfRule type="cellIs" dxfId="2295" priority="104" stopIfTrue="1" operator="greaterThan">
      <formula>$F$41</formula>
    </cfRule>
    <cfRule type="cellIs" dxfId="2294" priority="107" stopIfTrue="1" operator="lessThanOrEqual">
      <formula>0</formula>
    </cfRule>
  </conditionalFormatting>
  <conditionalFormatting sqref="H64:I65">
    <cfRule type="cellIs" dxfId="2293" priority="48" stopIfTrue="1" operator="lessThanOrEqual">
      <formula>0</formula>
    </cfRule>
    <cfRule type="cellIs" dxfId="2292" priority="45" stopIfTrue="1" operator="greaterThan">
      <formula>#REF!</formula>
    </cfRule>
  </conditionalFormatting>
  <conditionalFormatting sqref="H78:I78">
    <cfRule type="cellIs" dxfId="2291" priority="129" stopIfTrue="1" operator="greaterThan">
      <formula>$J78</formula>
    </cfRule>
    <cfRule type="cellIs" dxfId="2290" priority="130" stopIfTrue="1" operator="lessThanOrEqual">
      <formula>0</formula>
    </cfRule>
  </conditionalFormatting>
  <conditionalFormatting sqref="I58">
    <cfRule type="cellIs" dxfId="2289" priority="20" stopIfTrue="1" operator="greaterThan">
      <formula>$F$73</formula>
    </cfRule>
    <cfRule type="cellIs" dxfId="2288" priority="25" stopIfTrue="1" operator="lessThanOrEqual">
      <formula>0</formula>
    </cfRule>
    <cfRule type="cellIs" dxfId="2287" priority="24" stopIfTrue="1" operator="greaterThan">
      <formula>$F$73</formula>
    </cfRule>
    <cfRule type="cellIs" dxfId="2286" priority="23" stopIfTrue="1" operator="lessThanOrEqual">
      <formula>0</formula>
    </cfRule>
    <cfRule type="cellIs" dxfId="2285" priority="22" stopIfTrue="1" operator="greaterThan">
      <formula>$F$75</formula>
    </cfRule>
    <cfRule type="cellIs" dxfId="2284" priority="21" stopIfTrue="1" operator="lessThanOrEqual">
      <formula>0</formula>
    </cfRule>
  </conditionalFormatting>
  <conditionalFormatting sqref="I59">
    <cfRule type="cellIs" dxfId="2283" priority="97" stopIfTrue="1" operator="greaterThan">
      <formula>#REF!</formula>
    </cfRule>
    <cfRule type="cellIs" dxfId="2282" priority="94" stopIfTrue="1" operator="lessThanOrEqual">
      <formula>0</formula>
    </cfRule>
    <cfRule type="cellIs" dxfId="2281" priority="95" stopIfTrue="1" operator="greaterThan">
      <formula>$F$26</formula>
    </cfRule>
    <cfRule type="cellIs" dxfId="2280" priority="96" stopIfTrue="1" operator="lessThanOrEqual">
      <formula>0</formula>
    </cfRule>
    <cfRule type="cellIs" dxfId="2279" priority="98" stopIfTrue="1" operator="lessThanOrEqual">
      <formula>0</formula>
    </cfRule>
    <cfRule type="cellIs" dxfId="2278" priority="93" stopIfTrue="1" operator="greaterThan">
      <formula>#REF!</formula>
    </cfRule>
  </conditionalFormatting>
  <conditionalFormatting sqref="I60">
    <cfRule type="cellIs" dxfId="2277" priority="65" stopIfTrue="1" operator="greaterThan">
      <formula>$F$72</formula>
    </cfRule>
    <cfRule type="cellIs" dxfId="2276" priority="68" stopIfTrue="1" operator="lessThanOrEqual">
      <formula>0</formula>
    </cfRule>
    <cfRule type="cellIs" dxfId="2275" priority="64" stopIfTrue="1" operator="lessThanOrEqual">
      <formula>0</formula>
    </cfRule>
    <cfRule type="cellIs" dxfId="2274" priority="63" stopIfTrue="1" operator="greaterThan">
      <formula>$F$70</formula>
    </cfRule>
    <cfRule type="cellIs" dxfId="2273" priority="66" stopIfTrue="1" operator="lessThanOrEqual">
      <formula>0</formula>
    </cfRule>
    <cfRule type="cellIs" dxfId="2272" priority="67" stopIfTrue="1" operator="greaterThan">
      <formula>$F$70</formula>
    </cfRule>
  </conditionalFormatting>
  <conditionalFormatting sqref="I61:I62">
    <cfRule type="cellIs" dxfId="2271" priority="80" stopIfTrue="1" operator="lessThanOrEqual">
      <formula>0</formula>
    </cfRule>
    <cfRule type="cellIs" dxfId="2270" priority="84" stopIfTrue="1" operator="lessThanOrEqual">
      <formula>0</formula>
    </cfRule>
    <cfRule type="cellIs" dxfId="2269" priority="83" stopIfTrue="1" operator="greaterThan">
      <formula>#REF!</formula>
    </cfRule>
    <cfRule type="cellIs" dxfId="2268" priority="82" stopIfTrue="1" operator="lessThanOrEqual">
      <formula>0</formula>
    </cfRule>
    <cfRule type="cellIs" dxfId="2267" priority="81" stopIfTrue="1" operator="greaterThan">
      <formula>#REF!</formula>
    </cfRule>
    <cfRule type="cellIs" dxfId="2266" priority="79" stopIfTrue="1" operator="greaterThan">
      <formula>#REF!</formula>
    </cfRule>
  </conditionalFormatting>
  <conditionalFormatting sqref="I63">
    <cfRule type="cellIs" dxfId="2265" priority="108" stopIfTrue="1" operator="greaterThan">
      <formula>$F$39</formula>
    </cfRule>
    <cfRule type="cellIs" dxfId="2264" priority="109" stopIfTrue="1" operator="lessThanOrEqual">
      <formula>0</formula>
    </cfRule>
    <cfRule type="cellIs" dxfId="2263" priority="110" stopIfTrue="1" operator="greaterThan">
      <formula>$F$41</formula>
    </cfRule>
    <cfRule type="cellIs" dxfId="2262" priority="111" stopIfTrue="1" operator="lessThanOrEqual">
      <formula>0</formula>
    </cfRule>
    <cfRule type="cellIs" dxfId="2261" priority="112" stopIfTrue="1" operator="greaterThan">
      <formula>$F$39</formula>
    </cfRule>
    <cfRule type="cellIs" dxfId="2260" priority="113" stopIfTrue="1" operator="lessThanOrEqual">
      <formula>0</formula>
    </cfRule>
  </conditionalFormatting>
  <conditionalFormatting sqref="I64:I65">
    <cfRule type="cellIs" dxfId="2259" priority="50" stopIfTrue="1" operator="lessThanOrEqual">
      <formula>0</formula>
    </cfRule>
    <cfRule type="cellIs" dxfId="2258" priority="54" stopIfTrue="1" operator="lessThanOrEqual">
      <formula>0</formula>
    </cfRule>
    <cfRule type="cellIs" dxfId="2257" priority="51" stopIfTrue="1" operator="greaterThan">
      <formula>#REF!</formula>
    </cfRule>
    <cfRule type="cellIs" dxfId="2256" priority="53" stopIfTrue="1" operator="greaterThan">
      <formula>#REF!</formula>
    </cfRule>
    <cfRule type="cellIs" dxfId="2255" priority="52" stopIfTrue="1" operator="lessThanOrEqual">
      <formula>0</formula>
    </cfRule>
    <cfRule type="cellIs" dxfId="2254" priority="49" stopIfTrue="1" operator="greaterThan">
      <formula>#REF!</formula>
    </cfRule>
  </conditionalFormatting>
  <conditionalFormatting sqref="I69:I77">
    <cfRule type="cellIs" dxfId="2253" priority="141" stopIfTrue="1" operator="lessThanOrEqual">
      <formula>0</formula>
    </cfRule>
    <cfRule type="cellIs" dxfId="2252" priority="140" stopIfTrue="1" operator="greaterThan">
      <formula>$J69</formula>
    </cfRule>
  </conditionalFormatting>
  <conditionalFormatting sqref="I80:I88">
    <cfRule type="cellIs" dxfId="2251" priority="165" stopIfTrue="1" operator="lessThanOrEqual">
      <formula>0</formula>
    </cfRule>
    <cfRule type="cellIs" dxfId="2250" priority="164" stopIfTrue="1" operator="greaterThan">
      <formula>4.5</formula>
    </cfRule>
  </conditionalFormatting>
  <conditionalFormatting sqref="I10:J26">
    <cfRule type="cellIs" dxfId="2249" priority="6" operator="lessThan">
      <formula>97.9</formula>
    </cfRule>
  </conditionalFormatting>
  <conditionalFormatting sqref="J30:J31">
    <cfRule type="cellIs" dxfId="2248" priority="120" stopIfTrue="1" operator="greaterThan">
      <formula>100</formula>
    </cfRule>
    <cfRule type="cellIs" dxfId="2247" priority="121" operator="lessThan">
      <formula>98</formula>
    </cfRule>
    <cfRule type="cellIs" dxfId="2246" priority="119" stopIfTrue="1" operator="lessThan">
      <formula>96.8</formula>
    </cfRule>
  </conditionalFormatting>
  <conditionalFormatting sqref="J30:J33">
    <cfRule type="cellIs" dxfId="2245" priority="118" operator="lessThan">
      <formula>97.4</formula>
    </cfRule>
  </conditionalFormatting>
  <conditionalFormatting sqref="J34:J35">
    <cfRule type="cellIs" dxfId="2244" priority="122" operator="lessThan">
      <formula>98</formula>
    </cfRule>
  </conditionalFormatting>
  <conditionalFormatting sqref="J36:J37">
    <cfRule type="cellIs" dxfId="2243" priority="123" stopIfTrue="1" operator="lessThan">
      <formula>96.8</formula>
    </cfRule>
    <cfRule type="cellIs" dxfId="2242" priority="124" stopIfTrue="1" operator="greaterThan">
      <formula>100</formula>
    </cfRule>
  </conditionalFormatting>
  <conditionalFormatting sqref="J36:J38">
    <cfRule type="cellIs" dxfId="2241" priority="125" operator="lessThan">
      <formula>98</formula>
    </cfRule>
  </conditionalFormatting>
  <conditionalFormatting sqref="J65">
    <cfRule type="cellIs" dxfId="2240" priority="37" stopIfTrue="1" operator="greaterThan">
      <formula>#REF!</formula>
    </cfRule>
    <cfRule type="cellIs" dxfId="2239" priority="38" stopIfTrue="1" operator="lessThanOrEqual">
      <formula>0</formula>
    </cfRule>
    <cfRule type="cellIs" dxfId="2238" priority="44" stopIfTrue="1" operator="lessThanOrEqual">
      <formula>0</formula>
    </cfRule>
    <cfRule type="cellIs" dxfId="2237" priority="43" stopIfTrue="1" operator="greaterThan">
      <formula>#REF!</formula>
    </cfRule>
    <cfRule type="cellIs" dxfId="2236" priority="42" stopIfTrue="1" operator="lessThanOrEqual">
      <formula>0</formula>
    </cfRule>
    <cfRule type="cellIs" dxfId="2235" priority="41" stopIfTrue="1" operator="greaterThan">
      <formula>#REF!</formula>
    </cfRule>
    <cfRule type="cellIs" dxfId="2234" priority="40" stopIfTrue="1" operator="lessThanOrEqual">
      <formula>0</formula>
    </cfRule>
    <cfRule type="cellIs" dxfId="2233" priority="39" stopIfTrue="1" operator="greaterThan">
      <formula>#REF!</formula>
    </cfRule>
  </conditionalFormatting>
  <conditionalFormatting sqref="J78">
    <cfRule type="cellIs" dxfId="2232" priority="127" stopIfTrue="1" operator="lessThanOrEqual">
      <formula>0</formula>
    </cfRule>
    <cfRule type="cellIs" dxfId="2231" priority="126" stopIfTrue="1" operator="greaterThan">
      <formula>$F78</formula>
    </cfRule>
  </conditionalFormatting>
  <conditionalFormatting sqref="K10:K26">
    <cfRule type="cellIs" dxfId="2230" priority="9" operator="greaterThan">
      <formula>6.4</formula>
    </cfRule>
    <cfRule type="cellIs" dxfId="2229" priority="8" operator="lessThan">
      <formula>4</formula>
    </cfRule>
    <cfRule type="cellIs" dxfId="2228" priority="7" operator="greaterThan">
      <formula>6</formula>
    </cfRule>
  </conditionalFormatting>
  <conditionalFormatting sqref="K58:K65 K69:N75 K76 M76:N76 K77:N77">
    <cfRule type="cellIs" dxfId="2227" priority="103" stopIfTrue="1" operator="lessThan">
      <formula>100%</formula>
    </cfRule>
  </conditionalFormatting>
  <conditionalFormatting sqref="K80:K85">
    <cfRule type="cellIs" dxfId="2226" priority="170" stopIfTrue="1" operator="lessThan">
      <formula>100%</formula>
    </cfRule>
  </conditionalFormatting>
  <conditionalFormatting sqref="K87:K88">
    <cfRule type="cellIs" dxfId="2225" priority="177" stopIfTrue="1" operator="lessThan">
      <formula>100%</formula>
    </cfRule>
  </conditionalFormatting>
  <conditionalFormatting sqref="L23:L26">
    <cfRule type="cellIs" dxfId="2224" priority="15" operator="greaterThan">
      <formula>65</formula>
    </cfRule>
    <cfRule type="cellIs" dxfId="2223" priority="14" operator="between">
      <formula>61</formula>
      <formula>65</formula>
    </cfRule>
  </conditionalFormatting>
  <conditionalFormatting sqref="L10:M22">
    <cfRule type="cellIs" dxfId="2222" priority="2" operator="between">
      <formula>61</formula>
      <formula>65</formula>
    </cfRule>
    <cfRule type="cellIs" dxfId="2221" priority="1" operator="greaterThan">
      <formula>65</formula>
    </cfRule>
  </conditionalFormatting>
  <conditionalFormatting sqref="L29:M40">
    <cfRule type="cellIs" dxfId="2220" priority="3" operator="lessThan">
      <formula>97.95</formula>
    </cfRule>
  </conditionalFormatting>
  <conditionalFormatting sqref="L44:N44">
    <cfRule type="cellIs" dxfId="2219" priority="4" operator="notEqual">
      <formula>#REF!</formula>
    </cfRule>
  </conditionalFormatting>
  <conditionalFormatting sqref="L78:N78">
    <cfRule type="cellIs" dxfId="2218" priority="128" stopIfTrue="1" operator="lessThan">
      <formula>100%</formula>
    </cfRule>
  </conditionalFormatting>
  <conditionalFormatting sqref="L80:N88">
    <cfRule type="cellIs" dxfId="2217" priority="155" stopIfTrue="1" operator="lessThan">
      <formula>100%</formula>
    </cfRule>
  </conditionalFormatting>
  <conditionalFormatting sqref="M10:M22 G10:G22 G26:H26">
    <cfRule type="expression" dxfId="2216" priority="30">
      <formula>IF(+(IF(G10&lt;#REF!,0,IF(G10&gt;#REF!,0,1)))=0,1)</formula>
    </cfRule>
  </conditionalFormatting>
  <conditionalFormatting sqref="M23:M25">
    <cfRule type="expression" dxfId="2215" priority="12">
      <formula>IF(+(IF(M23&lt;U23,0,IF(M23&gt;V23,0,1)))=0,1)</formula>
    </cfRule>
  </conditionalFormatting>
  <conditionalFormatting sqref="M26:N26">
    <cfRule type="expression" dxfId="2214" priority="185">
      <formula>IF(+(IF(M26&lt;#REF!,0,IF(M26&gt;#REF!,0,1)))=0,1)</formula>
    </cfRule>
  </conditionalFormatting>
  <conditionalFormatting sqref="N10:N25">
    <cfRule type="expression" dxfId="2213" priority="5">
      <formula>IF(+(IF(N10&lt;W10,0,IF(N10&gt;X10,0,1)))=0,1)</formula>
    </cfRule>
  </conditionalFormatting>
  <conditionalFormatting sqref="P6">
    <cfRule type="cellIs" dxfId="2212" priority="151" operator="greaterThanOrEqual">
      <formula>19</formula>
    </cfRule>
  </conditionalFormatting>
  <dataValidations count="1">
    <dataValidation type="list" allowBlank="1" showInputMessage="1" showErrorMessage="1" sqref="R8" xr:uid="{0F48885B-DA2E-494E-8C64-7E2461991AA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8DE0-2CB4-48B6-A9A1-A333134C0EF1}">
  <sheetPr>
    <pageSetUpPr fitToPage="1"/>
  </sheetPr>
  <dimension ref="A1:BE69"/>
  <sheetViews>
    <sheetView tabSelected="1" zoomScale="80" zoomScaleNormal="80" workbookViewId="0">
      <selection activeCell="B15" sqref="B15:O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46006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2" t="s">
        <v>33</v>
      </c>
      <c r="C10" s="366" t="str">
        <f>[22]Brewhouse!A117</f>
        <v>VM102</v>
      </c>
      <c r="D10" s="279">
        <f>[22]Brewhouse!AE117</f>
        <v>50</v>
      </c>
      <c r="E10" s="279">
        <f>[22]Brewhouse!AJ117</f>
        <v>46.09</v>
      </c>
      <c r="F10" s="278">
        <f>[22]Brewhouse!X117</f>
        <v>84</v>
      </c>
      <c r="G10" s="279">
        <f>[22]Brewhouse!AH117</f>
        <v>14.2</v>
      </c>
      <c r="H10" s="396">
        <v>14.2</v>
      </c>
      <c r="I10" s="368">
        <f>[22]Brewhouse!AV117</f>
        <v>93.12538003208418</v>
      </c>
      <c r="J10" s="368">
        <f>[22]Brewhouse!AW117</f>
        <v>93.22702997497224</v>
      </c>
      <c r="K10" s="281">
        <f>[22]Brewhouse!S117</f>
        <v>9.3199999999999932</v>
      </c>
      <c r="L10" s="276">
        <f>[22]Brewhouse!R117</f>
        <v>59</v>
      </c>
      <c r="M10" s="374">
        <f>[22]Brewhouse!$W117-[22]Brewhouse!$V117</f>
        <v>0.16319444444444442</v>
      </c>
      <c r="N10" s="370">
        <f>[22]Brewhouse!AB117</f>
        <v>0.30208333333333326</v>
      </c>
      <c r="O10" s="371" t="str">
        <f>[22]Brewhouse!$AZ117</f>
        <v>R. Regis</v>
      </c>
      <c r="P10" s="418"/>
      <c r="R10" s="277" t="str">
        <f t="shared" ref="R10:R31" si="0">B10</f>
        <v>VITAMALT</v>
      </c>
      <c r="S10" s="475">
        <f t="shared" ref="S10:S31" si="1">VLOOKUP($B10,$R$3:$X$9,2,FALSE)</f>
        <v>14.2</v>
      </c>
      <c r="T10" s="475">
        <f t="shared" ref="T10:T31" si="2">VLOOKUP($B10,$R$3:$X$9,3,FALSE)</f>
        <v>14.6</v>
      </c>
      <c r="U10" s="297">
        <f t="shared" ref="U10:U31" si="3">VLOOKUP($B10,$R$3:$X$9,4,FALSE)</f>
        <v>0</v>
      </c>
      <c r="V10" s="297">
        <f t="shared" ref="V10:V31" si="4">VLOOKUP($B10,$R$3:$X$9,5,FALSE)</f>
        <v>0.13905092592592591</v>
      </c>
      <c r="W10" s="297">
        <f t="shared" ref="W10:W31" si="5">VLOOKUP($B10,$R$3:$X$9,6,FALSE)</f>
        <v>0.26041666666666669</v>
      </c>
      <c r="X10" s="297">
        <f t="shared" ref="X10:X31" si="6">VLOOKUP($B10,$R$3:$X$9,7,FALSE)</f>
        <v>0.2951388888888889</v>
      </c>
      <c r="Y10" s="297">
        <f t="shared" ref="Y10:Y31" si="7">VLOOKUP($B10,$R$3:$Z$9,8,FALSE)</f>
        <v>0</v>
      </c>
      <c r="Z10" s="475">
        <f t="shared" ref="Z10:Z31" si="8">VLOOKUP($B10,$R$3:$Z$9,9,FALSE)</f>
        <v>75</v>
      </c>
    </row>
    <row r="11" spans="2:29" ht="16.5" customHeight="1">
      <c r="B11" s="22" t="s">
        <v>33</v>
      </c>
      <c r="C11" s="366" t="str">
        <f>[22]Brewhouse!A118</f>
        <v>VM103</v>
      </c>
      <c r="D11" s="279">
        <f>[22]Brewhouse!AE118</f>
        <v>50.1</v>
      </c>
      <c r="E11" s="279">
        <f>[22]Brewhouse!AJ118</f>
        <v>47.64</v>
      </c>
      <c r="F11" s="278">
        <f>[22]Brewhouse!X118</f>
        <v>86</v>
      </c>
      <c r="G11" s="279">
        <f>[22]Brewhouse!AH118</f>
        <v>14.5</v>
      </c>
      <c r="H11" s="396">
        <v>14.4</v>
      </c>
      <c r="I11" s="368">
        <f>[22]Brewhouse!AV118</f>
        <v>98.028582302158853</v>
      </c>
      <c r="J11" s="368">
        <f>[22]Brewhouse!AW118</f>
        <v>98.137393705694635</v>
      </c>
      <c r="K11" s="281">
        <f>[22]Brewhouse!S118</f>
        <v>6.5069860279441079</v>
      </c>
      <c r="L11" s="276">
        <f>[22]Brewhouse!R118</f>
        <v>0</v>
      </c>
      <c r="M11" s="374">
        <f>[22]Brewhouse!$W118-[22]Brewhouse!$V118</f>
        <v>0.4</v>
      </c>
      <c r="N11" s="370">
        <f>[22]Brewhouse!AB118</f>
        <v>0.33402777777777781</v>
      </c>
      <c r="O11" s="371" t="str">
        <f>[22]Brewhouse!$AZ118</f>
        <v>R. Regis</v>
      </c>
      <c r="P11" s="418"/>
      <c r="R11" s="277" t="str">
        <f t="shared" si="0"/>
        <v>VITAMALT</v>
      </c>
      <c r="S11" s="475">
        <f t="shared" si="1"/>
        <v>14.2</v>
      </c>
      <c r="T11" s="475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5">
        <f t="shared" si="8"/>
        <v>75</v>
      </c>
    </row>
    <row r="12" spans="2:29" ht="16.5" customHeight="1">
      <c r="B12" s="22" t="s">
        <v>33</v>
      </c>
      <c r="C12" s="366" t="str">
        <f>[22]Brewhouse!A119</f>
        <v>VM104</v>
      </c>
      <c r="D12" s="279">
        <f>[22]Brewhouse!AE119</f>
        <v>50.1</v>
      </c>
      <c r="E12" s="279">
        <f>[22]Brewhouse!AJ119</f>
        <v>48.47</v>
      </c>
      <c r="F12" s="278">
        <f>[22]Brewhouse!X119</f>
        <v>87</v>
      </c>
      <c r="G12" s="279">
        <f>[22]Brewhouse!AH119</f>
        <v>14.3</v>
      </c>
      <c r="H12" s="396">
        <v>14.4</v>
      </c>
      <c r="I12" s="368">
        <f>[22]Brewhouse!AV119</f>
        <v>98.342963584113747</v>
      </c>
      <c r="J12" s="368">
        <f>[22]Brewhouse!AW119</f>
        <v>98.451671561811253</v>
      </c>
      <c r="K12" s="281">
        <f>[22]Brewhouse!S119</f>
        <v>7.3053892215568936</v>
      </c>
      <c r="L12" s="276">
        <f>[22]Brewhouse!R119</f>
        <v>0</v>
      </c>
      <c r="M12" s="374">
        <f>[22]Brewhouse!$W119-[22]Brewhouse!$V119</f>
        <v>0.14722222222222225</v>
      </c>
      <c r="N12" s="370">
        <f>[22]Brewhouse!AB119</f>
        <v>0.28611111111111109</v>
      </c>
      <c r="O12" s="371" t="str">
        <f>[22]Brewhouse!$AZ119</f>
        <v>R.Sookram</v>
      </c>
      <c r="P12" s="418"/>
      <c r="R12" s="277" t="str">
        <f t="shared" si="0"/>
        <v>VITAMALT</v>
      </c>
      <c r="S12" s="475">
        <f t="shared" si="1"/>
        <v>14.2</v>
      </c>
      <c r="T12" s="475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5">
        <f t="shared" si="8"/>
        <v>75</v>
      </c>
    </row>
    <row r="13" spans="2:29" ht="16.5" customHeight="1">
      <c r="B13" s="22" t="s">
        <v>33</v>
      </c>
      <c r="C13" s="366" t="str">
        <f>[22]Brewhouse!A120</f>
        <v>VM105</v>
      </c>
      <c r="D13" s="279">
        <f>[22]Brewhouse!AE120</f>
        <v>50.1</v>
      </c>
      <c r="E13" s="279">
        <f>[22]Brewhouse!AJ120</f>
        <v>46</v>
      </c>
      <c r="F13" s="278">
        <f>[22]Brewhouse!X120</f>
        <v>82</v>
      </c>
      <c r="G13" s="279">
        <f>[22]Brewhouse!AH120</f>
        <v>14.2</v>
      </c>
      <c r="H13" s="396">
        <v>14.4</v>
      </c>
      <c r="I13" s="368">
        <f>[22]Brewhouse!AV120</f>
        <v>92.7486882007221</v>
      </c>
      <c r="J13" s="368">
        <f>[22]Brewhouse!AW120</f>
        <v>92.850784741157824</v>
      </c>
      <c r="K13" s="281">
        <f>[22]Brewhouse!S120</f>
        <v>9.5009980039920112</v>
      </c>
      <c r="L13" s="276">
        <f>[22]Brewhouse!R120</f>
        <v>58</v>
      </c>
      <c r="M13" s="374">
        <f>[22]Brewhouse!$W120-[22]Brewhouse!$V120</f>
        <v>0.13263888888888886</v>
      </c>
      <c r="N13" s="370">
        <f>[22]Brewhouse!AB120</f>
        <v>0.2638888888888889</v>
      </c>
      <c r="O13" s="371" t="str">
        <f>[22]Brewhouse!$AZ120</f>
        <v>R.Sookram</v>
      </c>
      <c r="P13" s="418"/>
      <c r="R13" s="277" t="str">
        <f t="shared" si="0"/>
        <v>VITAMALT</v>
      </c>
      <c r="S13" s="475">
        <f t="shared" si="1"/>
        <v>14.2</v>
      </c>
      <c r="T13" s="475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5">
        <f t="shared" si="8"/>
        <v>75</v>
      </c>
    </row>
    <row r="14" spans="2:29" ht="16.5" customHeight="1">
      <c r="B14" s="22" t="s">
        <v>33</v>
      </c>
      <c r="C14" s="366" t="str">
        <f>[22]Brewhouse!A121</f>
        <v>VM106</v>
      </c>
      <c r="D14" s="279">
        <f>[22]Brewhouse!AE121</f>
        <v>50</v>
      </c>
      <c r="E14" s="279">
        <f>[22]Brewhouse!AJ121</f>
        <v>47.51</v>
      </c>
      <c r="F14" s="278">
        <f>[22]Brewhouse!X121</f>
        <v>85</v>
      </c>
      <c r="G14" s="279">
        <f>[22]Brewhouse!AH121</f>
        <v>14.4</v>
      </c>
      <c r="H14" s="396">
        <v>14.4</v>
      </c>
      <c r="I14" s="368">
        <f>[22]Brewhouse!AV121</f>
        <v>97.161230777271314</v>
      </c>
      <c r="J14" s="368">
        <f>[22]Brewhouse!AW121</f>
        <v>97.268632471540613</v>
      </c>
      <c r="K14" s="281">
        <f>[22]Brewhouse!S121</f>
        <v>7.3199999999999932</v>
      </c>
      <c r="L14" s="276">
        <f>[22]Brewhouse!R121</f>
        <v>60</v>
      </c>
      <c r="M14" s="374">
        <f>[22]Brewhouse!$W121-[22]Brewhouse!$V121</f>
        <v>0.1479166666666667</v>
      </c>
      <c r="N14" s="370">
        <f>[22]Brewhouse!AB121</f>
        <v>0.27569444444444446</v>
      </c>
      <c r="O14" s="371" t="str">
        <f>[22]Brewhouse!$AZ121</f>
        <v>K. Benjamin</v>
      </c>
      <c r="P14" s="418"/>
      <c r="R14" s="277" t="str">
        <f t="shared" si="0"/>
        <v>VITAMALT</v>
      </c>
      <c r="S14" s="475">
        <f t="shared" si="1"/>
        <v>14.2</v>
      </c>
      <c r="T14" s="475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5">
        <f t="shared" si="8"/>
        <v>75</v>
      </c>
    </row>
    <row r="15" spans="2:29" ht="16.5" customHeight="1">
      <c r="B15" s="22" t="s">
        <v>33</v>
      </c>
      <c r="C15" s="366" t="str">
        <f>[22]Brewhouse!A122</f>
        <v>VM107</v>
      </c>
      <c r="D15" s="279">
        <f>[22]Brewhouse!AE122</f>
        <v>50</v>
      </c>
      <c r="E15" s="279">
        <f>[22]Brewhouse!AJ122</f>
        <v>47.14</v>
      </c>
      <c r="F15" s="278">
        <f>[22]Brewhouse!X122</f>
        <v>79</v>
      </c>
      <c r="G15" s="279">
        <f>[22]Brewhouse!AH122</f>
        <v>14.2</v>
      </c>
      <c r="H15" s="396">
        <v>14.23</v>
      </c>
      <c r="I15" s="368">
        <f>[22]Brewhouse!AV122</f>
        <v>95.14697517548656</v>
      </c>
      <c r="J15" s="368">
        <f>[22]Brewhouse!AW122</f>
        <v>95.251272202737709</v>
      </c>
      <c r="K15" s="281">
        <f>[22]Brewhouse!S122</f>
        <v>3.1200000000000045</v>
      </c>
      <c r="L15" s="276">
        <f>[22]Brewhouse!R122</f>
        <v>62</v>
      </c>
      <c r="M15" s="374">
        <f>[22]Brewhouse!$W122-[22]Brewhouse!$V122</f>
        <v>0.14236111111111116</v>
      </c>
      <c r="N15" s="370">
        <f>[22]Brewhouse!AB122</f>
        <v>0.27986111111111112</v>
      </c>
      <c r="O15" s="371" t="str">
        <f>[22]Brewhouse!$AZ122</f>
        <v>K. Benjamin</v>
      </c>
      <c r="P15" s="418"/>
      <c r="R15" s="277" t="str">
        <f t="shared" si="0"/>
        <v>VITAMALT</v>
      </c>
      <c r="S15" s="475">
        <f t="shared" si="1"/>
        <v>14.2</v>
      </c>
      <c r="T15" s="475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5">
        <f t="shared" si="8"/>
        <v>75</v>
      </c>
    </row>
    <row r="16" spans="2:29" ht="16.5" customHeight="1">
      <c r="B16" s="22"/>
      <c r="C16" s="366"/>
      <c r="D16" s="279"/>
      <c r="E16" s="279"/>
      <c r="F16" s="278"/>
      <c r="G16" s="279"/>
      <c r="H16" s="469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528"/>
      <c r="J18" s="528"/>
      <c r="K18" s="528"/>
      <c r="L18" s="528"/>
      <c r="M18" s="528"/>
      <c r="N18" s="528"/>
      <c r="O18" s="1"/>
      <c r="P18" s="12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5.75" customHeight="1" thickBot="1">
      <c r="B19" s="388" t="s">
        <v>162</v>
      </c>
      <c r="C19" s="388"/>
      <c r="D19" s="506" t="s">
        <v>35</v>
      </c>
      <c r="E19" s="507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0"/>
        <v xml:space="preserve">BRAND 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5" customHeight="1">
      <c r="A20" s="28"/>
      <c r="B20" s="599" t="str">
        <f>I26</f>
        <v>STARMALT</v>
      </c>
      <c r="C20" s="362"/>
      <c r="D20" s="532"/>
      <c r="E20" s="533"/>
      <c r="F20" s="294"/>
      <c r="G20" s="294"/>
      <c r="H20" s="348"/>
      <c r="I20" s="29" t="s">
        <v>6</v>
      </c>
      <c r="J20" s="280"/>
      <c r="K20" s="284">
        <f>COUNTA([23]Brewhouse!$A$1005:$A$1014)</f>
        <v>10</v>
      </c>
      <c r="L20" s="305">
        <f>AVERAGE([23]Brewhouse!$AU$1005:$AU$1014)</f>
        <v>100.1822900793824</v>
      </c>
      <c r="M20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$1014)</f>
        <v>97.781543539345932</v>
      </c>
      <c r="N20" s="30">
        <v>98</v>
      </c>
      <c r="O20" s="11"/>
      <c r="P20" s="31"/>
      <c r="R20" s="277" t="str">
        <f t="shared" si="0"/>
        <v>STARMALT</v>
      </c>
      <c r="S20" s="475">
        <f t="shared" si="1"/>
        <v>17</v>
      </c>
      <c r="T20" s="475">
        <f t="shared" si="2"/>
        <v>17.399999999999999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475">
        <f t="shared" si="8"/>
        <v>85</v>
      </c>
    </row>
    <row r="21" spans="1:27" ht="15" customHeight="1">
      <c r="A21" s="28"/>
      <c r="B21" s="600"/>
      <c r="C21" s="362"/>
      <c r="D21" s="534"/>
      <c r="E21" s="535"/>
      <c r="F21" s="294"/>
      <c r="G21" s="294"/>
      <c r="H21" s="348"/>
      <c r="I21" s="33" t="s">
        <v>9</v>
      </c>
      <c r="J21" s="280"/>
      <c r="K21" s="284">
        <f>COUNTA([24]Brewhouse!$A$486:$A$507)</f>
        <v>22</v>
      </c>
      <c r="L21" s="302">
        <f>AVERAGE([24]Brewhouse!$AS$486:$AS$507)</f>
        <v>96.205239284964378</v>
      </c>
      <c r="M21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$507)</f>
        <v>97.772355128420955</v>
      </c>
      <c r="N21" s="30">
        <v>98</v>
      </c>
      <c r="O21" s="11"/>
      <c r="P21" s="31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4.65" customHeight="1">
      <c r="A22" s="28"/>
      <c r="B22" s="600"/>
      <c r="C22" s="362"/>
      <c r="D22" s="580"/>
      <c r="E22" s="581"/>
      <c r="F22" s="294"/>
      <c r="G22" s="294"/>
      <c r="H22" s="348"/>
      <c r="I22" s="34" t="s">
        <v>12</v>
      </c>
      <c r="J22" s="280"/>
      <c r="K22" s="284">
        <f>COUNTA([25]Brewhouse!$A$125:$A$132)</f>
        <v>8</v>
      </c>
      <c r="L22" s="302">
        <f>AVERAGE([25]Brewhouse!$AU$125:$AU$132)</f>
        <v>96.474285660381511</v>
      </c>
      <c r="M22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2" s="30">
        <v>98</v>
      </c>
      <c r="O22" s="11"/>
      <c r="P22" s="31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4.65" customHeight="1">
      <c r="A23" s="28"/>
      <c r="B23" s="600"/>
      <c r="C23" s="362"/>
      <c r="D23" s="547"/>
      <c r="E23" s="535"/>
      <c r="F23" s="294"/>
      <c r="G23" s="294"/>
      <c r="H23" s="348"/>
      <c r="I23" s="22" t="s">
        <v>33</v>
      </c>
      <c r="J23" s="280">
        <f>AVERAGE(I10:I15)</f>
        <v>95.758970011972792</v>
      </c>
      <c r="K23" s="284">
        <f>COUNTA([22]Brewhouse!$A$107:$A$122)</f>
        <v>16</v>
      </c>
      <c r="L23" s="302">
        <f>AVERAGE([22]Brewhouse!$AV$107:$AV$122)</f>
        <v>96.593037676437092</v>
      </c>
      <c r="M23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3" s="30">
        <v>98</v>
      </c>
      <c r="O23" s="11"/>
      <c r="P23" s="31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4.65" customHeight="1">
      <c r="A24" s="28"/>
      <c r="B24" s="600"/>
      <c r="C24" s="362"/>
      <c r="D24" s="580"/>
      <c r="E24" s="581"/>
      <c r="F24" s="417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4.65" customHeight="1">
      <c r="A25" s="28"/>
      <c r="B25" s="600"/>
      <c r="C25" s="362"/>
      <c r="D25" s="547"/>
      <c r="E25" s="535"/>
      <c r="F25" s="417"/>
      <c r="G25" s="294"/>
      <c r="H25" s="348"/>
      <c r="I25" s="36" t="s">
        <v>15</v>
      </c>
      <c r="J25" s="323"/>
      <c r="K25" s="284"/>
      <c r="L25" s="302"/>
      <c r="M25" s="302">
        <f>AVERAGE([26]Brewhouse!$AT$4:$AT$11,[26]Brewhouse!$AT$13:$AT$16,[26]Brewhouse!$AT$18:$AT$21,[26]Brewhouse!$AT$26,[26]Brewhouse!$AT$28:$AT$35)</f>
        <v>94.794664331624134</v>
      </c>
      <c r="N25" s="30">
        <v>98</v>
      </c>
      <c r="O25" s="11"/>
      <c r="P25" s="31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  <c r="AA25" s="475"/>
    </row>
    <row r="26" spans="1:27" ht="14.65" customHeight="1">
      <c r="A26" s="28"/>
      <c r="B26" s="600"/>
      <c r="C26" s="362"/>
      <c r="D26" s="580"/>
      <c r="E26" s="581"/>
      <c r="F26" s="417"/>
      <c r="G26" s="294"/>
      <c r="H26" s="348"/>
      <c r="I26" s="37" t="s">
        <v>16</v>
      </c>
      <c r="J26" s="323"/>
      <c r="K26" s="284">
        <f>COUNTA([27]Brewhouse!$A$99:$A$108)</f>
        <v>10</v>
      </c>
      <c r="L26" s="302">
        <f>AVERAGE([27]Brewhouse!$AY$99:$AY$108)</f>
        <v>97.413703162837948</v>
      </c>
      <c r="M26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26" s="30">
        <v>98</v>
      </c>
      <c r="O26" s="11"/>
      <c r="P26" s="31" t="s">
        <v>41</v>
      </c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  <c r="AA26" s="475"/>
    </row>
    <row r="27" spans="1:27" ht="14.65" customHeight="1">
      <c r="A27" s="28"/>
      <c r="B27" s="600"/>
      <c r="C27" s="362"/>
      <c r="D27" s="547"/>
      <c r="E27" s="535"/>
      <c r="F27" s="294"/>
      <c r="G27" s="294"/>
      <c r="H27" s="348"/>
      <c r="I27" s="411" t="s">
        <v>158</v>
      </c>
      <c r="J27" s="326"/>
      <c r="K27" s="284"/>
      <c r="L27" s="305"/>
      <c r="M27" s="305">
        <f>AVERAGE([28]Brewhouse!$AU$5:$AU$8,[28]Brewhouse!$AU$10:$AU$13,[27]Brewhouse!$AY$75:$AY$77)</f>
        <v>94.749192473706671</v>
      </c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  <c r="AA27" s="475"/>
    </row>
    <row r="28" spans="1:27" ht="14.65" customHeight="1">
      <c r="A28" s="28"/>
      <c r="B28" s="600"/>
      <c r="C28" s="349"/>
      <c r="D28" s="580"/>
      <c r="E28" s="581"/>
      <c r="F28" s="294"/>
      <c r="G28" s="294"/>
      <c r="H28" s="348"/>
      <c r="I28" s="410" t="s">
        <v>157</v>
      </c>
      <c r="J28" s="326"/>
      <c r="K28" s="284"/>
      <c r="L28" s="305"/>
      <c r="M28" s="305">
        <f>AVERAGE([29]Brewhouse!$AW$26:$AW$27)</f>
        <v>95.310680905194914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  <c r="AA28" s="475"/>
    </row>
    <row r="29" spans="1:27" ht="15" customHeight="1" thickBot="1">
      <c r="A29" s="28"/>
      <c r="B29" s="600"/>
      <c r="C29" s="349"/>
      <c r="D29" s="547"/>
      <c r="E29" s="535"/>
      <c r="F29" s="294"/>
      <c r="G29" s="294"/>
      <c r="H29" s="348"/>
      <c r="I29" s="406" t="s">
        <v>156</v>
      </c>
      <c r="J29" s="327"/>
      <c r="K29" s="407"/>
      <c r="L29" s="408"/>
      <c r="M29" s="408">
        <f>AVERAGE([30]Brewhouse!$AU$13:$AU$14)</f>
        <v>97.110575243268045</v>
      </c>
      <c r="N29" s="409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  <c r="AA29" s="475"/>
    </row>
    <row r="30" spans="1:27" ht="15" customHeight="1" thickBot="1">
      <c r="A30" s="28"/>
      <c r="B30" s="600"/>
      <c r="C30" s="349"/>
      <c r="D30" s="532"/>
      <c r="E30" s="533"/>
      <c r="F30" s="294"/>
      <c r="G30" s="294"/>
      <c r="H30" s="348"/>
      <c r="I30" s="1"/>
      <c r="J30" s="39"/>
      <c r="K30" s="404">
        <f>SUM(K20:K29)</f>
        <v>66</v>
      </c>
      <c r="L30" s="405">
        <f>((L20*K20)+(L21*K21)+(L22*K22)+(L23*K23)+(L24*K24)+(K27*L27)+(L25*K25)+(L26*K26)+(L29*K29))/(K30)</f>
        <v>97.117546739355532</v>
      </c>
      <c r="M30" s="405">
        <f>AVERAGE('[31]Jan 31st'!$L$65,'[32]Feb 28th'!$L$35,'[33]Mar. 31st'!$L$35,'[34]Apr. 30th'!$L$45,'[35]May 30th'!$L$37,'[36]June 30th'!$L$57,'[37]July 29th '!$L$44,'[38]Aug 29th'!$L$29,'[39]Sept 30th'!$L$35,L30)</f>
        <v>97.529704913617337</v>
      </c>
      <c r="N30" s="4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5.75" thickBot="1">
      <c r="B31" s="601"/>
      <c r="C31" s="350"/>
      <c r="D31" s="534"/>
      <c r="E31" s="535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5.75" thickBot="1">
      <c r="B32" s="529" t="str">
        <f>I23</f>
        <v>VITAMALT</v>
      </c>
      <c r="C32" s="362"/>
      <c r="D32" s="545"/>
      <c r="E32" s="546"/>
      <c r="F32" s="294"/>
      <c r="G32" s="42"/>
      <c r="H32" s="41"/>
      <c r="I32" s="42"/>
      <c r="J32" s="579" t="s">
        <v>129</v>
      </c>
      <c r="K32" s="579"/>
      <c r="L32" s="294"/>
      <c r="M32" s="294"/>
      <c r="N32" s="294"/>
      <c r="O32" s="294"/>
      <c r="P32" s="12"/>
    </row>
    <row r="33" spans="2:56" ht="15.75" thickBot="1">
      <c r="B33" s="530"/>
      <c r="C33" s="362"/>
      <c r="D33" s="547"/>
      <c r="E33" s="535"/>
      <c r="F33" s="294"/>
      <c r="G33" s="42"/>
      <c r="H33" s="42"/>
      <c r="I33" s="42"/>
      <c r="J33" s="292" t="s">
        <v>17</v>
      </c>
      <c r="K33" s="293" t="s">
        <v>147</v>
      </c>
      <c r="L33" s="549" t="s">
        <v>136</v>
      </c>
      <c r="M33" s="549"/>
      <c r="N33" s="550"/>
      <c r="O33" s="294"/>
      <c r="P33" s="12"/>
    </row>
    <row r="34" spans="2:56" ht="15" customHeight="1" thickBot="1">
      <c r="B34" s="530"/>
      <c r="C34" s="349"/>
      <c r="D34" s="580"/>
      <c r="E34" s="581"/>
      <c r="F34" s="294"/>
      <c r="G34" s="42"/>
      <c r="H34" s="42"/>
      <c r="I34" s="42"/>
      <c r="J34" s="287" t="s">
        <v>6</v>
      </c>
      <c r="K34" s="324"/>
      <c r="L34" s="476" t="s">
        <v>37</v>
      </c>
      <c r="M34" s="477" t="s">
        <v>38</v>
      </c>
      <c r="N34" s="477" t="s">
        <v>84</v>
      </c>
      <c r="O34" s="294"/>
      <c r="P34" s="12"/>
    </row>
    <row r="35" spans="2:56" ht="15.75" customHeight="1" thickBot="1">
      <c r="B35" s="530"/>
      <c r="C35" s="349"/>
      <c r="D35" s="547"/>
      <c r="E35" s="535"/>
      <c r="F35" s="294"/>
      <c r="G35" s="42"/>
      <c r="H35" s="42"/>
      <c r="I35" s="42"/>
      <c r="J35" s="345" t="s">
        <v>9</v>
      </c>
      <c r="K35" s="324"/>
      <c r="L35" s="344">
        <f>AVERAGE('Dec 1st'!K43,'Dec 2nd'!K49,'Dec 3rd '!K58,'Dec 4th'!K51,'Dec 5th-7th'!I70,'Dec 5th-7th'!J70,'Dec 5th-7th'!K70,'Dec 8th '!K49,'Dec 9th'!K49,'Dec 12th-14th'!K44,'Dec 11th'!K53,'Dec 10th'!K61)</f>
        <v>5.833333333333333</v>
      </c>
      <c r="M35" s="325">
        <f>AVERAGE('[31]Jan 29th '!$M$70,'[32]Feb 28th'!$L$40,'[33]Mar. 31st'!$L$40,'[34]Apr. 30th'!$L$50,'[35]May 30th'!$L$42,'[36]June 30th'!$L$62,'[37]July 29th '!$L$49,'[38]Aug 29th'!$L$34,'[39]Sept 30th'!$L$40,[40]Oct.31st!$L$43,'[41]Nov 28th-30th'!$L$45,L35)</f>
        <v>6.8756421956507765</v>
      </c>
      <c r="N35" s="416">
        <v>9.1999999999999993</v>
      </c>
      <c r="O35" s="294"/>
      <c r="P35" s="12"/>
    </row>
    <row r="36" spans="2:56" ht="15" customHeight="1">
      <c r="B36" s="530"/>
      <c r="C36" s="349"/>
      <c r="D36" s="580"/>
      <c r="E36" s="581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30"/>
      <c r="C37" s="349"/>
      <c r="D37" s="547"/>
      <c r="E37" s="535"/>
      <c r="F37" s="294"/>
      <c r="G37" s="42"/>
      <c r="H37" s="42"/>
      <c r="I37" s="42"/>
      <c r="J37" s="289" t="s">
        <v>33</v>
      </c>
      <c r="K37" s="324">
        <v>6</v>
      </c>
      <c r="L37" s="294"/>
      <c r="M37" s="294"/>
      <c r="N37" s="294"/>
      <c r="O37" s="294"/>
      <c r="P37" s="12"/>
    </row>
    <row r="38" spans="2:56" ht="15">
      <c r="B38" s="530"/>
      <c r="C38" s="349"/>
      <c r="D38" s="580"/>
      <c r="E38" s="581"/>
      <c r="F38" s="294"/>
      <c r="G38" s="42"/>
      <c r="H38" s="42"/>
      <c r="I38" s="42"/>
      <c r="J38" s="290" t="s">
        <v>16</v>
      </c>
      <c r="K38" s="324"/>
      <c r="L38" s="294"/>
      <c r="M38" s="294"/>
      <c r="N38" s="294"/>
      <c r="O38" s="294"/>
      <c r="P38" s="12"/>
      <c r="BC38" s="44"/>
      <c r="BD38" s="44"/>
    </row>
    <row r="39" spans="2:56" ht="15">
      <c r="B39" s="530"/>
      <c r="C39" s="349"/>
      <c r="D39" s="547"/>
      <c r="E39" s="535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30"/>
      <c r="C40" s="349"/>
      <c r="D40" s="580"/>
      <c r="E40" s="581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31"/>
      <c r="C41" s="350"/>
      <c r="D41" s="582"/>
      <c r="E41" s="583"/>
      <c r="F41" s="294" t="s">
        <v>166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77"/>
      <c r="E42" s="578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6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J45" s="42"/>
      <c r="L45" s="294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57" t="s">
        <v>17</v>
      </c>
      <c r="C47" s="557" t="s">
        <v>44</v>
      </c>
      <c r="D47" s="559" t="s">
        <v>45</v>
      </c>
      <c r="E47" s="514" t="s">
        <v>46</v>
      </c>
      <c r="F47" s="574" t="s">
        <v>47</v>
      </c>
      <c r="G47" s="568" t="s">
        <v>48</v>
      </c>
      <c r="H47" s="557" t="s">
        <v>49</v>
      </c>
      <c r="I47" s="557" t="s">
        <v>50</v>
      </c>
      <c r="J47" s="562" t="s">
        <v>28</v>
      </c>
      <c r="K47" s="512" t="s">
        <v>51</v>
      </c>
      <c r="L47" s="524" t="s">
        <v>52</v>
      </c>
      <c r="M47" s="562" t="s">
        <v>53</v>
      </c>
      <c r="N47" s="13"/>
      <c r="O47" s="13"/>
      <c r="P47" s="50"/>
    </row>
    <row r="48" spans="2:56" ht="28.5" customHeight="1" thickTop="1" thickBot="1">
      <c r="B48" s="558"/>
      <c r="C48" s="558"/>
      <c r="D48" s="560"/>
      <c r="E48" s="561"/>
      <c r="F48" s="575"/>
      <c r="G48" s="569"/>
      <c r="H48" s="576"/>
      <c r="I48" s="576"/>
      <c r="J48" s="563"/>
      <c r="K48" s="572"/>
      <c r="L48" s="573"/>
      <c r="M48" s="563"/>
      <c r="N48" s="13"/>
      <c r="O48" s="13"/>
      <c r="P48" s="50"/>
      <c r="Q48" s="355"/>
      <c r="AB48" s="478">
        <v>43474</v>
      </c>
      <c r="AC48" s="478">
        <v>43475</v>
      </c>
      <c r="AD48" s="478">
        <v>43476</v>
      </c>
      <c r="AE48" s="478">
        <v>43477</v>
      </c>
      <c r="AF48" s="478">
        <v>43478</v>
      </c>
      <c r="AG48" s="478">
        <v>43479</v>
      </c>
      <c r="AH48" s="478">
        <v>43480</v>
      </c>
      <c r="AI48" s="478">
        <v>43481</v>
      </c>
      <c r="AJ48" s="478">
        <v>43482</v>
      </c>
      <c r="AK48" s="478">
        <v>43483</v>
      </c>
      <c r="AL48" s="478">
        <v>43484</v>
      </c>
      <c r="AM48" s="478">
        <v>43485</v>
      </c>
      <c r="AN48" s="478">
        <v>43486</v>
      </c>
      <c r="AO48" s="478">
        <v>43487</v>
      </c>
      <c r="AP48" s="478">
        <v>43488</v>
      </c>
      <c r="AQ48" s="478">
        <v>43489</v>
      </c>
      <c r="AR48" s="478">
        <v>43490</v>
      </c>
      <c r="AS48" s="478">
        <v>43491</v>
      </c>
      <c r="AT48" s="478">
        <v>43492</v>
      </c>
      <c r="AU48" s="478">
        <v>43493</v>
      </c>
      <c r="AV48" s="478">
        <v>43494</v>
      </c>
      <c r="AW48" s="478">
        <v>43495</v>
      </c>
      <c r="AX48" s="478">
        <v>43496</v>
      </c>
    </row>
    <row r="49" spans="2:57" s="54" customFormat="1" ht="43.15" customHeight="1" thickBot="1">
      <c r="B49" s="494" t="str">
        <f>J38</f>
        <v>STARMALT</v>
      </c>
      <c r="C49" s="441">
        <v>46002</v>
      </c>
      <c r="D49" s="442">
        <f>[42]December_2025!$O$55</f>
        <v>310</v>
      </c>
      <c r="E49" s="443"/>
      <c r="F49" s="444"/>
      <c r="G49" s="444">
        <f>[42]December_2025!$O$59</f>
        <v>306.2</v>
      </c>
      <c r="H49" s="458"/>
      <c r="I49" s="458"/>
      <c r="J49" s="448" t="s">
        <v>173</v>
      </c>
      <c r="K49" s="449">
        <f>[43]December_2025!$O$53</f>
        <v>0.53719298245614033</v>
      </c>
      <c r="L49" s="486">
        <f>(((D49+E49)-G49)/(D49+E49))*100</f>
        <v>1.225806451612907</v>
      </c>
      <c r="M49" s="455" t="s">
        <v>189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[20]January_2019!L7</f>
        <v>285.8</v>
      </c>
      <c r="AC49" s="57">
        <f>[20]January_2019!M7</f>
        <v>508.1</v>
      </c>
      <c r="AD49" s="57">
        <f>[20]January_2019!N7</f>
        <v>0</v>
      </c>
      <c r="AE49" s="57">
        <f>[20]January_2019!O7</f>
        <v>0</v>
      </c>
      <c r="AF49" s="57">
        <f>[20]January_2019!P7</f>
        <v>109.56666666666666</v>
      </c>
      <c r="AG49" s="57">
        <f>[20]January_2019!Q7</f>
        <v>297.64999999999998</v>
      </c>
      <c r="AH49" s="57">
        <f>[20]January_2019!R7</f>
        <v>122.3</v>
      </c>
      <c r="AI49" s="57">
        <f>[20]January_2019!S7</f>
        <v>0</v>
      </c>
      <c r="AJ49" s="57">
        <f>[20]January_2019!T7</f>
        <v>294.7</v>
      </c>
      <c r="AK49" s="57">
        <f>[20]January_2019!U7</f>
        <v>280.5</v>
      </c>
      <c r="AL49" s="57">
        <f>[20]January_2019!V7</f>
        <v>0</v>
      </c>
      <c r="AM49" s="57">
        <f>[20]January_2019!W7</f>
        <v>0</v>
      </c>
      <c r="AN49" s="57">
        <f>[20]January_2019!X7</f>
        <v>188.25</v>
      </c>
      <c r="AO49" s="57">
        <f>[20]January_2019!Y7</f>
        <v>295.7</v>
      </c>
      <c r="AP49" s="57">
        <f>[20]January_2019!Z7</f>
        <v>257.8</v>
      </c>
      <c r="AQ49" s="57">
        <f>[20]January_2019!AA7</f>
        <v>291.2</v>
      </c>
      <c r="AR49" s="57">
        <f>[20]January_2019!AB7</f>
        <v>187</v>
      </c>
      <c r="AS49" s="57">
        <f>[20]January_2019!AC7</f>
        <v>0</v>
      </c>
      <c r="AT49" s="57">
        <f>[20]January_2019!AD7</f>
        <v>0</v>
      </c>
      <c r="AU49" s="57">
        <f>[20]January_2019!AE7</f>
        <v>485.1</v>
      </c>
      <c r="AV49" s="57">
        <f>[20]January_2019!AF7</f>
        <v>171.55</v>
      </c>
      <c r="AW49" s="57">
        <f>[20]January_2019!AG7</f>
        <v>423.8</v>
      </c>
      <c r="AX49" s="277">
        <f>[20]January_2019!AH7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20.45" customHeight="1" thickBot="1">
      <c r="B50" s="468"/>
      <c r="C50" s="430"/>
      <c r="D50" s="431"/>
      <c r="E50" s="432"/>
      <c r="F50" s="433"/>
      <c r="G50" s="434"/>
      <c r="H50" s="428"/>
      <c r="I50" s="42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450000000000003" customHeight="1" thickBot="1">
      <c r="B51" s="490" t="str">
        <f>J37</f>
        <v>VITAMALT</v>
      </c>
      <c r="C51" s="441">
        <v>46005</v>
      </c>
      <c r="D51" s="442">
        <f>[42]December_2025!$Q$65</f>
        <v>282.84999999999997</v>
      </c>
      <c r="E51" s="443">
        <f>SUM([44]VITAMALT!$J$17:$J$22)</f>
        <v>12.299999999999999</v>
      </c>
      <c r="F51" s="444"/>
      <c r="G51" s="445">
        <f>[42]December_2025!$Q$70</f>
        <v>285.5</v>
      </c>
      <c r="H51" s="458"/>
      <c r="I51" s="458"/>
      <c r="J51" s="448" t="s">
        <v>186</v>
      </c>
      <c r="K51" s="460">
        <f>[43]December_2025!$O$60</f>
        <v>1.0017543859649123</v>
      </c>
      <c r="L51" s="457">
        <f>(((D51+E51)-G51)/(D51+E51))*100</f>
        <v>3.2695239708622661</v>
      </c>
      <c r="M51" s="455" t="s">
        <v>179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.75" hidden="1" thickBot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59"/>
      <c r="C53" s="441"/>
      <c r="D53" s="442"/>
      <c r="E53" s="443"/>
      <c r="F53" s="444"/>
      <c r="G53" s="445"/>
      <c r="H53" s="446"/>
      <c r="I53" s="447"/>
      <c r="J53" s="448"/>
      <c r="K53" s="449"/>
      <c r="L53" s="457"/>
      <c r="M53" s="454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>
      <c r="B56" s="467"/>
      <c r="C56" s="430"/>
      <c r="D56" s="461"/>
      <c r="E56" s="462"/>
      <c r="F56" s="463"/>
      <c r="G56" s="461"/>
      <c r="H56" s="464"/>
      <c r="I56" s="464"/>
      <c r="J56" s="464"/>
      <c r="K56" s="465"/>
      <c r="L56" s="466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64" t="s">
        <v>55</v>
      </c>
      <c r="C58" s="565"/>
      <c r="D58" s="565"/>
      <c r="E58" s="565"/>
      <c r="F58" s="566"/>
      <c r="G58" s="564" t="s">
        <v>56</v>
      </c>
      <c r="H58" s="565"/>
      <c r="I58" s="565"/>
      <c r="J58" s="566"/>
      <c r="K58" s="564" t="s">
        <v>51</v>
      </c>
      <c r="L58" s="565"/>
      <c r="M58" s="565"/>
      <c r="N58" s="567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282"/>
      <c r="D60" s="76">
        <v>6.2340316811445922</v>
      </c>
      <c r="E60" s="76">
        <v>6.0773431397377013</v>
      </c>
      <c r="F60" s="66">
        <v>4.8</v>
      </c>
      <c r="G60" s="65"/>
      <c r="H60" s="491">
        <v>5.6485075406120568</v>
      </c>
      <c r="I60" s="76">
        <v>5.9917086961662607</v>
      </c>
      <c r="J60" s="66">
        <v>4.8</v>
      </c>
      <c r="K60" s="67"/>
      <c r="L60" s="194">
        <v>0.45889473684210524</v>
      </c>
      <c r="M60" s="194">
        <v>0.72186132308783935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1.5625804017083973</v>
      </c>
      <c r="E61" s="76">
        <v>5.5960664917440779</v>
      </c>
      <c r="F61" s="66">
        <v>4.8</v>
      </c>
      <c r="G61" s="65"/>
      <c r="H61" s="76">
        <v>2.1472714173633256</v>
      </c>
      <c r="I61" s="76">
        <v>6.1167972180873393</v>
      </c>
      <c r="J61" s="66">
        <v>4.8</v>
      </c>
      <c r="K61" s="67"/>
      <c r="L61" s="194">
        <v>0.45210526315789473</v>
      </c>
      <c r="M61" s="194">
        <v>0.67706581940207577</v>
      </c>
      <c r="N61" s="68">
        <v>1</v>
      </c>
      <c r="P61" s="69"/>
    </row>
    <row r="62" spans="2:57" ht="15">
      <c r="B62" s="34" t="s">
        <v>40</v>
      </c>
      <c r="C62" s="65"/>
      <c r="D62" s="76">
        <v>12.618296529968443</v>
      </c>
      <c r="E62" s="76">
        <v>11.122539172358353</v>
      </c>
      <c r="F62" s="66">
        <v>5.5</v>
      </c>
      <c r="G62" s="65"/>
      <c r="H62" s="76">
        <v>12.288892572095527</v>
      </c>
      <c r="I62" s="76">
        <v>12.520142311925225</v>
      </c>
      <c r="J62" s="66">
        <v>5.5</v>
      </c>
      <c r="K62" s="67"/>
      <c r="L62" s="194">
        <v>0.31587719298245615</v>
      </c>
      <c r="M62" s="194">
        <v>0.50769967246157732</v>
      </c>
      <c r="N62" s="68">
        <v>1</v>
      </c>
      <c r="P62" s="69"/>
    </row>
    <row r="63" spans="2:57" ht="15">
      <c r="B63" s="22" t="s">
        <v>33</v>
      </c>
      <c r="C63" s="65">
        <f>L51</f>
        <v>3.2695239708622661</v>
      </c>
      <c r="D63" s="76">
        <v>3.7426398119835098</v>
      </c>
      <c r="E63" s="76">
        <v>4.4918713689673408</v>
      </c>
      <c r="F63" s="66">
        <v>3.3</v>
      </c>
      <c r="G63" s="65">
        <f>[42]December_2025!$Q$74</f>
        <v>2.3146263223707226</v>
      </c>
      <c r="H63" s="76">
        <v>2.884540034691927</v>
      </c>
      <c r="I63" s="76">
        <v>4.189075062989712</v>
      </c>
      <c r="J63" s="66">
        <v>3.3</v>
      </c>
      <c r="K63" s="67">
        <f>K51</f>
        <v>1.0017543859649123</v>
      </c>
      <c r="L63" s="194">
        <v>0.77900584795321637</v>
      </c>
      <c r="M63" s="194">
        <v>0.82191692466460264</v>
      </c>
      <c r="N63" s="68">
        <v>1</v>
      </c>
      <c r="P63" s="69"/>
    </row>
    <row r="64" spans="2:57" ht="15">
      <c r="B64" s="35" t="s">
        <v>164</v>
      </c>
      <c r="C64" s="65"/>
      <c r="D64" s="76"/>
      <c r="E64" s="76">
        <v>7.837301587301579</v>
      </c>
      <c r="F64" s="66">
        <v>3.3</v>
      </c>
      <c r="G64" s="282"/>
      <c r="H64" s="76"/>
      <c r="I64" s="76">
        <v>5.3377569154690221</v>
      </c>
      <c r="J64" s="66">
        <v>3</v>
      </c>
      <c r="K64" s="67"/>
      <c r="L64" s="194"/>
      <c r="M64" s="194">
        <v>0.32596491228070179</v>
      </c>
      <c r="N64" s="68">
        <v>1</v>
      </c>
      <c r="P64" s="69"/>
    </row>
    <row r="65" spans="2:16" ht="15">
      <c r="B65" s="36" t="s">
        <v>15</v>
      </c>
      <c r="C65" s="65"/>
      <c r="D65" s="76"/>
      <c r="E65" s="76">
        <v>6.8851328044153277</v>
      </c>
      <c r="F65" s="70">
        <f>[21]May_2022!$M$43</f>
        <v>3.4878406700073312</v>
      </c>
      <c r="G65" s="282"/>
      <c r="H65" s="76"/>
      <c r="I65" s="76">
        <v>8.6614709463340702</v>
      </c>
      <c r="J65" s="66">
        <v>5.5</v>
      </c>
      <c r="K65" s="67"/>
      <c r="L65" s="194"/>
      <c r="M65" s="194">
        <v>0.73160818713450293</v>
      </c>
      <c r="N65" s="68">
        <v>1</v>
      </c>
      <c r="P65" s="69"/>
    </row>
    <row r="66" spans="2:16" ht="15">
      <c r="B66" s="37" t="s">
        <v>16</v>
      </c>
      <c r="C66" s="65">
        <f>L49</f>
        <v>1.225806451612907</v>
      </c>
      <c r="D66" s="76">
        <v>1.6037551339722365</v>
      </c>
      <c r="E66" s="76">
        <v>2.7893641905668773</v>
      </c>
      <c r="F66" s="66">
        <v>3.3</v>
      </c>
      <c r="G66" s="282">
        <f>[42]December_2025!$O$63</f>
        <v>2.8881300129592913</v>
      </c>
      <c r="H66" s="76">
        <v>6.7972810536378629</v>
      </c>
      <c r="I66" s="76">
        <v>4.5354505140007557</v>
      </c>
      <c r="J66" s="66">
        <v>3.3</v>
      </c>
      <c r="K66" s="67">
        <f>K49</f>
        <v>0.53719298245614033</v>
      </c>
      <c r="L66" s="194">
        <v>0.61403508771929827</v>
      </c>
      <c r="M66" s="194">
        <v>0.81650775633749528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>
        <v>11.483253588516746</v>
      </c>
      <c r="F67" s="66">
        <v>7.5</v>
      </c>
      <c r="G67" s="282"/>
      <c r="H67" s="76"/>
      <c r="I67" s="76">
        <v>9.7934336121043764</v>
      </c>
      <c r="J67" s="66">
        <v>7.5</v>
      </c>
      <c r="K67" s="67"/>
      <c r="M67" s="194">
        <v>0.32456140350877194</v>
      </c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>
        <v>7.2653644592663174</v>
      </c>
      <c r="F68" s="66">
        <v>4.8</v>
      </c>
      <c r="G68" s="282"/>
      <c r="H68" s="76"/>
      <c r="I68" s="76">
        <v>8.1715311054411259</v>
      </c>
      <c r="J68" s="66">
        <v>4.8</v>
      </c>
      <c r="K68" s="67"/>
      <c r="L68" s="194"/>
      <c r="M68" s="194">
        <v>0.51368421052631585</v>
      </c>
      <c r="N68" s="71">
        <v>1</v>
      </c>
      <c r="O68" s="74"/>
      <c r="P68" s="75"/>
    </row>
    <row r="69" spans="2:16" ht="15">
      <c r="D69" s="76">
        <v>5.0509742365877299</v>
      </c>
      <c r="E69" s="76">
        <v>6.0606702020440508</v>
      </c>
      <c r="F69" s="341">
        <v>5.5</v>
      </c>
      <c r="H69" s="76">
        <v>5.6169114488186072</v>
      </c>
      <c r="I69" s="76">
        <v>6.4945945006961647</v>
      </c>
      <c r="J69" s="341">
        <v>5.5</v>
      </c>
      <c r="L69" s="194">
        <v>0.55172953216374265</v>
      </c>
      <c r="M69" s="194">
        <v>0.69800326797385637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58:F58"/>
    <mergeCell ref="G58:J58"/>
    <mergeCell ref="K58:N58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2211" priority="46" operator="notBetween">
      <formula>#REF!</formula>
      <formula>#REF!</formula>
    </cfRule>
  </conditionalFormatting>
  <conditionalFormatting sqref="C46">
    <cfRule type="cellIs" dxfId="2210" priority="192" stopIfTrue="1" operator="greaterThan">
      <formula>100</formula>
    </cfRule>
    <cfRule type="cellIs" dxfId="2209" priority="191" stopIfTrue="1" operator="lessThan">
      <formula>96</formula>
    </cfRule>
  </conditionalFormatting>
  <conditionalFormatting sqref="C60:C64">
    <cfRule type="cellIs" dxfId="2208" priority="145" stopIfTrue="1" operator="lessThanOrEqual">
      <formula>0</formula>
    </cfRule>
  </conditionalFormatting>
  <conditionalFormatting sqref="C60:C68">
    <cfRule type="cellIs" dxfId="2207" priority="144" stopIfTrue="1" operator="greaterThan">
      <formula>$F60</formula>
    </cfRule>
  </conditionalFormatting>
  <conditionalFormatting sqref="C61">
    <cfRule type="cellIs" dxfId="2206" priority="195" stopIfTrue="1" operator="greaterThan">
      <formula>$F60</formula>
    </cfRule>
  </conditionalFormatting>
  <conditionalFormatting sqref="C65">
    <cfRule type="cellIs" dxfId="2205" priority="85" stopIfTrue="1" operator="greaterThan">
      <formula>$F64</formula>
    </cfRule>
    <cfRule type="cellIs" dxfId="2204" priority="84" stopIfTrue="1" operator="lessThanOrEqual">
      <formula>0</formula>
    </cfRule>
  </conditionalFormatting>
  <conditionalFormatting sqref="C71:C75">
    <cfRule type="cellIs" dxfId="2203" priority="183" stopIfTrue="1" operator="lessThanOrEqual">
      <formula>0</formula>
    </cfRule>
  </conditionalFormatting>
  <conditionalFormatting sqref="C72:C75">
    <cfRule type="cellIs" dxfId="2202" priority="182" stopIfTrue="1" operator="greaterThan">
      <formula>$F$71</formula>
    </cfRule>
  </conditionalFormatting>
  <conditionalFormatting sqref="C77">
    <cfRule type="cellIs" dxfId="2201" priority="184" stopIfTrue="1" operator="greaterThan">
      <formula>$F$71</formula>
    </cfRule>
    <cfRule type="cellIs" dxfId="2200" priority="185" stopIfTrue="1" operator="lessThanOrEqual">
      <formula>0</formula>
    </cfRule>
  </conditionalFormatting>
  <conditionalFormatting sqref="C71:D71 D73:D79">
    <cfRule type="cellIs" dxfId="2199" priority="177" stopIfTrue="1" operator="greaterThan">
      <formula>4.5</formula>
    </cfRule>
  </conditionalFormatting>
  <conditionalFormatting sqref="D42:D43">
    <cfRule type="cellIs" dxfId="2198" priority="47" operator="notBetween">
      <formula>#REF!</formula>
      <formula>#REF!</formula>
    </cfRule>
  </conditionalFormatting>
  <conditionalFormatting sqref="D60:D67">
    <cfRule type="cellIs" dxfId="2197" priority="157" stopIfTrue="1" operator="lessThanOrEqual">
      <formula>0</formula>
    </cfRule>
  </conditionalFormatting>
  <conditionalFormatting sqref="D68">
    <cfRule type="cellIs" dxfId="2196" priority="156" stopIfTrue="1" operator="lessThanOrEqual">
      <formula>0</formula>
    </cfRule>
  </conditionalFormatting>
  <conditionalFormatting sqref="D71 D73:D79">
    <cfRule type="cellIs" dxfId="2195" priority="178" stopIfTrue="1" operator="lessThanOrEqual">
      <formula>0</formula>
    </cfRule>
  </conditionalFormatting>
  <conditionalFormatting sqref="D72">
    <cfRule type="cellIs" dxfId="2194" priority="169" stopIfTrue="1" operator="greaterThan">
      <formula>$F$71</formula>
    </cfRule>
    <cfRule type="cellIs" dxfId="2193" priority="170" stopIfTrue="1" operator="lessThanOrEqual">
      <formula>0</formula>
    </cfRule>
  </conditionalFormatting>
  <conditionalFormatting sqref="D60:E69">
    <cfRule type="cellIs" dxfId="2192" priority="142" stopIfTrue="1" operator="greaterThan">
      <formula>$F60</formula>
    </cfRule>
  </conditionalFormatting>
  <conditionalFormatting sqref="D69:E69">
    <cfRule type="cellIs" dxfId="2191" priority="143" stopIfTrue="1" operator="lessThanOrEqual">
      <formula>0</formula>
    </cfRule>
  </conditionalFormatting>
  <conditionalFormatting sqref="E10:E17">
    <cfRule type="cellIs" dxfId="2190" priority="9" operator="lessThan">
      <formula>48</formula>
    </cfRule>
  </conditionalFormatting>
  <conditionalFormatting sqref="E45 E46:F46">
    <cfRule type="cellIs" dxfId="2189" priority="174" stopIfTrue="1" operator="greaterThan">
      <formula>100</formula>
    </cfRule>
  </conditionalFormatting>
  <conditionalFormatting sqref="E46">
    <cfRule type="cellIs" dxfId="2188" priority="171" stopIfTrue="1" operator="lessThan">
      <formula>96.8</formula>
    </cfRule>
    <cfRule type="cellIs" dxfId="2187" priority="172" stopIfTrue="1" operator="greaterThan">
      <formula>100</formula>
    </cfRule>
  </conditionalFormatting>
  <conditionalFormatting sqref="E60:E68">
    <cfRule type="cellIs" dxfId="2186" priority="153" stopIfTrue="1" operator="lessThanOrEqual">
      <formula>0</formula>
    </cfRule>
  </conditionalFormatting>
  <conditionalFormatting sqref="E71:E79">
    <cfRule type="cellIs" dxfId="2185" priority="164" stopIfTrue="1" operator="lessThanOrEqual">
      <formula>0</formula>
    </cfRule>
    <cfRule type="cellIs" dxfId="2184" priority="163" stopIfTrue="1" operator="greaterThan">
      <formula>4.5</formula>
    </cfRule>
  </conditionalFormatting>
  <conditionalFormatting sqref="E46:F46 E45">
    <cfRule type="cellIs" dxfId="2183" priority="173" stopIfTrue="1" operator="lessThan">
      <formula>96.5</formula>
    </cfRule>
  </conditionalFormatting>
  <conditionalFormatting sqref="F10:F17">
    <cfRule type="cellIs" dxfId="2182" priority="10" operator="greaterThan">
      <formula>60</formula>
    </cfRule>
  </conditionalFormatting>
  <conditionalFormatting sqref="F46">
    <cfRule type="cellIs" dxfId="2181" priority="190" stopIfTrue="1" operator="greaterThan">
      <formula>100</formula>
    </cfRule>
    <cfRule type="cellIs" dxfId="2180" priority="189" stopIfTrue="1" operator="lessThan">
      <formula>96.8</formula>
    </cfRule>
  </conditionalFormatting>
  <conditionalFormatting sqref="F69">
    <cfRule type="cellIs" dxfId="2179" priority="155" stopIfTrue="1" operator="lessThanOrEqual">
      <formula>0</formula>
    </cfRule>
    <cfRule type="cellIs" dxfId="2178" priority="154" stopIfTrue="1" operator="greaterThan">
      <formula>$F69</formula>
    </cfRule>
  </conditionalFormatting>
  <conditionalFormatting sqref="G10:G17 H17">
    <cfRule type="expression" dxfId="2177" priority="41">
      <formula>IF(+(IF(G10&lt;#REF!,0,IF(G10&gt;#REF!,0,1)))=0,1)</formula>
    </cfRule>
  </conditionalFormatting>
  <conditionalFormatting sqref="G60:G61 C66:C68">
    <cfRule type="cellIs" dxfId="2176" priority="159" stopIfTrue="1" operator="lessThanOrEqual">
      <formula>0</formula>
    </cfRule>
  </conditionalFormatting>
  <conditionalFormatting sqref="G60:G61">
    <cfRule type="cellIs" dxfId="2175" priority="146" stopIfTrue="1" operator="greaterThan">
      <formula>$F60</formula>
    </cfRule>
    <cfRule type="cellIs" dxfId="2174" priority="147" stopIfTrue="1" operator="lessThanOrEqual">
      <formula>0</formula>
    </cfRule>
    <cfRule type="cellIs" dxfId="2173" priority="158" stopIfTrue="1" operator="greaterThan">
      <formula>$F60</formula>
    </cfRule>
  </conditionalFormatting>
  <conditionalFormatting sqref="G62">
    <cfRule type="cellIs" dxfId="2172" priority="193" stopIfTrue="1" operator="greaterThan">
      <formula>$F61</formula>
    </cfRule>
    <cfRule type="cellIs" dxfId="2171" priority="194" stopIfTrue="1" operator="lessThanOrEqual">
      <formula>0</formula>
    </cfRule>
  </conditionalFormatting>
  <conditionalFormatting sqref="G63">
    <cfRule type="cellIs" dxfId="2170" priority="44" stopIfTrue="1" operator="greaterThan">
      <formula>$F63</formula>
    </cfRule>
    <cfRule type="cellIs" dxfId="2169" priority="45" stopIfTrue="1" operator="lessThanOrEqual">
      <formula>0</formula>
    </cfRule>
    <cfRule type="cellIs" dxfId="2168" priority="43" stopIfTrue="1" operator="lessThanOrEqual">
      <formula>0</formula>
    </cfRule>
    <cfRule type="cellIs" dxfId="2167" priority="42" stopIfTrue="1" operator="greaterThan">
      <formula>$F63</formula>
    </cfRule>
  </conditionalFormatting>
  <conditionalFormatting sqref="G64:G68">
    <cfRule type="cellIs" dxfId="2166" priority="161" stopIfTrue="1" operator="lessThanOrEqual">
      <formula>0</formula>
    </cfRule>
    <cfRule type="cellIs" dxfId="2165" priority="160" stopIfTrue="1" operator="greaterThan">
      <formula>$J64</formula>
    </cfRule>
  </conditionalFormatting>
  <conditionalFormatting sqref="G73:G78 C76 C78">
    <cfRule type="cellIs" dxfId="2164" priority="186" stopIfTrue="1" operator="greaterThan">
      <formula>4.5</formula>
    </cfRule>
    <cfRule type="cellIs" dxfId="2163" priority="187" stopIfTrue="1" operator="lessThanOrEqual">
      <formula>0</formula>
    </cfRule>
  </conditionalFormatting>
  <conditionalFormatting sqref="G72:H72">
    <cfRule type="cellIs" dxfId="2162" priority="167" stopIfTrue="1" operator="greaterThan">
      <formula>$F$71</formula>
    </cfRule>
    <cfRule type="cellIs" dxfId="2161" priority="168" stopIfTrue="1" operator="lessThanOrEqual">
      <formula>0</formula>
    </cfRule>
  </conditionalFormatting>
  <conditionalFormatting sqref="H31:H32 H45">
    <cfRule type="cellIs" dxfId="2160" priority="165" stopIfTrue="1" operator="greaterThan">
      <formula>0</formula>
    </cfRule>
  </conditionalFormatting>
  <conditionalFormatting sqref="H49">
    <cfRule type="cellIs" dxfId="2159" priority="28" stopIfTrue="1" operator="lessThanOrEqual">
      <formula>0</formula>
    </cfRule>
    <cfRule type="cellIs" dxfId="2158" priority="29" stopIfTrue="1" operator="greaterThan">
      <formula>$F$64</formula>
    </cfRule>
    <cfRule type="cellIs" dxfId="2157" priority="40" stopIfTrue="1" operator="lessThanOrEqual">
      <formula>0</formula>
    </cfRule>
    <cfRule type="cellIs" dxfId="2156" priority="38" stopIfTrue="1" operator="lessThanOrEqual">
      <formula>0</formula>
    </cfRule>
    <cfRule type="cellIs" dxfId="2155" priority="39" stopIfTrue="1" operator="greaterThan">
      <formula>$F$65</formula>
    </cfRule>
    <cfRule type="cellIs" dxfId="2154" priority="37" stopIfTrue="1" operator="greaterThan">
      <formula>$F$67</formula>
    </cfRule>
  </conditionalFormatting>
  <conditionalFormatting sqref="H50">
    <cfRule type="cellIs" dxfId="2153" priority="101" stopIfTrue="1" operator="lessThanOrEqual">
      <formula>0</formula>
    </cfRule>
    <cfRule type="cellIs" dxfId="2152" priority="102" stopIfTrue="1" operator="greaterThan">
      <formula>#REF!</formula>
    </cfRule>
    <cfRule type="cellIs" dxfId="2151" priority="112" stopIfTrue="1" operator="greaterThan">
      <formula>#REF!</formula>
    </cfRule>
    <cfRule type="cellIs" dxfId="2150" priority="111" stopIfTrue="1" operator="lessThanOrEqual">
      <formula>0</formula>
    </cfRule>
    <cfRule type="cellIs" dxfId="2149" priority="110" stopIfTrue="1" operator="greaterThan">
      <formula>$F$18</formula>
    </cfRule>
    <cfRule type="cellIs" dxfId="2148" priority="113" stopIfTrue="1" operator="lessThanOrEqual">
      <formula>0</formula>
    </cfRule>
  </conditionalFormatting>
  <conditionalFormatting sqref="H51">
    <cfRule type="cellIs" dxfId="2147" priority="80" stopIfTrue="1" operator="greaterThan">
      <formula>$F$64</formula>
    </cfRule>
    <cfRule type="cellIs" dxfId="2146" priority="72" stopIfTrue="1" operator="greaterThan">
      <formula>$F$61</formula>
    </cfRule>
    <cfRule type="cellIs" dxfId="2145" priority="82" stopIfTrue="1" operator="greaterThan">
      <formula>$F$62</formula>
    </cfRule>
    <cfRule type="cellIs" dxfId="2144" priority="83" stopIfTrue="1" operator="lessThanOrEqual">
      <formula>0</formula>
    </cfRule>
    <cfRule type="cellIs" dxfId="2143" priority="71" stopIfTrue="1" operator="lessThanOrEqual">
      <formula>0</formula>
    </cfRule>
    <cfRule type="cellIs" dxfId="2142" priority="81" stopIfTrue="1" operator="lessThanOrEqual">
      <formula>0</formula>
    </cfRule>
  </conditionalFormatting>
  <conditionalFormatting sqref="H52:H53">
    <cfRule type="cellIs" dxfId="2141" priority="96" stopIfTrue="1" operator="greaterThan">
      <formula>$F$17</formula>
    </cfRule>
    <cfRule type="cellIs" dxfId="2140" priority="98" stopIfTrue="1" operator="greaterThan">
      <formula>#REF!</formula>
    </cfRule>
    <cfRule type="cellIs" dxfId="2139" priority="99" stopIfTrue="1" operator="lessThanOrEqual">
      <formula>0</formula>
    </cfRule>
    <cfRule type="cellIs" dxfId="2138" priority="87" stopIfTrue="1" operator="lessThanOrEqual">
      <formula>0</formula>
    </cfRule>
    <cfRule type="cellIs" dxfId="2137" priority="88" stopIfTrue="1" operator="greaterThan">
      <formula>#REF!</formula>
    </cfRule>
    <cfRule type="cellIs" dxfId="2136" priority="97" stopIfTrue="1" operator="lessThanOrEqual">
      <formula>0</formula>
    </cfRule>
  </conditionalFormatting>
  <conditionalFormatting sqref="H54">
    <cfRule type="cellIs" dxfId="2135" priority="125" stopIfTrue="1" operator="greaterThan">
      <formula>$F$33</formula>
    </cfRule>
    <cfRule type="cellIs" dxfId="2134" priority="126" stopIfTrue="1" operator="lessThanOrEqual">
      <formula>0</formula>
    </cfRule>
    <cfRule type="cellIs" dxfId="2133" priority="127" stopIfTrue="1" operator="greaterThan">
      <formula>$F$31</formula>
    </cfRule>
    <cfRule type="cellIs" dxfId="2132" priority="128" stopIfTrue="1" operator="lessThanOrEqual">
      <formula>0</formula>
    </cfRule>
    <cfRule type="cellIs" dxfId="2131" priority="116" stopIfTrue="1" operator="lessThanOrEqual">
      <formula>0</formula>
    </cfRule>
    <cfRule type="cellIs" dxfId="2130" priority="117" stopIfTrue="1" operator="greaterThan">
      <formula>$F$30</formula>
    </cfRule>
  </conditionalFormatting>
  <conditionalFormatting sqref="H55:H56">
    <cfRule type="cellIs" dxfId="2129" priority="66" stopIfTrue="1" operator="greaterThan">
      <formula>$F$17</formula>
    </cfRule>
    <cfRule type="cellIs" dxfId="2128" priority="57" stopIfTrue="1" operator="lessThanOrEqual">
      <formula>0</formula>
    </cfRule>
    <cfRule type="cellIs" dxfId="2127" priority="58" stopIfTrue="1" operator="greaterThan">
      <formula>#REF!</formula>
    </cfRule>
    <cfRule type="cellIs" dxfId="2126" priority="67" stopIfTrue="1" operator="lessThanOrEqual">
      <formula>0</formula>
    </cfRule>
    <cfRule type="cellIs" dxfId="2125" priority="68" stopIfTrue="1" operator="greaterThan">
      <formula>#REF!</formula>
    </cfRule>
    <cfRule type="cellIs" dxfId="2124" priority="69" stopIfTrue="1" operator="lessThanOrEqual">
      <formula>0</formula>
    </cfRule>
  </conditionalFormatting>
  <conditionalFormatting sqref="H60:H67">
    <cfRule type="cellIs" dxfId="2123" priority="149" stopIfTrue="1" operator="lessThanOrEqual">
      <formula>0</formula>
    </cfRule>
    <cfRule type="cellIs" dxfId="2122" priority="148" stopIfTrue="1" operator="greaterThan">
      <formula>$J60</formula>
    </cfRule>
  </conditionalFormatting>
  <conditionalFormatting sqref="H68">
    <cfRule type="cellIs" dxfId="2121" priority="150" operator="greaterThan">
      <formula>5.3</formula>
    </cfRule>
  </conditionalFormatting>
  <conditionalFormatting sqref="H71 H73:H79">
    <cfRule type="cellIs" dxfId="2120" priority="180" stopIfTrue="1" operator="lessThanOrEqual">
      <formula>0</formula>
    </cfRule>
    <cfRule type="cellIs" dxfId="2119" priority="179" stopIfTrue="1" operator="greaterThan">
      <formula>4.5</formula>
    </cfRule>
  </conditionalFormatting>
  <conditionalFormatting sqref="H49:I49">
    <cfRule type="cellIs" dxfId="2118" priority="27" stopIfTrue="1" operator="greaterThan">
      <formula>$F$66</formula>
    </cfRule>
    <cfRule type="cellIs" dxfId="2117" priority="30" stopIfTrue="1" operator="lessThanOrEqual">
      <formula>0</formula>
    </cfRule>
  </conditionalFormatting>
  <conditionalFormatting sqref="H50:I50">
    <cfRule type="cellIs" dxfId="2116" priority="103" stopIfTrue="1" operator="lessThanOrEqual">
      <formula>0</formula>
    </cfRule>
    <cfRule type="cellIs" dxfId="2115" priority="100" stopIfTrue="1" operator="greaterThan">
      <formula>$F$17</formula>
    </cfRule>
  </conditionalFormatting>
  <conditionalFormatting sqref="H51:I51">
    <cfRule type="cellIs" dxfId="2114" priority="70" stopIfTrue="1" operator="greaterThan">
      <formula>$F$63</formula>
    </cfRule>
    <cfRule type="cellIs" dxfId="2113" priority="73" stopIfTrue="1" operator="lessThanOrEqual">
      <formula>0</formula>
    </cfRule>
  </conditionalFormatting>
  <conditionalFormatting sqref="H52:I53">
    <cfRule type="cellIs" dxfId="2112" priority="86" stopIfTrue="1" operator="greaterThan">
      <formula>#REF!</formula>
    </cfRule>
    <cfRule type="cellIs" dxfId="2111" priority="89" stopIfTrue="1" operator="lessThanOrEqual">
      <formula>0</formula>
    </cfRule>
  </conditionalFormatting>
  <conditionalFormatting sqref="H54:I54">
    <cfRule type="cellIs" dxfId="2110" priority="115" stopIfTrue="1" operator="greaterThan">
      <formula>$F$32</formula>
    </cfRule>
    <cfRule type="cellIs" dxfId="2109" priority="118" stopIfTrue="1" operator="lessThanOrEqual">
      <formula>0</formula>
    </cfRule>
  </conditionalFormatting>
  <conditionalFormatting sqref="H55:I56">
    <cfRule type="cellIs" dxfId="2108" priority="59" stopIfTrue="1" operator="lessThanOrEqual">
      <formula>0</formula>
    </cfRule>
    <cfRule type="cellIs" dxfId="2107" priority="56" stopIfTrue="1" operator="greaterThan">
      <formula>#REF!</formula>
    </cfRule>
  </conditionalFormatting>
  <conditionalFormatting sqref="H69:I69">
    <cfRule type="cellIs" dxfId="2106" priority="140" stopIfTrue="1" operator="greaterThan">
      <formula>$J69</formula>
    </cfRule>
    <cfRule type="cellIs" dxfId="2105" priority="141" stopIfTrue="1" operator="lessThanOrEqual">
      <formula>0</formula>
    </cfRule>
  </conditionalFormatting>
  <conditionalFormatting sqref="I49">
    <cfRule type="cellIs" dxfId="2104" priority="34" stopIfTrue="1" operator="lessThanOrEqual">
      <formula>0</formula>
    </cfRule>
    <cfRule type="cellIs" dxfId="2103" priority="32" stopIfTrue="1" operator="lessThanOrEqual">
      <formula>0</formula>
    </cfRule>
    <cfRule type="cellIs" dxfId="2102" priority="33" stopIfTrue="1" operator="greaterThan">
      <formula>$F$66</formula>
    </cfRule>
    <cfRule type="cellIs" dxfId="2101" priority="31" stopIfTrue="1" operator="greaterThan">
      <formula>$F$64</formula>
    </cfRule>
    <cfRule type="cellIs" dxfId="2100" priority="36" stopIfTrue="1" operator="lessThanOrEqual">
      <formula>0</formula>
    </cfRule>
    <cfRule type="cellIs" dxfId="2099" priority="35" stopIfTrue="1" operator="greaterThan">
      <formula>$F$64</formula>
    </cfRule>
  </conditionalFormatting>
  <conditionalFormatting sqref="I50">
    <cfRule type="cellIs" dxfId="2098" priority="106" stopIfTrue="1" operator="greaterThan">
      <formula>$F$17</formula>
    </cfRule>
    <cfRule type="cellIs" dxfId="2097" priority="108" stopIfTrue="1" operator="greaterThan">
      <formula>#REF!</formula>
    </cfRule>
    <cfRule type="cellIs" dxfId="2096" priority="107" stopIfTrue="1" operator="lessThanOrEqual">
      <formula>0</formula>
    </cfRule>
    <cfRule type="cellIs" dxfId="2095" priority="109" stopIfTrue="1" operator="lessThanOrEqual">
      <formula>0</formula>
    </cfRule>
    <cfRule type="cellIs" dxfId="2094" priority="105" stopIfTrue="1" operator="lessThanOrEqual">
      <formula>0</formula>
    </cfRule>
    <cfRule type="cellIs" dxfId="2093" priority="104" stopIfTrue="1" operator="greaterThan">
      <formula>#REF!</formula>
    </cfRule>
  </conditionalFormatting>
  <conditionalFormatting sqref="I51">
    <cfRule type="cellIs" dxfId="2092" priority="75" stopIfTrue="1" operator="lessThanOrEqual">
      <formula>0</formula>
    </cfRule>
    <cfRule type="cellIs" dxfId="2091" priority="76" stopIfTrue="1" operator="greaterThan">
      <formula>$F$63</formula>
    </cfRule>
    <cfRule type="cellIs" dxfId="2090" priority="77" stopIfTrue="1" operator="lessThanOrEqual">
      <formula>0</formula>
    </cfRule>
    <cfRule type="cellIs" dxfId="2089" priority="78" stopIfTrue="1" operator="greaterThan">
      <formula>$F$61</formula>
    </cfRule>
    <cfRule type="cellIs" dxfId="2088" priority="74" stopIfTrue="1" operator="greaterThan">
      <formula>$F$61</formula>
    </cfRule>
    <cfRule type="cellIs" dxfId="2087" priority="79" stopIfTrue="1" operator="lessThanOrEqual">
      <formula>0</formula>
    </cfRule>
  </conditionalFormatting>
  <conditionalFormatting sqref="I52:I53">
    <cfRule type="cellIs" dxfId="2086" priority="94" stopIfTrue="1" operator="greaterThan">
      <formula>#REF!</formula>
    </cfRule>
    <cfRule type="cellIs" dxfId="2085" priority="95" stopIfTrue="1" operator="lessThanOrEqual">
      <formula>0</formula>
    </cfRule>
    <cfRule type="cellIs" dxfId="2084" priority="90" stopIfTrue="1" operator="greaterThan">
      <formula>#REF!</formula>
    </cfRule>
    <cfRule type="cellIs" dxfId="2083" priority="93" stopIfTrue="1" operator="lessThanOrEqual">
      <formula>0</formula>
    </cfRule>
    <cfRule type="cellIs" dxfId="2082" priority="92" stopIfTrue="1" operator="greaterThan">
      <formula>#REF!</formula>
    </cfRule>
    <cfRule type="cellIs" dxfId="2081" priority="91" stopIfTrue="1" operator="lessThanOrEqual">
      <formula>0</formula>
    </cfRule>
  </conditionalFormatting>
  <conditionalFormatting sqref="I54">
    <cfRule type="cellIs" dxfId="2080" priority="124" stopIfTrue="1" operator="lessThanOrEqual">
      <formula>0</formula>
    </cfRule>
    <cfRule type="cellIs" dxfId="2079" priority="121" stopIfTrue="1" operator="greaterThan">
      <formula>$F$32</formula>
    </cfRule>
    <cfRule type="cellIs" dxfId="2078" priority="119" stopIfTrue="1" operator="greaterThan">
      <formula>$F$30</formula>
    </cfRule>
    <cfRule type="cellIs" dxfId="2077" priority="120" stopIfTrue="1" operator="lessThanOrEqual">
      <formula>0</formula>
    </cfRule>
    <cfRule type="cellIs" dxfId="2076" priority="122" stopIfTrue="1" operator="lessThanOrEqual">
      <formula>0</formula>
    </cfRule>
    <cfRule type="cellIs" dxfId="2075" priority="123" stopIfTrue="1" operator="greaterThan">
      <formula>$F$30</formula>
    </cfRule>
  </conditionalFormatting>
  <conditionalFormatting sqref="I55:I56">
    <cfRule type="cellIs" dxfId="2074" priority="63" stopIfTrue="1" operator="lessThanOrEqual">
      <formula>0</formula>
    </cfRule>
    <cfRule type="cellIs" dxfId="2073" priority="62" stopIfTrue="1" operator="greaterThan">
      <formula>#REF!</formula>
    </cfRule>
    <cfRule type="cellIs" dxfId="2072" priority="61" stopIfTrue="1" operator="lessThanOrEqual">
      <formula>0</formula>
    </cfRule>
    <cfRule type="cellIs" dxfId="2071" priority="60" stopIfTrue="1" operator="greaterThan">
      <formula>#REF!</formula>
    </cfRule>
    <cfRule type="cellIs" dxfId="2070" priority="65" stopIfTrue="1" operator="lessThanOrEqual">
      <formula>0</formula>
    </cfRule>
    <cfRule type="cellIs" dxfId="2069" priority="64" stopIfTrue="1" operator="greaterThan">
      <formula>#REF!</formula>
    </cfRule>
  </conditionalFormatting>
  <conditionalFormatting sqref="I60:I68">
    <cfRule type="cellIs" dxfId="2068" priority="152" stopIfTrue="1" operator="lessThanOrEqual">
      <formula>0</formula>
    </cfRule>
    <cfRule type="cellIs" dxfId="2067" priority="151" stopIfTrue="1" operator="greaterThan">
      <formula>$J60</formula>
    </cfRule>
  </conditionalFormatting>
  <conditionalFormatting sqref="I71:I79">
    <cfRule type="cellIs" dxfId="2066" priority="176" stopIfTrue="1" operator="lessThanOrEqual">
      <formula>0</formula>
    </cfRule>
    <cfRule type="cellIs" dxfId="2065" priority="175" stopIfTrue="1" operator="greaterThan">
      <formula>4.5</formula>
    </cfRule>
  </conditionalFormatting>
  <conditionalFormatting sqref="I10:J17">
    <cfRule type="cellIs" dxfId="2064" priority="17" operator="lessThan">
      <formula>97.9</formula>
    </cfRule>
  </conditionalFormatting>
  <conditionalFormatting sqref="J21:J22">
    <cfRule type="cellIs" dxfId="2063" priority="130" stopIfTrue="1" operator="lessThan">
      <formula>96.8</formula>
    </cfRule>
    <cfRule type="cellIs" dxfId="2062" priority="132" operator="lessThan">
      <formula>98</formula>
    </cfRule>
    <cfRule type="cellIs" dxfId="2061" priority="131" stopIfTrue="1" operator="greaterThan">
      <formula>100</formula>
    </cfRule>
  </conditionalFormatting>
  <conditionalFormatting sqref="J21:J24">
    <cfRule type="cellIs" dxfId="2060" priority="129" operator="lessThan">
      <formula>97.4</formula>
    </cfRule>
  </conditionalFormatting>
  <conditionalFormatting sqref="J25:J26">
    <cfRule type="cellIs" dxfId="2059" priority="133" operator="lessThan">
      <formula>98</formula>
    </cfRule>
  </conditionalFormatting>
  <conditionalFormatting sqref="J27:J28">
    <cfRule type="cellIs" dxfId="2058" priority="134" stopIfTrue="1" operator="lessThan">
      <formula>96.8</formula>
    </cfRule>
    <cfRule type="cellIs" dxfId="2057" priority="135" stopIfTrue="1" operator="greaterThan">
      <formula>100</formula>
    </cfRule>
  </conditionalFormatting>
  <conditionalFormatting sqref="J27:J29">
    <cfRule type="cellIs" dxfId="2056" priority="136" operator="lessThan">
      <formula>98</formula>
    </cfRule>
  </conditionalFormatting>
  <conditionalFormatting sqref="J56">
    <cfRule type="cellIs" dxfId="2055" priority="55" stopIfTrue="1" operator="lessThanOrEqual">
      <formula>0</formula>
    </cfRule>
    <cfRule type="cellIs" dxfId="2054" priority="54" stopIfTrue="1" operator="greaterThan">
      <formula>#REF!</formula>
    </cfRule>
    <cfRule type="cellIs" dxfId="2053" priority="53" stopIfTrue="1" operator="lessThanOrEqual">
      <formula>0</formula>
    </cfRule>
    <cfRule type="cellIs" dxfId="2052" priority="52" stopIfTrue="1" operator="greaterThan">
      <formula>#REF!</formula>
    </cfRule>
    <cfRule type="cellIs" dxfId="2051" priority="51" stopIfTrue="1" operator="lessThanOrEqual">
      <formula>0</formula>
    </cfRule>
    <cfRule type="cellIs" dxfId="2050" priority="50" stopIfTrue="1" operator="greaterThan">
      <formula>#REF!</formula>
    </cfRule>
    <cfRule type="cellIs" dxfId="2049" priority="49" stopIfTrue="1" operator="lessThanOrEqual">
      <formula>0</formula>
    </cfRule>
    <cfRule type="cellIs" dxfId="2048" priority="48" stopIfTrue="1" operator="greaterThan">
      <formula>#REF!</formula>
    </cfRule>
  </conditionalFormatting>
  <conditionalFormatting sqref="J69">
    <cfRule type="cellIs" dxfId="2047" priority="138" stopIfTrue="1" operator="lessThanOrEqual">
      <formula>0</formula>
    </cfRule>
    <cfRule type="cellIs" dxfId="2046" priority="137" stopIfTrue="1" operator="greaterThan">
      <formula>$F69</formula>
    </cfRule>
  </conditionalFormatting>
  <conditionalFormatting sqref="K10:K17">
    <cfRule type="cellIs" dxfId="2045" priority="20" operator="greaterThan">
      <formula>6.4</formula>
    </cfRule>
    <cfRule type="cellIs" dxfId="2044" priority="19" operator="lessThan">
      <formula>4</formula>
    </cfRule>
    <cfRule type="cellIs" dxfId="2043" priority="18" operator="greaterThan">
      <formula>6</formula>
    </cfRule>
  </conditionalFormatting>
  <conditionalFormatting sqref="K49:K56 K60:N66 K67 M67:N67 K68:N68">
    <cfRule type="cellIs" dxfId="2042" priority="114" stopIfTrue="1" operator="lessThan">
      <formula>100%</formula>
    </cfRule>
  </conditionalFormatting>
  <conditionalFormatting sqref="K71:K76">
    <cfRule type="cellIs" dxfId="2041" priority="181" stopIfTrue="1" operator="lessThan">
      <formula>100%</formula>
    </cfRule>
  </conditionalFormatting>
  <conditionalFormatting sqref="K78:K79">
    <cfRule type="cellIs" dxfId="2040" priority="188" stopIfTrue="1" operator="lessThan">
      <formula>100%</formula>
    </cfRule>
  </conditionalFormatting>
  <conditionalFormatting sqref="L10:L17">
    <cfRule type="cellIs" dxfId="2039" priority="26" operator="greaterThan">
      <formula>65</formula>
    </cfRule>
    <cfRule type="cellIs" dxfId="2038" priority="25" operator="between">
      <formula>61</formula>
      <formula>65</formula>
    </cfRule>
  </conditionalFormatting>
  <conditionalFormatting sqref="L20:M31">
    <cfRule type="cellIs" dxfId="2037" priority="14" operator="lessThan">
      <formula>97.95</formula>
    </cfRule>
  </conditionalFormatting>
  <conditionalFormatting sqref="L35:N35">
    <cfRule type="cellIs" dxfId="2036" priority="15" operator="notEqual">
      <formula>#REF!</formula>
    </cfRule>
  </conditionalFormatting>
  <conditionalFormatting sqref="L69:N69">
    <cfRule type="cellIs" dxfId="2035" priority="139" stopIfTrue="1" operator="lessThan">
      <formula>100%</formula>
    </cfRule>
  </conditionalFormatting>
  <conditionalFormatting sqref="L71:N79">
    <cfRule type="cellIs" dxfId="2034" priority="166" stopIfTrue="1" operator="lessThan">
      <formula>100%</formula>
    </cfRule>
  </conditionalFormatting>
  <conditionalFormatting sqref="M10:M16">
    <cfRule type="expression" dxfId="2033" priority="23">
      <formula>IF(+(IF(M10&lt;U10,0,IF(M10&gt;V10,0,1)))=0,1)</formula>
    </cfRule>
  </conditionalFormatting>
  <conditionalFormatting sqref="M17:N17">
    <cfRule type="expression" dxfId="2032" priority="196">
      <formula>IF(+(IF(M17&lt;#REF!,0,IF(M17&gt;#REF!,0,1)))=0,1)</formula>
    </cfRule>
  </conditionalFormatting>
  <conditionalFormatting sqref="N10:N16">
    <cfRule type="expression" dxfId="2031" priority="16">
      <formula>IF(+(IF(N10&lt;W10,0,IF(N10&gt;X10,0,1)))=0,1)</formula>
    </cfRule>
  </conditionalFormatting>
  <conditionalFormatting sqref="P6">
    <cfRule type="cellIs" dxfId="2030" priority="162" operator="greaterThanOrEqual">
      <formula>19</formula>
    </cfRule>
  </conditionalFormatting>
  <dataValidations count="1">
    <dataValidation type="list" allowBlank="1" showInputMessage="1" showErrorMessage="1" sqref="R8" xr:uid="{AF3228D6-D81A-45AC-A9D4-596EA081C38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8D87-CBC8-4A6C-A61B-53FA8CBDF06F}">
  <sheetPr>
    <pageSetUpPr fitToPage="1"/>
  </sheetPr>
  <dimension ref="A1:BE74"/>
  <sheetViews>
    <sheetView topLeftCell="A17" zoomScale="80" zoomScaleNormal="80" workbookViewId="0">
      <selection activeCell="N10" sqref="N10:N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46007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[23]Brewhouse!$A1015</f>
        <v>CA899</v>
      </c>
      <c r="D10" s="279">
        <f>[23]Brewhouse!$AF1015</f>
        <v>49.3</v>
      </c>
      <c r="E10" s="279">
        <f>[23]Brewhouse!$AI1015</f>
        <v>49.7</v>
      </c>
      <c r="F10" s="278">
        <f>[23]Brewhouse!$V1015</f>
        <v>58</v>
      </c>
      <c r="G10" s="279">
        <f>[23]Brewhouse!AG1015</f>
        <v>11.8</v>
      </c>
      <c r="H10" s="396">
        <v>20.6</v>
      </c>
      <c r="I10" s="368">
        <f>[23]Brewhouse!$AU1015</f>
        <v>97.233230116004364</v>
      </c>
      <c r="J10" s="368">
        <f>[23]Brewhouse!$AV1015</f>
        <v>97.73726513226724</v>
      </c>
      <c r="K10" s="281">
        <f>[23]Brewhouse!$Q1015</f>
        <v>8.5122410546139413</v>
      </c>
      <c r="L10" s="276">
        <f>[23]Brewhouse!$P1015</f>
        <v>60</v>
      </c>
      <c r="M10" s="397">
        <f>[23]Brewhouse!$U1015-[23]Brewhouse!$T1015</f>
        <v>0.1118055555555556</v>
      </c>
      <c r="N10" s="370">
        <f>[23]Brewhouse!$Z1015</f>
        <v>0.2368055555555556</v>
      </c>
      <c r="O10" s="420" t="str">
        <f>[23]Brewhouse!$AX1015</f>
        <v>R. Regis</v>
      </c>
      <c r="P10" s="418"/>
      <c r="R10" s="277" t="str">
        <f t="shared" ref="R10:R16" si="0">B10</f>
        <v>CARIB</v>
      </c>
      <c r="S10" s="475">
        <f t="shared" ref="S10:S16" si="1">VLOOKUP($B10,$R$3:$X$9,2,FALSE)</f>
        <v>11.6</v>
      </c>
      <c r="T10" s="475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5">
        <f t="shared" ref="Z10:Z16" si="8">VLOOKUP($B10,$R$3:$Z$9,9,FALSE)</f>
        <v>60</v>
      </c>
    </row>
    <row r="11" spans="2:29" ht="16.5" customHeight="1">
      <c r="B11" s="29" t="s">
        <v>6</v>
      </c>
      <c r="C11" s="366" t="str">
        <f>[23]Brewhouse!$A1016</f>
        <v>CA900</v>
      </c>
      <c r="D11" s="279">
        <f>[23]Brewhouse!$AF1016</f>
        <v>51.6</v>
      </c>
      <c r="E11" s="279">
        <f>[23]Brewhouse!$AI1016</f>
        <v>49.3</v>
      </c>
      <c r="F11" s="278">
        <f>[23]Brewhouse!$V1016</f>
        <v>59</v>
      </c>
      <c r="G11" s="279">
        <f>[23]Brewhouse!AG1016</f>
        <v>11.6</v>
      </c>
      <c r="H11" s="396">
        <v>21.6</v>
      </c>
      <c r="I11" s="368">
        <f>[23]Brewhouse!$AU1016</f>
        <v>94.965784179967628</v>
      </c>
      <c r="J11" s="368">
        <f>[23]Brewhouse!$AV1016</f>
        <v>95.457985597058538</v>
      </c>
      <c r="K11" s="281">
        <f>[23]Brewhouse!$Q1016</f>
        <v>4.9340866290018788</v>
      </c>
      <c r="L11" s="276">
        <f>[23]Brewhouse!$P1016</f>
        <v>60</v>
      </c>
      <c r="M11" s="397">
        <f>[23]Brewhouse!$U1016-[23]Brewhouse!$T1016</f>
        <v>0.11249999999999999</v>
      </c>
      <c r="N11" s="370">
        <f>[23]Brewhouse!$Z1016</f>
        <v>0.25416666666666665</v>
      </c>
      <c r="O11" s="420" t="str">
        <f>[23]Brewhouse!$AX1016</f>
        <v>R. Regis</v>
      </c>
      <c r="P11" s="418"/>
      <c r="R11" s="277" t="str">
        <f t="shared" si="0"/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[23]Brewhouse!$A1017</f>
        <v>CA901</v>
      </c>
      <c r="D12" s="279">
        <f>[23]Brewhouse!$AF1017</f>
        <v>51</v>
      </c>
      <c r="E12" s="279">
        <f>[23]Brewhouse!$AI1017</f>
        <v>49.6</v>
      </c>
      <c r="F12" s="278">
        <f>[23]Brewhouse!$V1017</f>
        <v>65</v>
      </c>
      <c r="G12" s="279">
        <f>[23]Brewhouse!AG1017</f>
        <v>11.7</v>
      </c>
      <c r="H12" s="396">
        <v>22.6</v>
      </c>
      <c r="I12" s="368">
        <f>[23]Brewhouse!$AU1017</f>
        <v>96.291553543309107</v>
      </c>
      <c r="J12" s="368">
        <f>[23]Brewhouse!$AV1017</f>
        <v>96.790666778758975</v>
      </c>
      <c r="K12" s="281">
        <f>[23]Brewhouse!$Q1017</f>
        <v>5.3107344632768365</v>
      </c>
      <c r="L12" s="276">
        <f>[23]Brewhouse!$P1017</f>
        <v>61</v>
      </c>
      <c r="M12" s="397">
        <f>[23]Brewhouse!$U1017-[23]Brewhouse!$T1017</f>
        <v>0.11041666666666661</v>
      </c>
      <c r="N12" s="370">
        <f>[23]Brewhouse!$Z1017</f>
        <v>0.25972222222222219</v>
      </c>
      <c r="O12" s="420" t="str">
        <f>[23]Brewhouse!$AX1017</f>
        <v>R. Regis</v>
      </c>
      <c r="P12" s="418"/>
      <c r="R12" s="277" t="str">
        <f t="shared" si="0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 t="s">
        <v>6</v>
      </c>
      <c r="C13" s="366" t="str">
        <f>[23]Brewhouse!$A1018</f>
        <v>CA902</v>
      </c>
      <c r="D13" s="279">
        <f>[23]Brewhouse!$AF1018</f>
        <v>52</v>
      </c>
      <c r="E13" s="279">
        <f>[23]Brewhouse!$AI1018</f>
        <v>51</v>
      </c>
      <c r="F13" s="278">
        <f>[23]Brewhouse!$V1018</f>
        <v>60</v>
      </c>
      <c r="G13" s="279">
        <f>[23]Brewhouse!AG1018</f>
        <v>11.7</v>
      </c>
      <c r="H13" s="396">
        <v>23.6</v>
      </c>
      <c r="I13" s="368">
        <f>[23]Brewhouse!$AU1018</f>
        <v>98.643953013867019</v>
      </c>
      <c r="J13" s="368">
        <f>[23]Brewhouse!$AV1018</f>
        <v>99.399744302034321</v>
      </c>
      <c r="K13" s="281">
        <f>[23]Brewhouse!$Q1018</f>
        <v>3.4274952919020718</v>
      </c>
      <c r="L13" s="276">
        <f>[23]Brewhouse!$P1018</f>
        <v>57</v>
      </c>
      <c r="M13" s="397">
        <f>[23]Brewhouse!$U1018-[23]Brewhouse!$T1018</f>
        <v>0.1020833333333333</v>
      </c>
      <c r="N13" s="370">
        <f>[23]Brewhouse!$Z1018</f>
        <v>0.24583333333333335</v>
      </c>
      <c r="O13" s="420" t="str">
        <f>[23]Brewhouse!$AX1018</f>
        <v>R.Sookram</v>
      </c>
      <c r="P13" s="418"/>
      <c r="R13" s="277" t="str">
        <f t="shared" si="0"/>
        <v>CARIB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29" t="s">
        <v>6</v>
      </c>
      <c r="C14" s="366" t="str">
        <f>[23]Brewhouse!$A1019</f>
        <v>CA903</v>
      </c>
      <c r="D14" s="279">
        <f>[23]Brewhouse!$AF1019</f>
        <v>49.8</v>
      </c>
      <c r="E14" s="279">
        <f>[23]Brewhouse!$AI1019</f>
        <v>48.5</v>
      </c>
      <c r="F14" s="278">
        <f>[23]Brewhouse!$V1019</f>
        <v>58</v>
      </c>
      <c r="G14" s="279">
        <f>[23]Brewhouse!AG1019</f>
        <v>11.8</v>
      </c>
      <c r="H14" s="396">
        <v>24.6</v>
      </c>
      <c r="I14" s="368">
        <f>[23]Brewhouse!$AU1019</f>
        <v>94.768461689333563</v>
      </c>
      <c r="J14" s="368">
        <f>[23]Brewhouse!$AV1019</f>
        <v>95.259759511899247</v>
      </c>
      <c r="K14" s="281">
        <f>[23]Brewhouse!$Q1019</f>
        <v>8.323917137476462</v>
      </c>
      <c r="L14" s="276">
        <f>[23]Brewhouse!$P1019</f>
        <v>56</v>
      </c>
      <c r="M14" s="397">
        <f>[23]Brewhouse!$U1019-[23]Brewhouse!$T1019</f>
        <v>0.10555555555555562</v>
      </c>
      <c r="N14" s="370">
        <f>[23]Brewhouse!$Z1019</f>
        <v>0.23125000000000007</v>
      </c>
      <c r="O14" s="420" t="str">
        <f>[23]Brewhouse!$AX1019</f>
        <v>R.Sookram</v>
      </c>
      <c r="P14" s="418"/>
      <c r="R14" s="277" t="str">
        <f t="shared" si="0"/>
        <v>CARIB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29" t="s">
        <v>6</v>
      </c>
      <c r="C15" s="366" t="str">
        <f>[23]Brewhouse!$A1020</f>
        <v>CA904</v>
      </c>
      <c r="D15" s="279">
        <f>[23]Brewhouse!$AF1020</f>
        <v>52.2</v>
      </c>
      <c r="E15" s="279">
        <f>[23]Brewhouse!$AI1020</f>
        <v>50.9</v>
      </c>
      <c r="F15" s="278">
        <f>[23]Brewhouse!$V1020</f>
        <v>63</v>
      </c>
      <c r="G15" s="279">
        <f>[23]Brewhouse!AG1020</f>
        <v>11.6</v>
      </c>
      <c r="H15" s="396">
        <v>25.6</v>
      </c>
      <c r="I15" s="368">
        <f>[23]Brewhouse!$AU1020</f>
        <v>97.44439259131218</v>
      </c>
      <c r="J15" s="368">
        <f>[23]Brewhouse!$AV1020</f>
        <v>97.949644101114174</v>
      </c>
      <c r="K15" s="281">
        <f>[23]Brewhouse!$Q1020</f>
        <v>4.7457627118644128</v>
      </c>
      <c r="L15" s="276">
        <f>[23]Brewhouse!$P1020</f>
        <v>60</v>
      </c>
      <c r="M15" s="397">
        <f>[23]Brewhouse!$U1020-[23]Brewhouse!$T1020</f>
        <v>7.0833333333333304E-2</v>
      </c>
      <c r="N15" s="370">
        <f>[23]Brewhouse!$Z1020</f>
        <v>0.20555555555555549</v>
      </c>
      <c r="O15" s="420" t="str">
        <f>[23]Brewhouse!$AX1020</f>
        <v>R.Sookram</v>
      </c>
      <c r="P15" s="418"/>
      <c r="R15" s="277" t="str">
        <f t="shared" si="0"/>
        <v>CARIB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29" t="s">
        <v>6</v>
      </c>
      <c r="C16" s="366" t="str">
        <f>[23]Brewhouse!$A1021</f>
        <v>CA905</v>
      </c>
      <c r="D16" s="279">
        <f>[23]Brewhouse!$AF1021</f>
        <v>53.3</v>
      </c>
      <c r="E16" s="279">
        <f>[23]Brewhouse!$AI1021</f>
        <v>51.1</v>
      </c>
      <c r="F16" s="278">
        <f>[23]Brewhouse!$V1021</f>
        <v>59</v>
      </c>
      <c r="G16" s="279">
        <f>[23]Brewhouse!AG1021</f>
        <v>11.7</v>
      </c>
      <c r="H16" s="396">
        <v>26.6</v>
      </c>
      <c r="I16" s="368">
        <f>[23]Brewhouse!$AU1021</f>
        <v>98.351959248494495</v>
      </c>
      <c r="J16" s="368">
        <f>[23]Brewhouse!$AV1021</f>
        <v>98.86203861856194</v>
      </c>
      <c r="K16" s="281">
        <f>[23]Brewhouse!$Q1021</f>
        <v>3.2452830188679229</v>
      </c>
      <c r="L16" s="276">
        <f>[23]Brewhouse!$P1021</f>
        <v>59</v>
      </c>
      <c r="M16" s="397">
        <f>[23]Brewhouse!$U1021-[23]Brewhouse!$T1021</f>
        <v>0.11388888888888871</v>
      </c>
      <c r="N16" s="370">
        <f>[23]Brewhouse!$Z1021</f>
        <v>0.25694444444444431</v>
      </c>
      <c r="O16" s="420" t="str">
        <f>[23]Brewhouse!$AX1021</f>
        <v>K. Benjamin</v>
      </c>
      <c r="P16" s="418"/>
      <c r="R16" s="277" t="str">
        <f t="shared" si="0"/>
        <v>CARIB</v>
      </c>
      <c r="S16" s="475">
        <f t="shared" si="1"/>
        <v>11.6</v>
      </c>
      <c r="T16" s="475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5">
        <f t="shared" si="8"/>
        <v>60</v>
      </c>
    </row>
    <row r="17" spans="1:27" ht="16.5" customHeight="1">
      <c r="B17" s="29" t="s">
        <v>6</v>
      </c>
      <c r="C17" s="366" t="str">
        <f>[23]Brewhouse!$A1022</f>
        <v>CA906</v>
      </c>
      <c r="D17" s="279">
        <f>[23]Brewhouse!$AF1022</f>
        <v>53</v>
      </c>
      <c r="E17" s="279">
        <f>[23]Brewhouse!$AI1022</f>
        <v>51.7</v>
      </c>
      <c r="F17" s="278">
        <f>[23]Brewhouse!$V1022</f>
        <v>60</v>
      </c>
      <c r="G17" s="279">
        <f>[23]Brewhouse!AG1022</f>
        <v>11.6</v>
      </c>
      <c r="H17" s="396">
        <v>27.6</v>
      </c>
      <c r="I17" s="368">
        <f>[23]Brewhouse!$AU1022</f>
        <v>98.854253387082295</v>
      </c>
      <c r="J17" s="368">
        <f>[23]Brewhouse!$AV1022</f>
        <v>99.366856069109318</v>
      </c>
      <c r="K17" s="281">
        <f>[23]Brewhouse!$Q1022</f>
        <v>2.8679245283018791</v>
      </c>
      <c r="L17" s="276">
        <f>[23]Brewhouse!$P1022</f>
        <v>60</v>
      </c>
      <c r="M17" s="397">
        <f>[23]Brewhouse!$U1022-[23]Brewhouse!$T1022</f>
        <v>0.11875000000000013</v>
      </c>
      <c r="N17" s="370">
        <f>[23]Brewhouse!$Z1022</f>
        <v>0.2680555555555556</v>
      </c>
      <c r="O17" s="420" t="str">
        <f>[23]Brewhouse!$AX1022</f>
        <v>K. Benjamin</v>
      </c>
      <c r="P17" s="418"/>
      <c r="R17" s="277" t="str">
        <f t="shared" ref="R17:R36" si="9">B17</f>
        <v>CARIB</v>
      </c>
      <c r="S17" s="475">
        <f t="shared" ref="S17:S36" si="10">VLOOKUP($B17,$R$3:$X$9,2,FALSE)</f>
        <v>11.6</v>
      </c>
      <c r="T17" s="475">
        <f t="shared" ref="T17:T36" si="11">VLOOKUP($B17,$R$3:$X$9,3,FALSE)</f>
        <v>12</v>
      </c>
      <c r="U17" s="297">
        <f t="shared" ref="U17:U36" si="12">VLOOKUP($B17,$R$3:$X$9,4,FALSE)</f>
        <v>0</v>
      </c>
      <c r="V17" s="297">
        <f t="shared" ref="V17:V36" si="13">VLOOKUP($B17,$R$3:$X$9,5,FALSE)</f>
        <v>0.118055555555556</v>
      </c>
      <c r="W17" s="297">
        <f t="shared" ref="W17:W36" si="14">VLOOKUP($B17,$R$3:$X$9,6,FALSE)</f>
        <v>0.22569444444444445</v>
      </c>
      <c r="X17" s="297">
        <f t="shared" ref="X17:X36" si="15">VLOOKUP($B17,$R$3:$X$9,7,FALSE)</f>
        <v>0.2638888888888889</v>
      </c>
      <c r="Y17" s="297">
        <f t="shared" ref="Y17:Y36" si="16">VLOOKUP($B17,$R$3:$Z$9,8,FALSE)</f>
        <v>0</v>
      </c>
      <c r="Z17" s="475">
        <f t="shared" ref="Z17:Z36" si="17">VLOOKUP($B17,$R$3:$Z$9,9,FALSE)</f>
        <v>60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5" t="e">
        <f t="shared" si="10"/>
        <v>#N/A</v>
      </c>
      <c r="T18" s="475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5" t="e">
        <f t="shared" si="17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5" t="e">
        <f t="shared" si="10"/>
        <v>#N/A</v>
      </c>
      <c r="T19" s="475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5" t="e">
        <f t="shared" si="17"/>
        <v>#N/A</v>
      </c>
    </row>
    <row r="20" spans="1:27" ht="16.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5" t="e">
        <f t="shared" si="10"/>
        <v>#N/A</v>
      </c>
      <c r="T20" s="475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5" t="e">
        <f t="shared" si="17"/>
        <v>#N/A</v>
      </c>
    </row>
    <row r="21" spans="1:27" ht="16.5" hidden="1" customHeight="1">
      <c r="B21" s="22"/>
      <c r="C21" s="366"/>
      <c r="D21" s="279"/>
      <c r="E21" s="279"/>
      <c r="F21" s="278"/>
      <c r="G21" s="279"/>
      <c r="H21" s="469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5" t="e">
        <f t="shared" si="10"/>
        <v>#N/A</v>
      </c>
      <c r="T21" s="475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5" t="e">
        <f t="shared" si="17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5" t="e">
        <f t="shared" si="10"/>
        <v>#N/A</v>
      </c>
      <c r="T22" s="475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5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28"/>
      <c r="J23" s="528"/>
      <c r="K23" s="528"/>
      <c r="L23" s="528"/>
      <c r="M23" s="528"/>
      <c r="N23" s="528"/>
      <c r="O23" s="1"/>
      <c r="P23" s="12"/>
      <c r="R23" s="277">
        <f t="shared" si="9"/>
        <v>0</v>
      </c>
      <c r="S23" s="475" t="e">
        <f t="shared" si="10"/>
        <v>#N/A</v>
      </c>
      <c r="T23" s="475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5" t="e">
        <f t="shared" si="17"/>
        <v>#N/A</v>
      </c>
    </row>
    <row r="24" spans="1:27" ht="15.75" customHeight="1" thickBot="1">
      <c r="B24" s="388" t="s">
        <v>162</v>
      </c>
      <c r="C24" s="388"/>
      <c r="D24" s="506" t="s">
        <v>35</v>
      </c>
      <c r="E24" s="50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5" t="e">
        <f t="shared" si="10"/>
        <v>#N/A</v>
      </c>
      <c r="T24" s="475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5" t="e">
        <f t="shared" si="17"/>
        <v>#N/A</v>
      </c>
    </row>
    <row r="25" spans="1:27" ht="15" customHeight="1">
      <c r="A25" s="28"/>
      <c r="B25" s="529" t="str">
        <f>I26</f>
        <v>STAG</v>
      </c>
      <c r="C25" s="362" cm="1">
        <f t="array" ref="C25:C32">[24]Process!$D$477:$D$484</f>
        <v>12</v>
      </c>
      <c r="D25" s="532">
        <v>11.98</v>
      </c>
      <c r="E25" s="533"/>
      <c r="F25" s="294"/>
      <c r="G25" s="294"/>
      <c r="H25" s="348"/>
      <c r="I25" s="29" t="s">
        <v>6</v>
      </c>
      <c r="J25" s="280">
        <f>AVERAGE(I10:I17)</f>
        <v>97.069198471171319</v>
      </c>
      <c r="K25" s="284">
        <f>COUNTA([23]Brewhouse!$A$1005:$A$1022)</f>
        <v>18</v>
      </c>
      <c r="L25" s="305">
        <f>AVERAGE([23]Brewhouse!$AU$1005:$AU$1022)</f>
        <v>98.798693809066378</v>
      </c>
      <c r="M2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$1022)</f>
        <v>97.774644313504055</v>
      </c>
      <c r="N25" s="30">
        <v>98</v>
      </c>
      <c r="O25" s="11"/>
      <c r="P25" s="31"/>
      <c r="R25" s="277" t="str">
        <f t="shared" si="9"/>
        <v>STAG</v>
      </c>
      <c r="S25" s="475">
        <f t="shared" si="10"/>
        <v>11.6</v>
      </c>
      <c r="T25" s="475">
        <f t="shared" si="11"/>
        <v>12</v>
      </c>
      <c r="U25" s="297">
        <f t="shared" si="12"/>
        <v>0</v>
      </c>
      <c r="V25" s="297">
        <f t="shared" si="13"/>
        <v>0.118055555555556</v>
      </c>
      <c r="W25" s="297">
        <f t="shared" si="14"/>
        <v>0.22569444444444445</v>
      </c>
      <c r="X25" s="297">
        <f t="shared" si="15"/>
        <v>0.2638888888888889</v>
      </c>
      <c r="Y25" s="297">
        <f t="shared" si="16"/>
        <v>0</v>
      </c>
      <c r="Z25" s="475">
        <f t="shared" si="17"/>
        <v>60</v>
      </c>
    </row>
    <row r="26" spans="1:27" ht="15" customHeight="1">
      <c r="A26" s="28"/>
      <c r="B26" s="530"/>
      <c r="C26" s="362">
        <v>11.8</v>
      </c>
      <c r="D26" s="534"/>
      <c r="E26" s="535"/>
      <c r="F26" s="294"/>
      <c r="G26" s="294"/>
      <c r="H26" s="348"/>
      <c r="I26" s="33" t="s">
        <v>9</v>
      </c>
      <c r="J26" s="280"/>
      <c r="K26" s="284">
        <f>COUNTA([24]Brewhouse!$A$486:$A$507)</f>
        <v>22</v>
      </c>
      <c r="L26" s="302">
        <f>AVERAGE([24]Brewhouse!$AS$486:$AS$507)</f>
        <v>96.205239284964378</v>
      </c>
      <c r="M26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$507)</f>
        <v>97.772355128420955</v>
      </c>
      <c r="N26" s="30">
        <v>98</v>
      </c>
      <c r="O26" s="11"/>
      <c r="P26" s="31"/>
      <c r="R26" s="277">
        <f t="shared" si="9"/>
        <v>0</v>
      </c>
      <c r="S26" s="475" t="e">
        <f t="shared" si="10"/>
        <v>#N/A</v>
      </c>
      <c r="T26" s="475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5" t="e">
        <f t="shared" si="17"/>
        <v>#N/A</v>
      </c>
    </row>
    <row r="27" spans="1:27" ht="14.65" customHeight="1">
      <c r="A27" s="28"/>
      <c r="B27" s="530"/>
      <c r="C27" s="362">
        <v>11.8</v>
      </c>
      <c r="D27" s="580">
        <v>11.94</v>
      </c>
      <c r="E27" s="581"/>
      <c r="F27" s="294"/>
      <c r="G27" s="294"/>
      <c r="H27" s="348"/>
      <c r="I27" s="34" t="s">
        <v>12</v>
      </c>
      <c r="J27" s="280"/>
      <c r="K27" s="284">
        <f>COUNTA([25]Brewhouse!$A$125:$A$132)</f>
        <v>8</v>
      </c>
      <c r="L27" s="302">
        <f>AVERAGE([25]Brewhouse!$AU$125:$AU$132)</f>
        <v>96.474285660381511</v>
      </c>
      <c r="M27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7" s="30">
        <v>98</v>
      </c>
      <c r="O27" s="11"/>
      <c r="P27" s="31"/>
      <c r="R27" s="277">
        <f t="shared" si="9"/>
        <v>0</v>
      </c>
      <c r="S27" s="475" t="e">
        <f t="shared" si="10"/>
        <v>#N/A</v>
      </c>
      <c r="T27" s="475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5" t="e">
        <f t="shared" si="17"/>
        <v>#N/A</v>
      </c>
    </row>
    <row r="28" spans="1:27" ht="14.65" customHeight="1">
      <c r="A28" s="28"/>
      <c r="B28" s="530"/>
      <c r="C28" s="362">
        <v>11.9</v>
      </c>
      <c r="D28" s="547"/>
      <c r="E28" s="535"/>
      <c r="F28" s="294"/>
      <c r="G28" s="294"/>
      <c r="H28" s="348"/>
      <c r="I28" s="22" t="s">
        <v>33</v>
      </c>
      <c r="J28" s="280"/>
      <c r="K28" s="284">
        <f>COUNTA([22]Brewhouse!$A$107:$A$122)</f>
        <v>16</v>
      </c>
      <c r="L28" s="302">
        <f>AVERAGE([22]Brewhouse!$AV$107:$AV$122)</f>
        <v>96.593037676437092</v>
      </c>
      <c r="M28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8" s="30">
        <v>98</v>
      </c>
      <c r="O28" s="11"/>
      <c r="P28" s="31"/>
      <c r="R28" s="277">
        <f t="shared" si="9"/>
        <v>0</v>
      </c>
      <c r="S28" s="475" t="e">
        <f t="shared" si="10"/>
        <v>#N/A</v>
      </c>
      <c r="T28" s="475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5" t="e">
        <f t="shared" si="17"/>
        <v>#N/A</v>
      </c>
    </row>
    <row r="29" spans="1:27" ht="14.65" customHeight="1">
      <c r="A29" s="28"/>
      <c r="B29" s="530"/>
      <c r="C29" s="362">
        <v>12</v>
      </c>
      <c r="D29" s="580">
        <v>11.86</v>
      </c>
      <c r="E29" s="58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5" t="e">
        <f t="shared" si="10"/>
        <v>#N/A</v>
      </c>
      <c r="T29" s="475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5" t="e">
        <f t="shared" si="17"/>
        <v>#N/A</v>
      </c>
    </row>
    <row r="30" spans="1:27" ht="14.65" customHeight="1">
      <c r="A30" s="28"/>
      <c r="B30" s="530"/>
      <c r="C30" s="362">
        <v>11.9</v>
      </c>
      <c r="D30" s="547"/>
      <c r="E30" s="535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9"/>
        <v>0</v>
      </c>
      <c r="S30" s="475" t="e">
        <f t="shared" si="10"/>
        <v>#N/A</v>
      </c>
      <c r="T30" s="475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5" t="e">
        <f t="shared" si="17"/>
        <v>#N/A</v>
      </c>
      <c r="AA30" s="475"/>
    </row>
    <row r="31" spans="1:27" ht="14.65" customHeight="1">
      <c r="A31" s="28"/>
      <c r="B31" s="530"/>
      <c r="C31" s="362">
        <v>11.8</v>
      </c>
      <c r="D31" s="580">
        <v>11.88</v>
      </c>
      <c r="E31" s="581"/>
      <c r="F31" s="417"/>
      <c r="G31" s="294"/>
      <c r="H31" s="348"/>
      <c r="I31" s="37" t="s">
        <v>16</v>
      </c>
      <c r="J31" s="323"/>
      <c r="K31" s="284">
        <f>COUNTA([27]Brewhouse!$A$99:$A$108)</f>
        <v>10</v>
      </c>
      <c r="L31" s="302">
        <f>AVERAGE([27]Brewhouse!$AY$99:$AY$108)</f>
        <v>97.413703162837948</v>
      </c>
      <c r="M31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31" s="30">
        <v>98</v>
      </c>
      <c r="O31" s="11"/>
      <c r="P31" s="31" t="s">
        <v>41</v>
      </c>
      <c r="R31" s="277">
        <f t="shared" si="9"/>
        <v>0</v>
      </c>
      <c r="S31" s="475" t="e">
        <f t="shared" si="10"/>
        <v>#N/A</v>
      </c>
      <c r="T31" s="475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5" t="e">
        <f t="shared" si="17"/>
        <v>#N/A</v>
      </c>
      <c r="AA31" s="475"/>
    </row>
    <row r="32" spans="1:27" ht="14.65" customHeight="1">
      <c r="A32" s="28"/>
      <c r="B32" s="530"/>
      <c r="C32" s="362">
        <v>11.9</v>
      </c>
      <c r="D32" s="547"/>
      <c r="E32" s="535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9"/>
        <v>0</v>
      </c>
      <c r="S32" s="475" t="e">
        <f t="shared" si="10"/>
        <v>#N/A</v>
      </c>
      <c r="T32" s="475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5" t="e">
        <f t="shared" si="17"/>
        <v>#N/A</v>
      </c>
      <c r="AA32" s="475"/>
    </row>
    <row r="33" spans="1:56" ht="14.65" customHeight="1">
      <c r="A33" s="28"/>
      <c r="B33" s="530"/>
      <c r="C33" s="349"/>
      <c r="D33" s="580"/>
      <c r="E33" s="581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9"/>
        <v>0</v>
      </c>
      <c r="S33" s="475" t="e">
        <f t="shared" si="10"/>
        <v>#N/A</v>
      </c>
      <c r="T33" s="475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5" t="e">
        <f t="shared" si="17"/>
        <v>#N/A</v>
      </c>
      <c r="AA33" s="475"/>
    </row>
    <row r="34" spans="1:56" ht="15" customHeight="1" thickBot="1">
      <c r="A34" s="28"/>
      <c r="B34" s="530"/>
      <c r="C34" s="349"/>
      <c r="D34" s="547"/>
      <c r="E34" s="535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9"/>
        <v>0</v>
      </c>
      <c r="S34" s="475" t="e">
        <f t="shared" si="10"/>
        <v>#N/A</v>
      </c>
      <c r="T34" s="475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5" t="e">
        <f t="shared" si="17"/>
        <v>#N/A</v>
      </c>
      <c r="AA34" s="475"/>
    </row>
    <row r="35" spans="1:56" ht="15" customHeight="1" thickBot="1">
      <c r="A35" s="28"/>
      <c r="B35" s="530"/>
      <c r="C35" s="349"/>
      <c r="D35" s="532"/>
      <c r="E35" s="533"/>
      <c r="F35" s="294"/>
      <c r="G35" s="294"/>
      <c r="H35" s="348"/>
      <c r="I35" s="1"/>
      <c r="J35" s="39"/>
      <c r="K35" s="404">
        <f>SUM(K25:K34)</f>
        <v>74</v>
      </c>
      <c r="L35" s="405">
        <f>((L25*K25)+(L26*K26)+(L27*K27)+(L28*K28)+(L29*K29)+(K32*L32)+(L30*K30)+(L31*K31)+(L34*K34))/(K35)</f>
        <v>97.112319899551849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97.529182229636973</v>
      </c>
      <c r="N35" s="40">
        <v>98</v>
      </c>
      <c r="O35" s="11"/>
      <c r="P35" s="31"/>
      <c r="R35" s="277">
        <f t="shared" si="9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  <c r="AA35" s="475"/>
    </row>
    <row r="36" spans="1:56" ht="15.75" thickBot="1">
      <c r="B36" s="605"/>
      <c r="C36" s="350"/>
      <c r="D36" s="534"/>
      <c r="E36" s="53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5" t="e">
        <f t="shared" si="10"/>
        <v>#N/A</v>
      </c>
      <c r="T36" s="475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5" t="e">
        <f t="shared" si="17"/>
        <v>#N/A</v>
      </c>
      <c r="AA36" s="475"/>
    </row>
    <row r="37" spans="1:56" ht="15.75" thickBot="1">
      <c r="B37" s="602"/>
      <c r="C37" s="362"/>
      <c r="D37" s="545"/>
      <c r="E37" s="546"/>
      <c r="F37" s="294"/>
      <c r="G37" s="42"/>
      <c r="H37" s="41"/>
      <c r="I37" s="42"/>
      <c r="J37" s="579" t="s">
        <v>129</v>
      </c>
      <c r="K37" s="579"/>
      <c r="L37" s="294"/>
      <c r="M37" s="294"/>
      <c r="N37" s="294"/>
      <c r="O37" s="294"/>
      <c r="P37" s="12"/>
    </row>
    <row r="38" spans="1:56" ht="15.75" thickBot="1">
      <c r="B38" s="603"/>
      <c r="C38" s="362"/>
      <c r="D38" s="547"/>
      <c r="E38" s="535"/>
      <c r="F38" s="294"/>
      <c r="G38" s="42"/>
      <c r="H38" s="42"/>
      <c r="I38" s="42"/>
      <c r="J38" s="292" t="s">
        <v>17</v>
      </c>
      <c r="K38" s="293" t="s">
        <v>147</v>
      </c>
      <c r="L38" s="549" t="s">
        <v>136</v>
      </c>
      <c r="M38" s="549"/>
      <c r="N38" s="550"/>
      <c r="O38" s="294"/>
      <c r="P38" s="12"/>
    </row>
    <row r="39" spans="1:56" ht="15" customHeight="1" thickBot="1">
      <c r="B39" s="603"/>
      <c r="C39" s="349"/>
      <c r="D39" s="580"/>
      <c r="E39" s="581"/>
      <c r="F39" s="294"/>
      <c r="G39" s="42"/>
      <c r="H39" s="42"/>
      <c r="I39" s="42"/>
      <c r="J39" s="287" t="s">
        <v>6</v>
      </c>
      <c r="K39" s="324">
        <v>8</v>
      </c>
      <c r="L39" s="476" t="s">
        <v>37</v>
      </c>
      <c r="M39" s="477" t="s">
        <v>38</v>
      </c>
      <c r="N39" s="477" t="s">
        <v>84</v>
      </c>
      <c r="O39" s="294"/>
      <c r="P39" s="12"/>
    </row>
    <row r="40" spans="1:56" ht="15.75" customHeight="1" thickBot="1">
      <c r="B40" s="603"/>
      <c r="C40" s="349"/>
      <c r="D40" s="547"/>
      <c r="E40" s="535"/>
      <c r="F40" s="294"/>
      <c r="G40" s="42"/>
      <c r="H40" s="42"/>
      <c r="I40" s="42"/>
      <c r="J40" s="345" t="s">
        <v>9</v>
      </c>
      <c r="K40" s="324"/>
      <c r="L40" s="344">
        <f>AVERAGE('Dec 1st'!K43,'Dec 2nd'!K49,'Dec 3rd '!K58,'Dec 4th'!K51,'Dec 5th-7th'!I70,'Dec 5th-7th'!J70,'Dec 5th-7th'!K70,'Dec 8th '!K49,'Dec 9th'!K49,'Dec 15th'!K49,'Dec 11th'!K53,'Dec 12th-14th'!K44,'Dec 10th'!K61)</f>
        <v>6</v>
      </c>
      <c r="M40" s="325">
        <f>AVERAGE('[31]Jan 29th '!$M$70,'[32]Feb 28th'!$L$40,'[33]Mar. 31st'!$L$40,'[34]Apr. 30th'!$L$50,'[35]May 30th'!$L$42,'[36]June 30th'!$L$62,'[37]July 29th '!$L$49,'[38]Aug 29th'!$L$34,'[39]Sept 30th'!$L$40,[40]Oct.31st!$L$43,'[41]Nov 28th-30th'!$L$45,L40)</f>
        <v>6.8895310845396658</v>
      </c>
      <c r="N40" s="416">
        <v>9.1999999999999993</v>
      </c>
      <c r="O40" s="294"/>
      <c r="P40" s="12"/>
    </row>
    <row r="41" spans="1:56" ht="15" customHeight="1">
      <c r="B41" s="603"/>
      <c r="C41" s="349"/>
      <c r="D41" s="580"/>
      <c r="E41" s="58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603"/>
      <c r="C42" s="349"/>
      <c r="D42" s="547"/>
      <c r="E42" s="535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603"/>
      <c r="C43" s="349"/>
      <c r="D43" s="580"/>
      <c r="E43" s="58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603"/>
      <c r="C44" s="349"/>
      <c r="D44" s="547"/>
      <c r="E44" s="53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603"/>
      <c r="C45" s="349"/>
      <c r="D45" s="580"/>
      <c r="E45" s="58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604"/>
      <c r="C46" s="350"/>
      <c r="D46" s="582"/>
      <c r="E46" s="58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7"/>
      <c r="E47" s="578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57" t="s">
        <v>17</v>
      </c>
      <c r="C52" s="557" t="s">
        <v>44</v>
      </c>
      <c r="D52" s="559" t="s">
        <v>45</v>
      </c>
      <c r="E52" s="514" t="s">
        <v>46</v>
      </c>
      <c r="F52" s="574" t="s">
        <v>47</v>
      </c>
      <c r="G52" s="568" t="s">
        <v>48</v>
      </c>
      <c r="H52" s="557" t="s">
        <v>49</v>
      </c>
      <c r="I52" s="557" t="s">
        <v>50</v>
      </c>
      <c r="J52" s="562" t="s">
        <v>28</v>
      </c>
      <c r="K52" s="512" t="s">
        <v>51</v>
      </c>
      <c r="L52" s="524" t="s">
        <v>52</v>
      </c>
      <c r="M52" s="562" t="s">
        <v>53</v>
      </c>
      <c r="N52" s="13"/>
      <c r="O52" s="13"/>
      <c r="P52" s="50"/>
    </row>
    <row r="53" spans="2:57" ht="28.5" customHeight="1" thickTop="1" thickBot="1">
      <c r="B53" s="558"/>
      <c r="C53" s="558"/>
      <c r="D53" s="560"/>
      <c r="E53" s="561"/>
      <c r="F53" s="575"/>
      <c r="G53" s="569"/>
      <c r="H53" s="576"/>
      <c r="I53" s="576"/>
      <c r="J53" s="563"/>
      <c r="K53" s="572"/>
      <c r="L53" s="573"/>
      <c r="M53" s="563"/>
      <c r="N53" s="13"/>
      <c r="O53" s="13"/>
      <c r="P53" s="50"/>
      <c r="Q53" s="355"/>
      <c r="AB53" s="478">
        <v>43474</v>
      </c>
      <c r="AC53" s="478">
        <v>43475</v>
      </c>
      <c r="AD53" s="478">
        <v>43476</v>
      </c>
      <c r="AE53" s="478">
        <v>43477</v>
      </c>
      <c r="AF53" s="478">
        <v>43478</v>
      </c>
      <c r="AG53" s="478">
        <v>43479</v>
      </c>
      <c r="AH53" s="478">
        <v>43480</v>
      </c>
      <c r="AI53" s="478">
        <v>43481</v>
      </c>
      <c r="AJ53" s="478">
        <v>43482</v>
      </c>
      <c r="AK53" s="478">
        <v>43483</v>
      </c>
      <c r="AL53" s="478">
        <v>43484</v>
      </c>
      <c r="AM53" s="478">
        <v>43485</v>
      </c>
      <c r="AN53" s="478">
        <v>43486</v>
      </c>
      <c r="AO53" s="478">
        <v>43487</v>
      </c>
      <c r="AP53" s="478">
        <v>43488</v>
      </c>
      <c r="AQ53" s="478">
        <v>43489</v>
      </c>
      <c r="AR53" s="478">
        <v>43490</v>
      </c>
      <c r="AS53" s="478">
        <v>43491</v>
      </c>
      <c r="AT53" s="478">
        <v>43492</v>
      </c>
      <c r="AU53" s="478">
        <v>43493</v>
      </c>
      <c r="AV53" s="478">
        <v>43494</v>
      </c>
      <c r="AW53" s="478">
        <v>43495</v>
      </c>
      <c r="AX53" s="478">
        <v>43496</v>
      </c>
    </row>
    <row r="54" spans="2:57" s="54" customFormat="1" ht="43.15" customHeight="1" thickBot="1">
      <c r="B54" s="468" t="str">
        <f>J40</f>
        <v>STAG</v>
      </c>
      <c r="C54" s="441">
        <v>46006</v>
      </c>
      <c r="D54" s="442">
        <f>[42]December_2025!$R$13</f>
        <v>374</v>
      </c>
      <c r="E54" s="443"/>
      <c r="F54" s="444"/>
      <c r="G54" s="444">
        <f>[42]December_2025!$R$17</f>
        <v>348.20000000000005</v>
      </c>
      <c r="H54" s="458"/>
      <c r="I54" s="458"/>
      <c r="J54" s="448" t="s">
        <v>190</v>
      </c>
      <c r="K54" s="449">
        <f>[43]December_2025!$R$25</f>
        <v>0.40725146198830414</v>
      </c>
      <c r="L54" s="457">
        <f>(((D54+E54)-G54)/(D54+E54))*100</f>
        <v>6.8983957219251213</v>
      </c>
      <c r="M54" s="455" t="s">
        <v>191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90"/>
      <c r="C56" s="441"/>
      <c r="D56" s="442"/>
      <c r="E56" s="443"/>
      <c r="F56" s="444"/>
      <c r="G56" s="445"/>
      <c r="H56" s="458"/>
      <c r="I56" s="458"/>
      <c r="J56" s="448"/>
      <c r="K56" s="460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64" t="s">
        <v>55</v>
      </c>
      <c r="C63" s="565"/>
      <c r="D63" s="565"/>
      <c r="E63" s="565"/>
      <c r="F63" s="566"/>
      <c r="G63" s="564" t="s">
        <v>56</v>
      </c>
      <c r="H63" s="565"/>
      <c r="I63" s="565"/>
      <c r="J63" s="566"/>
      <c r="K63" s="564" t="s">
        <v>51</v>
      </c>
      <c r="L63" s="565"/>
      <c r="M63" s="565"/>
      <c r="N63" s="567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6.2340316811445922</v>
      </c>
      <c r="E65" s="76">
        <v>6.0773431397377013</v>
      </c>
      <c r="F65" s="66">
        <v>4.8</v>
      </c>
      <c r="G65" s="65"/>
      <c r="H65" s="491">
        <v>5.6485075406120568</v>
      </c>
      <c r="I65" s="76">
        <v>5.9917086961662607</v>
      </c>
      <c r="J65" s="66">
        <v>4.8</v>
      </c>
      <c r="K65" s="67"/>
      <c r="L65" s="194">
        <v>0.45889473684210524</v>
      </c>
      <c r="M65" s="194">
        <v>0.72186132308783935</v>
      </c>
      <c r="N65" s="68">
        <v>1</v>
      </c>
      <c r="O65" s="56"/>
      <c r="P65" s="69"/>
    </row>
    <row r="66" spans="2:16" ht="15">
      <c r="B66" s="33" t="s">
        <v>9</v>
      </c>
      <c r="C66" s="65">
        <f>L54</f>
        <v>6.8983957219251213</v>
      </c>
      <c r="D66" s="76">
        <v>3.6478197719982228</v>
      </c>
      <c r="E66" s="76">
        <v>5.6172004118559888</v>
      </c>
      <c r="F66" s="66">
        <v>4.8</v>
      </c>
      <c r="G66" s="65"/>
      <c r="H66" s="76">
        <v>3.8202507107179087</v>
      </c>
      <c r="I66" s="76">
        <v>6.1222129994361296</v>
      </c>
      <c r="J66" s="66">
        <v>4.8</v>
      </c>
      <c r="K66" s="67">
        <f>K54</f>
        <v>0.40725146198830414</v>
      </c>
      <c r="L66" s="194">
        <v>0.43715399610136452</v>
      </c>
      <c r="M66" s="194">
        <v>0.67300780433599561</v>
      </c>
      <c r="N66" s="68">
        <v>1</v>
      </c>
      <c r="P66" s="69"/>
    </row>
    <row r="67" spans="2:16" ht="15">
      <c r="B67" s="34" t="s">
        <v>40</v>
      </c>
      <c r="C67" s="65"/>
      <c r="D67" s="76">
        <v>12.618296529968443</v>
      </c>
      <c r="E67" s="76">
        <v>11.122539172358353</v>
      </c>
      <c r="F67" s="66">
        <v>5.5</v>
      </c>
      <c r="G67" s="65"/>
      <c r="H67" s="76">
        <v>12.288892572095527</v>
      </c>
      <c r="I67" s="76">
        <v>12.520142311925225</v>
      </c>
      <c r="J67" s="66">
        <v>5.5</v>
      </c>
      <c r="K67" s="67"/>
      <c r="L67" s="194">
        <v>0.31587719298245615</v>
      </c>
      <c r="M67" s="194">
        <v>0.50769967246157732</v>
      </c>
      <c r="N67" s="68">
        <v>1</v>
      </c>
      <c r="P67" s="69"/>
    </row>
    <row r="68" spans="2:16" ht="15">
      <c r="B68" s="22" t="s">
        <v>33</v>
      </c>
      <c r="C68" s="65"/>
      <c r="D68" s="76">
        <v>3.7426398119835098</v>
      </c>
      <c r="E68" s="76">
        <v>4.4918713689673408</v>
      </c>
      <c r="F68" s="66">
        <v>3.3</v>
      </c>
      <c r="G68" s="65"/>
      <c r="H68" s="76">
        <v>2.884540034691927</v>
      </c>
      <c r="I68" s="76">
        <v>4.189075062989712</v>
      </c>
      <c r="J68" s="66">
        <v>3.3</v>
      </c>
      <c r="K68" s="67"/>
      <c r="L68" s="194">
        <v>0.77900584795321637</v>
      </c>
      <c r="M68" s="194">
        <v>0.82191692466460264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>
        <v>1.6037551339722365</v>
      </c>
      <c r="E71" s="76">
        <v>2.7893641905668773</v>
      </c>
      <c r="F71" s="66">
        <v>3.3</v>
      </c>
      <c r="G71" s="282"/>
      <c r="H71" s="76">
        <v>6.7972810536378629</v>
      </c>
      <c r="I71" s="76">
        <v>4.5354505140007557</v>
      </c>
      <c r="J71" s="66">
        <v>3.3</v>
      </c>
      <c r="K71" s="67"/>
      <c r="L71" s="194">
        <v>0.61403508771929827</v>
      </c>
      <c r="M71" s="194">
        <v>0.81650775633749528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5.2186766536974263</v>
      </c>
      <c r="E74" s="76">
        <v>6.0642982219874426</v>
      </c>
      <c r="F74" s="341">
        <v>5.5</v>
      </c>
      <c r="H74" s="76">
        <v>5.6806077147957286</v>
      </c>
      <c r="I74" s="76">
        <v>6.4944145858530522</v>
      </c>
      <c r="J74" s="341">
        <v>5.5</v>
      </c>
      <c r="L74" s="194">
        <v>0.5406158344579397</v>
      </c>
      <c r="M74" s="194">
        <v>0.69683063279794344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029" priority="53" operator="notBetween">
      <formula>#REF!</formula>
      <formula>#REF!</formula>
    </cfRule>
  </conditionalFormatting>
  <conditionalFormatting sqref="C51">
    <cfRule type="cellIs" dxfId="2028" priority="198" stopIfTrue="1" operator="lessThan">
      <formula>96</formula>
    </cfRule>
    <cfRule type="cellIs" dxfId="2027" priority="199" stopIfTrue="1" operator="greaterThan">
      <formula>100</formula>
    </cfRule>
  </conditionalFormatting>
  <conditionalFormatting sqref="C65:C69">
    <cfRule type="cellIs" dxfId="2026" priority="152" stopIfTrue="1" operator="lessThanOrEqual">
      <formula>0</formula>
    </cfRule>
  </conditionalFormatting>
  <conditionalFormatting sqref="C65:C73">
    <cfRule type="cellIs" dxfId="2025" priority="151" stopIfTrue="1" operator="greaterThan">
      <formula>$F65</formula>
    </cfRule>
  </conditionalFormatting>
  <conditionalFormatting sqref="C66">
    <cfRule type="cellIs" dxfId="2024" priority="202" stopIfTrue="1" operator="greaterThan">
      <formula>$F65</formula>
    </cfRule>
  </conditionalFormatting>
  <conditionalFormatting sqref="C70">
    <cfRule type="cellIs" dxfId="2023" priority="92" stopIfTrue="1" operator="greaterThan">
      <formula>$F69</formula>
    </cfRule>
    <cfRule type="cellIs" dxfId="2022" priority="91" stopIfTrue="1" operator="lessThanOrEqual">
      <formula>0</formula>
    </cfRule>
  </conditionalFormatting>
  <conditionalFormatting sqref="C76:C80">
    <cfRule type="cellIs" dxfId="2021" priority="190" stopIfTrue="1" operator="lessThanOrEqual">
      <formula>0</formula>
    </cfRule>
  </conditionalFormatting>
  <conditionalFormatting sqref="C77:C80">
    <cfRule type="cellIs" dxfId="2020" priority="189" stopIfTrue="1" operator="greaterThan">
      <formula>$F$76</formula>
    </cfRule>
  </conditionalFormatting>
  <conditionalFormatting sqref="C82">
    <cfRule type="cellIs" dxfId="2019" priority="191" stopIfTrue="1" operator="greaterThan">
      <formula>$F$76</formula>
    </cfRule>
    <cfRule type="cellIs" dxfId="2018" priority="192" stopIfTrue="1" operator="lessThanOrEqual">
      <formula>0</formula>
    </cfRule>
  </conditionalFormatting>
  <conditionalFormatting sqref="C76:D76 D78:D84">
    <cfRule type="cellIs" dxfId="2017" priority="184" stopIfTrue="1" operator="greaterThan">
      <formula>4.5</formula>
    </cfRule>
  </conditionalFormatting>
  <conditionalFormatting sqref="D47:D48">
    <cfRule type="cellIs" dxfId="2016" priority="54" operator="notBetween">
      <formula>#REF!</formula>
      <formula>#REF!</formula>
    </cfRule>
  </conditionalFormatting>
  <conditionalFormatting sqref="D65:D72">
    <cfRule type="cellIs" dxfId="2015" priority="164" stopIfTrue="1" operator="lessThanOrEqual">
      <formula>0</formula>
    </cfRule>
  </conditionalFormatting>
  <conditionalFormatting sqref="D73">
    <cfRule type="cellIs" dxfId="2014" priority="163" stopIfTrue="1" operator="lessThanOrEqual">
      <formula>0</formula>
    </cfRule>
  </conditionalFormatting>
  <conditionalFormatting sqref="D76 D78:D84">
    <cfRule type="cellIs" dxfId="2013" priority="185" stopIfTrue="1" operator="lessThanOrEqual">
      <formula>0</formula>
    </cfRule>
  </conditionalFormatting>
  <conditionalFormatting sqref="D77">
    <cfRule type="cellIs" dxfId="2012" priority="177" stopIfTrue="1" operator="lessThanOrEqual">
      <formula>0</formula>
    </cfRule>
    <cfRule type="cellIs" dxfId="2011" priority="176" stopIfTrue="1" operator="greaterThan">
      <formula>$F$76</formula>
    </cfRule>
  </conditionalFormatting>
  <conditionalFormatting sqref="D65:E74">
    <cfRule type="cellIs" dxfId="2010" priority="149" stopIfTrue="1" operator="greaterThan">
      <formula>$F65</formula>
    </cfRule>
  </conditionalFormatting>
  <conditionalFormatting sqref="D74:E74">
    <cfRule type="cellIs" dxfId="2009" priority="150" stopIfTrue="1" operator="lessThanOrEqual">
      <formula>0</formula>
    </cfRule>
  </conditionalFormatting>
  <conditionalFormatting sqref="E10:E22">
    <cfRule type="cellIs" dxfId="2008" priority="22" operator="lessThan">
      <formula>48</formula>
    </cfRule>
  </conditionalFormatting>
  <conditionalFormatting sqref="E50 E51:F51">
    <cfRule type="cellIs" dxfId="2007" priority="181" stopIfTrue="1" operator="greaterThan">
      <formula>100</formula>
    </cfRule>
  </conditionalFormatting>
  <conditionalFormatting sqref="E51">
    <cfRule type="cellIs" dxfId="2006" priority="178" stopIfTrue="1" operator="lessThan">
      <formula>96.8</formula>
    </cfRule>
    <cfRule type="cellIs" dxfId="2005" priority="179" stopIfTrue="1" operator="greaterThan">
      <formula>100</formula>
    </cfRule>
  </conditionalFormatting>
  <conditionalFormatting sqref="E65:E73">
    <cfRule type="cellIs" dxfId="2004" priority="160" stopIfTrue="1" operator="lessThanOrEqual">
      <formula>0</formula>
    </cfRule>
  </conditionalFormatting>
  <conditionalFormatting sqref="E76:E84">
    <cfRule type="cellIs" dxfId="2003" priority="171" stopIfTrue="1" operator="lessThanOrEqual">
      <formula>0</formula>
    </cfRule>
    <cfRule type="cellIs" dxfId="2002" priority="170" stopIfTrue="1" operator="greaterThan">
      <formula>4.5</formula>
    </cfRule>
  </conditionalFormatting>
  <conditionalFormatting sqref="E51:F51 E50">
    <cfRule type="cellIs" dxfId="2001" priority="180" stopIfTrue="1" operator="lessThan">
      <formula>96.5</formula>
    </cfRule>
  </conditionalFormatting>
  <conditionalFormatting sqref="F10:F22">
    <cfRule type="cellIs" dxfId="2000" priority="23" operator="greaterThan">
      <formula>60</formula>
    </cfRule>
  </conditionalFormatting>
  <conditionalFormatting sqref="F51">
    <cfRule type="cellIs" dxfId="1999" priority="196" stopIfTrue="1" operator="lessThan">
      <formula>96.8</formula>
    </cfRule>
    <cfRule type="cellIs" dxfId="1998" priority="197" stopIfTrue="1" operator="greaterThan">
      <formula>100</formula>
    </cfRule>
  </conditionalFormatting>
  <conditionalFormatting sqref="F74">
    <cfRule type="cellIs" dxfId="1997" priority="161" stopIfTrue="1" operator="greaterThan">
      <formula>$F74</formula>
    </cfRule>
    <cfRule type="cellIs" dxfId="1996" priority="162" stopIfTrue="1" operator="lessThanOrEqual">
      <formula>0</formula>
    </cfRule>
  </conditionalFormatting>
  <conditionalFormatting sqref="G10:G19">
    <cfRule type="expression" dxfId="1995" priority="9">
      <formula>IF(+(IF(G10&lt;S10,0,IF(G10&gt;T10,0,1)))=0,1)</formula>
    </cfRule>
  </conditionalFormatting>
  <conditionalFormatting sqref="G20:G22 H22">
    <cfRule type="expression" dxfId="1994" priority="48">
      <formula>IF(+(IF(G20&lt;#REF!,0,IF(G20&gt;#REF!,0,1)))=0,1)</formula>
    </cfRule>
  </conditionalFormatting>
  <conditionalFormatting sqref="G65:G66 C71:C73">
    <cfRule type="cellIs" dxfId="1993" priority="166" stopIfTrue="1" operator="lessThanOrEqual">
      <formula>0</formula>
    </cfRule>
  </conditionalFormatting>
  <conditionalFormatting sqref="G65:G66">
    <cfRule type="cellIs" dxfId="1992" priority="153" stopIfTrue="1" operator="greaterThan">
      <formula>$F65</formula>
    </cfRule>
    <cfRule type="cellIs" dxfId="1991" priority="154" stopIfTrue="1" operator="lessThanOrEqual">
      <formula>0</formula>
    </cfRule>
    <cfRule type="cellIs" dxfId="1990" priority="165" stopIfTrue="1" operator="greaterThan">
      <formula>$F65</formula>
    </cfRule>
  </conditionalFormatting>
  <conditionalFormatting sqref="G67">
    <cfRule type="cellIs" dxfId="1989" priority="200" stopIfTrue="1" operator="greaterThan">
      <formula>$F66</formula>
    </cfRule>
    <cfRule type="cellIs" dxfId="1988" priority="201" stopIfTrue="1" operator="lessThanOrEqual">
      <formula>0</formula>
    </cfRule>
  </conditionalFormatting>
  <conditionalFormatting sqref="G68">
    <cfRule type="cellIs" dxfId="1987" priority="51" stopIfTrue="1" operator="greaterThan">
      <formula>$F68</formula>
    </cfRule>
    <cfRule type="cellIs" dxfId="1986" priority="49" stopIfTrue="1" operator="greaterThan">
      <formula>$F68</formula>
    </cfRule>
    <cfRule type="cellIs" dxfId="1985" priority="50" stopIfTrue="1" operator="lessThanOrEqual">
      <formula>0</formula>
    </cfRule>
    <cfRule type="cellIs" dxfId="1984" priority="52" stopIfTrue="1" operator="lessThanOrEqual">
      <formula>0</formula>
    </cfRule>
  </conditionalFormatting>
  <conditionalFormatting sqref="G69:G73">
    <cfRule type="cellIs" dxfId="1983" priority="168" stopIfTrue="1" operator="lessThanOrEqual">
      <formula>0</formula>
    </cfRule>
    <cfRule type="cellIs" dxfId="1982" priority="167" stopIfTrue="1" operator="greaterThan">
      <formula>$J69</formula>
    </cfRule>
  </conditionalFormatting>
  <conditionalFormatting sqref="G78:G83 C81 C83">
    <cfRule type="cellIs" dxfId="1981" priority="194" stopIfTrue="1" operator="lessThanOrEqual">
      <formula>0</formula>
    </cfRule>
    <cfRule type="cellIs" dxfId="1980" priority="193" stopIfTrue="1" operator="greaterThan">
      <formula>4.5</formula>
    </cfRule>
  </conditionalFormatting>
  <conditionalFormatting sqref="G77:H77">
    <cfRule type="cellIs" dxfId="1979" priority="175" stopIfTrue="1" operator="lessThanOrEqual">
      <formula>0</formula>
    </cfRule>
    <cfRule type="cellIs" dxfId="1978" priority="174" stopIfTrue="1" operator="greaterThan">
      <formula>$F$76</formula>
    </cfRule>
  </conditionalFormatting>
  <conditionalFormatting sqref="H36:H37 H50">
    <cfRule type="cellIs" dxfId="1977" priority="172" stopIfTrue="1" operator="greaterThan">
      <formula>0</formula>
    </cfRule>
  </conditionalFormatting>
  <conditionalFormatting sqref="H54">
    <cfRule type="cellIs" dxfId="1976" priority="46" stopIfTrue="1" operator="greaterThan">
      <formula>$F$70</formula>
    </cfRule>
    <cfRule type="cellIs" dxfId="1975" priority="45" stopIfTrue="1" operator="lessThanOrEqual">
      <formula>0</formula>
    </cfRule>
    <cfRule type="cellIs" dxfId="1974" priority="44" stopIfTrue="1" operator="greaterThan">
      <formula>$F$72</formula>
    </cfRule>
    <cfRule type="cellIs" dxfId="1973" priority="36" stopIfTrue="1" operator="greaterThan">
      <formula>$F$69</formula>
    </cfRule>
    <cfRule type="cellIs" dxfId="1972" priority="35" stopIfTrue="1" operator="lessThanOrEqual">
      <formula>0</formula>
    </cfRule>
    <cfRule type="cellIs" dxfId="1971" priority="47" stopIfTrue="1" operator="lessThanOrEqual">
      <formula>0</formula>
    </cfRule>
  </conditionalFormatting>
  <conditionalFormatting sqref="H55">
    <cfRule type="cellIs" dxfId="1970" priority="108" stopIfTrue="1" operator="lessThanOrEqual">
      <formula>0</formula>
    </cfRule>
    <cfRule type="cellIs" dxfId="1969" priority="109" stopIfTrue="1" operator="greaterThan">
      <formula>#REF!</formula>
    </cfRule>
    <cfRule type="cellIs" dxfId="1968" priority="119" stopIfTrue="1" operator="greaterThan">
      <formula>#REF!</formula>
    </cfRule>
    <cfRule type="cellIs" dxfId="1967" priority="117" stopIfTrue="1" operator="greaterThan">
      <formula>$F$23</formula>
    </cfRule>
    <cfRule type="cellIs" dxfId="1966" priority="118" stopIfTrue="1" operator="lessThanOrEqual">
      <formula>0</formula>
    </cfRule>
    <cfRule type="cellIs" dxfId="1965" priority="120" stopIfTrue="1" operator="lessThanOrEqual">
      <formula>0</formula>
    </cfRule>
  </conditionalFormatting>
  <conditionalFormatting sqref="H56">
    <cfRule type="cellIs" dxfId="1964" priority="79" stopIfTrue="1" operator="greaterThan">
      <formula>$F$66</formula>
    </cfRule>
    <cfRule type="cellIs" dxfId="1963" priority="87" stopIfTrue="1" operator="greaterThan">
      <formula>$F$69</formula>
    </cfRule>
    <cfRule type="cellIs" dxfId="1962" priority="88" stopIfTrue="1" operator="lessThanOrEqual">
      <formula>0</formula>
    </cfRule>
    <cfRule type="cellIs" dxfId="1961" priority="89" stopIfTrue="1" operator="greaterThan">
      <formula>$F$67</formula>
    </cfRule>
    <cfRule type="cellIs" dxfId="1960" priority="90" stopIfTrue="1" operator="lessThanOrEqual">
      <formula>0</formula>
    </cfRule>
    <cfRule type="cellIs" dxfId="1959" priority="78" stopIfTrue="1" operator="lessThanOrEqual">
      <formula>0</formula>
    </cfRule>
  </conditionalFormatting>
  <conditionalFormatting sqref="H57:H58">
    <cfRule type="cellIs" dxfId="1958" priority="105" stopIfTrue="1" operator="greaterThan">
      <formula>#REF!</formula>
    </cfRule>
    <cfRule type="cellIs" dxfId="1957" priority="106" stopIfTrue="1" operator="lessThanOrEqual">
      <formula>0</formula>
    </cfRule>
    <cfRule type="cellIs" dxfId="1956" priority="104" stopIfTrue="1" operator="lessThanOrEqual">
      <formula>0</formula>
    </cfRule>
    <cfRule type="cellIs" dxfId="1955" priority="94" stopIfTrue="1" operator="lessThanOrEqual">
      <formula>0</formula>
    </cfRule>
    <cfRule type="cellIs" dxfId="1954" priority="95" stopIfTrue="1" operator="greaterThan">
      <formula>#REF!</formula>
    </cfRule>
    <cfRule type="cellIs" dxfId="1953" priority="103" stopIfTrue="1" operator="greaterThan">
      <formula>$F$22</formula>
    </cfRule>
  </conditionalFormatting>
  <conditionalFormatting sqref="H59">
    <cfRule type="cellIs" dxfId="1952" priority="134" stopIfTrue="1" operator="greaterThan">
      <formula>$F$36</formula>
    </cfRule>
    <cfRule type="cellIs" dxfId="1951" priority="135" stopIfTrue="1" operator="lessThanOrEqual">
      <formula>0</formula>
    </cfRule>
    <cfRule type="cellIs" dxfId="1950" priority="132" stopIfTrue="1" operator="greaterThan">
      <formula>$F$38</formula>
    </cfRule>
    <cfRule type="cellIs" dxfId="1949" priority="124" stopIfTrue="1" operator="greaterThan">
      <formula>$F$35</formula>
    </cfRule>
    <cfRule type="cellIs" dxfId="1948" priority="123" stopIfTrue="1" operator="lessThanOrEqual">
      <formula>0</formula>
    </cfRule>
    <cfRule type="cellIs" dxfId="1947" priority="133" stopIfTrue="1" operator="lessThanOrEqual">
      <formula>0</formula>
    </cfRule>
  </conditionalFormatting>
  <conditionalFormatting sqref="H60:H61">
    <cfRule type="cellIs" dxfId="1946" priority="75" stopIfTrue="1" operator="greaterThan">
      <formula>#REF!</formula>
    </cfRule>
    <cfRule type="cellIs" dxfId="1945" priority="76" stopIfTrue="1" operator="lessThanOrEqual">
      <formula>0</formula>
    </cfRule>
    <cfRule type="cellIs" dxfId="1944" priority="65" stopIfTrue="1" operator="greaterThan">
      <formula>#REF!</formula>
    </cfRule>
    <cfRule type="cellIs" dxfId="1943" priority="64" stopIfTrue="1" operator="lessThanOrEqual">
      <formula>0</formula>
    </cfRule>
    <cfRule type="cellIs" dxfId="1942" priority="73" stopIfTrue="1" operator="greaterThan">
      <formula>$F$22</formula>
    </cfRule>
    <cfRule type="cellIs" dxfId="1941" priority="74" stopIfTrue="1" operator="lessThanOrEqual">
      <formula>0</formula>
    </cfRule>
  </conditionalFormatting>
  <conditionalFormatting sqref="H65:H72">
    <cfRule type="cellIs" dxfId="1940" priority="156" stopIfTrue="1" operator="lessThanOrEqual">
      <formula>0</formula>
    </cfRule>
    <cfRule type="cellIs" dxfId="1939" priority="155" stopIfTrue="1" operator="greaterThan">
      <formula>$J65</formula>
    </cfRule>
  </conditionalFormatting>
  <conditionalFormatting sqref="H73">
    <cfRule type="cellIs" dxfId="1938" priority="157" operator="greaterThan">
      <formula>5.3</formula>
    </cfRule>
  </conditionalFormatting>
  <conditionalFormatting sqref="H76 H78:H84">
    <cfRule type="cellIs" dxfId="1937" priority="187" stopIfTrue="1" operator="lessThanOrEqual">
      <formula>0</formula>
    </cfRule>
    <cfRule type="cellIs" dxfId="1936" priority="186" stopIfTrue="1" operator="greaterThan">
      <formula>4.5</formula>
    </cfRule>
  </conditionalFormatting>
  <conditionalFormatting sqref="H54:I54">
    <cfRule type="cellIs" dxfId="1935" priority="34" stopIfTrue="1" operator="greaterThan">
      <formula>$F$71</formula>
    </cfRule>
    <cfRule type="cellIs" dxfId="1934" priority="37" stopIfTrue="1" operator="lessThanOrEqual">
      <formula>0</formula>
    </cfRule>
  </conditionalFormatting>
  <conditionalFormatting sqref="H55:I55">
    <cfRule type="cellIs" dxfId="1933" priority="110" stopIfTrue="1" operator="lessThanOrEqual">
      <formula>0</formula>
    </cfRule>
    <cfRule type="cellIs" dxfId="1932" priority="107" stopIfTrue="1" operator="greaterThan">
      <formula>$F$22</formula>
    </cfRule>
  </conditionalFormatting>
  <conditionalFormatting sqref="H56:I56">
    <cfRule type="cellIs" dxfId="1931" priority="77" stopIfTrue="1" operator="greaterThan">
      <formula>$F$68</formula>
    </cfRule>
    <cfRule type="cellIs" dxfId="1930" priority="80" stopIfTrue="1" operator="lessThanOrEqual">
      <formula>0</formula>
    </cfRule>
  </conditionalFormatting>
  <conditionalFormatting sqref="H57:I58">
    <cfRule type="cellIs" dxfId="1929" priority="93" stopIfTrue="1" operator="greaterThan">
      <formula>#REF!</formula>
    </cfRule>
    <cfRule type="cellIs" dxfId="1928" priority="96" stopIfTrue="1" operator="lessThanOrEqual">
      <formula>0</formula>
    </cfRule>
  </conditionalFormatting>
  <conditionalFormatting sqref="H59:I59">
    <cfRule type="cellIs" dxfId="1927" priority="122" stopIfTrue="1" operator="greaterThan">
      <formula>$F$37</formula>
    </cfRule>
    <cfRule type="cellIs" dxfId="1926" priority="125" stopIfTrue="1" operator="lessThanOrEqual">
      <formula>0</formula>
    </cfRule>
  </conditionalFormatting>
  <conditionalFormatting sqref="H60:I61">
    <cfRule type="cellIs" dxfId="1925" priority="63" stopIfTrue="1" operator="greaterThan">
      <formula>#REF!</formula>
    </cfRule>
    <cfRule type="cellIs" dxfId="1924" priority="66" stopIfTrue="1" operator="lessThanOrEqual">
      <formula>0</formula>
    </cfRule>
  </conditionalFormatting>
  <conditionalFormatting sqref="H74:I74">
    <cfRule type="cellIs" dxfId="1923" priority="148" stopIfTrue="1" operator="lessThanOrEqual">
      <formula>0</formula>
    </cfRule>
    <cfRule type="cellIs" dxfId="1922" priority="147" stopIfTrue="1" operator="greaterThan">
      <formula>$J74</formula>
    </cfRule>
  </conditionalFormatting>
  <conditionalFormatting sqref="I54">
    <cfRule type="cellIs" dxfId="1921" priority="38" stopIfTrue="1" operator="greaterThan">
      <formula>$F$69</formula>
    </cfRule>
    <cfRule type="cellIs" dxfId="1920" priority="43" stopIfTrue="1" operator="lessThanOrEqual">
      <formula>0</formula>
    </cfRule>
    <cfRule type="cellIs" dxfId="1919" priority="41" stopIfTrue="1" operator="lessThanOrEqual">
      <formula>0</formula>
    </cfRule>
    <cfRule type="cellIs" dxfId="1918" priority="42" stopIfTrue="1" operator="greaterThan">
      <formula>$F$69</formula>
    </cfRule>
    <cfRule type="cellIs" dxfId="1917" priority="40" stopIfTrue="1" operator="greaterThan">
      <formula>$F$71</formula>
    </cfRule>
    <cfRule type="cellIs" dxfId="1916" priority="39" stopIfTrue="1" operator="lessThanOrEqual">
      <formula>0</formula>
    </cfRule>
  </conditionalFormatting>
  <conditionalFormatting sqref="I55">
    <cfRule type="cellIs" dxfId="1915" priority="111" stopIfTrue="1" operator="greaterThan">
      <formula>#REF!</formula>
    </cfRule>
    <cfRule type="cellIs" dxfId="1914" priority="112" stopIfTrue="1" operator="lessThanOrEqual">
      <formula>0</formula>
    </cfRule>
    <cfRule type="cellIs" dxfId="1913" priority="116" stopIfTrue="1" operator="lessThanOrEqual">
      <formula>0</formula>
    </cfRule>
    <cfRule type="cellIs" dxfId="1912" priority="113" stopIfTrue="1" operator="greaterThan">
      <formula>$F$22</formula>
    </cfRule>
    <cfRule type="cellIs" dxfId="1911" priority="114" stopIfTrue="1" operator="lessThanOrEqual">
      <formula>0</formula>
    </cfRule>
    <cfRule type="cellIs" dxfId="1910" priority="115" stopIfTrue="1" operator="greaterThan">
      <formula>#REF!</formula>
    </cfRule>
  </conditionalFormatting>
  <conditionalFormatting sqref="I56">
    <cfRule type="cellIs" dxfId="1909" priority="81" stopIfTrue="1" operator="greaterThan">
      <formula>$F$66</formula>
    </cfRule>
    <cfRule type="cellIs" dxfId="1908" priority="82" stopIfTrue="1" operator="lessThanOrEqual">
      <formula>0</formula>
    </cfRule>
    <cfRule type="cellIs" dxfId="1907" priority="86" stopIfTrue="1" operator="lessThanOrEqual">
      <formula>0</formula>
    </cfRule>
    <cfRule type="cellIs" dxfId="1906" priority="84" stopIfTrue="1" operator="lessThanOrEqual">
      <formula>0</formula>
    </cfRule>
    <cfRule type="cellIs" dxfId="1905" priority="83" stopIfTrue="1" operator="greaterThan">
      <formula>$F$68</formula>
    </cfRule>
    <cfRule type="cellIs" dxfId="1904" priority="85" stopIfTrue="1" operator="greaterThan">
      <formula>$F$66</formula>
    </cfRule>
  </conditionalFormatting>
  <conditionalFormatting sqref="I57:I58">
    <cfRule type="cellIs" dxfId="1903" priority="97" stopIfTrue="1" operator="greaterThan">
      <formula>#REF!</formula>
    </cfRule>
    <cfRule type="cellIs" dxfId="1902" priority="98" stopIfTrue="1" operator="lessThanOrEqual">
      <formula>0</formula>
    </cfRule>
    <cfRule type="cellIs" dxfId="1901" priority="100" stopIfTrue="1" operator="lessThanOrEqual">
      <formula>0</formula>
    </cfRule>
    <cfRule type="cellIs" dxfId="1900" priority="101" stopIfTrue="1" operator="greaterThan">
      <formula>#REF!</formula>
    </cfRule>
    <cfRule type="cellIs" dxfId="1899" priority="99" stopIfTrue="1" operator="greaterThan">
      <formula>#REF!</formula>
    </cfRule>
    <cfRule type="cellIs" dxfId="1898" priority="102" stopIfTrue="1" operator="lessThanOrEqual">
      <formula>0</formula>
    </cfRule>
  </conditionalFormatting>
  <conditionalFormatting sqref="I59">
    <cfRule type="cellIs" dxfId="1897" priority="130" stopIfTrue="1" operator="greaterThan">
      <formula>$F$35</formula>
    </cfRule>
    <cfRule type="cellIs" dxfId="1896" priority="129" stopIfTrue="1" operator="lessThanOrEqual">
      <formula>0</formula>
    </cfRule>
    <cfRule type="cellIs" dxfId="1895" priority="128" stopIfTrue="1" operator="greaterThan">
      <formula>$F$37</formula>
    </cfRule>
    <cfRule type="cellIs" dxfId="1894" priority="127" stopIfTrue="1" operator="lessThanOrEqual">
      <formula>0</formula>
    </cfRule>
    <cfRule type="cellIs" dxfId="1893" priority="126" stopIfTrue="1" operator="greaterThan">
      <formula>$F$35</formula>
    </cfRule>
    <cfRule type="cellIs" dxfId="1892" priority="131" stopIfTrue="1" operator="lessThanOrEqual">
      <formula>0</formula>
    </cfRule>
  </conditionalFormatting>
  <conditionalFormatting sqref="I60:I61">
    <cfRule type="cellIs" dxfId="1891" priority="72" stopIfTrue="1" operator="lessThanOrEqual">
      <formula>0</formula>
    </cfRule>
    <cfRule type="cellIs" dxfId="1890" priority="68" stopIfTrue="1" operator="lessThanOrEqual">
      <formula>0</formula>
    </cfRule>
    <cfRule type="cellIs" dxfId="1889" priority="67" stopIfTrue="1" operator="greaterThan">
      <formula>#REF!</formula>
    </cfRule>
    <cfRule type="cellIs" dxfId="1888" priority="69" stopIfTrue="1" operator="greaterThan">
      <formula>#REF!</formula>
    </cfRule>
    <cfRule type="cellIs" dxfId="1887" priority="70" stopIfTrue="1" operator="lessThanOrEqual">
      <formula>0</formula>
    </cfRule>
    <cfRule type="cellIs" dxfId="1886" priority="71" stopIfTrue="1" operator="greaterThan">
      <formula>#REF!</formula>
    </cfRule>
  </conditionalFormatting>
  <conditionalFormatting sqref="I65:I73">
    <cfRule type="cellIs" dxfId="1885" priority="159" stopIfTrue="1" operator="lessThanOrEqual">
      <formula>0</formula>
    </cfRule>
    <cfRule type="cellIs" dxfId="1884" priority="158" stopIfTrue="1" operator="greaterThan">
      <formula>$J65</formula>
    </cfRule>
  </conditionalFormatting>
  <conditionalFormatting sqref="I76:I84">
    <cfRule type="cellIs" dxfId="1883" priority="182" stopIfTrue="1" operator="greaterThan">
      <formula>4.5</formula>
    </cfRule>
    <cfRule type="cellIs" dxfId="1882" priority="183" stopIfTrue="1" operator="lessThanOrEqual">
      <formula>0</formula>
    </cfRule>
  </conditionalFormatting>
  <conditionalFormatting sqref="I10:J22">
    <cfRule type="cellIs" dxfId="1881" priority="27" operator="lessThan">
      <formula>97.9</formula>
    </cfRule>
  </conditionalFormatting>
  <conditionalFormatting sqref="J26:J27">
    <cfRule type="cellIs" dxfId="1880" priority="137" stopIfTrue="1" operator="lessThan">
      <formula>96.8</formula>
    </cfRule>
    <cfRule type="cellIs" dxfId="1879" priority="138" stopIfTrue="1" operator="greaterThan">
      <formula>100</formula>
    </cfRule>
    <cfRule type="cellIs" dxfId="1878" priority="139" operator="lessThan">
      <formula>98</formula>
    </cfRule>
  </conditionalFormatting>
  <conditionalFormatting sqref="J26:J29">
    <cfRule type="cellIs" dxfId="1877" priority="136" operator="lessThan">
      <formula>97.4</formula>
    </cfRule>
  </conditionalFormatting>
  <conditionalFormatting sqref="J30:J31">
    <cfRule type="cellIs" dxfId="1876" priority="140" operator="lessThan">
      <formula>98</formula>
    </cfRule>
  </conditionalFormatting>
  <conditionalFormatting sqref="J32:J33">
    <cfRule type="cellIs" dxfId="1875" priority="141" stopIfTrue="1" operator="lessThan">
      <formula>96.8</formula>
    </cfRule>
    <cfRule type="cellIs" dxfId="1874" priority="142" stopIfTrue="1" operator="greaterThan">
      <formula>100</formula>
    </cfRule>
  </conditionalFormatting>
  <conditionalFormatting sqref="J32:J34">
    <cfRule type="cellIs" dxfId="1873" priority="143" operator="lessThan">
      <formula>98</formula>
    </cfRule>
  </conditionalFormatting>
  <conditionalFormatting sqref="J61">
    <cfRule type="cellIs" dxfId="1872" priority="62" stopIfTrue="1" operator="lessThanOrEqual">
      <formula>0</formula>
    </cfRule>
    <cfRule type="cellIs" dxfId="1871" priority="61" stopIfTrue="1" operator="greaterThan">
      <formula>#REF!</formula>
    </cfRule>
    <cfRule type="cellIs" dxfId="1870" priority="60" stopIfTrue="1" operator="lessThanOrEqual">
      <formula>0</formula>
    </cfRule>
    <cfRule type="cellIs" dxfId="1869" priority="59" stopIfTrue="1" operator="greaterThan">
      <formula>#REF!</formula>
    </cfRule>
    <cfRule type="cellIs" dxfId="1868" priority="58" stopIfTrue="1" operator="lessThanOrEqual">
      <formula>0</formula>
    </cfRule>
    <cfRule type="cellIs" dxfId="1867" priority="57" stopIfTrue="1" operator="greaterThan">
      <formula>#REF!</formula>
    </cfRule>
    <cfRule type="cellIs" dxfId="1866" priority="56" stopIfTrue="1" operator="lessThanOrEqual">
      <formula>0</formula>
    </cfRule>
    <cfRule type="cellIs" dxfId="1865" priority="55" stopIfTrue="1" operator="greaterThan">
      <formula>#REF!</formula>
    </cfRule>
  </conditionalFormatting>
  <conditionalFormatting sqref="J74">
    <cfRule type="cellIs" dxfId="1864" priority="144" stopIfTrue="1" operator="greaterThan">
      <formula>$F74</formula>
    </cfRule>
    <cfRule type="cellIs" dxfId="1863" priority="145" stopIfTrue="1" operator="lessThanOrEqual">
      <formula>0</formula>
    </cfRule>
  </conditionalFormatting>
  <conditionalFormatting sqref="K10:K22">
    <cfRule type="cellIs" dxfId="1862" priority="30" operator="greaterThan">
      <formula>6.4</formula>
    </cfRule>
    <cfRule type="cellIs" dxfId="1861" priority="29" operator="lessThan">
      <formula>4</formula>
    </cfRule>
    <cfRule type="cellIs" dxfId="1860" priority="28" operator="greaterThan">
      <formula>6</formula>
    </cfRule>
  </conditionalFormatting>
  <conditionalFormatting sqref="K54:K61 K65:N71 K72 M72:N72 K73:N73">
    <cfRule type="cellIs" dxfId="1859" priority="121" stopIfTrue="1" operator="lessThan">
      <formula>100%</formula>
    </cfRule>
  </conditionalFormatting>
  <conditionalFormatting sqref="K76:K81">
    <cfRule type="cellIs" dxfId="1858" priority="188" stopIfTrue="1" operator="lessThan">
      <formula>100%</formula>
    </cfRule>
  </conditionalFormatting>
  <conditionalFormatting sqref="K83:K84">
    <cfRule type="cellIs" dxfId="1857" priority="195" stopIfTrue="1" operator="lessThan">
      <formula>100%</formula>
    </cfRule>
  </conditionalFormatting>
  <conditionalFormatting sqref="L10:L22">
    <cfRule type="cellIs" dxfId="1856" priority="33" operator="greaterThan">
      <formula>65</formula>
    </cfRule>
    <cfRule type="cellIs" dxfId="1855" priority="32" operator="between">
      <formula>61</formula>
      <formula>65</formula>
    </cfRule>
  </conditionalFormatting>
  <conditionalFormatting sqref="L25:M36">
    <cfRule type="cellIs" dxfId="1854" priority="24" operator="lessThan">
      <formula>97.95</formula>
    </cfRule>
  </conditionalFormatting>
  <conditionalFormatting sqref="L40:N40">
    <cfRule type="cellIs" dxfId="1853" priority="25" operator="notEqual">
      <formula>#REF!</formula>
    </cfRule>
  </conditionalFormatting>
  <conditionalFormatting sqref="L74:N74">
    <cfRule type="cellIs" dxfId="1852" priority="146" stopIfTrue="1" operator="lessThan">
      <formula>100%</formula>
    </cfRule>
  </conditionalFormatting>
  <conditionalFormatting sqref="L76:N84">
    <cfRule type="cellIs" dxfId="1851" priority="173" stopIfTrue="1" operator="lessThan">
      <formula>100%</formula>
    </cfRule>
  </conditionalFormatting>
  <conditionalFormatting sqref="M10:M21">
    <cfRule type="expression" dxfId="1850" priority="31">
      <formula>IF(+(IF(M10&lt;U10,0,IF(M10&gt;V10,0,1)))=0,1)</formula>
    </cfRule>
  </conditionalFormatting>
  <conditionalFormatting sqref="M22:N22">
    <cfRule type="expression" dxfId="1849" priority="203">
      <formula>IF(+(IF(M22&lt;#REF!,0,IF(M22&gt;#REF!,0,1)))=0,1)</formula>
    </cfRule>
  </conditionalFormatting>
  <conditionalFormatting sqref="N10:N21">
    <cfRule type="expression" dxfId="1848" priority="26">
      <formula>IF(+(IF(N10&lt;W10,0,IF(N10&gt;X10,0,1)))=0,1)</formula>
    </cfRule>
  </conditionalFormatting>
  <conditionalFormatting sqref="P6">
    <cfRule type="cellIs" dxfId="1847" priority="169" operator="greaterThanOrEqual">
      <formula>19</formula>
    </cfRule>
  </conditionalFormatting>
  <dataValidations count="1">
    <dataValidation type="list" allowBlank="1" showInputMessage="1" showErrorMessage="1" sqref="R8" xr:uid="{A799B64A-D19F-43CA-B336-869E7A2E363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9D8-B4DF-41EB-986B-A01D787E4F12}">
  <sheetPr>
    <pageSetUpPr fitToPage="1"/>
  </sheetPr>
  <dimension ref="A1:BE79"/>
  <sheetViews>
    <sheetView topLeftCell="A9" zoomScale="80" zoomScaleNormal="80" workbookViewId="0">
      <selection activeCell="B13" sqref="B13:O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46008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[23]Brewhouse!$A1023</f>
        <v>CA907</v>
      </c>
      <c r="D10" s="279">
        <f>[23]Brewhouse!$AF1023</f>
        <v>53</v>
      </c>
      <c r="E10" s="279">
        <f>[23]Brewhouse!$AI1023</f>
        <v>51.2</v>
      </c>
      <c r="F10" s="278">
        <f>[23]Brewhouse!$V1023</f>
        <v>59</v>
      </c>
      <c r="G10" s="279">
        <f>[23]Brewhouse!AG1023</f>
        <v>11.9</v>
      </c>
      <c r="H10" s="469">
        <v>12.1</v>
      </c>
      <c r="I10" s="368">
        <f>[23]Brewhouse!$AU1023</f>
        <v>100.19422313155411</v>
      </c>
      <c r="J10" s="368">
        <f>[23]Brewhouse!$AV1023</f>
        <v>100.71389823229666</v>
      </c>
      <c r="K10" s="281">
        <f>[23]Brewhouse!$Q1023</f>
        <v>2.1132075471698064</v>
      </c>
      <c r="L10" s="276">
        <f>[23]Brewhouse!$P1023</f>
        <v>64</v>
      </c>
      <c r="M10" s="397">
        <f>[23]Brewhouse!$U1023-[23]Brewhouse!$T1023</f>
        <v>0.11319444444444443</v>
      </c>
      <c r="N10" s="370">
        <f>[23]Brewhouse!$Z1023</f>
        <v>0.26874999999999999</v>
      </c>
      <c r="O10" s="420" t="str">
        <f>[23]Brewhouse!$AX1023</f>
        <v>K. Benjamin</v>
      </c>
      <c r="P10" s="418"/>
      <c r="R10" s="277" t="str">
        <f t="shared" ref="R10:R26" si="0">B10</f>
        <v>CARIB</v>
      </c>
      <c r="S10" s="475">
        <f t="shared" ref="S10:S41" si="1">VLOOKUP($B10,$R$3:$X$9,2,FALSE)</f>
        <v>11.6</v>
      </c>
      <c r="T10" s="475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475">
        <f t="shared" ref="Z10:Z41" si="8">VLOOKUP($B10,$R$3:$Z$9,9,FALSE)</f>
        <v>60</v>
      </c>
    </row>
    <row r="11" spans="2:29" ht="16.5" customHeight="1">
      <c r="B11" s="29" t="s">
        <v>6</v>
      </c>
      <c r="C11" s="366" t="str">
        <f>[23]Brewhouse!$A1024</f>
        <v>CA908</v>
      </c>
      <c r="D11" s="279">
        <f>[23]Brewhouse!$AF1024</f>
        <v>52.8</v>
      </c>
      <c r="E11" s="279">
        <f>[23]Brewhouse!$AI1024</f>
        <v>51.9</v>
      </c>
      <c r="F11" s="278">
        <f>[23]Brewhouse!$V1024</f>
        <v>63</v>
      </c>
      <c r="G11" s="279">
        <f>[23]Brewhouse!AG1024</f>
        <v>11.6</v>
      </c>
      <c r="H11" s="396">
        <v>11.7</v>
      </c>
      <c r="I11" s="368">
        <f>[23]Brewhouse!$AU1024</f>
        <v>98.75104732676769</v>
      </c>
      <c r="J11" s="368">
        <f>[23]Brewhouse!$AV1024</f>
        <v>99.26327770767972</v>
      </c>
      <c r="K11" s="281">
        <f>[23]Brewhouse!$Q1024</f>
        <v>1.9209039548022655</v>
      </c>
      <c r="L11" s="276">
        <f>[23]Brewhouse!$P1024</f>
        <v>60</v>
      </c>
      <c r="M11" s="397">
        <f>[23]Brewhouse!$U1024-[23]Brewhouse!$T1024</f>
        <v>0.11111111111111105</v>
      </c>
      <c r="N11" s="370">
        <f>[23]Brewhouse!$Z1024</f>
        <v>0.24305555555555552</v>
      </c>
      <c r="O11" s="420" t="str">
        <f>[23]Brewhouse!$AX1024</f>
        <v>R. Regis</v>
      </c>
      <c r="P11" s="418"/>
      <c r="R11" s="277" t="str">
        <f t="shared" si="0"/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[23]Brewhouse!$A1025</f>
        <v>CA909</v>
      </c>
      <c r="D12" s="279">
        <f>[23]Brewhouse!$AF1025</f>
        <v>50.8</v>
      </c>
      <c r="E12" s="279">
        <f>[23]Brewhouse!$AI1025</f>
        <v>51.1</v>
      </c>
      <c r="F12" s="278">
        <f>[23]Brewhouse!$V1025</f>
        <v>67</v>
      </c>
      <c r="G12" s="279">
        <f>[23]Brewhouse!AG1025</f>
        <v>11.6</v>
      </c>
      <c r="H12" s="396">
        <v>1.6</v>
      </c>
      <c r="I12" s="368">
        <f>[23]Brewhouse!$AU1025</f>
        <v>97.467354545523548</v>
      </c>
      <c r="J12" s="368">
        <f>[23]Brewhouse!$AV1025</f>
        <v>97.972846120766206</v>
      </c>
      <c r="K12" s="281">
        <f>[23]Brewhouse!$Q1025</f>
        <v>5.6873822975517951</v>
      </c>
      <c r="L12" s="276">
        <f>[23]Brewhouse!$P1025</f>
        <v>61</v>
      </c>
      <c r="M12" s="397">
        <f>[23]Brewhouse!$U1025-[23]Brewhouse!$T1025</f>
        <v>0.11736111111111114</v>
      </c>
      <c r="N12" s="370">
        <f>[23]Brewhouse!$Z1025</f>
        <v>0.25416666666666665</v>
      </c>
      <c r="O12" s="420" t="str">
        <f>[23]Brewhouse!$AX1025</f>
        <v>R. Regis</v>
      </c>
      <c r="P12" s="418"/>
      <c r="R12" s="277" t="str">
        <f t="shared" si="0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 t="s">
        <v>6</v>
      </c>
      <c r="C13" s="366" t="str">
        <f>[23]Brewhouse!$A1026</f>
        <v>CA910</v>
      </c>
      <c r="D13" s="279">
        <f>[23]Brewhouse!$AF1026</f>
        <v>53</v>
      </c>
      <c r="E13" s="279">
        <f>[23]Brewhouse!$AI1026</f>
        <v>51.8</v>
      </c>
      <c r="F13" s="278">
        <f>[23]Brewhouse!$V1026</f>
        <v>66</v>
      </c>
      <c r="G13" s="279">
        <f>[23]Brewhouse!AG1026</f>
        <v>11.6</v>
      </c>
      <c r="H13" s="396">
        <v>11.6</v>
      </c>
      <c r="I13" s="368">
        <f>[23]Brewhouse!$AU1026</f>
        <v>99.045460840442189</v>
      </c>
      <c r="J13" s="368">
        <f>[23]Brewhouse!$AV1026</f>
        <v>99.559055017018608</v>
      </c>
      <c r="K13" s="281">
        <f>[23]Brewhouse!$Q1026</f>
        <v>1.5442561205273075</v>
      </c>
      <c r="L13" s="276">
        <f>[23]Brewhouse!$P1026</f>
        <v>60</v>
      </c>
      <c r="M13" s="397">
        <f>[23]Brewhouse!$U1026-[23]Brewhouse!$T1026</f>
        <v>0.10972222222222228</v>
      </c>
      <c r="N13" s="370">
        <f>[23]Brewhouse!$Z1026</f>
        <v>0.24722222222222223</v>
      </c>
      <c r="O13" s="420" t="str">
        <f>[23]Brewhouse!$AX1026</f>
        <v>R. Regis</v>
      </c>
      <c r="P13" s="418"/>
      <c r="R13" s="277" t="str">
        <f t="shared" si="0"/>
        <v>CARIB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3" t="s">
        <v>9</v>
      </c>
      <c r="C15" s="366" t="str">
        <f>[24]Brewhouse!$A512</f>
        <v>ST487</v>
      </c>
      <c r="D15" s="279">
        <f>[24]Brewhouse!$AD512</f>
        <v>54.8</v>
      </c>
      <c r="E15" s="279">
        <f>[24]Brewhouse!$AG512</f>
        <v>54</v>
      </c>
      <c r="F15" s="278">
        <f>[24]Brewhouse!$V512</f>
        <v>65</v>
      </c>
      <c r="G15" s="495">
        <f>[24]Brewhouse!$AE512</f>
        <v>12.1</v>
      </c>
      <c r="H15" s="469">
        <v>12.1</v>
      </c>
      <c r="I15" s="488">
        <f>[24]Brewhouse!$AS512</f>
        <v>109.99798711625786</v>
      </c>
      <c r="J15" s="488">
        <f>[24]Brewhouse!$AT512</f>
        <v>110.47920569426664</v>
      </c>
      <c r="K15" s="281">
        <f>[24]Brewhouse!$Q512</f>
        <v>10.913461538461533</v>
      </c>
      <c r="L15" s="276">
        <f>[24]Brewhouse!$P512</f>
        <v>58</v>
      </c>
      <c r="M15" s="374">
        <f>[24]Brewhouse!$U512-[24]Brewhouse!$T512</f>
        <v>0.13680555555555562</v>
      </c>
      <c r="N15" s="370">
        <f>[24]Brewhouse!$AW512</f>
        <v>0.27500000000000002</v>
      </c>
      <c r="O15" s="420" t="str">
        <f>[24]Brewhouse!$AV512</f>
        <v>R.Sookram</v>
      </c>
      <c r="P15" s="418"/>
      <c r="R15" s="277" t="str">
        <f t="shared" si="0"/>
        <v>STAG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33" t="s">
        <v>9</v>
      </c>
      <c r="C16" s="366" t="str">
        <f>[24]Brewhouse!$A513</f>
        <v>ST488</v>
      </c>
      <c r="D16" s="279">
        <f>[24]Brewhouse!$AD513</f>
        <v>47.6</v>
      </c>
      <c r="E16" s="279">
        <f>[24]Brewhouse!$AG513</f>
        <v>48.3</v>
      </c>
      <c r="F16" s="278">
        <f>[24]Brewhouse!$V513</f>
        <v>61</v>
      </c>
      <c r="G16" s="279">
        <f>[24]Brewhouse!$AE513</f>
        <v>12</v>
      </c>
      <c r="H16" s="469">
        <v>12.1</v>
      </c>
      <c r="I16" s="488">
        <f>[24]Brewhouse!$AS513</f>
        <v>97.655248935825526</v>
      </c>
      <c r="J16" s="488">
        <f>[24]Brewhouse!$AT513</f>
        <v>98.082330125015488</v>
      </c>
      <c r="K16" s="281">
        <f>[24]Brewhouse!$Q513</f>
        <v>10.508637236084455</v>
      </c>
      <c r="L16" s="276">
        <f>[24]Brewhouse!$P513</f>
        <v>57</v>
      </c>
      <c r="M16" s="374">
        <f>[24]Brewhouse!$U513-[24]Brewhouse!$T513</f>
        <v>0.10902777777777772</v>
      </c>
      <c r="N16" s="370">
        <f>[24]Brewhouse!$AW513</f>
        <v>0.27222222222222225</v>
      </c>
      <c r="O16" s="420" t="str">
        <f>[24]Brewhouse!$AV513</f>
        <v>R.Sookram</v>
      </c>
      <c r="P16" s="418"/>
      <c r="R16" s="277" t="str">
        <f t="shared" si="0"/>
        <v>STAG</v>
      </c>
      <c r="S16" s="475">
        <f t="shared" si="1"/>
        <v>11.6</v>
      </c>
      <c r="T16" s="475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5">
        <f t="shared" si="8"/>
        <v>60</v>
      </c>
    </row>
    <row r="17" spans="1:26" ht="16.5" customHeight="1">
      <c r="B17" s="33" t="s">
        <v>9</v>
      </c>
      <c r="C17" s="366" t="str">
        <f>[24]Brewhouse!$A514</f>
        <v>ST489</v>
      </c>
      <c r="D17" s="279">
        <f>[24]Brewhouse!$AD514</f>
        <v>49</v>
      </c>
      <c r="E17" s="279">
        <f>[24]Brewhouse!$AG514</f>
        <v>47.7</v>
      </c>
      <c r="F17" s="278">
        <f>[24]Brewhouse!$V514</f>
        <v>58</v>
      </c>
      <c r="G17" s="279">
        <f>[24]Brewhouse!$AE514</f>
        <v>11.9</v>
      </c>
      <c r="H17" s="396">
        <v>12</v>
      </c>
      <c r="I17" s="488">
        <f>[24]Brewhouse!$AS514</f>
        <v>95.59750367474058</v>
      </c>
      <c r="J17" s="488">
        <f>[24]Brewhouse!$AT514</f>
        <v>96.015585610918237</v>
      </c>
      <c r="K17" s="281">
        <f>[24]Brewhouse!$Q514</f>
        <v>9.7408829174664167</v>
      </c>
      <c r="L17" s="276">
        <f>[24]Brewhouse!$P514</f>
        <v>58</v>
      </c>
      <c r="M17" s="374">
        <f>[24]Brewhouse!$U514-[24]Brewhouse!$T514</f>
        <v>0.11041666666666672</v>
      </c>
      <c r="N17" s="370">
        <f>[24]Brewhouse!$AW514</f>
        <v>0.26250000000000007</v>
      </c>
      <c r="O17" s="420" t="str">
        <f>[24]Brewhouse!$AV514</f>
        <v>R.Sookram</v>
      </c>
      <c r="P17" s="418"/>
      <c r="R17" s="277" t="str">
        <f t="shared" si="0"/>
        <v>STAG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1:26" ht="16.5" customHeight="1">
      <c r="B18" s="33" t="s">
        <v>9</v>
      </c>
      <c r="C18" s="366" t="str">
        <f>[24]Brewhouse!$A515</f>
        <v>ST490</v>
      </c>
      <c r="D18" s="279">
        <f>[24]Brewhouse!$AD515</f>
        <v>48</v>
      </c>
      <c r="E18" s="279">
        <f>[24]Brewhouse!$AG515</f>
        <v>46.7</v>
      </c>
      <c r="F18" s="278">
        <f>[24]Brewhouse!$V515</f>
        <v>56</v>
      </c>
      <c r="G18" s="279">
        <f>[24]Brewhouse!$AE515</f>
        <v>12</v>
      </c>
      <c r="H18" s="396">
        <v>12</v>
      </c>
      <c r="I18" s="488">
        <f>[24]Brewhouse!$AS515</f>
        <v>91.227014661850589</v>
      </c>
      <c r="J18" s="488">
        <f>[24]Brewhouse!$AT515</f>
        <v>91.625851361644408</v>
      </c>
      <c r="K18" s="281">
        <f>[24]Brewhouse!$Q515</f>
        <v>13.605769230769221</v>
      </c>
      <c r="L18" s="276">
        <f>[24]Brewhouse!$P515</f>
        <v>60</v>
      </c>
      <c r="M18" s="374">
        <f>[24]Brewhouse!$U515-[24]Brewhouse!$T515</f>
        <v>0.11250000000000004</v>
      </c>
      <c r="N18" s="370">
        <f>[24]Brewhouse!$AW515</f>
        <v>0.25694444444444453</v>
      </c>
      <c r="O18" s="420" t="str">
        <f>[24]Brewhouse!$AV515</f>
        <v>K. Benjamin</v>
      </c>
      <c r="P18" s="418"/>
      <c r="R18" s="277" t="str">
        <f t="shared" si="0"/>
        <v>STAG</v>
      </c>
      <c r="S18" s="475">
        <f t="shared" si="1"/>
        <v>11.6</v>
      </c>
      <c r="T18" s="475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5">
        <f t="shared" si="8"/>
        <v>60</v>
      </c>
    </row>
    <row r="19" spans="1:26" ht="16.5" customHeight="1">
      <c r="B19" s="33"/>
      <c r="C19" s="366"/>
      <c r="D19" s="279"/>
      <c r="E19" s="279"/>
      <c r="F19" s="278"/>
      <c r="G19" s="279"/>
      <c r="H19" s="396"/>
      <c r="I19" s="488"/>
      <c r="J19" s="488"/>
      <c r="K19" s="281"/>
      <c r="L19" s="276"/>
      <c r="M19" s="374"/>
      <c r="N19" s="370"/>
      <c r="O19" s="420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6" ht="16.5" hidden="1" customHeight="1">
      <c r="B20" s="33"/>
      <c r="C20" s="366"/>
      <c r="D20" s="279"/>
      <c r="E20" s="279"/>
      <c r="F20" s="278"/>
      <c r="G20" s="279"/>
      <c r="H20" s="396"/>
      <c r="I20" s="488"/>
      <c r="J20" s="488"/>
      <c r="K20" s="281"/>
      <c r="L20" s="276"/>
      <c r="M20" s="374"/>
      <c r="N20" s="370"/>
      <c r="O20" s="420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6" ht="16.5" hidden="1" customHeight="1">
      <c r="B21" s="33"/>
      <c r="C21" s="366"/>
      <c r="D21" s="279"/>
      <c r="E21" s="279"/>
      <c r="F21" s="278"/>
      <c r="G21" s="279"/>
      <c r="H21" s="396"/>
      <c r="I21" s="488"/>
      <c r="J21" s="488"/>
      <c r="K21" s="281"/>
      <c r="L21" s="276"/>
      <c r="M21" s="374"/>
      <c r="N21" s="370"/>
      <c r="O21" s="420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6" ht="16.5" hidden="1" customHeight="1">
      <c r="B22" s="33"/>
      <c r="C22" s="366"/>
      <c r="D22" s="279"/>
      <c r="E22" s="279"/>
      <c r="F22" s="278"/>
      <c r="G22" s="279"/>
      <c r="H22" s="396"/>
      <c r="I22" s="488"/>
      <c r="J22" s="488"/>
      <c r="K22" s="281"/>
      <c r="L22" s="276"/>
      <c r="M22" s="374"/>
      <c r="N22" s="370"/>
      <c r="O22" s="420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469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6" ht="16.5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ref="R27:R41" si="9">B27</f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28"/>
      <c r="J28" s="528"/>
      <c r="K28" s="528"/>
      <c r="L28" s="528"/>
      <c r="M28" s="528"/>
      <c r="N28" s="528"/>
      <c r="O28" s="1"/>
      <c r="P28" s="12"/>
      <c r="R28" s="277">
        <f t="shared" si="9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6" ht="15.75" customHeight="1" thickBot="1">
      <c r="B29" s="388" t="s">
        <v>162</v>
      </c>
      <c r="C29" s="388"/>
      <c r="D29" s="506" t="s">
        <v>35</v>
      </c>
      <c r="E29" s="507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6" ht="15" customHeight="1">
      <c r="A30" s="28"/>
      <c r="B30" s="587" t="str">
        <f>I30</f>
        <v>CARIB</v>
      </c>
      <c r="C30" s="362" cm="1">
        <f t="array" ref="C30:C37">[23]Process!$D$946:$D$953</f>
        <v>11.65</v>
      </c>
      <c r="D30" s="532">
        <v>11.94</v>
      </c>
      <c r="E30" s="533"/>
      <c r="F30" s="294"/>
      <c r="G30" s="294"/>
      <c r="H30" s="348"/>
      <c r="I30" s="29" t="s">
        <v>6</v>
      </c>
      <c r="J30" s="280">
        <f>AVERAGE(I10:I13)</f>
        <v>98.864521461071888</v>
      </c>
      <c r="K30" s="284">
        <f>COUNTA([23]Brewhouse!$A$1005:$A$1026)</f>
        <v>22</v>
      </c>
      <c r="L30" s="305">
        <f>AVERAGE([23]Brewhouse!$AU$1005:$AU$1026)</f>
        <v>98.810662473067381</v>
      </c>
      <c r="M30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30" s="30">
        <v>98</v>
      </c>
      <c r="O30" s="11"/>
      <c r="P30" s="31"/>
      <c r="R30" s="277" t="str">
        <f t="shared" si="9"/>
        <v>CARIB</v>
      </c>
      <c r="S30" s="475">
        <f t="shared" si="1"/>
        <v>11.6</v>
      </c>
      <c r="T30" s="475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475">
        <f t="shared" si="8"/>
        <v>60</v>
      </c>
    </row>
    <row r="31" spans="1:26" ht="15" customHeight="1">
      <c r="A31" s="28"/>
      <c r="B31" s="588"/>
      <c r="C31" s="362">
        <v>11.6</v>
      </c>
      <c r="D31" s="534"/>
      <c r="E31" s="535"/>
      <c r="F31" s="294"/>
      <c r="G31" s="294"/>
      <c r="H31" s="348"/>
      <c r="I31" s="33" t="s">
        <v>9</v>
      </c>
      <c r="J31" s="280">
        <f>AVERAGE(I15:I18)</f>
        <v>98.619438597168653</v>
      </c>
      <c r="K31" s="284">
        <f>COUNTA([24]Brewhouse!$A$486:$A$515)</f>
        <v>30</v>
      </c>
      <c r="L31" s="302">
        <f>AVERAGE([24]Brewhouse!$AS$486:$AS$515)</f>
        <v>96.807734018181023</v>
      </c>
      <c r="M31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$515)</f>
        <v>97.783750015764284</v>
      </c>
      <c r="N31" s="30">
        <v>98</v>
      </c>
      <c r="O31" s="11"/>
      <c r="P31" s="31"/>
      <c r="R31" s="277">
        <f t="shared" si="9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6" ht="14.65" customHeight="1">
      <c r="A32" s="28"/>
      <c r="B32" s="588"/>
      <c r="C32" s="362">
        <v>11.8</v>
      </c>
      <c r="D32" s="580">
        <v>11.89</v>
      </c>
      <c r="E32" s="581"/>
      <c r="F32" s="294"/>
      <c r="G32" s="294"/>
      <c r="H32" s="348"/>
      <c r="I32" s="34" t="s">
        <v>12</v>
      </c>
      <c r="J32" s="280"/>
      <c r="K32" s="284">
        <f>COUNTA([25]Brewhouse!$A$125:$A$132)</f>
        <v>8</v>
      </c>
      <c r="L32" s="302">
        <f>AVERAGE([25]Brewhouse!$AU$125:$AU$132)</f>
        <v>96.474285660381511</v>
      </c>
      <c r="M32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32" s="30">
        <v>98</v>
      </c>
      <c r="O32" s="11"/>
      <c r="P32" s="31"/>
      <c r="R32" s="277">
        <f t="shared" si="9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</row>
    <row r="33" spans="1:56" ht="14.65" customHeight="1">
      <c r="A33" s="28"/>
      <c r="B33" s="588"/>
      <c r="C33" s="362">
        <v>11.5</v>
      </c>
      <c r="D33" s="547"/>
      <c r="E33" s="535"/>
      <c r="F33" s="294"/>
      <c r="G33" s="294"/>
      <c r="H33" s="348"/>
      <c r="I33" s="22" t="s">
        <v>33</v>
      </c>
      <c r="J33" s="280"/>
      <c r="K33" s="284">
        <f>COUNTA([22]Brewhouse!$A$107:$A$122)</f>
        <v>16</v>
      </c>
      <c r="L33" s="302">
        <f>AVERAGE([22]Brewhouse!$AV$107:$AV$122)</f>
        <v>96.593037676437092</v>
      </c>
      <c r="M33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3" s="30">
        <v>98</v>
      </c>
      <c r="O33" s="11"/>
      <c r="P33" s="31"/>
      <c r="R33" s="277">
        <f t="shared" si="9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</row>
    <row r="34" spans="1:56" ht="14.65" customHeight="1">
      <c r="A34" s="28"/>
      <c r="B34" s="588"/>
      <c r="C34" s="362">
        <v>12</v>
      </c>
      <c r="D34" s="580">
        <v>11.85</v>
      </c>
      <c r="E34" s="581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9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</row>
    <row r="35" spans="1:56" ht="14.65" customHeight="1">
      <c r="A35" s="28"/>
      <c r="B35" s="588"/>
      <c r="C35" s="362">
        <v>11.8</v>
      </c>
      <c r="D35" s="547"/>
      <c r="E35" s="535"/>
      <c r="F35" s="417"/>
      <c r="G35" s="294"/>
      <c r="H35" s="348"/>
      <c r="I35" s="36" t="s">
        <v>15</v>
      </c>
      <c r="J35" s="323"/>
      <c r="K35" s="284"/>
      <c r="L35" s="302"/>
      <c r="M35" s="302">
        <f>AVERAGE([26]Brewhouse!$AT$4:$AT$11,[26]Brewhouse!$AT$13:$AT$16,[26]Brewhouse!$AT$18:$AT$21,[26]Brewhouse!$AT$26,[26]Brewhouse!$AT$28:$AT$35)</f>
        <v>94.794664331624134</v>
      </c>
      <c r="N35" s="30">
        <v>98</v>
      </c>
      <c r="O35" s="11"/>
      <c r="P35" s="31"/>
      <c r="R35" s="277">
        <f t="shared" si="9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4.65" customHeight="1">
      <c r="A36" s="28"/>
      <c r="B36" s="588"/>
      <c r="C36" s="362">
        <v>11.7</v>
      </c>
      <c r="D36" s="580">
        <v>11.87</v>
      </c>
      <c r="E36" s="581"/>
      <c r="F36" s="417"/>
      <c r="G36" s="294"/>
      <c r="H36" s="348"/>
      <c r="I36" s="37" t="s">
        <v>16</v>
      </c>
      <c r="J36" s="323"/>
      <c r="K36" s="284">
        <f>COUNTA([27]Brewhouse!$A$99:$A$108)</f>
        <v>10</v>
      </c>
      <c r="L36" s="302">
        <f>AVERAGE([27]Brewhouse!$AY$99:$AY$108)</f>
        <v>97.413703162837948</v>
      </c>
      <c r="M36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[27]Brewhouse!$AY$56:$AY$73,[27]Brewhouse!$AY$75:$AY$92,[27]Brewhouse!$AY$94:$AY$97,[27]Brewhouse!$AY$99:$AY$108)</f>
        <v>97.375027052683194</v>
      </c>
      <c r="N36" s="30">
        <v>98</v>
      </c>
      <c r="O36" s="11"/>
      <c r="P36" s="31" t="s">
        <v>41</v>
      </c>
      <c r="R36" s="277">
        <f t="shared" si="9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4.65" customHeight="1">
      <c r="A37" s="28"/>
      <c r="B37" s="588"/>
      <c r="C37" s="362">
        <v>11.8</v>
      </c>
      <c r="D37" s="547"/>
      <c r="E37" s="535"/>
      <c r="F37" s="294"/>
      <c r="G37" s="294"/>
      <c r="H37" s="348"/>
      <c r="I37" s="411" t="s">
        <v>158</v>
      </c>
      <c r="J37" s="326"/>
      <c r="K37" s="284"/>
      <c r="L37" s="305"/>
      <c r="M37" s="305">
        <f>AVERAGE([28]Brewhouse!$AU$5:$AU$8,[28]Brewhouse!$AU$10:$AU$13,[27]Brewhouse!$AY$75:$AY$77)</f>
        <v>94.749192473706671</v>
      </c>
      <c r="N37" s="30">
        <v>98</v>
      </c>
      <c r="O37" s="11"/>
      <c r="P37" s="31"/>
      <c r="R37" s="277">
        <f t="shared" si="9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4.65" customHeight="1">
      <c r="A38" s="28"/>
      <c r="B38" s="588"/>
      <c r="C38" s="349"/>
      <c r="D38" s="580"/>
      <c r="E38" s="581"/>
      <c r="F38" s="294"/>
      <c r="G38" s="294"/>
      <c r="H38" s="348"/>
      <c r="I38" s="410" t="s">
        <v>157</v>
      </c>
      <c r="J38" s="326"/>
      <c r="K38" s="284"/>
      <c r="L38" s="305"/>
      <c r="M38" s="305">
        <f>AVERAGE([29]Brewhouse!$AW$26:$AW$27)</f>
        <v>95.310680905194914</v>
      </c>
      <c r="N38" s="30">
        <v>98</v>
      </c>
      <c r="O38" s="11"/>
      <c r="P38" s="31"/>
      <c r="R38" s="277">
        <f t="shared" si="9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" customHeight="1" thickBot="1">
      <c r="A39" s="28"/>
      <c r="B39" s="588"/>
      <c r="C39" s="349"/>
      <c r="D39" s="547"/>
      <c r="E39" s="535"/>
      <c r="F39" s="294"/>
      <c r="G39" s="294"/>
      <c r="H39" s="348"/>
      <c r="I39" s="406" t="s">
        <v>156</v>
      </c>
      <c r="J39" s="327"/>
      <c r="K39" s="407"/>
      <c r="L39" s="408"/>
      <c r="M39" s="408">
        <f>AVERAGE([30]Brewhouse!$AU$13:$AU$14)</f>
        <v>97.110575243268045</v>
      </c>
      <c r="N39" s="409">
        <v>98</v>
      </c>
      <c r="O39" s="11"/>
      <c r="P39" s="31"/>
      <c r="R39" s="277">
        <f t="shared" si="9"/>
        <v>0</v>
      </c>
      <c r="S39" s="475" t="e">
        <f t="shared" si="1"/>
        <v>#N/A</v>
      </c>
      <c r="T39" s="475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5" t="e">
        <f t="shared" si="8"/>
        <v>#N/A</v>
      </c>
      <c r="AA39" s="475"/>
    </row>
    <row r="40" spans="1:56" ht="15" customHeight="1" thickBot="1">
      <c r="A40" s="28"/>
      <c r="B40" s="588"/>
      <c r="C40" s="349"/>
      <c r="D40" s="532"/>
      <c r="E40" s="533"/>
      <c r="F40" s="294"/>
      <c r="G40" s="294"/>
      <c r="H40" s="348"/>
      <c r="I40" s="1"/>
      <c r="J40" s="39"/>
      <c r="K40" s="404">
        <f>SUM(K30:K39)</f>
        <v>86</v>
      </c>
      <c r="L40" s="405">
        <f>((L30*K30)+(L31*K31)+(L32*K32)+(L33*K33)+(L34*K34)+(K37*L37)+(L35*K35)+(L36*K36)+(L39*K39))/(K40)</f>
        <v>97.319610635899281</v>
      </c>
      <c r="M40" s="405">
        <f>AVERAGE('[31]Jan 31st'!$L$65,'[32]Feb 28th'!$L$35,'[33]Mar. 31st'!$L$35,'[34]Apr. 30th'!$L$45,'[35]May 30th'!$L$37,'[36]June 30th'!$L$57,'[37]July 29th '!$L$44,'[38]Aug 29th'!$L$29,'[39]Sept 30th'!$L$35,L40)</f>
        <v>97.549911303271728</v>
      </c>
      <c r="N40" s="40">
        <v>98</v>
      </c>
      <c r="O40" s="11"/>
      <c r="P40" s="31"/>
      <c r="R40" s="277">
        <f t="shared" si="9"/>
        <v>0</v>
      </c>
      <c r="S40" s="475" t="e">
        <f t="shared" si="1"/>
        <v>#N/A</v>
      </c>
      <c r="T40" s="475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5" t="e">
        <f t="shared" si="8"/>
        <v>#N/A</v>
      </c>
      <c r="AA40" s="475"/>
    </row>
    <row r="41" spans="1:56" ht="15.75" thickBot="1">
      <c r="B41" s="589"/>
      <c r="C41" s="350"/>
      <c r="D41" s="534"/>
      <c r="E41" s="535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475" t="e">
        <f t="shared" si="1"/>
        <v>#N/A</v>
      </c>
      <c r="T41" s="475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5" t="e">
        <f t="shared" si="8"/>
        <v>#N/A</v>
      </c>
      <c r="AA41" s="475"/>
    </row>
    <row r="42" spans="1:56" ht="15.75" thickBot="1">
      <c r="B42" s="602"/>
      <c r="C42" s="362"/>
      <c r="D42" s="545"/>
      <c r="E42" s="546"/>
      <c r="F42" s="294"/>
      <c r="G42" s="42"/>
      <c r="H42" s="41"/>
      <c r="I42" s="42"/>
      <c r="J42" s="579" t="s">
        <v>129</v>
      </c>
      <c r="K42" s="579"/>
      <c r="L42" s="294"/>
      <c r="M42" s="294"/>
      <c r="N42" s="294"/>
      <c r="O42" s="294"/>
      <c r="P42" s="12"/>
    </row>
    <row r="43" spans="1:56" ht="15.75" thickBot="1">
      <c r="B43" s="603"/>
      <c r="C43" s="362"/>
      <c r="D43" s="547"/>
      <c r="E43" s="535"/>
      <c r="F43" s="294"/>
      <c r="G43" s="42"/>
      <c r="H43" s="42"/>
      <c r="I43" s="42"/>
      <c r="J43" s="292" t="s">
        <v>17</v>
      </c>
      <c r="K43" s="293" t="s">
        <v>147</v>
      </c>
      <c r="L43" s="549" t="s">
        <v>136</v>
      </c>
      <c r="M43" s="549"/>
      <c r="N43" s="550"/>
      <c r="O43" s="294"/>
      <c r="P43" s="12"/>
    </row>
    <row r="44" spans="1:56" ht="15" customHeight="1" thickBot="1">
      <c r="B44" s="603"/>
      <c r="C44" s="349"/>
      <c r="D44" s="580"/>
      <c r="E44" s="581"/>
      <c r="F44" s="294"/>
      <c r="G44" s="42"/>
      <c r="H44" s="42"/>
      <c r="I44" s="42"/>
      <c r="J44" s="287" t="s">
        <v>6</v>
      </c>
      <c r="K44" s="324">
        <v>4</v>
      </c>
      <c r="L44" s="476" t="s">
        <v>37</v>
      </c>
      <c r="M44" s="477" t="s">
        <v>38</v>
      </c>
      <c r="N44" s="477" t="s">
        <v>84</v>
      </c>
      <c r="O44" s="294"/>
      <c r="P44" s="12"/>
    </row>
    <row r="45" spans="1:56" ht="15.75" customHeight="1" thickBot="1">
      <c r="B45" s="603"/>
      <c r="C45" s="349"/>
      <c r="D45" s="547"/>
      <c r="E45" s="535"/>
      <c r="F45" s="294"/>
      <c r="G45" s="42"/>
      <c r="H45" s="42"/>
      <c r="I45" s="42"/>
      <c r="J45" s="345" t="s">
        <v>9</v>
      </c>
      <c r="K45" s="324">
        <v>4</v>
      </c>
      <c r="L45" s="344">
        <f>AVERAGE('Dec 1st'!K43,'Dec 2nd'!K49,'Dec 3rd '!K58,'Dec 4th'!K51,'Dec 5th-7th'!I70,'Dec 5th-7th'!J70,'Dec 5th-7th'!K70,'Dec 8th '!K49,'Dec 9th'!K49,'Dec 16th'!K54,'Dec 11th'!K53,'Dec 12th-14th'!K44,'Dec 10th'!K61,'Dec 15th'!K49)</f>
        <v>6.1428571428571432</v>
      </c>
      <c r="M45" s="325">
        <f>AVERAGE('[31]Jan 29th '!$M$70,'[32]Feb 28th'!$L$40,'[33]Mar. 31st'!$L$40,'[34]Apr. 30th'!$L$50,'[35]May 30th'!$L$42,'[36]June 30th'!$L$62,'[37]July 29th '!$L$49,'[38]Aug 29th'!$L$34,'[39]Sept 30th'!$L$40,[40]Oct.31st!$L$43,'[41]Nov 28th-30th'!$L$45,L45)</f>
        <v>6.9014358464444276</v>
      </c>
      <c r="N45" s="416">
        <v>9.1999999999999993</v>
      </c>
      <c r="O45" s="294"/>
      <c r="P45" s="12"/>
    </row>
    <row r="46" spans="1:56" ht="15" customHeight="1">
      <c r="B46" s="603"/>
      <c r="C46" s="349"/>
      <c r="D46" s="580"/>
      <c r="E46" s="581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603"/>
      <c r="C47" s="349"/>
      <c r="D47" s="547"/>
      <c r="E47" s="535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603"/>
      <c r="C48" s="349"/>
      <c r="D48" s="580"/>
      <c r="E48" s="581"/>
      <c r="F48" s="294"/>
      <c r="G48" s="42"/>
      <c r="H48" s="42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603"/>
      <c r="C49" s="349"/>
      <c r="D49" s="547"/>
      <c r="E49" s="535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603"/>
      <c r="C50" s="349"/>
      <c r="D50" s="580"/>
      <c r="E50" s="581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604"/>
      <c r="C51" s="350"/>
      <c r="D51" s="582"/>
      <c r="E51" s="583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77"/>
      <c r="E52" s="578"/>
      <c r="F52" s="294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8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J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57" t="s">
        <v>17</v>
      </c>
      <c r="C57" s="557" t="s">
        <v>44</v>
      </c>
      <c r="D57" s="559" t="s">
        <v>45</v>
      </c>
      <c r="E57" s="514" t="s">
        <v>46</v>
      </c>
      <c r="F57" s="574" t="s">
        <v>47</v>
      </c>
      <c r="G57" s="568" t="s">
        <v>48</v>
      </c>
      <c r="H57" s="557" t="s">
        <v>49</v>
      </c>
      <c r="I57" s="557" t="s">
        <v>50</v>
      </c>
      <c r="J57" s="562" t="s">
        <v>28</v>
      </c>
      <c r="K57" s="512" t="s">
        <v>51</v>
      </c>
      <c r="L57" s="524" t="s">
        <v>52</v>
      </c>
      <c r="M57" s="562" t="s">
        <v>53</v>
      </c>
      <c r="N57" s="13"/>
      <c r="O57" s="13"/>
      <c r="P57" s="50"/>
    </row>
    <row r="58" spans="2:57" ht="28.5" customHeight="1" thickTop="1" thickBot="1">
      <c r="B58" s="558"/>
      <c r="C58" s="558"/>
      <c r="D58" s="560"/>
      <c r="E58" s="561"/>
      <c r="F58" s="575"/>
      <c r="G58" s="569"/>
      <c r="H58" s="576"/>
      <c r="I58" s="576"/>
      <c r="J58" s="563"/>
      <c r="K58" s="572"/>
      <c r="L58" s="573"/>
      <c r="M58" s="563"/>
      <c r="N58" s="13"/>
      <c r="O58" s="13"/>
      <c r="P58" s="50"/>
      <c r="Q58" s="355"/>
      <c r="AB58" s="478">
        <v>43474</v>
      </c>
      <c r="AC58" s="478">
        <v>43475</v>
      </c>
      <c r="AD58" s="478">
        <v>43476</v>
      </c>
      <c r="AE58" s="478">
        <v>43477</v>
      </c>
      <c r="AF58" s="478">
        <v>43478</v>
      </c>
      <c r="AG58" s="478">
        <v>43479</v>
      </c>
      <c r="AH58" s="478">
        <v>43480</v>
      </c>
      <c r="AI58" s="478">
        <v>43481</v>
      </c>
      <c r="AJ58" s="478">
        <v>43482</v>
      </c>
      <c r="AK58" s="478">
        <v>43483</v>
      </c>
      <c r="AL58" s="478">
        <v>43484</v>
      </c>
      <c r="AM58" s="478">
        <v>43485</v>
      </c>
      <c r="AN58" s="478">
        <v>43486</v>
      </c>
      <c r="AO58" s="478">
        <v>43487</v>
      </c>
      <c r="AP58" s="478">
        <v>43488</v>
      </c>
      <c r="AQ58" s="478">
        <v>43489</v>
      </c>
      <c r="AR58" s="478">
        <v>43490</v>
      </c>
      <c r="AS58" s="478">
        <v>43491</v>
      </c>
      <c r="AT58" s="478">
        <v>43492</v>
      </c>
      <c r="AU58" s="478">
        <v>43493</v>
      </c>
      <c r="AV58" s="478">
        <v>43494</v>
      </c>
      <c r="AW58" s="478">
        <v>43495</v>
      </c>
      <c r="AX58" s="478">
        <v>43496</v>
      </c>
    </row>
    <row r="59" spans="2:57" s="54" customFormat="1" ht="43.15" customHeight="1" thickBot="1">
      <c r="B59" s="456" t="str">
        <f>J44</f>
        <v>CARIB</v>
      </c>
      <c r="C59" s="441">
        <v>46007</v>
      </c>
      <c r="D59" s="442">
        <f>[42]December_2025!$S$3</f>
        <v>411.63</v>
      </c>
      <c r="E59" s="443"/>
      <c r="F59" s="444"/>
      <c r="G59" s="444">
        <f>[42]December_2025!$S$7</f>
        <v>394.8</v>
      </c>
      <c r="H59" s="458"/>
      <c r="I59" s="458"/>
      <c r="J59" s="448" t="s">
        <v>190</v>
      </c>
      <c r="K59" s="449">
        <f>[43]December_2025!$S$18</f>
        <v>0.46175438596491225</v>
      </c>
      <c r="L59" s="486">
        <f>(((D59+E59)-G59)/(D59+E59))*100</f>
        <v>4.0886232781867173</v>
      </c>
      <c r="M59" s="455" t="s">
        <v>191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[20]January_2019!L7</f>
        <v>285.8</v>
      </c>
      <c r="AC59" s="57">
        <f>[20]January_2019!M7</f>
        <v>508.1</v>
      </c>
      <c r="AD59" s="57">
        <f>[20]January_2019!N7</f>
        <v>0</v>
      </c>
      <c r="AE59" s="57">
        <f>[20]January_2019!O7</f>
        <v>0</v>
      </c>
      <c r="AF59" s="57">
        <f>[20]January_2019!P7</f>
        <v>109.56666666666666</v>
      </c>
      <c r="AG59" s="57">
        <f>[20]January_2019!Q7</f>
        <v>297.64999999999998</v>
      </c>
      <c r="AH59" s="57">
        <f>[20]January_2019!R7</f>
        <v>122.3</v>
      </c>
      <c r="AI59" s="57">
        <f>[20]January_2019!S7</f>
        <v>0</v>
      </c>
      <c r="AJ59" s="57">
        <f>[20]January_2019!T7</f>
        <v>294.7</v>
      </c>
      <c r="AK59" s="57">
        <f>[20]January_2019!U7</f>
        <v>280.5</v>
      </c>
      <c r="AL59" s="57">
        <f>[20]January_2019!V7</f>
        <v>0</v>
      </c>
      <c r="AM59" s="57">
        <f>[20]January_2019!W7</f>
        <v>0</v>
      </c>
      <c r="AN59" s="57">
        <f>[20]January_2019!X7</f>
        <v>188.25</v>
      </c>
      <c r="AO59" s="57">
        <f>[20]January_2019!Y7</f>
        <v>295.7</v>
      </c>
      <c r="AP59" s="57">
        <f>[20]January_2019!Z7</f>
        <v>257.8</v>
      </c>
      <c r="AQ59" s="57">
        <f>[20]January_2019!AA7</f>
        <v>291.2</v>
      </c>
      <c r="AR59" s="57">
        <f>[20]January_2019!AB7</f>
        <v>187</v>
      </c>
      <c r="AS59" s="57">
        <f>[20]January_2019!AC7</f>
        <v>0</v>
      </c>
      <c r="AT59" s="57">
        <f>[20]January_2019!AD7</f>
        <v>0</v>
      </c>
      <c r="AU59" s="57">
        <f>[20]January_2019!AE7</f>
        <v>485.1</v>
      </c>
      <c r="AV59" s="57">
        <f>[20]January_2019!AF7</f>
        <v>171.55</v>
      </c>
      <c r="AW59" s="57">
        <f>[20]January_2019!AG7</f>
        <v>423.8</v>
      </c>
      <c r="AX59" s="277">
        <f>[20]January_2019!AH7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9.5" hidden="1" customHeight="1" thickBot="1">
      <c r="B60" s="468"/>
      <c r="C60" s="430"/>
      <c r="D60" s="431"/>
      <c r="E60" s="432"/>
      <c r="F60" s="433"/>
      <c r="G60" s="434"/>
      <c r="H60" s="428"/>
      <c r="I60" s="42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450000000000003" hidden="1" customHeight="1" thickBot="1">
      <c r="B61" s="490"/>
      <c r="C61" s="441"/>
      <c r="D61" s="442"/>
      <c r="E61" s="443"/>
      <c r="F61" s="444"/>
      <c r="G61" s="445"/>
      <c r="H61" s="458"/>
      <c r="I61" s="458"/>
      <c r="J61" s="448"/>
      <c r="K61" s="460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59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7"/>
      <c r="C66" s="430"/>
      <c r="D66" s="461"/>
      <c r="E66" s="462"/>
      <c r="F66" s="463"/>
      <c r="G66" s="461"/>
      <c r="H66" s="464"/>
      <c r="I66" s="464"/>
      <c r="J66" s="464"/>
      <c r="K66" s="465"/>
      <c r="L66" s="466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64" t="s">
        <v>55</v>
      </c>
      <c r="C68" s="565"/>
      <c r="D68" s="565"/>
      <c r="E68" s="565"/>
      <c r="F68" s="566"/>
      <c r="G68" s="564" t="s">
        <v>56</v>
      </c>
      <c r="H68" s="565"/>
      <c r="I68" s="565"/>
      <c r="J68" s="566"/>
      <c r="K68" s="564" t="s">
        <v>51</v>
      </c>
      <c r="L68" s="565"/>
      <c r="M68" s="565"/>
      <c r="N68" s="567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>
        <f>L59</f>
        <v>4.0886232781867173</v>
      </c>
      <c r="D70" s="76">
        <v>6.1628324080072332</v>
      </c>
      <c r="E70" s="76">
        <v>6.0758581711534276</v>
      </c>
      <c r="F70" s="66">
        <v>4.8</v>
      </c>
      <c r="G70" s="65">
        <f>[42]December_2025!$S$11</f>
        <v>2.3675382146631385</v>
      </c>
      <c r="H70" s="491">
        <v>5.3311166245486703</v>
      </c>
      <c r="I70" s="76">
        <v>5.9754927526288837</v>
      </c>
      <c r="J70" s="66">
        <v>4.8</v>
      </c>
      <c r="K70" s="67">
        <f>K59</f>
        <v>0.46175438596491225</v>
      </c>
      <c r="L70" s="194">
        <v>0.45946666666666669</v>
      </c>
      <c r="M70" s="194">
        <v>0.71963421723556908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3.6478197719982228</v>
      </c>
      <c r="E71" s="76">
        <v>5.6172004118559888</v>
      </c>
      <c r="F71" s="66">
        <v>4.8</v>
      </c>
      <c r="G71" s="65"/>
      <c r="H71" s="76">
        <v>3.8202507107179087</v>
      </c>
      <c r="I71" s="76">
        <v>6.1222129994361296</v>
      </c>
      <c r="J71" s="66">
        <v>4.8</v>
      </c>
      <c r="K71" s="67"/>
      <c r="L71" s="194">
        <v>0.43715399610136452</v>
      </c>
      <c r="M71" s="194">
        <v>0.67300780433599561</v>
      </c>
      <c r="N71" s="68">
        <v>1</v>
      </c>
      <c r="P71" s="69"/>
    </row>
    <row r="72" spans="2:57" ht="15">
      <c r="B72" s="34" t="s">
        <v>40</v>
      </c>
      <c r="C72" s="65"/>
      <c r="D72" s="76">
        <v>12.618296529968443</v>
      </c>
      <c r="E72" s="76">
        <v>11.122539172358353</v>
      </c>
      <c r="F72" s="66">
        <v>5.5</v>
      </c>
      <c r="G72" s="65"/>
      <c r="H72" s="76">
        <v>12.288892572095527</v>
      </c>
      <c r="I72" s="76">
        <v>12.520142311925225</v>
      </c>
      <c r="J72" s="66">
        <v>5.5</v>
      </c>
      <c r="K72" s="67"/>
      <c r="L72" s="194">
        <v>0.31587719298245615</v>
      </c>
      <c r="M72" s="194">
        <v>0.50769967246157732</v>
      </c>
      <c r="N72" s="68">
        <v>1</v>
      </c>
      <c r="P72" s="69"/>
    </row>
    <row r="73" spans="2:57" ht="15">
      <c r="B73" s="22" t="s">
        <v>33</v>
      </c>
      <c r="C73" s="65"/>
      <c r="D73" s="76">
        <v>3.7426398119835098</v>
      </c>
      <c r="E73" s="76">
        <v>4.4918713689673408</v>
      </c>
      <c r="F73" s="66">
        <v>3.3</v>
      </c>
      <c r="G73" s="65"/>
      <c r="H73" s="76">
        <v>2.884540034691927</v>
      </c>
      <c r="I73" s="76">
        <v>4.189075062989712</v>
      </c>
      <c r="J73" s="66">
        <v>3.3</v>
      </c>
      <c r="K73" s="67"/>
      <c r="L73" s="194">
        <v>0.77900584795321637</v>
      </c>
      <c r="M73" s="194">
        <v>0.82191692466460264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>
        <v>7.837301587301579</v>
      </c>
      <c r="F74" s="66">
        <v>3.3</v>
      </c>
      <c r="G74" s="282"/>
      <c r="H74" s="76"/>
      <c r="I74" s="76">
        <v>5.3377569154690221</v>
      </c>
      <c r="J74" s="66">
        <v>3</v>
      </c>
      <c r="K74" s="67"/>
      <c r="L74" s="194"/>
      <c r="M74" s="194">
        <v>0.32596491228070179</v>
      </c>
      <c r="N74" s="68">
        <v>1</v>
      </c>
      <c r="P74" s="69"/>
    </row>
    <row r="75" spans="2:57" ht="15">
      <c r="B75" s="36" t="s">
        <v>15</v>
      </c>
      <c r="C75" s="65"/>
      <c r="D75" s="76"/>
      <c r="E75" s="76">
        <v>6.8851328044153277</v>
      </c>
      <c r="F75" s="70">
        <f>[21]May_2022!$M$43</f>
        <v>3.4878406700073312</v>
      </c>
      <c r="G75" s="282"/>
      <c r="H75" s="76"/>
      <c r="I75" s="76">
        <v>8.6614709463340702</v>
      </c>
      <c r="J75" s="66">
        <v>5.5</v>
      </c>
      <c r="K75" s="67"/>
      <c r="L75" s="194"/>
      <c r="M75" s="194">
        <v>0.73160818713450293</v>
      </c>
      <c r="N75" s="68">
        <v>1</v>
      </c>
      <c r="P75" s="69"/>
    </row>
    <row r="76" spans="2:57" ht="15">
      <c r="B76" s="37" t="s">
        <v>16</v>
      </c>
      <c r="C76" s="65"/>
      <c r="D76" s="76">
        <v>1.6037551339722365</v>
      </c>
      <c r="E76" s="76">
        <v>2.7893641905668773</v>
      </c>
      <c r="F76" s="66">
        <v>3.3</v>
      </c>
      <c r="G76" s="282"/>
      <c r="H76" s="76">
        <v>6.7972810536378629</v>
      </c>
      <c r="I76" s="76">
        <v>4.5354505140007557</v>
      </c>
      <c r="J76" s="66">
        <v>3.3</v>
      </c>
      <c r="K76" s="67"/>
      <c r="L76" s="194">
        <v>0.61403508771929827</v>
      </c>
      <c r="M76" s="194">
        <v>0.81650775633749528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>
        <v>11.483253588516746</v>
      </c>
      <c r="F77" s="66">
        <v>7.5</v>
      </c>
      <c r="G77" s="282"/>
      <c r="H77" s="76"/>
      <c r="I77" s="76">
        <v>9.7934336121043764</v>
      </c>
      <c r="J77" s="66">
        <v>7.5</v>
      </c>
      <c r="K77" s="67"/>
      <c r="M77" s="194">
        <v>0.32456140350877194</v>
      </c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>
        <v>7.2653644592663174</v>
      </c>
      <c r="F78" s="66">
        <v>4.8</v>
      </c>
      <c r="G78" s="282"/>
      <c r="H78" s="76"/>
      <c r="I78" s="76">
        <v>8.1715311054411259</v>
      </c>
      <c r="J78" s="66">
        <v>4.8</v>
      </c>
      <c r="K78" s="67"/>
      <c r="L78" s="194"/>
      <c r="M78" s="194">
        <v>0.51368421052631585</v>
      </c>
      <c r="N78" s="71">
        <v>1</v>
      </c>
      <c r="O78" s="74"/>
      <c r="P78" s="75"/>
    </row>
    <row r="79" spans="2:57" ht="15">
      <c r="D79" s="76">
        <v>5.283238318456954</v>
      </c>
      <c r="E79" s="76">
        <v>6.0635865027769249</v>
      </c>
      <c r="F79" s="341">
        <v>5.5</v>
      </c>
      <c r="H79" s="76">
        <v>5.5676989451189698</v>
      </c>
      <c r="I79" s="76">
        <v>6.4845147886603227</v>
      </c>
      <c r="J79" s="341">
        <v>5.5</v>
      </c>
      <c r="L79" s="194">
        <v>0.53498287385129495</v>
      </c>
      <c r="M79" s="194">
        <v>0.69588635189100312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68:F68"/>
    <mergeCell ref="G68:J68"/>
    <mergeCell ref="K68:N68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1846" priority="43" operator="notBetween">
      <formula>#REF!</formula>
      <formula>#REF!</formula>
    </cfRule>
  </conditionalFormatting>
  <conditionalFormatting sqref="C56">
    <cfRule type="cellIs" dxfId="1845" priority="189" stopIfTrue="1" operator="greaterThan">
      <formula>100</formula>
    </cfRule>
    <cfRule type="cellIs" dxfId="1844" priority="188" stopIfTrue="1" operator="lessThan">
      <formula>96</formula>
    </cfRule>
  </conditionalFormatting>
  <conditionalFormatting sqref="C70:C74">
    <cfRule type="cellIs" dxfId="1843" priority="142" stopIfTrue="1" operator="lessThanOrEqual">
      <formula>0</formula>
    </cfRule>
  </conditionalFormatting>
  <conditionalFormatting sqref="C70:C78">
    <cfRule type="cellIs" dxfId="1842" priority="141" stopIfTrue="1" operator="greaterThan">
      <formula>$F70</formula>
    </cfRule>
  </conditionalFormatting>
  <conditionalFormatting sqref="C71">
    <cfRule type="cellIs" dxfId="1841" priority="192" stopIfTrue="1" operator="greaterThan">
      <formula>$F70</formula>
    </cfRule>
  </conditionalFormatting>
  <conditionalFormatting sqref="C75">
    <cfRule type="cellIs" dxfId="1840" priority="82" stopIfTrue="1" operator="greaterThan">
      <formula>$F74</formula>
    </cfRule>
    <cfRule type="cellIs" dxfId="1839" priority="81" stopIfTrue="1" operator="lessThanOrEqual">
      <formula>0</formula>
    </cfRule>
  </conditionalFormatting>
  <conditionalFormatting sqref="C81:C85">
    <cfRule type="cellIs" dxfId="1838" priority="180" stopIfTrue="1" operator="lessThanOrEqual">
      <formula>0</formula>
    </cfRule>
  </conditionalFormatting>
  <conditionalFormatting sqref="C82:C85">
    <cfRule type="cellIs" dxfId="1837" priority="179" stopIfTrue="1" operator="greaterThan">
      <formula>$F$81</formula>
    </cfRule>
  </conditionalFormatting>
  <conditionalFormatting sqref="C87">
    <cfRule type="cellIs" dxfId="1836" priority="182" stopIfTrue="1" operator="lessThanOrEqual">
      <formula>0</formula>
    </cfRule>
    <cfRule type="cellIs" dxfId="1835" priority="181" stopIfTrue="1" operator="greaterThan">
      <formula>$F$81</formula>
    </cfRule>
  </conditionalFormatting>
  <conditionalFormatting sqref="C81:D81 D83:D89">
    <cfRule type="cellIs" dxfId="1834" priority="174" stopIfTrue="1" operator="greaterThan">
      <formula>4.5</formula>
    </cfRule>
  </conditionalFormatting>
  <conditionalFormatting sqref="D52:D53">
    <cfRule type="cellIs" dxfId="1833" priority="44" operator="notBetween">
      <formula>#REF!</formula>
      <formula>#REF!</formula>
    </cfRule>
  </conditionalFormatting>
  <conditionalFormatting sqref="D70:D77">
    <cfRule type="cellIs" dxfId="1832" priority="154" stopIfTrue="1" operator="lessThanOrEqual">
      <formula>0</formula>
    </cfRule>
  </conditionalFormatting>
  <conditionalFormatting sqref="D78">
    <cfRule type="cellIs" dxfId="1831" priority="153" stopIfTrue="1" operator="lessThanOrEqual">
      <formula>0</formula>
    </cfRule>
  </conditionalFormatting>
  <conditionalFormatting sqref="D81 D83:D89">
    <cfRule type="cellIs" dxfId="1830" priority="175" stopIfTrue="1" operator="lessThanOrEqual">
      <formula>0</formula>
    </cfRule>
  </conditionalFormatting>
  <conditionalFormatting sqref="D82">
    <cfRule type="cellIs" dxfId="1829" priority="167" stopIfTrue="1" operator="lessThanOrEqual">
      <formula>0</formula>
    </cfRule>
    <cfRule type="cellIs" dxfId="1828" priority="166" stopIfTrue="1" operator="greaterThan">
      <formula>$F$81</formula>
    </cfRule>
  </conditionalFormatting>
  <conditionalFormatting sqref="D70:E79">
    <cfRule type="cellIs" dxfId="1827" priority="139" stopIfTrue="1" operator="greaterThan">
      <formula>$F70</formula>
    </cfRule>
  </conditionalFormatting>
  <conditionalFormatting sqref="D79:E79">
    <cfRule type="cellIs" dxfId="1826" priority="140" stopIfTrue="1" operator="lessThanOrEqual">
      <formula>0</formula>
    </cfRule>
  </conditionalFormatting>
  <conditionalFormatting sqref="E10:E27">
    <cfRule type="cellIs" dxfId="1825" priority="8" operator="lessThan">
      <formula>48</formula>
    </cfRule>
  </conditionalFormatting>
  <conditionalFormatting sqref="E55 E56:F56">
    <cfRule type="cellIs" dxfId="1824" priority="171" stopIfTrue="1" operator="greaterThan">
      <formula>100</formula>
    </cfRule>
  </conditionalFormatting>
  <conditionalFormatting sqref="E56">
    <cfRule type="cellIs" dxfId="1823" priority="169" stopIfTrue="1" operator="greaterThan">
      <formula>100</formula>
    </cfRule>
    <cfRule type="cellIs" dxfId="1822" priority="168" stopIfTrue="1" operator="lessThan">
      <formula>96.8</formula>
    </cfRule>
  </conditionalFormatting>
  <conditionalFormatting sqref="E70:E78">
    <cfRule type="cellIs" dxfId="1821" priority="150" stopIfTrue="1" operator="lessThanOrEqual">
      <formula>0</formula>
    </cfRule>
  </conditionalFormatting>
  <conditionalFormatting sqref="E81:E89">
    <cfRule type="cellIs" dxfId="1820" priority="161" stopIfTrue="1" operator="lessThanOrEqual">
      <formula>0</formula>
    </cfRule>
    <cfRule type="cellIs" dxfId="1819" priority="160" stopIfTrue="1" operator="greaterThan">
      <formula>4.5</formula>
    </cfRule>
  </conditionalFormatting>
  <conditionalFormatting sqref="E56:F56 E55">
    <cfRule type="cellIs" dxfId="1818" priority="170" stopIfTrue="1" operator="lessThan">
      <formula>96.5</formula>
    </cfRule>
  </conditionalFormatting>
  <conditionalFormatting sqref="F10:F27">
    <cfRule type="cellIs" dxfId="1817" priority="9" operator="greaterThan">
      <formula>60</formula>
    </cfRule>
  </conditionalFormatting>
  <conditionalFormatting sqref="F56">
    <cfRule type="cellIs" dxfId="1816" priority="187" stopIfTrue="1" operator="greaterThan">
      <formula>100</formula>
    </cfRule>
    <cfRule type="cellIs" dxfId="1815" priority="186" stopIfTrue="1" operator="lessThan">
      <formula>96.8</formula>
    </cfRule>
  </conditionalFormatting>
  <conditionalFormatting sqref="F79">
    <cfRule type="cellIs" dxfId="1814" priority="151" stopIfTrue="1" operator="greaterThan">
      <formula>$F79</formula>
    </cfRule>
    <cfRule type="cellIs" dxfId="1813" priority="152" stopIfTrue="1" operator="lessThanOrEqual">
      <formula>0</formula>
    </cfRule>
  </conditionalFormatting>
  <conditionalFormatting sqref="G10:G14 G23:G24">
    <cfRule type="expression" dxfId="1812" priority="11">
      <formula>IF(+(IF(G10&lt;S10,0,IF(G10&gt;T10,0,1)))=0,1)</formula>
    </cfRule>
  </conditionalFormatting>
  <conditionalFormatting sqref="G25:G27 H27">
    <cfRule type="expression" dxfId="1811" priority="38">
      <formula>IF(+(IF(G25&lt;#REF!,0,IF(G25&gt;#REF!,0,1)))=0,1)</formula>
    </cfRule>
  </conditionalFormatting>
  <conditionalFormatting sqref="G70:G71 C76:C78">
    <cfRule type="cellIs" dxfId="1810" priority="156" stopIfTrue="1" operator="lessThanOrEqual">
      <formula>0</formula>
    </cfRule>
  </conditionalFormatting>
  <conditionalFormatting sqref="G70:G71">
    <cfRule type="cellIs" dxfId="1809" priority="144" stopIfTrue="1" operator="lessThanOrEqual">
      <formula>0</formula>
    </cfRule>
    <cfRule type="cellIs" dxfId="1808" priority="143" stopIfTrue="1" operator="greaterThan">
      <formula>$F70</formula>
    </cfRule>
    <cfRule type="cellIs" dxfId="1807" priority="155" stopIfTrue="1" operator="greaterThan">
      <formula>$F70</formula>
    </cfRule>
  </conditionalFormatting>
  <conditionalFormatting sqref="G72">
    <cfRule type="cellIs" dxfId="1806" priority="191" stopIfTrue="1" operator="lessThanOrEqual">
      <formula>0</formula>
    </cfRule>
    <cfRule type="cellIs" dxfId="1805" priority="190" stopIfTrue="1" operator="greaterThan">
      <formula>$F71</formula>
    </cfRule>
  </conditionalFormatting>
  <conditionalFormatting sqref="G73">
    <cfRule type="cellIs" dxfId="1804" priority="42" stopIfTrue="1" operator="lessThanOrEqual">
      <formula>0</formula>
    </cfRule>
    <cfRule type="cellIs" dxfId="1803" priority="39" stopIfTrue="1" operator="greaterThan">
      <formula>$F73</formula>
    </cfRule>
    <cfRule type="cellIs" dxfId="1802" priority="40" stopIfTrue="1" operator="lessThanOrEqual">
      <formula>0</formula>
    </cfRule>
    <cfRule type="cellIs" dxfId="1801" priority="41" stopIfTrue="1" operator="greaterThan">
      <formula>$F73</formula>
    </cfRule>
  </conditionalFormatting>
  <conditionalFormatting sqref="G74:G78">
    <cfRule type="cellIs" dxfId="1800" priority="157" stopIfTrue="1" operator="greaterThan">
      <formula>$J74</formula>
    </cfRule>
    <cfRule type="cellIs" dxfId="1799" priority="158" stopIfTrue="1" operator="lessThanOrEqual">
      <formula>0</formula>
    </cfRule>
  </conditionalFormatting>
  <conditionalFormatting sqref="G83:G88 C86 C88">
    <cfRule type="cellIs" dxfId="1798" priority="183" stopIfTrue="1" operator="greaterThan">
      <formula>4.5</formula>
    </cfRule>
    <cfRule type="cellIs" dxfId="1797" priority="184" stopIfTrue="1" operator="lessThanOrEqual">
      <formula>0</formula>
    </cfRule>
  </conditionalFormatting>
  <conditionalFormatting sqref="G82:H82">
    <cfRule type="cellIs" dxfId="1796" priority="164" stopIfTrue="1" operator="greaterThan">
      <formula>$F$81</formula>
    </cfRule>
    <cfRule type="cellIs" dxfId="1795" priority="165" stopIfTrue="1" operator="lessThanOrEqual">
      <formula>0</formula>
    </cfRule>
  </conditionalFormatting>
  <conditionalFormatting sqref="H41:H42 H55">
    <cfRule type="cellIs" dxfId="1794" priority="162" stopIfTrue="1" operator="greaterThan">
      <formula>0</formula>
    </cfRule>
  </conditionalFormatting>
  <conditionalFormatting sqref="H59">
    <cfRule type="cellIs" dxfId="1793" priority="37" stopIfTrue="1" operator="lessThanOrEqual">
      <formula>0</formula>
    </cfRule>
    <cfRule type="cellIs" dxfId="1792" priority="36" stopIfTrue="1" operator="greaterThan">
      <formula>$F$75</formula>
    </cfRule>
    <cfRule type="cellIs" dxfId="1791" priority="35" stopIfTrue="1" operator="lessThanOrEqual">
      <formula>0</formula>
    </cfRule>
    <cfRule type="cellIs" dxfId="1790" priority="34" stopIfTrue="1" operator="greaterThan">
      <formula>$F$77</formula>
    </cfRule>
    <cfRule type="cellIs" dxfId="1789" priority="26" stopIfTrue="1" operator="greaterThan">
      <formula>$F$74</formula>
    </cfRule>
    <cfRule type="cellIs" dxfId="1788" priority="25" stopIfTrue="1" operator="lessThanOrEqual">
      <formula>0</formula>
    </cfRule>
  </conditionalFormatting>
  <conditionalFormatting sqref="H60">
    <cfRule type="cellIs" dxfId="1787" priority="108" stopIfTrue="1" operator="lessThanOrEqual">
      <formula>0</formula>
    </cfRule>
    <cfRule type="cellIs" dxfId="1786" priority="109" stopIfTrue="1" operator="greaterThan">
      <formula>#REF!</formula>
    </cfRule>
    <cfRule type="cellIs" dxfId="1785" priority="110" stopIfTrue="1" operator="lessThanOrEqual">
      <formula>0</formula>
    </cfRule>
    <cfRule type="cellIs" dxfId="1784" priority="98" stopIfTrue="1" operator="lessThanOrEqual">
      <formula>0</formula>
    </cfRule>
    <cfRule type="cellIs" dxfId="1783" priority="107" stopIfTrue="1" operator="greaterThan">
      <formula>$F$28</formula>
    </cfRule>
    <cfRule type="cellIs" dxfId="1782" priority="99" stopIfTrue="1" operator="greaterThan">
      <formula>#REF!</formula>
    </cfRule>
  </conditionalFormatting>
  <conditionalFormatting sqref="H61">
    <cfRule type="cellIs" dxfId="1781" priority="79" stopIfTrue="1" operator="greaterThan">
      <formula>$F$72</formula>
    </cfRule>
    <cfRule type="cellIs" dxfId="1780" priority="80" stopIfTrue="1" operator="lessThanOrEqual">
      <formula>0</formula>
    </cfRule>
    <cfRule type="cellIs" dxfId="1779" priority="68" stopIfTrue="1" operator="lessThanOrEqual">
      <formula>0</formula>
    </cfRule>
    <cfRule type="cellIs" dxfId="1778" priority="69" stopIfTrue="1" operator="greaterThan">
      <formula>$F$71</formula>
    </cfRule>
    <cfRule type="cellIs" dxfId="1777" priority="77" stopIfTrue="1" operator="greaterThan">
      <formula>$F$74</formula>
    </cfRule>
    <cfRule type="cellIs" dxfId="1776" priority="78" stopIfTrue="1" operator="lessThanOrEqual">
      <formula>0</formula>
    </cfRule>
  </conditionalFormatting>
  <conditionalFormatting sqref="H62:H63">
    <cfRule type="cellIs" dxfId="1775" priority="84" stopIfTrue="1" operator="lessThanOrEqual">
      <formula>0</formula>
    </cfRule>
    <cfRule type="cellIs" dxfId="1774" priority="85" stopIfTrue="1" operator="greaterThan">
      <formula>#REF!</formula>
    </cfRule>
    <cfRule type="cellIs" dxfId="1773" priority="93" stopIfTrue="1" operator="greaterThan">
      <formula>$F$27</formula>
    </cfRule>
    <cfRule type="cellIs" dxfId="1772" priority="94" stopIfTrue="1" operator="lessThanOrEqual">
      <formula>0</formula>
    </cfRule>
    <cfRule type="cellIs" dxfId="1771" priority="95" stopIfTrue="1" operator="greaterThan">
      <formula>#REF!</formula>
    </cfRule>
    <cfRule type="cellIs" dxfId="1770" priority="96" stopIfTrue="1" operator="lessThanOrEqual">
      <formula>0</formula>
    </cfRule>
  </conditionalFormatting>
  <conditionalFormatting sqref="H64">
    <cfRule type="cellIs" dxfId="1769" priority="125" stopIfTrue="1" operator="lessThanOrEqual">
      <formula>0</formula>
    </cfRule>
    <cfRule type="cellIs" dxfId="1768" priority="114" stopIfTrue="1" operator="greaterThan">
      <formula>$F$40</formula>
    </cfRule>
    <cfRule type="cellIs" dxfId="1767" priority="113" stopIfTrue="1" operator="lessThanOrEqual">
      <formula>0</formula>
    </cfRule>
    <cfRule type="cellIs" dxfId="1766" priority="124" stopIfTrue="1" operator="greaterThan">
      <formula>$F$41</formula>
    </cfRule>
    <cfRule type="cellIs" dxfId="1765" priority="122" stopIfTrue="1" operator="greaterThan">
      <formula>$F$43</formula>
    </cfRule>
    <cfRule type="cellIs" dxfId="1764" priority="123" stopIfTrue="1" operator="lessThanOrEqual">
      <formula>0</formula>
    </cfRule>
  </conditionalFormatting>
  <conditionalFormatting sqref="H65:H66">
    <cfRule type="cellIs" dxfId="1763" priority="63" stopIfTrue="1" operator="greaterThan">
      <formula>$F$27</formula>
    </cfRule>
    <cfRule type="cellIs" dxfId="1762" priority="64" stopIfTrue="1" operator="lessThanOrEqual">
      <formula>0</formula>
    </cfRule>
    <cfRule type="cellIs" dxfId="1761" priority="54" stopIfTrue="1" operator="lessThanOrEqual">
      <formula>0</formula>
    </cfRule>
    <cfRule type="cellIs" dxfId="1760" priority="55" stopIfTrue="1" operator="greaterThan">
      <formula>#REF!</formula>
    </cfRule>
    <cfRule type="cellIs" dxfId="1759" priority="66" stopIfTrue="1" operator="lessThanOrEqual">
      <formula>0</formula>
    </cfRule>
    <cfRule type="cellIs" dxfId="1758" priority="65" stopIfTrue="1" operator="greaterThan">
      <formula>#REF!</formula>
    </cfRule>
  </conditionalFormatting>
  <conditionalFormatting sqref="H70:H77">
    <cfRule type="cellIs" dxfId="1757" priority="145" stopIfTrue="1" operator="greaterThan">
      <formula>$J70</formula>
    </cfRule>
    <cfRule type="cellIs" dxfId="1756" priority="146" stopIfTrue="1" operator="lessThanOrEqual">
      <formula>0</formula>
    </cfRule>
  </conditionalFormatting>
  <conditionalFormatting sqref="H78">
    <cfRule type="cellIs" dxfId="1755" priority="147" operator="greaterThan">
      <formula>5.3</formula>
    </cfRule>
  </conditionalFormatting>
  <conditionalFormatting sqref="H81 H83:H89">
    <cfRule type="cellIs" dxfId="1754" priority="176" stopIfTrue="1" operator="greaterThan">
      <formula>4.5</formula>
    </cfRule>
    <cfRule type="cellIs" dxfId="1753" priority="177" stopIfTrue="1" operator="lessThanOrEqual">
      <formula>0</formula>
    </cfRule>
  </conditionalFormatting>
  <conditionalFormatting sqref="H59:I59">
    <cfRule type="cellIs" dxfId="1752" priority="24" stopIfTrue="1" operator="greaterThan">
      <formula>$F$76</formula>
    </cfRule>
    <cfRule type="cellIs" dxfId="1751" priority="27" stopIfTrue="1" operator="lessThanOrEqual">
      <formula>0</formula>
    </cfRule>
  </conditionalFormatting>
  <conditionalFormatting sqref="H60:I60">
    <cfRule type="cellIs" dxfId="1750" priority="100" stopIfTrue="1" operator="lessThanOrEqual">
      <formula>0</formula>
    </cfRule>
    <cfRule type="cellIs" dxfId="1749" priority="97" stopIfTrue="1" operator="greaterThan">
      <formula>$F$27</formula>
    </cfRule>
  </conditionalFormatting>
  <conditionalFormatting sqref="H61:I61">
    <cfRule type="cellIs" dxfId="1748" priority="70" stopIfTrue="1" operator="lessThanOrEqual">
      <formula>0</formula>
    </cfRule>
    <cfRule type="cellIs" dxfId="1747" priority="67" stopIfTrue="1" operator="greaterThan">
      <formula>$F$73</formula>
    </cfRule>
  </conditionalFormatting>
  <conditionalFormatting sqref="H62:I63">
    <cfRule type="cellIs" dxfId="1746" priority="86" stopIfTrue="1" operator="lessThanOrEqual">
      <formula>0</formula>
    </cfRule>
    <cfRule type="cellIs" dxfId="1745" priority="83" stopIfTrue="1" operator="greaterThan">
      <formula>#REF!</formula>
    </cfRule>
  </conditionalFormatting>
  <conditionalFormatting sqref="H64:I64">
    <cfRule type="cellIs" dxfId="1744" priority="112" stopIfTrue="1" operator="greaterThan">
      <formula>$F$42</formula>
    </cfRule>
    <cfRule type="cellIs" dxfId="1743" priority="115" stopIfTrue="1" operator="lessThanOrEqual">
      <formula>0</formula>
    </cfRule>
  </conditionalFormatting>
  <conditionalFormatting sqref="H65:I66">
    <cfRule type="cellIs" dxfId="1742" priority="56" stopIfTrue="1" operator="lessThanOrEqual">
      <formula>0</formula>
    </cfRule>
    <cfRule type="cellIs" dxfId="1741" priority="53" stopIfTrue="1" operator="greaterThan">
      <formula>#REF!</formula>
    </cfRule>
  </conditionalFormatting>
  <conditionalFormatting sqref="H79:I79">
    <cfRule type="cellIs" dxfId="1740" priority="137" stopIfTrue="1" operator="greaterThan">
      <formula>$J79</formula>
    </cfRule>
    <cfRule type="cellIs" dxfId="1739" priority="138" stopIfTrue="1" operator="lessThanOrEqual">
      <formula>0</formula>
    </cfRule>
  </conditionalFormatting>
  <conditionalFormatting sqref="I59">
    <cfRule type="cellIs" dxfId="1738" priority="31" stopIfTrue="1" operator="lessThanOrEqual">
      <formula>0</formula>
    </cfRule>
    <cfRule type="cellIs" dxfId="1737" priority="33" stopIfTrue="1" operator="lessThanOrEqual">
      <formula>0</formula>
    </cfRule>
    <cfRule type="cellIs" dxfId="1736" priority="30" stopIfTrue="1" operator="greaterThan">
      <formula>$F$76</formula>
    </cfRule>
    <cfRule type="cellIs" dxfId="1735" priority="29" stopIfTrue="1" operator="lessThanOrEqual">
      <formula>0</formula>
    </cfRule>
    <cfRule type="cellIs" dxfId="1734" priority="32" stopIfTrue="1" operator="greaterThan">
      <formula>$F$74</formula>
    </cfRule>
    <cfRule type="cellIs" dxfId="1733" priority="28" stopIfTrue="1" operator="greaterThan">
      <formula>$F$74</formula>
    </cfRule>
  </conditionalFormatting>
  <conditionalFormatting sqref="I60">
    <cfRule type="cellIs" dxfId="1732" priority="101" stopIfTrue="1" operator="greaterThan">
      <formula>#REF!</formula>
    </cfRule>
    <cfRule type="cellIs" dxfId="1731" priority="105" stopIfTrue="1" operator="greaterThan">
      <formula>#REF!</formula>
    </cfRule>
    <cfRule type="cellIs" dxfId="1730" priority="102" stopIfTrue="1" operator="lessThanOrEqual">
      <formula>0</formula>
    </cfRule>
    <cfRule type="cellIs" dxfId="1729" priority="103" stopIfTrue="1" operator="greaterThan">
      <formula>$F$27</formula>
    </cfRule>
    <cfRule type="cellIs" dxfId="1728" priority="104" stopIfTrue="1" operator="lessThanOrEqual">
      <formula>0</formula>
    </cfRule>
    <cfRule type="cellIs" dxfId="1727" priority="106" stopIfTrue="1" operator="lessThanOrEqual">
      <formula>0</formula>
    </cfRule>
  </conditionalFormatting>
  <conditionalFormatting sqref="I61">
    <cfRule type="cellIs" dxfId="1726" priority="75" stopIfTrue="1" operator="greaterThan">
      <formula>$F$71</formula>
    </cfRule>
    <cfRule type="cellIs" dxfId="1725" priority="71" stopIfTrue="1" operator="greaterThan">
      <formula>$F$71</formula>
    </cfRule>
    <cfRule type="cellIs" dxfId="1724" priority="72" stopIfTrue="1" operator="lessThanOrEqual">
      <formula>0</formula>
    </cfRule>
    <cfRule type="cellIs" dxfId="1723" priority="73" stopIfTrue="1" operator="greaterThan">
      <formula>$F$73</formula>
    </cfRule>
    <cfRule type="cellIs" dxfId="1722" priority="74" stopIfTrue="1" operator="lessThanOrEqual">
      <formula>0</formula>
    </cfRule>
    <cfRule type="cellIs" dxfId="1721" priority="76" stopIfTrue="1" operator="lessThanOrEqual">
      <formula>0</formula>
    </cfRule>
  </conditionalFormatting>
  <conditionalFormatting sqref="I62:I63">
    <cfRule type="cellIs" dxfId="1720" priority="87" stopIfTrue="1" operator="greaterThan">
      <formula>#REF!</formula>
    </cfRule>
    <cfRule type="cellIs" dxfId="1719" priority="92" stopIfTrue="1" operator="lessThanOrEqual">
      <formula>0</formula>
    </cfRule>
    <cfRule type="cellIs" dxfId="1718" priority="91" stopIfTrue="1" operator="greaterThan">
      <formula>#REF!</formula>
    </cfRule>
    <cfRule type="cellIs" dxfId="1717" priority="90" stopIfTrue="1" operator="lessThanOrEqual">
      <formula>0</formula>
    </cfRule>
    <cfRule type="cellIs" dxfId="1716" priority="89" stopIfTrue="1" operator="greaterThan">
      <formula>#REF!</formula>
    </cfRule>
    <cfRule type="cellIs" dxfId="1715" priority="88" stopIfTrue="1" operator="lessThanOrEqual">
      <formula>0</formula>
    </cfRule>
  </conditionalFormatting>
  <conditionalFormatting sqref="I64">
    <cfRule type="cellIs" dxfId="1714" priority="118" stopIfTrue="1" operator="greaterThan">
      <formula>$F$42</formula>
    </cfRule>
    <cfRule type="cellIs" dxfId="1713" priority="116" stopIfTrue="1" operator="greaterThan">
      <formula>$F$40</formula>
    </cfRule>
    <cfRule type="cellIs" dxfId="1712" priority="121" stopIfTrue="1" operator="lessThanOrEqual">
      <formula>0</formula>
    </cfRule>
    <cfRule type="cellIs" dxfId="1711" priority="120" stopIfTrue="1" operator="greaterThan">
      <formula>$F$40</formula>
    </cfRule>
    <cfRule type="cellIs" dxfId="1710" priority="119" stopIfTrue="1" operator="lessThanOrEqual">
      <formula>0</formula>
    </cfRule>
    <cfRule type="cellIs" dxfId="1709" priority="117" stopIfTrue="1" operator="lessThanOrEqual">
      <formula>0</formula>
    </cfRule>
  </conditionalFormatting>
  <conditionalFormatting sqref="I65:I66">
    <cfRule type="cellIs" dxfId="1708" priority="62" stopIfTrue="1" operator="lessThanOrEqual">
      <formula>0</formula>
    </cfRule>
    <cfRule type="cellIs" dxfId="1707" priority="60" stopIfTrue="1" operator="lessThanOrEqual">
      <formula>0</formula>
    </cfRule>
    <cfRule type="cellIs" dxfId="1706" priority="59" stopIfTrue="1" operator="greaterThan">
      <formula>#REF!</formula>
    </cfRule>
    <cfRule type="cellIs" dxfId="1705" priority="58" stopIfTrue="1" operator="lessThanOrEqual">
      <formula>0</formula>
    </cfRule>
    <cfRule type="cellIs" dxfId="1704" priority="57" stopIfTrue="1" operator="greaterThan">
      <formula>#REF!</formula>
    </cfRule>
    <cfRule type="cellIs" dxfId="1703" priority="61" stopIfTrue="1" operator="greaterThan">
      <formula>#REF!</formula>
    </cfRule>
  </conditionalFormatting>
  <conditionalFormatting sqref="I70:I78">
    <cfRule type="cellIs" dxfId="1702" priority="148" stopIfTrue="1" operator="greaterThan">
      <formula>$J70</formula>
    </cfRule>
    <cfRule type="cellIs" dxfId="1701" priority="149" stopIfTrue="1" operator="lessThanOrEqual">
      <formula>0</formula>
    </cfRule>
  </conditionalFormatting>
  <conditionalFormatting sqref="I81:I89">
    <cfRule type="cellIs" dxfId="1700" priority="172" stopIfTrue="1" operator="greaterThan">
      <formula>4.5</formula>
    </cfRule>
    <cfRule type="cellIs" dxfId="1699" priority="173" stopIfTrue="1" operator="lessThanOrEqual">
      <formula>0</formula>
    </cfRule>
  </conditionalFormatting>
  <conditionalFormatting sqref="I10:J27">
    <cfRule type="cellIs" dxfId="1698" priority="4" operator="lessThan">
      <formula>97.9</formula>
    </cfRule>
  </conditionalFormatting>
  <conditionalFormatting sqref="J31:J32">
    <cfRule type="cellIs" dxfId="1697" priority="127" stopIfTrue="1" operator="lessThan">
      <formula>96.8</formula>
    </cfRule>
    <cfRule type="cellIs" dxfId="1696" priority="129" operator="lessThan">
      <formula>98</formula>
    </cfRule>
    <cfRule type="cellIs" dxfId="1695" priority="128" stopIfTrue="1" operator="greaterThan">
      <formula>100</formula>
    </cfRule>
  </conditionalFormatting>
  <conditionalFormatting sqref="J31:J34">
    <cfRule type="cellIs" dxfId="1694" priority="126" operator="lessThan">
      <formula>97.4</formula>
    </cfRule>
  </conditionalFormatting>
  <conditionalFormatting sqref="J35:J36">
    <cfRule type="cellIs" dxfId="1693" priority="130" operator="lessThan">
      <formula>98</formula>
    </cfRule>
  </conditionalFormatting>
  <conditionalFormatting sqref="J37:J38">
    <cfRule type="cellIs" dxfId="1692" priority="131" stopIfTrue="1" operator="lessThan">
      <formula>96.8</formula>
    </cfRule>
    <cfRule type="cellIs" dxfId="1691" priority="132" stopIfTrue="1" operator="greaterThan">
      <formula>100</formula>
    </cfRule>
  </conditionalFormatting>
  <conditionalFormatting sqref="J37:J39">
    <cfRule type="cellIs" dxfId="1690" priority="133" operator="lessThan">
      <formula>98</formula>
    </cfRule>
  </conditionalFormatting>
  <conditionalFormatting sqref="J66">
    <cfRule type="cellIs" dxfId="1689" priority="52" stopIfTrue="1" operator="lessThanOrEqual">
      <formula>0</formula>
    </cfRule>
    <cfRule type="cellIs" dxfId="1688" priority="51" stopIfTrue="1" operator="greaterThan">
      <formula>#REF!</formula>
    </cfRule>
    <cfRule type="cellIs" dxfId="1687" priority="50" stopIfTrue="1" operator="lessThanOrEqual">
      <formula>0</formula>
    </cfRule>
    <cfRule type="cellIs" dxfId="1686" priority="49" stopIfTrue="1" operator="greaterThan">
      <formula>#REF!</formula>
    </cfRule>
    <cfRule type="cellIs" dxfId="1685" priority="48" stopIfTrue="1" operator="lessThanOrEqual">
      <formula>0</formula>
    </cfRule>
    <cfRule type="cellIs" dxfId="1684" priority="46" stopIfTrue="1" operator="lessThanOrEqual">
      <formula>0</formula>
    </cfRule>
    <cfRule type="cellIs" dxfId="1683" priority="45" stopIfTrue="1" operator="greaterThan">
      <formula>#REF!</formula>
    </cfRule>
    <cfRule type="cellIs" dxfId="1682" priority="47" stopIfTrue="1" operator="greaterThan">
      <formula>#REF!</formula>
    </cfRule>
  </conditionalFormatting>
  <conditionalFormatting sqref="J79">
    <cfRule type="cellIs" dxfId="1681" priority="135" stopIfTrue="1" operator="lessThanOrEqual">
      <formula>0</formula>
    </cfRule>
    <cfRule type="cellIs" dxfId="1680" priority="134" stopIfTrue="1" operator="greaterThan">
      <formula>$F79</formula>
    </cfRule>
  </conditionalFormatting>
  <conditionalFormatting sqref="K10:K27">
    <cfRule type="cellIs" dxfId="1679" priority="7" operator="greaterThan">
      <formula>6.4</formula>
    </cfRule>
    <cfRule type="cellIs" dxfId="1678" priority="6" operator="lessThan">
      <formula>4</formula>
    </cfRule>
    <cfRule type="cellIs" dxfId="1677" priority="5" operator="greaterThan">
      <formula>6</formula>
    </cfRule>
  </conditionalFormatting>
  <conditionalFormatting sqref="K59:K66 K70:N76 K77 M77:N77 K78:N78">
    <cfRule type="cellIs" dxfId="1676" priority="111" stopIfTrue="1" operator="lessThan">
      <formula>100%</formula>
    </cfRule>
  </conditionalFormatting>
  <conditionalFormatting sqref="K81:K86">
    <cfRule type="cellIs" dxfId="1675" priority="178" stopIfTrue="1" operator="lessThan">
      <formula>100%</formula>
    </cfRule>
  </conditionalFormatting>
  <conditionalFormatting sqref="K88:K89">
    <cfRule type="cellIs" dxfId="1674" priority="185" stopIfTrue="1" operator="lessThan">
      <formula>100%</formula>
    </cfRule>
  </conditionalFormatting>
  <conditionalFormatting sqref="L10:L14 L23:L27">
    <cfRule type="cellIs" dxfId="1673" priority="23" operator="greaterThan">
      <formula>65</formula>
    </cfRule>
    <cfRule type="cellIs" dxfId="1672" priority="22" operator="between">
      <formula>61</formula>
      <formula>65</formula>
    </cfRule>
  </conditionalFormatting>
  <conditionalFormatting sqref="L15:M22">
    <cfRule type="cellIs" dxfId="1671" priority="2" operator="between">
      <formula>61</formula>
      <formula>65</formula>
    </cfRule>
    <cfRule type="cellIs" dxfId="1670" priority="1" operator="greaterThan">
      <formula>65</formula>
    </cfRule>
  </conditionalFormatting>
  <conditionalFormatting sqref="L30:M41">
    <cfRule type="cellIs" dxfId="1669" priority="14" operator="lessThan">
      <formula>97.95</formula>
    </cfRule>
  </conditionalFormatting>
  <conditionalFormatting sqref="L45:N45">
    <cfRule type="cellIs" dxfId="1668" priority="15" operator="notEqual">
      <formula>#REF!</formula>
    </cfRule>
  </conditionalFormatting>
  <conditionalFormatting sqref="L79:N79">
    <cfRule type="cellIs" dxfId="1667" priority="136" stopIfTrue="1" operator="lessThan">
      <formula>100%</formula>
    </cfRule>
  </conditionalFormatting>
  <conditionalFormatting sqref="L81:N89">
    <cfRule type="cellIs" dxfId="1666" priority="163" stopIfTrue="1" operator="lessThan">
      <formula>100%</formula>
    </cfRule>
  </conditionalFormatting>
  <conditionalFormatting sqref="M10:M14 M23:M26">
    <cfRule type="expression" dxfId="1665" priority="21">
      <formula>IF(+(IF(M10&lt;U10,0,IF(M10&gt;V10,0,1)))=0,1)</formula>
    </cfRule>
  </conditionalFormatting>
  <conditionalFormatting sqref="M15:M22 G15:G22">
    <cfRule type="expression" dxfId="1664" priority="10">
      <formula>IF(+(IF(G15&lt;#REF!,0,IF(G15&gt;#REF!,0,1)))=0,1)</formula>
    </cfRule>
  </conditionalFormatting>
  <conditionalFormatting sqref="M27:N27">
    <cfRule type="expression" dxfId="1663" priority="193">
      <formula>IF(+(IF(M27&lt;#REF!,0,IF(M27&gt;#REF!,0,1)))=0,1)</formula>
    </cfRule>
  </conditionalFormatting>
  <conditionalFormatting sqref="N10:N26">
    <cfRule type="expression" dxfId="1662" priority="3">
      <formula>IF(+(IF(N10&lt;W10,0,IF(N10&gt;X10,0,1)))=0,1)</formula>
    </cfRule>
  </conditionalFormatting>
  <conditionalFormatting sqref="P6">
    <cfRule type="cellIs" dxfId="1661" priority="159" operator="greaterThanOrEqual">
      <formula>19</formula>
    </cfRule>
  </conditionalFormatting>
  <dataValidations count="1">
    <dataValidation type="list" allowBlank="1" showInputMessage="1" showErrorMessage="1" sqref="R8" xr:uid="{A9160ED5-5476-444C-9671-A794932FCDC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752A-F585-407E-8707-63F517D9BB20}">
  <sheetPr>
    <pageSetUpPr fitToPage="1"/>
  </sheetPr>
  <dimension ref="A1:BE73"/>
  <sheetViews>
    <sheetView topLeftCell="A8" zoomScale="80" zoomScaleNormal="8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46009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[24]Brewhouse!$A516</f>
        <v>ST491</v>
      </c>
      <c r="D10" s="279">
        <f>[24]Brewhouse!$AD516</f>
        <v>49.2</v>
      </c>
      <c r="E10" s="279">
        <f>[24]Brewhouse!$AG516</f>
        <v>49.2</v>
      </c>
      <c r="F10" s="278">
        <f>[24]Brewhouse!$V516</f>
        <v>58</v>
      </c>
      <c r="G10" s="279">
        <f>[24]Brewhouse!$AE516</f>
        <v>12</v>
      </c>
      <c r="H10" s="469">
        <v>12.1</v>
      </c>
      <c r="I10" s="488">
        <f>[24]Brewhouse!$AS516</f>
        <v>99.225964512754345</v>
      </c>
      <c r="J10" s="488">
        <f>[24]Brewhouse!$AT516</f>
        <v>99.660200055814059</v>
      </c>
      <c r="K10" s="281">
        <f>[24]Brewhouse!$Q516</f>
        <v>11.874999999999995</v>
      </c>
      <c r="L10" s="276">
        <f>[24]Brewhouse!$P516</f>
        <v>61</v>
      </c>
      <c r="M10" s="374">
        <f>[24]Brewhouse!$U516-[24]Brewhouse!$T516</f>
        <v>0.12222222222222223</v>
      </c>
      <c r="N10" s="370">
        <f>[24]Brewhouse!$AW516</f>
        <v>0.26250000000000001</v>
      </c>
      <c r="O10" s="420" t="str">
        <f>[24]Brewhouse!$AV516</f>
        <v>K. Benjamin</v>
      </c>
      <c r="P10" s="418"/>
      <c r="R10" s="277" t="str">
        <f t="shared" ref="R10:R19" si="0">B10</f>
        <v>STAG</v>
      </c>
      <c r="S10" s="475">
        <f t="shared" ref="S10:S19" si="1">VLOOKUP($B10,$R$3:$X$9,2,FALSE)</f>
        <v>11.6</v>
      </c>
      <c r="T10" s="475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5">
        <f t="shared" ref="Z10:Z19" si="8">VLOOKUP($B10,$R$3:$Z$9,9,FALSE)</f>
        <v>60</v>
      </c>
    </row>
    <row r="11" spans="2:29" ht="16.5" customHeight="1">
      <c r="B11" s="33" t="s">
        <v>9</v>
      </c>
      <c r="C11" s="366" t="str">
        <f>[24]Brewhouse!$A517</f>
        <v>ST492</v>
      </c>
      <c r="D11" s="279">
        <f>[24]Brewhouse!$AD517</f>
        <v>48.3</v>
      </c>
      <c r="E11" s="279">
        <f>[24]Brewhouse!$AG517</f>
        <v>48.1</v>
      </c>
      <c r="F11" s="278">
        <f>[24]Brewhouse!$V517</f>
        <v>53</v>
      </c>
      <c r="G11" s="279">
        <f>[24]Brewhouse!$AE517</f>
        <v>11.9</v>
      </c>
      <c r="H11" s="396">
        <v>11.87</v>
      </c>
      <c r="I11" s="488">
        <f>[24]Brewhouse!$AS517</f>
        <v>96.399159890042384</v>
      </c>
      <c r="J11" s="488">
        <f>[24]Brewhouse!$AT517</f>
        <v>96.820747754406028</v>
      </c>
      <c r="K11" s="281">
        <f>[24]Brewhouse!$Q517</f>
        <v>8.6057692307692335</v>
      </c>
      <c r="L11" s="276">
        <f>[24]Brewhouse!$P517</f>
        <v>60</v>
      </c>
      <c r="M11" s="374">
        <f>[24]Brewhouse!$U517-[24]Brewhouse!$T517</f>
        <v>0.14722222222222225</v>
      </c>
      <c r="N11" s="370">
        <f>[24]Brewhouse!$AW517</f>
        <v>0.28333333333333333</v>
      </c>
      <c r="O11" s="420" t="str">
        <f>[24]Brewhouse!$AV517</f>
        <v>K. Benjamin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[24]Brewhouse!$A518</f>
        <v>ST493</v>
      </c>
      <c r="D12" s="279">
        <f>[24]Brewhouse!$AD518</f>
        <v>48.9</v>
      </c>
      <c r="E12" s="279">
        <f>[24]Brewhouse!$AG518</f>
        <v>49.1</v>
      </c>
      <c r="F12" s="278">
        <f>[24]Brewhouse!$V518</f>
        <v>61</v>
      </c>
      <c r="G12" s="279">
        <f>[24]Brewhouse!$AE518</f>
        <v>11.8</v>
      </c>
      <c r="H12" s="396">
        <v>11.8</v>
      </c>
      <c r="I12" s="488">
        <f>[24]Brewhouse!$AS518</f>
        <v>97.533873677524795</v>
      </c>
      <c r="J12" s="488">
        <f>[24]Brewhouse!$AT518</f>
        <v>97.960424049475364</v>
      </c>
      <c r="K12" s="281">
        <f>[24]Brewhouse!$Q518</f>
        <v>9.9328214971209157</v>
      </c>
      <c r="L12" s="276">
        <f>[24]Brewhouse!$P518</f>
        <v>60</v>
      </c>
      <c r="M12" s="374">
        <f>[24]Brewhouse!$U518-[24]Brewhouse!$T518</f>
        <v>0.11458333333333331</v>
      </c>
      <c r="N12" s="370">
        <f>[24]Brewhouse!$AW518</f>
        <v>0.24722222222222223</v>
      </c>
      <c r="O12" s="420" t="str">
        <f>[24]Brewhouse!$AV518</f>
        <v>R. Regis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[24]Brewhouse!$A519</f>
        <v>ST494</v>
      </c>
      <c r="D13" s="279">
        <f>[24]Brewhouse!$AD519</f>
        <v>49.7</v>
      </c>
      <c r="E13" s="279">
        <f>[24]Brewhouse!$AG519</f>
        <v>49.6</v>
      </c>
      <c r="F13" s="278">
        <f>[24]Brewhouse!$V519</f>
        <v>62</v>
      </c>
      <c r="G13" s="279">
        <f>[24]Brewhouse!$AE519</f>
        <v>11.9</v>
      </c>
      <c r="H13" s="396">
        <v>11.7</v>
      </c>
      <c r="I13" s="488">
        <f>[24]Brewhouse!$AS519</f>
        <v>98.662767363445553</v>
      </c>
      <c r="J13" s="488">
        <f>[24]Brewhouse!$AT519</f>
        <v>99.095100871212679</v>
      </c>
      <c r="K13" s="281">
        <f>[24]Brewhouse!$Q519</f>
        <v>9.165067178502877</v>
      </c>
      <c r="L13" s="276">
        <f>[24]Brewhouse!$P519</f>
        <v>60</v>
      </c>
      <c r="M13" s="374">
        <f>[24]Brewhouse!$U519-[24]Brewhouse!$T519</f>
        <v>0.11736111111111108</v>
      </c>
      <c r="N13" s="370">
        <f>[24]Brewhouse!$AW519</f>
        <v>0.25277777777777777</v>
      </c>
      <c r="O13" s="420" t="str">
        <f>[24]Brewhouse!$AV519</f>
        <v>R. Regis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 t="s">
        <v>9</v>
      </c>
      <c r="C14" s="366" t="str">
        <f>[24]Brewhouse!$A520</f>
        <v>ST495</v>
      </c>
      <c r="D14" s="279">
        <f>[24]Brewhouse!$AD520</f>
        <v>50.5</v>
      </c>
      <c r="E14" s="279">
        <f>[24]Brewhouse!$AG520</f>
        <v>49.7</v>
      </c>
      <c r="F14" s="278">
        <f>[24]Brewhouse!$V520</f>
        <v>59</v>
      </c>
      <c r="G14" s="279">
        <f>[24]Brewhouse!$AE520</f>
        <v>11.8</v>
      </c>
      <c r="H14" s="396">
        <v>11.9</v>
      </c>
      <c r="I14" s="488">
        <f>[24]Brewhouse!$AS520</f>
        <v>98.110362343721974</v>
      </c>
      <c r="J14" s="488">
        <f>[24]Brewhouse!$AT520</f>
        <v>98.540135899389185</v>
      </c>
      <c r="K14" s="281">
        <f>[24]Brewhouse!$Q520</f>
        <v>9.9328214971209157</v>
      </c>
      <c r="L14" s="276">
        <f>[24]Brewhouse!$P520</f>
        <v>61</v>
      </c>
      <c r="M14" s="374">
        <f>[24]Brewhouse!$U520-[24]Brewhouse!$T520</f>
        <v>0.1152777777777777</v>
      </c>
      <c r="N14" s="370">
        <f>[24]Brewhouse!$AW520</f>
        <v>0.25416666666666665</v>
      </c>
      <c r="O14" s="420" t="str">
        <f>[24]Brewhouse!$AV520</f>
        <v>R. Regis</v>
      </c>
      <c r="P14" s="418"/>
      <c r="R14" s="277" t="str">
        <f t="shared" si="0"/>
        <v>STAG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33" t="s">
        <v>9</v>
      </c>
      <c r="C15" s="366" t="str">
        <f>[24]Brewhouse!$A521</f>
        <v>ST496</v>
      </c>
      <c r="D15" s="279">
        <f>[24]Brewhouse!$AD521</f>
        <v>49.2</v>
      </c>
      <c r="E15" s="279">
        <f>[24]Brewhouse!$AG521</f>
        <v>49.1</v>
      </c>
      <c r="F15" s="278">
        <f>[24]Brewhouse!$V521</f>
        <v>59</v>
      </c>
      <c r="G15" s="279">
        <f>[24]Brewhouse!$AE521</f>
        <v>11.7</v>
      </c>
      <c r="H15" s="396">
        <v>11.7</v>
      </c>
      <c r="I15" s="488">
        <f>[24]Brewhouse!$AS521</f>
        <v>97.644364444691902</v>
      </c>
      <c r="J15" s="488">
        <f>[24]Brewhouse!$AT521</f>
        <v>98.070261784181639</v>
      </c>
      <c r="K15" s="281">
        <f>[24]Brewhouse!$Q521</f>
        <v>7.8214971209213102</v>
      </c>
      <c r="L15" s="276">
        <f>[24]Brewhouse!$P521</f>
        <v>57</v>
      </c>
      <c r="M15" s="374">
        <f>[24]Brewhouse!$U521-[24]Brewhouse!$T521</f>
        <v>0.11111111111111116</v>
      </c>
      <c r="N15" s="370">
        <f>[24]Brewhouse!$AW521</f>
        <v>0.25</v>
      </c>
      <c r="O15" s="420" t="str">
        <f>[24]Brewhouse!$AV521</f>
        <v>R.Sookram</v>
      </c>
      <c r="P15" s="418"/>
      <c r="R15" s="277" t="str">
        <f t="shared" si="0"/>
        <v>STAG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33" t="s">
        <v>9</v>
      </c>
      <c r="C16" s="366" t="str">
        <f>[24]Brewhouse!$A522</f>
        <v>ST497</v>
      </c>
      <c r="D16" s="279">
        <f>[24]Brewhouse!$AD522</f>
        <v>48.4</v>
      </c>
      <c r="E16" s="279">
        <f>[24]Brewhouse!$AG522</f>
        <v>48.2</v>
      </c>
      <c r="F16" s="278">
        <f>[24]Brewhouse!$V522</f>
        <v>61</v>
      </c>
      <c r="G16" s="279">
        <f>[24]Brewhouse!$AE522</f>
        <v>12</v>
      </c>
      <c r="H16" s="469">
        <v>12.1</v>
      </c>
      <c r="I16" s="488">
        <f>[24]Brewhouse!$AS522</f>
        <v>97.453064155420094</v>
      </c>
      <c r="J16" s="488">
        <f>[24]Brewhouse!$AT522</f>
        <v>97.879261118545486</v>
      </c>
      <c r="K16" s="281">
        <f>[24]Brewhouse!$Q522</f>
        <v>8.5892514395393498</v>
      </c>
      <c r="L16" s="276">
        <f>[24]Brewhouse!$P522</f>
        <v>57</v>
      </c>
      <c r="M16" s="374">
        <f>[24]Brewhouse!$U522-[24]Brewhouse!$T522</f>
        <v>0.11458333333333337</v>
      </c>
      <c r="N16" s="370">
        <f>[24]Brewhouse!$AW522</f>
        <v>0.25902777777777786</v>
      </c>
      <c r="O16" s="420" t="str">
        <f>[24]Brewhouse!$AV522</f>
        <v>R.Sookram</v>
      </c>
      <c r="P16" s="418"/>
      <c r="R16" s="277" t="str">
        <f t="shared" si="0"/>
        <v>STAG</v>
      </c>
      <c r="S16" s="475">
        <f t="shared" si="1"/>
        <v>11.6</v>
      </c>
      <c r="T16" s="475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5">
        <f t="shared" si="8"/>
        <v>60</v>
      </c>
    </row>
    <row r="17" spans="1:27" ht="16.5" customHeight="1">
      <c r="B17" s="33" t="s">
        <v>9</v>
      </c>
      <c r="C17" s="366" t="str">
        <f>[24]Brewhouse!$A523</f>
        <v>ST498</v>
      </c>
      <c r="D17" s="279">
        <f>[24]Brewhouse!$AD523</f>
        <v>50.2</v>
      </c>
      <c r="E17" s="279">
        <f>[24]Brewhouse!$AG523</f>
        <v>50</v>
      </c>
      <c r="F17" s="278">
        <f>[24]Brewhouse!$V523</f>
        <v>60</v>
      </c>
      <c r="G17" s="279">
        <f>[24]Brewhouse!$AE523</f>
        <v>11.9</v>
      </c>
      <c r="H17" s="396">
        <v>11.9</v>
      </c>
      <c r="I17" s="488">
        <f>[24]Brewhouse!$AS523</f>
        <v>100.20702691272596</v>
      </c>
      <c r="J17" s="488">
        <f>[24]Brewhouse!$AT523</f>
        <v>100.645267935973</v>
      </c>
      <c r="K17" s="281">
        <f>[24]Brewhouse!$Q523</f>
        <v>7.4376199616122838</v>
      </c>
      <c r="L17" s="276">
        <f>[24]Brewhouse!$P523</f>
        <v>58</v>
      </c>
      <c r="M17" s="374">
        <f>[24]Brewhouse!$U523-[24]Brewhouse!$T523</f>
        <v>0.17708333333333337</v>
      </c>
      <c r="N17" s="370">
        <f>[24]Brewhouse!$AW523</f>
        <v>0.25</v>
      </c>
      <c r="O17" s="420" t="str">
        <f>[24]Brewhouse!$AV523</f>
        <v>R.Sookram</v>
      </c>
      <c r="P17" s="418"/>
      <c r="R17" s="277" t="str">
        <f t="shared" si="0"/>
        <v>STAG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488"/>
      <c r="J18" s="488"/>
      <c r="K18" s="281"/>
      <c r="L18" s="276"/>
      <c r="M18" s="374"/>
      <c r="N18" s="370"/>
      <c r="O18" s="420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customHeight="1">
      <c r="B19" s="37" t="s">
        <v>16</v>
      </c>
      <c r="C19" s="366" t="str">
        <f>[27]Brewhouse!$A109</f>
        <v>SM095</v>
      </c>
      <c r="D19" s="279">
        <f>[27]Brewhouse!$AH109</f>
        <v>53</v>
      </c>
      <c r="E19" s="279">
        <f>[27]Brewhouse!$AM109</f>
        <v>48</v>
      </c>
      <c r="F19" s="278">
        <f>[27]Brewhouse!$Z109</f>
        <v>68</v>
      </c>
      <c r="G19" s="279">
        <f>[27]Brewhouse!$AK109</f>
        <v>17.399999999999999</v>
      </c>
      <c r="H19" s="396">
        <v>17.399999999999999</v>
      </c>
      <c r="I19" s="368">
        <f>[27]Brewhouse!$AY109</f>
        <v>92.370449844338921</v>
      </c>
      <c r="J19" s="368">
        <f>[27]Brewhouse!$AZ109</f>
        <v>92.605704838183627</v>
      </c>
      <c r="K19" s="281">
        <f>[27]Brewhouse!$U109</f>
        <v>14.490566037735849</v>
      </c>
      <c r="L19" s="276">
        <f>[27]Brewhouse!$T109</f>
        <v>60</v>
      </c>
      <c r="M19" s="374">
        <f>[27]Brewhouse!$Y109-[27]Brewhouse!$X109</f>
        <v>0.13750000000000018</v>
      </c>
      <c r="N19" s="370">
        <f>[27]Brewhouse!$AD109</f>
        <v>0.29513888888888895</v>
      </c>
      <c r="O19" s="371" t="str">
        <f>[27]Brewhouse!$BC109</f>
        <v>K. Benjamin</v>
      </c>
      <c r="P19" s="418"/>
      <c r="R19" s="277" t="str">
        <f t="shared" si="0"/>
        <v>STARMALT</v>
      </c>
      <c r="S19" s="475">
        <f t="shared" si="1"/>
        <v>17</v>
      </c>
      <c r="T19" s="475">
        <f t="shared" si="2"/>
        <v>17.399999999999999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475">
        <f t="shared" si="8"/>
        <v>85</v>
      </c>
    </row>
    <row r="20" spans="1:27" ht="16.5" customHeight="1">
      <c r="B20" s="37" t="s">
        <v>16</v>
      </c>
      <c r="C20" s="366" t="str">
        <f>[27]Brewhouse!$A110</f>
        <v>SM096</v>
      </c>
      <c r="D20" s="279">
        <f>[27]Brewhouse!$AH110</f>
        <v>53</v>
      </c>
      <c r="E20" s="279">
        <f>[27]Brewhouse!$AM110</f>
        <v>52.5</v>
      </c>
      <c r="F20" s="278">
        <f>[27]Brewhouse!$Z110</f>
        <v>64</v>
      </c>
      <c r="G20" s="279">
        <f>[27]Brewhouse!$AK110</f>
        <v>17.2</v>
      </c>
      <c r="H20" s="396">
        <v>17.2</v>
      </c>
      <c r="I20" s="368">
        <f>[27]Brewhouse!$AY110</f>
        <v>99.701211499647968</v>
      </c>
      <c r="J20" s="368">
        <f>[27]Brewhouse!$AZ110</f>
        <v>99.95537512243871</v>
      </c>
      <c r="K20" s="281">
        <f>[27]Brewhouse!$U110</f>
        <v>9.2075471698113258</v>
      </c>
      <c r="L20" s="276">
        <f>[27]Brewhouse!$T110</f>
        <v>60</v>
      </c>
      <c r="M20" s="374">
        <f>[27]Brewhouse!$Y110-[27]Brewhouse!$X110</f>
        <v>0.13611111111111129</v>
      </c>
      <c r="N20" s="370">
        <f>[27]Brewhouse!$AD110</f>
        <v>0.28750000000000009</v>
      </c>
      <c r="O20" s="371" t="str">
        <f>[27]Brewhouse!$BC110</f>
        <v>K. Benjamin</v>
      </c>
      <c r="P20" s="418"/>
      <c r="R20" s="277" t="str">
        <f t="shared" ref="R20:R35" si="9">B20</f>
        <v>STARMALT</v>
      </c>
      <c r="S20" s="475">
        <f t="shared" ref="S20:S35" si="10">VLOOKUP($B20,$R$3:$X$9,2,FALSE)</f>
        <v>17</v>
      </c>
      <c r="T20" s="475">
        <f t="shared" ref="T20:T35" si="11">VLOOKUP($B20,$R$3:$X$9,3,FALSE)</f>
        <v>17.399999999999999</v>
      </c>
      <c r="U20" s="297">
        <f t="shared" ref="U20:U35" si="12">VLOOKUP($B20,$R$3:$X$9,4,FALSE)</f>
        <v>0</v>
      </c>
      <c r="V20" s="297">
        <f t="shared" ref="V20:V35" si="13">VLOOKUP($B20,$R$3:$X$9,5,FALSE)</f>
        <v>0.13605324074074074</v>
      </c>
      <c r="W20" s="297">
        <f t="shared" ref="W20:W35" si="14">VLOOKUP($B20,$R$3:$X$9,6,FALSE)</f>
        <v>0.27430555555555552</v>
      </c>
      <c r="X20" s="297">
        <f t="shared" ref="X20:X35" si="15">VLOOKUP($B20,$R$3:$X$9,7,FALSE)</f>
        <v>0.30902777777777779</v>
      </c>
      <c r="Y20" s="297">
        <f t="shared" ref="Y20:Y35" si="16">VLOOKUP($B20,$R$3:$Z$9,8,FALSE)</f>
        <v>0</v>
      </c>
      <c r="Z20" s="475">
        <f t="shared" ref="Z20:Z35" si="17">VLOOKUP($B20,$R$3:$Z$9,9,FALSE)</f>
        <v>85</v>
      </c>
    </row>
    <row r="21" spans="1:27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5" t="e">
        <f t="shared" si="10"/>
        <v>#N/A</v>
      </c>
      <c r="T21" s="475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5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28"/>
      <c r="J22" s="528"/>
      <c r="K22" s="528"/>
      <c r="L22" s="528"/>
      <c r="M22" s="528"/>
      <c r="N22" s="528"/>
      <c r="O22" s="1"/>
      <c r="P22" s="12"/>
      <c r="R22" s="277">
        <f t="shared" si="9"/>
        <v>0</v>
      </c>
      <c r="S22" s="475" t="e">
        <f t="shared" si="10"/>
        <v>#N/A</v>
      </c>
      <c r="T22" s="475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5" t="e">
        <f t="shared" si="17"/>
        <v>#N/A</v>
      </c>
    </row>
    <row r="23" spans="1:27" ht="15.75" customHeight="1" thickBot="1">
      <c r="B23" s="388" t="s">
        <v>162</v>
      </c>
      <c r="C23" s="388"/>
      <c r="D23" s="506" t="s">
        <v>35</v>
      </c>
      <c r="E23" s="50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5" t="e">
        <f t="shared" si="10"/>
        <v>#N/A</v>
      </c>
      <c r="T23" s="475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5" t="e">
        <f t="shared" si="17"/>
        <v>#N/A</v>
      </c>
    </row>
    <row r="24" spans="1:27" ht="15" customHeight="1">
      <c r="A24" s="28"/>
      <c r="B24" s="587" t="str">
        <f>I24</f>
        <v>CARIB</v>
      </c>
      <c r="C24" s="362" cm="1">
        <f t="array" ref="C24:C27">[23]Process!$D$966:$D$969</f>
        <v>11.7</v>
      </c>
      <c r="D24" s="532">
        <v>11.87</v>
      </c>
      <c r="E24" s="533"/>
      <c r="F24" s="294"/>
      <c r="G24" s="294"/>
      <c r="H24" s="348"/>
      <c r="I24" s="29" t="s">
        <v>6</v>
      </c>
      <c r="J24" s="280"/>
      <c r="K24" s="284">
        <f>COUNTA([23]Brewhouse!$A$1005:$A$1026)</f>
        <v>22</v>
      </c>
      <c r="L24" s="305">
        <f>AVERAGE([23]Brewhouse!$AU$1005:$AU$1026)</f>
        <v>98.810662473067381</v>
      </c>
      <c r="M2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24" s="30">
        <v>98</v>
      </c>
      <c r="O24" s="11"/>
      <c r="P24" s="31"/>
      <c r="R24" s="277" t="str">
        <f t="shared" si="9"/>
        <v>CARIB</v>
      </c>
      <c r="S24" s="475">
        <f t="shared" si="10"/>
        <v>11.6</v>
      </c>
      <c r="T24" s="475">
        <f t="shared" si="11"/>
        <v>12</v>
      </c>
      <c r="U24" s="297">
        <f t="shared" si="12"/>
        <v>0</v>
      </c>
      <c r="V24" s="297">
        <f t="shared" si="13"/>
        <v>0.118055555555556</v>
      </c>
      <c r="W24" s="297">
        <f t="shared" si="14"/>
        <v>0.22569444444444445</v>
      </c>
      <c r="X24" s="297">
        <f t="shared" si="15"/>
        <v>0.2638888888888889</v>
      </c>
      <c r="Y24" s="297">
        <f t="shared" si="16"/>
        <v>0</v>
      </c>
      <c r="Z24" s="475">
        <f t="shared" si="17"/>
        <v>60</v>
      </c>
    </row>
    <row r="25" spans="1:27" ht="15" customHeight="1">
      <c r="A25" s="28"/>
      <c r="B25" s="588"/>
      <c r="C25" s="362">
        <v>11.7</v>
      </c>
      <c r="D25" s="534"/>
      <c r="E25" s="535"/>
      <c r="F25" s="294"/>
      <c r="G25" s="294"/>
      <c r="H25" s="348"/>
      <c r="I25" s="33" t="s">
        <v>9</v>
      </c>
      <c r="J25" s="280">
        <f>AVERAGE(I10:I17)</f>
        <v>98.154572912540871</v>
      </c>
      <c r="K25" s="284">
        <f>COUNTA([24]Brewhouse!$A$486:$A$523)</f>
        <v>38</v>
      </c>
      <c r="L25" s="302">
        <f>AVERAGE([24]Brewhouse!$AS$486:$AS$523)</f>
        <v>97.091279048572574</v>
      </c>
      <c r="M25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5" s="30">
        <v>98</v>
      </c>
      <c r="O25" s="11"/>
      <c r="P25" s="31"/>
      <c r="R25" s="277">
        <f t="shared" si="9"/>
        <v>0</v>
      </c>
      <c r="S25" s="475" t="e">
        <f t="shared" si="10"/>
        <v>#N/A</v>
      </c>
      <c r="T25" s="475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5" t="e">
        <f t="shared" si="17"/>
        <v>#N/A</v>
      </c>
    </row>
    <row r="26" spans="1:27" ht="14.65" customHeight="1">
      <c r="A26" s="28"/>
      <c r="B26" s="588"/>
      <c r="C26" s="362">
        <v>11.6</v>
      </c>
      <c r="D26" s="580">
        <v>11.67</v>
      </c>
      <c r="E26" s="581"/>
      <c r="F26" s="294"/>
      <c r="G26" s="294"/>
      <c r="H26" s="348"/>
      <c r="I26" s="34" t="s">
        <v>12</v>
      </c>
      <c r="J26" s="280"/>
      <c r="K26" s="284">
        <f>COUNTA([25]Brewhouse!$A$125:$A$132)</f>
        <v>8</v>
      </c>
      <c r="L26" s="302">
        <f>AVERAGE([25]Brewhouse!$AU$125:$AU$132)</f>
        <v>96.474285660381511</v>
      </c>
      <c r="M26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6" s="30">
        <v>98</v>
      </c>
      <c r="O26" s="11"/>
      <c r="P26" s="31"/>
      <c r="R26" s="277">
        <f t="shared" si="9"/>
        <v>0</v>
      </c>
      <c r="S26" s="475" t="e">
        <f t="shared" si="10"/>
        <v>#N/A</v>
      </c>
      <c r="T26" s="475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5" t="e">
        <f t="shared" si="17"/>
        <v>#N/A</v>
      </c>
    </row>
    <row r="27" spans="1:27" ht="14.65" customHeight="1">
      <c r="A27" s="28"/>
      <c r="B27" s="588"/>
      <c r="C27" s="362">
        <v>11.8</v>
      </c>
      <c r="D27" s="547"/>
      <c r="E27" s="535"/>
      <c r="F27" s="294"/>
      <c r="G27" s="294"/>
      <c r="H27" s="348"/>
      <c r="I27" s="22" t="s">
        <v>33</v>
      </c>
      <c r="J27" s="280"/>
      <c r="K27" s="284">
        <f>COUNTA([22]Brewhouse!$A$107:$A$122)</f>
        <v>16</v>
      </c>
      <c r="L27" s="302">
        <f>AVERAGE([22]Brewhouse!$AV$107:$AV$122)</f>
        <v>96.593037676437092</v>
      </c>
      <c r="M27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7" s="30">
        <v>98</v>
      </c>
      <c r="O27" s="11"/>
      <c r="P27" s="31"/>
      <c r="R27" s="277">
        <f t="shared" si="9"/>
        <v>0</v>
      </c>
      <c r="S27" s="475" t="e">
        <f t="shared" si="10"/>
        <v>#N/A</v>
      </c>
      <c r="T27" s="475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5" t="e">
        <f t="shared" si="17"/>
        <v>#N/A</v>
      </c>
    </row>
    <row r="28" spans="1:27" ht="14.65" customHeight="1">
      <c r="A28" s="28"/>
      <c r="B28" s="588"/>
      <c r="C28" s="362" cm="1">
        <f t="array" ref="C28:C35">[23]Process!$D$974:$D$981</f>
        <v>12</v>
      </c>
      <c r="D28" s="580">
        <v>11.6</v>
      </c>
      <c r="E28" s="58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5" t="e">
        <f t="shared" si="10"/>
        <v>#N/A</v>
      </c>
      <c r="T28" s="475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5" t="e">
        <f t="shared" si="17"/>
        <v>#N/A</v>
      </c>
    </row>
    <row r="29" spans="1:27" ht="14.65" customHeight="1">
      <c r="A29" s="28"/>
      <c r="B29" s="588"/>
      <c r="C29" s="362">
        <v>11.8</v>
      </c>
      <c r="D29" s="547"/>
      <c r="E29" s="535"/>
      <c r="F29" s="417"/>
      <c r="G29" s="294"/>
      <c r="H29" s="348"/>
      <c r="I29" s="36" t="s">
        <v>15</v>
      </c>
      <c r="J29" s="323"/>
      <c r="K29" s="284"/>
      <c r="L29" s="302"/>
      <c r="M29" s="302">
        <f>AVERAGE([26]Brewhouse!$AT$4:$AT$11,[26]Brewhouse!$AT$13:$AT$16,[26]Brewhouse!$AT$18:$AT$21,[26]Brewhouse!$AT$26,[26]Brewhouse!$AT$28:$AT$35)</f>
        <v>94.794664331624134</v>
      </c>
      <c r="N29" s="30">
        <v>98</v>
      </c>
      <c r="O29" s="11"/>
      <c r="P29" s="31"/>
      <c r="R29" s="277">
        <f t="shared" si="9"/>
        <v>0</v>
      </c>
      <c r="S29" s="475" t="e">
        <f t="shared" si="10"/>
        <v>#N/A</v>
      </c>
      <c r="T29" s="475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5" t="e">
        <f t="shared" si="17"/>
        <v>#N/A</v>
      </c>
      <c r="AA29" s="475"/>
    </row>
    <row r="30" spans="1:27" ht="14.65" customHeight="1">
      <c r="A30" s="28"/>
      <c r="B30" s="588"/>
      <c r="C30" s="362">
        <v>11.9</v>
      </c>
      <c r="D30" s="580">
        <v>11.86</v>
      </c>
      <c r="E30" s="581"/>
      <c r="F30" s="417"/>
      <c r="G30" s="294"/>
      <c r="H30" s="348"/>
      <c r="I30" s="37" t="s">
        <v>16</v>
      </c>
      <c r="J30" s="323">
        <f>AVERAGE(I19:I20)</f>
        <v>96.035830671993438</v>
      </c>
      <c r="K30" s="284">
        <f>COUNTA([27]Brewhouse!$A$99:$A$110)</f>
        <v>12</v>
      </c>
      <c r="L30" s="302">
        <f>AVERAGE([27]Brewhouse!$AY$99:$AY$110)</f>
        <v>97.184057747697196</v>
      </c>
      <c r="M30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[27]Brewhouse!$AY$56:$AY$73,[27]Brewhouse!$AY$75:$AY$92,[27]Brewhouse!$AY$94:$AY$97,[27]Brewhouse!$AY$99:$AY$110)</f>
        <v>97.345914087885589</v>
      </c>
      <c r="N30" s="30">
        <v>98</v>
      </c>
      <c r="O30" s="11"/>
      <c r="P30" s="31" t="s">
        <v>41</v>
      </c>
      <c r="R30" s="277">
        <f t="shared" si="9"/>
        <v>0</v>
      </c>
      <c r="S30" s="475" t="e">
        <f t="shared" si="10"/>
        <v>#N/A</v>
      </c>
      <c r="T30" s="475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5" t="e">
        <f t="shared" si="17"/>
        <v>#N/A</v>
      </c>
      <c r="AA30" s="475"/>
    </row>
    <row r="31" spans="1:27" ht="14.65" customHeight="1">
      <c r="A31" s="28"/>
      <c r="B31" s="588"/>
      <c r="C31" s="362">
        <v>12</v>
      </c>
      <c r="D31" s="547"/>
      <c r="E31" s="535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AVERAGE([28]Brewhouse!$AU$5:$AU$8,[28]Brewhouse!$AU$10:$AU$13,[27]Brewhouse!$AY$75:$AY$77)</f>
        <v>94.749192473706671</v>
      </c>
      <c r="N31" s="30">
        <v>98</v>
      </c>
      <c r="O31" s="11"/>
      <c r="P31" s="31"/>
      <c r="R31" s="277">
        <f t="shared" si="9"/>
        <v>0</v>
      </c>
      <c r="S31" s="475" t="e">
        <f t="shared" si="10"/>
        <v>#N/A</v>
      </c>
      <c r="T31" s="475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5" t="e">
        <f t="shared" si="17"/>
        <v>#N/A</v>
      </c>
      <c r="AA31" s="475"/>
    </row>
    <row r="32" spans="1:27" ht="14.65" customHeight="1">
      <c r="A32" s="28"/>
      <c r="B32" s="588"/>
      <c r="C32" s="349">
        <v>11.6</v>
      </c>
      <c r="D32" s="580">
        <v>11.75</v>
      </c>
      <c r="E32" s="581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>
        <f t="shared" si="9"/>
        <v>0</v>
      </c>
      <c r="S32" s="475" t="e">
        <f t="shared" si="10"/>
        <v>#N/A</v>
      </c>
      <c r="T32" s="475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5" t="e">
        <f t="shared" si="17"/>
        <v>#N/A</v>
      </c>
      <c r="AA32" s="475"/>
    </row>
    <row r="33" spans="1:56" ht="15" customHeight="1" thickBot="1">
      <c r="A33" s="28"/>
      <c r="B33" s="588"/>
      <c r="C33" s="349">
        <v>11.7</v>
      </c>
      <c r="D33" s="547"/>
      <c r="E33" s="535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>
        <f t="shared" si="9"/>
        <v>0</v>
      </c>
      <c r="S33" s="475" t="e">
        <f t="shared" si="10"/>
        <v>#N/A</v>
      </c>
      <c r="T33" s="475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5" t="e">
        <f t="shared" si="17"/>
        <v>#N/A</v>
      </c>
      <c r="AA33" s="475"/>
    </row>
    <row r="34" spans="1:56" ht="15" customHeight="1" thickBot="1">
      <c r="A34" s="28"/>
      <c r="B34" s="588"/>
      <c r="C34" s="349">
        <v>11.8</v>
      </c>
      <c r="D34" s="532">
        <v>11.9</v>
      </c>
      <c r="E34" s="533"/>
      <c r="F34" s="294"/>
      <c r="G34" s="294"/>
      <c r="H34" s="348"/>
      <c r="I34" s="1"/>
      <c r="J34" s="39"/>
      <c r="K34" s="404">
        <f>SUM(K24:K33)</f>
        <v>96</v>
      </c>
      <c r="L34" s="405">
        <f>((L24*K24)+(L25*K25)+(L26*K26)+(L27*K27)+(L28*K28)+(K31*L31)+(L29*K29)+(L30*K30)+(L33*K33))/(K34)</f>
        <v>97.362445409704705</v>
      </c>
      <c r="M34" s="405">
        <f>AVERAGE('[31]Jan 31st'!$L$65,'[32]Feb 28th'!$L$35,'[33]Mar. 31st'!$L$35,'[34]Apr. 30th'!$L$45,'[35]May 30th'!$L$37,'[36]June 30th'!$L$57,'[37]July 29th '!$L$44,'[38]Aug 29th'!$L$29,'[39]Sept 30th'!$L$35,L34)</f>
        <v>97.554194780652267</v>
      </c>
      <c r="N34" s="40">
        <v>98</v>
      </c>
      <c r="O34" s="11"/>
      <c r="P34" s="31"/>
      <c r="R34" s="277">
        <f t="shared" si="9"/>
        <v>0</v>
      </c>
      <c r="S34" s="475" t="e">
        <f t="shared" si="10"/>
        <v>#N/A</v>
      </c>
      <c r="T34" s="475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5" t="e">
        <f t="shared" si="17"/>
        <v>#N/A</v>
      </c>
      <c r="AA34" s="475"/>
    </row>
    <row r="35" spans="1:56" ht="15.75" thickBot="1">
      <c r="B35" s="589"/>
      <c r="C35" s="350">
        <v>11.6</v>
      </c>
      <c r="D35" s="534"/>
      <c r="E35" s="53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  <c r="AA35" s="475"/>
    </row>
    <row r="36" spans="1:56" ht="15.75" thickBot="1">
      <c r="B36" s="602"/>
      <c r="C36" s="362"/>
      <c r="D36" s="545"/>
      <c r="E36" s="546"/>
      <c r="F36" s="294"/>
      <c r="G36" s="42"/>
      <c r="H36" s="41"/>
      <c r="I36" s="42"/>
      <c r="J36" s="579" t="s">
        <v>129</v>
      </c>
      <c r="K36" s="579"/>
      <c r="L36" s="294"/>
      <c r="M36" s="294"/>
      <c r="N36" s="294"/>
      <c r="O36" s="294"/>
      <c r="P36" s="12"/>
    </row>
    <row r="37" spans="1:56" ht="15.75" thickBot="1">
      <c r="B37" s="603"/>
      <c r="C37" s="362"/>
      <c r="D37" s="547"/>
      <c r="E37" s="535"/>
      <c r="F37" s="294"/>
      <c r="G37" s="42"/>
      <c r="H37" s="42"/>
      <c r="I37" s="42"/>
      <c r="J37" s="292" t="s">
        <v>17</v>
      </c>
      <c r="K37" s="293" t="s">
        <v>147</v>
      </c>
      <c r="L37" s="549" t="s">
        <v>136</v>
      </c>
      <c r="M37" s="549"/>
      <c r="N37" s="550"/>
      <c r="O37" s="294"/>
      <c r="P37" s="12"/>
    </row>
    <row r="38" spans="1:56" ht="15" customHeight="1" thickBot="1">
      <c r="B38" s="603"/>
      <c r="C38" s="349"/>
      <c r="D38" s="580"/>
      <c r="E38" s="581"/>
      <c r="F38" s="294"/>
      <c r="G38" s="42"/>
      <c r="H38" s="42"/>
      <c r="I38" s="42"/>
      <c r="J38" s="287" t="s">
        <v>6</v>
      </c>
      <c r="K38" s="324"/>
      <c r="L38" s="476" t="s">
        <v>37</v>
      </c>
      <c r="M38" s="477" t="s">
        <v>38</v>
      </c>
      <c r="N38" s="477" t="s">
        <v>84</v>
      </c>
      <c r="O38" s="294"/>
      <c r="P38" s="12"/>
    </row>
    <row r="39" spans="1:56" ht="15.75" customHeight="1" thickBot="1">
      <c r="B39" s="603"/>
      <c r="C39" s="349"/>
      <c r="D39" s="547"/>
      <c r="E39" s="535"/>
      <c r="F39" s="294"/>
      <c r="G39" s="42"/>
      <c r="H39" s="42"/>
      <c r="I39" s="42"/>
      <c r="J39" s="345" t="s">
        <v>9</v>
      </c>
      <c r="K39" s="324">
        <v>8</v>
      </c>
      <c r="L39" s="344">
        <f>AVERAGE('Dec 1st'!K43,'Dec 2nd'!K49,'Dec 3rd '!K58,'Dec 4th'!K51,'Dec 5th-7th'!I70,'Dec 5th-7th'!J70,'Dec 5th-7th'!K70,'Dec 8th '!K49,'Dec 9th'!K49,'Dec 17th '!K48,'Dec 11th'!K53,'Dec 12th-14th'!K44,'Dec 10th'!K61,'Dec 15th'!K49,'Dec 16th'!K54)</f>
        <v>6.4</v>
      </c>
      <c r="M39" s="325">
        <f>AVERAGE('[31]Jan 29th '!$M$70,'[32]Feb 28th'!$L$40,'[33]Mar. 31st'!$L$40,'[34]Apr. 30th'!$L$50,'[35]May 30th'!$L$42,'[36]June 30th'!$L$62,'[37]July 29th '!$L$49,'[38]Aug 29th'!$L$34,'[39]Sept 30th'!$L$40,[40]Oct.31st!$L$43,'[41]Nov 28th-30th'!$L$45,L39)</f>
        <v>6.9228644178729999</v>
      </c>
      <c r="N39" s="416">
        <v>9.1999999999999993</v>
      </c>
      <c r="O39" s="294"/>
      <c r="P39" s="12"/>
    </row>
    <row r="40" spans="1:56" ht="15" customHeight="1">
      <c r="B40" s="603"/>
      <c r="C40" s="349"/>
      <c r="D40" s="580"/>
      <c r="E40" s="58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603"/>
      <c r="C41" s="349"/>
      <c r="D41" s="547"/>
      <c r="E41" s="53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603"/>
      <c r="C42" s="349"/>
      <c r="D42" s="580"/>
      <c r="E42" s="581"/>
      <c r="F42" s="294"/>
      <c r="G42" s="42"/>
      <c r="H42" s="42"/>
      <c r="I42" s="42"/>
      <c r="J42" s="290" t="s">
        <v>16</v>
      </c>
      <c r="K42" s="324">
        <v>2</v>
      </c>
      <c r="L42" s="294"/>
      <c r="M42" s="294"/>
      <c r="N42" s="294"/>
      <c r="O42" s="294"/>
      <c r="P42" s="12"/>
      <c r="BC42" s="44"/>
      <c r="BD42" s="44"/>
    </row>
    <row r="43" spans="1:56" ht="15">
      <c r="B43" s="603"/>
      <c r="C43" s="349"/>
      <c r="D43" s="547"/>
      <c r="E43" s="53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603"/>
      <c r="C44" s="349"/>
      <c r="D44" s="580"/>
      <c r="E44" s="58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604"/>
      <c r="C45" s="350"/>
      <c r="D45" s="582"/>
      <c r="E45" s="58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77"/>
      <c r="E46" s="578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10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J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57" t="s">
        <v>17</v>
      </c>
      <c r="C51" s="557" t="s">
        <v>44</v>
      </c>
      <c r="D51" s="559" t="s">
        <v>45</v>
      </c>
      <c r="E51" s="514" t="s">
        <v>46</v>
      </c>
      <c r="F51" s="574" t="s">
        <v>47</v>
      </c>
      <c r="G51" s="568" t="s">
        <v>48</v>
      </c>
      <c r="H51" s="557" t="s">
        <v>49</v>
      </c>
      <c r="I51" s="557" t="s">
        <v>50</v>
      </c>
      <c r="J51" s="562" t="s">
        <v>28</v>
      </c>
      <c r="K51" s="512" t="s">
        <v>51</v>
      </c>
      <c r="L51" s="524" t="s">
        <v>52</v>
      </c>
      <c r="M51" s="562" t="s">
        <v>53</v>
      </c>
      <c r="N51" s="13"/>
      <c r="O51" s="13"/>
      <c r="P51" s="50"/>
    </row>
    <row r="52" spans="2:57" ht="28.5" customHeight="1" thickTop="1" thickBot="1">
      <c r="B52" s="558"/>
      <c r="C52" s="558"/>
      <c r="D52" s="560"/>
      <c r="E52" s="561"/>
      <c r="F52" s="575"/>
      <c r="G52" s="569"/>
      <c r="H52" s="576"/>
      <c r="I52" s="576"/>
      <c r="J52" s="563"/>
      <c r="K52" s="572"/>
      <c r="L52" s="573"/>
      <c r="M52" s="563"/>
      <c r="N52" s="13"/>
      <c r="O52" s="13"/>
      <c r="P52" s="50"/>
      <c r="Q52" s="355"/>
      <c r="AB52" s="478">
        <v>43474</v>
      </c>
      <c r="AC52" s="478">
        <v>43475</v>
      </c>
      <c r="AD52" s="478">
        <v>43476</v>
      </c>
      <c r="AE52" s="478">
        <v>43477</v>
      </c>
      <c r="AF52" s="478">
        <v>43478</v>
      </c>
      <c r="AG52" s="478">
        <v>43479</v>
      </c>
      <c r="AH52" s="478">
        <v>43480</v>
      </c>
      <c r="AI52" s="478">
        <v>43481</v>
      </c>
      <c r="AJ52" s="478">
        <v>43482</v>
      </c>
      <c r="AK52" s="478">
        <v>43483</v>
      </c>
      <c r="AL52" s="478">
        <v>43484</v>
      </c>
      <c r="AM52" s="478">
        <v>43485</v>
      </c>
      <c r="AN52" s="478">
        <v>43486</v>
      </c>
      <c r="AO52" s="478">
        <v>43487</v>
      </c>
      <c r="AP52" s="478">
        <v>43488</v>
      </c>
      <c r="AQ52" s="478">
        <v>43489</v>
      </c>
      <c r="AR52" s="478">
        <v>43490</v>
      </c>
      <c r="AS52" s="478">
        <v>43491</v>
      </c>
      <c r="AT52" s="478">
        <v>43492</v>
      </c>
      <c r="AU52" s="478">
        <v>43493</v>
      </c>
      <c r="AV52" s="478">
        <v>43494</v>
      </c>
      <c r="AW52" s="478">
        <v>43495</v>
      </c>
      <c r="AX52" s="478">
        <v>43496</v>
      </c>
    </row>
    <row r="53" spans="2:57" s="54" customFormat="1" ht="43.15" customHeight="1" thickBot="1">
      <c r="B53" s="456" t="str">
        <f>J38</f>
        <v>CARIB</v>
      </c>
      <c r="C53" s="441">
        <v>46008</v>
      </c>
      <c r="D53" s="442">
        <f>[42]December_2025!$T$3</f>
        <v>606.79000000000008</v>
      </c>
      <c r="E53" s="443"/>
      <c r="F53" s="444"/>
      <c r="G53" s="444">
        <f>[42]December_2025!$T$7</f>
        <v>584</v>
      </c>
      <c r="H53" s="458"/>
      <c r="I53" s="458"/>
      <c r="J53" s="448" t="s">
        <v>185</v>
      </c>
      <c r="K53" s="449">
        <f>[43]December_2025!$T$18</f>
        <v>0.40982456140350876</v>
      </c>
      <c r="L53" s="486">
        <f>(((D53+E53)-G53)/(D53+E53))*100</f>
        <v>3.7558298587649883</v>
      </c>
      <c r="M53" s="455" t="s">
        <v>171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9.5" hidden="1" customHeight="1" thickBot="1">
      <c r="B54" s="468"/>
      <c r="C54" s="430"/>
      <c r="D54" s="431"/>
      <c r="E54" s="432"/>
      <c r="F54" s="433"/>
      <c r="G54" s="434"/>
      <c r="H54" s="428"/>
      <c r="I54" s="42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50000000000003" hidden="1" customHeight="1" thickBot="1">
      <c r="B55" s="490"/>
      <c r="C55" s="441"/>
      <c r="D55" s="442"/>
      <c r="E55" s="443"/>
      <c r="F55" s="444"/>
      <c r="G55" s="445"/>
      <c r="H55" s="458"/>
      <c r="I55" s="458"/>
      <c r="J55" s="448"/>
      <c r="K55" s="460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59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7"/>
      <c r="C60" s="430"/>
      <c r="D60" s="461"/>
      <c r="E60" s="462"/>
      <c r="F60" s="463"/>
      <c r="G60" s="461"/>
      <c r="H60" s="464"/>
      <c r="I60" s="464"/>
      <c r="J60" s="464"/>
      <c r="K60" s="465"/>
      <c r="L60" s="466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64" t="s">
        <v>55</v>
      </c>
      <c r="C62" s="565"/>
      <c r="D62" s="565"/>
      <c r="E62" s="565"/>
      <c r="F62" s="566"/>
      <c r="G62" s="564" t="s">
        <v>56</v>
      </c>
      <c r="H62" s="565"/>
      <c r="I62" s="565"/>
      <c r="J62" s="566"/>
      <c r="K62" s="564" t="s">
        <v>51</v>
      </c>
      <c r="L62" s="565"/>
      <c r="M62" s="565"/>
      <c r="N62" s="567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282">
        <f>L53</f>
        <v>3.7558298587649883</v>
      </c>
      <c r="D64" s="76">
        <v>6.1628324080072332</v>
      </c>
      <c r="E64" s="76">
        <v>6.0758581711534276</v>
      </c>
      <c r="F64" s="66">
        <v>4.8</v>
      </c>
      <c r="G64" s="65">
        <f>[42]December_2025!$T$11</f>
        <v>3.4428406875739963</v>
      </c>
      <c r="H64" s="491">
        <v>4.8675836365763514</v>
      </c>
      <c r="I64" s="76">
        <v>5.9420581979343003</v>
      </c>
      <c r="J64" s="66">
        <v>4.8</v>
      </c>
      <c r="K64" s="67">
        <f>K53</f>
        <v>0.40982456140350876</v>
      </c>
      <c r="L64" s="194">
        <v>0.45119298245614031</v>
      </c>
      <c r="M64" s="194">
        <v>0.71700406336850631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3.6478197719982228</v>
      </c>
      <c r="E65" s="76">
        <v>5.6172004118559888</v>
      </c>
      <c r="F65" s="66">
        <v>4.8</v>
      </c>
      <c r="G65" s="65"/>
      <c r="H65" s="76">
        <v>3.8202507107179087</v>
      </c>
      <c r="I65" s="76">
        <v>6.1222129994361296</v>
      </c>
      <c r="J65" s="66">
        <v>4.8</v>
      </c>
      <c r="K65" s="67"/>
      <c r="L65" s="194">
        <v>0.43715399610136452</v>
      </c>
      <c r="M65" s="194">
        <v>0.67300780433599561</v>
      </c>
      <c r="N65" s="68">
        <v>1</v>
      </c>
      <c r="P65" s="69"/>
    </row>
    <row r="66" spans="2:16" ht="15">
      <c r="B66" s="34" t="s">
        <v>40</v>
      </c>
      <c r="C66" s="65"/>
      <c r="D66" s="76">
        <v>12.618296529968443</v>
      </c>
      <c r="E66" s="76">
        <v>11.122539172358353</v>
      </c>
      <c r="F66" s="66">
        <v>5.5</v>
      </c>
      <c r="G66" s="65"/>
      <c r="H66" s="76">
        <v>12.288892572095527</v>
      </c>
      <c r="I66" s="76">
        <v>12.520142311925225</v>
      </c>
      <c r="J66" s="66">
        <v>5.5</v>
      </c>
      <c r="K66" s="67"/>
      <c r="L66" s="194">
        <v>0.31587719298245615</v>
      </c>
      <c r="M66" s="194">
        <v>0.50769967246157732</v>
      </c>
      <c r="N66" s="68">
        <v>1</v>
      </c>
      <c r="P66" s="69"/>
    </row>
    <row r="67" spans="2:16" ht="15">
      <c r="B67" s="22" t="s">
        <v>33</v>
      </c>
      <c r="C67" s="65"/>
      <c r="D67" s="76">
        <v>3.7426398119835098</v>
      </c>
      <c r="E67" s="76">
        <v>4.4918713689673408</v>
      </c>
      <c r="F67" s="66">
        <v>3.3</v>
      </c>
      <c r="G67" s="65"/>
      <c r="H67" s="76">
        <v>2.884540034691927</v>
      </c>
      <c r="I67" s="76">
        <v>4.189075062989712</v>
      </c>
      <c r="J67" s="66">
        <v>3.3</v>
      </c>
      <c r="K67" s="67"/>
      <c r="L67" s="194">
        <v>0.77900584795321637</v>
      </c>
      <c r="M67" s="194">
        <v>0.82191692466460264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6.8851328044153277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1.6037551339722365</v>
      </c>
      <c r="E70" s="76">
        <v>2.7893641905668773</v>
      </c>
      <c r="F70" s="66">
        <v>3.3</v>
      </c>
      <c r="G70" s="282"/>
      <c r="H70" s="76">
        <v>6.7972810536378629</v>
      </c>
      <c r="I70" s="76">
        <v>4.5354505140007557</v>
      </c>
      <c r="J70" s="66">
        <v>3.3</v>
      </c>
      <c r="K70" s="67"/>
      <c r="L70" s="194">
        <v>0.61403508771929827</v>
      </c>
      <c r="M70" s="194">
        <v>0.81650775633749528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5.283238318456954</v>
      </c>
      <c r="E73" s="76">
        <v>6.0635865027769249</v>
      </c>
      <c r="F73" s="341">
        <v>5.5</v>
      </c>
      <c r="H73" s="76">
        <v>5.3516737346021355</v>
      </c>
      <c r="I73" s="76">
        <v>6.4653177077843846</v>
      </c>
      <c r="J73" s="341">
        <v>5.5</v>
      </c>
      <c r="L73" s="194">
        <v>0.5266389863547758</v>
      </c>
      <c r="M73" s="194">
        <v>0.69474186378418856</v>
      </c>
      <c r="N73" s="386">
        <v>1</v>
      </c>
    </row>
  </sheetData>
  <mergeCells count="51">
    <mergeCell ref="M51:M52"/>
    <mergeCell ref="B62:F62"/>
    <mergeCell ref="G62:J62"/>
    <mergeCell ref="K62:N62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660" priority="47" operator="notBetween">
      <formula>#REF!</formula>
      <formula>#REF!</formula>
    </cfRule>
  </conditionalFormatting>
  <conditionalFormatting sqref="C50">
    <cfRule type="cellIs" dxfId="1659" priority="193" stopIfTrue="1" operator="greaterThan">
      <formula>100</formula>
    </cfRule>
    <cfRule type="cellIs" dxfId="1658" priority="192" stopIfTrue="1" operator="lessThan">
      <formula>96</formula>
    </cfRule>
  </conditionalFormatting>
  <conditionalFormatting sqref="C64:C68">
    <cfRule type="cellIs" dxfId="1657" priority="146" stopIfTrue="1" operator="lessThanOrEqual">
      <formula>0</formula>
    </cfRule>
  </conditionalFormatting>
  <conditionalFormatting sqref="C64:C72">
    <cfRule type="cellIs" dxfId="1656" priority="145" stopIfTrue="1" operator="greaterThan">
      <formula>$F64</formula>
    </cfRule>
  </conditionalFormatting>
  <conditionalFormatting sqref="C65">
    <cfRule type="cellIs" dxfId="1655" priority="196" stopIfTrue="1" operator="greaterThan">
      <formula>$F64</formula>
    </cfRule>
  </conditionalFormatting>
  <conditionalFormatting sqref="C69">
    <cfRule type="cellIs" dxfId="1654" priority="86" stopIfTrue="1" operator="greaterThan">
      <formula>$F68</formula>
    </cfRule>
    <cfRule type="cellIs" dxfId="1653" priority="85" stopIfTrue="1" operator="lessThanOrEqual">
      <formula>0</formula>
    </cfRule>
  </conditionalFormatting>
  <conditionalFormatting sqref="C75:C79">
    <cfRule type="cellIs" dxfId="1652" priority="184" stopIfTrue="1" operator="lessThanOrEqual">
      <formula>0</formula>
    </cfRule>
  </conditionalFormatting>
  <conditionalFormatting sqref="C76:C79">
    <cfRule type="cellIs" dxfId="1651" priority="183" stopIfTrue="1" operator="greaterThan">
      <formula>$F$75</formula>
    </cfRule>
  </conditionalFormatting>
  <conditionalFormatting sqref="C81">
    <cfRule type="cellIs" dxfId="1650" priority="185" stopIfTrue="1" operator="greaterThan">
      <formula>$F$75</formula>
    </cfRule>
    <cfRule type="cellIs" dxfId="1649" priority="186" stopIfTrue="1" operator="lessThanOrEqual">
      <formula>0</formula>
    </cfRule>
  </conditionalFormatting>
  <conditionalFormatting sqref="C75:D75 D77:D83">
    <cfRule type="cellIs" dxfId="1648" priority="178" stopIfTrue="1" operator="greaterThan">
      <formula>4.5</formula>
    </cfRule>
  </conditionalFormatting>
  <conditionalFormatting sqref="D46:D47">
    <cfRule type="cellIs" dxfId="1647" priority="48" operator="notBetween">
      <formula>#REF!</formula>
      <formula>#REF!</formula>
    </cfRule>
  </conditionalFormatting>
  <conditionalFormatting sqref="D64:D71">
    <cfRule type="cellIs" dxfId="1646" priority="158" stopIfTrue="1" operator="lessThanOrEqual">
      <formula>0</formula>
    </cfRule>
  </conditionalFormatting>
  <conditionalFormatting sqref="D72">
    <cfRule type="cellIs" dxfId="1645" priority="157" stopIfTrue="1" operator="lessThanOrEqual">
      <formula>0</formula>
    </cfRule>
  </conditionalFormatting>
  <conditionalFormatting sqref="D75 D77:D83">
    <cfRule type="cellIs" dxfId="1644" priority="179" stopIfTrue="1" operator="lessThanOrEqual">
      <formula>0</formula>
    </cfRule>
  </conditionalFormatting>
  <conditionalFormatting sqref="D76">
    <cfRule type="cellIs" dxfId="1643" priority="171" stopIfTrue="1" operator="lessThanOrEqual">
      <formula>0</formula>
    </cfRule>
    <cfRule type="cellIs" dxfId="1642" priority="170" stopIfTrue="1" operator="greaterThan">
      <formula>$F$75</formula>
    </cfRule>
  </conditionalFormatting>
  <conditionalFormatting sqref="D64:E73">
    <cfRule type="cellIs" dxfId="1641" priority="143" stopIfTrue="1" operator="greaterThan">
      <formula>$F64</formula>
    </cfRule>
  </conditionalFormatting>
  <conditionalFormatting sqref="D73:E73">
    <cfRule type="cellIs" dxfId="1640" priority="144" stopIfTrue="1" operator="lessThanOrEqual">
      <formula>0</formula>
    </cfRule>
  </conditionalFormatting>
  <conditionalFormatting sqref="E10:E21">
    <cfRule type="cellIs" dxfId="1639" priority="11" operator="lessThan">
      <formula>48</formula>
    </cfRule>
  </conditionalFormatting>
  <conditionalFormatting sqref="E49 E50:F50">
    <cfRule type="cellIs" dxfId="1638" priority="175" stopIfTrue="1" operator="greaterThan">
      <formula>100</formula>
    </cfRule>
  </conditionalFormatting>
  <conditionalFormatting sqref="E50">
    <cfRule type="cellIs" dxfId="1637" priority="173" stopIfTrue="1" operator="greaterThan">
      <formula>100</formula>
    </cfRule>
    <cfRule type="cellIs" dxfId="1636" priority="172" stopIfTrue="1" operator="lessThan">
      <formula>96.8</formula>
    </cfRule>
  </conditionalFormatting>
  <conditionalFormatting sqref="E64:E72">
    <cfRule type="cellIs" dxfId="1635" priority="154" stopIfTrue="1" operator="lessThanOrEqual">
      <formula>0</formula>
    </cfRule>
  </conditionalFormatting>
  <conditionalFormatting sqref="E75:E83">
    <cfRule type="cellIs" dxfId="1634" priority="164" stopIfTrue="1" operator="greaterThan">
      <formula>4.5</formula>
    </cfRule>
    <cfRule type="cellIs" dxfId="1633" priority="165" stopIfTrue="1" operator="lessThanOrEqual">
      <formula>0</formula>
    </cfRule>
  </conditionalFormatting>
  <conditionalFormatting sqref="E50:F50 E49">
    <cfRule type="cellIs" dxfId="1632" priority="174" stopIfTrue="1" operator="lessThan">
      <formula>96.5</formula>
    </cfRule>
  </conditionalFormatting>
  <conditionalFormatting sqref="F10:F18 F21">
    <cfRule type="cellIs" dxfId="1631" priority="20" operator="greaterThan">
      <formula>60</formula>
    </cfRule>
  </conditionalFormatting>
  <conditionalFormatting sqref="F50">
    <cfRule type="cellIs" dxfId="1630" priority="191" stopIfTrue="1" operator="greaterThan">
      <formula>100</formula>
    </cfRule>
    <cfRule type="cellIs" dxfId="1629" priority="190" stopIfTrue="1" operator="lessThan">
      <formula>96.8</formula>
    </cfRule>
  </conditionalFormatting>
  <conditionalFormatting sqref="F73">
    <cfRule type="cellIs" dxfId="1628" priority="155" stopIfTrue="1" operator="greaterThan">
      <formula>$F73</formula>
    </cfRule>
    <cfRule type="cellIs" dxfId="1627" priority="156" stopIfTrue="1" operator="lessThanOrEqual">
      <formula>0</formula>
    </cfRule>
  </conditionalFormatting>
  <conditionalFormatting sqref="G19:G20">
    <cfRule type="expression" dxfId="1626" priority="3">
      <formula>IF(+(IF(G19&lt;S19,0,IF(G19&gt;T19,0,1)))=0,1)</formula>
    </cfRule>
  </conditionalFormatting>
  <conditionalFormatting sqref="G64:G65 C70:C72">
    <cfRule type="cellIs" dxfId="1625" priority="160" stopIfTrue="1" operator="lessThanOrEqual">
      <formula>0</formula>
    </cfRule>
  </conditionalFormatting>
  <conditionalFormatting sqref="G64:G65">
    <cfRule type="cellIs" dxfId="1624" priority="148" stopIfTrue="1" operator="lessThanOrEqual">
      <formula>0</formula>
    </cfRule>
    <cfRule type="cellIs" dxfId="1623" priority="147" stopIfTrue="1" operator="greaterThan">
      <formula>$F64</formula>
    </cfRule>
    <cfRule type="cellIs" dxfId="1622" priority="159" stopIfTrue="1" operator="greaterThan">
      <formula>$F64</formula>
    </cfRule>
  </conditionalFormatting>
  <conditionalFormatting sqref="G66">
    <cfRule type="cellIs" dxfId="1621" priority="194" stopIfTrue="1" operator="greaterThan">
      <formula>$F65</formula>
    </cfRule>
    <cfRule type="cellIs" dxfId="1620" priority="195" stopIfTrue="1" operator="lessThanOrEqual">
      <formula>0</formula>
    </cfRule>
  </conditionalFormatting>
  <conditionalFormatting sqref="G67">
    <cfRule type="cellIs" dxfId="1619" priority="46" stopIfTrue="1" operator="lessThanOrEqual">
      <formula>0</formula>
    </cfRule>
    <cfRule type="cellIs" dxfId="1618" priority="45" stopIfTrue="1" operator="greaterThan">
      <formula>$F67</formula>
    </cfRule>
    <cfRule type="cellIs" dxfId="1617" priority="44" stopIfTrue="1" operator="lessThanOrEqual">
      <formula>0</formula>
    </cfRule>
    <cfRule type="cellIs" dxfId="1616" priority="43" stopIfTrue="1" operator="greaterThan">
      <formula>$F67</formula>
    </cfRule>
  </conditionalFormatting>
  <conditionalFormatting sqref="G68:G72">
    <cfRule type="cellIs" dxfId="1615" priority="161" stopIfTrue="1" operator="greaterThan">
      <formula>$J68</formula>
    </cfRule>
    <cfRule type="cellIs" dxfId="1614" priority="162" stopIfTrue="1" operator="lessThanOrEqual">
      <formula>0</formula>
    </cfRule>
  </conditionalFormatting>
  <conditionalFormatting sqref="G77:G82 C80 C82">
    <cfRule type="cellIs" dxfId="1613" priority="187" stopIfTrue="1" operator="greaterThan">
      <formula>4.5</formula>
    </cfRule>
    <cfRule type="cellIs" dxfId="1612" priority="188" stopIfTrue="1" operator="lessThanOrEqual">
      <formula>0</formula>
    </cfRule>
  </conditionalFormatting>
  <conditionalFormatting sqref="G76:H76">
    <cfRule type="cellIs" dxfId="1611" priority="168" stopIfTrue="1" operator="greaterThan">
      <formula>$F$75</formula>
    </cfRule>
    <cfRule type="cellIs" dxfId="1610" priority="169" stopIfTrue="1" operator="lessThanOrEqual">
      <formula>0</formula>
    </cfRule>
  </conditionalFormatting>
  <conditionalFormatting sqref="H19:H20">
    <cfRule type="expression" dxfId="1609" priority="1">
      <formula>IF(+(IF(H19&lt;#REF!,0,IF(H19&gt;#REF!,0,1)))=0,1)</formula>
    </cfRule>
  </conditionalFormatting>
  <conditionalFormatting sqref="H35:H36 H49">
    <cfRule type="cellIs" dxfId="1608" priority="166" stopIfTrue="1" operator="greaterThan">
      <formula>0</formula>
    </cfRule>
  </conditionalFormatting>
  <conditionalFormatting sqref="H53">
    <cfRule type="cellIs" dxfId="1607" priority="29" stopIfTrue="1" operator="lessThanOrEqual">
      <formula>0</formula>
    </cfRule>
    <cfRule type="cellIs" dxfId="1606" priority="30" stopIfTrue="1" operator="greaterThan">
      <formula>$F$68</formula>
    </cfRule>
    <cfRule type="cellIs" dxfId="1605" priority="38" stopIfTrue="1" operator="greaterThan">
      <formula>$F$71</formula>
    </cfRule>
    <cfRule type="cellIs" dxfId="1604" priority="41" stopIfTrue="1" operator="lessThanOrEqual">
      <formula>0</formula>
    </cfRule>
    <cfRule type="cellIs" dxfId="1603" priority="40" stopIfTrue="1" operator="greaterThan">
      <formula>$F$69</formula>
    </cfRule>
    <cfRule type="cellIs" dxfId="1602" priority="39" stopIfTrue="1" operator="lessThanOrEqual">
      <formula>0</formula>
    </cfRule>
  </conditionalFormatting>
  <conditionalFormatting sqref="H54">
    <cfRule type="cellIs" dxfId="1601" priority="103" stopIfTrue="1" operator="greaterThan">
      <formula>#REF!</formula>
    </cfRule>
    <cfRule type="cellIs" dxfId="1600" priority="111" stopIfTrue="1" operator="greaterThan">
      <formula>$F$22</formula>
    </cfRule>
    <cfRule type="cellIs" dxfId="1599" priority="102" stopIfTrue="1" operator="lessThanOrEqual">
      <formula>0</formula>
    </cfRule>
    <cfRule type="cellIs" dxfId="1598" priority="113" stopIfTrue="1" operator="greaterThan">
      <formula>#REF!</formula>
    </cfRule>
    <cfRule type="cellIs" dxfId="1597" priority="114" stopIfTrue="1" operator="lessThanOrEqual">
      <formula>0</formula>
    </cfRule>
    <cfRule type="cellIs" dxfId="1596" priority="112" stopIfTrue="1" operator="lessThanOrEqual">
      <formula>0</formula>
    </cfRule>
  </conditionalFormatting>
  <conditionalFormatting sqref="H55">
    <cfRule type="cellIs" dxfId="1595" priority="73" stopIfTrue="1" operator="greaterThan">
      <formula>$F$65</formula>
    </cfRule>
    <cfRule type="cellIs" dxfId="1594" priority="81" stopIfTrue="1" operator="greaterThan">
      <formula>$F$68</formula>
    </cfRule>
    <cfRule type="cellIs" dxfId="1593" priority="82" stopIfTrue="1" operator="lessThanOrEqual">
      <formula>0</formula>
    </cfRule>
    <cfRule type="cellIs" dxfId="1592" priority="83" stopIfTrue="1" operator="greaterThan">
      <formula>$F$66</formula>
    </cfRule>
    <cfRule type="cellIs" dxfId="1591" priority="84" stopIfTrue="1" operator="lessThanOrEqual">
      <formula>0</formula>
    </cfRule>
    <cfRule type="cellIs" dxfId="1590" priority="72" stopIfTrue="1" operator="lessThanOrEqual">
      <formula>0</formula>
    </cfRule>
  </conditionalFormatting>
  <conditionalFormatting sqref="H56:H57">
    <cfRule type="cellIs" dxfId="1589" priority="99" stopIfTrue="1" operator="greaterThan">
      <formula>#REF!</formula>
    </cfRule>
    <cfRule type="cellIs" dxfId="1588" priority="98" stopIfTrue="1" operator="lessThanOrEqual">
      <formula>0</formula>
    </cfRule>
    <cfRule type="cellIs" dxfId="1587" priority="97" stopIfTrue="1" operator="greaterThan">
      <formula>$F$21</formula>
    </cfRule>
    <cfRule type="cellIs" dxfId="1586" priority="100" stopIfTrue="1" operator="lessThanOrEqual">
      <formula>0</formula>
    </cfRule>
    <cfRule type="cellIs" dxfId="1585" priority="88" stopIfTrue="1" operator="lessThanOrEqual">
      <formula>0</formula>
    </cfRule>
    <cfRule type="cellIs" dxfId="1584" priority="89" stopIfTrue="1" operator="greaterThan">
      <formula>#REF!</formula>
    </cfRule>
  </conditionalFormatting>
  <conditionalFormatting sqref="H58">
    <cfRule type="cellIs" dxfId="1583" priority="128" stopIfTrue="1" operator="greaterThan">
      <formula>$F$35</formula>
    </cfRule>
    <cfRule type="cellIs" dxfId="1582" priority="129" stopIfTrue="1" operator="lessThanOrEqual">
      <formula>0</formula>
    </cfRule>
    <cfRule type="cellIs" dxfId="1581" priority="127" stopIfTrue="1" operator="lessThanOrEqual">
      <formula>0</formula>
    </cfRule>
    <cfRule type="cellIs" dxfId="1580" priority="126" stopIfTrue="1" operator="greaterThan">
      <formula>$F$37</formula>
    </cfRule>
    <cfRule type="cellIs" dxfId="1579" priority="118" stopIfTrue="1" operator="greaterThan">
      <formula>$F$34</formula>
    </cfRule>
    <cfRule type="cellIs" dxfId="1578" priority="117" stopIfTrue="1" operator="lessThanOrEqual">
      <formula>0</formula>
    </cfRule>
  </conditionalFormatting>
  <conditionalFormatting sqref="H59:H60">
    <cfRule type="cellIs" dxfId="1577" priority="67" stopIfTrue="1" operator="greaterThan">
      <formula>$F$21</formula>
    </cfRule>
    <cfRule type="cellIs" dxfId="1576" priority="68" stopIfTrue="1" operator="lessThanOrEqual">
      <formula>0</formula>
    </cfRule>
    <cfRule type="cellIs" dxfId="1575" priority="69" stopIfTrue="1" operator="greaterThan">
      <formula>#REF!</formula>
    </cfRule>
    <cfRule type="cellIs" dxfId="1574" priority="70" stopIfTrue="1" operator="lessThanOrEqual">
      <formula>0</formula>
    </cfRule>
    <cfRule type="cellIs" dxfId="1573" priority="58" stopIfTrue="1" operator="lessThanOrEqual">
      <formula>0</formula>
    </cfRule>
    <cfRule type="cellIs" dxfId="1572" priority="59" stopIfTrue="1" operator="greaterThan">
      <formula>#REF!</formula>
    </cfRule>
  </conditionalFormatting>
  <conditionalFormatting sqref="H64:H71">
    <cfRule type="cellIs" dxfId="1571" priority="149" stopIfTrue="1" operator="greaterThan">
      <formula>$J64</formula>
    </cfRule>
    <cfRule type="cellIs" dxfId="1570" priority="150" stopIfTrue="1" operator="lessThanOrEqual">
      <formula>0</formula>
    </cfRule>
  </conditionalFormatting>
  <conditionalFormatting sqref="H72">
    <cfRule type="cellIs" dxfId="1569" priority="151" operator="greaterThan">
      <formula>5.3</formula>
    </cfRule>
  </conditionalFormatting>
  <conditionalFormatting sqref="H75 H77:H83">
    <cfRule type="cellIs" dxfId="1568" priority="181" stopIfTrue="1" operator="lessThanOrEqual">
      <formula>0</formula>
    </cfRule>
    <cfRule type="cellIs" dxfId="1567" priority="180" stopIfTrue="1" operator="greaterThan">
      <formula>4.5</formula>
    </cfRule>
  </conditionalFormatting>
  <conditionalFormatting sqref="H53:I53">
    <cfRule type="cellIs" dxfId="1566" priority="28" stopIfTrue="1" operator="greaterThan">
      <formula>$F$70</formula>
    </cfRule>
    <cfRule type="cellIs" dxfId="1565" priority="31" stopIfTrue="1" operator="lessThanOrEqual">
      <formula>0</formula>
    </cfRule>
  </conditionalFormatting>
  <conditionalFormatting sqref="H54:I54">
    <cfRule type="cellIs" dxfId="1564" priority="104" stopIfTrue="1" operator="lessThanOrEqual">
      <formula>0</formula>
    </cfRule>
    <cfRule type="cellIs" dxfId="1563" priority="101" stopIfTrue="1" operator="greaterThan">
      <formula>$F$21</formula>
    </cfRule>
  </conditionalFormatting>
  <conditionalFormatting sqref="H55:I55">
    <cfRule type="cellIs" dxfId="1562" priority="74" stopIfTrue="1" operator="lessThanOrEqual">
      <formula>0</formula>
    </cfRule>
    <cfRule type="cellIs" dxfId="1561" priority="71" stopIfTrue="1" operator="greaterThan">
      <formula>$F$67</formula>
    </cfRule>
  </conditionalFormatting>
  <conditionalFormatting sqref="H56:I57">
    <cfRule type="cellIs" dxfId="1560" priority="90" stopIfTrue="1" operator="lessThanOrEqual">
      <formula>0</formula>
    </cfRule>
    <cfRule type="cellIs" dxfId="1559" priority="87" stopIfTrue="1" operator="greaterThan">
      <formula>#REF!</formula>
    </cfRule>
  </conditionalFormatting>
  <conditionalFormatting sqref="H58:I58">
    <cfRule type="cellIs" dxfId="1558" priority="119" stopIfTrue="1" operator="lessThanOrEqual">
      <formula>0</formula>
    </cfRule>
    <cfRule type="cellIs" dxfId="1557" priority="116" stopIfTrue="1" operator="greaterThan">
      <formula>$F$36</formula>
    </cfRule>
  </conditionalFormatting>
  <conditionalFormatting sqref="H59:I60">
    <cfRule type="cellIs" dxfId="1556" priority="60" stopIfTrue="1" operator="lessThanOrEqual">
      <formula>0</formula>
    </cfRule>
    <cfRule type="cellIs" dxfId="1555" priority="57" stopIfTrue="1" operator="greaterThan">
      <formula>#REF!</formula>
    </cfRule>
  </conditionalFormatting>
  <conditionalFormatting sqref="H73:I73">
    <cfRule type="cellIs" dxfId="1554" priority="141" stopIfTrue="1" operator="greaterThan">
      <formula>$J73</formula>
    </cfRule>
    <cfRule type="cellIs" dxfId="1553" priority="142" stopIfTrue="1" operator="lessThanOrEqual">
      <formula>0</formula>
    </cfRule>
  </conditionalFormatting>
  <conditionalFormatting sqref="I53">
    <cfRule type="cellIs" dxfId="1552" priority="32" stopIfTrue="1" operator="greaterThan">
      <formula>$F$68</formula>
    </cfRule>
    <cfRule type="cellIs" dxfId="1551" priority="34" stopIfTrue="1" operator="greaterThan">
      <formula>$F$70</formula>
    </cfRule>
    <cfRule type="cellIs" dxfId="1550" priority="36" stopIfTrue="1" operator="greaterThan">
      <formula>$F$68</formula>
    </cfRule>
    <cfRule type="cellIs" dxfId="1549" priority="33" stopIfTrue="1" operator="lessThanOrEqual">
      <formula>0</formula>
    </cfRule>
    <cfRule type="cellIs" dxfId="1548" priority="35" stopIfTrue="1" operator="lessThanOrEqual">
      <formula>0</formula>
    </cfRule>
    <cfRule type="cellIs" dxfId="1547" priority="37" stopIfTrue="1" operator="lessThanOrEqual">
      <formula>0</formula>
    </cfRule>
  </conditionalFormatting>
  <conditionalFormatting sqref="I54">
    <cfRule type="cellIs" dxfId="1546" priority="109" stopIfTrue="1" operator="greaterThan">
      <formula>#REF!</formula>
    </cfRule>
    <cfRule type="cellIs" dxfId="1545" priority="110" stopIfTrue="1" operator="lessThanOrEqual">
      <formula>0</formula>
    </cfRule>
    <cfRule type="cellIs" dxfId="1544" priority="105" stopIfTrue="1" operator="greaterThan">
      <formula>#REF!</formula>
    </cfRule>
    <cfRule type="cellIs" dxfId="1543" priority="108" stopIfTrue="1" operator="lessThanOrEqual">
      <formula>0</formula>
    </cfRule>
    <cfRule type="cellIs" dxfId="1542" priority="107" stopIfTrue="1" operator="greaterThan">
      <formula>$F$21</formula>
    </cfRule>
    <cfRule type="cellIs" dxfId="1541" priority="106" stopIfTrue="1" operator="lessThanOrEqual">
      <formula>0</formula>
    </cfRule>
  </conditionalFormatting>
  <conditionalFormatting sqref="I55">
    <cfRule type="cellIs" dxfId="1540" priority="75" stopIfTrue="1" operator="greaterThan">
      <formula>$F$65</formula>
    </cfRule>
    <cfRule type="cellIs" dxfId="1539" priority="79" stopIfTrue="1" operator="greaterThan">
      <formula>$F$65</formula>
    </cfRule>
    <cfRule type="cellIs" dxfId="1538" priority="78" stopIfTrue="1" operator="lessThanOrEqual">
      <formula>0</formula>
    </cfRule>
    <cfRule type="cellIs" dxfId="1537" priority="77" stopIfTrue="1" operator="greaterThan">
      <formula>$F$67</formula>
    </cfRule>
    <cfRule type="cellIs" dxfId="1536" priority="76" stopIfTrue="1" operator="lessThanOrEqual">
      <formula>0</formula>
    </cfRule>
    <cfRule type="cellIs" dxfId="1535" priority="80" stopIfTrue="1" operator="lessThanOrEqual">
      <formula>0</formula>
    </cfRule>
  </conditionalFormatting>
  <conditionalFormatting sqref="I56:I57">
    <cfRule type="cellIs" dxfId="1534" priority="93" stopIfTrue="1" operator="greaterThan">
      <formula>#REF!</formula>
    </cfRule>
    <cfRule type="cellIs" dxfId="1533" priority="94" stopIfTrue="1" operator="lessThanOrEqual">
      <formula>0</formula>
    </cfRule>
    <cfRule type="cellIs" dxfId="1532" priority="95" stopIfTrue="1" operator="greaterThan">
      <formula>#REF!</formula>
    </cfRule>
    <cfRule type="cellIs" dxfId="1531" priority="91" stopIfTrue="1" operator="greaterThan">
      <formula>#REF!</formula>
    </cfRule>
    <cfRule type="cellIs" dxfId="1530" priority="92" stopIfTrue="1" operator="lessThanOrEqual">
      <formula>0</formula>
    </cfRule>
    <cfRule type="cellIs" dxfId="1529" priority="96" stopIfTrue="1" operator="lessThanOrEqual">
      <formula>0</formula>
    </cfRule>
  </conditionalFormatting>
  <conditionalFormatting sqref="I58">
    <cfRule type="cellIs" dxfId="1528" priority="122" stopIfTrue="1" operator="greaterThan">
      <formula>$F$36</formula>
    </cfRule>
    <cfRule type="cellIs" dxfId="1527" priority="120" stopIfTrue="1" operator="greaterThan">
      <formula>$F$34</formula>
    </cfRule>
    <cfRule type="cellIs" dxfId="1526" priority="121" stopIfTrue="1" operator="lessThanOrEqual">
      <formula>0</formula>
    </cfRule>
    <cfRule type="cellIs" dxfId="1525" priority="124" stopIfTrue="1" operator="greaterThan">
      <formula>$F$34</formula>
    </cfRule>
    <cfRule type="cellIs" dxfId="1524" priority="125" stopIfTrue="1" operator="lessThanOrEqual">
      <formula>0</formula>
    </cfRule>
    <cfRule type="cellIs" dxfId="1523" priority="123" stopIfTrue="1" operator="lessThanOrEqual">
      <formula>0</formula>
    </cfRule>
  </conditionalFormatting>
  <conditionalFormatting sqref="I59:I60">
    <cfRule type="cellIs" dxfId="1522" priority="66" stopIfTrue="1" operator="lessThanOrEqual">
      <formula>0</formula>
    </cfRule>
    <cfRule type="cellIs" dxfId="1521" priority="65" stopIfTrue="1" operator="greaterThan">
      <formula>#REF!</formula>
    </cfRule>
    <cfRule type="cellIs" dxfId="1520" priority="64" stopIfTrue="1" operator="lessThanOrEqual">
      <formula>0</formula>
    </cfRule>
    <cfRule type="cellIs" dxfId="1519" priority="63" stopIfTrue="1" operator="greaterThan">
      <formula>#REF!</formula>
    </cfRule>
    <cfRule type="cellIs" dxfId="1518" priority="62" stopIfTrue="1" operator="lessThanOrEqual">
      <formula>0</formula>
    </cfRule>
    <cfRule type="cellIs" dxfId="1517" priority="61" stopIfTrue="1" operator="greaterThan">
      <formula>#REF!</formula>
    </cfRule>
  </conditionalFormatting>
  <conditionalFormatting sqref="I64:I72">
    <cfRule type="cellIs" dxfId="1516" priority="152" stopIfTrue="1" operator="greaterThan">
      <formula>$J64</formula>
    </cfRule>
    <cfRule type="cellIs" dxfId="1515" priority="153" stopIfTrue="1" operator="lessThanOrEqual">
      <formula>0</formula>
    </cfRule>
  </conditionalFormatting>
  <conditionalFormatting sqref="I75:I83">
    <cfRule type="cellIs" dxfId="1514" priority="176" stopIfTrue="1" operator="greaterThan">
      <formula>4.5</formula>
    </cfRule>
    <cfRule type="cellIs" dxfId="1513" priority="177" stopIfTrue="1" operator="lessThanOrEqual">
      <formula>0</formula>
    </cfRule>
  </conditionalFormatting>
  <conditionalFormatting sqref="I10:J21">
    <cfRule type="cellIs" dxfId="1512" priority="5" operator="lessThan">
      <formula>97.9</formula>
    </cfRule>
  </conditionalFormatting>
  <conditionalFormatting sqref="J25:J26">
    <cfRule type="cellIs" dxfId="1511" priority="132" stopIfTrue="1" operator="greaterThan">
      <formula>100</formula>
    </cfRule>
    <cfRule type="cellIs" dxfId="1510" priority="131" stopIfTrue="1" operator="lessThan">
      <formula>96.8</formula>
    </cfRule>
    <cfRule type="cellIs" dxfId="1509" priority="133" operator="lessThan">
      <formula>98</formula>
    </cfRule>
  </conditionalFormatting>
  <conditionalFormatting sqref="J25:J28">
    <cfRule type="cellIs" dxfId="1508" priority="130" operator="lessThan">
      <formula>97.4</formula>
    </cfRule>
  </conditionalFormatting>
  <conditionalFormatting sqref="J29:J30">
    <cfRule type="cellIs" dxfId="1507" priority="134" operator="lessThan">
      <formula>98</formula>
    </cfRule>
  </conditionalFormatting>
  <conditionalFormatting sqref="J31:J32">
    <cfRule type="cellIs" dxfId="1506" priority="135" stopIfTrue="1" operator="lessThan">
      <formula>96.8</formula>
    </cfRule>
    <cfRule type="cellIs" dxfId="1505" priority="136" stopIfTrue="1" operator="greaterThan">
      <formula>100</formula>
    </cfRule>
  </conditionalFormatting>
  <conditionalFormatting sqref="J31:J33">
    <cfRule type="cellIs" dxfId="1504" priority="137" operator="lessThan">
      <formula>98</formula>
    </cfRule>
  </conditionalFormatting>
  <conditionalFormatting sqref="J60">
    <cfRule type="cellIs" dxfId="1503" priority="51" stopIfTrue="1" operator="greaterThan">
      <formula>#REF!</formula>
    </cfRule>
    <cfRule type="cellIs" dxfId="1502" priority="50" stopIfTrue="1" operator="lessThanOrEqual">
      <formula>0</formula>
    </cfRule>
    <cfRule type="cellIs" dxfId="1501" priority="56" stopIfTrue="1" operator="lessThanOrEqual">
      <formula>0</formula>
    </cfRule>
    <cfRule type="cellIs" dxfId="1500" priority="55" stopIfTrue="1" operator="greaterThan">
      <formula>#REF!</formula>
    </cfRule>
    <cfRule type="cellIs" dxfId="1499" priority="54" stopIfTrue="1" operator="lessThanOrEqual">
      <formula>0</formula>
    </cfRule>
    <cfRule type="cellIs" dxfId="1498" priority="53" stopIfTrue="1" operator="greaterThan">
      <formula>#REF!</formula>
    </cfRule>
    <cfRule type="cellIs" dxfId="1497" priority="52" stopIfTrue="1" operator="lessThanOrEqual">
      <formula>0</formula>
    </cfRule>
    <cfRule type="cellIs" dxfId="1496" priority="49" stopIfTrue="1" operator="greaterThan">
      <formula>#REF!</formula>
    </cfRule>
  </conditionalFormatting>
  <conditionalFormatting sqref="J73">
    <cfRule type="cellIs" dxfId="1495" priority="139" stopIfTrue="1" operator="lessThanOrEqual">
      <formula>0</formula>
    </cfRule>
    <cfRule type="cellIs" dxfId="1494" priority="138" stopIfTrue="1" operator="greaterThan">
      <formula>$F73</formula>
    </cfRule>
  </conditionalFormatting>
  <conditionalFormatting sqref="K10:K21">
    <cfRule type="cellIs" dxfId="1493" priority="7" operator="lessThan">
      <formula>4</formula>
    </cfRule>
    <cfRule type="cellIs" dxfId="1492" priority="6" operator="greaterThan">
      <formula>6</formula>
    </cfRule>
    <cfRule type="cellIs" dxfId="1491" priority="8" operator="greaterThan">
      <formula>6.4</formula>
    </cfRule>
  </conditionalFormatting>
  <conditionalFormatting sqref="K53:K60 K64:N70 K71 M71:N71 K72:N72">
    <cfRule type="cellIs" dxfId="1490" priority="115" stopIfTrue="1" operator="lessThan">
      <formula>100%</formula>
    </cfRule>
  </conditionalFormatting>
  <conditionalFormatting sqref="K75:K80">
    <cfRule type="cellIs" dxfId="1489" priority="182" stopIfTrue="1" operator="lessThan">
      <formula>100%</formula>
    </cfRule>
  </conditionalFormatting>
  <conditionalFormatting sqref="K82:K83">
    <cfRule type="cellIs" dxfId="1488" priority="189" stopIfTrue="1" operator="lessThan">
      <formula>100%</formula>
    </cfRule>
  </conditionalFormatting>
  <conditionalFormatting sqref="L19:L21">
    <cfRule type="cellIs" dxfId="1487" priority="10" operator="greaterThan">
      <formula>65</formula>
    </cfRule>
    <cfRule type="cellIs" dxfId="1486" priority="9" operator="between">
      <formula>61</formula>
      <formula>65</formula>
    </cfRule>
  </conditionalFormatting>
  <conditionalFormatting sqref="L10:M18">
    <cfRule type="cellIs" dxfId="1485" priority="13" operator="between">
      <formula>61</formula>
      <formula>65</formula>
    </cfRule>
    <cfRule type="cellIs" dxfId="1484" priority="12" operator="greaterThan">
      <formula>65</formula>
    </cfRule>
  </conditionalFormatting>
  <conditionalFormatting sqref="L24:M35">
    <cfRule type="cellIs" dxfId="1483" priority="23" operator="lessThan">
      <formula>97.95</formula>
    </cfRule>
  </conditionalFormatting>
  <conditionalFormatting sqref="L39:N39">
    <cfRule type="cellIs" dxfId="1482" priority="24" operator="notEqual">
      <formula>#REF!</formula>
    </cfRule>
  </conditionalFormatting>
  <conditionalFormatting sqref="L73:N73">
    <cfRule type="cellIs" dxfId="1481" priority="140" stopIfTrue="1" operator="lessThan">
      <formula>100%</formula>
    </cfRule>
  </conditionalFormatting>
  <conditionalFormatting sqref="L75:N83">
    <cfRule type="cellIs" dxfId="1480" priority="167" stopIfTrue="1" operator="lessThan">
      <formula>100%</formula>
    </cfRule>
  </conditionalFormatting>
  <conditionalFormatting sqref="M10:M18 G10:G18 G21:H21">
    <cfRule type="expression" dxfId="1479" priority="42">
      <formula>IF(+(IF(G10&lt;#REF!,0,IF(G10&gt;#REF!,0,1)))=0,1)</formula>
    </cfRule>
  </conditionalFormatting>
  <conditionalFormatting sqref="M19:M20">
    <cfRule type="expression" dxfId="1478" priority="2">
      <formula>IF(+(IF(M19&lt;U19,0,IF(M19&gt;V19,0,1)))=0,1)</formula>
    </cfRule>
  </conditionalFormatting>
  <conditionalFormatting sqref="M21:N21">
    <cfRule type="expression" dxfId="1477" priority="197">
      <formula>IF(+(IF(M21&lt;#REF!,0,IF(M21&gt;#REF!,0,1)))=0,1)</formula>
    </cfRule>
  </conditionalFormatting>
  <conditionalFormatting sqref="N10:N20">
    <cfRule type="expression" dxfId="1476" priority="4">
      <formula>IF(+(IF(N10&lt;W10,0,IF(N10&gt;X10,0,1)))=0,1)</formula>
    </cfRule>
  </conditionalFormatting>
  <conditionalFormatting sqref="P6">
    <cfRule type="cellIs" dxfId="1475" priority="163" operator="greaterThanOrEqual">
      <formula>19</formula>
    </cfRule>
  </conditionalFormatting>
  <dataValidations count="1">
    <dataValidation type="list" allowBlank="1" showInputMessage="1" showErrorMessage="1" sqref="R8" xr:uid="{E000AA6A-2B34-4C6C-9DC0-98F5F70BFBC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C6D5-7BB7-445E-80CC-5335DEF9A466}">
  <sheetPr>
    <pageSetUpPr fitToPage="1"/>
  </sheetPr>
  <dimension ref="A1:BE76"/>
  <sheetViews>
    <sheetView topLeftCell="A2" zoomScale="80" zoomScaleNormal="80" workbookViewId="0">
      <selection activeCell="M33" sqref="M3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46010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7" t="s">
        <v>16</v>
      </c>
      <c r="C10" s="366" t="str">
        <f>[27]Brewhouse!$A111</f>
        <v>SM097</v>
      </c>
      <c r="D10" s="279">
        <f>[27]Brewhouse!$AH111</f>
        <v>53</v>
      </c>
      <c r="E10" s="279">
        <f>[27]Brewhouse!$AM111</f>
        <v>49.5</v>
      </c>
      <c r="F10" s="278">
        <f>[27]Brewhouse!$Z111</f>
        <v>61</v>
      </c>
      <c r="G10" s="279">
        <f>[27]Brewhouse!$AK111</f>
        <v>17.7</v>
      </c>
      <c r="H10" s="396">
        <v>17.2</v>
      </c>
      <c r="I10" s="368">
        <f>[27]Brewhouse!$AY111</f>
        <v>97.153925707358042</v>
      </c>
      <c r="J10" s="368">
        <f>[27]Brewhouse!$AZ111</f>
        <v>97.400898265707951</v>
      </c>
      <c r="K10" s="281">
        <f>[27]Brewhouse!$U111</f>
        <v>13.924528301886795</v>
      </c>
      <c r="L10" s="276">
        <f>[27]Brewhouse!$T111</f>
        <v>60</v>
      </c>
      <c r="M10" s="374">
        <f>[27]Brewhouse!$Y111-[27]Brewhouse!$X111</f>
        <v>0.14444444444444443</v>
      </c>
      <c r="N10" s="370">
        <f>[27]Brewhouse!$AD111</f>
        <v>0.30208333333333337</v>
      </c>
      <c r="O10" s="371" t="str">
        <f>[27]Brewhouse!$BC111</f>
        <v>K. Benjamin</v>
      </c>
      <c r="P10" s="418"/>
      <c r="R10" s="277" t="str">
        <f t="shared" ref="R10:R23" si="0">B10</f>
        <v>STARMALT</v>
      </c>
      <c r="S10" s="475">
        <f t="shared" ref="S10:S23" si="1">VLOOKUP($B10,$R$3:$X$9,2,FALSE)</f>
        <v>17</v>
      </c>
      <c r="T10" s="475">
        <f t="shared" ref="T10:T23" si="2">VLOOKUP($B10,$R$3:$X$9,3,FALSE)</f>
        <v>17.399999999999999</v>
      </c>
      <c r="U10" s="297">
        <f t="shared" ref="U10:U23" si="3">VLOOKUP($B10,$R$3:$X$9,4,FALSE)</f>
        <v>0</v>
      </c>
      <c r="V10" s="297">
        <f t="shared" ref="V10:V23" si="4">VLOOKUP($B10,$R$3:$X$9,5,FALSE)</f>
        <v>0.13605324074074074</v>
      </c>
      <c r="W10" s="297">
        <f t="shared" ref="W10:W23" si="5">VLOOKUP($B10,$R$3:$X$9,6,FALSE)</f>
        <v>0.27430555555555552</v>
      </c>
      <c r="X10" s="297">
        <f t="shared" ref="X10:X23" si="6">VLOOKUP($B10,$R$3:$X$9,7,FALSE)</f>
        <v>0.30902777777777779</v>
      </c>
      <c r="Y10" s="297">
        <f t="shared" ref="Y10:Y23" si="7">VLOOKUP($B10,$R$3:$Z$9,8,FALSE)</f>
        <v>0</v>
      </c>
      <c r="Z10" s="475">
        <f t="shared" ref="Z10:Z23" si="8">VLOOKUP($B10,$R$3:$Z$9,9,FALSE)</f>
        <v>85</v>
      </c>
    </row>
    <row r="11" spans="2:29" ht="16.5" customHeight="1">
      <c r="B11" s="37" t="s">
        <v>16</v>
      </c>
      <c r="C11" s="366" t="str">
        <f>[27]Brewhouse!$A112</f>
        <v>SM098</v>
      </c>
      <c r="D11" s="279">
        <f>[27]Brewhouse!$AH112</f>
        <v>53</v>
      </c>
      <c r="E11" s="279">
        <f>[27]Brewhouse!$AM112</f>
        <v>52.4</v>
      </c>
      <c r="F11" s="278">
        <f>[27]Brewhouse!$Z112</f>
        <v>65</v>
      </c>
      <c r="G11" s="279">
        <f>[27]Brewhouse!$AK112</f>
        <v>17.2</v>
      </c>
      <c r="H11" s="367"/>
      <c r="I11" s="368">
        <f>[27]Brewhouse!$AY112</f>
        <v>99.671810513861331</v>
      </c>
      <c r="J11" s="368">
        <f>[27]Brewhouse!$AZ112</f>
        <v>99.925422594920192</v>
      </c>
      <c r="K11" s="281">
        <f>[27]Brewhouse!$U112</f>
        <v>9.9622641509433976</v>
      </c>
      <c r="L11" s="276">
        <f>[27]Brewhouse!$T112</f>
        <v>62</v>
      </c>
      <c r="M11" s="374">
        <f>[27]Brewhouse!$Y112-[27]Brewhouse!$X112</f>
        <v>0.13472222222222219</v>
      </c>
      <c r="N11" s="370">
        <f>[27]Brewhouse!$AD112</f>
        <v>0.30555555555555558</v>
      </c>
      <c r="O11" s="371" t="str">
        <f>[27]Brewhouse!$BC112</f>
        <v>R. Regis</v>
      </c>
      <c r="P11" s="418"/>
      <c r="R11" s="277" t="str">
        <f t="shared" si="0"/>
        <v>STARMALT</v>
      </c>
      <c r="S11" s="475">
        <f t="shared" si="1"/>
        <v>17</v>
      </c>
      <c r="T11" s="475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5">
        <f t="shared" si="8"/>
        <v>85</v>
      </c>
    </row>
    <row r="12" spans="2:29" ht="16.5" customHeight="1">
      <c r="B12" s="37" t="s">
        <v>16</v>
      </c>
      <c r="C12" s="366" t="str">
        <f>[27]Brewhouse!$A113</f>
        <v>SM099</v>
      </c>
      <c r="D12" s="279">
        <f>[27]Brewhouse!$AH113</f>
        <v>53.1</v>
      </c>
      <c r="E12" s="279">
        <f>[27]Brewhouse!$AM113</f>
        <v>52.4</v>
      </c>
      <c r="F12" s="278">
        <f>[27]Brewhouse!$Z113</f>
        <v>66</v>
      </c>
      <c r="G12" s="279">
        <f>[27]Brewhouse!$AK113</f>
        <v>17.100000000000001</v>
      </c>
      <c r="H12" s="396">
        <v>17.100000000000001</v>
      </c>
      <c r="I12" s="368">
        <f>[27]Brewhouse!$AY113</f>
        <v>98.915752553774794</v>
      </c>
      <c r="J12" s="368">
        <f>[27]Brewhouse!$AZ113</f>
        <v>99.16791384291048</v>
      </c>
      <c r="K12" s="281">
        <f>[27]Brewhouse!$U113</f>
        <v>10.508474576271198</v>
      </c>
      <c r="L12" s="276">
        <f>[27]Brewhouse!$T113</f>
        <v>61</v>
      </c>
      <c r="M12" s="374">
        <f>[27]Brewhouse!$Y113-[27]Brewhouse!$X113</f>
        <v>0.13194444444444442</v>
      </c>
      <c r="N12" s="370">
        <f>[27]Brewhouse!$AD113</f>
        <v>0.2895833333333333</v>
      </c>
      <c r="O12" s="371" t="str">
        <f>[27]Brewhouse!$BC113</f>
        <v>R. Regis</v>
      </c>
      <c r="P12" s="418"/>
      <c r="R12" s="277" t="str">
        <f t="shared" si="0"/>
        <v>STARMALT</v>
      </c>
      <c r="S12" s="475">
        <f t="shared" si="1"/>
        <v>17</v>
      </c>
      <c r="T12" s="475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5">
        <f t="shared" si="8"/>
        <v>85</v>
      </c>
    </row>
    <row r="13" spans="2:29" ht="16.5" customHeight="1">
      <c r="B13" s="37" t="s">
        <v>16</v>
      </c>
      <c r="C13" s="366" t="str">
        <f>[27]Brewhouse!$A114</f>
        <v>SM100</v>
      </c>
      <c r="D13" s="279">
        <f>[27]Brewhouse!$AH114</f>
        <v>53.1</v>
      </c>
      <c r="E13" s="279">
        <f>[27]Brewhouse!$AM114</f>
        <v>51.4</v>
      </c>
      <c r="F13" s="278">
        <f>[27]Brewhouse!$Z114</f>
        <v>71</v>
      </c>
      <c r="G13" s="279">
        <f>[27]Brewhouse!$AK114</f>
        <v>17.2</v>
      </c>
      <c r="H13" s="396">
        <v>17.2</v>
      </c>
      <c r="I13" s="368">
        <f>[27]Brewhouse!$AY114</f>
        <v>97.927628429698714</v>
      </c>
      <c r="J13" s="368">
        <f>[27]Brewhouse!$AZ114</f>
        <v>98.176332729490184</v>
      </c>
      <c r="K13" s="281">
        <f>[27]Brewhouse!$U114</f>
        <v>10.696798493408675</v>
      </c>
      <c r="L13" s="276">
        <f>[27]Brewhouse!$T114</f>
        <v>64</v>
      </c>
      <c r="M13" s="374">
        <f>[27]Brewhouse!$Y114-[27]Brewhouse!$X114</f>
        <v>0.13472222222222219</v>
      </c>
      <c r="N13" s="370">
        <f>[27]Brewhouse!$AD114</f>
        <v>0.30138888888888887</v>
      </c>
      <c r="O13" s="371" t="str">
        <f>[27]Brewhouse!$BC114</f>
        <v>R. Regis</v>
      </c>
      <c r="P13" s="418"/>
      <c r="R13" s="277" t="str">
        <f t="shared" si="0"/>
        <v>STARMALT</v>
      </c>
      <c r="S13" s="475">
        <f t="shared" si="1"/>
        <v>17</v>
      </c>
      <c r="T13" s="475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5">
        <f t="shared" si="8"/>
        <v>85</v>
      </c>
    </row>
    <row r="14" spans="2:29" ht="16.5" customHeight="1">
      <c r="B14" s="37" t="s">
        <v>16</v>
      </c>
      <c r="C14" s="366" t="str">
        <f>[27]Brewhouse!$A115</f>
        <v>SM101</v>
      </c>
      <c r="D14" s="279">
        <f>[27]Brewhouse!$AH115</f>
        <v>53.1</v>
      </c>
      <c r="E14" s="279">
        <f>[27]Brewhouse!$AM115</f>
        <v>49.87</v>
      </c>
      <c r="F14" s="278">
        <f>[27]Brewhouse!$Z115</f>
        <v>88</v>
      </c>
      <c r="G14" s="279">
        <f>[27]Brewhouse!$AK115</f>
        <v>17.3</v>
      </c>
      <c r="H14" s="396">
        <v>17.3</v>
      </c>
      <c r="I14" s="368">
        <f>[27]Brewhouse!$AY115</f>
        <v>95.478733544007227</v>
      </c>
      <c r="J14" s="368">
        <f>[27]Brewhouse!$AZ115</f>
        <v>95.721676460225169</v>
      </c>
      <c r="K14" s="281">
        <f>[27]Brewhouse!$U115</f>
        <v>11.261770244821099</v>
      </c>
      <c r="L14" s="276">
        <f>[27]Brewhouse!$T115</f>
        <v>0</v>
      </c>
      <c r="M14" s="374">
        <f>[27]Brewhouse!$Y115-[27]Brewhouse!$X115</f>
        <v>0.12430555555555556</v>
      </c>
      <c r="N14" s="370">
        <f>[27]Brewhouse!$AD115</f>
        <v>0.32500000000000007</v>
      </c>
      <c r="O14" s="371" t="str">
        <f>[27]Brewhouse!$BC115</f>
        <v>R.Sookram</v>
      </c>
      <c r="P14" s="418"/>
      <c r="R14" s="277" t="str">
        <f t="shared" si="0"/>
        <v>STARMALT</v>
      </c>
      <c r="S14" s="475">
        <f t="shared" si="1"/>
        <v>17</v>
      </c>
      <c r="T14" s="475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5">
        <f t="shared" si="8"/>
        <v>85</v>
      </c>
    </row>
    <row r="15" spans="2:29" ht="16.5" customHeight="1">
      <c r="B15" s="37" t="s">
        <v>16</v>
      </c>
      <c r="C15" s="366" t="str">
        <f>[27]Brewhouse!$A116</f>
        <v>SM102</v>
      </c>
      <c r="D15" s="279">
        <f>[27]Brewhouse!$AH116</f>
        <v>53.1</v>
      </c>
      <c r="E15" s="279">
        <f>[27]Brewhouse!$AM116</f>
        <v>51.27</v>
      </c>
      <c r="F15" s="278">
        <f>[27]Brewhouse!$Z116</f>
        <v>102</v>
      </c>
      <c r="G15" s="279">
        <f>[27]Brewhouse!$AK116</f>
        <v>17.2</v>
      </c>
      <c r="H15" s="396">
        <v>17.2</v>
      </c>
      <c r="I15" s="368">
        <f>[27]Brewhouse!$AY116</f>
        <v>97.443813663670895</v>
      </c>
      <c r="J15" s="368">
        <f>[27]Brewhouse!$AZ116</f>
        <v>97.691989826310405</v>
      </c>
      <c r="K15" s="281">
        <f>[27]Brewhouse!$U116</f>
        <v>9.3785310734463341</v>
      </c>
      <c r="L15" s="276">
        <f>[27]Brewhouse!$T116</f>
        <v>61</v>
      </c>
      <c r="M15" s="374">
        <f>[27]Brewhouse!$Y116-[27]Brewhouse!$X116</f>
        <v>0.16666666666666674</v>
      </c>
      <c r="N15" s="370">
        <f>[27]Brewhouse!$AD116</f>
        <v>0.33125000000000004</v>
      </c>
      <c r="O15" s="371" t="str">
        <f>[27]Brewhouse!$BC116</f>
        <v>R.Sookram</v>
      </c>
      <c r="P15" s="418"/>
      <c r="R15" s="277" t="str">
        <f t="shared" si="0"/>
        <v>STARMALT</v>
      </c>
      <c r="S15" s="475">
        <f t="shared" si="1"/>
        <v>17</v>
      </c>
      <c r="T15" s="475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5">
        <f t="shared" si="8"/>
        <v>85</v>
      </c>
    </row>
    <row r="16" spans="2:29" ht="16.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ref="R24:R38" si="9">B24</f>
        <v>0</v>
      </c>
      <c r="S24" s="475" t="e">
        <f t="shared" ref="S24:S38" si="10">VLOOKUP($B24,$R$3:$X$9,2,FALSE)</f>
        <v>#N/A</v>
      </c>
      <c r="T24" s="475" t="e">
        <f t="shared" ref="T24:T38" si="11">VLOOKUP($B24,$R$3:$X$9,3,FALSE)</f>
        <v>#N/A</v>
      </c>
      <c r="U24" s="297" t="e">
        <f t="shared" ref="U24:U38" si="12">VLOOKUP($B24,$R$3:$X$9,4,FALSE)</f>
        <v>#N/A</v>
      </c>
      <c r="V24" s="297" t="e">
        <f t="shared" ref="V24:V38" si="13">VLOOKUP($B24,$R$3:$X$9,5,FALSE)</f>
        <v>#N/A</v>
      </c>
      <c r="W24" s="297" t="e">
        <f t="shared" ref="W24:W38" si="14">VLOOKUP($B24,$R$3:$X$9,6,FALSE)</f>
        <v>#N/A</v>
      </c>
      <c r="X24" s="297" t="e">
        <f t="shared" ref="X24:X38" si="15">VLOOKUP($B24,$R$3:$X$9,7,FALSE)</f>
        <v>#N/A</v>
      </c>
      <c r="Y24" s="297" t="e">
        <f t="shared" ref="Y24:Y38" si="16">VLOOKUP($B24,$R$3:$Z$9,8,FALSE)</f>
        <v>#N/A</v>
      </c>
      <c r="Z24" s="475" t="e">
        <f t="shared" ref="Z24:Z38" si="17">VLOOKUP($B24,$R$3:$Z$9,9,FALSE)</f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9"/>
        <v>0</v>
      </c>
      <c r="S25" s="475" t="e">
        <f t="shared" si="10"/>
        <v>#N/A</v>
      </c>
      <c r="T25" s="475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5" t="e">
        <f t="shared" si="17"/>
        <v>#N/A</v>
      </c>
    </row>
    <row r="26" spans="1:27" ht="15.75" customHeight="1" thickBot="1">
      <c r="B26" s="388" t="s">
        <v>162</v>
      </c>
      <c r="C26" s="388"/>
      <c r="D26" s="506" t="s">
        <v>35</v>
      </c>
      <c r="E26" s="50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5" t="e">
        <f t="shared" si="10"/>
        <v>#N/A</v>
      </c>
      <c r="T26" s="475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5" t="e">
        <f t="shared" si="17"/>
        <v>#N/A</v>
      </c>
    </row>
    <row r="27" spans="1:27" ht="15" customHeight="1">
      <c r="A27" s="28"/>
      <c r="B27" s="529" t="str">
        <f>I28</f>
        <v>STAG</v>
      </c>
      <c r="C27" s="362" cm="1">
        <f t="array" ref="C27:C30">[24]Process!$D$473:$D$476</f>
        <v>12</v>
      </c>
      <c r="D27" s="532">
        <v>11.97</v>
      </c>
      <c r="E27" s="533"/>
      <c r="F27" s="294"/>
      <c r="G27" s="294"/>
      <c r="H27" s="348"/>
      <c r="I27" s="29" t="s">
        <v>6</v>
      </c>
      <c r="J27" s="280"/>
      <c r="K27" s="284">
        <f>COUNTA([23]Brewhouse!$A$1005:$A$1026)</f>
        <v>22</v>
      </c>
      <c r="L27" s="305">
        <f>AVERAGE([23]Brewhouse!$AU$1005:$AU$1026)</f>
        <v>98.810662473067381</v>
      </c>
      <c r="M2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27" s="30">
        <v>98</v>
      </c>
      <c r="O27" s="11"/>
      <c r="P27" s="31"/>
      <c r="R27" s="277" t="str">
        <f t="shared" si="9"/>
        <v>STAG</v>
      </c>
      <c r="S27" s="475">
        <f t="shared" si="10"/>
        <v>11.6</v>
      </c>
      <c r="T27" s="475">
        <f t="shared" si="11"/>
        <v>12</v>
      </c>
      <c r="U27" s="297">
        <f t="shared" si="12"/>
        <v>0</v>
      </c>
      <c r="V27" s="297">
        <f t="shared" si="13"/>
        <v>0.118055555555556</v>
      </c>
      <c r="W27" s="297">
        <f t="shared" si="14"/>
        <v>0.22569444444444445</v>
      </c>
      <c r="X27" s="297">
        <f t="shared" si="15"/>
        <v>0.2638888888888889</v>
      </c>
      <c r="Y27" s="297">
        <f t="shared" si="16"/>
        <v>0</v>
      </c>
      <c r="Z27" s="475">
        <f t="shared" si="17"/>
        <v>60</v>
      </c>
    </row>
    <row r="28" spans="1:27" ht="15" customHeight="1">
      <c r="A28" s="28"/>
      <c r="B28" s="530"/>
      <c r="C28" s="362">
        <v>11.8</v>
      </c>
      <c r="D28" s="534"/>
      <c r="E28" s="535"/>
      <c r="F28" s="294"/>
      <c r="G28" s="294"/>
      <c r="H28" s="348"/>
      <c r="I28" s="33" t="s">
        <v>9</v>
      </c>
      <c r="J28" s="280"/>
      <c r="K28" s="284">
        <f>COUNTA([24]Brewhouse!$A$486:$A$523)</f>
        <v>38</v>
      </c>
      <c r="L28" s="302">
        <f>AVERAGE([24]Brewhouse!$AS$486:$AS$523)</f>
        <v>97.091279048572574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8" s="30">
        <v>98</v>
      </c>
      <c r="O28" s="11"/>
      <c r="P28" s="31"/>
      <c r="R28" s="277">
        <f t="shared" si="9"/>
        <v>0</v>
      </c>
      <c r="S28" s="475" t="e">
        <f t="shared" si="10"/>
        <v>#N/A</v>
      </c>
      <c r="T28" s="475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5" t="e">
        <f t="shared" si="17"/>
        <v>#N/A</v>
      </c>
    </row>
    <row r="29" spans="1:27" ht="14.65" customHeight="1">
      <c r="A29" s="28"/>
      <c r="B29" s="530"/>
      <c r="C29" s="362">
        <v>11.9</v>
      </c>
      <c r="D29" s="580">
        <v>12.03</v>
      </c>
      <c r="E29" s="581"/>
      <c r="F29" s="294"/>
      <c r="G29" s="294"/>
      <c r="H29" s="348"/>
      <c r="I29" s="34" t="s">
        <v>12</v>
      </c>
      <c r="J29" s="280"/>
      <c r="K29" s="284">
        <f>COUNTA([25]Brewhouse!$A$125:$A$132)</f>
        <v>8</v>
      </c>
      <c r="L29" s="302">
        <f>AVERAGE([25]Brewhouse!$AU$125:$AU$132)</f>
        <v>96.474285660381511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9" s="30">
        <v>98</v>
      </c>
      <c r="O29" s="11"/>
      <c r="P29" s="31"/>
      <c r="R29" s="277">
        <f t="shared" si="9"/>
        <v>0</v>
      </c>
      <c r="S29" s="475" t="e">
        <f t="shared" si="10"/>
        <v>#N/A</v>
      </c>
      <c r="T29" s="475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5" t="e">
        <f t="shared" si="17"/>
        <v>#N/A</v>
      </c>
    </row>
    <row r="30" spans="1:27" ht="14.65" customHeight="1">
      <c r="A30" s="28"/>
      <c r="B30" s="530"/>
      <c r="C30" s="362">
        <v>12</v>
      </c>
      <c r="D30" s="547"/>
      <c r="E30" s="535"/>
      <c r="F30" s="294"/>
      <c r="G30" s="294"/>
      <c r="H30" s="348"/>
      <c r="I30" s="22" t="s">
        <v>33</v>
      </c>
      <c r="J30" s="280"/>
      <c r="K30" s="284">
        <f>COUNTA([22]Brewhouse!$A$107:$A$122)</f>
        <v>16</v>
      </c>
      <c r="L30" s="302">
        <f>AVERAGE([22]Brewhouse!$AV$107:$AV$122)</f>
        <v>96.593037676437092</v>
      </c>
      <c r="M3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0" s="30">
        <v>98</v>
      </c>
      <c r="O30" s="11"/>
      <c r="P30" s="31"/>
      <c r="R30" s="277">
        <f t="shared" si="9"/>
        <v>0</v>
      </c>
      <c r="S30" s="475" t="e">
        <f t="shared" si="10"/>
        <v>#N/A</v>
      </c>
      <c r="T30" s="475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5" t="e">
        <f t="shared" si="17"/>
        <v>#N/A</v>
      </c>
    </row>
    <row r="31" spans="1:27" ht="14.65" customHeight="1">
      <c r="A31" s="28"/>
      <c r="B31" s="530"/>
      <c r="C31" s="362"/>
      <c r="D31" s="580"/>
      <c r="E31" s="581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5" t="e">
        <f t="shared" si="10"/>
        <v>#N/A</v>
      </c>
      <c r="T31" s="475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5" t="e">
        <f t="shared" si="17"/>
        <v>#N/A</v>
      </c>
    </row>
    <row r="32" spans="1:27" ht="14.65" customHeight="1">
      <c r="A32" s="28"/>
      <c r="B32" s="530"/>
      <c r="C32" s="362"/>
      <c r="D32" s="547"/>
      <c r="E32" s="535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9"/>
        <v>0</v>
      </c>
      <c r="S32" s="475" t="e">
        <f t="shared" si="10"/>
        <v>#N/A</v>
      </c>
      <c r="T32" s="475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5" t="e">
        <f t="shared" si="17"/>
        <v>#N/A</v>
      </c>
      <c r="AA32" s="475"/>
    </row>
    <row r="33" spans="1:56" ht="14.65" customHeight="1">
      <c r="A33" s="28"/>
      <c r="B33" s="530"/>
      <c r="C33" s="362"/>
      <c r="D33" s="580"/>
      <c r="E33" s="581"/>
      <c r="F33" s="417"/>
      <c r="G33" s="294"/>
      <c r="H33" s="348"/>
      <c r="I33" s="37" t="s">
        <v>16</v>
      </c>
      <c r="J33" s="323">
        <f>AVERAGE(I10:I15)</f>
        <v>97.765277402061827</v>
      </c>
      <c r="K33" s="284">
        <f>COUNTA([27]Brewhouse!$A$99:$A$116)</f>
        <v>18</v>
      </c>
      <c r="L33" s="302">
        <f>AVERAGE([27]Brewhouse!$AY$99:$AY$116)</f>
        <v>97.377797632485397</v>
      </c>
      <c r="M3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3" s="30">
        <v>98</v>
      </c>
      <c r="O33" s="11"/>
      <c r="P33" s="31" t="s">
        <v>41</v>
      </c>
      <c r="R33" s="277">
        <f t="shared" si="9"/>
        <v>0</v>
      </c>
      <c r="S33" s="475" t="e">
        <f t="shared" si="10"/>
        <v>#N/A</v>
      </c>
      <c r="T33" s="475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5" t="e">
        <f t="shared" si="17"/>
        <v>#N/A</v>
      </c>
      <c r="AA33" s="475"/>
    </row>
    <row r="34" spans="1:56" ht="14.65" customHeight="1">
      <c r="A34" s="28"/>
      <c r="B34" s="530"/>
      <c r="C34" s="362"/>
      <c r="D34" s="547"/>
      <c r="E34" s="535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9"/>
        <v>0</v>
      </c>
      <c r="S34" s="475" t="e">
        <f t="shared" si="10"/>
        <v>#N/A</v>
      </c>
      <c r="T34" s="475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5" t="e">
        <f t="shared" si="17"/>
        <v>#N/A</v>
      </c>
      <c r="AA34" s="475"/>
    </row>
    <row r="35" spans="1:56" ht="14.65" customHeight="1">
      <c r="A35" s="28"/>
      <c r="B35" s="530"/>
      <c r="C35" s="349"/>
      <c r="D35" s="580"/>
      <c r="E35" s="581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9"/>
        <v>0</v>
      </c>
      <c r="S35" s="475" t="e">
        <f t="shared" si="10"/>
        <v>#N/A</v>
      </c>
      <c r="T35" s="475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5" t="e">
        <f t="shared" si="17"/>
        <v>#N/A</v>
      </c>
      <c r="AA35" s="475"/>
    </row>
    <row r="36" spans="1:56" ht="15" customHeight="1" thickBot="1">
      <c r="A36" s="28"/>
      <c r="B36" s="530"/>
      <c r="C36" s="349"/>
      <c r="D36" s="547"/>
      <c r="E36" s="535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9"/>
        <v>0</v>
      </c>
      <c r="S36" s="475" t="e">
        <f t="shared" si="10"/>
        <v>#N/A</v>
      </c>
      <c r="T36" s="475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5" t="e">
        <f t="shared" si="17"/>
        <v>#N/A</v>
      </c>
      <c r="AA36" s="475"/>
    </row>
    <row r="37" spans="1:56" ht="15" customHeight="1" thickBot="1">
      <c r="A37" s="28"/>
      <c r="B37" s="530"/>
      <c r="C37" s="349"/>
      <c r="D37" s="532"/>
      <c r="E37" s="533"/>
      <c r="F37" s="294"/>
      <c r="G37" s="294"/>
      <c r="H37" s="348"/>
      <c r="I37" s="1"/>
      <c r="J37" s="39"/>
      <c r="K37" s="404">
        <f>SUM(K27:K36)</f>
        <v>102</v>
      </c>
      <c r="L37" s="405">
        <f>((L27*K27)+(L28*K28)+(L29*K29)+(L30*K30)+(L31*K31)+(K34*L34)+(L32*K32)+(L33*K33)+(L36*K36))/(K37)</f>
        <v>97.386141409255103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97.556564380607298</v>
      </c>
      <c r="N37" s="40">
        <v>98</v>
      </c>
      <c r="O37" s="11"/>
      <c r="P37" s="31"/>
      <c r="R37" s="277">
        <f t="shared" si="9"/>
        <v>0</v>
      </c>
      <c r="S37" s="475" t="e">
        <f t="shared" si="10"/>
        <v>#N/A</v>
      </c>
      <c r="T37" s="475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5" t="e">
        <f t="shared" si="17"/>
        <v>#N/A</v>
      </c>
      <c r="AA37" s="475"/>
    </row>
    <row r="38" spans="1:56" ht="15.75" thickBot="1">
      <c r="B38" s="605"/>
      <c r="C38" s="350"/>
      <c r="D38" s="534"/>
      <c r="E38" s="53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5" t="e">
        <f t="shared" si="10"/>
        <v>#N/A</v>
      </c>
      <c r="T38" s="475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5" t="e">
        <f t="shared" si="17"/>
        <v>#N/A</v>
      </c>
      <c r="AA38" s="475"/>
    </row>
    <row r="39" spans="1:56" ht="15.75" thickBot="1">
      <c r="B39" s="587" t="str">
        <f>I27</f>
        <v>CARIB</v>
      </c>
      <c r="C39" s="362" cm="1">
        <f t="array" ref="C39:C42">[23]Process!$D$970:$D$973</f>
        <v>11.5</v>
      </c>
      <c r="D39" s="545">
        <v>11.6</v>
      </c>
      <c r="E39" s="546"/>
      <c r="F39" s="294"/>
      <c r="G39" s="42"/>
      <c r="H39" s="41"/>
      <c r="I39" s="42"/>
      <c r="J39" s="579" t="s">
        <v>129</v>
      </c>
      <c r="K39" s="579"/>
      <c r="L39" s="294"/>
      <c r="M39" s="294"/>
      <c r="N39" s="294"/>
      <c r="O39" s="294"/>
      <c r="P39" s="12"/>
    </row>
    <row r="40" spans="1:56" ht="15.75" thickBot="1">
      <c r="B40" s="588"/>
      <c r="C40" s="362">
        <v>11.7</v>
      </c>
      <c r="D40" s="547"/>
      <c r="E40" s="535"/>
      <c r="F40" s="294"/>
      <c r="G40" s="42"/>
      <c r="H40" s="42"/>
      <c r="I40" s="42"/>
      <c r="J40" s="292" t="s">
        <v>17</v>
      </c>
      <c r="K40" s="293" t="s">
        <v>147</v>
      </c>
      <c r="L40" s="549" t="s">
        <v>136</v>
      </c>
      <c r="M40" s="549"/>
      <c r="N40" s="550"/>
      <c r="O40" s="294"/>
      <c r="P40" s="12"/>
    </row>
    <row r="41" spans="1:56" ht="15" customHeight="1" thickBot="1">
      <c r="B41" s="588"/>
      <c r="C41" s="349">
        <v>11.6</v>
      </c>
      <c r="D41" s="580">
        <v>11.73</v>
      </c>
      <c r="E41" s="581"/>
      <c r="F41" s="294"/>
      <c r="G41" s="42"/>
      <c r="H41" s="42"/>
      <c r="I41" s="42"/>
      <c r="J41" s="287" t="s">
        <v>6</v>
      </c>
      <c r="K41" s="324"/>
      <c r="L41" s="476" t="s">
        <v>37</v>
      </c>
      <c r="M41" s="477" t="s">
        <v>38</v>
      </c>
      <c r="N41" s="477" t="s">
        <v>84</v>
      </c>
      <c r="O41" s="294"/>
      <c r="P41" s="12"/>
    </row>
    <row r="42" spans="1:56" ht="15.75" customHeight="1" thickBot="1">
      <c r="B42" s="588"/>
      <c r="C42" s="349">
        <v>11.9</v>
      </c>
      <c r="D42" s="547"/>
      <c r="E42" s="535"/>
      <c r="F42" s="294"/>
      <c r="G42" s="42"/>
      <c r="H42" s="42"/>
      <c r="I42" s="42"/>
      <c r="J42" s="345" t="s">
        <v>9</v>
      </c>
      <c r="K42" s="324"/>
      <c r="L42" s="344">
        <f>AVERAGE('Dec 1st'!K43,'Dec 2nd'!K49,'Dec 3rd '!K58,'Dec 4th'!K51,'Dec 5th-7th'!I70,'Dec 5th-7th'!J70,'Dec 5th-7th'!K70,'Dec 8th '!K49,'Dec 9th'!K49,'Dec 18th '!K51,'Dec 11th'!K53,'Dec 12th-14th'!K44,'Dec 10th'!K61,'Dec 15th'!K49,'Dec 16th'!K54,'Dec 17th '!K48)</f>
        <v>6.375</v>
      </c>
      <c r="M42" s="325">
        <f>AVERAGE('[31]Jan 29th '!$M$70,'[32]Feb 28th'!$L$40,'[33]Mar. 31st'!$L$40,'[34]Apr. 30th'!$L$50,'[35]May 30th'!$L$42,'[36]June 30th'!$L$62,'[37]July 29th '!$L$49,'[38]Aug 29th'!$L$34,'[39]Sept 30th'!$L$40,[40]Oct.31st!$L$43,'[41]Nov 28th-30th'!$L$45,L42)</f>
        <v>6.9207810845396658</v>
      </c>
      <c r="N42" s="416">
        <v>9.1999999999999993</v>
      </c>
      <c r="O42" s="294"/>
      <c r="P42" s="12"/>
    </row>
    <row r="43" spans="1:56" ht="15" customHeight="1">
      <c r="B43" s="588"/>
      <c r="C43" s="349">
        <f>[23]Process!$D$982</f>
        <v>11.6</v>
      </c>
      <c r="D43" s="580"/>
      <c r="E43" s="58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88"/>
      <c r="C44" s="349"/>
      <c r="D44" s="547"/>
      <c r="E44" s="53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88"/>
      <c r="C45" s="349"/>
      <c r="D45" s="580"/>
      <c r="E45" s="581"/>
      <c r="F45" s="294"/>
      <c r="G45" s="42"/>
      <c r="H45" s="42"/>
      <c r="I45" s="42"/>
      <c r="J45" s="290" t="s">
        <v>16</v>
      </c>
      <c r="K45" s="324">
        <v>6</v>
      </c>
      <c r="L45" s="294"/>
      <c r="M45" s="294"/>
      <c r="N45" s="294"/>
      <c r="O45" s="294"/>
      <c r="P45" s="12"/>
      <c r="BC45" s="44"/>
      <c r="BD45" s="44"/>
    </row>
    <row r="46" spans="1:56" ht="15">
      <c r="B46" s="588"/>
      <c r="C46" s="349"/>
      <c r="D46" s="547"/>
      <c r="E46" s="53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8"/>
      <c r="C47" s="349"/>
      <c r="D47" s="580"/>
      <c r="E47" s="58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606"/>
      <c r="C48" s="350"/>
      <c r="D48" s="582"/>
      <c r="E48" s="583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7"/>
      <c r="E49" s="57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6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7" t="s">
        <v>17</v>
      </c>
      <c r="C54" s="557" t="s">
        <v>44</v>
      </c>
      <c r="D54" s="559" t="s">
        <v>45</v>
      </c>
      <c r="E54" s="514" t="s">
        <v>46</v>
      </c>
      <c r="F54" s="574" t="s">
        <v>47</v>
      </c>
      <c r="G54" s="568" t="s">
        <v>48</v>
      </c>
      <c r="H54" s="557" t="s">
        <v>49</v>
      </c>
      <c r="I54" s="557" t="s">
        <v>50</v>
      </c>
      <c r="J54" s="562" t="s">
        <v>28</v>
      </c>
      <c r="K54" s="512" t="s">
        <v>51</v>
      </c>
      <c r="L54" s="524" t="s">
        <v>52</v>
      </c>
      <c r="M54" s="562" t="s">
        <v>53</v>
      </c>
      <c r="N54" s="13"/>
      <c r="O54" s="13"/>
      <c r="P54" s="50"/>
    </row>
    <row r="55" spans="2:57" ht="28.5" customHeight="1" thickTop="1" thickBot="1">
      <c r="B55" s="558"/>
      <c r="C55" s="558"/>
      <c r="D55" s="560"/>
      <c r="E55" s="561"/>
      <c r="F55" s="575"/>
      <c r="G55" s="569"/>
      <c r="H55" s="576"/>
      <c r="I55" s="576"/>
      <c r="J55" s="563"/>
      <c r="K55" s="572"/>
      <c r="L55" s="573"/>
      <c r="M55" s="563"/>
      <c r="N55" s="13"/>
      <c r="O55" s="13"/>
      <c r="P55" s="50"/>
      <c r="Q55" s="355"/>
      <c r="AB55" s="478">
        <v>43474</v>
      </c>
      <c r="AC55" s="478">
        <v>43475</v>
      </c>
      <c r="AD55" s="478">
        <v>43476</v>
      </c>
      <c r="AE55" s="478">
        <v>43477</v>
      </c>
      <c r="AF55" s="478">
        <v>43478</v>
      </c>
      <c r="AG55" s="478">
        <v>43479</v>
      </c>
      <c r="AH55" s="478">
        <v>43480</v>
      </c>
      <c r="AI55" s="478">
        <v>43481</v>
      </c>
      <c r="AJ55" s="478">
        <v>43482</v>
      </c>
      <c r="AK55" s="478">
        <v>43483</v>
      </c>
      <c r="AL55" s="478">
        <v>43484</v>
      </c>
      <c r="AM55" s="478">
        <v>43485</v>
      </c>
      <c r="AN55" s="478">
        <v>43486</v>
      </c>
      <c r="AO55" s="478">
        <v>43487</v>
      </c>
      <c r="AP55" s="478">
        <v>43488</v>
      </c>
      <c r="AQ55" s="478">
        <v>43489</v>
      </c>
      <c r="AR55" s="478">
        <v>43490</v>
      </c>
      <c r="AS55" s="478">
        <v>43491</v>
      </c>
      <c r="AT55" s="478">
        <v>43492</v>
      </c>
      <c r="AU55" s="478">
        <v>43493</v>
      </c>
      <c r="AV55" s="478">
        <v>43494</v>
      </c>
      <c r="AW55" s="478">
        <v>43495</v>
      </c>
      <c r="AX55" s="478">
        <v>43496</v>
      </c>
    </row>
    <row r="56" spans="2:57" s="54" customFormat="1" ht="43.15" customHeight="1" thickBot="1">
      <c r="B56" s="468" t="str">
        <f>I28</f>
        <v>STAG</v>
      </c>
      <c r="C56" s="441">
        <v>46009</v>
      </c>
      <c r="D56" s="442">
        <f>[42]December_2025!$U$13</f>
        <v>190.7</v>
      </c>
      <c r="E56" s="443"/>
      <c r="F56" s="444"/>
      <c r="G56" s="444">
        <f>[42]December_2025!$U$17</f>
        <v>182.7</v>
      </c>
      <c r="H56" s="458"/>
      <c r="I56" s="458"/>
      <c r="J56" s="448" t="s">
        <v>173</v>
      </c>
      <c r="K56" s="449">
        <f>[43]December_2025!$U$25</f>
        <v>0.32052631578947366</v>
      </c>
      <c r="L56" s="486">
        <f>(((D56+E56)-G56)/(D56+E56))*100</f>
        <v>4.195070791819612</v>
      </c>
      <c r="M56" s="455" t="s">
        <v>171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customHeight="1" thickBot="1">
      <c r="B57" s="46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customHeight="1" thickBot="1">
      <c r="B58" s="456" t="str">
        <f>J41</f>
        <v>CARIB</v>
      </c>
      <c r="C58" s="441">
        <v>46009</v>
      </c>
      <c r="D58" s="442">
        <f>[42]December_2025!$U$3</f>
        <v>213.1</v>
      </c>
      <c r="E58" s="443"/>
      <c r="F58" s="444"/>
      <c r="G58" s="445">
        <f>[42]December_2025!$U$7</f>
        <v>199.8</v>
      </c>
      <c r="H58" s="458"/>
      <c r="I58" s="458"/>
      <c r="J58" s="448" t="s">
        <v>185</v>
      </c>
      <c r="K58" s="460">
        <f>[43]December_2025!$U$18</f>
        <v>0.14021052631578948</v>
      </c>
      <c r="L58" s="457">
        <f>(((D58+E58)-G58)/(D58+E58))*100</f>
        <v>6.2412013139371103</v>
      </c>
      <c r="M58" s="455" t="s">
        <v>178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59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64" t="s">
        <v>55</v>
      </c>
      <c r="C65" s="565"/>
      <c r="D65" s="565"/>
      <c r="E65" s="565"/>
      <c r="F65" s="566"/>
      <c r="G65" s="564" t="s">
        <v>56</v>
      </c>
      <c r="H65" s="565"/>
      <c r="I65" s="565"/>
      <c r="J65" s="566"/>
      <c r="K65" s="564" t="s">
        <v>51</v>
      </c>
      <c r="L65" s="565"/>
      <c r="M65" s="565"/>
      <c r="N65" s="56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>
        <f>L58</f>
        <v>6.2412013139371103</v>
      </c>
      <c r="D67" s="76">
        <v>5.625627860252254</v>
      </c>
      <c r="E67" s="76">
        <v>6.0460834131645109</v>
      </c>
      <c r="F67" s="66">
        <v>4.8</v>
      </c>
      <c r="G67" s="65">
        <f>[42]December_2025!$U$11</f>
        <v>6.3181789811670459</v>
      </c>
      <c r="H67" s="491">
        <v>4.9816798134244333</v>
      </c>
      <c r="I67" s="76">
        <v>5.9437770768063256</v>
      </c>
      <c r="J67" s="66">
        <v>4.8</v>
      </c>
      <c r="K67" s="67">
        <f>K58</f>
        <v>0.14021052631578948</v>
      </c>
      <c r="L67" s="194">
        <v>0.40676691729323311</v>
      </c>
      <c r="M67" s="194">
        <v>0.71214854974674047</v>
      </c>
      <c r="N67" s="68">
        <v>1</v>
      </c>
      <c r="O67" s="56"/>
      <c r="P67" s="69"/>
    </row>
    <row r="68" spans="2:16" ht="15">
      <c r="B68" s="33" t="s">
        <v>9</v>
      </c>
      <c r="C68" s="65">
        <f>L56</f>
        <v>4.195070791819612</v>
      </c>
      <c r="D68" s="76">
        <v>3.7387493356335928</v>
      </c>
      <c r="E68" s="76">
        <v>5.6055296612083989</v>
      </c>
      <c r="F68" s="66">
        <v>4.8</v>
      </c>
      <c r="G68" s="65">
        <f>[42]December_2025!$U$21</f>
        <v>3.5809366302287184</v>
      </c>
      <c r="H68" s="76">
        <v>3.7805441587163839</v>
      </c>
      <c r="I68" s="76">
        <v>6.1012178283456002</v>
      </c>
      <c r="J68" s="66">
        <v>4.8</v>
      </c>
      <c r="K68" s="67">
        <f>K56</f>
        <v>0.32052631578947366</v>
      </c>
      <c r="L68" s="194">
        <v>0.4079970760233918</v>
      </c>
      <c r="M68" s="194">
        <v>0.66778502418448049</v>
      </c>
      <c r="N68" s="68">
        <v>1</v>
      </c>
      <c r="P68" s="69"/>
    </row>
    <row r="69" spans="2:16" ht="15">
      <c r="B69" s="34" t="s">
        <v>40</v>
      </c>
      <c r="C69" s="65"/>
      <c r="D69" s="76">
        <v>12.618296529968443</v>
      </c>
      <c r="E69" s="76">
        <v>11.122539172358353</v>
      </c>
      <c r="F69" s="66">
        <v>5.5</v>
      </c>
      <c r="G69" s="65"/>
      <c r="H69" s="76">
        <v>12.288892572095527</v>
      </c>
      <c r="I69" s="76">
        <v>12.520142311925225</v>
      </c>
      <c r="J69" s="66">
        <v>5.5</v>
      </c>
      <c r="K69" s="67"/>
      <c r="L69" s="194">
        <v>0.31587719298245615</v>
      </c>
      <c r="M69" s="194">
        <v>0.50769967246157732</v>
      </c>
      <c r="N69" s="68">
        <v>1</v>
      </c>
      <c r="P69" s="69"/>
    </row>
    <row r="70" spans="2:16" ht="15">
      <c r="B70" s="22" t="s">
        <v>33</v>
      </c>
      <c r="C70" s="65"/>
      <c r="D70" s="76">
        <v>3.7426398119835098</v>
      </c>
      <c r="E70" s="76">
        <v>4.4918713689673408</v>
      </c>
      <c r="F70" s="66">
        <v>3.3</v>
      </c>
      <c r="G70" s="65"/>
      <c r="H70" s="76">
        <v>2.884540034691927</v>
      </c>
      <c r="I70" s="76">
        <v>4.189075062989712</v>
      </c>
      <c r="J70" s="66">
        <v>3.3</v>
      </c>
      <c r="K70" s="67"/>
      <c r="L70" s="194">
        <v>0.77900584795321637</v>
      </c>
      <c r="M70" s="194">
        <v>0.82191692466460264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1.6037551339722365</v>
      </c>
      <c r="E73" s="76">
        <v>2.7893641905668773</v>
      </c>
      <c r="F73" s="66">
        <v>3.3</v>
      </c>
      <c r="G73" s="282"/>
      <c r="H73" s="76">
        <v>6.7972810536378629</v>
      </c>
      <c r="I73" s="76">
        <v>4.5354505140007557</v>
      </c>
      <c r="J73" s="66">
        <v>3.3</v>
      </c>
      <c r="K73" s="67"/>
      <c r="L73" s="194">
        <v>0.61403508771929827</v>
      </c>
      <c r="M73" s="194">
        <v>0.81650775633749528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5.1156438562005588</v>
      </c>
      <c r="E76" s="76">
        <v>6.0440076164925607</v>
      </c>
      <c r="F76" s="341">
        <v>5.5</v>
      </c>
      <c r="H76" s="76">
        <v>5.3299149932604486</v>
      </c>
      <c r="I76" s="76">
        <v>6.4592155023264528</v>
      </c>
      <c r="J76" s="341">
        <v>5.5</v>
      </c>
      <c r="L76" s="194">
        <v>0.49178362573099416</v>
      </c>
      <c r="M76" s="194">
        <v>0.69105559037207265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474" priority="36" operator="notBetween">
      <formula>#REF!</formula>
      <formula>#REF!</formula>
    </cfRule>
  </conditionalFormatting>
  <conditionalFormatting sqref="C53">
    <cfRule type="cellIs" dxfId="1473" priority="182" stopIfTrue="1" operator="greaterThan">
      <formula>100</formula>
    </cfRule>
    <cfRule type="cellIs" dxfId="1472" priority="181" stopIfTrue="1" operator="lessThan">
      <formula>96</formula>
    </cfRule>
  </conditionalFormatting>
  <conditionalFormatting sqref="C67:C71">
    <cfRule type="cellIs" dxfId="1471" priority="135" stopIfTrue="1" operator="lessThanOrEqual">
      <formula>0</formula>
    </cfRule>
  </conditionalFormatting>
  <conditionalFormatting sqref="C67:C75">
    <cfRule type="cellIs" dxfId="1470" priority="134" stopIfTrue="1" operator="greaterThan">
      <formula>$F67</formula>
    </cfRule>
  </conditionalFormatting>
  <conditionalFormatting sqref="C68">
    <cfRule type="cellIs" dxfId="1469" priority="185" stopIfTrue="1" operator="greaterThan">
      <formula>$F67</formula>
    </cfRule>
  </conditionalFormatting>
  <conditionalFormatting sqref="C72">
    <cfRule type="cellIs" dxfId="1468" priority="75" stopIfTrue="1" operator="greaterThan">
      <formula>$F71</formula>
    </cfRule>
    <cfRule type="cellIs" dxfId="1467" priority="74" stopIfTrue="1" operator="lessThanOrEqual">
      <formula>0</formula>
    </cfRule>
  </conditionalFormatting>
  <conditionalFormatting sqref="C78:C82">
    <cfRule type="cellIs" dxfId="1466" priority="173" stopIfTrue="1" operator="lessThanOrEqual">
      <formula>0</formula>
    </cfRule>
  </conditionalFormatting>
  <conditionalFormatting sqref="C79:C82">
    <cfRule type="cellIs" dxfId="1465" priority="172" stopIfTrue="1" operator="greaterThan">
      <formula>$F$78</formula>
    </cfRule>
  </conditionalFormatting>
  <conditionalFormatting sqref="C84">
    <cfRule type="cellIs" dxfId="1464" priority="175" stopIfTrue="1" operator="lessThanOrEqual">
      <formula>0</formula>
    </cfRule>
    <cfRule type="cellIs" dxfId="1463" priority="174" stopIfTrue="1" operator="greaterThan">
      <formula>$F$78</formula>
    </cfRule>
  </conditionalFormatting>
  <conditionalFormatting sqref="C78:D78 D80:D86">
    <cfRule type="cellIs" dxfId="1462" priority="167" stopIfTrue="1" operator="greaterThan">
      <formula>4.5</formula>
    </cfRule>
  </conditionalFormatting>
  <conditionalFormatting sqref="D49:D50">
    <cfRule type="cellIs" dxfId="1461" priority="37" operator="notBetween">
      <formula>#REF!</formula>
      <formula>#REF!</formula>
    </cfRule>
  </conditionalFormatting>
  <conditionalFormatting sqref="D67:D74">
    <cfRule type="cellIs" dxfId="1460" priority="147" stopIfTrue="1" operator="lessThanOrEqual">
      <formula>0</formula>
    </cfRule>
  </conditionalFormatting>
  <conditionalFormatting sqref="D75">
    <cfRule type="cellIs" dxfId="1459" priority="146" stopIfTrue="1" operator="lessThanOrEqual">
      <formula>0</formula>
    </cfRule>
  </conditionalFormatting>
  <conditionalFormatting sqref="D78 D80:D86">
    <cfRule type="cellIs" dxfId="1458" priority="168" stopIfTrue="1" operator="lessThanOrEqual">
      <formula>0</formula>
    </cfRule>
  </conditionalFormatting>
  <conditionalFormatting sqref="D79">
    <cfRule type="cellIs" dxfId="1457" priority="160" stopIfTrue="1" operator="lessThanOrEqual">
      <formula>0</formula>
    </cfRule>
    <cfRule type="cellIs" dxfId="1456" priority="159" stopIfTrue="1" operator="greaterThan">
      <formula>$F$78</formula>
    </cfRule>
  </conditionalFormatting>
  <conditionalFormatting sqref="D67:E76">
    <cfRule type="cellIs" dxfId="1455" priority="132" stopIfTrue="1" operator="greaterThan">
      <formula>$F67</formula>
    </cfRule>
  </conditionalFormatting>
  <conditionalFormatting sqref="D76:E76">
    <cfRule type="cellIs" dxfId="1454" priority="133" stopIfTrue="1" operator="lessThanOrEqual">
      <formula>0</formula>
    </cfRule>
  </conditionalFormatting>
  <conditionalFormatting sqref="E10:E24">
    <cfRule type="cellIs" dxfId="1453" priority="11" operator="lessThan">
      <formula>48</formula>
    </cfRule>
  </conditionalFormatting>
  <conditionalFormatting sqref="E52 E53:F53">
    <cfRule type="cellIs" dxfId="1452" priority="164" stopIfTrue="1" operator="greaterThan">
      <formula>100</formula>
    </cfRule>
  </conditionalFormatting>
  <conditionalFormatting sqref="E53">
    <cfRule type="cellIs" dxfId="1451" priority="162" stopIfTrue="1" operator="greaterThan">
      <formula>100</formula>
    </cfRule>
    <cfRule type="cellIs" dxfId="1450" priority="161" stopIfTrue="1" operator="lessThan">
      <formula>96.8</formula>
    </cfRule>
  </conditionalFormatting>
  <conditionalFormatting sqref="E67:E75">
    <cfRule type="cellIs" dxfId="1449" priority="143" stopIfTrue="1" operator="lessThanOrEqual">
      <formula>0</formula>
    </cfRule>
  </conditionalFormatting>
  <conditionalFormatting sqref="E78:E86">
    <cfRule type="cellIs" dxfId="1448" priority="154" stopIfTrue="1" operator="lessThanOrEqual">
      <formula>0</formula>
    </cfRule>
    <cfRule type="cellIs" dxfId="1447" priority="153" stopIfTrue="1" operator="greaterThan">
      <formula>4.5</formula>
    </cfRule>
  </conditionalFormatting>
  <conditionalFormatting sqref="E53:F53 E52">
    <cfRule type="cellIs" dxfId="1446" priority="163" stopIfTrue="1" operator="lessThan">
      <formula>96.5</formula>
    </cfRule>
  </conditionalFormatting>
  <conditionalFormatting sqref="F24">
    <cfRule type="cellIs" dxfId="1445" priority="14" operator="greaterThan">
      <formula>60</formula>
    </cfRule>
  </conditionalFormatting>
  <conditionalFormatting sqref="F53">
    <cfRule type="cellIs" dxfId="1444" priority="180" stopIfTrue="1" operator="greaterThan">
      <formula>100</formula>
    </cfRule>
    <cfRule type="cellIs" dxfId="1443" priority="179" stopIfTrue="1" operator="lessThan">
      <formula>96.8</formula>
    </cfRule>
  </conditionalFormatting>
  <conditionalFormatting sqref="F76">
    <cfRule type="cellIs" dxfId="1442" priority="145" stopIfTrue="1" operator="lessThanOrEqual">
      <formula>0</formula>
    </cfRule>
    <cfRule type="cellIs" dxfId="1441" priority="144" stopIfTrue="1" operator="greaterThan">
      <formula>$F76</formula>
    </cfRule>
  </conditionalFormatting>
  <conditionalFormatting sqref="G10:G23">
    <cfRule type="expression" dxfId="1440" priority="3">
      <formula>IF(+(IF(G10&lt;S10,0,IF(G10&gt;T10,0,1)))=0,1)</formula>
    </cfRule>
  </conditionalFormatting>
  <conditionalFormatting sqref="G67:G68 C73:C75">
    <cfRule type="cellIs" dxfId="1439" priority="149" stopIfTrue="1" operator="lessThanOrEqual">
      <formula>0</formula>
    </cfRule>
  </conditionalFormatting>
  <conditionalFormatting sqref="G67:G68">
    <cfRule type="cellIs" dxfId="1438" priority="148" stopIfTrue="1" operator="greaterThan">
      <formula>$F67</formula>
    </cfRule>
    <cfRule type="cellIs" dxfId="1437" priority="136" stopIfTrue="1" operator="greaterThan">
      <formula>$F67</formula>
    </cfRule>
    <cfRule type="cellIs" dxfId="1436" priority="137" stopIfTrue="1" operator="lessThanOrEqual">
      <formula>0</formula>
    </cfRule>
  </conditionalFormatting>
  <conditionalFormatting sqref="G69">
    <cfRule type="cellIs" dxfId="1435" priority="184" stopIfTrue="1" operator="lessThanOrEqual">
      <formula>0</formula>
    </cfRule>
    <cfRule type="cellIs" dxfId="1434" priority="183" stopIfTrue="1" operator="greaterThan">
      <formula>$F68</formula>
    </cfRule>
  </conditionalFormatting>
  <conditionalFormatting sqref="G70">
    <cfRule type="cellIs" dxfId="1433" priority="32" stopIfTrue="1" operator="greaterThan">
      <formula>$F70</formula>
    </cfRule>
    <cfRule type="cellIs" dxfId="1432" priority="35" stopIfTrue="1" operator="lessThanOrEqual">
      <formula>0</formula>
    </cfRule>
    <cfRule type="cellIs" dxfId="1431" priority="34" stopIfTrue="1" operator="greaterThan">
      <formula>$F70</formula>
    </cfRule>
    <cfRule type="cellIs" dxfId="1430" priority="33" stopIfTrue="1" operator="lessThanOrEqual">
      <formula>0</formula>
    </cfRule>
  </conditionalFormatting>
  <conditionalFormatting sqref="G71:G75">
    <cfRule type="cellIs" dxfId="1429" priority="151" stopIfTrue="1" operator="lessThanOrEqual">
      <formula>0</formula>
    </cfRule>
    <cfRule type="cellIs" dxfId="1428" priority="150" stopIfTrue="1" operator="greaterThan">
      <formula>$J71</formula>
    </cfRule>
  </conditionalFormatting>
  <conditionalFormatting sqref="G80:G85 C83 C85">
    <cfRule type="cellIs" dxfId="1427" priority="177" stopIfTrue="1" operator="lessThanOrEqual">
      <formula>0</formula>
    </cfRule>
    <cfRule type="cellIs" dxfId="1426" priority="176" stopIfTrue="1" operator="greaterThan">
      <formula>4.5</formula>
    </cfRule>
  </conditionalFormatting>
  <conditionalFormatting sqref="G24:H24">
    <cfRule type="expression" dxfId="1425" priority="31">
      <formula>IF(+(IF(G24&lt;#REF!,0,IF(G24&gt;#REF!,0,1)))=0,1)</formula>
    </cfRule>
  </conditionalFormatting>
  <conditionalFormatting sqref="G79:H79">
    <cfRule type="cellIs" dxfId="1424" priority="157" stopIfTrue="1" operator="greaterThan">
      <formula>$F$78</formula>
    </cfRule>
    <cfRule type="cellIs" dxfId="1423" priority="158" stopIfTrue="1" operator="lessThanOrEqual">
      <formula>0</formula>
    </cfRule>
  </conditionalFormatting>
  <conditionalFormatting sqref="H10:H23">
    <cfRule type="expression" dxfId="1422" priority="1">
      <formula>IF(+(IF(H10&lt;#REF!,0,IF(H10&gt;#REF!,0,1)))=0,1)</formula>
    </cfRule>
  </conditionalFormatting>
  <conditionalFormatting sqref="H38:H39 H52">
    <cfRule type="cellIs" dxfId="1421" priority="155" stopIfTrue="1" operator="greaterThan">
      <formula>0</formula>
    </cfRule>
  </conditionalFormatting>
  <conditionalFormatting sqref="H56">
    <cfRule type="cellIs" dxfId="1420" priority="18" stopIfTrue="1" operator="lessThanOrEqual">
      <formula>0</formula>
    </cfRule>
    <cfRule type="cellIs" dxfId="1419" priority="19" stopIfTrue="1" operator="greaterThan">
      <formula>$F$71</formula>
    </cfRule>
    <cfRule type="cellIs" dxfId="1418" priority="27" stopIfTrue="1" operator="greaterThan">
      <formula>$F$74</formula>
    </cfRule>
    <cfRule type="cellIs" dxfId="1417" priority="28" stopIfTrue="1" operator="lessThanOrEqual">
      <formula>0</formula>
    </cfRule>
    <cfRule type="cellIs" dxfId="1416" priority="29" stopIfTrue="1" operator="greaterThan">
      <formula>$F$72</formula>
    </cfRule>
    <cfRule type="cellIs" dxfId="1415" priority="30" stopIfTrue="1" operator="lessThanOrEqual">
      <formula>0</formula>
    </cfRule>
  </conditionalFormatting>
  <conditionalFormatting sqref="H57">
    <cfRule type="cellIs" dxfId="1414" priority="101" stopIfTrue="1" operator="lessThanOrEqual">
      <formula>0</formula>
    </cfRule>
    <cfRule type="cellIs" dxfId="1413" priority="100" stopIfTrue="1" operator="greaterThan">
      <formula>$F$25</formula>
    </cfRule>
    <cfRule type="cellIs" dxfId="1412" priority="103" stopIfTrue="1" operator="lessThanOrEqual">
      <formula>0</formula>
    </cfRule>
    <cfRule type="cellIs" dxfId="1411" priority="102" stopIfTrue="1" operator="greaterThan">
      <formula>#REF!</formula>
    </cfRule>
    <cfRule type="cellIs" dxfId="1410" priority="91" stopIfTrue="1" operator="lessThanOrEqual">
      <formula>0</formula>
    </cfRule>
    <cfRule type="cellIs" dxfId="1409" priority="92" stopIfTrue="1" operator="greaterThan">
      <formula>#REF!</formula>
    </cfRule>
  </conditionalFormatting>
  <conditionalFormatting sqref="H58">
    <cfRule type="cellIs" dxfId="1408" priority="73" stopIfTrue="1" operator="lessThanOrEqual">
      <formula>0</formula>
    </cfRule>
    <cfRule type="cellIs" dxfId="1407" priority="72" stopIfTrue="1" operator="greaterThan">
      <formula>$F$69</formula>
    </cfRule>
    <cfRule type="cellIs" dxfId="1406" priority="70" stopIfTrue="1" operator="greaterThan">
      <formula>$F$71</formula>
    </cfRule>
    <cfRule type="cellIs" dxfId="1405" priority="61" stopIfTrue="1" operator="lessThanOrEqual">
      <formula>0</formula>
    </cfRule>
    <cfRule type="cellIs" dxfId="1404" priority="62" stopIfTrue="1" operator="greaterThan">
      <formula>$F$68</formula>
    </cfRule>
    <cfRule type="cellIs" dxfId="1403" priority="71" stopIfTrue="1" operator="lessThanOrEqual">
      <formula>0</formula>
    </cfRule>
  </conditionalFormatting>
  <conditionalFormatting sqref="H59:H60">
    <cfRule type="cellIs" dxfId="1402" priority="78" stopIfTrue="1" operator="greaterThan">
      <formula>#REF!</formula>
    </cfRule>
    <cfRule type="cellIs" dxfId="1401" priority="87" stopIfTrue="1" operator="lessThanOrEqual">
      <formula>0</formula>
    </cfRule>
    <cfRule type="cellIs" dxfId="1400" priority="77" stopIfTrue="1" operator="lessThanOrEqual">
      <formula>0</formula>
    </cfRule>
    <cfRule type="cellIs" dxfId="1399" priority="88" stopIfTrue="1" operator="greaterThan">
      <formula>#REF!</formula>
    </cfRule>
    <cfRule type="cellIs" dxfId="1398" priority="89" stopIfTrue="1" operator="lessThanOrEqual">
      <formula>0</formula>
    </cfRule>
    <cfRule type="cellIs" dxfId="1397" priority="86" stopIfTrue="1" operator="greaterThan">
      <formula>$F$24</formula>
    </cfRule>
  </conditionalFormatting>
  <conditionalFormatting sqref="H61">
    <cfRule type="cellIs" dxfId="1396" priority="117" stopIfTrue="1" operator="greaterThan">
      <formula>$F$38</formula>
    </cfRule>
    <cfRule type="cellIs" dxfId="1395" priority="106" stopIfTrue="1" operator="lessThanOrEqual">
      <formula>0</formula>
    </cfRule>
    <cfRule type="cellIs" dxfId="1394" priority="118" stopIfTrue="1" operator="lessThanOrEqual">
      <formula>0</formula>
    </cfRule>
    <cfRule type="cellIs" dxfId="1393" priority="116" stopIfTrue="1" operator="lessThanOrEqual">
      <formula>0</formula>
    </cfRule>
    <cfRule type="cellIs" dxfId="1392" priority="115" stopIfTrue="1" operator="greaterThan">
      <formula>$F$40</formula>
    </cfRule>
    <cfRule type="cellIs" dxfId="1391" priority="107" stopIfTrue="1" operator="greaterThan">
      <formula>$F$37</formula>
    </cfRule>
  </conditionalFormatting>
  <conditionalFormatting sqref="H62:H63">
    <cfRule type="cellIs" dxfId="1390" priority="57" stopIfTrue="1" operator="lessThanOrEqual">
      <formula>0</formula>
    </cfRule>
    <cfRule type="cellIs" dxfId="1389" priority="59" stopIfTrue="1" operator="lessThanOrEqual">
      <formula>0</formula>
    </cfRule>
    <cfRule type="cellIs" dxfId="1388" priority="58" stopIfTrue="1" operator="greaterThan">
      <formula>#REF!</formula>
    </cfRule>
    <cfRule type="cellIs" dxfId="1387" priority="56" stopIfTrue="1" operator="greaterThan">
      <formula>$F$24</formula>
    </cfRule>
    <cfRule type="cellIs" dxfId="1386" priority="47" stopIfTrue="1" operator="lessThanOrEqual">
      <formula>0</formula>
    </cfRule>
    <cfRule type="cellIs" dxfId="1385" priority="48" stopIfTrue="1" operator="greaterThan">
      <formula>#REF!</formula>
    </cfRule>
  </conditionalFormatting>
  <conditionalFormatting sqref="H67:H74">
    <cfRule type="cellIs" dxfId="1384" priority="139" stopIfTrue="1" operator="lessThanOrEqual">
      <formula>0</formula>
    </cfRule>
    <cfRule type="cellIs" dxfId="1383" priority="138" stopIfTrue="1" operator="greaterThan">
      <formula>$J67</formula>
    </cfRule>
  </conditionalFormatting>
  <conditionalFormatting sqref="H75">
    <cfRule type="cellIs" dxfId="1382" priority="140" operator="greaterThan">
      <formula>5.3</formula>
    </cfRule>
  </conditionalFormatting>
  <conditionalFormatting sqref="H78 H80:H86">
    <cfRule type="cellIs" dxfId="1381" priority="170" stopIfTrue="1" operator="lessThanOrEqual">
      <formula>0</formula>
    </cfRule>
    <cfRule type="cellIs" dxfId="1380" priority="169" stopIfTrue="1" operator="greaterThan">
      <formula>4.5</formula>
    </cfRule>
  </conditionalFormatting>
  <conditionalFormatting sqref="H56:I56">
    <cfRule type="cellIs" dxfId="1379" priority="17" stopIfTrue="1" operator="greaterThan">
      <formula>$F$73</formula>
    </cfRule>
    <cfRule type="cellIs" dxfId="1378" priority="20" stopIfTrue="1" operator="lessThanOrEqual">
      <formula>0</formula>
    </cfRule>
  </conditionalFormatting>
  <conditionalFormatting sqref="H57:I57">
    <cfRule type="cellIs" dxfId="1377" priority="90" stopIfTrue="1" operator="greaterThan">
      <formula>$F$24</formula>
    </cfRule>
    <cfRule type="cellIs" dxfId="1376" priority="93" stopIfTrue="1" operator="lessThanOrEqual">
      <formula>0</formula>
    </cfRule>
  </conditionalFormatting>
  <conditionalFormatting sqref="H58:I58">
    <cfRule type="cellIs" dxfId="1375" priority="60" stopIfTrue="1" operator="greaterThan">
      <formula>$F$70</formula>
    </cfRule>
    <cfRule type="cellIs" dxfId="1374" priority="63" stopIfTrue="1" operator="lessThanOrEqual">
      <formula>0</formula>
    </cfRule>
  </conditionalFormatting>
  <conditionalFormatting sqref="H59:I60">
    <cfRule type="cellIs" dxfId="1373" priority="76" stopIfTrue="1" operator="greaterThan">
      <formula>#REF!</formula>
    </cfRule>
    <cfRule type="cellIs" dxfId="1372" priority="79" stopIfTrue="1" operator="lessThanOrEqual">
      <formula>0</formula>
    </cfRule>
  </conditionalFormatting>
  <conditionalFormatting sqref="H61:I61">
    <cfRule type="cellIs" dxfId="1371" priority="108" stopIfTrue="1" operator="lessThanOrEqual">
      <formula>0</formula>
    </cfRule>
    <cfRule type="cellIs" dxfId="1370" priority="105" stopIfTrue="1" operator="greaterThan">
      <formula>$F$39</formula>
    </cfRule>
  </conditionalFormatting>
  <conditionalFormatting sqref="H62:I63">
    <cfRule type="cellIs" dxfId="1369" priority="46" stopIfTrue="1" operator="greaterThan">
      <formula>#REF!</formula>
    </cfRule>
    <cfRule type="cellIs" dxfId="1368" priority="49" stopIfTrue="1" operator="lessThanOrEqual">
      <formula>0</formula>
    </cfRule>
  </conditionalFormatting>
  <conditionalFormatting sqref="H76:I76">
    <cfRule type="cellIs" dxfId="1367" priority="131" stopIfTrue="1" operator="lessThanOrEqual">
      <formula>0</formula>
    </cfRule>
    <cfRule type="cellIs" dxfId="1366" priority="130" stopIfTrue="1" operator="greaterThan">
      <formula>$J76</formula>
    </cfRule>
  </conditionalFormatting>
  <conditionalFormatting sqref="I56">
    <cfRule type="cellIs" dxfId="1365" priority="22" stopIfTrue="1" operator="lessThanOrEqual">
      <formula>0</formula>
    </cfRule>
    <cfRule type="cellIs" dxfId="1364" priority="21" stopIfTrue="1" operator="greaterThan">
      <formula>$F$71</formula>
    </cfRule>
    <cfRule type="cellIs" dxfId="1363" priority="26" stopIfTrue="1" operator="lessThanOrEqual">
      <formula>0</formula>
    </cfRule>
    <cfRule type="cellIs" dxfId="1362" priority="25" stopIfTrue="1" operator="greaterThan">
      <formula>$F$71</formula>
    </cfRule>
    <cfRule type="cellIs" dxfId="1361" priority="23" stopIfTrue="1" operator="greaterThan">
      <formula>$F$73</formula>
    </cfRule>
    <cfRule type="cellIs" dxfId="1360" priority="24" stopIfTrue="1" operator="lessThanOrEqual">
      <formula>0</formula>
    </cfRule>
  </conditionalFormatting>
  <conditionalFormatting sqref="I57">
    <cfRule type="cellIs" dxfId="1359" priority="97" stopIfTrue="1" operator="lessThanOrEqual">
      <formula>0</formula>
    </cfRule>
    <cfRule type="cellIs" dxfId="1358" priority="98" stopIfTrue="1" operator="greaterThan">
      <formula>#REF!</formula>
    </cfRule>
    <cfRule type="cellIs" dxfId="1357" priority="99" stopIfTrue="1" operator="lessThanOrEqual">
      <formula>0</formula>
    </cfRule>
    <cfRule type="cellIs" dxfId="1356" priority="94" stopIfTrue="1" operator="greaterThan">
      <formula>#REF!</formula>
    </cfRule>
    <cfRule type="cellIs" dxfId="1355" priority="95" stopIfTrue="1" operator="lessThanOrEqual">
      <formula>0</formula>
    </cfRule>
    <cfRule type="cellIs" dxfId="1354" priority="96" stopIfTrue="1" operator="greaterThan">
      <formula>$F$24</formula>
    </cfRule>
  </conditionalFormatting>
  <conditionalFormatting sqref="I58">
    <cfRule type="cellIs" dxfId="1353" priority="69" stopIfTrue="1" operator="lessThanOrEqual">
      <formula>0</formula>
    </cfRule>
    <cfRule type="cellIs" dxfId="1352" priority="67" stopIfTrue="1" operator="lessThanOrEqual">
      <formula>0</formula>
    </cfRule>
    <cfRule type="cellIs" dxfId="1351" priority="66" stopIfTrue="1" operator="greaterThan">
      <formula>$F$70</formula>
    </cfRule>
    <cfRule type="cellIs" dxfId="1350" priority="65" stopIfTrue="1" operator="lessThanOrEqual">
      <formula>0</formula>
    </cfRule>
    <cfRule type="cellIs" dxfId="1349" priority="64" stopIfTrue="1" operator="greaterThan">
      <formula>$F$68</formula>
    </cfRule>
    <cfRule type="cellIs" dxfId="1348" priority="68" stopIfTrue="1" operator="greaterThan">
      <formula>$F$68</formula>
    </cfRule>
  </conditionalFormatting>
  <conditionalFormatting sqref="I59:I60">
    <cfRule type="cellIs" dxfId="1347" priority="85" stopIfTrue="1" operator="lessThanOrEqual">
      <formula>0</formula>
    </cfRule>
    <cfRule type="cellIs" dxfId="1346" priority="84" stopIfTrue="1" operator="greaterThan">
      <formula>#REF!</formula>
    </cfRule>
    <cfRule type="cellIs" dxfId="1345" priority="83" stopIfTrue="1" operator="lessThanOrEqual">
      <formula>0</formula>
    </cfRule>
    <cfRule type="cellIs" dxfId="1344" priority="80" stopIfTrue="1" operator="greaterThan">
      <formula>#REF!</formula>
    </cfRule>
    <cfRule type="cellIs" dxfId="1343" priority="82" stopIfTrue="1" operator="greaterThan">
      <formula>#REF!</formula>
    </cfRule>
    <cfRule type="cellIs" dxfId="1342" priority="81" stopIfTrue="1" operator="lessThanOrEqual">
      <formula>0</formula>
    </cfRule>
  </conditionalFormatting>
  <conditionalFormatting sqref="I61">
    <cfRule type="cellIs" dxfId="1341" priority="114" stopIfTrue="1" operator="lessThanOrEqual">
      <formula>0</formula>
    </cfRule>
    <cfRule type="cellIs" dxfId="1340" priority="113" stopIfTrue="1" operator="greaterThan">
      <formula>$F$37</formula>
    </cfRule>
    <cfRule type="cellIs" dxfId="1339" priority="112" stopIfTrue="1" operator="lessThanOrEqual">
      <formula>0</formula>
    </cfRule>
    <cfRule type="cellIs" dxfId="1338" priority="111" stopIfTrue="1" operator="greaterThan">
      <formula>$F$39</formula>
    </cfRule>
    <cfRule type="cellIs" dxfId="1337" priority="110" stopIfTrue="1" operator="lessThanOrEqual">
      <formula>0</formula>
    </cfRule>
    <cfRule type="cellIs" dxfId="1336" priority="109" stopIfTrue="1" operator="greaterThan">
      <formula>$F$37</formula>
    </cfRule>
  </conditionalFormatting>
  <conditionalFormatting sqref="I62:I63">
    <cfRule type="cellIs" dxfId="1335" priority="52" stopIfTrue="1" operator="greaterThan">
      <formula>#REF!</formula>
    </cfRule>
    <cfRule type="cellIs" dxfId="1334" priority="53" stopIfTrue="1" operator="lessThanOrEqual">
      <formula>0</formula>
    </cfRule>
    <cfRule type="cellIs" dxfId="1333" priority="54" stopIfTrue="1" operator="greaterThan">
      <formula>#REF!</formula>
    </cfRule>
    <cfRule type="cellIs" dxfId="1332" priority="55" stopIfTrue="1" operator="lessThanOrEqual">
      <formula>0</formula>
    </cfRule>
    <cfRule type="cellIs" dxfId="1331" priority="50" stopIfTrue="1" operator="greaterThan">
      <formula>#REF!</formula>
    </cfRule>
    <cfRule type="cellIs" dxfId="1330" priority="51" stopIfTrue="1" operator="lessThanOrEqual">
      <formula>0</formula>
    </cfRule>
  </conditionalFormatting>
  <conditionalFormatting sqref="I67:I75">
    <cfRule type="cellIs" dxfId="1329" priority="142" stopIfTrue="1" operator="lessThanOrEqual">
      <formula>0</formula>
    </cfRule>
    <cfRule type="cellIs" dxfId="1328" priority="141" stopIfTrue="1" operator="greaterThan">
      <formula>$J67</formula>
    </cfRule>
  </conditionalFormatting>
  <conditionalFormatting sqref="I78:I86">
    <cfRule type="cellIs" dxfId="1327" priority="165" stopIfTrue="1" operator="greaterThan">
      <formula>4.5</formula>
    </cfRule>
    <cfRule type="cellIs" dxfId="1326" priority="166" stopIfTrue="1" operator="lessThanOrEqual">
      <formula>0</formula>
    </cfRule>
  </conditionalFormatting>
  <conditionalFormatting sqref="I10:J24">
    <cfRule type="cellIs" dxfId="1325" priority="5" operator="lessThan">
      <formula>97.9</formula>
    </cfRule>
  </conditionalFormatting>
  <conditionalFormatting sqref="J28:J29">
    <cfRule type="cellIs" dxfId="1324" priority="122" operator="lessThan">
      <formula>98</formula>
    </cfRule>
    <cfRule type="cellIs" dxfId="1323" priority="121" stopIfTrue="1" operator="greaterThan">
      <formula>100</formula>
    </cfRule>
    <cfRule type="cellIs" dxfId="1322" priority="120" stopIfTrue="1" operator="lessThan">
      <formula>96.8</formula>
    </cfRule>
  </conditionalFormatting>
  <conditionalFormatting sqref="J28:J31">
    <cfRule type="cellIs" dxfId="1321" priority="119" operator="lessThan">
      <formula>97.4</formula>
    </cfRule>
  </conditionalFormatting>
  <conditionalFormatting sqref="J32:J33">
    <cfRule type="cellIs" dxfId="1320" priority="123" operator="lessThan">
      <formula>98</formula>
    </cfRule>
  </conditionalFormatting>
  <conditionalFormatting sqref="J34:J35">
    <cfRule type="cellIs" dxfId="1319" priority="124" stopIfTrue="1" operator="lessThan">
      <formula>96.8</formula>
    </cfRule>
    <cfRule type="cellIs" dxfId="1318" priority="125" stopIfTrue="1" operator="greaterThan">
      <formula>100</formula>
    </cfRule>
  </conditionalFormatting>
  <conditionalFormatting sqref="J34:J36">
    <cfRule type="cellIs" dxfId="1317" priority="126" operator="lessThan">
      <formula>98</formula>
    </cfRule>
  </conditionalFormatting>
  <conditionalFormatting sqref="J63">
    <cfRule type="cellIs" dxfId="1316" priority="45" stopIfTrue="1" operator="lessThanOrEqual">
      <formula>0</formula>
    </cfRule>
    <cfRule type="cellIs" dxfId="1315" priority="44" stopIfTrue="1" operator="greaterThan">
      <formula>#REF!</formula>
    </cfRule>
    <cfRule type="cellIs" dxfId="1314" priority="43" stopIfTrue="1" operator="lessThanOrEqual">
      <formula>0</formula>
    </cfRule>
    <cfRule type="cellIs" dxfId="1313" priority="42" stopIfTrue="1" operator="greaterThan">
      <formula>#REF!</formula>
    </cfRule>
    <cfRule type="cellIs" dxfId="1312" priority="41" stopIfTrue="1" operator="lessThanOrEqual">
      <formula>0</formula>
    </cfRule>
    <cfRule type="cellIs" dxfId="1311" priority="40" stopIfTrue="1" operator="greaterThan">
      <formula>#REF!</formula>
    </cfRule>
    <cfRule type="cellIs" dxfId="1310" priority="39" stopIfTrue="1" operator="lessThanOrEqual">
      <formula>0</formula>
    </cfRule>
    <cfRule type="cellIs" dxfId="1309" priority="38" stopIfTrue="1" operator="greaterThan">
      <formula>#REF!</formula>
    </cfRule>
  </conditionalFormatting>
  <conditionalFormatting sqref="J76">
    <cfRule type="cellIs" dxfId="1308" priority="127" stopIfTrue="1" operator="greaterThan">
      <formula>$F76</formula>
    </cfRule>
    <cfRule type="cellIs" dxfId="1307" priority="128" stopIfTrue="1" operator="lessThanOrEqual">
      <formula>0</formula>
    </cfRule>
  </conditionalFormatting>
  <conditionalFormatting sqref="K10:K24">
    <cfRule type="cellIs" dxfId="1306" priority="8" operator="greaterThan">
      <formula>6.4</formula>
    </cfRule>
    <cfRule type="cellIs" dxfId="1305" priority="7" operator="lessThan">
      <formula>4</formula>
    </cfRule>
    <cfRule type="cellIs" dxfId="1304" priority="6" operator="greaterThan">
      <formula>6</formula>
    </cfRule>
  </conditionalFormatting>
  <conditionalFormatting sqref="K56:K63 K67:N73 K74 M74:N74 K75:N75">
    <cfRule type="cellIs" dxfId="1303" priority="104" stopIfTrue="1" operator="lessThan">
      <formula>100%</formula>
    </cfRule>
  </conditionalFormatting>
  <conditionalFormatting sqref="K78:K83">
    <cfRule type="cellIs" dxfId="1302" priority="171" stopIfTrue="1" operator="lessThan">
      <formula>100%</formula>
    </cfRule>
  </conditionalFormatting>
  <conditionalFormatting sqref="K85:K86">
    <cfRule type="cellIs" dxfId="1301" priority="178" stopIfTrue="1" operator="lessThan">
      <formula>100%</formula>
    </cfRule>
  </conditionalFormatting>
  <conditionalFormatting sqref="L10:L24">
    <cfRule type="cellIs" dxfId="1300" priority="10" operator="greaterThan">
      <formula>65</formula>
    </cfRule>
    <cfRule type="cellIs" dxfId="1299" priority="9" operator="between">
      <formula>61</formula>
      <formula>65</formula>
    </cfRule>
  </conditionalFormatting>
  <conditionalFormatting sqref="L27:M38">
    <cfRule type="cellIs" dxfId="1298" priority="15" operator="lessThan">
      <formula>97.95</formula>
    </cfRule>
  </conditionalFormatting>
  <conditionalFormatting sqref="L42:N42">
    <cfRule type="cellIs" dxfId="1297" priority="16" operator="notEqual">
      <formula>#REF!</formula>
    </cfRule>
  </conditionalFormatting>
  <conditionalFormatting sqref="L76:N76">
    <cfRule type="cellIs" dxfId="1296" priority="129" stopIfTrue="1" operator="lessThan">
      <formula>100%</formula>
    </cfRule>
  </conditionalFormatting>
  <conditionalFormatting sqref="L78:N86">
    <cfRule type="cellIs" dxfId="1295" priority="156" stopIfTrue="1" operator="lessThan">
      <formula>100%</formula>
    </cfRule>
  </conditionalFormatting>
  <conditionalFormatting sqref="M10:M23">
    <cfRule type="expression" dxfId="1294" priority="2">
      <formula>IF(+(IF(M10&lt;U10,0,IF(M10&gt;V10,0,1)))=0,1)</formula>
    </cfRule>
  </conditionalFormatting>
  <conditionalFormatting sqref="M24:N24">
    <cfRule type="expression" dxfId="1293" priority="186">
      <formula>IF(+(IF(M24&lt;#REF!,0,IF(M24&gt;#REF!,0,1)))=0,1)</formula>
    </cfRule>
  </conditionalFormatting>
  <conditionalFormatting sqref="N10:N23">
    <cfRule type="expression" dxfId="1292" priority="4">
      <formula>IF(+(IF(N10&lt;W10,0,IF(N10&gt;X10,0,1)))=0,1)</formula>
    </cfRule>
  </conditionalFormatting>
  <conditionalFormatting sqref="P6">
    <cfRule type="cellIs" dxfId="1291" priority="152" operator="greaterThanOrEqual">
      <formula>19</formula>
    </cfRule>
  </conditionalFormatting>
  <dataValidations disablePrompts="1" count="1">
    <dataValidation type="list" allowBlank="1" showInputMessage="1" showErrorMessage="1" sqref="R8" xr:uid="{0A5D04B3-3ED5-44DC-9CCB-098C18DE814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8F31-B3DD-43BF-8FDA-6C294557C49F}">
  <sheetPr>
    <pageSetUpPr fitToPage="1"/>
  </sheetPr>
  <dimension ref="A1:BE76"/>
  <sheetViews>
    <sheetView topLeftCell="A5" zoomScale="80" zoomScaleNormal="80" workbookViewId="0">
      <selection activeCell="K30" sqref="K3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46013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4"/>
      <c r="C10" s="366"/>
      <c r="D10" s="279"/>
      <c r="E10" s="279"/>
      <c r="F10" s="278"/>
      <c r="G10" s="279"/>
      <c r="H10" s="396"/>
      <c r="I10" s="488"/>
      <c r="J10" s="488"/>
      <c r="K10" s="493"/>
      <c r="L10" s="276"/>
      <c r="M10" s="374"/>
      <c r="N10" s="370"/>
      <c r="O10" s="420"/>
      <c r="P10" s="418"/>
      <c r="R10" s="277">
        <f t="shared" ref="R10:R38" si="0">B10</f>
        <v>0</v>
      </c>
      <c r="S10" s="475" t="e">
        <f t="shared" ref="S10:S38" si="1">VLOOKUP($B10,$R$3:$X$9,2,FALSE)</f>
        <v>#N/A</v>
      </c>
      <c r="T10" s="475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475" t="e">
        <f t="shared" ref="Z10:Z38" si="8">VLOOKUP($B10,$R$3:$Z$9,9,FALSE)</f>
        <v>#N/A</v>
      </c>
    </row>
    <row r="11" spans="2:29" ht="16.5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475" t="e">
        <f t="shared" si="1"/>
        <v>#N/A</v>
      </c>
      <c r="T11" s="475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5" t="e">
        <f t="shared" si="8"/>
        <v>#N/A</v>
      </c>
    </row>
    <row r="12" spans="2:29" ht="16.5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475" t="e">
        <f t="shared" si="1"/>
        <v>#N/A</v>
      </c>
      <c r="T12" s="475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5" t="e">
        <f t="shared" si="8"/>
        <v>#N/A</v>
      </c>
    </row>
    <row r="13" spans="2:29" ht="16.5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5" t="e">
        <f t="shared" si="1"/>
        <v>#N/A</v>
      </c>
      <c r="T13" s="475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5" t="e">
        <f t="shared" si="8"/>
        <v>#N/A</v>
      </c>
    </row>
    <row r="14" spans="2:29" ht="16.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5.75" customHeight="1" thickBot="1">
      <c r="B26" s="388" t="s">
        <v>162</v>
      </c>
      <c r="C26" s="388"/>
      <c r="D26" s="506" t="s">
        <v>35</v>
      </c>
      <c r="E26" s="50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5" customHeight="1">
      <c r="A27" s="28"/>
      <c r="B27" s="529"/>
      <c r="C27" s="362"/>
      <c r="D27" s="532"/>
      <c r="E27" s="533"/>
      <c r="F27" s="294"/>
      <c r="G27" s="294"/>
      <c r="H27" s="348"/>
      <c r="I27" s="29" t="s">
        <v>6</v>
      </c>
      <c r="J27" s="280"/>
      <c r="K27" s="284">
        <f>COUNTA([23]Brewhouse!$A$1005:$A$1026)</f>
        <v>22</v>
      </c>
      <c r="L27" s="305">
        <f>AVERAGE([23]Brewhouse!$AU$1005:$AU$1026)</f>
        <v>98.810662473067381</v>
      </c>
      <c r="M2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5" customHeight="1">
      <c r="A28" s="28"/>
      <c r="B28" s="530"/>
      <c r="C28" s="362"/>
      <c r="D28" s="534"/>
      <c r="E28" s="535"/>
      <c r="F28" s="294"/>
      <c r="G28" s="294"/>
      <c r="H28" s="348"/>
      <c r="I28" s="33" t="s">
        <v>9</v>
      </c>
      <c r="J28" s="280"/>
      <c r="K28" s="284">
        <f>COUNTA([24]Brewhouse!$A$486:$A$523)</f>
        <v>38</v>
      </c>
      <c r="L28" s="302">
        <f>AVERAGE([24]Brewhouse!$AS$486:$AS$523)</f>
        <v>97.091279048572574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30"/>
      <c r="C29" s="362"/>
      <c r="D29" s="580"/>
      <c r="E29" s="581"/>
      <c r="F29" s="294"/>
      <c r="G29" s="294"/>
      <c r="H29" s="348"/>
      <c r="I29" s="34" t="s">
        <v>12</v>
      </c>
      <c r="J29" s="280"/>
      <c r="K29" s="284">
        <f>COUNTA([25]Brewhouse!$A$125:$A$132)</f>
        <v>8</v>
      </c>
      <c r="L29" s="302">
        <f>AVERAGE([25]Brewhouse!$AU$125:$AU$132)</f>
        <v>96.474285660381511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30"/>
      <c r="C30" s="362"/>
      <c r="D30" s="547"/>
      <c r="E30" s="535"/>
      <c r="F30" s="294"/>
      <c r="G30" s="294"/>
      <c r="H30" s="348"/>
      <c r="I30" s="22" t="s">
        <v>33</v>
      </c>
      <c r="J30" s="280"/>
      <c r="K30" s="284">
        <f>COUNTA([22]Brewhouse!$A$107:$A$122)</f>
        <v>16</v>
      </c>
      <c r="L30" s="302">
        <f>AVERAGE([22]Brewhouse!$AV$107:$AV$122)</f>
        <v>96.593037676437092</v>
      </c>
      <c r="M3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7" ht="14.65" customHeight="1">
      <c r="A31" s="28"/>
      <c r="B31" s="530"/>
      <c r="C31" s="362"/>
      <c r="D31" s="580"/>
      <c r="E31" s="581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7" ht="14.65" customHeight="1">
      <c r="A32" s="28"/>
      <c r="B32" s="530"/>
      <c r="C32" s="362"/>
      <c r="D32" s="547"/>
      <c r="E32" s="535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30"/>
      <c r="C33" s="362"/>
      <c r="D33" s="580"/>
      <c r="E33" s="581"/>
      <c r="F33" s="417"/>
      <c r="G33" s="294"/>
      <c r="H33" s="348"/>
      <c r="I33" s="37" t="s">
        <v>16</v>
      </c>
      <c r="J33" s="323"/>
      <c r="K33" s="284">
        <f>COUNTA([27]Brewhouse!$A$99:$A$116)</f>
        <v>18</v>
      </c>
      <c r="L33" s="302">
        <f>AVERAGE([27]Brewhouse!$AY$99:$AY$116)</f>
        <v>97.377797632485397</v>
      </c>
      <c r="M3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3" s="30">
        <v>98</v>
      </c>
      <c r="O33" s="11"/>
      <c r="P33" s="31" t="s">
        <v>41</v>
      </c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4.65" customHeight="1">
      <c r="A34" s="28"/>
      <c r="B34" s="530"/>
      <c r="C34" s="362"/>
      <c r="D34" s="547"/>
      <c r="E34" s="535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530"/>
      <c r="C35" s="349"/>
      <c r="D35" s="580"/>
      <c r="E35" s="581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" customHeight="1" thickBot="1">
      <c r="A36" s="28"/>
      <c r="B36" s="530"/>
      <c r="C36" s="349"/>
      <c r="D36" s="547"/>
      <c r="E36" s="535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" customHeight="1" thickBot="1">
      <c r="A37" s="28"/>
      <c r="B37" s="530"/>
      <c r="C37" s="349"/>
      <c r="D37" s="532"/>
      <c r="E37" s="533"/>
      <c r="F37" s="294"/>
      <c r="G37" s="294"/>
      <c r="H37" s="348"/>
      <c r="I37" s="1"/>
      <c r="J37" s="39"/>
      <c r="K37" s="404">
        <f>SUM(K27:K36)</f>
        <v>102</v>
      </c>
      <c r="L37" s="405">
        <f>((L27*K27)+(L28*K28)+(L29*K29)+(L30*K30)+(L31*K31)+(K34*L34)+(L32*K32)+(L33*K33)+(L36*K36))/(K37)</f>
        <v>97.386141409255103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97.556564380607298</v>
      </c>
      <c r="N37" s="4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.75" thickBot="1">
      <c r="B38" s="605"/>
      <c r="C38" s="350"/>
      <c r="D38" s="534"/>
      <c r="E38" s="53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.75" thickBot="1">
      <c r="B39" s="587"/>
      <c r="C39" s="362"/>
      <c r="D39" s="545"/>
      <c r="E39" s="546"/>
      <c r="F39" s="294"/>
      <c r="G39" s="42"/>
      <c r="H39" s="41"/>
      <c r="I39" s="42"/>
      <c r="J39" s="579" t="s">
        <v>129</v>
      </c>
      <c r="K39" s="579"/>
      <c r="L39" s="294"/>
      <c r="M39" s="294"/>
      <c r="N39" s="294"/>
      <c r="O39" s="294"/>
      <c r="P39" s="12"/>
    </row>
    <row r="40" spans="1:56" ht="15.75" thickBot="1">
      <c r="B40" s="588"/>
      <c r="C40" s="362"/>
      <c r="D40" s="547"/>
      <c r="E40" s="535"/>
      <c r="F40" s="294"/>
      <c r="G40" s="42"/>
      <c r="H40" s="42"/>
      <c r="I40" s="42"/>
      <c r="J40" s="292" t="s">
        <v>17</v>
      </c>
      <c r="K40" s="293" t="s">
        <v>147</v>
      </c>
      <c r="L40" s="549" t="s">
        <v>136</v>
      </c>
      <c r="M40" s="549"/>
      <c r="N40" s="550"/>
      <c r="O40" s="294"/>
      <c r="P40" s="12"/>
    </row>
    <row r="41" spans="1:56" ht="15" customHeight="1" thickBot="1">
      <c r="B41" s="588"/>
      <c r="C41" s="349"/>
      <c r="D41" s="580"/>
      <c r="E41" s="581"/>
      <c r="F41" s="294"/>
      <c r="G41" s="42"/>
      <c r="H41" s="42"/>
      <c r="I41" s="42"/>
      <c r="J41" s="287" t="s">
        <v>6</v>
      </c>
      <c r="K41" s="324"/>
      <c r="L41" s="476" t="s">
        <v>37</v>
      </c>
      <c r="M41" s="477" t="s">
        <v>38</v>
      </c>
      <c r="N41" s="477" t="s">
        <v>84</v>
      </c>
      <c r="O41" s="294"/>
      <c r="P41" s="12"/>
    </row>
    <row r="42" spans="1:56" ht="15.75" customHeight="1" thickBot="1">
      <c r="B42" s="588"/>
      <c r="C42" s="349"/>
      <c r="D42" s="547"/>
      <c r="E42" s="535"/>
      <c r="F42" s="294"/>
      <c r="G42" s="42"/>
      <c r="H42" s="42"/>
      <c r="I42" s="42"/>
      <c r="J42" s="345" t="s">
        <v>9</v>
      </c>
      <c r="K42" s="324"/>
      <c r="L42" s="344">
        <f>AVERAGE('Dec 1st'!K43,'Dec 2nd'!K49,'Dec 3rd '!K58,'Dec 4th'!K51,'Dec 5th-7th'!I70,'Dec 5th-7th'!J70,'Dec 5th-7th'!K70,'Dec 8th '!K49,'Dec 9th'!K49,'Dec 19th'!K51,'Dec 11th'!K53,'Dec 12th-14th'!K44,'Dec 10th'!K61,'Dec 15th'!K49,'Dec 16th'!K54,'Dec 17th '!K48,'Dec 18th '!K51)</f>
        <v>6.375</v>
      </c>
      <c r="M42" s="325">
        <f>AVERAGE('[31]Jan 29th '!$M$70,'[32]Feb 28th'!$L$40,'[33]Mar. 31st'!$L$40,'[34]Apr. 30th'!$L$50,'[35]May 30th'!$L$42,'[36]June 30th'!$L$62,'[37]July 29th '!$L$49,'[38]Aug 29th'!$L$34,'[39]Sept 30th'!$L$40,[40]Oct.31st!$L$43,'[41]Nov 28th-30th'!$L$45,L42)</f>
        <v>6.9207810845396658</v>
      </c>
      <c r="N42" s="416">
        <v>9.1999999999999993</v>
      </c>
      <c r="O42" s="294"/>
      <c r="P42" s="12"/>
    </row>
    <row r="43" spans="1:56" ht="15" customHeight="1">
      <c r="B43" s="588"/>
      <c r="C43" s="349"/>
      <c r="D43" s="580"/>
      <c r="E43" s="58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88"/>
      <c r="C44" s="349"/>
      <c r="D44" s="547"/>
      <c r="E44" s="53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88"/>
      <c r="C45" s="349"/>
      <c r="D45" s="580"/>
      <c r="E45" s="58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8"/>
      <c r="C46" s="349"/>
      <c r="D46" s="547"/>
      <c r="E46" s="53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8"/>
      <c r="C47" s="349"/>
      <c r="D47" s="580"/>
      <c r="E47" s="58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606"/>
      <c r="C48" s="350"/>
      <c r="D48" s="582"/>
      <c r="E48" s="583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7"/>
      <c r="E49" s="57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/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7" t="s">
        <v>17</v>
      </c>
      <c r="C54" s="557" t="s">
        <v>44</v>
      </c>
      <c r="D54" s="559" t="s">
        <v>45</v>
      </c>
      <c r="E54" s="514" t="s">
        <v>46</v>
      </c>
      <c r="F54" s="574" t="s">
        <v>47</v>
      </c>
      <c r="G54" s="568" t="s">
        <v>48</v>
      </c>
      <c r="H54" s="557" t="s">
        <v>49</v>
      </c>
      <c r="I54" s="557" t="s">
        <v>50</v>
      </c>
      <c r="J54" s="562" t="s">
        <v>28</v>
      </c>
      <c r="K54" s="512" t="s">
        <v>51</v>
      </c>
      <c r="L54" s="524" t="s">
        <v>52</v>
      </c>
      <c r="M54" s="562" t="s">
        <v>53</v>
      </c>
      <c r="N54" s="13"/>
      <c r="O54" s="13"/>
      <c r="P54" s="50"/>
    </row>
    <row r="55" spans="2:57" ht="28.5" customHeight="1" thickTop="1" thickBot="1">
      <c r="B55" s="558"/>
      <c r="C55" s="558"/>
      <c r="D55" s="560"/>
      <c r="E55" s="561"/>
      <c r="F55" s="575"/>
      <c r="G55" s="569"/>
      <c r="H55" s="576"/>
      <c r="I55" s="576"/>
      <c r="J55" s="563"/>
      <c r="K55" s="572"/>
      <c r="L55" s="573"/>
      <c r="M55" s="563"/>
      <c r="N55" s="13"/>
      <c r="O55" s="13"/>
      <c r="P55" s="50"/>
      <c r="Q55" s="355"/>
      <c r="AB55" s="478">
        <v>43474</v>
      </c>
      <c r="AC55" s="478">
        <v>43475</v>
      </c>
      <c r="AD55" s="478">
        <v>43476</v>
      </c>
      <c r="AE55" s="478">
        <v>43477</v>
      </c>
      <c r="AF55" s="478">
        <v>43478</v>
      </c>
      <c r="AG55" s="478">
        <v>43479</v>
      </c>
      <c r="AH55" s="478">
        <v>43480</v>
      </c>
      <c r="AI55" s="478">
        <v>43481</v>
      </c>
      <c r="AJ55" s="478">
        <v>43482</v>
      </c>
      <c r="AK55" s="478">
        <v>43483</v>
      </c>
      <c r="AL55" s="478">
        <v>43484</v>
      </c>
      <c r="AM55" s="478">
        <v>43485</v>
      </c>
      <c r="AN55" s="478">
        <v>43486</v>
      </c>
      <c r="AO55" s="478">
        <v>43487</v>
      </c>
      <c r="AP55" s="478">
        <v>43488</v>
      </c>
      <c r="AQ55" s="478">
        <v>43489</v>
      </c>
      <c r="AR55" s="478">
        <v>43490</v>
      </c>
      <c r="AS55" s="478">
        <v>43491</v>
      </c>
      <c r="AT55" s="478">
        <v>43492</v>
      </c>
      <c r="AU55" s="478">
        <v>43493</v>
      </c>
      <c r="AV55" s="478">
        <v>43494</v>
      </c>
      <c r="AW55" s="478">
        <v>43495</v>
      </c>
      <c r="AX55" s="478">
        <v>43496</v>
      </c>
    </row>
    <row r="56" spans="2:57" s="54" customFormat="1" ht="43.15" customHeight="1" thickBot="1">
      <c r="B56" s="494" t="str">
        <f>J45</f>
        <v>STARMALT</v>
      </c>
      <c r="C56" s="441">
        <v>46010</v>
      </c>
      <c r="D56" s="442">
        <f>[42]December_2025!$V$55</f>
        <v>407.34</v>
      </c>
      <c r="E56" s="443"/>
      <c r="F56" s="444"/>
      <c r="G56" s="444">
        <f>[42]December_2025!$V$59</f>
        <v>395.4</v>
      </c>
      <c r="H56" s="458"/>
      <c r="I56" s="458"/>
      <c r="J56" s="448" t="s">
        <v>173</v>
      </c>
      <c r="K56" s="449">
        <f>[43]December_2025!$V$53</f>
        <v>0.69368421052631579</v>
      </c>
      <c r="L56" s="486">
        <f>(((D56+E56)-G56)/(D56+E56))*100</f>
        <v>2.9312122551185738</v>
      </c>
      <c r="M56" s="455" t="s">
        <v>191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customHeight="1" thickBot="1">
      <c r="B57" s="46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customHeight="1" thickBot="1">
      <c r="B58" s="456" t="str">
        <f>J41</f>
        <v>CARIB</v>
      </c>
      <c r="C58" s="441">
        <v>46010</v>
      </c>
      <c r="D58" s="442">
        <f>[42]December_2025!$V$3</f>
        <v>68</v>
      </c>
      <c r="E58" s="443"/>
      <c r="F58" s="444"/>
      <c r="G58" s="445">
        <f>[42]December_2025!$V$7</f>
        <v>63</v>
      </c>
      <c r="H58" s="458"/>
      <c r="I58" s="458"/>
      <c r="J58" s="448" t="s">
        <v>173</v>
      </c>
      <c r="K58" s="460">
        <f>[43]December_2025!$V$18</f>
        <v>0.11052631578947368</v>
      </c>
      <c r="L58" s="457">
        <f>(((D58+E58)-G58)/(D58+E58))*100</f>
        <v>7.3529411764705888</v>
      </c>
      <c r="M58" s="455" t="s">
        <v>171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59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64" t="s">
        <v>55</v>
      </c>
      <c r="C65" s="565"/>
      <c r="D65" s="565"/>
      <c r="E65" s="565"/>
      <c r="F65" s="566"/>
      <c r="G65" s="564" t="s">
        <v>56</v>
      </c>
      <c r="H65" s="565"/>
      <c r="I65" s="565"/>
      <c r="J65" s="566"/>
      <c r="K65" s="564" t="s">
        <v>51</v>
      </c>
      <c r="L65" s="565"/>
      <c r="M65" s="565"/>
      <c r="N65" s="56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>
        <f>L58</f>
        <v>7.3529411764705888</v>
      </c>
      <c r="D67" s="76">
        <v>5.6682512610226015</v>
      </c>
      <c r="E67" s="76">
        <v>6.0480083733923014</v>
      </c>
      <c r="F67" s="66">
        <v>4.8</v>
      </c>
      <c r="G67" s="65">
        <f>[42]December_2025!$V$11</f>
        <v>9.371884346959126</v>
      </c>
      <c r="H67" s="491">
        <v>5.090977279622285</v>
      </c>
      <c r="I67" s="76">
        <v>5.948854905637841</v>
      </c>
      <c r="J67" s="66">
        <v>4.8</v>
      </c>
      <c r="K67" s="67">
        <f>K58</f>
        <v>0.11052631578947368</v>
      </c>
      <c r="L67" s="194">
        <v>0.36973684210526314</v>
      </c>
      <c r="M67" s="194">
        <v>0.70712630317254033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3.7387493356335928</v>
      </c>
      <c r="E68" s="76">
        <v>5.6055296612083989</v>
      </c>
      <c r="F68" s="66">
        <v>4.8</v>
      </c>
      <c r="G68" s="65"/>
      <c r="H68" s="76">
        <v>3.7805441587163839</v>
      </c>
      <c r="I68" s="76">
        <v>6.1012178283456002</v>
      </c>
      <c r="J68" s="66">
        <v>4.8</v>
      </c>
      <c r="K68" s="67"/>
      <c r="L68" s="194">
        <v>0.4079970760233918</v>
      </c>
      <c r="M68" s="194">
        <v>0.66778502418448049</v>
      </c>
      <c r="N68" s="68">
        <v>1</v>
      </c>
      <c r="P68" s="69"/>
    </row>
    <row r="69" spans="2:16" ht="15">
      <c r="B69" s="34" t="s">
        <v>40</v>
      </c>
      <c r="C69" s="65"/>
      <c r="D69" s="76">
        <v>12.618296529968443</v>
      </c>
      <c r="E69" s="76">
        <v>11.122539172358353</v>
      </c>
      <c r="F69" s="66">
        <v>5.5</v>
      </c>
      <c r="G69" s="65"/>
      <c r="H69" s="76">
        <v>12.288892572095527</v>
      </c>
      <c r="I69" s="76">
        <v>12.520142311925225</v>
      </c>
      <c r="J69" s="66">
        <v>5.5</v>
      </c>
      <c r="K69" s="67"/>
      <c r="L69" s="194">
        <v>0.31587719298245615</v>
      </c>
      <c r="M69" s="194">
        <v>0.50769967246157732</v>
      </c>
      <c r="N69" s="68">
        <v>1</v>
      </c>
      <c r="P69" s="69"/>
    </row>
    <row r="70" spans="2:16" ht="15">
      <c r="B70" s="22" t="s">
        <v>33</v>
      </c>
      <c r="C70" s="65"/>
      <c r="D70" s="76">
        <v>3.7426398119835098</v>
      </c>
      <c r="E70" s="76">
        <v>4.4918713689673408</v>
      </c>
      <c r="F70" s="66">
        <v>3.3</v>
      </c>
      <c r="G70" s="65"/>
      <c r="H70" s="76">
        <v>2.884540034691927</v>
      </c>
      <c r="I70" s="76">
        <v>4.189075062989712</v>
      </c>
      <c r="J70" s="66">
        <v>3.3</v>
      </c>
      <c r="K70" s="67"/>
      <c r="L70" s="194">
        <v>0.77900584795321637</v>
      </c>
      <c r="M70" s="194">
        <v>0.82191692466460264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>
        <f>L56</f>
        <v>2.9312122551185738</v>
      </c>
      <c r="D73" s="76">
        <v>2.192371331533558</v>
      </c>
      <c r="E73" s="76">
        <v>2.8003947928578476</v>
      </c>
      <c r="F73" s="66">
        <v>3.3</v>
      </c>
      <c r="G73" s="282">
        <f>[42]December_2025!$V$63</f>
        <v>3.5615290586567734</v>
      </c>
      <c r="H73" s="76">
        <v>5.3037545361325495</v>
      </c>
      <c r="I73" s="76">
        <v>4.4533241310026561</v>
      </c>
      <c r="J73" s="66">
        <v>3.3</v>
      </c>
      <c r="K73" s="67">
        <f>K56</f>
        <v>0.69368421052631579</v>
      </c>
      <c r="L73" s="194">
        <v>0.64058479532163748</v>
      </c>
      <c r="M73" s="194">
        <v>0.80904406538734908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4.993220558387006</v>
      </c>
      <c r="E76" s="76">
        <v>6.0306503981587971</v>
      </c>
      <c r="F76" s="341">
        <v>5.5</v>
      </c>
      <c r="H76" s="76">
        <v>5.2050554271373892</v>
      </c>
      <c r="I76" s="76">
        <v>6.4418321188339984</v>
      </c>
      <c r="J76" s="341">
        <v>5.5</v>
      </c>
      <c r="L76" s="194">
        <v>0.48234379809172051</v>
      </c>
      <c r="M76" s="194">
        <v>0.68877991940126659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290" priority="45" operator="notBetween">
      <formula>#REF!</formula>
      <formula>#REF!</formula>
    </cfRule>
  </conditionalFormatting>
  <conditionalFormatting sqref="C53">
    <cfRule type="cellIs" dxfId="1289" priority="191" stopIfTrue="1" operator="greaterThan">
      <formula>100</formula>
    </cfRule>
    <cfRule type="cellIs" dxfId="1288" priority="190" stopIfTrue="1" operator="lessThan">
      <formula>96</formula>
    </cfRule>
  </conditionalFormatting>
  <conditionalFormatting sqref="C67:C71">
    <cfRule type="cellIs" dxfId="1287" priority="144" stopIfTrue="1" operator="lessThanOrEqual">
      <formula>0</formula>
    </cfRule>
  </conditionalFormatting>
  <conditionalFormatting sqref="C67:C75">
    <cfRule type="cellIs" dxfId="1286" priority="143" stopIfTrue="1" operator="greaterThan">
      <formula>$F67</formula>
    </cfRule>
  </conditionalFormatting>
  <conditionalFormatting sqref="C68">
    <cfRule type="cellIs" dxfId="1285" priority="194" stopIfTrue="1" operator="greaterThan">
      <formula>$F67</formula>
    </cfRule>
  </conditionalFormatting>
  <conditionalFormatting sqref="C72">
    <cfRule type="cellIs" dxfId="1284" priority="83" stopIfTrue="1" operator="lessThanOrEqual">
      <formula>0</formula>
    </cfRule>
    <cfRule type="cellIs" dxfId="1283" priority="84" stopIfTrue="1" operator="greaterThan">
      <formula>$F71</formula>
    </cfRule>
  </conditionalFormatting>
  <conditionalFormatting sqref="C78:C82">
    <cfRule type="cellIs" dxfId="1282" priority="182" stopIfTrue="1" operator="lessThanOrEqual">
      <formula>0</formula>
    </cfRule>
  </conditionalFormatting>
  <conditionalFormatting sqref="C79:C82">
    <cfRule type="cellIs" dxfId="1281" priority="181" stopIfTrue="1" operator="greaterThan">
      <formula>$F$78</formula>
    </cfRule>
  </conditionalFormatting>
  <conditionalFormatting sqref="C84">
    <cfRule type="cellIs" dxfId="1280" priority="184" stopIfTrue="1" operator="lessThanOrEqual">
      <formula>0</formula>
    </cfRule>
    <cfRule type="cellIs" dxfId="1279" priority="183" stopIfTrue="1" operator="greaterThan">
      <formula>$F$78</formula>
    </cfRule>
  </conditionalFormatting>
  <conditionalFormatting sqref="C78:D78 D80:D86">
    <cfRule type="cellIs" dxfId="1278" priority="176" stopIfTrue="1" operator="greaterThan">
      <formula>4.5</formula>
    </cfRule>
  </conditionalFormatting>
  <conditionalFormatting sqref="D49:D50">
    <cfRule type="cellIs" dxfId="1277" priority="46" operator="notBetween">
      <formula>#REF!</formula>
      <formula>#REF!</formula>
    </cfRule>
  </conditionalFormatting>
  <conditionalFormatting sqref="D67:D74">
    <cfRule type="cellIs" dxfId="1276" priority="156" stopIfTrue="1" operator="lessThanOrEqual">
      <formula>0</formula>
    </cfRule>
  </conditionalFormatting>
  <conditionalFormatting sqref="D75">
    <cfRule type="cellIs" dxfId="1275" priority="155" stopIfTrue="1" operator="lessThanOrEqual">
      <formula>0</formula>
    </cfRule>
  </conditionalFormatting>
  <conditionalFormatting sqref="D78 D80:D86">
    <cfRule type="cellIs" dxfId="1274" priority="177" stopIfTrue="1" operator="lessThanOrEqual">
      <formula>0</formula>
    </cfRule>
  </conditionalFormatting>
  <conditionalFormatting sqref="D79">
    <cfRule type="cellIs" dxfId="1273" priority="168" stopIfTrue="1" operator="greaterThan">
      <formula>$F$78</formula>
    </cfRule>
    <cfRule type="cellIs" dxfId="1272" priority="169" stopIfTrue="1" operator="lessThanOrEqual">
      <formula>0</formula>
    </cfRule>
  </conditionalFormatting>
  <conditionalFormatting sqref="D67:E76">
    <cfRule type="cellIs" dxfId="1271" priority="141" stopIfTrue="1" operator="greaterThan">
      <formula>$F67</formula>
    </cfRule>
  </conditionalFormatting>
  <conditionalFormatting sqref="D76:E76">
    <cfRule type="cellIs" dxfId="1270" priority="142" stopIfTrue="1" operator="lessThanOrEqual">
      <formula>0</formula>
    </cfRule>
  </conditionalFormatting>
  <conditionalFormatting sqref="E10:E24">
    <cfRule type="cellIs" dxfId="1269" priority="6" operator="lessThan">
      <formula>48</formula>
    </cfRule>
  </conditionalFormatting>
  <conditionalFormatting sqref="E52 E53:F53">
    <cfRule type="cellIs" dxfId="1268" priority="173" stopIfTrue="1" operator="greaterThan">
      <formula>100</formula>
    </cfRule>
  </conditionalFormatting>
  <conditionalFormatting sqref="E53">
    <cfRule type="cellIs" dxfId="1267" priority="170" stopIfTrue="1" operator="lessThan">
      <formula>96.8</formula>
    </cfRule>
    <cfRule type="cellIs" dxfId="1266" priority="171" stopIfTrue="1" operator="greaterThan">
      <formula>100</formula>
    </cfRule>
  </conditionalFormatting>
  <conditionalFormatting sqref="E67:E75">
    <cfRule type="cellIs" dxfId="1265" priority="152" stopIfTrue="1" operator="lessThanOrEqual">
      <formula>0</formula>
    </cfRule>
  </conditionalFormatting>
  <conditionalFormatting sqref="E78:E86">
    <cfRule type="cellIs" dxfId="1264" priority="162" stopIfTrue="1" operator="greaterThan">
      <formula>4.5</formula>
    </cfRule>
    <cfRule type="cellIs" dxfId="1263" priority="163" stopIfTrue="1" operator="lessThanOrEqual">
      <formula>0</formula>
    </cfRule>
  </conditionalFormatting>
  <conditionalFormatting sqref="E53:F53 E52">
    <cfRule type="cellIs" dxfId="1262" priority="172" stopIfTrue="1" operator="lessThan">
      <formula>96.5</formula>
    </cfRule>
  </conditionalFormatting>
  <conditionalFormatting sqref="F10">
    <cfRule type="cellIs" dxfId="1261" priority="7" operator="greaterThan">
      <formula>60</formula>
    </cfRule>
  </conditionalFormatting>
  <conditionalFormatting sqref="F24">
    <cfRule type="cellIs" dxfId="1260" priority="23" operator="greaterThan">
      <formula>60</formula>
    </cfRule>
  </conditionalFormatting>
  <conditionalFormatting sqref="F53">
    <cfRule type="cellIs" dxfId="1259" priority="188" stopIfTrue="1" operator="lessThan">
      <formula>96.8</formula>
    </cfRule>
    <cfRule type="cellIs" dxfId="1258" priority="189" stopIfTrue="1" operator="greaterThan">
      <formula>100</formula>
    </cfRule>
  </conditionalFormatting>
  <conditionalFormatting sqref="F76">
    <cfRule type="cellIs" dxfId="1257" priority="154" stopIfTrue="1" operator="lessThanOrEqual">
      <formula>0</formula>
    </cfRule>
    <cfRule type="cellIs" dxfId="1256" priority="153" stopIfTrue="1" operator="greaterThan">
      <formula>$F76</formula>
    </cfRule>
  </conditionalFormatting>
  <conditionalFormatting sqref="G10:G23">
    <cfRule type="expression" dxfId="1255" priority="9">
      <formula>IF(+(IF(G10&lt;S10,0,IF(G10&gt;T10,0,1)))=0,1)</formula>
    </cfRule>
  </conditionalFormatting>
  <conditionalFormatting sqref="G67:G68 C73:C75">
    <cfRule type="cellIs" dxfId="1254" priority="158" stopIfTrue="1" operator="lessThanOrEqual">
      <formula>0</formula>
    </cfRule>
  </conditionalFormatting>
  <conditionalFormatting sqref="G67:G68">
    <cfRule type="cellIs" dxfId="1253" priority="145" stopIfTrue="1" operator="greaterThan">
      <formula>$F67</formula>
    </cfRule>
    <cfRule type="cellIs" dxfId="1252" priority="157" stopIfTrue="1" operator="greaterThan">
      <formula>$F67</formula>
    </cfRule>
    <cfRule type="cellIs" dxfId="1251" priority="146" stopIfTrue="1" operator="lessThanOrEqual">
      <formula>0</formula>
    </cfRule>
  </conditionalFormatting>
  <conditionalFormatting sqref="G69">
    <cfRule type="cellIs" dxfId="1250" priority="192" stopIfTrue="1" operator="greaterThan">
      <formula>$F68</formula>
    </cfRule>
    <cfRule type="cellIs" dxfId="1249" priority="193" stopIfTrue="1" operator="lessThanOrEqual">
      <formula>0</formula>
    </cfRule>
  </conditionalFormatting>
  <conditionalFormatting sqref="G70">
    <cfRule type="cellIs" dxfId="1248" priority="41" stopIfTrue="1" operator="greaterThan">
      <formula>$F70</formula>
    </cfRule>
    <cfRule type="cellIs" dxfId="1247" priority="42" stopIfTrue="1" operator="lessThanOrEqual">
      <formula>0</formula>
    </cfRule>
    <cfRule type="cellIs" dxfId="1246" priority="43" stopIfTrue="1" operator="greaterThan">
      <formula>$F70</formula>
    </cfRule>
    <cfRule type="cellIs" dxfId="1245" priority="44" stopIfTrue="1" operator="lessThanOrEqual">
      <formula>0</formula>
    </cfRule>
  </conditionalFormatting>
  <conditionalFormatting sqref="G71:G75">
    <cfRule type="cellIs" dxfId="1244" priority="159" stopIfTrue="1" operator="greaterThan">
      <formula>$J71</formula>
    </cfRule>
    <cfRule type="cellIs" dxfId="1243" priority="160" stopIfTrue="1" operator="lessThanOrEqual">
      <formula>0</formula>
    </cfRule>
  </conditionalFormatting>
  <conditionalFormatting sqref="G80:G85 C83 C85">
    <cfRule type="cellIs" dxfId="1242" priority="185" stopIfTrue="1" operator="greaterThan">
      <formula>4.5</formula>
    </cfRule>
    <cfRule type="cellIs" dxfId="1241" priority="186" stopIfTrue="1" operator="lessThanOrEqual">
      <formula>0</formula>
    </cfRule>
  </conditionalFormatting>
  <conditionalFormatting sqref="G24:H24">
    <cfRule type="expression" dxfId="1240" priority="40">
      <formula>IF(+(IF(G24&lt;#REF!,0,IF(G24&gt;#REF!,0,1)))=0,1)</formula>
    </cfRule>
  </conditionalFormatting>
  <conditionalFormatting sqref="G79:H79">
    <cfRule type="cellIs" dxfId="1239" priority="167" stopIfTrue="1" operator="lessThanOrEqual">
      <formula>0</formula>
    </cfRule>
    <cfRule type="cellIs" dxfId="1238" priority="166" stopIfTrue="1" operator="greaterThan">
      <formula>$F$78</formula>
    </cfRule>
  </conditionalFormatting>
  <conditionalFormatting sqref="H11:H23">
    <cfRule type="expression" dxfId="1237" priority="12">
      <formula>IF(+(IF(H11&lt;#REF!,0,IF(H11&gt;#REF!,0,1)))=0,1)</formula>
    </cfRule>
  </conditionalFormatting>
  <conditionalFormatting sqref="H38:H39 H52">
    <cfRule type="cellIs" dxfId="1236" priority="164" stopIfTrue="1" operator="greaterThan">
      <formula>0</formula>
    </cfRule>
  </conditionalFormatting>
  <conditionalFormatting sqref="H56">
    <cfRule type="cellIs" dxfId="1235" priority="36" stopIfTrue="1" operator="greaterThan">
      <formula>$F$74</formula>
    </cfRule>
    <cfRule type="cellIs" dxfId="1234" priority="28" stopIfTrue="1" operator="greaterThan">
      <formula>$F$71</formula>
    </cfRule>
    <cfRule type="cellIs" dxfId="1233" priority="27" stopIfTrue="1" operator="lessThanOrEqual">
      <formula>0</formula>
    </cfRule>
    <cfRule type="cellIs" dxfId="1232" priority="39" stopIfTrue="1" operator="lessThanOrEqual">
      <formula>0</formula>
    </cfRule>
    <cfRule type="cellIs" dxfId="1231" priority="38" stopIfTrue="1" operator="greaterThan">
      <formula>$F$72</formula>
    </cfRule>
    <cfRule type="cellIs" dxfId="1230" priority="37" stopIfTrue="1" operator="lessThanOrEqual">
      <formula>0</formula>
    </cfRule>
  </conditionalFormatting>
  <conditionalFormatting sqref="H57">
    <cfRule type="cellIs" dxfId="1229" priority="111" stopIfTrue="1" operator="greaterThan">
      <formula>#REF!</formula>
    </cfRule>
    <cfRule type="cellIs" dxfId="1228" priority="112" stopIfTrue="1" operator="lessThanOrEqual">
      <formula>0</formula>
    </cfRule>
    <cfRule type="cellIs" dxfId="1227" priority="110" stopIfTrue="1" operator="lessThanOrEqual">
      <formula>0</formula>
    </cfRule>
    <cfRule type="cellIs" dxfId="1226" priority="100" stopIfTrue="1" operator="lessThanOrEqual">
      <formula>0</formula>
    </cfRule>
    <cfRule type="cellIs" dxfId="1225" priority="101" stopIfTrue="1" operator="greaterThan">
      <formula>#REF!</formula>
    </cfRule>
    <cfRule type="cellIs" dxfId="1224" priority="109" stopIfTrue="1" operator="greaterThan">
      <formula>$F$25</formula>
    </cfRule>
  </conditionalFormatting>
  <conditionalFormatting sqref="H58">
    <cfRule type="cellIs" dxfId="1223" priority="70" stopIfTrue="1" operator="lessThanOrEqual">
      <formula>0</formula>
    </cfRule>
    <cfRule type="cellIs" dxfId="1222" priority="71" stopIfTrue="1" operator="greaterThan">
      <formula>$F$68</formula>
    </cfRule>
    <cfRule type="cellIs" dxfId="1221" priority="81" stopIfTrue="1" operator="greaterThan">
      <formula>$F$69</formula>
    </cfRule>
    <cfRule type="cellIs" dxfId="1220" priority="79" stopIfTrue="1" operator="greaterThan">
      <formula>$F$71</formula>
    </cfRule>
    <cfRule type="cellIs" dxfId="1219" priority="80" stopIfTrue="1" operator="lessThanOrEqual">
      <formula>0</formula>
    </cfRule>
    <cfRule type="cellIs" dxfId="1218" priority="82" stopIfTrue="1" operator="lessThanOrEqual">
      <formula>0</formula>
    </cfRule>
  </conditionalFormatting>
  <conditionalFormatting sqref="H59:H60">
    <cfRule type="cellIs" dxfId="1217" priority="96" stopIfTrue="1" operator="lessThanOrEqual">
      <formula>0</formula>
    </cfRule>
    <cfRule type="cellIs" dxfId="1216" priority="95" stopIfTrue="1" operator="greaterThan">
      <formula>$F$24</formula>
    </cfRule>
    <cfRule type="cellIs" dxfId="1215" priority="87" stopIfTrue="1" operator="greaterThan">
      <formula>#REF!</formula>
    </cfRule>
    <cfRule type="cellIs" dxfId="1214" priority="86" stopIfTrue="1" operator="lessThanOrEqual">
      <formula>0</formula>
    </cfRule>
    <cfRule type="cellIs" dxfId="1213" priority="97" stopIfTrue="1" operator="greaterThan">
      <formula>#REF!</formula>
    </cfRule>
    <cfRule type="cellIs" dxfId="1212" priority="98" stopIfTrue="1" operator="lessThanOrEqual">
      <formula>0</formula>
    </cfRule>
  </conditionalFormatting>
  <conditionalFormatting sqref="H61">
    <cfRule type="cellIs" dxfId="1211" priority="115" stopIfTrue="1" operator="lessThanOrEqual">
      <formula>0</formula>
    </cfRule>
    <cfRule type="cellIs" dxfId="1210" priority="126" stopIfTrue="1" operator="greaterThan">
      <formula>$F$38</formula>
    </cfRule>
    <cfRule type="cellIs" dxfId="1209" priority="127" stopIfTrue="1" operator="lessThanOrEqual">
      <formula>0</formula>
    </cfRule>
    <cfRule type="cellIs" dxfId="1208" priority="125" stopIfTrue="1" operator="lessThanOrEqual">
      <formula>0</formula>
    </cfRule>
    <cfRule type="cellIs" dxfId="1207" priority="124" stopIfTrue="1" operator="greaterThan">
      <formula>$F$40</formula>
    </cfRule>
    <cfRule type="cellIs" dxfId="1206" priority="116" stopIfTrue="1" operator="greaterThan">
      <formula>$F$37</formula>
    </cfRule>
  </conditionalFormatting>
  <conditionalFormatting sqref="H62:H63">
    <cfRule type="cellIs" dxfId="1205" priority="66" stopIfTrue="1" operator="lessThanOrEqual">
      <formula>0</formula>
    </cfRule>
    <cfRule type="cellIs" dxfId="1204" priority="56" stopIfTrue="1" operator="lessThanOrEqual">
      <formula>0</formula>
    </cfRule>
    <cfRule type="cellIs" dxfId="1203" priority="57" stopIfTrue="1" operator="greaterThan">
      <formula>#REF!</formula>
    </cfRule>
    <cfRule type="cellIs" dxfId="1202" priority="68" stopIfTrue="1" operator="lessThanOrEqual">
      <formula>0</formula>
    </cfRule>
    <cfRule type="cellIs" dxfId="1201" priority="67" stopIfTrue="1" operator="greaterThan">
      <formula>#REF!</formula>
    </cfRule>
    <cfRule type="cellIs" dxfId="1200" priority="65" stopIfTrue="1" operator="greaterThan">
      <formula>$F$24</formula>
    </cfRule>
  </conditionalFormatting>
  <conditionalFormatting sqref="H67:H74">
    <cfRule type="cellIs" dxfId="1199" priority="147" stopIfTrue="1" operator="greaterThan">
      <formula>$J67</formula>
    </cfRule>
    <cfRule type="cellIs" dxfId="1198" priority="148" stopIfTrue="1" operator="lessThanOrEqual">
      <formula>0</formula>
    </cfRule>
  </conditionalFormatting>
  <conditionalFormatting sqref="H75">
    <cfRule type="cellIs" dxfId="1197" priority="149" operator="greaterThan">
      <formula>5.3</formula>
    </cfRule>
  </conditionalFormatting>
  <conditionalFormatting sqref="H78 H80:H86">
    <cfRule type="cellIs" dxfId="1196" priority="179" stopIfTrue="1" operator="lessThanOrEqual">
      <formula>0</formula>
    </cfRule>
    <cfRule type="cellIs" dxfId="1195" priority="178" stopIfTrue="1" operator="greaterThan">
      <formula>4.5</formula>
    </cfRule>
  </conditionalFormatting>
  <conditionalFormatting sqref="H56:I56">
    <cfRule type="cellIs" dxfId="1194" priority="29" stopIfTrue="1" operator="lessThanOrEqual">
      <formula>0</formula>
    </cfRule>
    <cfRule type="cellIs" dxfId="1193" priority="26" stopIfTrue="1" operator="greaterThan">
      <formula>$F$73</formula>
    </cfRule>
  </conditionalFormatting>
  <conditionalFormatting sqref="H57:I57">
    <cfRule type="cellIs" dxfId="1192" priority="102" stopIfTrue="1" operator="lessThanOrEqual">
      <formula>0</formula>
    </cfRule>
    <cfRule type="cellIs" dxfId="1191" priority="99" stopIfTrue="1" operator="greaterThan">
      <formula>$F$24</formula>
    </cfRule>
  </conditionalFormatting>
  <conditionalFormatting sqref="H58:I58">
    <cfRule type="cellIs" dxfId="1190" priority="69" stopIfTrue="1" operator="greaterThan">
      <formula>$F$70</formula>
    </cfRule>
    <cfRule type="cellIs" dxfId="1189" priority="72" stopIfTrue="1" operator="lessThanOrEqual">
      <formula>0</formula>
    </cfRule>
  </conditionalFormatting>
  <conditionalFormatting sqref="H59:I60">
    <cfRule type="cellIs" dxfId="1188" priority="88" stopIfTrue="1" operator="lessThanOrEqual">
      <formula>0</formula>
    </cfRule>
    <cfRule type="cellIs" dxfId="1187" priority="85" stopIfTrue="1" operator="greaterThan">
      <formula>#REF!</formula>
    </cfRule>
  </conditionalFormatting>
  <conditionalFormatting sqref="H61:I61">
    <cfRule type="cellIs" dxfId="1186" priority="117" stopIfTrue="1" operator="lessThanOrEqual">
      <formula>0</formula>
    </cfRule>
    <cfRule type="cellIs" dxfId="1185" priority="114" stopIfTrue="1" operator="greaterThan">
      <formula>$F$39</formula>
    </cfRule>
  </conditionalFormatting>
  <conditionalFormatting sqref="H62:I63">
    <cfRule type="cellIs" dxfId="1184" priority="58" stopIfTrue="1" operator="lessThanOrEqual">
      <formula>0</formula>
    </cfRule>
    <cfRule type="cellIs" dxfId="1183" priority="55" stopIfTrue="1" operator="greaterThan">
      <formula>#REF!</formula>
    </cfRule>
  </conditionalFormatting>
  <conditionalFormatting sqref="H76:I76">
    <cfRule type="cellIs" dxfId="1182" priority="140" stopIfTrue="1" operator="lessThanOrEqual">
      <formula>0</formula>
    </cfRule>
    <cfRule type="cellIs" dxfId="1181" priority="139" stopIfTrue="1" operator="greaterThan">
      <formula>$J76</formula>
    </cfRule>
  </conditionalFormatting>
  <conditionalFormatting sqref="I56">
    <cfRule type="cellIs" dxfId="1180" priority="35" stopIfTrue="1" operator="lessThanOrEqual">
      <formula>0</formula>
    </cfRule>
    <cfRule type="cellIs" dxfId="1179" priority="33" stopIfTrue="1" operator="lessThanOrEqual">
      <formula>0</formula>
    </cfRule>
    <cfRule type="cellIs" dxfId="1178" priority="32" stopIfTrue="1" operator="greaterThan">
      <formula>$F$73</formula>
    </cfRule>
    <cfRule type="cellIs" dxfId="1177" priority="30" stopIfTrue="1" operator="greaterThan">
      <formula>$F$71</formula>
    </cfRule>
    <cfRule type="cellIs" dxfId="1176" priority="34" stopIfTrue="1" operator="greaterThan">
      <formula>$F$71</formula>
    </cfRule>
    <cfRule type="cellIs" dxfId="1175" priority="31" stopIfTrue="1" operator="lessThanOrEqual">
      <formula>0</formula>
    </cfRule>
  </conditionalFormatting>
  <conditionalFormatting sqref="I57">
    <cfRule type="cellIs" dxfId="1174" priority="107" stopIfTrue="1" operator="greaterThan">
      <formula>#REF!</formula>
    </cfRule>
    <cfRule type="cellIs" dxfId="1173" priority="108" stopIfTrue="1" operator="lessThanOrEqual">
      <formula>0</formula>
    </cfRule>
    <cfRule type="cellIs" dxfId="1172" priority="105" stopIfTrue="1" operator="greaterThan">
      <formula>$F$24</formula>
    </cfRule>
    <cfRule type="cellIs" dxfId="1171" priority="103" stopIfTrue="1" operator="greaterThan">
      <formula>#REF!</formula>
    </cfRule>
    <cfRule type="cellIs" dxfId="1170" priority="104" stopIfTrue="1" operator="lessThanOrEqual">
      <formula>0</formula>
    </cfRule>
    <cfRule type="cellIs" dxfId="1169" priority="106" stopIfTrue="1" operator="lessThanOrEqual">
      <formula>0</formula>
    </cfRule>
  </conditionalFormatting>
  <conditionalFormatting sqref="I58">
    <cfRule type="cellIs" dxfId="1168" priority="78" stopIfTrue="1" operator="lessThanOrEqual">
      <formula>0</formula>
    </cfRule>
    <cfRule type="cellIs" dxfId="1167" priority="77" stopIfTrue="1" operator="greaterThan">
      <formula>$F$68</formula>
    </cfRule>
    <cfRule type="cellIs" dxfId="1166" priority="75" stopIfTrue="1" operator="greaterThan">
      <formula>$F$70</formula>
    </cfRule>
    <cfRule type="cellIs" dxfId="1165" priority="74" stopIfTrue="1" operator="lessThanOrEqual">
      <formula>0</formula>
    </cfRule>
    <cfRule type="cellIs" dxfId="1164" priority="73" stopIfTrue="1" operator="greaterThan">
      <formula>$F$68</formula>
    </cfRule>
    <cfRule type="cellIs" dxfId="1163" priority="76" stopIfTrue="1" operator="lessThanOrEqual">
      <formula>0</formula>
    </cfRule>
  </conditionalFormatting>
  <conditionalFormatting sqref="I59:I60">
    <cfRule type="cellIs" dxfId="1162" priority="90" stopIfTrue="1" operator="lessThanOrEqual">
      <formula>0</formula>
    </cfRule>
    <cfRule type="cellIs" dxfId="1161" priority="89" stopIfTrue="1" operator="greaterThan">
      <formula>#REF!</formula>
    </cfRule>
    <cfRule type="cellIs" dxfId="1160" priority="94" stopIfTrue="1" operator="lessThanOrEqual">
      <formula>0</formula>
    </cfRule>
    <cfRule type="cellIs" dxfId="1159" priority="92" stopIfTrue="1" operator="lessThanOrEqual">
      <formula>0</formula>
    </cfRule>
    <cfRule type="cellIs" dxfId="1158" priority="93" stopIfTrue="1" operator="greaterThan">
      <formula>#REF!</formula>
    </cfRule>
    <cfRule type="cellIs" dxfId="1157" priority="91" stopIfTrue="1" operator="greaterThan">
      <formula>#REF!</formula>
    </cfRule>
  </conditionalFormatting>
  <conditionalFormatting sqref="I61">
    <cfRule type="cellIs" dxfId="1156" priority="123" stopIfTrue="1" operator="lessThanOrEqual">
      <formula>0</formula>
    </cfRule>
    <cfRule type="cellIs" dxfId="1155" priority="122" stopIfTrue="1" operator="greaterThan">
      <formula>$F$37</formula>
    </cfRule>
    <cfRule type="cellIs" dxfId="1154" priority="121" stopIfTrue="1" operator="lessThanOrEqual">
      <formula>0</formula>
    </cfRule>
    <cfRule type="cellIs" dxfId="1153" priority="120" stopIfTrue="1" operator="greaterThan">
      <formula>$F$39</formula>
    </cfRule>
    <cfRule type="cellIs" dxfId="1152" priority="119" stopIfTrue="1" operator="lessThanOrEqual">
      <formula>0</formula>
    </cfRule>
    <cfRule type="cellIs" dxfId="1151" priority="118" stopIfTrue="1" operator="greaterThan">
      <formula>$F$37</formula>
    </cfRule>
  </conditionalFormatting>
  <conditionalFormatting sqref="I62:I63">
    <cfRule type="cellIs" dxfId="1150" priority="59" stopIfTrue="1" operator="greaterThan">
      <formula>#REF!</formula>
    </cfRule>
    <cfRule type="cellIs" dxfId="1149" priority="60" stopIfTrue="1" operator="lessThanOrEqual">
      <formula>0</formula>
    </cfRule>
    <cfRule type="cellIs" dxfId="1148" priority="61" stopIfTrue="1" operator="greaterThan">
      <formula>#REF!</formula>
    </cfRule>
    <cfRule type="cellIs" dxfId="1147" priority="62" stopIfTrue="1" operator="lessThanOrEqual">
      <formula>0</formula>
    </cfRule>
    <cfRule type="cellIs" dxfId="1146" priority="63" stopIfTrue="1" operator="greaterThan">
      <formula>#REF!</formula>
    </cfRule>
    <cfRule type="cellIs" dxfId="1145" priority="64" stopIfTrue="1" operator="lessThanOrEqual">
      <formula>0</formula>
    </cfRule>
  </conditionalFormatting>
  <conditionalFormatting sqref="I67:I75">
    <cfRule type="cellIs" dxfId="1144" priority="151" stopIfTrue="1" operator="lessThanOrEqual">
      <formula>0</formula>
    </cfRule>
    <cfRule type="cellIs" dxfId="1143" priority="150" stopIfTrue="1" operator="greaterThan">
      <formula>$J67</formula>
    </cfRule>
  </conditionalFormatting>
  <conditionalFormatting sqref="I78:I86">
    <cfRule type="cellIs" dxfId="1142" priority="174" stopIfTrue="1" operator="greaterThan">
      <formula>4.5</formula>
    </cfRule>
    <cfRule type="cellIs" dxfId="1141" priority="175" stopIfTrue="1" operator="lessThanOrEqual">
      <formula>0</formula>
    </cfRule>
  </conditionalFormatting>
  <conditionalFormatting sqref="I10:J24">
    <cfRule type="cellIs" dxfId="1140" priority="2" operator="lessThan">
      <formula>97.9</formula>
    </cfRule>
  </conditionalFormatting>
  <conditionalFormatting sqref="J28:J29">
    <cfRule type="cellIs" dxfId="1139" priority="131" operator="lessThan">
      <formula>98</formula>
    </cfRule>
    <cfRule type="cellIs" dxfId="1138" priority="130" stopIfTrue="1" operator="greaterThan">
      <formula>100</formula>
    </cfRule>
    <cfRule type="cellIs" dxfId="1137" priority="129" stopIfTrue="1" operator="lessThan">
      <formula>96.8</formula>
    </cfRule>
  </conditionalFormatting>
  <conditionalFormatting sqref="J28:J31">
    <cfRule type="cellIs" dxfId="1136" priority="128" operator="lessThan">
      <formula>97.4</formula>
    </cfRule>
  </conditionalFormatting>
  <conditionalFormatting sqref="J32:J33">
    <cfRule type="cellIs" dxfId="1135" priority="132" operator="lessThan">
      <formula>98</formula>
    </cfRule>
  </conditionalFormatting>
  <conditionalFormatting sqref="J34:J35">
    <cfRule type="cellIs" dxfId="1134" priority="134" stopIfTrue="1" operator="greaterThan">
      <formula>100</formula>
    </cfRule>
    <cfRule type="cellIs" dxfId="1133" priority="133" stopIfTrue="1" operator="lessThan">
      <formula>96.8</formula>
    </cfRule>
  </conditionalFormatting>
  <conditionalFormatting sqref="J34:J36">
    <cfRule type="cellIs" dxfId="1132" priority="135" operator="lessThan">
      <formula>98</formula>
    </cfRule>
  </conditionalFormatting>
  <conditionalFormatting sqref="J63">
    <cfRule type="cellIs" dxfId="1131" priority="54" stopIfTrue="1" operator="lessThanOrEqual">
      <formula>0</formula>
    </cfRule>
    <cfRule type="cellIs" dxfId="1130" priority="53" stopIfTrue="1" operator="greaterThan">
      <formula>#REF!</formula>
    </cfRule>
    <cfRule type="cellIs" dxfId="1129" priority="52" stopIfTrue="1" operator="lessThanOrEqual">
      <formula>0</formula>
    </cfRule>
    <cfRule type="cellIs" dxfId="1128" priority="51" stopIfTrue="1" operator="greaterThan">
      <formula>#REF!</formula>
    </cfRule>
    <cfRule type="cellIs" dxfId="1127" priority="50" stopIfTrue="1" operator="lessThanOrEqual">
      <formula>0</formula>
    </cfRule>
    <cfRule type="cellIs" dxfId="1126" priority="49" stopIfTrue="1" operator="greaterThan">
      <formula>#REF!</formula>
    </cfRule>
    <cfRule type="cellIs" dxfId="1125" priority="48" stopIfTrue="1" operator="lessThanOrEqual">
      <formula>0</formula>
    </cfRule>
    <cfRule type="cellIs" dxfId="1124" priority="47" stopIfTrue="1" operator="greaterThan">
      <formula>#REF!</formula>
    </cfRule>
  </conditionalFormatting>
  <conditionalFormatting sqref="J76">
    <cfRule type="cellIs" dxfId="1123" priority="137" stopIfTrue="1" operator="lessThanOrEqual">
      <formula>0</formula>
    </cfRule>
    <cfRule type="cellIs" dxfId="1122" priority="136" stopIfTrue="1" operator="greaterThan">
      <formula>$F76</formula>
    </cfRule>
  </conditionalFormatting>
  <conditionalFormatting sqref="K10:K24">
    <cfRule type="cellIs" dxfId="1121" priority="5" operator="greaterThan">
      <formula>6.4</formula>
    </cfRule>
    <cfRule type="cellIs" dxfId="1120" priority="4" operator="lessThan">
      <formula>4</formula>
    </cfRule>
    <cfRule type="cellIs" dxfId="1119" priority="3" operator="greaterThan">
      <formula>6</formula>
    </cfRule>
  </conditionalFormatting>
  <conditionalFormatting sqref="K56:K63 K67:N73 K74 M74:N74 K75:N75">
    <cfRule type="cellIs" dxfId="1118" priority="113" stopIfTrue="1" operator="lessThan">
      <formula>100%</formula>
    </cfRule>
  </conditionalFormatting>
  <conditionalFormatting sqref="K78:K83">
    <cfRule type="cellIs" dxfId="1117" priority="180" stopIfTrue="1" operator="lessThan">
      <formula>100%</formula>
    </cfRule>
  </conditionalFormatting>
  <conditionalFormatting sqref="K85:K86">
    <cfRule type="cellIs" dxfId="1116" priority="187" stopIfTrue="1" operator="lessThan">
      <formula>100%</formula>
    </cfRule>
  </conditionalFormatting>
  <conditionalFormatting sqref="L10:L24">
    <cfRule type="cellIs" dxfId="1115" priority="11" operator="greaterThan">
      <formula>65</formula>
    </cfRule>
    <cfRule type="cellIs" dxfId="1114" priority="10" operator="between">
      <formula>61</formula>
      <formula>65</formula>
    </cfRule>
  </conditionalFormatting>
  <conditionalFormatting sqref="L27:M38">
    <cfRule type="cellIs" dxfId="1113" priority="24" operator="lessThan">
      <formula>97.95</formula>
    </cfRule>
  </conditionalFormatting>
  <conditionalFormatting sqref="L42:N42">
    <cfRule type="cellIs" dxfId="1112" priority="25" operator="notEqual">
      <formula>#REF!</formula>
    </cfRule>
  </conditionalFormatting>
  <conditionalFormatting sqref="L76:N76">
    <cfRule type="cellIs" dxfId="1111" priority="138" stopIfTrue="1" operator="lessThan">
      <formula>100%</formula>
    </cfRule>
  </conditionalFormatting>
  <conditionalFormatting sqref="L78:N86">
    <cfRule type="cellIs" dxfId="1110" priority="165" stopIfTrue="1" operator="lessThan">
      <formula>100%</formula>
    </cfRule>
  </conditionalFormatting>
  <conditionalFormatting sqref="M10:M23">
    <cfRule type="expression" dxfId="1109" priority="8">
      <formula>IF(+(IF(M10&lt;U10,0,IF(M10&gt;V10,0,1)))=0,1)</formula>
    </cfRule>
  </conditionalFormatting>
  <conditionalFormatting sqref="M24:N24">
    <cfRule type="expression" dxfId="1108" priority="195">
      <formula>IF(+(IF(M24&lt;#REF!,0,IF(M24&gt;#REF!,0,1)))=0,1)</formula>
    </cfRule>
  </conditionalFormatting>
  <conditionalFormatting sqref="N10:N23">
    <cfRule type="expression" dxfId="1107" priority="1">
      <formula>IF(+(IF(N10&lt;W10,0,IF(N10&gt;X10,0,1)))=0,1)</formula>
    </cfRule>
  </conditionalFormatting>
  <conditionalFormatting sqref="P6">
    <cfRule type="cellIs" dxfId="1106" priority="161" operator="greaterThanOrEqual">
      <formula>19</formula>
    </cfRule>
  </conditionalFormatting>
  <dataValidations count="1">
    <dataValidation type="list" allowBlank="1" showInputMessage="1" showErrorMessage="1" sqref="R8" xr:uid="{37EE1945-362E-4172-8A5B-870BBC465E2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1069-B2E7-4FC0-8801-1C1D4E2A9B2E}">
  <sheetPr>
    <pageSetUpPr fitToPage="1"/>
  </sheetPr>
  <dimension ref="A1:BE76"/>
  <sheetViews>
    <sheetView zoomScale="70" zoomScaleNormal="70" workbookViewId="0">
      <selection activeCell="H54" sqref="H54:H5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46014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18"/>
      <c r="R10" s="277">
        <f t="shared" ref="R10:R38" si="0">B10</f>
        <v>0</v>
      </c>
      <c r="S10" s="475" t="e">
        <f t="shared" ref="S10:S38" si="1">VLOOKUP($B10,$R$3:$X$9,2,FALSE)</f>
        <v>#N/A</v>
      </c>
      <c r="T10" s="475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475" t="e">
        <f t="shared" ref="Z10:Z38" si="8">VLOOKUP($B10,$R$3:$Z$9,9,FALSE)</f>
        <v>#N/A</v>
      </c>
    </row>
    <row r="11" spans="2:29" ht="16.5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475" t="e">
        <f t="shared" si="1"/>
        <v>#N/A</v>
      </c>
      <c r="T11" s="475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5" t="e">
        <f t="shared" si="8"/>
        <v>#N/A</v>
      </c>
    </row>
    <row r="12" spans="2:29" ht="16.5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475" t="e">
        <f t="shared" si="1"/>
        <v>#N/A</v>
      </c>
      <c r="T12" s="475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5" t="e">
        <f t="shared" si="8"/>
        <v>#N/A</v>
      </c>
    </row>
    <row r="13" spans="2:29" ht="16.5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5" t="e">
        <f t="shared" si="1"/>
        <v>#N/A</v>
      </c>
      <c r="T13" s="475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5" t="e">
        <f t="shared" si="8"/>
        <v>#N/A</v>
      </c>
    </row>
    <row r="14" spans="2:29" ht="16.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5.75" customHeight="1" thickBot="1">
      <c r="B26" s="388" t="s">
        <v>162</v>
      </c>
      <c r="C26" s="388"/>
      <c r="D26" s="506" t="s">
        <v>35</v>
      </c>
      <c r="E26" s="50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5" customHeight="1">
      <c r="A27" s="28"/>
      <c r="B27" s="529"/>
      <c r="C27" s="362"/>
      <c r="D27" s="532"/>
      <c r="E27" s="533"/>
      <c r="F27" s="294"/>
      <c r="G27" s="294"/>
      <c r="H27" s="348"/>
      <c r="I27" s="29" t="s">
        <v>6</v>
      </c>
      <c r="J27" s="280"/>
      <c r="K27" s="284">
        <f>COUNTA([23]Brewhouse!$A$1005:$A$1026)</f>
        <v>22</v>
      </c>
      <c r="L27" s="305">
        <f>AVERAGE([23]Brewhouse!$AU$1005:$AU$1026)</f>
        <v>98.810662473067381</v>
      </c>
      <c r="M2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5" customHeight="1">
      <c r="A28" s="28"/>
      <c r="B28" s="530"/>
      <c r="C28" s="362"/>
      <c r="D28" s="534"/>
      <c r="E28" s="535"/>
      <c r="F28" s="294"/>
      <c r="G28" s="294"/>
      <c r="H28" s="348"/>
      <c r="I28" s="33" t="s">
        <v>9</v>
      </c>
      <c r="J28" s="280"/>
      <c r="K28" s="284">
        <f>COUNTA([24]Brewhouse!$A$486:$A$523)</f>
        <v>38</v>
      </c>
      <c r="L28" s="302">
        <f>AVERAGE([24]Brewhouse!$AS$486:$AS$523)</f>
        <v>97.091279048572574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30"/>
      <c r="C29" s="362"/>
      <c r="D29" s="580"/>
      <c r="E29" s="581"/>
      <c r="F29" s="294"/>
      <c r="G29" s="294"/>
      <c r="H29" s="348"/>
      <c r="I29" s="34" t="s">
        <v>12</v>
      </c>
      <c r="J29" s="280"/>
      <c r="K29" s="284">
        <f>COUNTA([25]Brewhouse!$A$125:$A$132)</f>
        <v>8</v>
      </c>
      <c r="L29" s="302">
        <f>AVERAGE([25]Brewhouse!$AU$125:$AU$132)</f>
        <v>96.474285660381511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30"/>
      <c r="C30" s="362"/>
      <c r="D30" s="547"/>
      <c r="E30" s="535"/>
      <c r="F30" s="294"/>
      <c r="G30" s="294"/>
      <c r="H30" s="348"/>
      <c r="I30" s="22" t="s">
        <v>33</v>
      </c>
      <c r="J30" s="280"/>
      <c r="K30" s="284">
        <f>COUNTA([22]Brewhouse!$A$107:$A$122)</f>
        <v>16</v>
      </c>
      <c r="L30" s="302">
        <f>AVERAGE([22]Brewhouse!$AV$107:$AV$122)</f>
        <v>96.593037676437092</v>
      </c>
      <c r="M3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7" ht="14.65" customHeight="1">
      <c r="A31" s="28"/>
      <c r="B31" s="530"/>
      <c r="C31" s="362"/>
      <c r="D31" s="580"/>
      <c r="E31" s="581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7" ht="14.65" customHeight="1">
      <c r="A32" s="28"/>
      <c r="B32" s="530"/>
      <c r="C32" s="362"/>
      <c r="D32" s="547"/>
      <c r="E32" s="535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30"/>
      <c r="C33" s="362"/>
      <c r="D33" s="580"/>
      <c r="E33" s="581"/>
      <c r="F33" s="417"/>
      <c r="G33" s="294"/>
      <c r="H33" s="348"/>
      <c r="I33" s="37" t="s">
        <v>16</v>
      </c>
      <c r="J33" s="323"/>
      <c r="K33" s="284">
        <f>COUNTA([27]Brewhouse!$A$99:$A$116)</f>
        <v>18</v>
      </c>
      <c r="L33" s="302">
        <f>AVERAGE([27]Brewhouse!$AY$99:$AY$116)</f>
        <v>97.377797632485397</v>
      </c>
      <c r="M3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3" s="30">
        <v>98</v>
      </c>
      <c r="O33" s="11"/>
      <c r="P33" s="31" t="s">
        <v>41</v>
      </c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4.65" customHeight="1">
      <c r="A34" s="28"/>
      <c r="B34" s="530"/>
      <c r="C34" s="362"/>
      <c r="D34" s="547"/>
      <c r="E34" s="535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530"/>
      <c r="C35" s="349"/>
      <c r="D35" s="580"/>
      <c r="E35" s="581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" customHeight="1" thickBot="1">
      <c r="A36" s="28"/>
      <c r="B36" s="530"/>
      <c r="C36" s="349"/>
      <c r="D36" s="547"/>
      <c r="E36" s="535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" customHeight="1" thickBot="1">
      <c r="A37" s="28"/>
      <c r="B37" s="530"/>
      <c r="C37" s="349"/>
      <c r="D37" s="532"/>
      <c r="E37" s="533"/>
      <c r="F37" s="294"/>
      <c r="G37" s="294"/>
      <c r="H37" s="348"/>
      <c r="I37" s="1"/>
      <c r="J37" s="39"/>
      <c r="K37" s="404">
        <f>SUM(K27:K36)</f>
        <v>102</v>
      </c>
      <c r="L37" s="405">
        <f>((L27*K27)+(L28*K28)+(L29*K29)+(L30*K30)+(L31*K31)+(K34*L34)+(L32*K32)+(L33*K33)+(L36*K36))/(K37)</f>
        <v>97.386141409255103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97.556564380607298</v>
      </c>
      <c r="N37" s="4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.75" thickBot="1">
      <c r="B38" s="605"/>
      <c r="C38" s="350"/>
      <c r="D38" s="534"/>
      <c r="E38" s="53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.75" thickBot="1">
      <c r="B39" s="587"/>
      <c r="C39" s="362"/>
      <c r="D39" s="545"/>
      <c r="E39" s="546"/>
      <c r="F39" s="294"/>
      <c r="G39" s="42"/>
      <c r="H39" s="41"/>
      <c r="I39" s="42"/>
      <c r="J39" s="579" t="s">
        <v>129</v>
      </c>
      <c r="K39" s="579"/>
      <c r="L39" s="294"/>
      <c r="M39" s="294"/>
      <c r="N39" s="294"/>
      <c r="O39" s="294"/>
      <c r="P39" s="12"/>
    </row>
    <row r="40" spans="1:56" ht="15.75" thickBot="1">
      <c r="B40" s="588"/>
      <c r="C40" s="362"/>
      <c r="D40" s="547"/>
      <c r="E40" s="535"/>
      <c r="F40" s="294"/>
      <c r="G40" s="42"/>
      <c r="H40" s="42"/>
      <c r="I40" s="42"/>
      <c r="J40" s="292" t="s">
        <v>17</v>
      </c>
      <c r="K40" s="293" t="s">
        <v>147</v>
      </c>
      <c r="L40" s="549" t="s">
        <v>136</v>
      </c>
      <c r="M40" s="549"/>
      <c r="N40" s="550"/>
      <c r="O40" s="294"/>
      <c r="P40" s="12"/>
    </row>
    <row r="41" spans="1:56" ht="15" customHeight="1" thickBot="1">
      <c r="B41" s="588"/>
      <c r="C41" s="349"/>
      <c r="D41" s="580"/>
      <c r="E41" s="581"/>
      <c r="F41" s="294"/>
      <c r="G41" s="42"/>
      <c r="H41" s="42"/>
      <c r="I41" s="42"/>
      <c r="J41" s="287" t="s">
        <v>6</v>
      </c>
      <c r="K41" s="324"/>
      <c r="L41" s="476" t="s">
        <v>37</v>
      </c>
      <c r="M41" s="477" t="s">
        <v>38</v>
      </c>
      <c r="N41" s="477" t="s">
        <v>84</v>
      </c>
      <c r="O41" s="294"/>
      <c r="P41" s="12"/>
    </row>
    <row r="42" spans="1:56" ht="15.75" customHeight="1" thickBot="1">
      <c r="B42" s="588"/>
      <c r="C42" s="349"/>
      <c r="D42" s="547"/>
      <c r="E42" s="535"/>
      <c r="F42" s="294"/>
      <c r="G42" s="42"/>
      <c r="H42" s="42"/>
      <c r="I42" s="42"/>
      <c r="J42" s="345" t="s">
        <v>9</v>
      </c>
      <c r="K42" s="324"/>
      <c r="L42" s="344">
        <f>AVERAGE('Dec 1st'!K43,'Dec 2nd'!K49,'Dec 3rd '!K58,'Dec 4th'!K51,'Dec 5th-7th'!I70,'Dec 5th-7th'!J70,'Dec 5th-7th'!K70,'Dec 8th '!K49,'Dec 9th'!K49,'Dec 22nd '!K51,'Dec 11th'!K53,'Dec 12th-14th'!K44,'Dec 10th'!K61,'Dec 15th'!K49,'Dec 16th'!K54,'Dec 17th '!K48,'Dec 18th '!K51)</f>
        <v>6.375</v>
      </c>
      <c r="M42" s="325">
        <f>AVERAGE('[31]Jan 29th '!$M$70,'[32]Feb 28th'!$L$40,'[33]Mar. 31st'!$L$40,'[34]Apr. 30th'!$L$50,'[35]May 30th'!$L$42,'[36]June 30th'!$L$62,'[37]July 29th '!$L$49,'[38]Aug 29th'!$L$34,'[39]Sept 30th'!$L$40,[40]Oct.31st!$L$43,'[41]Nov 28th-30th'!$L$45,L42)</f>
        <v>6.9207810845396658</v>
      </c>
      <c r="N42" s="416">
        <v>9.1999999999999993</v>
      </c>
      <c r="O42" s="294"/>
      <c r="P42" s="12"/>
    </row>
    <row r="43" spans="1:56" ht="15" customHeight="1">
      <c r="B43" s="588"/>
      <c r="C43" s="349"/>
      <c r="D43" s="580"/>
      <c r="E43" s="58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88"/>
      <c r="C44" s="349"/>
      <c r="D44" s="547"/>
      <c r="E44" s="53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88"/>
      <c r="C45" s="349"/>
      <c r="D45" s="580"/>
      <c r="E45" s="58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8"/>
      <c r="C46" s="349"/>
      <c r="D46" s="547"/>
      <c r="E46" s="53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8"/>
      <c r="C47" s="349"/>
      <c r="D47" s="580"/>
      <c r="E47" s="58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606"/>
      <c r="C48" s="350"/>
      <c r="D48" s="582"/>
      <c r="E48" s="583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7"/>
      <c r="E49" s="57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/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7" t="s">
        <v>17</v>
      </c>
      <c r="C54" s="557" t="s">
        <v>44</v>
      </c>
      <c r="D54" s="559" t="s">
        <v>45</v>
      </c>
      <c r="E54" s="514" t="s">
        <v>46</v>
      </c>
      <c r="F54" s="574" t="s">
        <v>47</v>
      </c>
      <c r="G54" s="568" t="s">
        <v>48</v>
      </c>
      <c r="H54" s="557" t="s">
        <v>49</v>
      </c>
      <c r="I54" s="557" t="s">
        <v>50</v>
      </c>
      <c r="J54" s="562" t="s">
        <v>28</v>
      </c>
      <c r="K54" s="512" t="s">
        <v>51</v>
      </c>
      <c r="L54" s="524" t="s">
        <v>52</v>
      </c>
      <c r="M54" s="562" t="s">
        <v>53</v>
      </c>
      <c r="N54" s="13"/>
      <c r="O54" s="13"/>
      <c r="P54" s="50"/>
    </row>
    <row r="55" spans="2:57" ht="28.5" customHeight="1" thickTop="1" thickBot="1">
      <c r="B55" s="558"/>
      <c r="C55" s="558"/>
      <c r="D55" s="560"/>
      <c r="E55" s="561"/>
      <c r="F55" s="575"/>
      <c r="G55" s="569"/>
      <c r="H55" s="576"/>
      <c r="I55" s="576"/>
      <c r="J55" s="563"/>
      <c r="K55" s="572"/>
      <c r="L55" s="573"/>
      <c r="M55" s="563"/>
      <c r="N55" s="13"/>
      <c r="O55" s="13"/>
      <c r="P55" s="50"/>
      <c r="Q55" s="355"/>
      <c r="AB55" s="478">
        <v>43474</v>
      </c>
      <c r="AC55" s="478">
        <v>43475</v>
      </c>
      <c r="AD55" s="478">
        <v>43476</v>
      </c>
      <c r="AE55" s="478">
        <v>43477</v>
      </c>
      <c r="AF55" s="478">
        <v>43478</v>
      </c>
      <c r="AG55" s="478">
        <v>43479</v>
      </c>
      <c r="AH55" s="478">
        <v>43480</v>
      </c>
      <c r="AI55" s="478">
        <v>43481</v>
      </c>
      <c r="AJ55" s="478">
        <v>43482</v>
      </c>
      <c r="AK55" s="478">
        <v>43483</v>
      </c>
      <c r="AL55" s="478">
        <v>43484</v>
      </c>
      <c r="AM55" s="478">
        <v>43485</v>
      </c>
      <c r="AN55" s="478">
        <v>43486</v>
      </c>
      <c r="AO55" s="478">
        <v>43487</v>
      </c>
      <c r="AP55" s="478">
        <v>43488</v>
      </c>
      <c r="AQ55" s="478">
        <v>43489</v>
      </c>
      <c r="AR55" s="478">
        <v>43490</v>
      </c>
      <c r="AS55" s="478">
        <v>43491</v>
      </c>
      <c r="AT55" s="478">
        <v>43492</v>
      </c>
      <c r="AU55" s="478">
        <v>43493</v>
      </c>
      <c r="AV55" s="478">
        <v>43494</v>
      </c>
      <c r="AW55" s="478">
        <v>43495</v>
      </c>
      <c r="AX55" s="478">
        <v>43496</v>
      </c>
    </row>
    <row r="56" spans="2:57" s="54" customFormat="1" ht="43.15" hidden="1" customHeight="1" thickBot="1">
      <c r="B56" s="494"/>
      <c r="C56" s="441"/>
      <c r="D56" s="442"/>
      <c r="E56" s="443"/>
      <c r="F56" s="444"/>
      <c r="G56" s="444"/>
      <c r="H56" s="458"/>
      <c r="I56" s="458"/>
      <c r="J56" s="448"/>
      <c r="K56" s="449"/>
      <c r="L56" s="486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6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customHeight="1" thickBot="1">
      <c r="B58" s="456" t="str">
        <f>J41</f>
        <v>CARIB</v>
      </c>
      <c r="C58" s="441">
        <v>45983</v>
      </c>
      <c r="D58" s="442">
        <f>[42]December_2025!$Y$3</f>
        <v>527.62</v>
      </c>
      <c r="E58" s="443"/>
      <c r="F58" s="444"/>
      <c r="G58" s="445">
        <f>[42]December_2025!$Y$7</f>
        <v>493.29999999999995</v>
      </c>
      <c r="H58" s="458"/>
      <c r="I58" s="458"/>
      <c r="J58" s="448" t="s">
        <v>192</v>
      </c>
      <c r="K58" s="460">
        <f>[43]December_2025!$Y$18</f>
        <v>0.28847953216374267</v>
      </c>
      <c r="L58" s="457">
        <f>(((D58+E58)-G58)/(D58+E58))*100</f>
        <v>6.5046813994920685</v>
      </c>
      <c r="M58" s="455" t="s">
        <v>191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59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64" t="s">
        <v>55</v>
      </c>
      <c r="C65" s="565"/>
      <c r="D65" s="565"/>
      <c r="E65" s="565"/>
      <c r="F65" s="566"/>
      <c r="G65" s="564" t="s">
        <v>56</v>
      </c>
      <c r="H65" s="565"/>
      <c r="I65" s="565"/>
      <c r="J65" s="566"/>
      <c r="K65" s="564" t="s">
        <v>51</v>
      </c>
      <c r="L65" s="565"/>
      <c r="M65" s="565"/>
      <c r="N65" s="56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>
        <f>L58</f>
        <v>6.5046813994920685</v>
      </c>
      <c r="D67" s="76">
        <v>5.8026631580229768</v>
      </c>
      <c r="E67" s="76">
        <v>6.0531686830331823</v>
      </c>
      <c r="F67" s="66">
        <v>4.8</v>
      </c>
      <c r="G67" s="65">
        <f>[42]December_2025!$Y$11</f>
        <v>6.5046813994920738</v>
      </c>
      <c r="H67" s="491">
        <v>5.3176786670204912</v>
      </c>
      <c r="I67" s="76">
        <v>5.9550999117622165</v>
      </c>
      <c r="J67" s="66">
        <v>4.8</v>
      </c>
      <c r="K67" s="67">
        <f>K58</f>
        <v>0.28847953216374267</v>
      </c>
      <c r="L67" s="194">
        <v>0.36070825211176089</v>
      </c>
      <c r="M67" s="194">
        <v>0.70366043909732956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3.7387493356335928</v>
      </c>
      <c r="E68" s="76">
        <v>5.6055296612083989</v>
      </c>
      <c r="F68" s="66">
        <v>4.8</v>
      </c>
      <c r="G68" s="65"/>
      <c r="H68" s="76">
        <v>3.7805441587163839</v>
      </c>
      <c r="I68" s="76">
        <v>6.1012178283456002</v>
      </c>
      <c r="J68" s="66">
        <v>4.8</v>
      </c>
      <c r="K68" s="67"/>
      <c r="L68" s="194">
        <v>0.4079970760233918</v>
      </c>
      <c r="M68" s="194">
        <v>0.66778502418448049</v>
      </c>
      <c r="N68" s="68">
        <v>1</v>
      </c>
      <c r="P68" s="69"/>
    </row>
    <row r="69" spans="2:16" ht="15">
      <c r="B69" s="34" t="s">
        <v>40</v>
      </c>
      <c r="C69" s="65"/>
      <c r="D69" s="76">
        <v>12.618296529968443</v>
      </c>
      <c r="E69" s="76">
        <v>11.122539172358353</v>
      </c>
      <c r="F69" s="66">
        <v>5.5</v>
      </c>
      <c r="G69" s="65"/>
      <c r="H69" s="76">
        <v>12.288892572095527</v>
      </c>
      <c r="I69" s="76">
        <v>12.520142311925225</v>
      </c>
      <c r="J69" s="66">
        <v>5.5</v>
      </c>
      <c r="K69" s="67"/>
      <c r="L69" s="194">
        <v>0.31587719298245615</v>
      </c>
      <c r="M69" s="194">
        <v>0.50769967246157732</v>
      </c>
      <c r="N69" s="68">
        <v>1</v>
      </c>
      <c r="P69" s="69"/>
    </row>
    <row r="70" spans="2:16" ht="15">
      <c r="B70" s="22" t="s">
        <v>33</v>
      </c>
      <c r="C70" s="65"/>
      <c r="D70" s="76">
        <v>3.7426398119835098</v>
      </c>
      <c r="E70" s="76">
        <v>4.4918713689673408</v>
      </c>
      <c r="F70" s="66">
        <v>3.3</v>
      </c>
      <c r="G70" s="65"/>
      <c r="H70" s="76">
        <v>2.884540034691927</v>
      </c>
      <c r="I70" s="76">
        <v>4.189075062989712</v>
      </c>
      <c r="J70" s="66">
        <v>3.3</v>
      </c>
      <c r="K70" s="67"/>
      <c r="L70" s="194">
        <v>0.77900584795321637</v>
      </c>
      <c r="M70" s="194">
        <v>0.82191692466460264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2.192371331533558</v>
      </c>
      <c r="E73" s="76">
        <v>2.8003947928578476</v>
      </c>
      <c r="F73" s="66">
        <v>3.3</v>
      </c>
      <c r="G73" s="282"/>
      <c r="H73" s="76">
        <v>5.3037545361325495</v>
      </c>
      <c r="I73" s="76">
        <v>4.4533241310026561</v>
      </c>
      <c r="J73" s="66">
        <v>3.3</v>
      </c>
      <c r="K73" s="67"/>
      <c r="L73" s="194">
        <v>0.64058479532163748</v>
      </c>
      <c r="M73" s="194">
        <v>0.80904406538734908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5.114913500142686</v>
      </c>
      <c r="E76" s="76">
        <v>6.0334672051572689</v>
      </c>
      <c r="F76" s="341">
        <v>5.5</v>
      </c>
      <c r="H76" s="76">
        <v>5.2947707903176671</v>
      </c>
      <c r="I76" s="76">
        <v>6.442169852931519</v>
      </c>
      <c r="J76" s="341">
        <v>5.5</v>
      </c>
      <c r="L76" s="194">
        <v>0.47265058479532168</v>
      </c>
      <c r="M76" s="194">
        <v>0.68720978988898074</v>
      </c>
      <c r="N76" s="386">
        <v>1</v>
      </c>
    </row>
  </sheetData>
  <mergeCells count="51"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1105" priority="34" operator="notBetween">
      <formula>#REF!</formula>
      <formula>#REF!</formula>
    </cfRule>
  </conditionalFormatting>
  <conditionalFormatting sqref="C53">
    <cfRule type="cellIs" dxfId="1104" priority="180" stopIfTrue="1" operator="greaterThan">
      <formula>100</formula>
    </cfRule>
    <cfRule type="cellIs" dxfId="1103" priority="179" stopIfTrue="1" operator="lessThan">
      <formula>96</formula>
    </cfRule>
  </conditionalFormatting>
  <conditionalFormatting sqref="C67:C71">
    <cfRule type="cellIs" dxfId="1102" priority="133" stopIfTrue="1" operator="lessThanOrEqual">
      <formula>0</formula>
    </cfRule>
  </conditionalFormatting>
  <conditionalFormatting sqref="C67:C75">
    <cfRule type="cellIs" dxfId="1101" priority="132" stopIfTrue="1" operator="greaterThan">
      <formula>$F67</formula>
    </cfRule>
  </conditionalFormatting>
  <conditionalFormatting sqref="C68">
    <cfRule type="cellIs" dxfId="1100" priority="183" stopIfTrue="1" operator="greaterThan">
      <formula>$F67</formula>
    </cfRule>
  </conditionalFormatting>
  <conditionalFormatting sqref="C72">
    <cfRule type="cellIs" dxfId="1099" priority="73" stopIfTrue="1" operator="greaterThan">
      <formula>$F71</formula>
    </cfRule>
    <cfRule type="cellIs" dxfId="1098" priority="72" stopIfTrue="1" operator="lessThanOrEqual">
      <formula>0</formula>
    </cfRule>
  </conditionalFormatting>
  <conditionalFormatting sqref="C78:C82">
    <cfRule type="cellIs" dxfId="1097" priority="171" stopIfTrue="1" operator="lessThanOrEqual">
      <formula>0</formula>
    </cfRule>
  </conditionalFormatting>
  <conditionalFormatting sqref="C79:C82">
    <cfRule type="cellIs" dxfId="1096" priority="170" stopIfTrue="1" operator="greaterThan">
      <formula>$F$78</formula>
    </cfRule>
  </conditionalFormatting>
  <conditionalFormatting sqref="C84">
    <cfRule type="cellIs" dxfId="1095" priority="173" stopIfTrue="1" operator="lessThanOrEqual">
      <formula>0</formula>
    </cfRule>
    <cfRule type="cellIs" dxfId="1094" priority="172" stopIfTrue="1" operator="greaterThan">
      <formula>$F$78</formula>
    </cfRule>
  </conditionalFormatting>
  <conditionalFormatting sqref="C78:D78 D80:D86">
    <cfRule type="cellIs" dxfId="1093" priority="165" stopIfTrue="1" operator="greaterThan">
      <formula>4.5</formula>
    </cfRule>
  </conditionalFormatting>
  <conditionalFormatting sqref="D49:D50">
    <cfRule type="cellIs" dxfId="1092" priority="35" operator="notBetween">
      <formula>#REF!</formula>
      <formula>#REF!</formula>
    </cfRule>
  </conditionalFormatting>
  <conditionalFormatting sqref="D67:D74">
    <cfRule type="cellIs" dxfId="1091" priority="145" stopIfTrue="1" operator="lessThanOrEqual">
      <formula>0</formula>
    </cfRule>
  </conditionalFormatting>
  <conditionalFormatting sqref="D75">
    <cfRule type="cellIs" dxfId="1090" priority="144" stopIfTrue="1" operator="lessThanOrEqual">
      <formula>0</formula>
    </cfRule>
  </conditionalFormatting>
  <conditionalFormatting sqref="D78 D80:D86">
    <cfRule type="cellIs" dxfId="1089" priority="166" stopIfTrue="1" operator="lessThanOrEqual">
      <formula>0</formula>
    </cfRule>
  </conditionalFormatting>
  <conditionalFormatting sqref="D79">
    <cfRule type="cellIs" dxfId="1088" priority="158" stopIfTrue="1" operator="lessThanOrEqual">
      <formula>0</formula>
    </cfRule>
    <cfRule type="cellIs" dxfId="1087" priority="157" stopIfTrue="1" operator="greaterThan">
      <formula>$F$78</formula>
    </cfRule>
  </conditionalFormatting>
  <conditionalFormatting sqref="D67:E76">
    <cfRule type="cellIs" dxfId="1086" priority="130" stopIfTrue="1" operator="greaterThan">
      <formula>$F67</formula>
    </cfRule>
  </conditionalFormatting>
  <conditionalFormatting sqref="D76:E76">
    <cfRule type="cellIs" dxfId="1085" priority="131" stopIfTrue="1" operator="lessThanOrEqual">
      <formula>0</formula>
    </cfRule>
  </conditionalFormatting>
  <conditionalFormatting sqref="E10:E24">
    <cfRule type="cellIs" dxfId="1084" priority="11" operator="lessThan">
      <formula>48</formula>
    </cfRule>
  </conditionalFormatting>
  <conditionalFormatting sqref="E52 E53:F53">
    <cfRule type="cellIs" dxfId="1083" priority="162" stopIfTrue="1" operator="greaterThan">
      <formula>100</formula>
    </cfRule>
  </conditionalFormatting>
  <conditionalFormatting sqref="E53">
    <cfRule type="cellIs" dxfId="1082" priority="160" stopIfTrue="1" operator="greaterThan">
      <formula>100</formula>
    </cfRule>
    <cfRule type="cellIs" dxfId="1081" priority="159" stopIfTrue="1" operator="lessThan">
      <formula>96.8</formula>
    </cfRule>
  </conditionalFormatting>
  <conditionalFormatting sqref="E67:E75">
    <cfRule type="cellIs" dxfId="1080" priority="141" stopIfTrue="1" operator="lessThanOrEqual">
      <formula>0</formula>
    </cfRule>
  </conditionalFormatting>
  <conditionalFormatting sqref="E78:E86">
    <cfRule type="cellIs" dxfId="1079" priority="152" stopIfTrue="1" operator="lessThanOrEqual">
      <formula>0</formula>
    </cfRule>
    <cfRule type="cellIs" dxfId="1078" priority="151" stopIfTrue="1" operator="greaterThan">
      <formula>4.5</formula>
    </cfRule>
  </conditionalFormatting>
  <conditionalFormatting sqref="E53:F53 E52">
    <cfRule type="cellIs" dxfId="1077" priority="161" stopIfTrue="1" operator="lessThan">
      <formula>96.5</formula>
    </cfRule>
  </conditionalFormatting>
  <conditionalFormatting sqref="F24">
    <cfRule type="cellIs" dxfId="1076" priority="12" operator="greaterThan">
      <formula>60</formula>
    </cfRule>
  </conditionalFormatting>
  <conditionalFormatting sqref="F53">
    <cfRule type="cellIs" dxfId="1075" priority="178" stopIfTrue="1" operator="greaterThan">
      <formula>100</formula>
    </cfRule>
    <cfRule type="cellIs" dxfId="1074" priority="177" stopIfTrue="1" operator="lessThan">
      <formula>96.8</formula>
    </cfRule>
  </conditionalFormatting>
  <conditionalFormatting sqref="F76">
    <cfRule type="cellIs" dxfId="1073" priority="143" stopIfTrue="1" operator="lessThanOrEqual">
      <formula>0</formula>
    </cfRule>
    <cfRule type="cellIs" dxfId="1072" priority="142" stopIfTrue="1" operator="greaterThan">
      <formula>$F76</formula>
    </cfRule>
  </conditionalFormatting>
  <conditionalFormatting sqref="G10:G23">
    <cfRule type="expression" dxfId="1071" priority="3">
      <formula>IF(+(IF(G10&lt;S10,0,IF(G10&gt;T10,0,1)))=0,1)</formula>
    </cfRule>
  </conditionalFormatting>
  <conditionalFormatting sqref="G67:G68 C73:C75">
    <cfRule type="cellIs" dxfId="1070" priority="147" stopIfTrue="1" operator="lessThanOrEqual">
      <formula>0</formula>
    </cfRule>
  </conditionalFormatting>
  <conditionalFormatting sqref="G67:G68">
    <cfRule type="cellIs" dxfId="1069" priority="146" stopIfTrue="1" operator="greaterThan">
      <formula>$F67</formula>
    </cfRule>
    <cfRule type="cellIs" dxfId="1068" priority="134" stopIfTrue="1" operator="greaterThan">
      <formula>$F67</formula>
    </cfRule>
    <cfRule type="cellIs" dxfId="1067" priority="135" stopIfTrue="1" operator="lessThanOrEqual">
      <formula>0</formula>
    </cfRule>
  </conditionalFormatting>
  <conditionalFormatting sqref="G69">
    <cfRule type="cellIs" dxfId="1066" priority="182" stopIfTrue="1" operator="lessThanOrEqual">
      <formula>0</formula>
    </cfRule>
    <cfRule type="cellIs" dxfId="1065" priority="181" stopIfTrue="1" operator="greaterThan">
      <formula>$F68</formula>
    </cfRule>
  </conditionalFormatting>
  <conditionalFormatting sqref="G70">
    <cfRule type="cellIs" dxfId="1064" priority="30" stopIfTrue="1" operator="greaterThan">
      <formula>$F70</formula>
    </cfRule>
    <cfRule type="cellIs" dxfId="1063" priority="33" stopIfTrue="1" operator="lessThanOrEqual">
      <formula>0</formula>
    </cfRule>
    <cfRule type="cellIs" dxfId="1062" priority="32" stopIfTrue="1" operator="greaterThan">
      <formula>$F70</formula>
    </cfRule>
    <cfRule type="cellIs" dxfId="1061" priority="31" stopIfTrue="1" operator="lessThanOrEqual">
      <formula>0</formula>
    </cfRule>
  </conditionalFormatting>
  <conditionalFormatting sqref="G71:G75">
    <cfRule type="cellIs" dxfId="1060" priority="149" stopIfTrue="1" operator="lessThanOrEqual">
      <formula>0</formula>
    </cfRule>
    <cfRule type="cellIs" dxfId="1059" priority="148" stopIfTrue="1" operator="greaterThan">
      <formula>$J71</formula>
    </cfRule>
  </conditionalFormatting>
  <conditionalFormatting sqref="G80:G85 C83 C85">
    <cfRule type="cellIs" dxfId="1058" priority="175" stopIfTrue="1" operator="lessThanOrEqual">
      <formula>0</formula>
    </cfRule>
    <cfRule type="cellIs" dxfId="1057" priority="174" stopIfTrue="1" operator="greaterThan">
      <formula>4.5</formula>
    </cfRule>
  </conditionalFormatting>
  <conditionalFormatting sqref="G24:H24">
    <cfRule type="expression" dxfId="1056" priority="29">
      <formula>IF(+(IF(G24&lt;#REF!,0,IF(G24&gt;#REF!,0,1)))=0,1)</formula>
    </cfRule>
  </conditionalFormatting>
  <conditionalFormatting sqref="G79:H79">
    <cfRule type="cellIs" dxfId="1055" priority="155" stopIfTrue="1" operator="greaterThan">
      <formula>$F$78</formula>
    </cfRule>
    <cfRule type="cellIs" dxfId="1054" priority="156" stopIfTrue="1" operator="lessThanOrEqual">
      <formula>0</formula>
    </cfRule>
  </conditionalFormatting>
  <conditionalFormatting sqref="H10:H23">
    <cfRule type="expression" dxfId="1053" priority="1">
      <formula>IF(+(IF(H10&lt;#REF!,0,IF(H10&gt;#REF!,0,1)))=0,1)</formula>
    </cfRule>
  </conditionalFormatting>
  <conditionalFormatting sqref="H38:H39 H52">
    <cfRule type="cellIs" dxfId="1052" priority="153" stopIfTrue="1" operator="greaterThan">
      <formula>0</formula>
    </cfRule>
  </conditionalFormatting>
  <conditionalFormatting sqref="H56">
    <cfRule type="cellIs" dxfId="1051" priority="16" stopIfTrue="1" operator="lessThanOrEqual">
      <formula>0</formula>
    </cfRule>
    <cfRule type="cellIs" dxfId="1050" priority="17" stopIfTrue="1" operator="greaterThan">
      <formula>$F$71</formula>
    </cfRule>
    <cfRule type="cellIs" dxfId="1049" priority="25" stopIfTrue="1" operator="greaterThan">
      <formula>$F$74</formula>
    </cfRule>
    <cfRule type="cellIs" dxfId="1048" priority="26" stopIfTrue="1" operator="lessThanOrEqual">
      <formula>0</formula>
    </cfRule>
    <cfRule type="cellIs" dxfId="1047" priority="27" stopIfTrue="1" operator="greaterThan">
      <formula>$F$72</formula>
    </cfRule>
    <cfRule type="cellIs" dxfId="1046" priority="28" stopIfTrue="1" operator="lessThanOrEqual">
      <formula>0</formula>
    </cfRule>
  </conditionalFormatting>
  <conditionalFormatting sqref="H57">
    <cfRule type="cellIs" dxfId="1045" priority="99" stopIfTrue="1" operator="lessThanOrEqual">
      <formula>0</formula>
    </cfRule>
    <cfRule type="cellIs" dxfId="1044" priority="98" stopIfTrue="1" operator="greaterThan">
      <formula>$F$25</formula>
    </cfRule>
    <cfRule type="cellIs" dxfId="1043" priority="101" stopIfTrue="1" operator="lessThanOrEqual">
      <formula>0</formula>
    </cfRule>
    <cfRule type="cellIs" dxfId="1042" priority="100" stopIfTrue="1" operator="greaterThan">
      <formula>#REF!</formula>
    </cfRule>
    <cfRule type="cellIs" dxfId="1041" priority="89" stopIfTrue="1" operator="lessThanOrEqual">
      <formula>0</formula>
    </cfRule>
    <cfRule type="cellIs" dxfId="1040" priority="90" stopIfTrue="1" operator="greaterThan">
      <formula>#REF!</formula>
    </cfRule>
  </conditionalFormatting>
  <conditionalFormatting sqref="H58">
    <cfRule type="cellIs" dxfId="1039" priority="71" stopIfTrue="1" operator="lessThanOrEqual">
      <formula>0</formula>
    </cfRule>
    <cfRule type="cellIs" dxfId="1038" priority="70" stopIfTrue="1" operator="greaterThan">
      <formula>$F$69</formula>
    </cfRule>
    <cfRule type="cellIs" dxfId="1037" priority="68" stopIfTrue="1" operator="greaterThan">
      <formula>$F$71</formula>
    </cfRule>
    <cfRule type="cellIs" dxfId="1036" priority="59" stopIfTrue="1" operator="lessThanOrEqual">
      <formula>0</formula>
    </cfRule>
    <cfRule type="cellIs" dxfId="1035" priority="60" stopIfTrue="1" operator="greaterThan">
      <formula>$F$68</formula>
    </cfRule>
    <cfRule type="cellIs" dxfId="1034" priority="69" stopIfTrue="1" operator="lessThanOrEqual">
      <formula>0</formula>
    </cfRule>
  </conditionalFormatting>
  <conditionalFormatting sqref="H59:H60">
    <cfRule type="cellIs" dxfId="1033" priority="76" stopIfTrue="1" operator="greaterThan">
      <formula>#REF!</formula>
    </cfRule>
    <cfRule type="cellIs" dxfId="1032" priority="85" stopIfTrue="1" operator="lessThanOrEqual">
      <formula>0</formula>
    </cfRule>
    <cfRule type="cellIs" dxfId="1031" priority="75" stopIfTrue="1" operator="lessThanOrEqual">
      <formula>0</formula>
    </cfRule>
    <cfRule type="cellIs" dxfId="1030" priority="86" stopIfTrue="1" operator="greaterThan">
      <formula>#REF!</formula>
    </cfRule>
    <cfRule type="cellIs" dxfId="1029" priority="87" stopIfTrue="1" operator="lessThanOrEqual">
      <formula>0</formula>
    </cfRule>
    <cfRule type="cellIs" dxfId="1028" priority="84" stopIfTrue="1" operator="greaterThan">
      <formula>$F$24</formula>
    </cfRule>
  </conditionalFormatting>
  <conditionalFormatting sqref="H61">
    <cfRule type="cellIs" dxfId="1027" priority="115" stopIfTrue="1" operator="greaterThan">
      <formula>$F$38</formula>
    </cfRule>
    <cfRule type="cellIs" dxfId="1026" priority="104" stopIfTrue="1" operator="lessThanOrEqual">
      <formula>0</formula>
    </cfRule>
    <cfRule type="cellIs" dxfId="1025" priority="116" stopIfTrue="1" operator="lessThanOrEqual">
      <formula>0</formula>
    </cfRule>
    <cfRule type="cellIs" dxfId="1024" priority="114" stopIfTrue="1" operator="lessThanOrEqual">
      <formula>0</formula>
    </cfRule>
    <cfRule type="cellIs" dxfId="1023" priority="113" stopIfTrue="1" operator="greaterThan">
      <formula>$F$40</formula>
    </cfRule>
    <cfRule type="cellIs" dxfId="1022" priority="105" stopIfTrue="1" operator="greaterThan">
      <formula>$F$37</formula>
    </cfRule>
  </conditionalFormatting>
  <conditionalFormatting sqref="H62:H63">
    <cfRule type="cellIs" dxfId="1021" priority="55" stopIfTrue="1" operator="lessThanOrEqual">
      <formula>0</formula>
    </cfRule>
    <cfRule type="cellIs" dxfId="1020" priority="57" stopIfTrue="1" operator="lessThanOrEqual">
      <formula>0</formula>
    </cfRule>
    <cfRule type="cellIs" dxfId="1019" priority="56" stopIfTrue="1" operator="greaterThan">
      <formula>#REF!</formula>
    </cfRule>
    <cfRule type="cellIs" dxfId="1018" priority="54" stopIfTrue="1" operator="greaterThan">
      <formula>$F$24</formula>
    </cfRule>
    <cfRule type="cellIs" dxfId="1017" priority="45" stopIfTrue="1" operator="lessThanOrEqual">
      <formula>0</formula>
    </cfRule>
    <cfRule type="cellIs" dxfId="1016" priority="46" stopIfTrue="1" operator="greaterThan">
      <formula>#REF!</formula>
    </cfRule>
  </conditionalFormatting>
  <conditionalFormatting sqref="H67:H74">
    <cfRule type="cellIs" dxfId="1015" priority="137" stopIfTrue="1" operator="lessThanOrEqual">
      <formula>0</formula>
    </cfRule>
    <cfRule type="cellIs" dxfId="1014" priority="136" stopIfTrue="1" operator="greaterThan">
      <formula>$J67</formula>
    </cfRule>
  </conditionalFormatting>
  <conditionalFormatting sqref="H75">
    <cfRule type="cellIs" dxfId="1013" priority="138" operator="greaterThan">
      <formula>5.3</formula>
    </cfRule>
  </conditionalFormatting>
  <conditionalFormatting sqref="H78 H80:H86">
    <cfRule type="cellIs" dxfId="1012" priority="168" stopIfTrue="1" operator="lessThanOrEqual">
      <formula>0</formula>
    </cfRule>
    <cfRule type="cellIs" dxfId="1011" priority="167" stopIfTrue="1" operator="greaterThan">
      <formula>4.5</formula>
    </cfRule>
  </conditionalFormatting>
  <conditionalFormatting sqref="H56:I56">
    <cfRule type="cellIs" dxfId="1010" priority="15" stopIfTrue="1" operator="greaterThan">
      <formula>$F$73</formula>
    </cfRule>
    <cfRule type="cellIs" dxfId="1009" priority="18" stopIfTrue="1" operator="lessThanOrEqual">
      <formula>0</formula>
    </cfRule>
  </conditionalFormatting>
  <conditionalFormatting sqref="H57:I57">
    <cfRule type="cellIs" dxfId="1008" priority="88" stopIfTrue="1" operator="greaterThan">
      <formula>$F$24</formula>
    </cfRule>
    <cfRule type="cellIs" dxfId="1007" priority="91" stopIfTrue="1" operator="lessThanOrEqual">
      <formula>0</formula>
    </cfRule>
  </conditionalFormatting>
  <conditionalFormatting sqref="H58:I58">
    <cfRule type="cellIs" dxfId="1006" priority="58" stopIfTrue="1" operator="greaterThan">
      <formula>$F$70</formula>
    </cfRule>
    <cfRule type="cellIs" dxfId="1005" priority="61" stopIfTrue="1" operator="lessThanOrEqual">
      <formula>0</formula>
    </cfRule>
  </conditionalFormatting>
  <conditionalFormatting sqref="H59:I60">
    <cfRule type="cellIs" dxfId="1004" priority="74" stopIfTrue="1" operator="greaterThan">
      <formula>#REF!</formula>
    </cfRule>
    <cfRule type="cellIs" dxfId="1003" priority="77" stopIfTrue="1" operator="lessThanOrEqual">
      <formula>0</formula>
    </cfRule>
  </conditionalFormatting>
  <conditionalFormatting sqref="H61:I61">
    <cfRule type="cellIs" dxfId="1002" priority="106" stopIfTrue="1" operator="lessThanOrEqual">
      <formula>0</formula>
    </cfRule>
    <cfRule type="cellIs" dxfId="1001" priority="103" stopIfTrue="1" operator="greaterThan">
      <formula>$F$39</formula>
    </cfRule>
  </conditionalFormatting>
  <conditionalFormatting sqref="H62:I63">
    <cfRule type="cellIs" dxfId="1000" priority="44" stopIfTrue="1" operator="greaterThan">
      <formula>#REF!</formula>
    </cfRule>
    <cfRule type="cellIs" dxfId="999" priority="47" stopIfTrue="1" operator="lessThanOrEqual">
      <formula>0</formula>
    </cfRule>
  </conditionalFormatting>
  <conditionalFormatting sqref="H76:I76">
    <cfRule type="cellIs" dxfId="998" priority="129" stopIfTrue="1" operator="lessThanOrEqual">
      <formula>0</formula>
    </cfRule>
    <cfRule type="cellIs" dxfId="997" priority="128" stopIfTrue="1" operator="greaterThan">
      <formula>$J76</formula>
    </cfRule>
  </conditionalFormatting>
  <conditionalFormatting sqref="I56">
    <cfRule type="cellIs" dxfId="996" priority="20" stopIfTrue="1" operator="lessThanOrEqual">
      <formula>0</formula>
    </cfRule>
    <cfRule type="cellIs" dxfId="995" priority="19" stopIfTrue="1" operator="greaterThan">
      <formula>$F$71</formula>
    </cfRule>
    <cfRule type="cellIs" dxfId="994" priority="24" stopIfTrue="1" operator="lessThanOrEqual">
      <formula>0</formula>
    </cfRule>
    <cfRule type="cellIs" dxfId="993" priority="23" stopIfTrue="1" operator="greaterThan">
      <formula>$F$71</formula>
    </cfRule>
    <cfRule type="cellIs" dxfId="992" priority="21" stopIfTrue="1" operator="greaterThan">
      <formula>$F$73</formula>
    </cfRule>
    <cfRule type="cellIs" dxfId="991" priority="22" stopIfTrue="1" operator="lessThanOrEqual">
      <formula>0</formula>
    </cfRule>
  </conditionalFormatting>
  <conditionalFormatting sqref="I57">
    <cfRule type="cellIs" dxfId="990" priority="95" stopIfTrue="1" operator="lessThanOrEqual">
      <formula>0</formula>
    </cfRule>
    <cfRule type="cellIs" dxfId="989" priority="96" stopIfTrue="1" operator="greaterThan">
      <formula>#REF!</formula>
    </cfRule>
    <cfRule type="cellIs" dxfId="988" priority="97" stopIfTrue="1" operator="lessThanOrEqual">
      <formula>0</formula>
    </cfRule>
    <cfRule type="cellIs" dxfId="987" priority="92" stopIfTrue="1" operator="greaterThan">
      <formula>#REF!</formula>
    </cfRule>
    <cfRule type="cellIs" dxfId="986" priority="93" stopIfTrue="1" operator="lessThanOrEqual">
      <formula>0</formula>
    </cfRule>
    <cfRule type="cellIs" dxfId="985" priority="94" stopIfTrue="1" operator="greaterThan">
      <formula>$F$24</formula>
    </cfRule>
  </conditionalFormatting>
  <conditionalFormatting sqref="I58">
    <cfRule type="cellIs" dxfId="984" priority="67" stopIfTrue="1" operator="lessThanOrEqual">
      <formula>0</formula>
    </cfRule>
    <cfRule type="cellIs" dxfId="983" priority="65" stopIfTrue="1" operator="lessThanOrEqual">
      <formula>0</formula>
    </cfRule>
    <cfRule type="cellIs" dxfId="982" priority="64" stopIfTrue="1" operator="greaterThan">
      <formula>$F$70</formula>
    </cfRule>
    <cfRule type="cellIs" dxfId="981" priority="63" stopIfTrue="1" operator="lessThanOrEqual">
      <formula>0</formula>
    </cfRule>
    <cfRule type="cellIs" dxfId="980" priority="62" stopIfTrue="1" operator="greaterThan">
      <formula>$F$68</formula>
    </cfRule>
    <cfRule type="cellIs" dxfId="979" priority="66" stopIfTrue="1" operator="greaterThan">
      <formula>$F$68</formula>
    </cfRule>
  </conditionalFormatting>
  <conditionalFormatting sqref="I59:I60">
    <cfRule type="cellIs" dxfId="978" priority="83" stopIfTrue="1" operator="lessThanOrEqual">
      <formula>0</formula>
    </cfRule>
    <cfRule type="cellIs" dxfId="977" priority="82" stopIfTrue="1" operator="greaterThan">
      <formula>#REF!</formula>
    </cfRule>
    <cfRule type="cellIs" dxfId="976" priority="81" stopIfTrue="1" operator="lessThanOrEqual">
      <formula>0</formula>
    </cfRule>
    <cfRule type="cellIs" dxfId="975" priority="78" stopIfTrue="1" operator="greaterThan">
      <formula>#REF!</formula>
    </cfRule>
    <cfRule type="cellIs" dxfId="974" priority="80" stopIfTrue="1" operator="greaterThan">
      <formula>#REF!</formula>
    </cfRule>
    <cfRule type="cellIs" dxfId="973" priority="79" stopIfTrue="1" operator="lessThanOrEqual">
      <formula>0</formula>
    </cfRule>
  </conditionalFormatting>
  <conditionalFormatting sqref="I61">
    <cfRule type="cellIs" dxfId="972" priority="112" stopIfTrue="1" operator="lessThanOrEqual">
      <formula>0</formula>
    </cfRule>
    <cfRule type="cellIs" dxfId="971" priority="111" stopIfTrue="1" operator="greaterThan">
      <formula>$F$37</formula>
    </cfRule>
    <cfRule type="cellIs" dxfId="970" priority="110" stopIfTrue="1" operator="lessThanOrEqual">
      <formula>0</formula>
    </cfRule>
    <cfRule type="cellIs" dxfId="969" priority="109" stopIfTrue="1" operator="greaterThan">
      <formula>$F$39</formula>
    </cfRule>
    <cfRule type="cellIs" dxfId="968" priority="108" stopIfTrue="1" operator="lessThanOrEqual">
      <formula>0</formula>
    </cfRule>
    <cfRule type="cellIs" dxfId="967" priority="107" stopIfTrue="1" operator="greaterThan">
      <formula>$F$37</formula>
    </cfRule>
  </conditionalFormatting>
  <conditionalFormatting sqref="I62:I63">
    <cfRule type="cellIs" dxfId="966" priority="50" stopIfTrue="1" operator="greaterThan">
      <formula>#REF!</formula>
    </cfRule>
    <cfRule type="cellIs" dxfId="965" priority="51" stopIfTrue="1" operator="lessThanOrEqual">
      <formula>0</formula>
    </cfRule>
    <cfRule type="cellIs" dxfId="964" priority="52" stopIfTrue="1" operator="greaterThan">
      <formula>#REF!</formula>
    </cfRule>
    <cfRule type="cellIs" dxfId="963" priority="53" stopIfTrue="1" operator="lessThanOrEqual">
      <formula>0</formula>
    </cfRule>
    <cfRule type="cellIs" dxfId="962" priority="48" stopIfTrue="1" operator="greaterThan">
      <formula>#REF!</formula>
    </cfRule>
    <cfRule type="cellIs" dxfId="961" priority="49" stopIfTrue="1" operator="lessThanOrEqual">
      <formula>0</formula>
    </cfRule>
  </conditionalFormatting>
  <conditionalFormatting sqref="I67:I75">
    <cfRule type="cellIs" dxfId="960" priority="140" stopIfTrue="1" operator="lessThanOrEqual">
      <formula>0</formula>
    </cfRule>
    <cfRule type="cellIs" dxfId="959" priority="139" stopIfTrue="1" operator="greaterThan">
      <formula>$J67</formula>
    </cfRule>
  </conditionalFormatting>
  <conditionalFormatting sqref="I78:I86">
    <cfRule type="cellIs" dxfId="958" priority="163" stopIfTrue="1" operator="greaterThan">
      <formula>4.5</formula>
    </cfRule>
    <cfRule type="cellIs" dxfId="957" priority="164" stopIfTrue="1" operator="lessThanOrEqual">
      <formula>0</formula>
    </cfRule>
  </conditionalFormatting>
  <conditionalFormatting sqref="I10:J24">
    <cfRule type="cellIs" dxfId="956" priority="5" operator="lessThan">
      <formula>97.9</formula>
    </cfRule>
  </conditionalFormatting>
  <conditionalFormatting sqref="J28:J29">
    <cfRule type="cellIs" dxfId="955" priority="120" operator="lessThan">
      <formula>98</formula>
    </cfRule>
    <cfRule type="cellIs" dxfId="954" priority="119" stopIfTrue="1" operator="greaterThan">
      <formula>100</formula>
    </cfRule>
    <cfRule type="cellIs" dxfId="953" priority="118" stopIfTrue="1" operator="lessThan">
      <formula>96.8</formula>
    </cfRule>
  </conditionalFormatting>
  <conditionalFormatting sqref="J28:J31">
    <cfRule type="cellIs" dxfId="952" priority="117" operator="lessThan">
      <formula>97.4</formula>
    </cfRule>
  </conditionalFormatting>
  <conditionalFormatting sqref="J32:J33">
    <cfRule type="cellIs" dxfId="951" priority="121" operator="lessThan">
      <formula>98</formula>
    </cfRule>
  </conditionalFormatting>
  <conditionalFormatting sqref="J34:J35">
    <cfRule type="cellIs" dxfId="950" priority="122" stopIfTrue="1" operator="lessThan">
      <formula>96.8</formula>
    </cfRule>
    <cfRule type="cellIs" dxfId="949" priority="123" stopIfTrue="1" operator="greaterThan">
      <formula>100</formula>
    </cfRule>
  </conditionalFormatting>
  <conditionalFormatting sqref="J34:J36">
    <cfRule type="cellIs" dxfId="948" priority="124" operator="lessThan">
      <formula>98</formula>
    </cfRule>
  </conditionalFormatting>
  <conditionalFormatting sqref="J63">
    <cfRule type="cellIs" dxfId="947" priority="43" stopIfTrue="1" operator="lessThanOrEqual">
      <formula>0</formula>
    </cfRule>
    <cfRule type="cellIs" dxfId="946" priority="42" stopIfTrue="1" operator="greaterThan">
      <formula>#REF!</formula>
    </cfRule>
    <cfRule type="cellIs" dxfId="945" priority="41" stopIfTrue="1" operator="lessThanOrEqual">
      <formula>0</formula>
    </cfRule>
    <cfRule type="cellIs" dxfId="944" priority="40" stopIfTrue="1" operator="greaterThan">
      <formula>#REF!</formula>
    </cfRule>
    <cfRule type="cellIs" dxfId="943" priority="39" stopIfTrue="1" operator="lessThanOrEqual">
      <formula>0</formula>
    </cfRule>
    <cfRule type="cellIs" dxfId="942" priority="38" stopIfTrue="1" operator="greaterThan">
      <formula>#REF!</formula>
    </cfRule>
    <cfRule type="cellIs" dxfId="941" priority="37" stopIfTrue="1" operator="lessThanOrEqual">
      <formula>0</formula>
    </cfRule>
    <cfRule type="cellIs" dxfId="940" priority="36" stopIfTrue="1" operator="greaterThan">
      <formula>#REF!</formula>
    </cfRule>
  </conditionalFormatting>
  <conditionalFormatting sqref="J76">
    <cfRule type="cellIs" dxfId="939" priority="125" stopIfTrue="1" operator="greaterThan">
      <formula>$F76</formula>
    </cfRule>
    <cfRule type="cellIs" dxfId="938" priority="126" stopIfTrue="1" operator="lessThanOrEqual">
      <formula>0</formula>
    </cfRule>
  </conditionalFormatting>
  <conditionalFormatting sqref="K10:K24">
    <cfRule type="cellIs" dxfId="937" priority="8" operator="greaterThan">
      <formula>6.4</formula>
    </cfRule>
    <cfRule type="cellIs" dxfId="936" priority="7" operator="lessThan">
      <formula>4</formula>
    </cfRule>
    <cfRule type="cellIs" dxfId="935" priority="6" operator="greaterThan">
      <formula>6</formula>
    </cfRule>
  </conditionalFormatting>
  <conditionalFormatting sqref="K56:K63 K67:N73 K74 M74:N74 K75:N75">
    <cfRule type="cellIs" dxfId="934" priority="102" stopIfTrue="1" operator="lessThan">
      <formula>100%</formula>
    </cfRule>
  </conditionalFormatting>
  <conditionalFormatting sqref="K78:K83">
    <cfRule type="cellIs" dxfId="933" priority="169" stopIfTrue="1" operator="lessThan">
      <formula>100%</formula>
    </cfRule>
  </conditionalFormatting>
  <conditionalFormatting sqref="K85:K86">
    <cfRule type="cellIs" dxfId="932" priority="176" stopIfTrue="1" operator="lessThan">
      <formula>100%</formula>
    </cfRule>
  </conditionalFormatting>
  <conditionalFormatting sqref="L10:L24">
    <cfRule type="cellIs" dxfId="931" priority="10" operator="greaterThan">
      <formula>65</formula>
    </cfRule>
    <cfRule type="cellIs" dxfId="930" priority="9" operator="between">
      <formula>61</formula>
      <formula>65</formula>
    </cfRule>
  </conditionalFormatting>
  <conditionalFormatting sqref="L27:M38">
    <cfRule type="cellIs" dxfId="929" priority="13" operator="lessThan">
      <formula>97.95</formula>
    </cfRule>
  </conditionalFormatting>
  <conditionalFormatting sqref="L42:N42">
    <cfRule type="cellIs" dxfId="928" priority="14" operator="notEqual">
      <formula>#REF!</formula>
    </cfRule>
  </conditionalFormatting>
  <conditionalFormatting sqref="L76:N76">
    <cfRule type="cellIs" dxfId="927" priority="127" stopIfTrue="1" operator="lessThan">
      <formula>100%</formula>
    </cfRule>
  </conditionalFormatting>
  <conditionalFormatting sqref="L78:N86">
    <cfRule type="cellIs" dxfId="926" priority="154" stopIfTrue="1" operator="lessThan">
      <formula>100%</formula>
    </cfRule>
  </conditionalFormatting>
  <conditionalFormatting sqref="M10:M23">
    <cfRule type="expression" dxfId="925" priority="2">
      <formula>IF(+(IF(M10&lt;U10,0,IF(M10&gt;V10,0,1)))=0,1)</formula>
    </cfRule>
  </conditionalFormatting>
  <conditionalFormatting sqref="M24:N24">
    <cfRule type="expression" dxfId="924" priority="184">
      <formula>IF(+(IF(M24&lt;#REF!,0,IF(M24&gt;#REF!,0,1)))=0,1)</formula>
    </cfRule>
  </conditionalFormatting>
  <conditionalFormatting sqref="N10:N23">
    <cfRule type="expression" dxfId="923" priority="4">
      <formula>IF(+(IF(N10&lt;W10,0,IF(N10&gt;X10,0,1)))=0,1)</formula>
    </cfRule>
  </conditionalFormatting>
  <conditionalFormatting sqref="P6">
    <cfRule type="cellIs" dxfId="922" priority="150" operator="greaterThanOrEqual">
      <formula>19</formula>
    </cfRule>
  </conditionalFormatting>
  <dataValidations count="1">
    <dataValidation type="list" allowBlank="1" showInputMessage="1" showErrorMessage="1" sqref="R8" xr:uid="{AD18A359-862E-4F12-B06D-6DD0D777F62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521F-5C9E-48FA-AB1C-428DC3B55187}">
  <sheetPr>
    <pageSetUpPr fitToPage="1"/>
  </sheetPr>
  <dimension ref="A1:BE76"/>
  <sheetViews>
    <sheetView topLeftCell="C16" zoomScale="70" zoomScaleNormal="70" workbookViewId="0">
      <selection activeCell="L56" sqref="L5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46014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18" t="s">
        <v>195</v>
      </c>
      <c r="R10" s="277">
        <f t="shared" ref="R10:R38" si="0">B10</f>
        <v>0</v>
      </c>
      <c r="S10" s="475" t="e">
        <f t="shared" ref="S10:S38" si="1">VLOOKUP($B10,$R$3:$X$9,2,FALSE)</f>
        <v>#N/A</v>
      </c>
      <c r="T10" s="475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475" t="e">
        <f t="shared" ref="Z10:Z38" si="8">VLOOKUP($B10,$R$3:$Z$9,9,FALSE)</f>
        <v>#N/A</v>
      </c>
    </row>
    <row r="11" spans="2:29" ht="16.5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475" t="e">
        <f t="shared" si="1"/>
        <v>#N/A</v>
      </c>
      <c r="T11" s="475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5" t="e">
        <f t="shared" si="8"/>
        <v>#N/A</v>
      </c>
    </row>
    <row r="12" spans="2:29" ht="16.5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475" t="e">
        <f t="shared" si="1"/>
        <v>#N/A</v>
      </c>
      <c r="T12" s="475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5" t="e">
        <f t="shared" si="8"/>
        <v>#N/A</v>
      </c>
    </row>
    <row r="13" spans="2:29" ht="16.5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5" t="e">
        <f t="shared" si="1"/>
        <v>#N/A</v>
      </c>
      <c r="T13" s="475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5" t="e">
        <f t="shared" si="8"/>
        <v>#N/A</v>
      </c>
    </row>
    <row r="14" spans="2:29" ht="16.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8"/>
      <c r="J25" s="528"/>
      <c r="K25" s="528"/>
      <c r="L25" s="528"/>
      <c r="M25" s="528"/>
      <c r="N25" s="528"/>
      <c r="O25" s="1"/>
      <c r="P25" s="12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5.75" customHeight="1" thickBot="1">
      <c r="B26" s="388" t="s">
        <v>162</v>
      </c>
      <c r="C26" s="388"/>
      <c r="D26" s="506" t="s">
        <v>35</v>
      </c>
      <c r="E26" s="50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5" customHeight="1">
      <c r="A27" s="28"/>
      <c r="B27" s="529" t="str">
        <f>I28</f>
        <v>STAG</v>
      </c>
      <c r="C27" s="362" cm="1">
        <f t="array" ref="C27:C36">[24]Process!$D$486:$D$495</f>
        <v>11.8</v>
      </c>
      <c r="D27" s="532">
        <v>11.97</v>
      </c>
      <c r="E27" s="533"/>
      <c r="F27" s="294"/>
      <c r="G27" s="294"/>
      <c r="H27" s="348"/>
      <c r="I27" s="29" t="s">
        <v>6</v>
      </c>
      <c r="J27" s="280"/>
      <c r="K27" s="284">
        <f>COUNTA([23]Brewhouse!$A$1005:$A$1026)</f>
        <v>22</v>
      </c>
      <c r="L27" s="305">
        <f>AVERAGE([23]Brewhouse!$AU$1005:$AU$1026)</f>
        <v>98.810662473067381</v>
      </c>
      <c r="M27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$1026)</f>
        <v>97.779896733492322</v>
      </c>
      <c r="N27" s="30">
        <v>98</v>
      </c>
      <c r="O27" s="11"/>
      <c r="P27" s="31"/>
      <c r="R27" s="277" t="str">
        <f t="shared" si="0"/>
        <v>STAG</v>
      </c>
      <c r="S27" s="475">
        <f t="shared" si="1"/>
        <v>11.6</v>
      </c>
      <c r="T27" s="475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5">
        <f t="shared" si="8"/>
        <v>60</v>
      </c>
    </row>
    <row r="28" spans="1:27" ht="15" customHeight="1">
      <c r="A28" s="28"/>
      <c r="B28" s="530"/>
      <c r="C28" s="362">
        <v>12</v>
      </c>
      <c r="D28" s="534"/>
      <c r="E28" s="535"/>
      <c r="F28" s="294"/>
      <c r="G28" s="294"/>
      <c r="H28" s="348"/>
      <c r="I28" s="33" t="s">
        <v>9</v>
      </c>
      <c r="J28" s="280"/>
      <c r="K28" s="284">
        <f>COUNTA([24]Brewhouse!$A$486:$A$523)</f>
        <v>38</v>
      </c>
      <c r="L28" s="302">
        <f>AVERAGE([24]Brewhouse!$AS$486:$AS$523)</f>
        <v>97.091279048572574</v>
      </c>
      <c r="M28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30"/>
      <c r="C29" s="362">
        <v>11.9</v>
      </c>
      <c r="D29" s="580">
        <v>12.03</v>
      </c>
      <c r="E29" s="581"/>
      <c r="F29" s="294"/>
      <c r="G29" s="294"/>
      <c r="H29" s="348"/>
      <c r="I29" s="34" t="s">
        <v>12</v>
      </c>
      <c r="J29" s="280"/>
      <c r="K29" s="284">
        <f>COUNTA([25]Brewhouse!$A$125:$A$132)</f>
        <v>8</v>
      </c>
      <c r="L29" s="302">
        <f>AVERAGE([25]Brewhouse!$AU$125:$AU$132)</f>
        <v>96.474285660381511</v>
      </c>
      <c r="M29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30"/>
      <c r="C30" s="362">
        <v>12</v>
      </c>
      <c r="D30" s="547"/>
      <c r="E30" s="535"/>
      <c r="F30" s="294"/>
      <c r="G30" s="294"/>
      <c r="H30" s="348"/>
      <c r="I30" s="22" t="s">
        <v>33</v>
      </c>
      <c r="J30" s="280"/>
      <c r="K30" s="284">
        <f>COUNTA([22]Brewhouse!$A$107:$A$122)</f>
        <v>16</v>
      </c>
      <c r="L30" s="302">
        <f>AVERAGE([22]Brewhouse!$AV$107:$AV$122)</f>
        <v>96.593037676437092</v>
      </c>
      <c r="M30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7" ht="14.65" customHeight="1">
      <c r="A31" s="28"/>
      <c r="B31" s="530"/>
      <c r="C31" s="362">
        <v>11.7</v>
      </c>
      <c r="D31" s="580">
        <v>11.8</v>
      </c>
      <c r="E31" s="581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7" ht="14.65" customHeight="1">
      <c r="A32" s="28"/>
      <c r="B32" s="530"/>
      <c r="C32" s="362">
        <v>11.7</v>
      </c>
      <c r="D32" s="547"/>
      <c r="E32" s="535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30"/>
      <c r="C33" s="362">
        <v>11.9</v>
      </c>
      <c r="D33" s="580">
        <v>11.92</v>
      </c>
      <c r="E33" s="581"/>
      <c r="F33" s="417"/>
      <c r="G33" s="294"/>
      <c r="H33" s="348"/>
      <c r="I33" s="37" t="s">
        <v>16</v>
      </c>
      <c r="J33" s="323"/>
      <c r="K33" s="284">
        <f>COUNTA([27]Brewhouse!$A$99:$A$116)</f>
        <v>18</v>
      </c>
      <c r="L33" s="302">
        <f>AVERAGE([27]Brewhouse!$AY$99:$AY$116)</f>
        <v>97.377797632485397</v>
      </c>
      <c r="M33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3" s="30">
        <v>98</v>
      </c>
      <c r="O33" s="11"/>
      <c r="P33" s="31" t="s">
        <v>41</v>
      </c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4.65" customHeight="1">
      <c r="A34" s="28"/>
      <c r="B34" s="530"/>
      <c r="C34" s="362">
        <v>12</v>
      </c>
      <c r="D34" s="547"/>
      <c r="E34" s="535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530"/>
      <c r="C35" s="349">
        <v>11.8</v>
      </c>
      <c r="D35" s="580">
        <v>11.89</v>
      </c>
      <c r="E35" s="581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" customHeight="1" thickBot="1">
      <c r="A36" s="28"/>
      <c r="B36" s="530"/>
      <c r="C36" s="349">
        <v>12</v>
      </c>
      <c r="D36" s="547"/>
      <c r="E36" s="535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" customHeight="1" thickBot="1">
      <c r="A37" s="28"/>
      <c r="B37" s="530"/>
      <c r="C37" s="349"/>
      <c r="D37" s="532"/>
      <c r="E37" s="533"/>
      <c r="F37" s="294"/>
      <c r="G37" s="294"/>
      <c r="H37" s="348"/>
      <c r="I37" s="1"/>
      <c r="J37" s="39"/>
      <c r="K37" s="404">
        <f>SUM(K27:K36)</f>
        <v>102</v>
      </c>
      <c r="L37" s="405">
        <f>((L27*K27)+(L28*K28)+(L29*K29)+(L30*K30)+(L31*K31)+(K34*L34)+(L32*K32)+(L33*K33)+(L36*K36))/(K37)</f>
        <v>97.386141409255103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97.556564380607298</v>
      </c>
      <c r="N37" s="4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.75" thickBot="1">
      <c r="B38" s="605"/>
      <c r="C38" s="350"/>
      <c r="D38" s="534"/>
      <c r="E38" s="53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.75" thickBot="1">
      <c r="B39" s="596" t="str">
        <f>I29</f>
        <v>GUINNESS</v>
      </c>
      <c r="C39" s="362" cm="1">
        <f t="array" ref="C39:C46">[25]Process!$D$137:$D$144</f>
        <v>17.2</v>
      </c>
      <c r="D39" s="545">
        <v>17.309999999999999</v>
      </c>
      <c r="E39" s="546"/>
      <c r="F39" s="294"/>
      <c r="G39" s="42"/>
      <c r="H39" s="41"/>
      <c r="I39" s="42"/>
      <c r="J39" s="579" t="s">
        <v>129</v>
      </c>
      <c r="K39" s="579"/>
      <c r="L39" s="294"/>
      <c r="M39" s="294"/>
      <c r="N39" s="294"/>
      <c r="O39" s="294"/>
      <c r="P39" s="12"/>
    </row>
    <row r="40" spans="1:56" ht="15.75" thickBot="1">
      <c r="B40" s="597"/>
      <c r="C40" s="362">
        <v>17.3</v>
      </c>
      <c r="D40" s="547"/>
      <c r="E40" s="535"/>
      <c r="F40" s="294"/>
      <c r="G40" s="42"/>
      <c r="H40" s="42"/>
      <c r="I40" s="42"/>
      <c r="J40" s="292" t="s">
        <v>17</v>
      </c>
      <c r="K40" s="293" t="s">
        <v>147</v>
      </c>
      <c r="L40" s="549" t="s">
        <v>136</v>
      </c>
      <c r="M40" s="549"/>
      <c r="N40" s="550"/>
      <c r="O40" s="294"/>
      <c r="P40" s="12"/>
    </row>
    <row r="41" spans="1:56" ht="15" customHeight="1" thickBot="1">
      <c r="B41" s="597"/>
      <c r="C41" s="349">
        <v>17.600000000000001</v>
      </c>
      <c r="D41" s="580">
        <v>17.27</v>
      </c>
      <c r="E41" s="581"/>
      <c r="F41" s="294"/>
      <c r="G41" s="42"/>
      <c r="H41" s="42"/>
      <c r="I41" s="42"/>
      <c r="J41" s="287" t="s">
        <v>6</v>
      </c>
      <c r="K41" s="324"/>
      <c r="L41" s="476" t="s">
        <v>37</v>
      </c>
      <c r="M41" s="477" t="s">
        <v>38</v>
      </c>
      <c r="N41" s="477" t="s">
        <v>84</v>
      </c>
      <c r="O41" s="294"/>
      <c r="P41" s="12"/>
    </row>
    <row r="42" spans="1:56" ht="15.75" customHeight="1" thickBot="1">
      <c r="B42" s="597"/>
      <c r="C42" s="349">
        <v>17.3</v>
      </c>
      <c r="D42" s="547"/>
      <c r="E42" s="535"/>
      <c r="F42" s="294"/>
      <c r="G42" s="42"/>
      <c r="H42" s="42"/>
      <c r="I42" s="42"/>
      <c r="J42" s="345" t="s">
        <v>9</v>
      </c>
      <c r="K42" s="324"/>
      <c r="L42" s="344">
        <f>AVERAGE('Dec 1st'!K43,'Dec 2nd'!K49,'Dec 3rd '!K58,'Dec 4th'!K51,'Dec 5th-7th'!I70,'Dec 5th-7th'!J70,'Dec 5th-7th'!K70,'Dec 8th '!K49,'Dec 9th'!K49,'Dec 23rd'!K51,'Dec 11th'!K53,'Dec 12th-14th'!K44,'Dec 10th'!K61,'Dec 15th'!K49,'Dec 16th'!K54,'Dec 17th '!K48,'Dec 18th '!K51)</f>
        <v>6.375</v>
      </c>
      <c r="M42" s="325">
        <f>AVERAGE('[31]Jan 29th '!$M$70,'[32]Feb 28th'!$L$40,'[33]Mar. 31st'!$L$40,'[34]Apr. 30th'!$L$50,'[35]May 30th'!$L$42,'[36]June 30th'!$L$62,'[37]July 29th '!$L$49,'[38]Aug 29th'!$L$34,'[39]Sept 30th'!$L$40,[40]Oct.31st!$L$43,'[41]Nov 28th-30th'!$L$45,L42)</f>
        <v>6.9207810845396658</v>
      </c>
      <c r="N42" s="416">
        <v>9.1999999999999993</v>
      </c>
      <c r="O42" s="294"/>
      <c r="P42" s="12"/>
    </row>
    <row r="43" spans="1:56" ht="15" customHeight="1">
      <c r="B43" s="597"/>
      <c r="C43" s="349">
        <v>17.399999999999999</v>
      </c>
      <c r="D43" s="580">
        <v>17.399999999999999</v>
      </c>
      <c r="E43" s="58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97"/>
      <c r="C44" s="349">
        <v>17.3</v>
      </c>
      <c r="D44" s="547"/>
      <c r="E44" s="53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97"/>
      <c r="C45" s="349">
        <v>17.399999999999999</v>
      </c>
      <c r="D45" s="580">
        <v>17.54</v>
      </c>
      <c r="E45" s="58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97"/>
      <c r="C46" s="349">
        <v>17.3</v>
      </c>
      <c r="D46" s="547"/>
      <c r="E46" s="53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97"/>
      <c r="C47" s="349"/>
      <c r="D47" s="580"/>
      <c r="E47" s="58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607"/>
      <c r="C48" s="350"/>
      <c r="D48" s="582"/>
      <c r="E48" s="583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7"/>
      <c r="E49" s="578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/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57" t="s">
        <v>17</v>
      </c>
      <c r="C54" s="557" t="s">
        <v>44</v>
      </c>
      <c r="D54" s="559" t="s">
        <v>45</v>
      </c>
      <c r="E54" s="514" t="s">
        <v>46</v>
      </c>
      <c r="F54" s="574" t="s">
        <v>47</v>
      </c>
      <c r="G54" s="568" t="s">
        <v>48</v>
      </c>
      <c r="H54" s="557" t="s">
        <v>49</v>
      </c>
      <c r="I54" s="557" t="s">
        <v>50</v>
      </c>
      <c r="J54" s="562" t="s">
        <v>28</v>
      </c>
      <c r="K54" s="512" t="s">
        <v>51</v>
      </c>
      <c r="L54" s="524" t="s">
        <v>52</v>
      </c>
      <c r="M54" s="562" t="s">
        <v>53</v>
      </c>
      <c r="N54" s="13"/>
      <c r="O54" s="13"/>
      <c r="P54" s="50"/>
    </row>
    <row r="55" spans="2:57" ht="28.5" customHeight="1" thickTop="1" thickBot="1">
      <c r="B55" s="558"/>
      <c r="C55" s="558"/>
      <c r="D55" s="560"/>
      <c r="E55" s="561"/>
      <c r="F55" s="575"/>
      <c r="G55" s="569"/>
      <c r="H55" s="576"/>
      <c r="I55" s="576"/>
      <c r="J55" s="563"/>
      <c r="K55" s="572"/>
      <c r="L55" s="573"/>
      <c r="M55" s="563"/>
      <c r="N55" s="13"/>
      <c r="O55" s="13"/>
      <c r="P55" s="50"/>
      <c r="Q55" s="355"/>
      <c r="AB55" s="478">
        <v>43474</v>
      </c>
      <c r="AC55" s="478">
        <v>43475</v>
      </c>
      <c r="AD55" s="478">
        <v>43476</v>
      </c>
      <c r="AE55" s="478">
        <v>43477</v>
      </c>
      <c r="AF55" s="478">
        <v>43478</v>
      </c>
      <c r="AG55" s="478">
        <v>43479</v>
      </c>
      <c r="AH55" s="478">
        <v>43480</v>
      </c>
      <c r="AI55" s="478">
        <v>43481</v>
      </c>
      <c r="AJ55" s="478">
        <v>43482</v>
      </c>
      <c r="AK55" s="478">
        <v>43483</v>
      </c>
      <c r="AL55" s="478">
        <v>43484</v>
      </c>
      <c r="AM55" s="478">
        <v>43485</v>
      </c>
      <c r="AN55" s="478">
        <v>43486</v>
      </c>
      <c r="AO55" s="478">
        <v>43487</v>
      </c>
      <c r="AP55" s="478">
        <v>43488</v>
      </c>
      <c r="AQ55" s="478">
        <v>43489</v>
      </c>
      <c r="AR55" s="478">
        <v>43490</v>
      </c>
      <c r="AS55" s="478">
        <v>43491</v>
      </c>
      <c r="AT55" s="478">
        <v>43492</v>
      </c>
      <c r="AU55" s="478">
        <v>43493</v>
      </c>
      <c r="AV55" s="478">
        <v>43494</v>
      </c>
      <c r="AW55" s="478">
        <v>43495</v>
      </c>
      <c r="AX55" s="478">
        <v>43496</v>
      </c>
    </row>
    <row r="56" spans="2:57" s="54" customFormat="1" ht="43.15" customHeight="1" thickBot="1">
      <c r="B56" s="468" t="str">
        <f>J42</f>
        <v>STAG</v>
      </c>
      <c r="C56" s="441">
        <v>45984</v>
      </c>
      <c r="D56" s="442">
        <f>[42]December_2025!$Z$13</f>
        <v>481.88999999999993</v>
      </c>
      <c r="E56" s="443"/>
      <c r="F56" s="444"/>
      <c r="G56" s="444">
        <f>[42]December_2025!$Z$17</f>
        <v>457.7</v>
      </c>
      <c r="H56" s="458"/>
      <c r="I56" s="458"/>
      <c r="J56" s="448" t="s">
        <v>193</v>
      </c>
      <c r="K56" s="449">
        <f>[43]December_2025!$Z$25</f>
        <v>0.22942355889724311</v>
      </c>
      <c r="L56" s="457">
        <f>(((D56+E56)-G56)/(D56+E56))*100</f>
        <v>5.0198178007428966</v>
      </c>
      <c r="M56" s="455" t="s">
        <v>189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customHeight="1" thickBot="1">
      <c r="B57" s="46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customHeight="1" thickBot="1">
      <c r="B58" s="492" t="str">
        <f>I29</f>
        <v>GUINNESS</v>
      </c>
      <c r="C58" s="441">
        <v>45984</v>
      </c>
      <c r="D58" s="442">
        <f>[42]December_2025!$Z$23</f>
        <v>407.2</v>
      </c>
      <c r="E58" s="443">
        <f>SUM([44]GUINNESS!$S$15)</f>
        <v>8.6999999999999993</v>
      </c>
      <c r="F58" s="444"/>
      <c r="G58" s="445">
        <f>[42]December_2025!$Z$28</f>
        <v>368.4</v>
      </c>
      <c r="H58" s="458"/>
      <c r="I58" s="458"/>
      <c r="J58" s="448" t="s">
        <v>190</v>
      </c>
      <c r="K58" s="460">
        <f>[43]December_2025!$Z$32</f>
        <v>0.43087719298245614</v>
      </c>
      <c r="L58" s="457">
        <f>(((D58+E58)-G58)/(D58+E58))*100</f>
        <v>11.421014666987258</v>
      </c>
      <c r="M58" s="455" t="s">
        <v>194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59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64" t="s">
        <v>55</v>
      </c>
      <c r="C65" s="565"/>
      <c r="D65" s="565"/>
      <c r="E65" s="565"/>
      <c r="F65" s="566"/>
      <c r="G65" s="564" t="s">
        <v>56</v>
      </c>
      <c r="H65" s="565"/>
      <c r="I65" s="565"/>
      <c r="J65" s="566"/>
      <c r="K65" s="564" t="s">
        <v>51</v>
      </c>
      <c r="L65" s="565"/>
      <c r="M65" s="565"/>
      <c r="N65" s="567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5.8026631580229768</v>
      </c>
      <c r="E67" s="76">
        <v>6.0531686830331823</v>
      </c>
      <c r="F67" s="66">
        <v>4.8</v>
      </c>
      <c r="G67" s="65"/>
      <c r="H67" s="491">
        <v>5.3176786670204912</v>
      </c>
      <c r="I67" s="76">
        <v>5.9550999117622165</v>
      </c>
      <c r="J67" s="66">
        <v>4.8</v>
      </c>
      <c r="K67" s="67"/>
      <c r="L67" s="194">
        <v>0.36070825211176089</v>
      </c>
      <c r="M67" s="194">
        <v>0.70366043909732956</v>
      </c>
      <c r="N67" s="68">
        <v>1</v>
      </c>
      <c r="O67" s="56"/>
      <c r="P67" s="69"/>
    </row>
    <row r="68" spans="2:16" ht="15">
      <c r="B68" s="33" t="s">
        <v>9</v>
      </c>
      <c r="C68" s="65">
        <f>L56</f>
        <v>5.0198178007428966</v>
      </c>
      <c r="D68" s="76">
        <v>4.1175748649975672</v>
      </c>
      <c r="E68" s="76">
        <v>5.5936302144903491</v>
      </c>
      <c r="F68" s="66">
        <v>4.8</v>
      </c>
      <c r="G68" s="65">
        <f>[42]December_2025!$Z$21</f>
        <v>4.4845027641931416</v>
      </c>
      <c r="H68" s="76">
        <v>4.0105496978663</v>
      </c>
      <c r="I68" s="76">
        <v>6.069851171192818</v>
      </c>
      <c r="J68" s="66">
        <v>4.8</v>
      </c>
      <c r="K68" s="67">
        <f>K56</f>
        <v>0.22942355889724311</v>
      </c>
      <c r="L68" s="194">
        <v>0.37228237259816205</v>
      </c>
      <c r="M68" s="194">
        <v>0.66138458180669046</v>
      </c>
      <c r="N68" s="68">
        <v>1</v>
      </c>
      <c r="P68" s="69"/>
    </row>
    <row r="69" spans="2:16" ht="15">
      <c r="B69" s="34" t="s">
        <v>40</v>
      </c>
      <c r="C69" s="65">
        <f>L58</f>
        <v>11.421014666987258</v>
      </c>
      <c r="D69" s="76">
        <v>12.016908212560388</v>
      </c>
      <c r="E69" s="76">
        <v>11.141238852735578</v>
      </c>
      <c r="F69" s="66">
        <v>5.5</v>
      </c>
      <c r="G69" s="65">
        <f>[42]December_2025!$Z$32</f>
        <v>12.665112784143343</v>
      </c>
      <c r="H69" s="76">
        <v>12.270238379611699</v>
      </c>
      <c r="I69" s="76">
        <v>12.503538804098113</v>
      </c>
      <c r="J69" s="66">
        <v>5.5</v>
      </c>
      <c r="K69" s="67">
        <f>K58</f>
        <v>0.43087719298245614</v>
      </c>
      <c r="L69" s="194">
        <v>0.37337719298245614</v>
      </c>
      <c r="M69" s="194">
        <v>0.50452657004830925</v>
      </c>
      <c r="N69" s="68">
        <v>1</v>
      </c>
      <c r="P69" s="69"/>
    </row>
    <row r="70" spans="2:16" ht="15">
      <c r="B70" s="22" t="s">
        <v>33</v>
      </c>
      <c r="C70" s="65"/>
      <c r="D70" s="76">
        <v>3.7426398119835098</v>
      </c>
      <c r="E70" s="76">
        <v>4.4918713689673408</v>
      </c>
      <c r="F70" s="66">
        <v>3.3</v>
      </c>
      <c r="G70" s="65"/>
      <c r="H70" s="76">
        <v>2.884540034691927</v>
      </c>
      <c r="I70" s="76">
        <v>4.189075062989712</v>
      </c>
      <c r="J70" s="66">
        <v>3.3</v>
      </c>
      <c r="K70" s="67"/>
      <c r="L70" s="194">
        <v>0.77900584795321637</v>
      </c>
      <c r="M70" s="194">
        <v>0.82191692466460264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2.192371331533558</v>
      </c>
      <c r="E73" s="76">
        <v>2.8003947928578476</v>
      </c>
      <c r="F73" s="66">
        <v>3.3</v>
      </c>
      <c r="G73" s="282"/>
      <c r="H73" s="76">
        <v>5.3037545361325495</v>
      </c>
      <c r="I73" s="76">
        <v>4.4533241310026561</v>
      </c>
      <c r="J73" s="66">
        <v>3.3</v>
      </c>
      <c r="K73" s="67"/>
      <c r="L73" s="194">
        <v>0.64058479532163748</v>
      </c>
      <c r="M73" s="194">
        <v>0.80904406538734908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5.4607581821451694</v>
      </c>
      <c r="E76" s="76">
        <v>6.0530037120415505</v>
      </c>
      <c r="F76" s="341">
        <v>5.5</v>
      </c>
      <c r="H76" s="76">
        <v>5.7593304059915251</v>
      </c>
      <c r="I76" s="76">
        <v>6.4701803214335314</v>
      </c>
      <c r="J76" s="341">
        <v>5.5</v>
      </c>
      <c r="L76" s="194">
        <v>0.45969602035391516</v>
      </c>
      <c r="M76" s="194">
        <v>0.68443054824005256</v>
      </c>
      <c r="N76" s="386">
        <v>1</v>
      </c>
    </row>
  </sheetData>
  <mergeCells count="51"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921" priority="34" operator="notBetween">
      <formula>#REF!</formula>
      <formula>#REF!</formula>
    </cfRule>
  </conditionalFormatting>
  <conditionalFormatting sqref="C53">
    <cfRule type="cellIs" dxfId="920" priority="180" stopIfTrue="1" operator="greaterThan">
      <formula>100</formula>
    </cfRule>
    <cfRule type="cellIs" dxfId="919" priority="179" stopIfTrue="1" operator="lessThan">
      <formula>96</formula>
    </cfRule>
  </conditionalFormatting>
  <conditionalFormatting sqref="C67:C71">
    <cfRule type="cellIs" dxfId="918" priority="133" stopIfTrue="1" operator="lessThanOrEqual">
      <formula>0</formula>
    </cfRule>
  </conditionalFormatting>
  <conditionalFormatting sqref="C67:C75">
    <cfRule type="cellIs" dxfId="917" priority="132" stopIfTrue="1" operator="greaterThan">
      <formula>$F67</formula>
    </cfRule>
  </conditionalFormatting>
  <conditionalFormatting sqref="C68">
    <cfRule type="cellIs" dxfId="916" priority="183" stopIfTrue="1" operator="greaterThan">
      <formula>$F67</formula>
    </cfRule>
  </conditionalFormatting>
  <conditionalFormatting sqref="C72">
    <cfRule type="cellIs" dxfId="915" priority="73" stopIfTrue="1" operator="greaterThan">
      <formula>$F71</formula>
    </cfRule>
    <cfRule type="cellIs" dxfId="914" priority="72" stopIfTrue="1" operator="lessThanOrEqual">
      <formula>0</formula>
    </cfRule>
  </conditionalFormatting>
  <conditionalFormatting sqref="C78:C82">
    <cfRule type="cellIs" dxfId="913" priority="171" stopIfTrue="1" operator="lessThanOrEqual">
      <formula>0</formula>
    </cfRule>
  </conditionalFormatting>
  <conditionalFormatting sqref="C79:C82">
    <cfRule type="cellIs" dxfId="912" priority="170" stopIfTrue="1" operator="greaterThan">
      <formula>$F$78</formula>
    </cfRule>
  </conditionalFormatting>
  <conditionalFormatting sqref="C84">
    <cfRule type="cellIs" dxfId="911" priority="173" stopIfTrue="1" operator="lessThanOrEqual">
      <formula>0</formula>
    </cfRule>
    <cfRule type="cellIs" dxfId="910" priority="172" stopIfTrue="1" operator="greaterThan">
      <formula>$F$78</formula>
    </cfRule>
  </conditionalFormatting>
  <conditionalFormatting sqref="C78:D78 D80:D86">
    <cfRule type="cellIs" dxfId="909" priority="165" stopIfTrue="1" operator="greaterThan">
      <formula>4.5</formula>
    </cfRule>
  </conditionalFormatting>
  <conditionalFormatting sqref="D49:D50">
    <cfRule type="cellIs" dxfId="908" priority="35" operator="notBetween">
      <formula>#REF!</formula>
      <formula>#REF!</formula>
    </cfRule>
  </conditionalFormatting>
  <conditionalFormatting sqref="D67:D74">
    <cfRule type="cellIs" dxfId="907" priority="145" stopIfTrue="1" operator="lessThanOrEqual">
      <formula>0</formula>
    </cfRule>
  </conditionalFormatting>
  <conditionalFormatting sqref="D75">
    <cfRule type="cellIs" dxfId="906" priority="144" stopIfTrue="1" operator="lessThanOrEqual">
      <formula>0</formula>
    </cfRule>
  </conditionalFormatting>
  <conditionalFormatting sqref="D78 D80:D86">
    <cfRule type="cellIs" dxfId="905" priority="166" stopIfTrue="1" operator="lessThanOrEqual">
      <formula>0</formula>
    </cfRule>
  </conditionalFormatting>
  <conditionalFormatting sqref="D79">
    <cfRule type="cellIs" dxfId="904" priority="158" stopIfTrue="1" operator="lessThanOrEqual">
      <formula>0</formula>
    </cfRule>
    <cfRule type="cellIs" dxfId="903" priority="157" stopIfTrue="1" operator="greaterThan">
      <formula>$F$78</formula>
    </cfRule>
  </conditionalFormatting>
  <conditionalFormatting sqref="D67:E76">
    <cfRule type="cellIs" dxfId="902" priority="130" stopIfTrue="1" operator="greaterThan">
      <formula>$F67</formula>
    </cfRule>
  </conditionalFormatting>
  <conditionalFormatting sqref="D76:E76">
    <cfRule type="cellIs" dxfId="901" priority="131" stopIfTrue="1" operator="lessThanOrEqual">
      <formula>0</formula>
    </cfRule>
  </conditionalFormatting>
  <conditionalFormatting sqref="E10:E24">
    <cfRule type="cellIs" dxfId="900" priority="11" operator="lessThan">
      <formula>48</formula>
    </cfRule>
  </conditionalFormatting>
  <conditionalFormatting sqref="E52 E53:F53">
    <cfRule type="cellIs" dxfId="899" priority="162" stopIfTrue="1" operator="greaterThan">
      <formula>100</formula>
    </cfRule>
  </conditionalFormatting>
  <conditionalFormatting sqref="E53">
    <cfRule type="cellIs" dxfId="898" priority="160" stopIfTrue="1" operator="greaterThan">
      <formula>100</formula>
    </cfRule>
    <cfRule type="cellIs" dxfId="897" priority="159" stopIfTrue="1" operator="lessThan">
      <formula>96.8</formula>
    </cfRule>
  </conditionalFormatting>
  <conditionalFormatting sqref="E67:E75">
    <cfRule type="cellIs" dxfId="896" priority="141" stopIfTrue="1" operator="lessThanOrEqual">
      <formula>0</formula>
    </cfRule>
  </conditionalFormatting>
  <conditionalFormatting sqref="E78:E86">
    <cfRule type="cellIs" dxfId="895" priority="152" stopIfTrue="1" operator="lessThanOrEqual">
      <formula>0</formula>
    </cfRule>
    <cfRule type="cellIs" dxfId="894" priority="151" stopIfTrue="1" operator="greaterThan">
      <formula>4.5</formula>
    </cfRule>
  </conditionalFormatting>
  <conditionalFormatting sqref="E53:F53 E52">
    <cfRule type="cellIs" dxfId="893" priority="161" stopIfTrue="1" operator="lessThan">
      <formula>96.5</formula>
    </cfRule>
  </conditionalFormatting>
  <conditionalFormatting sqref="F24">
    <cfRule type="cellIs" dxfId="892" priority="12" operator="greaterThan">
      <formula>60</formula>
    </cfRule>
  </conditionalFormatting>
  <conditionalFormatting sqref="F53">
    <cfRule type="cellIs" dxfId="891" priority="178" stopIfTrue="1" operator="greaterThan">
      <formula>100</formula>
    </cfRule>
    <cfRule type="cellIs" dxfId="890" priority="177" stopIfTrue="1" operator="lessThan">
      <formula>96.8</formula>
    </cfRule>
  </conditionalFormatting>
  <conditionalFormatting sqref="F76">
    <cfRule type="cellIs" dxfId="889" priority="143" stopIfTrue="1" operator="lessThanOrEqual">
      <formula>0</formula>
    </cfRule>
    <cfRule type="cellIs" dxfId="888" priority="142" stopIfTrue="1" operator="greaterThan">
      <formula>$F76</formula>
    </cfRule>
  </conditionalFormatting>
  <conditionalFormatting sqref="G10:G23">
    <cfRule type="expression" dxfId="887" priority="3">
      <formula>IF(+(IF(G10&lt;S10,0,IF(G10&gt;T10,0,1)))=0,1)</formula>
    </cfRule>
  </conditionalFormatting>
  <conditionalFormatting sqref="G67:G68 C73:C75">
    <cfRule type="cellIs" dxfId="886" priority="147" stopIfTrue="1" operator="lessThanOrEqual">
      <formula>0</formula>
    </cfRule>
  </conditionalFormatting>
  <conditionalFormatting sqref="G67:G68">
    <cfRule type="cellIs" dxfId="885" priority="146" stopIfTrue="1" operator="greaterThan">
      <formula>$F67</formula>
    </cfRule>
    <cfRule type="cellIs" dxfId="884" priority="134" stopIfTrue="1" operator="greaterThan">
      <formula>$F67</formula>
    </cfRule>
    <cfRule type="cellIs" dxfId="883" priority="135" stopIfTrue="1" operator="lessThanOrEqual">
      <formula>0</formula>
    </cfRule>
  </conditionalFormatting>
  <conditionalFormatting sqref="G69">
    <cfRule type="cellIs" dxfId="882" priority="182" stopIfTrue="1" operator="lessThanOrEqual">
      <formula>0</formula>
    </cfRule>
    <cfRule type="cellIs" dxfId="881" priority="181" stopIfTrue="1" operator="greaterThan">
      <formula>$F68</formula>
    </cfRule>
  </conditionalFormatting>
  <conditionalFormatting sqref="G70">
    <cfRule type="cellIs" dxfId="880" priority="30" stopIfTrue="1" operator="greaterThan">
      <formula>$F70</formula>
    </cfRule>
    <cfRule type="cellIs" dxfId="879" priority="33" stopIfTrue="1" operator="lessThanOrEqual">
      <formula>0</formula>
    </cfRule>
    <cfRule type="cellIs" dxfId="878" priority="32" stopIfTrue="1" operator="greaterThan">
      <formula>$F70</formula>
    </cfRule>
    <cfRule type="cellIs" dxfId="877" priority="31" stopIfTrue="1" operator="lessThanOrEqual">
      <formula>0</formula>
    </cfRule>
  </conditionalFormatting>
  <conditionalFormatting sqref="G71:G75">
    <cfRule type="cellIs" dxfId="876" priority="149" stopIfTrue="1" operator="lessThanOrEqual">
      <formula>0</formula>
    </cfRule>
    <cfRule type="cellIs" dxfId="875" priority="148" stopIfTrue="1" operator="greaterThan">
      <formula>$J71</formula>
    </cfRule>
  </conditionalFormatting>
  <conditionalFormatting sqref="G80:G85 C83 C85">
    <cfRule type="cellIs" dxfId="874" priority="175" stopIfTrue="1" operator="lessThanOrEqual">
      <formula>0</formula>
    </cfRule>
    <cfRule type="cellIs" dxfId="873" priority="174" stopIfTrue="1" operator="greaterThan">
      <formula>4.5</formula>
    </cfRule>
  </conditionalFormatting>
  <conditionalFormatting sqref="G24:H24">
    <cfRule type="expression" dxfId="872" priority="29">
      <formula>IF(+(IF(G24&lt;#REF!,0,IF(G24&gt;#REF!,0,1)))=0,1)</formula>
    </cfRule>
  </conditionalFormatting>
  <conditionalFormatting sqref="G79:H79">
    <cfRule type="cellIs" dxfId="871" priority="155" stopIfTrue="1" operator="greaterThan">
      <formula>$F$78</formula>
    </cfRule>
    <cfRule type="cellIs" dxfId="870" priority="156" stopIfTrue="1" operator="lessThanOrEqual">
      <formula>0</formula>
    </cfRule>
  </conditionalFormatting>
  <conditionalFormatting sqref="H10:H23">
    <cfRule type="expression" dxfId="869" priority="1">
      <formula>IF(+(IF(H10&lt;#REF!,0,IF(H10&gt;#REF!,0,1)))=0,1)</formula>
    </cfRule>
  </conditionalFormatting>
  <conditionalFormatting sqref="H38:H39 H52">
    <cfRule type="cellIs" dxfId="868" priority="153" stopIfTrue="1" operator="greaterThan">
      <formula>0</formula>
    </cfRule>
  </conditionalFormatting>
  <conditionalFormatting sqref="H56">
    <cfRule type="cellIs" dxfId="867" priority="16" stopIfTrue="1" operator="lessThanOrEqual">
      <formula>0</formula>
    </cfRule>
    <cfRule type="cellIs" dxfId="866" priority="17" stopIfTrue="1" operator="greaterThan">
      <formula>$F$71</formula>
    </cfRule>
    <cfRule type="cellIs" dxfId="865" priority="25" stopIfTrue="1" operator="greaterThan">
      <formula>$F$74</formula>
    </cfRule>
    <cfRule type="cellIs" dxfId="864" priority="26" stopIfTrue="1" operator="lessThanOrEqual">
      <formula>0</formula>
    </cfRule>
    <cfRule type="cellIs" dxfId="863" priority="27" stopIfTrue="1" operator="greaterThan">
      <formula>$F$72</formula>
    </cfRule>
    <cfRule type="cellIs" dxfId="862" priority="28" stopIfTrue="1" operator="lessThanOrEqual">
      <formula>0</formula>
    </cfRule>
  </conditionalFormatting>
  <conditionalFormatting sqref="H57">
    <cfRule type="cellIs" dxfId="861" priority="99" stopIfTrue="1" operator="lessThanOrEqual">
      <formula>0</formula>
    </cfRule>
    <cfRule type="cellIs" dxfId="860" priority="98" stopIfTrue="1" operator="greaterThan">
      <formula>$F$25</formula>
    </cfRule>
    <cfRule type="cellIs" dxfId="859" priority="101" stopIfTrue="1" operator="lessThanOrEqual">
      <formula>0</formula>
    </cfRule>
    <cfRule type="cellIs" dxfId="858" priority="100" stopIfTrue="1" operator="greaterThan">
      <formula>#REF!</formula>
    </cfRule>
    <cfRule type="cellIs" dxfId="857" priority="89" stopIfTrue="1" operator="lessThanOrEqual">
      <formula>0</formula>
    </cfRule>
    <cfRule type="cellIs" dxfId="856" priority="90" stopIfTrue="1" operator="greaterThan">
      <formula>#REF!</formula>
    </cfRule>
  </conditionalFormatting>
  <conditionalFormatting sqref="H58">
    <cfRule type="cellIs" dxfId="855" priority="71" stopIfTrue="1" operator="lessThanOrEqual">
      <formula>0</formula>
    </cfRule>
    <cfRule type="cellIs" dxfId="854" priority="70" stopIfTrue="1" operator="greaterThan">
      <formula>$F$69</formula>
    </cfRule>
    <cfRule type="cellIs" dxfId="853" priority="68" stopIfTrue="1" operator="greaterThan">
      <formula>$F$71</formula>
    </cfRule>
    <cfRule type="cellIs" dxfId="852" priority="59" stopIfTrue="1" operator="lessThanOrEqual">
      <formula>0</formula>
    </cfRule>
    <cfRule type="cellIs" dxfId="851" priority="60" stopIfTrue="1" operator="greaterThan">
      <formula>$F$68</formula>
    </cfRule>
    <cfRule type="cellIs" dxfId="850" priority="69" stopIfTrue="1" operator="lessThanOrEqual">
      <formula>0</formula>
    </cfRule>
  </conditionalFormatting>
  <conditionalFormatting sqref="H59:H60">
    <cfRule type="cellIs" dxfId="849" priority="76" stopIfTrue="1" operator="greaterThan">
      <formula>#REF!</formula>
    </cfRule>
    <cfRule type="cellIs" dxfId="848" priority="85" stopIfTrue="1" operator="lessThanOrEqual">
      <formula>0</formula>
    </cfRule>
    <cfRule type="cellIs" dxfId="847" priority="75" stopIfTrue="1" operator="lessThanOrEqual">
      <formula>0</formula>
    </cfRule>
    <cfRule type="cellIs" dxfId="846" priority="86" stopIfTrue="1" operator="greaterThan">
      <formula>#REF!</formula>
    </cfRule>
    <cfRule type="cellIs" dxfId="845" priority="87" stopIfTrue="1" operator="lessThanOrEqual">
      <formula>0</formula>
    </cfRule>
    <cfRule type="cellIs" dxfId="844" priority="84" stopIfTrue="1" operator="greaterThan">
      <formula>$F$24</formula>
    </cfRule>
  </conditionalFormatting>
  <conditionalFormatting sqref="H61">
    <cfRule type="cellIs" dxfId="843" priority="115" stopIfTrue="1" operator="greaterThan">
      <formula>$F$38</formula>
    </cfRule>
    <cfRule type="cellIs" dxfId="842" priority="104" stopIfTrue="1" operator="lessThanOrEqual">
      <formula>0</formula>
    </cfRule>
    <cfRule type="cellIs" dxfId="841" priority="116" stopIfTrue="1" operator="lessThanOrEqual">
      <formula>0</formula>
    </cfRule>
    <cfRule type="cellIs" dxfId="840" priority="114" stopIfTrue="1" operator="lessThanOrEqual">
      <formula>0</formula>
    </cfRule>
    <cfRule type="cellIs" dxfId="839" priority="113" stopIfTrue="1" operator="greaterThan">
      <formula>$F$40</formula>
    </cfRule>
    <cfRule type="cellIs" dxfId="838" priority="105" stopIfTrue="1" operator="greaterThan">
      <formula>$F$37</formula>
    </cfRule>
  </conditionalFormatting>
  <conditionalFormatting sqref="H62:H63">
    <cfRule type="cellIs" dxfId="837" priority="55" stopIfTrue="1" operator="lessThanOrEqual">
      <formula>0</formula>
    </cfRule>
    <cfRule type="cellIs" dxfId="836" priority="57" stopIfTrue="1" operator="lessThanOrEqual">
      <formula>0</formula>
    </cfRule>
    <cfRule type="cellIs" dxfId="835" priority="56" stopIfTrue="1" operator="greaterThan">
      <formula>#REF!</formula>
    </cfRule>
    <cfRule type="cellIs" dxfId="834" priority="54" stopIfTrue="1" operator="greaterThan">
      <formula>$F$24</formula>
    </cfRule>
    <cfRule type="cellIs" dxfId="833" priority="45" stopIfTrue="1" operator="lessThanOrEqual">
      <formula>0</formula>
    </cfRule>
    <cfRule type="cellIs" dxfId="832" priority="46" stopIfTrue="1" operator="greaterThan">
      <formula>#REF!</formula>
    </cfRule>
  </conditionalFormatting>
  <conditionalFormatting sqref="H67:H74">
    <cfRule type="cellIs" dxfId="831" priority="137" stopIfTrue="1" operator="lessThanOrEqual">
      <formula>0</formula>
    </cfRule>
    <cfRule type="cellIs" dxfId="830" priority="136" stopIfTrue="1" operator="greaterThan">
      <formula>$J67</formula>
    </cfRule>
  </conditionalFormatting>
  <conditionalFormatting sqref="H75">
    <cfRule type="cellIs" dxfId="829" priority="138" operator="greaterThan">
      <formula>5.3</formula>
    </cfRule>
  </conditionalFormatting>
  <conditionalFormatting sqref="H78 H80:H86">
    <cfRule type="cellIs" dxfId="828" priority="168" stopIfTrue="1" operator="lessThanOrEqual">
      <formula>0</formula>
    </cfRule>
    <cfRule type="cellIs" dxfId="827" priority="167" stopIfTrue="1" operator="greaterThan">
      <formula>4.5</formula>
    </cfRule>
  </conditionalFormatting>
  <conditionalFormatting sqref="H56:I56">
    <cfRule type="cellIs" dxfId="826" priority="15" stopIfTrue="1" operator="greaterThan">
      <formula>$F$73</formula>
    </cfRule>
    <cfRule type="cellIs" dxfId="825" priority="18" stopIfTrue="1" operator="lessThanOrEqual">
      <formula>0</formula>
    </cfRule>
  </conditionalFormatting>
  <conditionalFormatting sqref="H57:I57">
    <cfRule type="cellIs" dxfId="824" priority="88" stopIfTrue="1" operator="greaterThan">
      <formula>$F$24</formula>
    </cfRule>
    <cfRule type="cellIs" dxfId="823" priority="91" stopIfTrue="1" operator="lessThanOrEqual">
      <formula>0</formula>
    </cfRule>
  </conditionalFormatting>
  <conditionalFormatting sqref="H58:I58">
    <cfRule type="cellIs" dxfId="822" priority="58" stopIfTrue="1" operator="greaterThan">
      <formula>$F$70</formula>
    </cfRule>
    <cfRule type="cellIs" dxfId="821" priority="61" stopIfTrue="1" operator="lessThanOrEqual">
      <formula>0</formula>
    </cfRule>
  </conditionalFormatting>
  <conditionalFormatting sqref="H59:I60">
    <cfRule type="cellIs" dxfId="820" priority="74" stopIfTrue="1" operator="greaterThan">
      <formula>#REF!</formula>
    </cfRule>
    <cfRule type="cellIs" dxfId="819" priority="77" stopIfTrue="1" operator="lessThanOrEqual">
      <formula>0</formula>
    </cfRule>
  </conditionalFormatting>
  <conditionalFormatting sqref="H61:I61">
    <cfRule type="cellIs" dxfId="818" priority="106" stopIfTrue="1" operator="lessThanOrEqual">
      <formula>0</formula>
    </cfRule>
    <cfRule type="cellIs" dxfId="817" priority="103" stopIfTrue="1" operator="greaterThan">
      <formula>$F$39</formula>
    </cfRule>
  </conditionalFormatting>
  <conditionalFormatting sqref="H62:I63">
    <cfRule type="cellIs" dxfId="816" priority="44" stopIfTrue="1" operator="greaterThan">
      <formula>#REF!</formula>
    </cfRule>
    <cfRule type="cellIs" dxfId="815" priority="47" stopIfTrue="1" operator="lessThanOrEqual">
      <formula>0</formula>
    </cfRule>
  </conditionalFormatting>
  <conditionalFormatting sqref="H76:I76">
    <cfRule type="cellIs" dxfId="814" priority="129" stopIfTrue="1" operator="lessThanOrEqual">
      <formula>0</formula>
    </cfRule>
    <cfRule type="cellIs" dxfId="813" priority="128" stopIfTrue="1" operator="greaterThan">
      <formula>$J76</formula>
    </cfRule>
  </conditionalFormatting>
  <conditionalFormatting sqref="I56">
    <cfRule type="cellIs" dxfId="812" priority="20" stopIfTrue="1" operator="lessThanOrEqual">
      <formula>0</formula>
    </cfRule>
    <cfRule type="cellIs" dxfId="811" priority="19" stopIfTrue="1" operator="greaterThan">
      <formula>$F$71</formula>
    </cfRule>
    <cfRule type="cellIs" dxfId="810" priority="24" stopIfTrue="1" operator="lessThanOrEqual">
      <formula>0</formula>
    </cfRule>
    <cfRule type="cellIs" dxfId="809" priority="23" stopIfTrue="1" operator="greaterThan">
      <formula>$F$71</formula>
    </cfRule>
    <cfRule type="cellIs" dxfId="808" priority="21" stopIfTrue="1" operator="greaterThan">
      <formula>$F$73</formula>
    </cfRule>
    <cfRule type="cellIs" dxfId="807" priority="22" stopIfTrue="1" operator="lessThanOrEqual">
      <formula>0</formula>
    </cfRule>
  </conditionalFormatting>
  <conditionalFormatting sqref="I57">
    <cfRule type="cellIs" dxfId="806" priority="95" stopIfTrue="1" operator="lessThanOrEqual">
      <formula>0</formula>
    </cfRule>
    <cfRule type="cellIs" dxfId="805" priority="96" stopIfTrue="1" operator="greaterThan">
      <formula>#REF!</formula>
    </cfRule>
    <cfRule type="cellIs" dxfId="804" priority="97" stopIfTrue="1" operator="lessThanOrEqual">
      <formula>0</formula>
    </cfRule>
    <cfRule type="cellIs" dxfId="803" priority="92" stopIfTrue="1" operator="greaterThan">
      <formula>#REF!</formula>
    </cfRule>
    <cfRule type="cellIs" dxfId="802" priority="93" stopIfTrue="1" operator="lessThanOrEqual">
      <formula>0</formula>
    </cfRule>
    <cfRule type="cellIs" dxfId="801" priority="94" stopIfTrue="1" operator="greaterThan">
      <formula>$F$24</formula>
    </cfRule>
  </conditionalFormatting>
  <conditionalFormatting sqref="I58">
    <cfRule type="cellIs" dxfId="800" priority="67" stopIfTrue="1" operator="lessThanOrEqual">
      <formula>0</formula>
    </cfRule>
    <cfRule type="cellIs" dxfId="799" priority="65" stopIfTrue="1" operator="lessThanOrEqual">
      <formula>0</formula>
    </cfRule>
    <cfRule type="cellIs" dxfId="798" priority="64" stopIfTrue="1" operator="greaterThan">
      <formula>$F$70</formula>
    </cfRule>
    <cfRule type="cellIs" dxfId="797" priority="63" stopIfTrue="1" operator="lessThanOrEqual">
      <formula>0</formula>
    </cfRule>
    <cfRule type="cellIs" dxfId="796" priority="62" stopIfTrue="1" operator="greaterThan">
      <formula>$F$68</formula>
    </cfRule>
    <cfRule type="cellIs" dxfId="795" priority="66" stopIfTrue="1" operator="greaterThan">
      <formula>$F$68</formula>
    </cfRule>
  </conditionalFormatting>
  <conditionalFormatting sqref="I59:I60">
    <cfRule type="cellIs" dxfId="794" priority="83" stopIfTrue="1" operator="lessThanOrEqual">
      <formula>0</formula>
    </cfRule>
    <cfRule type="cellIs" dxfId="793" priority="82" stopIfTrue="1" operator="greaterThan">
      <formula>#REF!</formula>
    </cfRule>
    <cfRule type="cellIs" dxfId="792" priority="81" stopIfTrue="1" operator="lessThanOrEqual">
      <formula>0</formula>
    </cfRule>
    <cfRule type="cellIs" dxfId="791" priority="78" stopIfTrue="1" operator="greaterThan">
      <formula>#REF!</formula>
    </cfRule>
    <cfRule type="cellIs" dxfId="790" priority="80" stopIfTrue="1" operator="greaterThan">
      <formula>#REF!</formula>
    </cfRule>
    <cfRule type="cellIs" dxfId="789" priority="79" stopIfTrue="1" operator="lessThanOrEqual">
      <formula>0</formula>
    </cfRule>
  </conditionalFormatting>
  <conditionalFormatting sqref="I61">
    <cfRule type="cellIs" dxfId="788" priority="112" stopIfTrue="1" operator="lessThanOrEqual">
      <formula>0</formula>
    </cfRule>
    <cfRule type="cellIs" dxfId="787" priority="111" stopIfTrue="1" operator="greaterThan">
      <formula>$F$37</formula>
    </cfRule>
    <cfRule type="cellIs" dxfId="786" priority="110" stopIfTrue="1" operator="lessThanOrEqual">
      <formula>0</formula>
    </cfRule>
    <cfRule type="cellIs" dxfId="785" priority="109" stopIfTrue="1" operator="greaterThan">
      <formula>$F$39</formula>
    </cfRule>
    <cfRule type="cellIs" dxfId="784" priority="108" stopIfTrue="1" operator="lessThanOrEqual">
      <formula>0</formula>
    </cfRule>
    <cfRule type="cellIs" dxfId="783" priority="107" stopIfTrue="1" operator="greaterThan">
      <formula>$F$37</formula>
    </cfRule>
  </conditionalFormatting>
  <conditionalFormatting sqref="I62:I63">
    <cfRule type="cellIs" dxfId="782" priority="50" stopIfTrue="1" operator="greaterThan">
      <formula>#REF!</formula>
    </cfRule>
    <cfRule type="cellIs" dxfId="781" priority="51" stopIfTrue="1" operator="lessThanOrEqual">
      <formula>0</formula>
    </cfRule>
    <cfRule type="cellIs" dxfId="780" priority="52" stopIfTrue="1" operator="greaterThan">
      <formula>#REF!</formula>
    </cfRule>
    <cfRule type="cellIs" dxfId="779" priority="53" stopIfTrue="1" operator="lessThanOrEqual">
      <formula>0</formula>
    </cfRule>
    <cfRule type="cellIs" dxfId="778" priority="48" stopIfTrue="1" operator="greaterThan">
      <formula>#REF!</formula>
    </cfRule>
    <cfRule type="cellIs" dxfId="777" priority="49" stopIfTrue="1" operator="lessThanOrEqual">
      <formula>0</formula>
    </cfRule>
  </conditionalFormatting>
  <conditionalFormatting sqref="I67:I75">
    <cfRule type="cellIs" dxfId="776" priority="140" stopIfTrue="1" operator="lessThanOrEqual">
      <formula>0</formula>
    </cfRule>
    <cfRule type="cellIs" dxfId="775" priority="139" stopIfTrue="1" operator="greaterThan">
      <formula>$J67</formula>
    </cfRule>
  </conditionalFormatting>
  <conditionalFormatting sqref="I78:I86">
    <cfRule type="cellIs" dxfId="774" priority="163" stopIfTrue="1" operator="greaterThan">
      <formula>4.5</formula>
    </cfRule>
    <cfRule type="cellIs" dxfId="773" priority="164" stopIfTrue="1" operator="lessThanOrEqual">
      <formula>0</formula>
    </cfRule>
  </conditionalFormatting>
  <conditionalFormatting sqref="I10:J24">
    <cfRule type="cellIs" dxfId="772" priority="5" operator="lessThan">
      <formula>97.9</formula>
    </cfRule>
  </conditionalFormatting>
  <conditionalFormatting sqref="J28:J29">
    <cfRule type="cellIs" dxfId="771" priority="120" operator="lessThan">
      <formula>98</formula>
    </cfRule>
    <cfRule type="cellIs" dxfId="770" priority="119" stopIfTrue="1" operator="greaterThan">
      <formula>100</formula>
    </cfRule>
    <cfRule type="cellIs" dxfId="769" priority="118" stopIfTrue="1" operator="lessThan">
      <formula>96.8</formula>
    </cfRule>
  </conditionalFormatting>
  <conditionalFormatting sqref="J28:J31">
    <cfRule type="cellIs" dxfId="768" priority="117" operator="lessThan">
      <formula>97.4</formula>
    </cfRule>
  </conditionalFormatting>
  <conditionalFormatting sqref="J32:J33">
    <cfRule type="cellIs" dxfId="767" priority="121" operator="lessThan">
      <formula>98</formula>
    </cfRule>
  </conditionalFormatting>
  <conditionalFormatting sqref="J34:J35">
    <cfRule type="cellIs" dxfId="766" priority="122" stopIfTrue="1" operator="lessThan">
      <formula>96.8</formula>
    </cfRule>
    <cfRule type="cellIs" dxfId="765" priority="123" stopIfTrue="1" operator="greaterThan">
      <formula>100</formula>
    </cfRule>
  </conditionalFormatting>
  <conditionalFormatting sqref="J34:J36">
    <cfRule type="cellIs" dxfId="764" priority="124" operator="lessThan">
      <formula>98</formula>
    </cfRule>
  </conditionalFormatting>
  <conditionalFormatting sqref="J63">
    <cfRule type="cellIs" dxfId="763" priority="43" stopIfTrue="1" operator="lessThanOrEqual">
      <formula>0</formula>
    </cfRule>
    <cfRule type="cellIs" dxfId="762" priority="42" stopIfTrue="1" operator="greaterThan">
      <formula>#REF!</formula>
    </cfRule>
    <cfRule type="cellIs" dxfId="761" priority="41" stopIfTrue="1" operator="lessThanOrEqual">
      <formula>0</formula>
    </cfRule>
    <cfRule type="cellIs" dxfId="760" priority="40" stopIfTrue="1" operator="greaterThan">
      <formula>#REF!</formula>
    </cfRule>
    <cfRule type="cellIs" dxfId="759" priority="39" stopIfTrue="1" operator="lessThanOrEqual">
      <formula>0</formula>
    </cfRule>
    <cfRule type="cellIs" dxfId="758" priority="38" stopIfTrue="1" operator="greaterThan">
      <formula>#REF!</formula>
    </cfRule>
    <cfRule type="cellIs" dxfId="757" priority="37" stopIfTrue="1" operator="lessThanOrEqual">
      <formula>0</formula>
    </cfRule>
    <cfRule type="cellIs" dxfId="756" priority="36" stopIfTrue="1" operator="greaterThan">
      <formula>#REF!</formula>
    </cfRule>
  </conditionalFormatting>
  <conditionalFormatting sqref="J76">
    <cfRule type="cellIs" dxfId="755" priority="125" stopIfTrue="1" operator="greaterThan">
      <formula>$F76</formula>
    </cfRule>
    <cfRule type="cellIs" dxfId="754" priority="126" stopIfTrue="1" operator="lessThanOrEqual">
      <formula>0</formula>
    </cfRule>
  </conditionalFormatting>
  <conditionalFormatting sqref="K10:K24">
    <cfRule type="cellIs" dxfId="753" priority="8" operator="greaterThan">
      <formula>6.4</formula>
    </cfRule>
    <cfRule type="cellIs" dxfId="752" priority="7" operator="lessThan">
      <formula>4</formula>
    </cfRule>
    <cfRule type="cellIs" dxfId="751" priority="6" operator="greaterThan">
      <formula>6</formula>
    </cfRule>
  </conditionalFormatting>
  <conditionalFormatting sqref="K56:K63 K67:N73 K74 M74:N74 K75:N75">
    <cfRule type="cellIs" dxfId="750" priority="102" stopIfTrue="1" operator="lessThan">
      <formula>100%</formula>
    </cfRule>
  </conditionalFormatting>
  <conditionalFormatting sqref="K78:K83">
    <cfRule type="cellIs" dxfId="749" priority="169" stopIfTrue="1" operator="lessThan">
      <formula>100%</formula>
    </cfRule>
  </conditionalFormatting>
  <conditionalFormatting sqref="K85:K86">
    <cfRule type="cellIs" dxfId="748" priority="176" stopIfTrue="1" operator="lessThan">
      <formula>100%</formula>
    </cfRule>
  </conditionalFormatting>
  <conditionalFormatting sqref="L10:L24">
    <cfRule type="cellIs" dxfId="747" priority="10" operator="greaterThan">
      <formula>65</formula>
    </cfRule>
    <cfRule type="cellIs" dxfId="746" priority="9" operator="between">
      <formula>61</formula>
      <formula>65</formula>
    </cfRule>
  </conditionalFormatting>
  <conditionalFormatting sqref="L27:M38">
    <cfRule type="cellIs" dxfId="745" priority="13" operator="lessThan">
      <formula>97.95</formula>
    </cfRule>
  </conditionalFormatting>
  <conditionalFormatting sqref="L42:N42">
    <cfRule type="cellIs" dxfId="744" priority="14" operator="notEqual">
      <formula>#REF!</formula>
    </cfRule>
  </conditionalFormatting>
  <conditionalFormatting sqref="L76:N76">
    <cfRule type="cellIs" dxfId="743" priority="127" stopIfTrue="1" operator="lessThan">
      <formula>100%</formula>
    </cfRule>
  </conditionalFormatting>
  <conditionalFormatting sqref="L78:N86">
    <cfRule type="cellIs" dxfId="742" priority="154" stopIfTrue="1" operator="lessThan">
      <formula>100%</formula>
    </cfRule>
  </conditionalFormatting>
  <conditionalFormatting sqref="M10:M23">
    <cfRule type="expression" dxfId="741" priority="2">
      <formula>IF(+(IF(M10&lt;U10,0,IF(M10&gt;V10,0,1)))=0,1)</formula>
    </cfRule>
  </conditionalFormatting>
  <conditionalFormatting sqref="M24:N24">
    <cfRule type="expression" dxfId="740" priority="184">
      <formula>IF(+(IF(M24&lt;#REF!,0,IF(M24&gt;#REF!,0,1)))=0,1)</formula>
    </cfRule>
  </conditionalFormatting>
  <conditionalFormatting sqref="N10:N23">
    <cfRule type="expression" dxfId="739" priority="4">
      <formula>IF(+(IF(N10&lt;W10,0,IF(N10&gt;X10,0,1)))=0,1)</formula>
    </cfRule>
  </conditionalFormatting>
  <conditionalFormatting sqref="P6">
    <cfRule type="cellIs" dxfId="738" priority="150" operator="greaterThanOrEqual">
      <formula>19</formula>
    </cfRule>
  </conditionalFormatting>
  <dataValidations count="1">
    <dataValidation type="list" allowBlank="1" showInputMessage="1" showErrorMessage="1" sqref="R8" xr:uid="{5210712B-0703-4F19-B128-5C15D507BED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977E-87A5-41B0-B4C1-CC39F1CC5CF6}">
  <sheetPr>
    <pageSetUpPr fitToPage="1"/>
  </sheetPr>
  <dimension ref="A1:BE72"/>
  <sheetViews>
    <sheetView topLeftCell="A12" zoomScale="90" zoomScaleNormal="90" workbookViewId="0">
      <selection activeCell="K47" sqref="K4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46020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[23]Brewhouse!$A1027</f>
        <v>CA911</v>
      </c>
      <c r="D10" s="279">
        <f>[23]Brewhouse!$AF1027</f>
        <v>57.7</v>
      </c>
      <c r="E10" s="279">
        <f>[23]Brewhouse!$AI1027</f>
        <v>55.1</v>
      </c>
      <c r="F10" s="278">
        <f>[23]Brewhouse!$V1027</f>
        <v>52</v>
      </c>
      <c r="G10" s="279">
        <f>[23]Brewhouse!AG1027</f>
        <v>12</v>
      </c>
      <c r="H10" s="469">
        <v>12.3</v>
      </c>
      <c r="I10" s="368">
        <f>[23]Brewhouse!$AU1027</f>
        <v>109.31447891609957</v>
      </c>
      <c r="J10" s="368">
        <f>[23]Brewhouse!$AV1027</f>
        <v>109.88127710783566</v>
      </c>
      <c r="K10" s="392"/>
      <c r="L10" s="276">
        <f>[23]Brewhouse!$P1027</f>
        <v>60</v>
      </c>
      <c r="M10" s="397">
        <f>[23]Brewhouse!$U1027-[23]Brewhouse!$T1027</f>
        <v>0.14444444444444438</v>
      </c>
      <c r="N10" s="370">
        <f>[23]Brewhouse!$Z1027</f>
        <v>0.77847222222222223</v>
      </c>
      <c r="O10" s="420" t="str">
        <f>[23]Brewhouse!$AX1027</f>
        <v>R.Sookram</v>
      </c>
      <c r="P10" s="418" t="s">
        <v>195</v>
      </c>
      <c r="R10" s="277" t="str">
        <f t="shared" ref="R10:R34" si="0">B10</f>
        <v>CARIB</v>
      </c>
      <c r="S10" s="475">
        <f t="shared" ref="S10:S34" si="1">VLOOKUP($B10,$R$3:$X$9,2,FALSE)</f>
        <v>11.6</v>
      </c>
      <c r="T10" s="475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5">
        <f t="shared" ref="Z10:Z34" si="8">VLOOKUP($B10,$R$3:$Z$9,9,FALSE)</f>
        <v>60</v>
      </c>
    </row>
    <row r="11" spans="2:29" ht="16.5" customHeight="1">
      <c r="B11" s="29" t="s">
        <v>6</v>
      </c>
      <c r="C11" s="366" t="str">
        <f>[23]Brewhouse!$A1028</f>
        <v>CA912</v>
      </c>
      <c r="D11" s="279">
        <f>[23]Brewhouse!$AF1028</f>
        <v>53.8</v>
      </c>
      <c r="E11" s="279">
        <f>[23]Brewhouse!$AI1028</f>
        <v>49.8</v>
      </c>
      <c r="F11" s="278">
        <f>[23]Brewhouse!$V1028</f>
        <v>64</v>
      </c>
      <c r="G11" s="279">
        <f>[23]Brewhouse!AG1028</f>
        <v>11.6</v>
      </c>
      <c r="H11" s="396">
        <v>11.6</v>
      </c>
      <c r="I11" s="368">
        <f>[23]Brewhouse!$AU1028</f>
        <v>95.338521631578516</v>
      </c>
      <c r="J11" s="368">
        <f>[23]Brewhouse!$AV1028</f>
        <v>95.832854150009553</v>
      </c>
      <c r="K11" s="281">
        <f>[23]Brewhouse!$Q1028</f>
        <v>3.7664783427501181E-2</v>
      </c>
      <c r="L11" s="276">
        <f>[23]Brewhouse!$P1028</f>
        <v>60</v>
      </c>
      <c r="M11" s="397">
        <f>[23]Brewhouse!$U1028-[23]Brewhouse!$T1028</f>
        <v>0.12013888888888891</v>
      </c>
      <c r="N11" s="370">
        <f>[23]Brewhouse!$Z1028</f>
        <v>0.24375000000000002</v>
      </c>
      <c r="O11" s="420" t="str">
        <f>[23]Brewhouse!$AX1028</f>
        <v>R. Regis</v>
      </c>
      <c r="P11" s="418"/>
      <c r="R11" s="277" t="str">
        <f t="shared" si="0"/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[23]Brewhouse!$A1029</f>
        <v>CA913</v>
      </c>
      <c r="D12" s="279">
        <f>[23]Brewhouse!$AF1029</f>
        <v>52.1</v>
      </c>
      <c r="E12" s="279">
        <f>[23]Brewhouse!$AI1029</f>
        <v>50.2</v>
      </c>
      <c r="F12" s="278">
        <f>[23]Brewhouse!$V1029</f>
        <v>61</v>
      </c>
      <c r="G12" s="279">
        <f>[23]Brewhouse!AG1029</f>
        <v>11.9</v>
      </c>
      <c r="H12" s="396">
        <v>12</v>
      </c>
      <c r="I12" s="368">
        <f>[23]Brewhouse!$AU1029</f>
        <v>98.720993933688987</v>
      </c>
      <c r="J12" s="368">
        <f>[23]Brewhouse!$AV1029</f>
        <v>99.232864652031367</v>
      </c>
      <c r="K12" s="281">
        <f>[23]Brewhouse!$Q1029</f>
        <v>3.2391713747645925</v>
      </c>
      <c r="L12" s="276">
        <f>[23]Brewhouse!$P1029</f>
        <v>60</v>
      </c>
      <c r="M12" s="397">
        <f>[23]Brewhouse!$U1029-[23]Brewhouse!$T1029</f>
        <v>0.11388888888888882</v>
      </c>
      <c r="N12" s="370">
        <f>[23]Brewhouse!$Z1029</f>
        <v>0.29236111111111107</v>
      </c>
      <c r="O12" s="420" t="str">
        <f>[23]Brewhouse!$AX1029</f>
        <v>R. Regis</v>
      </c>
      <c r="P12" s="418" t="s">
        <v>196</v>
      </c>
      <c r="R12" s="277" t="str">
        <f t="shared" si="0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0"/>
        <v>0</v>
      </c>
      <c r="S13" s="475" t="e">
        <f t="shared" si="1"/>
        <v>#N/A</v>
      </c>
      <c r="T13" s="475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5" t="e">
        <f t="shared" si="8"/>
        <v>#N/A</v>
      </c>
    </row>
    <row r="14" spans="2:29" ht="16.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28"/>
      <c r="J21" s="528"/>
      <c r="K21" s="528"/>
      <c r="L21" s="528"/>
      <c r="M21" s="528"/>
      <c r="N21" s="528"/>
      <c r="O21" s="1"/>
      <c r="P21" s="12"/>
      <c r="R21" s="277">
        <f t="shared" si="0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5.75" customHeight="1" thickBot="1">
      <c r="B22" s="388" t="s">
        <v>162</v>
      </c>
      <c r="C22" s="388"/>
      <c r="D22" s="506" t="s">
        <v>35</v>
      </c>
      <c r="E22" s="507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5" customHeight="1">
      <c r="A23" s="28"/>
      <c r="B23" s="529"/>
      <c r="C23" s="362"/>
      <c r="D23" s="532"/>
      <c r="E23" s="533"/>
      <c r="F23" s="294"/>
      <c r="G23" s="294"/>
      <c r="H23" s="348"/>
      <c r="I23" s="29" t="s">
        <v>6</v>
      </c>
      <c r="J23" s="280">
        <f>AVERAGE(I10:I12)</f>
        <v>101.12466482712234</v>
      </c>
      <c r="K23" s="284">
        <f>COUNTA([23]Brewhouse!$A$1005:$A$1029)</f>
        <v>25</v>
      </c>
      <c r="L23" s="305">
        <f>AVERAGE([23]Brewhouse!$AU$1005:$AU$1029)</f>
        <v>99.088342755553981</v>
      </c>
      <c r="M23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$1029)</f>
        <v>97.79194271702282</v>
      </c>
      <c r="N23" s="30">
        <v>98</v>
      </c>
      <c r="O23" s="11"/>
      <c r="P23" s="31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5" customHeight="1">
      <c r="A24" s="28"/>
      <c r="B24" s="530"/>
      <c r="C24" s="362"/>
      <c r="D24" s="534"/>
      <c r="E24" s="535"/>
      <c r="F24" s="294"/>
      <c r="G24" s="294"/>
      <c r="H24" s="348"/>
      <c r="I24" s="33" t="s">
        <v>9</v>
      </c>
      <c r="J24" s="280"/>
      <c r="K24" s="284">
        <f>COUNTA([24]Brewhouse!$A$486:$A$523)</f>
        <v>38</v>
      </c>
      <c r="L24" s="302">
        <f>AVERAGE([24]Brewhouse!$AS$486:$AS$523)</f>
        <v>97.091279048572574</v>
      </c>
      <c r="M24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4" s="30">
        <v>98</v>
      </c>
      <c r="O24" s="11"/>
      <c r="P24" s="31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4.65" customHeight="1">
      <c r="A25" s="28"/>
      <c r="B25" s="530"/>
      <c r="C25" s="362"/>
      <c r="D25" s="580"/>
      <c r="E25" s="581"/>
      <c r="F25" s="294"/>
      <c r="G25" s="294"/>
      <c r="H25" s="348"/>
      <c r="I25" s="34" t="s">
        <v>12</v>
      </c>
      <c r="J25" s="280"/>
      <c r="K25" s="284">
        <f>COUNTA([25]Brewhouse!$A$125:$A$132)</f>
        <v>8</v>
      </c>
      <c r="L25" s="302">
        <f>AVERAGE([25]Brewhouse!$AU$125:$AU$132)</f>
        <v>96.474285660381511</v>
      </c>
      <c r="M25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5" s="30">
        <v>98</v>
      </c>
      <c r="O25" s="11"/>
      <c r="P25" s="31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4.65" customHeight="1">
      <c r="A26" s="28"/>
      <c r="B26" s="530"/>
      <c r="C26" s="362"/>
      <c r="D26" s="547"/>
      <c r="E26" s="535"/>
      <c r="F26" s="294"/>
      <c r="G26" s="294"/>
      <c r="H26" s="348"/>
      <c r="I26" s="22" t="s">
        <v>33</v>
      </c>
      <c r="J26" s="280"/>
      <c r="K26" s="284">
        <f>COUNTA([22]Brewhouse!$A$107:$A$122)</f>
        <v>16</v>
      </c>
      <c r="L26" s="302">
        <f>AVERAGE([22]Brewhouse!$AV$107:$AV$122)</f>
        <v>96.593037676437092</v>
      </c>
      <c r="M26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6" s="30">
        <v>98</v>
      </c>
      <c r="O26" s="11"/>
      <c r="P26" s="31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7" ht="14.65" customHeight="1">
      <c r="A27" s="28"/>
      <c r="B27" s="530"/>
      <c r="C27" s="362"/>
      <c r="D27" s="580"/>
      <c r="E27" s="581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4.65" customHeight="1">
      <c r="A28" s="28"/>
      <c r="B28" s="530"/>
      <c r="C28" s="362"/>
      <c r="D28" s="547"/>
      <c r="E28" s="535"/>
      <c r="F28" s="417"/>
      <c r="G28" s="294"/>
      <c r="H28" s="348"/>
      <c r="I28" s="36" t="s">
        <v>15</v>
      </c>
      <c r="J28" s="323"/>
      <c r="K28" s="284"/>
      <c r="L28" s="302"/>
      <c r="M28" s="302">
        <f>AVERAGE([26]Brewhouse!$AT$4:$AT$11,[26]Brewhouse!$AT$13:$AT$16,[26]Brewhouse!$AT$18:$AT$21,[26]Brewhouse!$AT$26,[26]Brewhouse!$AT$28:$AT$35)</f>
        <v>94.794664331624134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  <c r="AA28" s="475"/>
    </row>
    <row r="29" spans="1:27" ht="14.65" customHeight="1">
      <c r="A29" s="28"/>
      <c r="B29" s="530"/>
      <c r="C29" s="362"/>
      <c r="D29" s="580"/>
      <c r="E29" s="581"/>
      <c r="F29" s="417"/>
      <c r="G29" s="294"/>
      <c r="H29" s="348"/>
      <c r="I29" s="37" t="s">
        <v>16</v>
      </c>
      <c r="J29" s="323"/>
      <c r="K29" s="284">
        <f>COUNTA([27]Brewhouse!$A$99:$A$116)</f>
        <v>18</v>
      </c>
      <c r="L29" s="302">
        <f>AVERAGE([27]Brewhouse!$AY$99:$AY$116)</f>
        <v>97.377797632485397</v>
      </c>
      <c r="M29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29" s="30">
        <v>98</v>
      </c>
      <c r="O29" s="11"/>
      <c r="P29" s="31" t="s">
        <v>41</v>
      </c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  <c r="AA29" s="475"/>
    </row>
    <row r="30" spans="1:27" ht="14.65" customHeight="1">
      <c r="A30" s="28"/>
      <c r="B30" s="530"/>
      <c r="C30" s="362"/>
      <c r="D30" s="547"/>
      <c r="E30" s="535"/>
      <c r="F30" s="294"/>
      <c r="G30" s="294"/>
      <c r="H30" s="348"/>
      <c r="I30" s="411" t="s">
        <v>158</v>
      </c>
      <c r="J30" s="326"/>
      <c r="K30" s="284"/>
      <c r="L30" s="305"/>
      <c r="M30" s="305">
        <f>AVERAGE([28]Brewhouse!$AU$5:$AU$8,[28]Brewhouse!$AU$10:$AU$13,[27]Brewhouse!$AY$75:$AY$77)</f>
        <v>94.749192473706671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4.65" customHeight="1">
      <c r="A31" s="28"/>
      <c r="B31" s="530"/>
      <c r="C31" s="349"/>
      <c r="D31" s="580"/>
      <c r="E31" s="581"/>
      <c r="F31" s="294"/>
      <c r="G31" s="294"/>
      <c r="H31" s="348"/>
      <c r="I31" s="410" t="s">
        <v>157</v>
      </c>
      <c r="J31" s="326"/>
      <c r="K31" s="284"/>
      <c r="L31" s="305"/>
      <c r="M31" s="305">
        <f>AVERAGE([29]Brewhouse!$AW$26:$AW$27)</f>
        <v>95.310680905194914</v>
      </c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5" customHeight="1" thickBot="1">
      <c r="A32" s="28"/>
      <c r="B32" s="530"/>
      <c r="C32" s="349"/>
      <c r="D32" s="547"/>
      <c r="E32" s="535"/>
      <c r="F32" s="294"/>
      <c r="G32" s="294"/>
      <c r="H32" s="348"/>
      <c r="I32" s="406" t="s">
        <v>156</v>
      </c>
      <c r="J32" s="327"/>
      <c r="K32" s="407"/>
      <c r="L32" s="408"/>
      <c r="M32" s="408">
        <f>AVERAGE([30]Brewhouse!$AU$13:$AU$14)</f>
        <v>97.110575243268045</v>
      </c>
      <c r="N32" s="409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5" customHeight="1" thickBot="1">
      <c r="A33" s="28"/>
      <c r="B33" s="530"/>
      <c r="C33" s="349"/>
      <c r="D33" s="532"/>
      <c r="E33" s="533"/>
      <c r="F33" s="294"/>
      <c r="G33" s="294"/>
      <c r="H33" s="348"/>
      <c r="I33" s="1"/>
      <c r="J33" s="39"/>
      <c r="K33" s="404">
        <f>SUM(K23:K32)</f>
        <v>105</v>
      </c>
      <c r="L33" s="405">
        <f>((L23*K23)+(L24*K24)+(L25*K25)+(L26*K26)+(L27*K27)+(K30*L30)+(L28*K28)+(L29*K29)+(L32*K32))/(K33)</f>
        <v>97.492956364051324</v>
      </c>
      <c r="M33" s="405">
        <f>AVERAGE('[31]Jan 31st'!$L$65,'[32]Feb 28th'!$L$35,'[33]Mar. 31st'!$L$35,'[34]Apr. 30th'!$L$45,'[35]May 30th'!$L$37,'[36]June 30th'!$L$57,'[37]July 29th '!$L$44,'[38]Aug 29th'!$L$29,'[39]Sept 30th'!$L$35,L33)</f>
        <v>97.567245876086929</v>
      </c>
      <c r="N33" s="40">
        <v>98</v>
      </c>
      <c r="O33" s="11"/>
      <c r="P33" s="31"/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5.75" thickBot="1">
      <c r="B34" s="605"/>
      <c r="C34" s="350"/>
      <c r="D34" s="534"/>
      <c r="E34" s="535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5.75" thickBot="1">
      <c r="B35" s="596"/>
      <c r="C35" s="362"/>
      <c r="D35" s="545"/>
      <c r="E35" s="546"/>
      <c r="F35" s="294"/>
      <c r="G35" s="42"/>
      <c r="H35" s="41"/>
      <c r="I35" s="42"/>
      <c r="J35" s="579" t="s">
        <v>129</v>
      </c>
      <c r="K35" s="579"/>
      <c r="L35" s="294"/>
      <c r="M35" s="294"/>
      <c r="N35" s="294"/>
      <c r="O35" s="294"/>
      <c r="P35" s="12"/>
    </row>
    <row r="36" spans="1:56" ht="15.75" thickBot="1">
      <c r="B36" s="597"/>
      <c r="C36" s="362"/>
      <c r="D36" s="547"/>
      <c r="E36" s="535"/>
      <c r="F36" s="294"/>
      <c r="G36" s="42"/>
      <c r="H36" s="42"/>
      <c r="I36" s="42"/>
      <c r="J36" s="292" t="s">
        <v>17</v>
      </c>
      <c r="K36" s="293" t="s">
        <v>147</v>
      </c>
      <c r="L36" s="549" t="s">
        <v>136</v>
      </c>
      <c r="M36" s="549"/>
      <c r="N36" s="550"/>
      <c r="O36" s="294"/>
      <c r="P36" s="12"/>
    </row>
    <row r="37" spans="1:56" ht="15" customHeight="1" thickBot="1">
      <c r="B37" s="597"/>
      <c r="C37" s="349"/>
      <c r="D37" s="580"/>
      <c r="E37" s="581"/>
      <c r="F37" s="294"/>
      <c r="G37" s="42"/>
      <c r="H37" s="42"/>
      <c r="I37" s="42"/>
      <c r="J37" s="287" t="s">
        <v>6</v>
      </c>
      <c r="K37" s="324">
        <v>3</v>
      </c>
      <c r="L37" s="476" t="s">
        <v>37</v>
      </c>
      <c r="M37" s="477" t="s">
        <v>38</v>
      </c>
      <c r="N37" s="477" t="s">
        <v>84</v>
      </c>
      <c r="O37" s="294"/>
      <c r="P37" s="12"/>
    </row>
    <row r="38" spans="1:56" ht="15.75" customHeight="1" thickBot="1">
      <c r="B38" s="597"/>
      <c r="C38" s="349"/>
      <c r="D38" s="547"/>
      <c r="E38" s="535"/>
      <c r="F38" s="294"/>
      <c r="G38" s="42"/>
      <c r="H38" s="42"/>
      <c r="I38" s="42"/>
      <c r="J38" s="345" t="s">
        <v>9</v>
      </c>
      <c r="K38" s="324"/>
      <c r="L38" s="344">
        <f>AVERAGE('Dec 1st'!K43,'Dec 2nd'!K49,'Dec 3rd '!K58,'Dec 4th'!K51,'Dec 5th-7th'!I70,'Dec 5th-7th'!J70,'Dec 5th-7th'!K70,'Dec 8th '!K49,'Dec 9th'!K49,'Dec 10th'!K61,'Dec 11th'!K53,'Dec 12th-14th'!K44,'Dec 15th'!K49,'Dec 16th'!K54,'Dec 17th '!K48,'Dec 18th '!K51,'Dec 24th'!K47)</f>
        <v>6.1764705882352944</v>
      </c>
      <c r="M38" s="325">
        <f>AVERAGE('[31]Jan 29th '!$M$70,'[32]Feb 28th'!$L$40,'[33]Mar. 31st'!$L$40,'[34]Apr. 30th'!$L$50,'[35]May 30th'!$L$42,'[36]June 30th'!$L$62,'[37]July 29th '!$L$49,'[38]Aug 29th'!$L$34,'[39]Sept 30th'!$L$40,[40]Oct.31st!$L$43,'[41]Nov 28th-30th'!$L$45,L38)</f>
        <v>6.9042369668926069</v>
      </c>
      <c r="N38" s="416">
        <v>9.1999999999999993</v>
      </c>
      <c r="O38" s="294"/>
      <c r="P38" s="12"/>
    </row>
    <row r="39" spans="1:56" ht="15" customHeight="1">
      <c r="B39" s="597"/>
      <c r="C39" s="349"/>
      <c r="D39" s="580"/>
      <c r="E39" s="581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97"/>
      <c r="C40" s="349"/>
      <c r="D40" s="547"/>
      <c r="E40" s="535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97"/>
      <c r="C41" s="349"/>
      <c r="D41" s="580"/>
      <c r="E41" s="581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97"/>
      <c r="C42" s="349"/>
      <c r="D42" s="547"/>
      <c r="E42" s="535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97"/>
      <c r="C43" s="349"/>
      <c r="D43" s="580"/>
      <c r="E43" s="581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607"/>
      <c r="C44" s="350"/>
      <c r="D44" s="582"/>
      <c r="E44" s="583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77"/>
      <c r="E45" s="578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3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J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57" t="s">
        <v>17</v>
      </c>
      <c r="C50" s="557" t="s">
        <v>44</v>
      </c>
      <c r="D50" s="559" t="s">
        <v>45</v>
      </c>
      <c r="E50" s="514" t="s">
        <v>46</v>
      </c>
      <c r="F50" s="574" t="s">
        <v>47</v>
      </c>
      <c r="G50" s="568" t="s">
        <v>48</v>
      </c>
      <c r="H50" s="557" t="s">
        <v>49</v>
      </c>
      <c r="I50" s="557" t="s">
        <v>50</v>
      </c>
      <c r="J50" s="562" t="s">
        <v>28</v>
      </c>
      <c r="K50" s="512" t="s">
        <v>51</v>
      </c>
      <c r="L50" s="524" t="s">
        <v>52</v>
      </c>
      <c r="M50" s="562" t="s">
        <v>53</v>
      </c>
      <c r="N50" s="13"/>
      <c r="O50" s="13"/>
      <c r="P50" s="50"/>
    </row>
    <row r="51" spans="2:57" ht="28.5" customHeight="1" thickTop="1" thickBot="1">
      <c r="B51" s="558"/>
      <c r="C51" s="558"/>
      <c r="D51" s="560"/>
      <c r="E51" s="561"/>
      <c r="F51" s="575"/>
      <c r="G51" s="569"/>
      <c r="H51" s="576"/>
      <c r="I51" s="576"/>
      <c r="J51" s="563"/>
      <c r="K51" s="572"/>
      <c r="L51" s="573"/>
      <c r="M51" s="563"/>
      <c r="N51" s="13"/>
      <c r="O51" s="13"/>
      <c r="P51" s="50"/>
      <c r="Q51" s="355"/>
      <c r="AB51" s="478">
        <v>43474</v>
      </c>
      <c r="AC51" s="478">
        <v>43475</v>
      </c>
      <c r="AD51" s="478">
        <v>43476</v>
      </c>
      <c r="AE51" s="478">
        <v>43477</v>
      </c>
      <c r="AF51" s="478">
        <v>43478</v>
      </c>
      <c r="AG51" s="478">
        <v>43479</v>
      </c>
      <c r="AH51" s="478">
        <v>43480</v>
      </c>
      <c r="AI51" s="478">
        <v>43481</v>
      </c>
      <c r="AJ51" s="478">
        <v>43482</v>
      </c>
      <c r="AK51" s="478">
        <v>43483</v>
      </c>
      <c r="AL51" s="478">
        <v>43484</v>
      </c>
      <c r="AM51" s="478">
        <v>43485</v>
      </c>
      <c r="AN51" s="478">
        <v>43486</v>
      </c>
      <c r="AO51" s="478">
        <v>43487</v>
      </c>
      <c r="AP51" s="478">
        <v>43488</v>
      </c>
      <c r="AQ51" s="478">
        <v>43489</v>
      </c>
      <c r="AR51" s="478">
        <v>43490</v>
      </c>
      <c r="AS51" s="478">
        <v>43491</v>
      </c>
      <c r="AT51" s="478">
        <v>43492</v>
      </c>
      <c r="AU51" s="478">
        <v>43493</v>
      </c>
      <c r="AV51" s="478">
        <v>43494</v>
      </c>
      <c r="AW51" s="478">
        <v>43495</v>
      </c>
      <c r="AX51" s="478">
        <v>43496</v>
      </c>
    </row>
    <row r="52" spans="2:57" s="54" customFormat="1" ht="43.15" customHeight="1" thickBot="1">
      <c r="B52" s="468"/>
      <c r="C52" s="441"/>
      <c r="D52" s="442"/>
      <c r="E52" s="443"/>
      <c r="F52" s="444"/>
      <c r="G52" s="444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[20]January_2019!L7</f>
        <v>285.8</v>
      </c>
      <c r="AC52" s="57">
        <f>[20]January_2019!M7</f>
        <v>508.1</v>
      </c>
      <c r="AD52" s="57">
        <f>[20]January_2019!N7</f>
        <v>0</v>
      </c>
      <c r="AE52" s="57">
        <f>[20]January_2019!O7</f>
        <v>0</v>
      </c>
      <c r="AF52" s="57">
        <f>[20]January_2019!P7</f>
        <v>109.56666666666666</v>
      </c>
      <c r="AG52" s="57">
        <f>[20]January_2019!Q7</f>
        <v>297.64999999999998</v>
      </c>
      <c r="AH52" s="57">
        <f>[20]January_2019!R7</f>
        <v>122.3</v>
      </c>
      <c r="AI52" s="57">
        <f>[20]January_2019!S7</f>
        <v>0</v>
      </c>
      <c r="AJ52" s="57">
        <f>[20]January_2019!T7</f>
        <v>294.7</v>
      </c>
      <c r="AK52" s="57">
        <f>[20]January_2019!U7</f>
        <v>280.5</v>
      </c>
      <c r="AL52" s="57">
        <f>[20]January_2019!V7</f>
        <v>0</v>
      </c>
      <c r="AM52" s="57">
        <f>[20]January_2019!W7</f>
        <v>0</v>
      </c>
      <c r="AN52" s="57">
        <f>[20]January_2019!X7</f>
        <v>188.25</v>
      </c>
      <c r="AO52" s="57">
        <f>[20]January_2019!Y7</f>
        <v>295.7</v>
      </c>
      <c r="AP52" s="57">
        <f>[20]January_2019!Z7</f>
        <v>257.8</v>
      </c>
      <c r="AQ52" s="57">
        <f>[20]January_2019!AA7</f>
        <v>291.2</v>
      </c>
      <c r="AR52" s="57">
        <f>[20]January_2019!AB7</f>
        <v>187</v>
      </c>
      <c r="AS52" s="57">
        <f>[20]January_2019!AC7</f>
        <v>0</v>
      </c>
      <c r="AT52" s="57">
        <f>[20]January_2019!AD7</f>
        <v>0</v>
      </c>
      <c r="AU52" s="57">
        <f>[20]January_2019!AE7</f>
        <v>485.1</v>
      </c>
      <c r="AV52" s="57">
        <f>[20]January_2019!AF7</f>
        <v>171.55</v>
      </c>
      <c r="AW52" s="57">
        <f>[20]January_2019!AG7</f>
        <v>423.8</v>
      </c>
      <c r="AX52" s="277">
        <f>[20]January_2019!AH7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9.5" customHeight="1" thickBot="1">
      <c r="B53" s="468"/>
      <c r="C53" s="430"/>
      <c r="D53" s="431"/>
      <c r="E53" s="432"/>
      <c r="F53" s="433"/>
      <c r="G53" s="434"/>
      <c r="H53" s="428"/>
      <c r="I53" s="42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450000000000003" customHeight="1" thickBot="1">
      <c r="B54" s="492"/>
      <c r="C54" s="441"/>
      <c r="D54" s="442"/>
      <c r="E54" s="443"/>
      <c r="F54" s="444"/>
      <c r="G54" s="445"/>
      <c r="H54" s="458"/>
      <c r="I54" s="458"/>
      <c r="J54" s="448"/>
      <c r="K54" s="460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59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7"/>
      <c r="C59" s="430"/>
      <c r="D59" s="461"/>
      <c r="E59" s="462"/>
      <c r="F59" s="463"/>
      <c r="G59" s="461"/>
      <c r="H59" s="464"/>
      <c r="I59" s="464"/>
      <c r="J59" s="464"/>
      <c r="K59" s="465"/>
      <c r="L59" s="466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64" t="s">
        <v>55</v>
      </c>
      <c r="C61" s="565"/>
      <c r="D61" s="565"/>
      <c r="E61" s="565"/>
      <c r="F61" s="566"/>
      <c r="G61" s="564" t="s">
        <v>56</v>
      </c>
      <c r="H61" s="565"/>
      <c r="I61" s="565"/>
      <c r="J61" s="566"/>
      <c r="K61" s="564" t="s">
        <v>51</v>
      </c>
      <c r="L61" s="565"/>
      <c r="M61" s="565"/>
      <c r="N61" s="567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282"/>
      <c r="D63" s="76">
        <v>5.8026631580229768</v>
      </c>
      <c r="E63" s="76">
        <v>6.0531686830331823</v>
      </c>
      <c r="F63" s="66">
        <v>4.8</v>
      </c>
      <c r="G63" s="65"/>
      <c r="H63" s="491">
        <v>5.3176786670204912</v>
      </c>
      <c r="I63" s="76">
        <v>5.9550999117622165</v>
      </c>
      <c r="J63" s="66">
        <v>4.8</v>
      </c>
      <c r="K63" s="67"/>
      <c r="L63" s="194">
        <v>0.36070825211176089</v>
      </c>
      <c r="M63" s="194">
        <v>0.70366043909732956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4.1175748649975672</v>
      </c>
      <c r="E64" s="76">
        <v>5.5936302144903491</v>
      </c>
      <c r="F64" s="66">
        <v>4.8</v>
      </c>
      <c r="G64" s="65"/>
      <c r="H64" s="76">
        <v>4.0105496978663</v>
      </c>
      <c r="I64" s="76">
        <v>6.069851171192818</v>
      </c>
      <c r="J64" s="66">
        <v>4.8</v>
      </c>
      <c r="K64" s="67"/>
      <c r="L64" s="194">
        <v>0.37228237259816205</v>
      </c>
      <c r="M64" s="194">
        <v>0.66138458180669046</v>
      </c>
      <c r="N64" s="68">
        <v>1</v>
      </c>
      <c r="P64" s="69"/>
    </row>
    <row r="65" spans="2:16" ht="15">
      <c r="B65" s="34" t="s">
        <v>40</v>
      </c>
      <c r="C65" s="65"/>
      <c r="D65" s="76">
        <v>12.016908212560388</v>
      </c>
      <c r="E65" s="76">
        <v>11.141238852735578</v>
      </c>
      <c r="F65" s="66">
        <v>5.5</v>
      </c>
      <c r="G65" s="65"/>
      <c r="H65" s="76">
        <v>12.270238379611699</v>
      </c>
      <c r="I65" s="76">
        <v>12.503538804098113</v>
      </c>
      <c r="J65" s="66">
        <v>5.5</v>
      </c>
      <c r="K65" s="67"/>
      <c r="L65" s="194">
        <v>0.37337719298245614</v>
      </c>
      <c r="M65" s="194">
        <v>0.50452657004830925</v>
      </c>
      <c r="N65" s="68">
        <v>1</v>
      </c>
      <c r="P65" s="69"/>
    </row>
    <row r="66" spans="2:16" ht="15">
      <c r="B66" s="22" t="s">
        <v>33</v>
      </c>
      <c r="C66" s="65"/>
      <c r="D66" s="76">
        <v>3.7426398119835098</v>
      </c>
      <c r="E66" s="76">
        <v>4.4918713689673408</v>
      </c>
      <c r="F66" s="66">
        <v>3.3</v>
      </c>
      <c r="G66" s="65"/>
      <c r="H66" s="76">
        <v>2.884540034691927</v>
      </c>
      <c r="I66" s="76">
        <v>4.189075062989712</v>
      </c>
      <c r="J66" s="66">
        <v>3.3</v>
      </c>
      <c r="K66" s="67"/>
      <c r="L66" s="194">
        <v>0.77900584795321637</v>
      </c>
      <c r="M66" s="194">
        <v>0.82191692466460264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6.8851328044153277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2.192371331533558</v>
      </c>
      <c r="E69" s="76">
        <v>2.8003947928578476</v>
      </c>
      <c r="F69" s="66">
        <v>3.3</v>
      </c>
      <c r="G69" s="282"/>
      <c r="H69" s="76">
        <v>5.3037545361325495</v>
      </c>
      <c r="I69" s="76">
        <v>4.4533241310026561</v>
      </c>
      <c r="J69" s="66">
        <v>3.3</v>
      </c>
      <c r="K69" s="67"/>
      <c r="L69" s="194">
        <v>0.64058479532163748</v>
      </c>
      <c r="M69" s="194">
        <v>0.80904406538734908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5.4607581821451694</v>
      </c>
      <c r="E72" s="76">
        <v>6.0530037120415505</v>
      </c>
      <c r="F72" s="341">
        <v>5.5</v>
      </c>
      <c r="H72" s="76">
        <v>5.7593304059915251</v>
      </c>
      <c r="I72" s="76">
        <v>6.4701803214335314</v>
      </c>
      <c r="J72" s="341">
        <v>5.5</v>
      </c>
      <c r="L72" s="194">
        <v>0.45969602035391516</v>
      </c>
      <c r="M72" s="194">
        <v>0.68443054824005256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1:F61"/>
    <mergeCell ref="G61:J61"/>
    <mergeCell ref="K61:N61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737" priority="45" operator="notBetween">
      <formula>#REF!</formula>
      <formula>#REF!</formula>
    </cfRule>
  </conditionalFormatting>
  <conditionalFormatting sqref="C49">
    <cfRule type="cellIs" dxfId="736" priority="191" stopIfTrue="1" operator="greaterThan">
      <formula>100</formula>
    </cfRule>
    <cfRule type="cellIs" dxfId="735" priority="190" stopIfTrue="1" operator="lessThan">
      <formula>96</formula>
    </cfRule>
  </conditionalFormatting>
  <conditionalFormatting sqref="C63:C67">
    <cfRule type="cellIs" dxfId="734" priority="144" stopIfTrue="1" operator="lessThanOrEqual">
      <formula>0</formula>
    </cfRule>
  </conditionalFormatting>
  <conditionalFormatting sqref="C63:C71">
    <cfRule type="cellIs" dxfId="733" priority="143" stopIfTrue="1" operator="greaterThan">
      <formula>$F63</formula>
    </cfRule>
  </conditionalFormatting>
  <conditionalFormatting sqref="C64">
    <cfRule type="cellIs" dxfId="732" priority="194" stopIfTrue="1" operator="greaterThan">
      <formula>$F63</formula>
    </cfRule>
  </conditionalFormatting>
  <conditionalFormatting sqref="C68">
    <cfRule type="cellIs" dxfId="731" priority="84" stopIfTrue="1" operator="greaterThan">
      <formula>$F67</formula>
    </cfRule>
    <cfRule type="cellIs" dxfId="730" priority="83" stopIfTrue="1" operator="lessThanOrEqual">
      <formula>0</formula>
    </cfRule>
  </conditionalFormatting>
  <conditionalFormatting sqref="C74:C78">
    <cfRule type="cellIs" dxfId="729" priority="182" stopIfTrue="1" operator="lessThanOrEqual">
      <formula>0</formula>
    </cfRule>
  </conditionalFormatting>
  <conditionalFormatting sqref="C75:C78">
    <cfRule type="cellIs" dxfId="728" priority="181" stopIfTrue="1" operator="greaterThan">
      <formula>$F$74</formula>
    </cfRule>
  </conditionalFormatting>
  <conditionalFormatting sqref="C80">
    <cfRule type="cellIs" dxfId="727" priority="184" stopIfTrue="1" operator="lessThanOrEqual">
      <formula>0</formula>
    </cfRule>
    <cfRule type="cellIs" dxfId="726" priority="183" stopIfTrue="1" operator="greaterThan">
      <formula>$F$74</formula>
    </cfRule>
  </conditionalFormatting>
  <conditionalFormatting sqref="C74:D74 D76:D82">
    <cfRule type="cellIs" dxfId="725" priority="176" stopIfTrue="1" operator="greaterThan">
      <formula>4.5</formula>
    </cfRule>
  </conditionalFormatting>
  <conditionalFormatting sqref="D45:D46">
    <cfRule type="cellIs" dxfId="724" priority="46" operator="notBetween">
      <formula>#REF!</formula>
      <formula>#REF!</formula>
    </cfRule>
  </conditionalFormatting>
  <conditionalFormatting sqref="D63:D70">
    <cfRule type="cellIs" dxfId="723" priority="156" stopIfTrue="1" operator="lessThanOrEqual">
      <formula>0</formula>
    </cfRule>
  </conditionalFormatting>
  <conditionalFormatting sqref="D71">
    <cfRule type="cellIs" dxfId="722" priority="155" stopIfTrue="1" operator="lessThanOrEqual">
      <formula>0</formula>
    </cfRule>
  </conditionalFormatting>
  <conditionalFormatting sqref="D74 D76:D82">
    <cfRule type="cellIs" dxfId="721" priority="177" stopIfTrue="1" operator="lessThanOrEqual">
      <formula>0</formula>
    </cfRule>
  </conditionalFormatting>
  <conditionalFormatting sqref="D75">
    <cfRule type="cellIs" dxfId="720" priority="169" stopIfTrue="1" operator="lessThanOrEqual">
      <formula>0</formula>
    </cfRule>
    <cfRule type="cellIs" dxfId="719" priority="168" stopIfTrue="1" operator="greaterThan">
      <formula>$F$74</formula>
    </cfRule>
  </conditionalFormatting>
  <conditionalFormatting sqref="D63:E72">
    <cfRule type="cellIs" dxfId="718" priority="141" stopIfTrue="1" operator="greaterThan">
      <formula>$F63</formula>
    </cfRule>
  </conditionalFormatting>
  <conditionalFormatting sqref="D72:E72">
    <cfRule type="cellIs" dxfId="717" priority="142" stopIfTrue="1" operator="lessThanOrEqual">
      <formula>0</formula>
    </cfRule>
  </conditionalFormatting>
  <conditionalFormatting sqref="E10:E20">
    <cfRule type="cellIs" dxfId="716" priority="22" operator="lessThan">
      <formula>48</formula>
    </cfRule>
  </conditionalFormatting>
  <conditionalFormatting sqref="E48 E49:F49">
    <cfRule type="cellIs" dxfId="715" priority="173" stopIfTrue="1" operator="greaterThan">
      <formula>100</formula>
    </cfRule>
  </conditionalFormatting>
  <conditionalFormatting sqref="E49">
    <cfRule type="cellIs" dxfId="714" priority="171" stopIfTrue="1" operator="greaterThan">
      <formula>100</formula>
    </cfRule>
    <cfRule type="cellIs" dxfId="713" priority="170" stopIfTrue="1" operator="lessThan">
      <formula>96.8</formula>
    </cfRule>
  </conditionalFormatting>
  <conditionalFormatting sqref="E63:E71">
    <cfRule type="cellIs" dxfId="712" priority="152" stopIfTrue="1" operator="lessThanOrEqual">
      <formula>0</formula>
    </cfRule>
  </conditionalFormatting>
  <conditionalFormatting sqref="E74:E82">
    <cfRule type="cellIs" dxfId="711" priority="163" stopIfTrue="1" operator="lessThanOrEqual">
      <formula>0</formula>
    </cfRule>
    <cfRule type="cellIs" dxfId="710" priority="162" stopIfTrue="1" operator="greaterThan">
      <formula>4.5</formula>
    </cfRule>
  </conditionalFormatting>
  <conditionalFormatting sqref="E49:F49 E48">
    <cfRule type="cellIs" dxfId="709" priority="172" stopIfTrue="1" operator="lessThan">
      <formula>96.5</formula>
    </cfRule>
  </conditionalFormatting>
  <conditionalFormatting sqref="F10:F17 F20">
    <cfRule type="cellIs" dxfId="708" priority="23" operator="greaterThan">
      <formula>60</formula>
    </cfRule>
  </conditionalFormatting>
  <conditionalFormatting sqref="F49">
    <cfRule type="cellIs" dxfId="707" priority="189" stopIfTrue="1" operator="greaterThan">
      <formula>100</formula>
    </cfRule>
    <cfRule type="cellIs" dxfId="706" priority="188" stopIfTrue="1" operator="lessThan">
      <formula>96.8</formula>
    </cfRule>
  </conditionalFormatting>
  <conditionalFormatting sqref="F72">
    <cfRule type="cellIs" dxfId="705" priority="154" stopIfTrue="1" operator="lessThanOrEqual">
      <formula>0</formula>
    </cfRule>
    <cfRule type="cellIs" dxfId="704" priority="153" stopIfTrue="1" operator="greaterThan">
      <formula>$F72</formula>
    </cfRule>
  </conditionalFormatting>
  <conditionalFormatting sqref="G10:G19">
    <cfRule type="expression" dxfId="703" priority="14">
      <formula>IF(+(IF(G10&lt;S10,0,IF(G10&gt;T10,0,1)))=0,1)</formula>
    </cfRule>
  </conditionalFormatting>
  <conditionalFormatting sqref="G63:G64 C69:C71">
    <cfRule type="cellIs" dxfId="702" priority="158" stopIfTrue="1" operator="lessThanOrEqual">
      <formula>0</formula>
    </cfRule>
  </conditionalFormatting>
  <conditionalFormatting sqref="G63:G64">
    <cfRule type="cellIs" dxfId="701" priority="157" stopIfTrue="1" operator="greaterThan">
      <formula>$F63</formula>
    </cfRule>
    <cfRule type="cellIs" dxfId="700" priority="145" stopIfTrue="1" operator="greaterThan">
      <formula>$F63</formula>
    </cfRule>
    <cfRule type="cellIs" dxfId="699" priority="146" stopIfTrue="1" operator="lessThanOrEqual">
      <formula>0</formula>
    </cfRule>
  </conditionalFormatting>
  <conditionalFormatting sqref="G65">
    <cfRule type="cellIs" dxfId="698" priority="193" stopIfTrue="1" operator="lessThanOrEqual">
      <formula>0</formula>
    </cfRule>
    <cfRule type="cellIs" dxfId="697" priority="192" stopIfTrue="1" operator="greaterThan">
      <formula>$F64</formula>
    </cfRule>
  </conditionalFormatting>
  <conditionalFormatting sqref="G66">
    <cfRule type="cellIs" dxfId="696" priority="41" stopIfTrue="1" operator="greaterThan">
      <formula>$F66</formula>
    </cfRule>
    <cfRule type="cellIs" dxfId="695" priority="44" stopIfTrue="1" operator="lessThanOrEqual">
      <formula>0</formula>
    </cfRule>
    <cfRule type="cellIs" dxfId="694" priority="43" stopIfTrue="1" operator="greaterThan">
      <formula>$F66</formula>
    </cfRule>
    <cfRule type="cellIs" dxfId="693" priority="42" stopIfTrue="1" operator="lessThanOrEqual">
      <formula>0</formula>
    </cfRule>
  </conditionalFormatting>
  <conditionalFormatting sqref="G67:G71">
    <cfRule type="cellIs" dxfId="692" priority="160" stopIfTrue="1" operator="lessThanOrEqual">
      <formula>0</formula>
    </cfRule>
    <cfRule type="cellIs" dxfId="691" priority="159" stopIfTrue="1" operator="greaterThan">
      <formula>$J67</formula>
    </cfRule>
  </conditionalFormatting>
  <conditionalFormatting sqref="G76:G81 C79 C81">
    <cfRule type="cellIs" dxfId="690" priority="186" stopIfTrue="1" operator="lessThanOrEqual">
      <formula>0</formula>
    </cfRule>
    <cfRule type="cellIs" dxfId="689" priority="185" stopIfTrue="1" operator="greaterThan">
      <formula>4.5</formula>
    </cfRule>
  </conditionalFormatting>
  <conditionalFormatting sqref="G20:H20">
    <cfRule type="expression" dxfId="688" priority="40">
      <formula>IF(+(IF(G20&lt;#REF!,0,IF(G20&gt;#REF!,0,1)))=0,1)</formula>
    </cfRule>
  </conditionalFormatting>
  <conditionalFormatting sqref="G75:H75">
    <cfRule type="cellIs" dxfId="687" priority="166" stopIfTrue="1" operator="greaterThan">
      <formula>$F$74</formula>
    </cfRule>
    <cfRule type="cellIs" dxfId="686" priority="167" stopIfTrue="1" operator="lessThanOrEqual">
      <formula>0</formula>
    </cfRule>
  </conditionalFormatting>
  <conditionalFormatting sqref="H18:H19">
    <cfRule type="expression" dxfId="685" priority="12">
      <formula>IF(+(IF(H18&lt;#REF!,0,IF(H18&gt;#REF!,0,1)))=0,1)</formula>
    </cfRule>
  </conditionalFormatting>
  <conditionalFormatting sqref="H34:H35 H48">
    <cfRule type="cellIs" dxfId="684" priority="164" stopIfTrue="1" operator="greaterThan">
      <formula>0</formula>
    </cfRule>
  </conditionalFormatting>
  <conditionalFormatting sqref="H52">
    <cfRule type="cellIs" dxfId="683" priority="27" stopIfTrue="1" operator="lessThanOrEqual">
      <formula>0</formula>
    </cfRule>
    <cfRule type="cellIs" dxfId="682" priority="28" stopIfTrue="1" operator="greaterThan">
      <formula>$F$67</formula>
    </cfRule>
    <cfRule type="cellIs" dxfId="681" priority="36" stopIfTrue="1" operator="greaterThan">
      <formula>$F$70</formula>
    </cfRule>
    <cfRule type="cellIs" dxfId="680" priority="37" stopIfTrue="1" operator="lessThanOrEqual">
      <formula>0</formula>
    </cfRule>
    <cfRule type="cellIs" dxfId="679" priority="38" stopIfTrue="1" operator="greaterThan">
      <formula>$F$68</formula>
    </cfRule>
    <cfRule type="cellIs" dxfId="678" priority="39" stopIfTrue="1" operator="lessThanOrEqual">
      <formula>0</formula>
    </cfRule>
  </conditionalFormatting>
  <conditionalFormatting sqref="H53">
    <cfRule type="cellIs" dxfId="677" priority="110" stopIfTrue="1" operator="lessThanOrEqual">
      <formula>0</formula>
    </cfRule>
    <cfRule type="cellIs" dxfId="676" priority="109" stopIfTrue="1" operator="greaterThan">
      <formula>$F$21</formula>
    </cfRule>
    <cfRule type="cellIs" dxfId="675" priority="112" stopIfTrue="1" operator="lessThanOrEqual">
      <formula>0</formula>
    </cfRule>
    <cfRule type="cellIs" dxfId="674" priority="111" stopIfTrue="1" operator="greaterThan">
      <formula>#REF!</formula>
    </cfRule>
    <cfRule type="cellIs" dxfId="673" priority="100" stopIfTrue="1" operator="lessThanOrEqual">
      <formula>0</formula>
    </cfRule>
    <cfRule type="cellIs" dxfId="672" priority="101" stopIfTrue="1" operator="greaterThan">
      <formula>#REF!</formula>
    </cfRule>
  </conditionalFormatting>
  <conditionalFormatting sqref="H54">
    <cfRule type="cellIs" dxfId="671" priority="82" stopIfTrue="1" operator="lessThanOrEqual">
      <formula>0</formula>
    </cfRule>
    <cfRule type="cellIs" dxfId="670" priority="81" stopIfTrue="1" operator="greaterThan">
      <formula>$F$65</formula>
    </cfRule>
    <cfRule type="cellIs" dxfId="669" priority="79" stopIfTrue="1" operator="greaterThan">
      <formula>$F$67</formula>
    </cfRule>
    <cfRule type="cellIs" dxfId="668" priority="70" stopIfTrue="1" operator="lessThanOrEqual">
      <formula>0</formula>
    </cfRule>
    <cfRule type="cellIs" dxfId="667" priority="71" stopIfTrue="1" operator="greaterThan">
      <formula>$F$64</formula>
    </cfRule>
    <cfRule type="cellIs" dxfId="666" priority="80" stopIfTrue="1" operator="lessThanOrEqual">
      <formula>0</formula>
    </cfRule>
  </conditionalFormatting>
  <conditionalFormatting sqref="H55:H56">
    <cfRule type="cellIs" dxfId="665" priority="87" stopIfTrue="1" operator="greaterThan">
      <formula>#REF!</formula>
    </cfRule>
    <cfRule type="cellIs" dxfId="664" priority="96" stopIfTrue="1" operator="lessThanOrEqual">
      <formula>0</formula>
    </cfRule>
    <cfRule type="cellIs" dxfId="663" priority="86" stopIfTrue="1" operator="lessThanOrEqual">
      <formula>0</formula>
    </cfRule>
    <cfRule type="cellIs" dxfId="662" priority="97" stopIfTrue="1" operator="greaterThan">
      <formula>#REF!</formula>
    </cfRule>
    <cfRule type="cellIs" dxfId="661" priority="98" stopIfTrue="1" operator="lessThanOrEqual">
      <formula>0</formula>
    </cfRule>
    <cfRule type="cellIs" dxfId="660" priority="95" stopIfTrue="1" operator="greaterThan">
      <formula>$F$20</formula>
    </cfRule>
  </conditionalFormatting>
  <conditionalFormatting sqref="H57">
    <cfRule type="cellIs" dxfId="659" priority="126" stopIfTrue="1" operator="greaterThan">
      <formula>$F$34</formula>
    </cfRule>
    <cfRule type="cellIs" dxfId="658" priority="115" stopIfTrue="1" operator="lessThanOrEqual">
      <formula>0</formula>
    </cfRule>
    <cfRule type="cellIs" dxfId="657" priority="127" stopIfTrue="1" operator="lessThanOrEqual">
      <formula>0</formula>
    </cfRule>
    <cfRule type="cellIs" dxfId="656" priority="125" stopIfTrue="1" operator="lessThanOrEqual">
      <formula>0</formula>
    </cfRule>
    <cfRule type="cellIs" dxfId="655" priority="124" stopIfTrue="1" operator="greaterThan">
      <formula>$F$36</formula>
    </cfRule>
    <cfRule type="cellIs" dxfId="654" priority="116" stopIfTrue="1" operator="greaterThan">
      <formula>$F$33</formula>
    </cfRule>
  </conditionalFormatting>
  <conditionalFormatting sqref="H58:H59">
    <cfRule type="cellIs" dxfId="653" priority="66" stopIfTrue="1" operator="lessThanOrEqual">
      <formula>0</formula>
    </cfRule>
    <cfRule type="cellIs" dxfId="652" priority="68" stopIfTrue="1" operator="lessThanOrEqual">
      <formula>0</formula>
    </cfRule>
    <cfRule type="cellIs" dxfId="651" priority="67" stopIfTrue="1" operator="greaterThan">
      <formula>#REF!</formula>
    </cfRule>
    <cfRule type="cellIs" dxfId="650" priority="65" stopIfTrue="1" operator="greaterThan">
      <formula>$F$20</formula>
    </cfRule>
    <cfRule type="cellIs" dxfId="649" priority="56" stopIfTrue="1" operator="lessThanOrEqual">
      <formula>0</formula>
    </cfRule>
    <cfRule type="cellIs" dxfId="648" priority="57" stopIfTrue="1" operator="greaterThan">
      <formula>#REF!</formula>
    </cfRule>
  </conditionalFormatting>
  <conditionalFormatting sqref="H63:H70">
    <cfRule type="cellIs" dxfId="647" priority="148" stopIfTrue="1" operator="lessThanOrEqual">
      <formula>0</formula>
    </cfRule>
    <cfRule type="cellIs" dxfId="646" priority="147" stopIfTrue="1" operator="greaterThan">
      <formula>$J63</formula>
    </cfRule>
  </conditionalFormatting>
  <conditionalFormatting sqref="H71">
    <cfRule type="cellIs" dxfId="645" priority="149" operator="greaterThan">
      <formula>5.3</formula>
    </cfRule>
  </conditionalFormatting>
  <conditionalFormatting sqref="H74 H76:H82">
    <cfRule type="cellIs" dxfId="644" priority="179" stopIfTrue="1" operator="lessThanOrEqual">
      <formula>0</formula>
    </cfRule>
    <cfRule type="cellIs" dxfId="643" priority="178" stopIfTrue="1" operator="greaterThan">
      <formula>4.5</formula>
    </cfRule>
  </conditionalFormatting>
  <conditionalFormatting sqref="H52:I52">
    <cfRule type="cellIs" dxfId="642" priority="26" stopIfTrue="1" operator="greaterThan">
      <formula>$F$69</formula>
    </cfRule>
    <cfRule type="cellIs" dxfId="641" priority="29" stopIfTrue="1" operator="lessThanOrEqual">
      <formula>0</formula>
    </cfRule>
  </conditionalFormatting>
  <conditionalFormatting sqref="H53:I53">
    <cfRule type="cellIs" dxfId="640" priority="99" stopIfTrue="1" operator="greaterThan">
      <formula>$F$20</formula>
    </cfRule>
    <cfRule type="cellIs" dxfId="639" priority="102" stopIfTrue="1" operator="lessThanOrEqual">
      <formula>0</formula>
    </cfRule>
  </conditionalFormatting>
  <conditionalFormatting sqref="H54:I54">
    <cfRule type="cellIs" dxfId="638" priority="69" stopIfTrue="1" operator="greaterThan">
      <formula>$F$66</formula>
    </cfRule>
    <cfRule type="cellIs" dxfId="637" priority="72" stopIfTrue="1" operator="lessThanOrEqual">
      <formula>0</formula>
    </cfRule>
  </conditionalFormatting>
  <conditionalFormatting sqref="H55:I56">
    <cfRule type="cellIs" dxfId="636" priority="85" stopIfTrue="1" operator="greaterThan">
      <formula>#REF!</formula>
    </cfRule>
    <cfRule type="cellIs" dxfId="635" priority="88" stopIfTrue="1" operator="lessThanOrEqual">
      <formula>0</formula>
    </cfRule>
  </conditionalFormatting>
  <conditionalFormatting sqref="H57:I57">
    <cfRule type="cellIs" dxfId="634" priority="117" stopIfTrue="1" operator="lessThanOrEqual">
      <formula>0</formula>
    </cfRule>
    <cfRule type="cellIs" dxfId="633" priority="114" stopIfTrue="1" operator="greaterThan">
      <formula>$F$35</formula>
    </cfRule>
  </conditionalFormatting>
  <conditionalFormatting sqref="H58:I59">
    <cfRule type="cellIs" dxfId="632" priority="55" stopIfTrue="1" operator="greaterThan">
      <formula>#REF!</formula>
    </cfRule>
    <cfRule type="cellIs" dxfId="631" priority="58" stopIfTrue="1" operator="lessThanOrEqual">
      <formula>0</formula>
    </cfRule>
  </conditionalFormatting>
  <conditionalFormatting sqref="H72:I72">
    <cfRule type="cellIs" dxfId="630" priority="140" stopIfTrue="1" operator="lessThanOrEqual">
      <formula>0</formula>
    </cfRule>
    <cfRule type="cellIs" dxfId="629" priority="139" stopIfTrue="1" operator="greaterThan">
      <formula>$J72</formula>
    </cfRule>
  </conditionalFormatting>
  <conditionalFormatting sqref="I52">
    <cfRule type="cellIs" dxfId="628" priority="31" stopIfTrue="1" operator="lessThanOrEqual">
      <formula>0</formula>
    </cfRule>
    <cfRule type="cellIs" dxfId="627" priority="30" stopIfTrue="1" operator="greaterThan">
      <formula>$F$67</formula>
    </cfRule>
    <cfRule type="cellIs" dxfId="626" priority="35" stopIfTrue="1" operator="lessThanOrEqual">
      <formula>0</formula>
    </cfRule>
    <cfRule type="cellIs" dxfId="625" priority="34" stopIfTrue="1" operator="greaterThan">
      <formula>$F$67</formula>
    </cfRule>
    <cfRule type="cellIs" dxfId="624" priority="32" stopIfTrue="1" operator="greaterThan">
      <formula>$F$69</formula>
    </cfRule>
    <cfRule type="cellIs" dxfId="623" priority="33" stopIfTrue="1" operator="lessThanOrEqual">
      <formula>0</formula>
    </cfRule>
  </conditionalFormatting>
  <conditionalFormatting sqref="I53">
    <cfRule type="cellIs" dxfId="622" priority="106" stopIfTrue="1" operator="lessThanOrEqual">
      <formula>0</formula>
    </cfRule>
    <cfRule type="cellIs" dxfId="621" priority="107" stopIfTrue="1" operator="greaterThan">
      <formula>#REF!</formula>
    </cfRule>
    <cfRule type="cellIs" dxfId="620" priority="108" stopIfTrue="1" operator="lessThanOrEqual">
      <formula>0</formula>
    </cfRule>
    <cfRule type="cellIs" dxfId="619" priority="103" stopIfTrue="1" operator="greaterThan">
      <formula>#REF!</formula>
    </cfRule>
    <cfRule type="cellIs" dxfId="618" priority="104" stopIfTrue="1" operator="lessThanOrEqual">
      <formula>0</formula>
    </cfRule>
    <cfRule type="cellIs" dxfId="617" priority="105" stopIfTrue="1" operator="greaterThan">
      <formula>$F$20</formula>
    </cfRule>
  </conditionalFormatting>
  <conditionalFormatting sqref="I54">
    <cfRule type="cellIs" dxfId="616" priority="78" stopIfTrue="1" operator="lessThanOrEqual">
      <formula>0</formula>
    </cfRule>
    <cfRule type="cellIs" dxfId="615" priority="76" stopIfTrue="1" operator="lessThanOrEqual">
      <formula>0</formula>
    </cfRule>
    <cfRule type="cellIs" dxfId="614" priority="75" stopIfTrue="1" operator="greaterThan">
      <formula>$F$66</formula>
    </cfRule>
    <cfRule type="cellIs" dxfId="613" priority="74" stopIfTrue="1" operator="lessThanOrEqual">
      <formula>0</formula>
    </cfRule>
    <cfRule type="cellIs" dxfId="612" priority="73" stopIfTrue="1" operator="greaterThan">
      <formula>$F$64</formula>
    </cfRule>
    <cfRule type="cellIs" dxfId="611" priority="77" stopIfTrue="1" operator="greaterThan">
      <formula>$F$64</formula>
    </cfRule>
  </conditionalFormatting>
  <conditionalFormatting sqref="I55:I56">
    <cfRule type="cellIs" dxfId="610" priority="94" stopIfTrue="1" operator="lessThanOrEqual">
      <formula>0</formula>
    </cfRule>
    <cfRule type="cellIs" dxfId="609" priority="93" stopIfTrue="1" operator="greaterThan">
      <formula>#REF!</formula>
    </cfRule>
    <cfRule type="cellIs" dxfId="608" priority="92" stopIfTrue="1" operator="lessThanOrEqual">
      <formula>0</formula>
    </cfRule>
    <cfRule type="cellIs" dxfId="607" priority="89" stopIfTrue="1" operator="greaterThan">
      <formula>#REF!</formula>
    </cfRule>
    <cfRule type="cellIs" dxfId="606" priority="91" stopIfTrue="1" operator="greaterThan">
      <formula>#REF!</formula>
    </cfRule>
    <cfRule type="cellIs" dxfId="605" priority="90" stopIfTrue="1" operator="lessThanOrEqual">
      <formula>0</formula>
    </cfRule>
  </conditionalFormatting>
  <conditionalFormatting sqref="I57">
    <cfRule type="cellIs" dxfId="604" priority="123" stopIfTrue="1" operator="lessThanOrEqual">
      <formula>0</formula>
    </cfRule>
    <cfRule type="cellIs" dxfId="603" priority="122" stopIfTrue="1" operator="greaterThan">
      <formula>$F$33</formula>
    </cfRule>
    <cfRule type="cellIs" dxfId="602" priority="121" stopIfTrue="1" operator="lessThanOrEqual">
      <formula>0</formula>
    </cfRule>
    <cfRule type="cellIs" dxfId="601" priority="120" stopIfTrue="1" operator="greaterThan">
      <formula>$F$35</formula>
    </cfRule>
    <cfRule type="cellIs" dxfId="600" priority="119" stopIfTrue="1" operator="lessThanOrEqual">
      <formula>0</formula>
    </cfRule>
    <cfRule type="cellIs" dxfId="599" priority="118" stopIfTrue="1" operator="greaterThan">
      <formula>$F$33</formula>
    </cfRule>
  </conditionalFormatting>
  <conditionalFormatting sqref="I58:I59">
    <cfRule type="cellIs" dxfId="598" priority="61" stopIfTrue="1" operator="greaterThan">
      <formula>#REF!</formula>
    </cfRule>
    <cfRule type="cellIs" dxfId="597" priority="62" stopIfTrue="1" operator="lessThanOrEqual">
      <formula>0</formula>
    </cfRule>
    <cfRule type="cellIs" dxfId="596" priority="63" stopIfTrue="1" operator="greaterThan">
      <formula>#REF!</formula>
    </cfRule>
    <cfRule type="cellIs" dxfId="595" priority="64" stopIfTrue="1" operator="lessThanOrEqual">
      <formula>0</formula>
    </cfRule>
    <cfRule type="cellIs" dxfId="594" priority="59" stopIfTrue="1" operator="greaterThan">
      <formula>#REF!</formula>
    </cfRule>
    <cfRule type="cellIs" dxfId="593" priority="60" stopIfTrue="1" operator="lessThanOrEqual">
      <formula>0</formula>
    </cfRule>
  </conditionalFormatting>
  <conditionalFormatting sqref="I63:I71">
    <cfRule type="cellIs" dxfId="592" priority="151" stopIfTrue="1" operator="lessThanOrEqual">
      <formula>0</formula>
    </cfRule>
    <cfRule type="cellIs" dxfId="591" priority="150" stopIfTrue="1" operator="greaterThan">
      <formula>$J63</formula>
    </cfRule>
  </conditionalFormatting>
  <conditionalFormatting sqref="I74:I82">
    <cfRule type="cellIs" dxfId="590" priority="174" stopIfTrue="1" operator="greaterThan">
      <formula>4.5</formula>
    </cfRule>
    <cfRule type="cellIs" dxfId="589" priority="175" stopIfTrue="1" operator="lessThanOrEqual">
      <formula>0</formula>
    </cfRule>
  </conditionalFormatting>
  <conditionalFormatting sqref="I10:J20">
    <cfRule type="cellIs" dxfId="588" priority="16" operator="lessThan">
      <formula>97.9</formula>
    </cfRule>
  </conditionalFormatting>
  <conditionalFormatting sqref="J24:J25">
    <cfRule type="cellIs" dxfId="587" priority="131" operator="lessThan">
      <formula>98</formula>
    </cfRule>
    <cfRule type="cellIs" dxfId="586" priority="130" stopIfTrue="1" operator="greaterThan">
      <formula>100</formula>
    </cfRule>
    <cfRule type="cellIs" dxfId="585" priority="129" stopIfTrue="1" operator="lessThan">
      <formula>96.8</formula>
    </cfRule>
  </conditionalFormatting>
  <conditionalFormatting sqref="J24:J27">
    <cfRule type="cellIs" dxfId="584" priority="128" operator="lessThan">
      <formula>97.4</formula>
    </cfRule>
  </conditionalFormatting>
  <conditionalFormatting sqref="J28:J29">
    <cfRule type="cellIs" dxfId="583" priority="132" operator="lessThan">
      <formula>98</formula>
    </cfRule>
  </conditionalFormatting>
  <conditionalFormatting sqref="J30:J31">
    <cfRule type="cellIs" dxfId="582" priority="133" stopIfTrue="1" operator="lessThan">
      <formula>96.8</formula>
    </cfRule>
    <cfRule type="cellIs" dxfId="581" priority="134" stopIfTrue="1" operator="greaterThan">
      <formula>100</formula>
    </cfRule>
  </conditionalFormatting>
  <conditionalFormatting sqref="J30:J32">
    <cfRule type="cellIs" dxfId="580" priority="135" operator="lessThan">
      <formula>98</formula>
    </cfRule>
  </conditionalFormatting>
  <conditionalFormatting sqref="J59">
    <cfRule type="cellIs" dxfId="579" priority="54" stopIfTrue="1" operator="lessThanOrEqual">
      <formula>0</formula>
    </cfRule>
    <cfRule type="cellIs" dxfId="578" priority="53" stopIfTrue="1" operator="greaterThan">
      <formula>#REF!</formula>
    </cfRule>
    <cfRule type="cellIs" dxfId="577" priority="52" stopIfTrue="1" operator="lessThanOrEqual">
      <formula>0</formula>
    </cfRule>
    <cfRule type="cellIs" dxfId="576" priority="51" stopIfTrue="1" operator="greaterThan">
      <formula>#REF!</formula>
    </cfRule>
    <cfRule type="cellIs" dxfId="575" priority="50" stopIfTrue="1" operator="lessThanOrEqual">
      <formula>0</formula>
    </cfRule>
    <cfRule type="cellIs" dxfId="574" priority="49" stopIfTrue="1" operator="greaterThan">
      <formula>#REF!</formula>
    </cfRule>
    <cfRule type="cellIs" dxfId="573" priority="48" stopIfTrue="1" operator="lessThanOrEqual">
      <formula>0</formula>
    </cfRule>
    <cfRule type="cellIs" dxfId="572" priority="47" stopIfTrue="1" operator="greaterThan">
      <formula>#REF!</formula>
    </cfRule>
  </conditionalFormatting>
  <conditionalFormatting sqref="J72">
    <cfRule type="cellIs" dxfId="571" priority="136" stopIfTrue="1" operator="greaterThan">
      <formula>$F72</formula>
    </cfRule>
    <cfRule type="cellIs" dxfId="570" priority="137" stopIfTrue="1" operator="lessThanOrEqual">
      <formula>0</formula>
    </cfRule>
  </conditionalFormatting>
  <conditionalFormatting sqref="K10:K20">
    <cfRule type="cellIs" dxfId="569" priority="19" operator="greaterThan">
      <formula>6.4</formula>
    </cfRule>
    <cfRule type="cellIs" dxfId="568" priority="18" operator="lessThan">
      <formula>4</formula>
    </cfRule>
    <cfRule type="cellIs" dxfId="567" priority="17" operator="greaterThan">
      <formula>6</formula>
    </cfRule>
  </conditionalFormatting>
  <conditionalFormatting sqref="K52:K59 K63:N69 K70 M70:N70 K71:N71">
    <cfRule type="cellIs" dxfId="566" priority="113" stopIfTrue="1" operator="lessThan">
      <formula>100%</formula>
    </cfRule>
  </conditionalFormatting>
  <conditionalFormatting sqref="K74:K79">
    <cfRule type="cellIs" dxfId="565" priority="180" stopIfTrue="1" operator="lessThan">
      <formula>100%</formula>
    </cfRule>
  </conditionalFormatting>
  <conditionalFormatting sqref="K81:K82">
    <cfRule type="cellIs" dxfId="564" priority="187" stopIfTrue="1" operator="lessThan">
      <formula>100%</formula>
    </cfRule>
  </conditionalFormatting>
  <conditionalFormatting sqref="L10:L20">
    <cfRule type="cellIs" dxfId="563" priority="21" operator="greaterThan">
      <formula>65</formula>
    </cfRule>
    <cfRule type="cellIs" dxfId="562" priority="20" operator="between">
      <formula>61</formula>
      <formula>65</formula>
    </cfRule>
  </conditionalFormatting>
  <conditionalFormatting sqref="L23:M34">
    <cfRule type="cellIs" dxfId="561" priority="24" operator="lessThan">
      <formula>97.95</formula>
    </cfRule>
  </conditionalFormatting>
  <conditionalFormatting sqref="L38:N38">
    <cfRule type="cellIs" dxfId="560" priority="25" operator="notEqual">
      <formula>#REF!</formula>
    </cfRule>
  </conditionalFormatting>
  <conditionalFormatting sqref="L72:N72">
    <cfRule type="cellIs" dxfId="559" priority="138" stopIfTrue="1" operator="lessThan">
      <formula>100%</formula>
    </cfRule>
  </conditionalFormatting>
  <conditionalFormatting sqref="L74:N82">
    <cfRule type="cellIs" dxfId="558" priority="165" stopIfTrue="1" operator="lessThan">
      <formula>100%</formula>
    </cfRule>
  </conditionalFormatting>
  <conditionalFormatting sqref="M10:M19">
    <cfRule type="expression" dxfId="557" priority="13">
      <formula>IF(+(IF(M10&lt;U10,0,IF(M10&gt;V10,0,1)))=0,1)</formula>
    </cfRule>
  </conditionalFormatting>
  <conditionalFormatting sqref="M20:N20">
    <cfRule type="expression" dxfId="556" priority="195">
      <formula>IF(+(IF(M20&lt;#REF!,0,IF(M20&gt;#REF!,0,1)))=0,1)</formula>
    </cfRule>
  </conditionalFormatting>
  <conditionalFormatting sqref="N10:N19">
    <cfRule type="expression" dxfId="555" priority="15">
      <formula>IF(+(IF(N10&lt;W10,0,IF(N10&gt;X10,0,1)))=0,1)</formula>
    </cfRule>
  </conditionalFormatting>
  <conditionalFormatting sqref="P6">
    <cfRule type="cellIs" dxfId="554" priority="161" operator="greaterThanOrEqual">
      <formula>19</formula>
    </cfRule>
  </conditionalFormatting>
  <dataValidations count="1">
    <dataValidation type="list" allowBlank="1" showInputMessage="1" showErrorMessage="1" sqref="R8" xr:uid="{00A220DC-5FDA-40F7-82F9-6524D9DB431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F6BE-58D8-4B9B-AA1B-9491631B4AAE}">
  <sheetPr>
    <pageSetUpPr fitToPage="1"/>
  </sheetPr>
  <dimension ref="A1:BE75"/>
  <sheetViews>
    <sheetView topLeftCell="C25" zoomScale="90" zoomScaleNormal="90" workbookViewId="0">
      <selection activeCell="K50" sqref="K5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46021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[23]Brewhouse!$A1030</f>
        <v>CA914</v>
      </c>
      <c r="D10" s="279">
        <f>[23]Brewhouse!$AF1030</f>
        <v>50.7</v>
      </c>
      <c r="E10" s="279">
        <f>[23]Brewhouse!$AI1030</f>
        <v>49.6</v>
      </c>
      <c r="F10" s="496"/>
      <c r="G10" s="279">
        <f>[23]Brewhouse!AG1030</f>
        <v>11.6</v>
      </c>
      <c r="H10" s="469">
        <v>11.4</v>
      </c>
      <c r="I10" s="368">
        <f>[23]Brewhouse!$AU1030</f>
        <v>94.838896866523797</v>
      </c>
      <c r="J10" s="368">
        <f>[23]Brewhouse!$AV1030</f>
        <v>95.330678163013943</v>
      </c>
      <c r="K10" s="281">
        <f>[23]Brewhouse!$Q1030</f>
        <v>8.1355932203389845</v>
      </c>
      <c r="L10" s="276">
        <f>[23]Brewhouse!$P1030</f>
        <v>59</v>
      </c>
      <c r="M10" s="497"/>
      <c r="N10" s="498"/>
      <c r="O10" s="420" t="str">
        <f>[23]Brewhouse!$AX1030</f>
        <v>R.Sookram</v>
      </c>
      <c r="P10" s="418"/>
      <c r="R10" s="277" t="str">
        <f t="shared" ref="R10:R15" si="0">B10</f>
        <v>CARIB</v>
      </c>
      <c r="S10" s="475">
        <f t="shared" ref="S10:S37" si="1">VLOOKUP($B10,$R$3:$X$9,2,FALSE)</f>
        <v>11.6</v>
      </c>
      <c r="T10" s="475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5">
        <f t="shared" ref="Z10:Z37" si="8">VLOOKUP($B10,$R$3:$Z$9,9,FALSE)</f>
        <v>60</v>
      </c>
    </row>
    <row r="11" spans="2:29" ht="16.5" customHeight="1">
      <c r="B11" s="29" t="s">
        <v>6</v>
      </c>
      <c r="C11" s="366" t="str">
        <f>[23]Brewhouse!$A1031</f>
        <v>CA915</v>
      </c>
      <c r="D11" s="279">
        <f>[23]Brewhouse!$AF1031</f>
        <v>50.2</v>
      </c>
      <c r="E11" s="279">
        <f>[23]Brewhouse!$AI1031</f>
        <v>48.7</v>
      </c>
      <c r="F11" s="278">
        <f>[23]Brewhouse!$V1031</f>
        <v>56</v>
      </c>
      <c r="G11" s="279">
        <f>[23]Brewhouse!AG1031</f>
        <v>12.3</v>
      </c>
      <c r="H11" s="469">
        <v>12.4</v>
      </c>
      <c r="I11" s="368">
        <f>[23]Brewhouse!$AU1031</f>
        <v>98.670027314368681</v>
      </c>
      <c r="J11" s="368">
        <f>[23]Brewhouse!$AV1031</f>
        <v>99.181796903295378</v>
      </c>
      <c r="K11" s="281">
        <f>[23]Brewhouse!$Q1031</f>
        <v>4.9340866290018788</v>
      </c>
      <c r="L11" s="276">
        <f>[23]Brewhouse!$P1031</f>
        <v>58</v>
      </c>
      <c r="M11" s="397">
        <f>[23]Brewhouse!$U1031-[23]Brewhouse!$T1031</f>
        <v>0.11736111111111114</v>
      </c>
      <c r="N11" s="370">
        <f>[23]Brewhouse!$Z1031</f>
        <v>0.27638888888888891</v>
      </c>
      <c r="O11" s="420" t="str">
        <f>[23]Brewhouse!$AX1031</f>
        <v>R.Sookram</v>
      </c>
      <c r="P11" s="418"/>
      <c r="R11" s="277" t="str">
        <f t="shared" si="0"/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[23]Brewhouse!$A1032</f>
        <v>CA916</v>
      </c>
      <c r="D12" s="279">
        <f>[23]Brewhouse!$AF1032</f>
        <v>52</v>
      </c>
      <c r="E12" s="279">
        <f>[23]Brewhouse!$AI1032</f>
        <v>50.9</v>
      </c>
      <c r="F12" s="278">
        <f>[23]Brewhouse!$V1032</f>
        <v>59</v>
      </c>
      <c r="G12" s="279">
        <f>[23]Brewhouse!AG1032</f>
        <v>11.7</v>
      </c>
      <c r="H12" s="396">
        <v>11.9</v>
      </c>
      <c r="I12" s="368">
        <f>[23]Brewhouse!$AU1032</f>
        <v>98.20790277947863</v>
      </c>
      <c r="J12" s="368">
        <f>[23]Brewhouse!$AV1032</f>
        <v>98.717153849980249</v>
      </c>
      <c r="K12" s="281">
        <f>[23]Brewhouse!$Q1032</f>
        <v>3.9999999999999951</v>
      </c>
      <c r="L12" s="276">
        <f>[23]Brewhouse!$P1032</f>
        <v>60</v>
      </c>
      <c r="M12" s="397">
        <f>[23]Brewhouse!$U1032-[23]Brewhouse!$T1032</f>
        <v>0.11527777777777781</v>
      </c>
      <c r="N12" s="370">
        <f>[23]Brewhouse!$Z1032</f>
        <v>0.27916666666666667</v>
      </c>
      <c r="O12" s="420" t="str">
        <f>[23]Brewhouse!$AX1032</f>
        <v>K. Benjamin</v>
      </c>
      <c r="P12" s="418"/>
      <c r="R12" s="277" t="str">
        <f t="shared" si="0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 t="s">
        <v>6</v>
      </c>
      <c r="C13" s="366" t="str">
        <f>[23]Brewhouse!$A1033</f>
        <v>CA917</v>
      </c>
      <c r="D13" s="279">
        <f>[23]Brewhouse!$AF1033</f>
        <v>52.5</v>
      </c>
      <c r="E13" s="279">
        <f>[23]Brewhouse!$AI1033</f>
        <v>51.9</v>
      </c>
      <c r="F13" s="278">
        <f>[23]Brewhouse!$V1033</f>
        <v>58</v>
      </c>
      <c r="G13" s="279">
        <f>[23]Brewhouse!AG1033</f>
        <v>11.7</v>
      </c>
      <c r="H13" s="396">
        <v>11.8</v>
      </c>
      <c r="I13" s="368">
        <f>[23]Brewhouse!$AU1033</f>
        <v>100.01437274181907</v>
      </c>
      <c r="J13" s="368">
        <f>[23]Brewhouse!$AV1033</f>
        <v>100.53303254142017</v>
      </c>
      <c r="K13" s="281">
        <f>[23]Brewhouse!$Q1033</f>
        <v>3.9999999999999951</v>
      </c>
      <c r="L13" s="276">
        <f>[23]Brewhouse!$P1033</f>
        <v>48</v>
      </c>
      <c r="M13" s="397">
        <f>[23]Brewhouse!$U1033-[23]Brewhouse!$T1033</f>
        <v>0.11597222222222225</v>
      </c>
      <c r="N13" s="370">
        <f>[23]Brewhouse!$Z1033</f>
        <v>0.26597222222222228</v>
      </c>
      <c r="O13" s="420" t="str">
        <f>[23]Brewhouse!$AX1033</f>
        <v>K. Benjamin</v>
      </c>
      <c r="P13" s="418"/>
      <c r="R13" s="277" t="str">
        <f t="shared" si="0"/>
        <v>CARIB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29" t="s">
        <v>6</v>
      </c>
      <c r="C14" s="366" t="str">
        <f>[23]Brewhouse!$A1034</f>
        <v>CA918</v>
      </c>
      <c r="D14" s="279">
        <f>[23]Brewhouse!$AF1034</f>
        <v>50.9</v>
      </c>
      <c r="E14" s="279">
        <f>[23]Brewhouse!$AI1034</f>
        <v>48.9</v>
      </c>
      <c r="F14" s="278">
        <f>[23]Brewhouse!$V1034</f>
        <v>59</v>
      </c>
      <c r="G14" s="279">
        <f>[23]Brewhouse!AG1034</f>
        <v>11.8</v>
      </c>
      <c r="H14" s="396">
        <v>11.8</v>
      </c>
      <c r="I14" s="368">
        <f>[23]Brewhouse!$AU1034</f>
        <v>94.500569440843705</v>
      </c>
      <c r="J14" s="368">
        <f>[23]Brewhouse!$AV1034</f>
        <v>94.9908295768183</v>
      </c>
      <c r="K14" s="281">
        <f>[23]Brewhouse!$Q1034</f>
        <v>7.5849056603773519</v>
      </c>
      <c r="L14" s="276">
        <f>[23]Brewhouse!$P1034</f>
        <v>61</v>
      </c>
      <c r="M14" s="397">
        <f>[23]Brewhouse!$U1034-[23]Brewhouse!$T1034</f>
        <v>0.11666666666666659</v>
      </c>
      <c r="N14" s="370">
        <f>[23]Brewhouse!$Z1034</f>
        <v>0.24791666666666656</v>
      </c>
      <c r="O14" s="420" t="str">
        <f>[23]Brewhouse!$AX1034</f>
        <v>K. Benjamin</v>
      </c>
      <c r="P14" s="418"/>
      <c r="R14" s="277" t="str">
        <f t="shared" si="0"/>
        <v>CARIB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29" t="s">
        <v>6</v>
      </c>
      <c r="C15" s="366" t="str">
        <f>[23]Brewhouse!$A1035</f>
        <v>CA919</v>
      </c>
      <c r="D15" s="279">
        <f>[23]Brewhouse!$AF1035</f>
        <v>51.7</v>
      </c>
      <c r="E15" s="279">
        <f>[23]Brewhouse!$AI1035</f>
        <v>49.8</v>
      </c>
      <c r="F15" s="278">
        <f>[23]Brewhouse!$V1035</f>
        <v>62</v>
      </c>
      <c r="G15" s="279">
        <f>[23]Brewhouse!AG1035</f>
        <v>11.8</v>
      </c>
      <c r="H15" s="396">
        <v>12</v>
      </c>
      <c r="I15" s="368">
        <f>[23]Brewhouse!$AU1035</f>
        <v>96.711954692426161</v>
      </c>
      <c r="J15" s="368">
        <f>[23]Brewhouse!$AV1035</f>
        <v>97.213528563495316</v>
      </c>
      <c r="K15" s="281">
        <f>[23]Brewhouse!$Q1035</f>
        <v>4.7457627118644128</v>
      </c>
      <c r="L15" s="276">
        <f>[23]Brewhouse!$P1035</f>
        <v>61</v>
      </c>
      <c r="M15" s="397">
        <f>[23]Brewhouse!$U1035-[23]Brewhouse!$T1035</f>
        <v>0.11041666666666661</v>
      </c>
      <c r="N15" s="370">
        <f>[23]Brewhouse!$Z1035</f>
        <v>0.25138888888888877</v>
      </c>
      <c r="O15" s="420" t="str">
        <f>[23]Brewhouse!$AX1035</f>
        <v>R. Regis</v>
      </c>
      <c r="P15" s="418"/>
      <c r="R15" s="277" t="str">
        <f t="shared" si="0"/>
        <v>CARIB</v>
      </c>
      <c r="S15" s="475">
        <f t="shared" si="1"/>
        <v>11.6</v>
      </c>
      <c r="T15" s="475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5">
        <f t="shared" si="8"/>
        <v>60</v>
      </c>
    </row>
    <row r="16" spans="2:29" ht="16.5" customHeight="1">
      <c r="B16" s="489">
        <v>46021</v>
      </c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/>
      <c r="S16" s="475"/>
      <c r="T16" s="475"/>
      <c r="U16" s="297"/>
      <c r="V16" s="297"/>
      <c r="W16" s="297"/>
      <c r="X16" s="297"/>
      <c r="Y16" s="297"/>
      <c r="Z16" s="475"/>
    </row>
    <row r="17" spans="1:27" ht="16.5" customHeight="1">
      <c r="B17" s="29" t="s">
        <v>6</v>
      </c>
      <c r="C17" s="366" t="str">
        <f>[23]Brewhouse!$A1036</f>
        <v>CA920</v>
      </c>
      <c r="D17" s="279">
        <f>[23]Brewhouse!$AF1036</f>
        <v>51.8</v>
      </c>
      <c r="E17" s="279">
        <f>[23]Brewhouse!$AI1036</f>
        <v>50</v>
      </c>
      <c r="F17" s="278">
        <f>[23]Brewhouse!$V1036</f>
        <v>60</v>
      </c>
      <c r="G17" s="279">
        <f>[23]Brewhouse!AG1036</f>
        <v>12</v>
      </c>
      <c r="H17" s="396">
        <v>11.9</v>
      </c>
      <c r="I17" s="368">
        <f>[23]Brewhouse!$AU1036</f>
        <v>99.441250381629558</v>
      </c>
      <c r="J17" s="368">
        <f>[23]Brewhouse!$AV1036</f>
        <v>99.956772834086991</v>
      </c>
      <c r="K17" s="281">
        <f>[23]Brewhouse!$Q1036</f>
        <v>4.5574387947269335</v>
      </c>
      <c r="L17" s="276">
        <f>[23]Brewhouse!$P1036</f>
        <v>61</v>
      </c>
      <c r="M17" s="397">
        <f>[23]Brewhouse!$U1036-[23]Brewhouse!$T1036</f>
        <v>0.11041666666666661</v>
      </c>
      <c r="N17" s="370">
        <f>[23]Brewhouse!$Z1036</f>
        <v>0.23819444444444438</v>
      </c>
      <c r="O17" s="420" t="str">
        <f>[23]Brewhouse!$AX1036</f>
        <v>R. Regis</v>
      </c>
      <c r="P17" s="418"/>
      <c r="R17" s="277" t="str">
        <f t="shared" ref="R17:R37" si="9">B17</f>
        <v>CARIB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6.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5" t="e">
        <f t="shared" si="1"/>
        <v>#N/A</v>
      </c>
      <c r="T21" s="475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5" t="e">
        <f t="shared" si="8"/>
        <v>#N/A</v>
      </c>
    </row>
    <row r="22" spans="1:27" ht="16.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28"/>
      <c r="J24" s="528"/>
      <c r="K24" s="528"/>
      <c r="L24" s="528"/>
      <c r="M24" s="528"/>
      <c r="N24" s="528"/>
      <c r="O24" s="1"/>
      <c r="P24" s="12"/>
      <c r="R24" s="277">
        <f t="shared" si="9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5.75" customHeight="1" thickBot="1">
      <c r="B25" s="388" t="s">
        <v>162</v>
      </c>
      <c r="C25" s="388"/>
      <c r="D25" s="506" t="s">
        <v>35</v>
      </c>
      <c r="E25" s="50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5" customHeight="1">
      <c r="A26" s="28"/>
      <c r="B26" s="587" t="str">
        <f>I26</f>
        <v>CARIB</v>
      </c>
      <c r="C26" s="362"/>
      <c r="D26" s="532"/>
      <c r="E26" s="533"/>
      <c r="F26" s="294"/>
      <c r="G26" s="294"/>
      <c r="H26" s="348"/>
      <c r="I26" s="29" t="s">
        <v>6</v>
      </c>
      <c r="J26" s="280">
        <f>AVERAGE(I10:I17)</f>
        <v>97.483567745298515</v>
      </c>
      <c r="K26" s="284">
        <f>COUNTA([23]Brewhouse!$A$1005:$A$1036)</f>
        <v>32</v>
      </c>
      <c r="L26" s="305">
        <f>AVERAGE([23]Brewhouse!$AU$1005:$AU$1036)</f>
        <v>98.737298222060602</v>
      </c>
      <c r="M2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$1036)</f>
        <v>97.789372925591778</v>
      </c>
      <c r="N26" s="30">
        <v>98</v>
      </c>
      <c r="O26" s="11"/>
      <c r="P26" s="31"/>
      <c r="R26" s="277" t="str">
        <f t="shared" si="9"/>
        <v>CARIB</v>
      </c>
      <c r="S26" s="475">
        <f t="shared" si="1"/>
        <v>11.6</v>
      </c>
      <c r="T26" s="475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5">
        <f t="shared" si="8"/>
        <v>60</v>
      </c>
    </row>
    <row r="27" spans="1:27" ht="15" customHeight="1">
      <c r="A27" s="28"/>
      <c r="B27" s="588"/>
      <c r="C27" s="362"/>
      <c r="D27" s="534"/>
      <c r="E27" s="535"/>
      <c r="F27" s="294"/>
      <c r="G27" s="294"/>
      <c r="H27" s="348"/>
      <c r="I27" s="33" t="s">
        <v>9</v>
      </c>
      <c r="J27" s="280"/>
      <c r="K27" s="284">
        <f>COUNTA([24]Brewhouse!$A$486:$A$523)</f>
        <v>38</v>
      </c>
      <c r="L27" s="302">
        <f>AVERAGE([24]Brewhouse!$AS$486:$AS$523)</f>
        <v>97.091279048572574</v>
      </c>
      <c r="M27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$523)</f>
        <v>97.78975524486188</v>
      </c>
      <c r="N27" s="30">
        <v>98</v>
      </c>
      <c r="O27" s="11"/>
      <c r="P27" s="31"/>
      <c r="R27" s="277">
        <f t="shared" si="9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7" ht="14.65" customHeight="1">
      <c r="A28" s="28"/>
      <c r="B28" s="588"/>
      <c r="C28" s="362"/>
      <c r="D28" s="580"/>
      <c r="E28" s="581"/>
      <c r="F28" s="294"/>
      <c r="G28" s="294"/>
      <c r="H28" s="348"/>
      <c r="I28" s="34" t="s">
        <v>12</v>
      </c>
      <c r="J28" s="280"/>
      <c r="K28" s="284">
        <f>COUNTA([25]Brewhouse!$A$125:$A$132)</f>
        <v>8</v>
      </c>
      <c r="L28" s="302">
        <f>AVERAGE([25]Brewhouse!$AU$125:$AU$132)</f>
        <v>96.474285660381511</v>
      </c>
      <c r="M28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8" s="30">
        <v>98</v>
      </c>
      <c r="O28" s="11"/>
      <c r="P28" s="31"/>
      <c r="R28" s="277">
        <f t="shared" si="9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7" ht="14.65" customHeight="1">
      <c r="A29" s="28"/>
      <c r="B29" s="588"/>
      <c r="C29" s="362"/>
      <c r="D29" s="547"/>
      <c r="E29" s="535"/>
      <c r="F29" s="294"/>
      <c r="G29" s="294"/>
      <c r="H29" s="348"/>
      <c r="I29" s="22" t="s">
        <v>33</v>
      </c>
      <c r="J29" s="280"/>
      <c r="K29" s="284">
        <f>COUNTA([22]Brewhouse!$A$107:$A$122)</f>
        <v>16</v>
      </c>
      <c r="L29" s="302">
        <f>AVERAGE([22]Brewhouse!$AV$107:$AV$122)</f>
        <v>96.593037676437092</v>
      </c>
      <c r="M29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9" s="30">
        <v>98</v>
      </c>
      <c r="O29" s="11"/>
      <c r="P29" s="31"/>
      <c r="R29" s="277">
        <f t="shared" si="9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</row>
    <row r="30" spans="1:27" ht="14.65" customHeight="1">
      <c r="A30" s="28"/>
      <c r="B30" s="588"/>
      <c r="C30" s="362"/>
      <c r="D30" s="580"/>
      <c r="E30" s="581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7" ht="14.65" customHeight="1">
      <c r="A31" s="28"/>
      <c r="B31" s="588"/>
      <c r="C31" s="362"/>
      <c r="D31" s="547"/>
      <c r="E31" s="535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9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4.65" customHeight="1">
      <c r="A32" s="28"/>
      <c r="B32" s="588"/>
      <c r="C32" s="362"/>
      <c r="D32" s="580"/>
      <c r="E32" s="581"/>
      <c r="F32" s="417"/>
      <c r="G32" s="294"/>
      <c r="H32" s="348"/>
      <c r="I32" s="37" t="s">
        <v>16</v>
      </c>
      <c r="J32" s="323"/>
      <c r="K32" s="284">
        <f>COUNTA([27]Brewhouse!$A$99:$A$116)</f>
        <v>18</v>
      </c>
      <c r="L32" s="302">
        <f>AVERAGE([27]Brewhouse!$AY$99:$AY$116)</f>
        <v>97.377797632485397</v>
      </c>
      <c r="M32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2" s="30">
        <v>98</v>
      </c>
      <c r="O32" s="11"/>
      <c r="P32" s="31" t="s">
        <v>41</v>
      </c>
      <c r="R32" s="277">
        <f t="shared" si="9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1:56" ht="14.65" customHeight="1">
      <c r="A33" s="28"/>
      <c r="B33" s="588"/>
      <c r="C33" s="362"/>
      <c r="D33" s="547"/>
      <c r="E33" s="535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9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  <c r="AA33" s="475"/>
    </row>
    <row r="34" spans="1:56" ht="14.65" customHeight="1">
      <c r="A34" s="28"/>
      <c r="B34" s="588"/>
      <c r="C34" s="349"/>
      <c r="D34" s="580"/>
      <c r="E34" s="581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9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5" customHeight="1" thickBot="1">
      <c r="A35" s="28"/>
      <c r="B35" s="588"/>
      <c r="C35" s="349"/>
      <c r="D35" s="547"/>
      <c r="E35" s="535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9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5" customHeight="1" thickBot="1">
      <c r="A36" s="28"/>
      <c r="B36" s="588"/>
      <c r="C36" s="349"/>
      <c r="D36" s="532"/>
      <c r="E36" s="533"/>
      <c r="F36" s="294"/>
      <c r="G36" s="294"/>
      <c r="H36" s="348"/>
      <c r="I36" s="1"/>
      <c r="J36" s="39"/>
      <c r="K36" s="404">
        <f>SUM(K26:K35)</f>
        <v>112</v>
      </c>
      <c r="L36" s="405">
        <f>((L26*K26)+(L27*K27)+(L28*K28)+(L29*K29)+(L30*K30)+(K33*L33)+(L31*K31)+(L32*K32)+(L35*K35))/(K36)</f>
        <v>97.492369575379271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97.567187197219724</v>
      </c>
      <c r="N36" s="40">
        <v>98</v>
      </c>
      <c r="O36" s="11"/>
      <c r="P36" s="31"/>
      <c r="R36" s="277">
        <f t="shared" si="9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5.75" thickBot="1">
      <c r="B37" s="589"/>
      <c r="C37" s="350"/>
      <c r="D37" s="534"/>
      <c r="E37" s="53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.75" thickBot="1">
      <c r="B38" s="596"/>
      <c r="C38" s="362"/>
      <c r="D38" s="545"/>
      <c r="E38" s="546"/>
      <c r="F38" s="294"/>
      <c r="G38" s="42"/>
      <c r="H38" s="41"/>
      <c r="I38" s="42"/>
      <c r="J38" s="579" t="s">
        <v>129</v>
      </c>
      <c r="K38" s="579"/>
      <c r="L38" s="294"/>
      <c r="M38" s="294"/>
      <c r="N38" s="294"/>
      <c r="O38" s="294"/>
      <c r="P38" s="12"/>
    </row>
    <row r="39" spans="1:56" ht="15.75" thickBot="1">
      <c r="B39" s="597"/>
      <c r="C39" s="362"/>
      <c r="D39" s="547"/>
      <c r="E39" s="535"/>
      <c r="F39" s="294"/>
      <c r="G39" s="42"/>
      <c r="H39" s="42"/>
      <c r="I39" s="42"/>
      <c r="J39" s="292" t="s">
        <v>17</v>
      </c>
      <c r="K39" s="293" t="s">
        <v>147</v>
      </c>
      <c r="L39" s="549" t="s">
        <v>136</v>
      </c>
      <c r="M39" s="549"/>
      <c r="N39" s="550"/>
      <c r="O39" s="294"/>
      <c r="P39" s="12"/>
    </row>
    <row r="40" spans="1:56" ht="15" customHeight="1" thickBot="1">
      <c r="B40" s="597"/>
      <c r="C40" s="349"/>
      <c r="D40" s="580"/>
      <c r="E40" s="581"/>
      <c r="F40" s="294"/>
      <c r="G40" s="42"/>
      <c r="H40" s="42"/>
      <c r="I40" s="42"/>
      <c r="J40" s="287" t="s">
        <v>6</v>
      </c>
      <c r="K40" s="324">
        <v>6</v>
      </c>
      <c r="L40" s="476" t="s">
        <v>37</v>
      </c>
      <c r="M40" s="477" t="s">
        <v>38</v>
      </c>
      <c r="N40" s="477" t="s">
        <v>84</v>
      </c>
      <c r="O40" s="294"/>
      <c r="P40" s="12"/>
    </row>
    <row r="41" spans="1:56" ht="15.75" customHeight="1" thickBot="1">
      <c r="B41" s="597"/>
      <c r="C41" s="349"/>
      <c r="D41" s="547"/>
      <c r="E41" s="535"/>
      <c r="F41" s="294"/>
      <c r="G41" s="42"/>
      <c r="H41" s="42"/>
      <c r="I41" s="42"/>
      <c r="J41" s="345" t="s">
        <v>9</v>
      </c>
      <c r="K41" s="324"/>
      <c r="L41" s="344">
        <f>AVERAGE('Dec 1st'!K43,'Dec 2nd'!K49,'Dec 3rd '!K58,'Dec 4th'!K51,'Dec 5th-7th'!I70,'Dec 5th-7th'!J70,'Dec 5th-7th'!K70,'Dec 8th '!K49,'Dec 9th'!K49,'Dec 10th'!K61,'Dec 11th'!K53,'Dec 12th-14th'!K44,'Dec 15th'!K49,'Dec 16th'!K54,'Dec 17th '!K48,'Dec 18th '!K51,'Dec 24th'!K47,'Dec 29th'!K50)</f>
        <v>6.166666666666667</v>
      </c>
      <c r="M41" s="325">
        <f>AVERAGE('[31]Jan 29th '!$M$70,'[32]Feb 28th'!$L$40,'[33]Mar. 31st'!$L$40,'[34]Apr. 30th'!$L$50,'[35]May 30th'!$L$42,'[36]June 30th'!$L$62,'[37]July 29th '!$L$49,'[38]Aug 29th'!$L$34,'[39]Sept 30th'!$L$40,[40]Oct.31st!$L$43,'[41]Nov 28th-30th'!$L$45,L41)</f>
        <v>6.9034199734285551</v>
      </c>
      <c r="N41" s="416">
        <v>9.1999999999999993</v>
      </c>
      <c r="O41" s="294"/>
      <c r="P41" s="12"/>
    </row>
    <row r="42" spans="1:56" ht="15" customHeight="1">
      <c r="B42" s="597"/>
      <c r="C42" s="349"/>
      <c r="D42" s="580"/>
      <c r="E42" s="581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97"/>
      <c r="C43" s="349"/>
      <c r="D43" s="547"/>
      <c r="E43" s="53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97"/>
      <c r="C44" s="349"/>
      <c r="D44" s="580"/>
      <c r="E44" s="581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97"/>
      <c r="C45" s="349"/>
      <c r="D45" s="547"/>
      <c r="E45" s="53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97"/>
      <c r="C46" s="349"/>
      <c r="D46" s="580"/>
      <c r="E46" s="581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607"/>
      <c r="C47" s="350"/>
      <c r="D47" s="582"/>
      <c r="E47" s="583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77"/>
      <c r="E48" s="578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J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57" t="s">
        <v>17</v>
      </c>
      <c r="C53" s="557" t="s">
        <v>44</v>
      </c>
      <c r="D53" s="559" t="s">
        <v>45</v>
      </c>
      <c r="E53" s="514" t="s">
        <v>46</v>
      </c>
      <c r="F53" s="574" t="s">
        <v>47</v>
      </c>
      <c r="G53" s="568" t="s">
        <v>48</v>
      </c>
      <c r="H53" s="557" t="s">
        <v>49</v>
      </c>
      <c r="I53" s="557" t="s">
        <v>50</v>
      </c>
      <c r="J53" s="562" t="s">
        <v>28</v>
      </c>
      <c r="K53" s="512" t="s">
        <v>51</v>
      </c>
      <c r="L53" s="524" t="s">
        <v>52</v>
      </c>
      <c r="M53" s="562" t="s">
        <v>53</v>
      </c>
      <c r="N53" s="13"/>
      <c r="O53" s="13"/>
      <c r="P53" s="50"/>
    </row>
    <row r="54" spans="2:57" ht="28.5" customHeight="1" thickTop="1" thickBot="1">
      <c r="B54" s="558"/>
      <c r="C54" s="558"/>
      <c r="D54" s="560"/>
      <c r="E54" s="561"/>
      <c r="F54" s="575"/>
      <c r="G54" s="569"/>
      <c r="H54" s="576"/>
      <c r="I54" s="576"/>
      <c r="J54" s="563"/>
      <c r="K54" s="572"/>
      <c r="L54" s="573"/>
      <c r="M54" s="563"/>
      <c r="N54" s="13"/>
      <c r="O54" s="13"/>
      <c r="P54" s="50"/>
      <c r="Q54" s="355"/>
      <c r="AB54" s="478">
        <v>43474</v>
      </c>
      <c r="AC54" s="478">
        <v>43475</v>
      </c>
      <c r="AD54" s="478">
        <v>43476</v>
      </c>
      <c r="AE54" s="478">
        <v>43477</v>
      </c>
      <c r="AF54" s="478">
        <v>43478</v>
      </c>
      <c r="AG54" s="478">
        <v>43479</v>
      </c>
      <c r="AH54" s="478">
        <v>43480</v>
      </c>
      <c r="AI54" s="478">
        <v>43481</v>
      </c>
      <c r="AJ54" s="478">
        <v>43482</v>
      </c>
      <c r="AK54" s="478">
        <v>43483</v>
      </c>
      <c r="AL54" s="478">
        <v>43484</v>
      </c>
      <c r="AM54" s="478">
        <v>43485</v>
      </c>
      <c r="AN54" s="478">
        <v>43486</v>
      </c>
      <c r="AO54" s="478">
        <v>43487</v>
      </c>
      <c r="AP54" s="478">
        <v>43488</v>
      </c>
      <c r="AQ54" s="478">
        <v>43489</v>
      </c>
      <c r="AR54" s="478">
        <v>43490</v>
      </c>
      <c r="AS54" s="478">
        <v>43491</v>
      </c>
      <c r="AT54" s="478">
        <v>43492</v>
      </c>
      <c r="AU54" s="478">
        <v>43493</v>
      </c>
      <c r="AV54" s="478">
        <v>43494</v>
      </c>
      <c r="AW54" s="478">
        <v>43495</v>
      </c>
      <c r="AX54" s="478">
        <v>43496</v>
      </c>
    </row>
    <row r="55" spans="2:57" s="54" customFormat="1" ht="43.15" customHeight="1" thickBot="1">
      <c r="B55" s="456" t="str">
        <f>J40</f>
        <v>CARIB</v>
      </c>
      <c r="C55" s="441">
        <v>46020</v>
      </c>
      <c r="D55" s="442">
        <f>[42]December_2025!$AE$3</f>
        <v>306.70000000000005</v>
      </c>
      <c r="E55" s="443"/>
      <c r="F55" s="444"/>
      <c r="G55" s="444">
        <f>[42]December_2025!$AE$7</f>
        <v>291</v>
      </c>
      <c r="H55" s="458"/>
      <c r="I55" s="458"/>
      <c r="J55" s="448" t="s">
        <v>186</v>
      </c>
      <c r="K55" s="449">
        <f>[43]December_2025!$AE$18</f>
        <v>1.0210526315789474</v>
      </c>
      <c r="L55" s="457">
        <f>(((D55+E55)-G55)/(D55+E55))*100</f>
        <v>5.1190088033909493</v>
      </c>
      <c r="M55" s="455" t="s">
        <v>191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customHeight="1" thickBot="1">
      <c r="B56" s="468"/>
      <c r="C56" s="430"/>
      <c r="D56" s="431"/>
      <c r="E56" s="432"/>
      <c r="F56" s="433"/>
      <c r="G56" s="434"/>
      <c r="H56" s="428"/>
      <c r="I56" s="42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customHeight="1" thickBot="1">
      <c r="B57" s="456" t="str">
        <f>J40</f>
        <v>CARIB</v>
      </c>
      <c r="C57" s="441">
        <v>46020</v>
      </c>
      <c r="D57" s="442">
        <f>[42]December_2025!$AF$3</f>
        <v>307.75</v>
      </c>
      <c r="E57" s="443"/>
      <c r="F57" s="444"/>
      <c r="G57" s="445">
        <f>[42]December_2025!$AF$7</f>
        <v>288.7</v>
      </c>
      <c r="H57" s="458"/>
      <c r="I57" s="458"/>
      <c r="J57" s="448" t="s">
        <v>186</v>
      </c>
      <c r="K57" s="460">
        <f>[43]December_2025!$AF$18</f>
        <v>1.0129824561403509</v>
      </c>
      <c r="L57" s="457">
        <f>(((D57+E57)-G57)/(D57+E57))*100</f>
        <v>6.1900893582453325</v>
      </c>
      <c r="M57" s="455" t="s">
        <v>187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59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7"/>
      <c r="C62" s="430"/>
      <c r="D62" s="461"/>
      <c r="E62" s="462"/>
      <c r="F62" s="463"/>
      <c r="G62" s="461"/>
      <c r="H62" s="464"/>
      <c r="I62" s="464"/>
      <c r="J62" s="464"/>
      <c r="K62" s="465"/>
      <c r="L62" s="466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64" t="s">
        <v>55</v>
      </c>
      <c r="C64" s="565"/>
      <c r="D64" s="565"/>
      <c r="E64" s="565"/>
      <c r="F64" s="566"/>
      <c r="G64" s="564" t="s">
        <v>56</v>
      </c>
      <c r="H64" s="565"/>
      <c r="I64" s="565"/>
      <c r="J64" s="566"/>
      <c r="K64" s="564" t="s">
        <v>51</v>
      </c>
      <c r="L64" s="565"/>
      <c r="M64" s="565"/>
      <c r="N64" s="567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>
        <f>AVERAGE(L55,L57)</f>
        <v>5.6545490808181409</v>
      </c>
      <c r="D66" s="76">
        <v>5.7794585108921366</v>
      </c>
      <c r="E66" s="76">
        <v>6.0480031115672324</v>
      </c>
      <c r="F66" s="66">
        <v>4.8</v>
      </c>
      <c r="G66" s="65">
        <f>AVERAGE([42]December_2025!$AE$11:$AF$11)</f>
        <v>3.3760263997607556</v>
      </c>
      <c r="H66" s="491">
        <v>5.0128674501264854</v>
      </c>
      <c r="I66" s="76">
        <v>5.9218546071888651</v>
      </c>
      <c r="J66" s="66">
        <v>4.8</v>
      </c>
      <c r="K66" s="67">
        <f>AVERAGE(K55,K57)</f>
        <v>1.0170175438596492</v>
      </c>
      <c r="L66" s="194">
        <v>0.4800372142477406</v>
      </c>
      <c r="M66" s="194">
        <v>0.70876433007985529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4.1175748649975672</v>
      </c>
      <c r="E67" s="76">
        <v>5.5936302144903491</v>
      </c>
      <c r="F67" s="66">
        <v>4.8</v>
      </c>
      <c r="G67" s="65"/>
      <c r="H67" s="76">
        <v>4.0105496978663</v>
      </c>
      <c r="I67" s="76">
        <v>6.069851171192818</v>
      </c>
      <c r="J67" s="66">
        <v>4.8</v>
      </c>
      <c r="K67" s="67"/>
      <c r="L67" s="194">
        <v>0.37228237259816205</v>
      </c>
      <c r="M67" s="194">
        <v>0.66138458180669046</v>
      </c>
      <c r="N67" s="68">
        <v>1</v>
      </c>
      <c r="P67" s="69"/>
    </row>
    <row r="68" spans="2:16" ht="15">
      <c r="B68" s="34" t="s">
        <v>40</v>
      </c>
      <c r="C68" s="65"/>
      <c r="D68" s="76">
        <v>12.016908212560388</v>
      </c>
      <c r="E68" s="76">
        <v>11.141238852735578</v>
      </c>
      <c r="F68" s="66">
        <v>5.5</v>
      </c>
      <c r="G68" s="65"/>
      <c r="H68" s="76">
        <v>12.270238379611699</v>
      </c>
      <c r="I68" s="76">
        <v>12.503538804098113</v>
      </c>
      <c r="J68" s="66">
        <v>5.5</v>
      </c>
      <c r="K68" s="67"/>
      <c r="L68" s="194">
        <v>0.37337719298245614</v>
      </c>
      <c r="M68" s="194">
        <v>0.50452657004830925</v>
      </c>
      <c r="N68" s="68">
        <v>1</v>
      </c>
      <c r="P68" s="69"/>
    </row>
    <row r="69" spans="2:16" ht="15">
      <c r="B69" s="22" t="s">
        <v>33</v>
      </c>
      <c r="C69" s="65"/>
      <c r="D69" s="76">
        <v>3.7426398119835098</v>
      </c>
      <c r="E69" s="76">
        <v>4.4918713689673408</v>
      </c>
      <c r="F69" s="66">
        <v>3.3</v>
      </c>
      <c r="G69" s="65"/>
      <c r="H69" s="76">
        <v>2.884540034691927</v>
      </c>
      <c r="I69" s="76">
        <v>4.189075062989712</v>
      </c>
      <c r="J69" s="66">
        <v>3.3</v>
      </c>
      <c r="K69" s="67"/>
      <c r="L69" s="194">
        <v>0.77900584795321637</v>
      </c>
      <c r="M69" s="194">
        <v>0.82191692466460264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>
        <v>7.837301587301579</v>
      </c>
      <c r="F70" s="66">
        <v>3.3</v>
      </c>
      <c r="G70" s="282"/>
      <c r="H70" s="76"/>
      <c r="I70" s="76">
        <v>5.3377569154690221</v>
      </c>
      <c r="J70" s="66">
        <v>3</v>
      </c>
      <c r="K70" s="67"/>
      <c r="L70" s="194"/>
      <c r="M70" s="194">
        <v>0.32596491228070179</v>
      </c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6.8851328044153277</v>
      </c>
      <c r="F71" s="70">
        <f>[21]May_2022!$M$43</f>
        <v>3.4878406700073312</v>
      </c>
      <c r="G71" s="282"/>
      <c r="H71" s="76"/>
      <c r="I71" s="76">
        <v>8.6614709463340702</v>
      </c>
      <c r="J71" s="66">
        <v>5.5</v>
      </c>
      <c r="K71" s="67"/>
      <c r="L71" s="194"/>
      <c r="M71" s="194">
        <v>0.73160818713450293</v>
      </c>
      <c r="N71" s="68">
        <v>1</v>
      </c>
      <c r="P71" s="69"/>
    </row>
    <row r="72" spans="2:16" ht="15">
      <c r="B72" s="37" t="s">
        <v>16</v>
      </c>
      <c r="C72" s="65"/>
      <c r="D72" s="76">
        <v>2.192371331533558</v>
      </c>
      <c r="E72" s="76">
        <v>2.8003947928578476</v>
      </c>
      <c r="F72" s="66">
        <v>3.3</v>
      </c>
      <c r="G72" s="282"/>
      <c r="H72" s="76">
        <v>5.3037545361325495</v>
      </c>
      <c r="I72" s="76">
        <v>4.4533241310026561</v>
      </c>
      <c r="J72" s="66">
        <v>3.3</v>
      </c>
      <c r="K72" s="67"/>
      <c r="L72" s="194">
        <v>0.64058479532163748</v>
      </c>
      <c r="M72" s="194">
        <v>0.80904406538734908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>
        <v>11.483253588516746</v>
      </c>
      <c r="F73" s="66">
        <v>7.5</v>
      </c>
      <c r="G73" s="282"/>
      <c r="H73" s="76"/>
      <c r="I73" s="76">
        <v>9.7934336121043764</v>
      </c>
      <c r="J73" s="66">
        <v>7.5</v>
      </c>
      <c r="K73" s="67"/>
      <c r="M73" s="194">
        <v>0.32456140350877194</v>
      </c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>
        <v>7.2653644592663174</v>
      </c>
      <c r="F74" s="66">
        <v>4.8</v>
      </c>
      <c r="G74" s="282"/>
      <c r="H74" s="76"/>
      <c r="I74" s="76">
        <v>8.1715311054411259</v>
      </c>
      <c r="J74" s="66">
        <v>4.8</v>
      </c>
      <c r="K74" s="67"/>
      <c r="L74" s="194"/>
      <c r="M74" s="194">
        <v>0.51368421052631585</v>
      </c>
      <c r="N74" s="71">
        <v>1</v>
      </c>
      <c r="O74" s="74"/>
      <c r="P74" s="75"/>
    </row>
    <row r="75" spans="2:16" ht="15">
      <c r="D75" s="76">
        <v>5.4755915059705558</v>
      </c>
      <c r="E75" s="76">
        <v>6.0502987476473962</v>
      </c>
      <c r="F75" s="341">
        <v>5.5</v>
      </c>
      <c r="H75" s="76">
        <v>5.6035907973126928</v>
      </c>
      <c r="I75" s="76">
        <v>6.4511863993623058</v>
      </c>
      <c r="J75" s="341">
        <v>5.5</v>
      </c>
      <c r="L75" s="194">
        <v>0.50613948064605963</v>
      </c>
      <c r="M75" s="194">
        <v>0.686999309588334</v>
      </c>
      <c r="N75" s="386">
        <v>1</v>
      </c>
    </row>
  </sheetData>
  <mergeCells count="51">
    <mergeCell ref="M53:M54"/>
    <mergeCell ref="B64:F64"/>
    <mergeCell ref="G64:J64"/>
    <mergeCell ref="K64:N64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553" priority="34" operator="notBetween">
      <formula>#REF!</formula>
      <formula>#REF!</formula>
    </cfRule>
  </conditionalFormatting>
  <conditionalFormatting sqref="C52">
    <cfRule type="cellIs" dxfId="552" priority="180" stopIfTrue="1" operator="greaterThan">
      <formula>100</formula>
    </cfRule>
    <cfRule type="cellIs" dxfId="551" priority="179" stopIfTrue="1" operator="lessThan">
      <formula>96</formula>
    </cfRule>
  </conditionalFormatting>
  <conditionalFormatting sqref="C66:C70">
    <cfRule type="cellIs" dxfId="550" priority="133" stopIfTrue="1" operator="lessThanOrEqual">
      <formula>0</formula>
    </cfRule>
  </conditionalFormatting>
  <conditionalFormatting sqref="C66:C74">
    <cfRule type="cellIs" dxfId="549" priority="132" stopIfTrue="1" operator="greaterThan">
      <formula>$F66</formula>
    </cfRule>
  </conditionalFormatting>
  <conditionalFormatting sqref="C67">
    <cfRule type="cellIs" dxfId="548" priority="183" stopIfTrue="1" operator="greaterThan">
      <formula>$F66</formula>
    </cfRule>
  </conditionalFormatting>
  <conditionalFormatting sqref="C71">
    <cfRule type="cellIs" dxfId="547" priority="73" stopIfTrue="1" operator="greaterThan">
      <formula>$F70</formula>
    </cfRule>
    <cfRule type="cellIs" dxfId="546" priority="72" stopIfTrue="1" operator="lessThanOrEqual">
      <formula>0</formula>
    </cfRule>
  </conditionalFormatting>
  <conditionalFormatting sqref="C77:C81">
    <cfRule type="cellIs" dxfId="545" priority="171" stopIfTrue="1" operator="lessThanOrEqual">
      <formula>0</formula>
    </cfRule>
  </conditionalFormatting>
  <conditionalFormatting sqref="C78:C81">
    <cfRule type="cellIs" dxfId="544" priority="170" stopIfTrue="1" operator="greaterThan">
      <formula>$F$77</formula>
    </cfRule>
  </conditionalFormatting>
  <conditionalFormatting sqref="C83">
    <cfRule type="cellIs" dxfId="543" priority="173" stopIfTrue="1" operator="lessThanOrEqual">
      <formula>0</formula>
    </cfRule>
    <cfRule type="cellIs" dxfId="542" priority="172" stopIfTrue="1" operator="greaterThan">
      <formula>$F$77</formula>
    </cfRule>
  </conditionalFormatting>
  <conditionalFormatting sqref="C77:D77 D79:D85">
    <cfRule type="cellIs" dxfId="541" priority="165" stopIfTrue="1" operator="greaterThan">
      <formula>4.5</formula>
    </cfRule>
  </conditionalFormatting>
  <conditionalFormatting sqref="D48:D49">
    <cfRule type="cellIs" dxfId="540" priority="35" operator="notBetween">
      <formula>#REF!</formula>
      <formula>#REF!</formula>
    </cfRule>
  </conditionalFormatting>
  <conditionalFormatting sqref="D66:D73">
    <cfRule type="cellIs" dxfId="539" priority="145" stopIfTrue="1" operator="lessThanOrEqual">
      <formula>0</formula>
    </cfRule>
  </conditionalFormatting>
  <conditionalFormatting sqref="D74">
    <cfRule type="cellIs" dxfId="538" priority="144" stopIfTrue="1" operator="lessThanOrEqual">
      <formula>0</formula>
    </cfRule>
  </conditionalFormatting>
  <conditionalFormatting sqref="D77 D79:D85">
    <cfRule type="cellIs" dxfId="537" priority="166" stopIfTrue="1" operator="lessThanOrEqual">
      <formula>0</formula>
    </cfRule>
  </conditionalFormatting>
  <conditionalFormatting sqref="D78">
    <cfRule type="cellIs" dxfId="536" priority="158" stopIfTrue="1" operator="lessThanOrEqual">
      <formula>0</formula>
    </cfRule>
    <cfRule type="cellIs" dxfId="535" priority="157" stopIfTrue="1" operator="greaterThan">
      <formula>$F$77</formula>
    </cfRule>
  </conditionalFormatting>
  <conditionalFormatting sqref="D66:E75">
    <cfRule type="cellIs" dxfId="534" priority="130" stopIfTrue="1" operator="greaterThan">
      <formula>$F66</formula>
    </cfRule>
  </conditionalFormatting>
  <conditionalFormatting sqref="D75:E75">
    <cfRule type="cellIs" dxfId="533" priority="131" stopIfTrue="1" operator="lessThanOrEqual">
      <formula>0</formula>
    </cfRule>
  </conditionalFormatting>
  <conditionalFormatting sqref="E10:E23">
    <cfRule type="cellIs" dxfId="532" priority="11" operator="lessThan">
      <formula>48</formula>
    </cfRule>
  </conditionalFormatting>
  <conditionalFormatting sqref="E51 E52:F52">
    <cfRule type="cellIs" dxfId="531" priority="162" stopIfTrue="1" operator="greaterThan">
      <formula>100</formula>
    </cfRule>
  </conditionalFormatting>
  <conditionalFormatting sqref="E52">
    <cfRule type="cellIs" dxfId="530" priority="160" stopIfTrue="1" operator="greaterThan">
      <formula>100</formula>
    </cfRule>
    <cfRule type="cellIs" dxfId="529" priority="159" stopIfTrue="1" operator="lessThan">
      <formula>96.8</formula>
    </cfRule>
  </conditionalFormatting>
  <conditionalFormatting sqref="E66:E74">
    <cfRule type="cellIs" dxfId="528" priority="141" stopIfTrue="1" operator="lessThanOrEqual">
      <formula>0</formula>
    </cfRule>
  </conditionalFormatting>
  <conditionalFormatting sqref="E77:E85">
    <cfRule type="cellIs" dxfId="527" priority="152" stopIfTrue="1" operator="lessThanOrEqual">
      <formula>0</formula>
    </cfRule>
    <cfRule type="cellIs" dxfId="526" priority="151" stopIfTrue="1" operator="greaterThan">
      <formula>4.5</formula>
    </cfRule>
  </conditionalFormatting>
  <conditionalFormatting sqref="E52:F52 E51">
    <cfRule type="cellIs" dxfId="525" priority="161" stopIfTrue="1" operator="lessThan">
      <formula>96.5</formula>
    </cfRule>
  </conditionalFormatting>
  <conditionalFormatting sqref="F10:F20 F23">
    <cfRule type="cellIs" dxfId="524" priority="12" operator="greaterThan">
      <formula>60</formula>
    </cfRule>
  </conditionalFormatting>
  <conditionalFormatting sqref="F52">
    <cfRule type="cellIs" dxfId="523" priority="178" stopIfTrue="1" operator="greaterThan">
      <formula>100</formula>
    </cfRule>
    <cfRule type="cellIs" dxfId="522" priority="177" stopIfTrue="1" operator="lessThan">
      <formula>96.8</formula>
    </cfRule>
  </conditionalFormatting>
  <conditionalFormatting sqref="F75">
    <cfRule type="cellIs" dxfId="521" priority="143" stopIfTrue="1" operator="lessThanOrEqual">
      <formula>0</formula>
    </cfRule>
    <cfRule type="cellIs" dxfId="520" priority="142" stopIfTrue="1" operator="greaterThan">
      <formula>$F75</formula>
    </cfRule>
  </conditionalFormatting>
  <conditionalFormatting sqref="G10:G22">
    <cfRule type="expression" dxfId="519" priority="3">
      <formula>IF(+(IF(G10&lt;S10,0,IF(G10&gt;T10,0,1)))=0,1)</formula>
    </cfRule>
  </conditionalFormatting>
  <conditionalFormatting sqref="G66:G67 C72:C74">
    <cfRule type="cellIs" dxfId="518" priority="147" stopIfTrue="1" operator="lessThanOrEqual">
      <formula>0</formula>
    </cfRule>
  </conditionalFormatting>
  <conditionalFormatting sqref="G66:G67">
    <cfRule type="cellIs" dxfId="517" priority="146" stopIfTrue="1" operator="greaterThan">
      <formula>$F66</formula>
    </cfRule>
    <cfRule type="cellIs" dxfId="516" priority="134" stopIfTrue="1" operator="greaterThan">
      <formula>$F66</formula>
    </cfRule>
    <cfRule type="cellIs" dxfId="515" priority="135" stopIfTrue="1" operator="lessThanOrEqual">
      <formula>0</formula>
    </cfRule>
  </conditionalFormatting>
  <conditionalFormatting sqref="G68">
    <cfRule type="cellIs" dxfId="514" priority="182" stopIfTrue="1" operator="lessThanOrEqual">
      <formula>0</formula>
    </cfRule>
    <cfRule type="cellIs" dxfId="513" priority="181" stopIfTrue="1" operator="greaterThan">
      <formula>$F67</formula>
    </cfRule>
  </conditionalFormatting>
  <conditionalFormatting sqref="G69">
    <cfRule type="cellIs" dxfId="512" priority="30" stopIfTrue="1" operator="greaterThan">
      <formula>$F69</formula>
    </cfRule>
    <cfRule type="cellIs" dxfId="511" priority="33" stopIfTrue="1" operator="lessThanOrEqual">
      <formula>0</formula>
    </cfRule>
    <cfRule type="cellIs" dxfId="510" priority="32" stopIfTrue="1" operator="greaterThan">
      <formula>$F69</formula>
    </cfRule>
    <cfRule type="cellIs" dxfId="509" priority="31" stopIfTrue="1" operator="lessThanOrEqual">
      <formula>0</formula>
    </cfRule>
  </conditionalFormatting>
  <conditionalFormatting sqref="G70:G74">
    <cfRule type="cellIs" dxfId="508" priority="149" stopIfTrue="1" operator="lessThanOrEqual">
      <formula>0</formula>
    </cfRule>
    <cfRule type="cellIs" dxfId="507" priority="148" stopIfTrue="1" operator="greaterThan">
      <formula>$J70</formula>
    </cfRule>
  </conditionalFormatting>
  <conditionalFormatting sqref="G79:G84 C82 C84">
    <cfRule type="cellIs" dxfId="506" priority="175" stopIfTrue="1" operator="lessThanOrEqual">
      <formula>0</formula>
    </cfRule>
    <cfRule type="cellIs" dxfId="505" priority="174" stopIfTrue="1" operator="greaterThan">
      <formula>4.5</formula>
    </cfRule>
  </conditionalFormatting>
  <conditionalFormatting sqref="G23:H23">
    <cfRule type="expression" dxfId="504" priority="29">
      <formula>IF(+(IF(G23&lt;#REF!,0,IF(G23&gt;#REF!,0,1)))=0,1)</formula>
    </cfRule>
  </conditionalFormatting>
  <conditionalFormatting sqref="G78:H78">
    <cfRule type="cellIs" dxfId="503" priority="155" stopIfTrue="1" operator="greaterThan">
      <formula>$F$77</formula>
    </cfRule>
    <cfRule type="cellIs" dxfId="502" priority="156" stopIfTrue="1" operator="lessThanOrEqual">
      <formula>0</formula>
    </cfRule>
  </conditionalFormatting>
  <conditionalFormatting sqref="H21:H22">
    <cfRule type="expression" dxfId="501" priority="1">
      <formula>IF(+(IF(H21&lt;#REF!,0,IF(H21&gt;#REF!,0,1)))=0,1)</formula>
    </cfRule>
  </conditionalFormatting>
  <conditionalFormatting sqref="H37:H38 H51">
    <cfRule type="cellIs" dxfId="500" priority="153" stopIfTrue="1" operator="greaterThan">
      <formula>0</formula>
    </cfRule>
  </conditionalFormatting>
  <conditionalFormatting sqref="H55">
    <cfRule type="cellIs" dxfId="499" priority="16" stopIfTrue="1" operator="lessThanOrEqual">
      <formula>0</formula>
    </cfRule>
    <cfRule type="cellIs" dxfId="498" priority="17" stopIfTrue="1" operator="greaterThan">
      <formula>$F$70</formula>
    </cfRule>
    <cfRule type="cellIs" dxfId="497" priority="25" stopIfTrue="1" operator="greaterThan">
      <formula>$F$73</formula>
    </cfRule>
    <cfRule type="cellIs" dxfId="496" priority="26" stopIfTrue="1" operator="lessThanOrEqual">
      <formula>0</formula>
    </cfRule>
    <cfRule type="cellIs" dxfId="495" priority="27" stopIfTrue="1" operator="greaterThan">
      <formula>$F$71</formula>
    </cfRule>
    <cfRule type="cellIs" dxfId="494" priority="28" stopIfTrue="1" operator="lessThanOrEqual">
      <formula>0</formula>
    </cfRule>
  </conditionalFormatting>
  <conditionalFormatting sqref="H56">
    <cfRule type="cellIs" dxfId="493" priority="99" stopIfTrue="1" operator="lessThanOrEqual">
      <formula>0</formula>
    </cfRule>
    <cfRule type="cellIs" dxfId="492" priority="98" stopIfTrue="1" operator="greaterThan">
      <formula>$F$24</formula>
    </cfRule>
    <cfRule type="cellIs" dxfId="491" priority="101" stopIfTrue="1" operator="lessThanOrEqual">
      <formula>0</formula>
    </cfRule>
    <cfRule type="cellIs" dxfId="490" priority="100" stopIfTrue="1" operator="greaterThan">
      <formula>#REF!</formula>
    </cfRule>
    <cfRule type="cellIs" dxfId="489" priority="89" stopIfTrue="1" operator="lessThanOrEqual">
      <formula>0</formula>
    </cfRule>
    <cfRule type="cellIs" dxfId="488" priority="90" stopIfTrue="1" operator="greaterThan">
      <formula>#REF!</formula>
    </cfRule>
  </conditionalFormatting>
  <conditionalFormatting sqref="H57">
    <cfRule type="cellIs" dxfId="487" priority="71" stopIfTrue="1" operator="lessThanOrEqual">
      <formula>0</formula>
    </cfRule>
    <cfRule type="cellIs" dxfId="486" priority="70" stopIfTrue="1" operator="greaterThan">
      <formula>$F$68</formula>
    </cfRule>
    <cfRule type="cellIs" dxfId="485" priority="68" stopIfTrue="1" operator="greaterThan">
      <formula>$F$70</formula>
    </cfRule>
    <cfRule type="cellIs" dxfId="484" priority="59" stopIfTrue="1" operator="lessThanOrEqual">
      <formula>0</formula>
    </cfRule>
    <cfRule type="cellIs" dxfId="483" priority="60" stopIfTrue="1" operator="greaterThan">
      <formula>$F$67</formula>
    </cfRule>
    <cfRule type="cellIs" dxfId="482" priority="69" stopIfTrue="1" operator="lessThanOrEqual">
      <formula>0</formula>
    </cfRule>
  </conditionalFormatting>
  <conditionalFormatting sqref="H58:H59">
    <cfRule type="cellIs" dxfId="481" priority="76" stopIfTrue="1" operator="greaterThan">
      <formula>#REF!</formula>
    </cfRule>
    <cfRule type="cellIs" dxfId="480" priority="85" stopIfTrue="1" operator="lessThanOrEqual">
      <formula>0</formula>
    </cfRule>
    <cfRule type="cellIs" dxfId="479" priority="75" stopIfTrue="1" operator="lessThanOrEqual">
      <formula>0</formula>
    </cfRule>
    <cfRule type="cellIs" dxfId="478" priority="86" stopIfTrue="1" operator="greaterThan">
      <formula>#REF!</formula>
    </cfRule>
    <cfRule type="cellIs" dxfId="477" priority="87" stopIfTrue="1" operator="lessThanOrEqual">
      <formula>0</formula>
    </cfRule>
    <cfRule type="cellIs" dxfId="476" priority="84" stopIfTrue="1" operator="greaterThan">
      <formula>$F$23</formula>
    </cfRule>
  </conditionalFormatting>
  <conditionalFormatting sqref="H60">
    <cfRule type="cellIs" dxfId="475" priority="115" stopIfTrue="1" operator="greaterThan">
      <formula>$F$37</formula>
    </cfRule>
    <cfRule type="cellIs" dxfId="474" priority="104" stopIfTrue="1" operator="lessThanOrEqual">
      <formula>0</formula>
    </cfRule>
    <cfRule type="cellIs" dxfId="473" priority="116" stopIfTrue="1" operator="lessThanOrEqual">
      <formula>0</formula>
    </cfRule>
    <cfRule type="cellIs" dxfId="472" priority="114" stopIfTrue="1" operator="lessThanOrEqual">
      <formula>0</formula>
    </cfRule>
    <cfRule type="cellIs" dxfId="471" priority="113" stopIfTrue="1" operator="greaterThan">
      <formula>$F$39</formula>
    </cfRule>
    <cfRule type="cellIs" dxfId="470" priority="105" stopIfTrue="1" operator="greaterThan">
      <formula>$F$36</formula>
    </cfRule>
  </conditionalFormatting>
  <conditionalFormatting sqref="H61:H62">
    <cfRule type="cellIs" dxfId="469" priority="55" stopIfTrue="1" operator="lessThanOrEqual">
      <formula>0</formula>
    </cfRule>
    <cfRule type="cellIs" dxfId="468" priority="57" stopIfTrue="1" operator="lessThanOrEqual">
      <formula>0</formula>
    </cfRule>
    <cfRule type="cellIs" dxfId="467" priority="56" stopIfTrue="1" operator="greaterThan">
      <formula>#REF!</formula>
    </cfRule>
    <cfRule type="cellIs" dxfId="466" priority="54" stopIfTrue="1" operator="greaterThan">
      <formula>$F$23</formula>
    </cfRule>
    <cfRule type="cellIs" dxfId="465" priority="45" stopIfTrue="1" operator="lessThanOrEqual">
      <formula>0</formula>
    </cfRule>
    <cfRule type="cellIs" dxfId="464" priority="46" stopIfTrue="1" operator="greaterThan">
      <formula>#REF!</formula>
    </cfRule>
  </conditionalFormatting>
  <conditionalFormatting sqref="H66:H73">
    <cfRule type="cellIs" dxfId="463" priority="137" stopIfTrue="1" operator="lessThanOrEqual">
      <formula>0</formula>
    </cfRule>
    <cfRule type="cellIs" dxfId="462" priority="136" stopIfTrue="1" operator="greaterThan">
      <formula>$J66</formula>
    </cfRule>
  </conditionalFormatting>
  <conditionalFormatting sqref="H74">
    <cfRule type="cellIs" dxfId="461" priority="138" operator="greaterThan">
      <formula>5.3</formula>
    </cfRule>
  </conditionalFormatting>
  <conditionalFormatting sqref="H77 H79:H85">
    <cfRule type="cellIs" dxfId="460" priority="168" stopIfTrue="1" operator="lessThanOrEqual">
      <formula>0</formula>
    </cfRule>
    <cfRule type="cellIs" dxfId="459" priority="167" stopIfTrue="1" operator="greaterThan">
      <formula>4.5</formula>
    </cfRule>
  </conditionalFormatting>
  <conditionalFormatting sqref="H55:I55">
    <cfRule type="cellIs" dxfId="458" priority="15" stopIfTrue="1" operator="greaterThan">
      <formula>$F$72</formula>
    </cfRule>
    <cfRule type="cellIs" dxfId="457" priority="18" stopIfTrue="1" operator="lessThanOrEqual">
      <formula>0</formula>
    </cfRule>
  </conditionalFormatting>
  <conditionalFormatting sqref="H56:I56">
    <cfRule type="cellIs" dxfId="456" priority="88" stopIfTrue="1" operator="greaterThan">
      <formula>$F$23</formula>
    </cfRule>
    <cfRule type="cellIs" dxfId="455" priority="91" stopIfTrue="1" operator="lessThanOrEqual">
      <formula>0</formula>
    </cfRule>
  </conditionalFormatting>
  <conditionalFormatting sqref="H57:I57">
    <cfRule type="cellIs" dxfId="454" priority="58" stopIfTrue="1" operator="greaterThan">
      <formula>$F$69</formula>
    </cfRule>
    <cfRule type="cellIs" dxfId="453" priority="61" stopIfTrue="1" operator="lessThanOrEqual">
      <formula>0</formula>
    </cfRule>
  </conditionalFormatting>
  <conditionalFormatting sqref="H58:I59">
    <cfRule type="cellIs" dxfId="452" priority="74" stopIfTrue="1" operator="greaterThan">
      <formula>#REF!</formula>
    </cfRule>
    <cfRule type="cellIs" dxfId="451" priority="77" stopIfTrue="1" operator="lessThanOrEqual">
      <formula>0</formula>
    </cfRule>
  </conditionalFormatting>
  <conditionalFormatting sqref="H60:I60">
    <cfRule type="cellIs" dxfId="450" priority="106" stopIfTrue="1" operator="lessThanOrEqual">
      <formula>0</formula>
    </cfRule>
    <cfRule type="cellIs" dxfId="449" priority="103" stopIfTrue="1" operator="greaterThan">
      <formula>$F$38</formula>
    </cfRule>
  </conditionalFormatting>
  <conditionalFormatting sqref="H61:I62">
    <cfRule type="cellIs" dxfId="448" priority="44" stopIfTrue="1" operator="greaterThan">
      <formula>#REF!</formula>
    </cfRule>
    <cfRule type="cellIs" dxfId="447" priority="47" stopIfTrue="1" operator="lessThanOrEqual">
      <formula>0</formula>
    </cfRule>
  </conditionalFormatting>
  <conditionalFormatting sqref="H75:I75">
    <cfRule type="cellIs" dxfId="446" priority="129" stopIfTrue="1" operator="lessThanOrEqual">
      <formula>0</formula>
    </cfRule>
    <cfRule type="cellIs" dxfId="445" priority="128" stopIfTrue="1" operator="greaterThan">
      <formula>$J75</formula>
    </cfRule>
  </conditionalFormatting>
  <conditionalFormatting sqref="I55">
    <cfRule type="cellIs" dxfId="444" priority="20" stopIfTrue="1" operator="lessThanOrEqual">
      <formula>0</formula>
    </cfRule>
    <cfRule type="cellIs" dxfId="443" priority="19" stopIfTrue="1" operator="greaterThan">
      <formula>$F$70</formula>
    </cfRule>
    <cfRule type="cellIs" dxfId="442" priority="24" stopIfTrue="1" operator="lessThanOrEqual">
      <formula>0</formula>
    </cfRule>
    <cfRule type="cellIs" dxfId="441" priority="23" stopIfTrue="1" operator="greaterThan">
      <formula>$F$70</formula>
    </cfRule>
    <cfRule type="cellIs" dxfId="440" priority="21" stopIfTrue="1" operator="greaterThan">
      <formula>$F$72</formula>
    </cfRule>
    <cfRule type="cellIs" dxfId="439" priority="22" stopIfTrue="1" operator="lessThanOrEqual">
      <formula>0</formula>
    </cfRule>
  </conditionalFormatting>
  <conditionalFormatting sqref="I56">
    <cfRule type="cellIs" dxfId="438" priority="95" stopIfTrue="1" operator="lessThanOrEqual">
      <formula>0</formula>
    </cfRule>
    <cfRule type="cellIs" dxfId="437" priority="96" stopIfTrue="1" operator="greaterThan">
      <formula>#REF!</formula>
    </cfRule>
    <cfRule type="cellIs" dxfId="436" priority="97" stopIfTrue="1" operator="lessThanOrEqual">
      <formula>0</formula>
    </cfRule>
    <cfRule type="cellIs" dxfId="435" priority="92" stopIfTrue="1" operator="greaterThan">
      <formula>#REF!</formula>
    </cfRule>
    <cfRule type="cellIs" dxfId="434" priority="93" stopIfTrue="1" operator="lessThanOrEqual">
      <formula>0</formula>
    </cfRule>
    <cfRule type="cellIs" dxfId="433" priority="94" stopIfTrue="1" operator="greaterThan">
      <formula>$F$23</formula>
    </cfRule>
  </conditionalFormatting>
  <conditionalFormatting sqref="I57">
    <cfRule type="cellIs" dxfId="432" priority="67" stopIfTrue="1" operator="lessThanOrEqual">
      <formula>0</formula>
    </cfRule>
    <cfRule type="cellIs" dxfId="431" priority="65" stopIfTrue="1" operator="lessThanOrEqual">
      <formula>0</formula>
    </cfRule>
    <cfRule type="cellIs" dxfId="430" priority="64" stopIfTrue="1" operator="greaterThan">
      <formula>$F$69</formula>
    </cfRule>
    <cfRule type="cellIs" dxfId="429" priority="63" stopIfTrue="1" operator="lessThanOrEqual">
      <formula>0</formula>
    </cfRule>
    <cfRule type="cellIs" dxfId="428" priority="62" stopIfTrue="1" operator="greaterThan">
      <formula>$F$67</formula>
    </cfRule>
    <cfRule type="cellIs" dxfId="427" priority="66" stopIfTrue="1" operator="greaterThan">
      <formula>$F$67</formula>
    </cfRule>
  </conditionalFormatting>
  <conditionalFormatting sqref="I58:I59">
    <cfRule type="cellIs" dxfId="426" priority="83" stopIfTrue="1" operator="lessThanOrEqual">
      <formula>0</formula>
    </cfRule>
    <cfRule type="cellIs" dxfId="425" priority="82" stopIfTrue="1" operator="greaterThan">
      <formula>#REF!</formula>
    </cfRule>
    <cfRule type="cellIs" dxfId="424" priority="81" stopIfTrue="1" operator="lessThanOrEqual">
      <formula>0</formula>
    </cfRule>
    <cfRule type="cellIs" dxfId="423" priority="78" stopIfTrue="1" operator="greaterThan">
      <formula>#REF!</formula>
    </cfRule>
    <cfRule type="cellIs" dxfId="422" priority="80" stopIfTrue="1" operator="greaterThan">
      <formula>#REF!</formula>
    </cfRule>
    <cfRule type="cellIs" dxfId="421" priority="79" stopIfTrue="1" operator="lessThanOrEqual">
      <formula>0</formula>
    </cfRule>
  </conditionalFormatting>
  <conditionalFormatting sqref="I60">
    <cfRule type="cellIs" dxfId="420" priority="112" stopIfTrue="1" operator="lessThanOrEqual">
      <formula>0</formula>
    </cfRule>
    <cfRule type="cellIs" dxfId="419" priority="111" stopIfTrue="1" operator="greaterThan">
      <formula>$F$36</formula>
    </cfRule>
    <cfRule type="cellIs" dxfId="418" priority="110" stopIfTrue="1" operator="lessThanOrEqual">
      <formula>0</formula>
    </cfRule>
    <cfRule type="cellIs" dxfId="417" priority="109" stopIfTrue="1" operator="greaterThan">
      <formula>$F$38</formula>
    </cfRule>
    <cfRule type="cellIs" dxfId="416" priority="108" stopIfTrue="1" operator="lessThanOrEqual">
      <formula>0</formula>
    </cfRule>
    <cfRule type="cellIs" dxfId="415" priority="107" stopIfTrue="1" operator="greaterThan">
      <formula>$F$36</formula>
    </cfRule>
  </conditionalFormatting>
  <conditionalFormatting sqref="I61:I62">
    <cfRule type="cellIs" dxfId="414" priority="50" stopIfTrue="1" operator="greaterThan">
      <formula>#REF!</formula>
    </cfRule>
    <cfRule type="cellIs" dxfId="413" priority="51" stopIfTrue="1" operator="lessThanOrEqual">
      <formula>0</formula>
    </cfRule>
    <cfRule type="cellIs" dxfId="412" priority="52" stopIfTrue="1" operator="greaterThan">
      <formula>#REF!</formula>
    </cfRule>
    <cfRule type="cellIs" dxfId="411" priority="53" stopIfTrue="1" operator="lessThanOrEqual">
      <formula>0</formula>
    </cfRule>
    <cfRule type="cellIs" dxfId="410" priority="48" stopIfTrue="1" operator="greaterThan">
      <formula>#REF!</formula>
    </cfRule>
    <cfRule type="cellIs" dxfId="409" priority="49" stopIfTrue="1" operator="lessThanOrEqual">
      <formula>0</formula>
    </cfRule>
  </conditionalFormatting>
  <conditionalFormatting sqref="I66:I74">
    <cfRule type="cellIs" dxfId="408" priority="140" stopIfTrue="1" operator="lessThanOrEqual">
      <formula>0</formula>
    </cfRule>
    <cfRule type="cellIs" dxfId="407" priority="139" stopIfTrue="1" operator="greaterThan">
      <formula>$J66</formula>
    </cfRule>
  </conditionalFormatting>
  <conditionalFormatting sqref="I77:I85">
    <cfRule type="cellIs" dxfId="406" priority="163" stopIfTrue="1" operator="greaterThan">
      <formula>4.5</formula>
    </cfRule>
    <cfRule type="cellIs" dxfId="405" priority="164" stopIfTrue="1" operator="lessThanOrEqual">
      <formula>0</formula>
    </cfRule>
  </conditionalFormatting>
  <conditionalFormatting sqref="I10:J23">
    <cfRule type="cellIs" dxfId="404" priority="5" operator="lessThan">
      <formula>97.9</formula>
    </cfRule>
  </conditionalFormatting>
  <conditionalFormatting sqref="J27:J28">
    <cfRule type="cellIs" dxfId="403" priority="120" operator="lessThan">
      <formula>98</formula>
    </cfRule>
    <cfRule type="cellIs" dxfId="402" priority="119" stopIfTrue="1" operator="greaterThan">
      <formula>100</formula>
    </cfRule>
    <cfRule type="cellIs" dxfId="401" priority="118" stopIfTrue="1" operator="lessThan">
      <formula>96.8</formula>
    </cfRule>
  </conditionalFormatting>
  <conditionalFormatting sqref="J27:J30">
    <cfRule type="cellIs" dxfId="400" priority="117" operator="lessThan">
      <formula>97.4</formula>
    </cfRule>
  </conditionalFormatting>
  <conditionalFormatting sqref="J31:J32">
    <cfRule type="cellIs" dxfId="399" priority="121" operator="lessThan">
      <formula>98</formula>
    </cfRule>
  </conditionalFormatting>
  <conditionalFormatting sqref="J33:J34">
    <cfRule type="cellIs" dxfId="398" priority="122" stopIfTrue="1" operator="lessThan">
      <formula>96.8</formula>
    </cfRule>
    <cfRule type="cellIs" dxfId="397" priority="123" stopIfTrue="1" operator="greaterThan">
      <formula>100</formula>
    </cfRule>
  </conditionalFormatting>
  <conditionalFormatting sqref="J33:J35">
    <cfRule type="cellIs" dxfId="396" priority="124" operator="lessThan">
      <formula>98</formula>
    </cfRule>
  </conditionalFormatting>
  <conditionalFormatting sqref="J62">
    <cfRule type="cellIs" dxfId="395" priority="43" stopIfTrue="1" operator="lessThanOrEqual">
      <formula>0</formula>
    </cfRule>
    <cfRule type="cellIs" dxfId="394" priority="42" stopIfTrue="1" operator="greaterThan">
      <formula>#REF!</formula>
    </cfRule>
    <cfRule type="cellIs" dxfId="393" priority="41" stopIfTrue="1" operator="lessThanOrEqual">
      <formula>0</formula>
    </cfRule>
    <cfRule type="cellIs" dxfId="392" priority="40" stopIfTrue="1" operator="greaterThan">
      <formula>#REF!</formula>
    </cfRule>
    <cfRule type="cellIs" dxfId="391" priority="39" stopIfTrue="1" operator="lessThanOrEqual">
      <formula>0</formula>
    </cfRule>
    <cfRule type="cellIs" dxfId="390" priority="38" stopIfTrue="1" operator="greaterThan">
      <formula>#REF!</formula>
    </cfRule>
    <cfRule type="cellIs" dxfId="389" priority="37" stopIfTrue="1" operator="lessThanOrEqual">
      <formula>0</formula>
    </cfRule>
    <cfRule type="cellIs" dxfId="388" priority="36" stopIfTrue="1" operator="greaterThan">
      <formula>#REF!</formula>
    </cfRule>
  </conditionalFormatting>
  <conditionalFormatting sqref="J75">
    <cfRule type="cellIs" dxfId="387" priority="125" stopIfTrue="1" operator="greaterThan">
      <formula>$F75</formula>
    </cfRule>
    <cfRule type="cellIs" dxfId="386" priority="126" stopIfTrue="1" operator="lessThanOrEqual">
      <formula>0</formula>
    </cfRule>
  </conditionalFormatting>
  <conditionalFormatting sqref="K10:K23">
    <cfRule type="cellIs" dxfId="385" priority="8" operator="greaterThan">
      <formula>6.4</formula>
    </cfRule>
    <cfRule type="cellIs" dxfId="384" priority="7" operator="lessThan">
      <formula>4</formula>
    </cfRule>
    <cfRule type="cellIs" dxfId="383" priority="6" operator="greaterThan">
      <formula>6</formula>
    </cfRule>
  </conditionalFormatting>
  <conditionalFormatting sqref="K55:K62 K66:N72 K73 M73:N73 K74:N74">
    <cfRule type="cellIs" dxfId="382" priority="102" stopIfTrue="1" operator="lessThan">
      <formula>100%</formula>
    </cfRule>
  </conditionalFormatting>
  <conditionalFormatting sqref="K77:K82">
    <cfRule type="cellIs" dxfId="381" priority="169" stopIfTrue="1" operator="lessThan">
      <formula>100%</formula>
    </cfRule>
  </conditionalFormatting>
  <conditionalFormatting sqref="K84:K85">
    <cfRule type="cellIs" dxfId="380" priority="176" stopIfTrue="1" operator="lessThan">
      <formula>100%</formula>
    </cfRule>
  </conditionalFormatting>
  <conditionalFormatting sqref="L10:L23">
    <cfRule type="cellIs" dxfId="379" priority="10" operator="greaterThan">
      <formula>65</formula>
    </cfRule>
    <cfRule type="cellIs" dxfId="378" priority="9" operator="between">
      <formula>61</formula>
      <formula>65</formula>
    </cfRule>
  </conditionalFormatting>
  <conditionalFormatting sqref="L26:M37">
    <cfRule type="cellIs" dxfId="377" priority="13" operator="lessThan">
      <formula>97.95</formula>
    </cfRule>
  </conditionalFormatting>
  <conditionalFormatting sqref="L41:N41">
    <cfRule type="cellIs" dxfId="376" priority="14" operator="notEqual">
      <formula>#REF!</formula>
    </cfRule>
  </conditionalFormatting>
  <conditionalFormatting sqref="L75:N75">
    <cfRule type="cellIs" dxfId="375" priority="127" stopIfTrue="1" operator="lessThan">
      <formula>100%</formula>
    </cfRule>
  </conditionalFormatting>
  <conditionalFormatting sqref="L77:N85">
    <cfRule type="cellIs" dxfId="374" priority="154" stopIfTrue="1" operator="lessThan">
      <formula>100%</formula>
    </cfRule>
  </conditionalFormatting>
  <conditionalFormatting sqref="M10:M22">
    <cfRule type="expression" dxfId="373" priority="2">
      <formula>IF(+(IF(M10&lt;U10,0,IF(M10&gt;V10,0,1)))=0,1)</formula>
    </cfRule>
  </conditionalFormatting>
  <conditionalFormatting sqref="M23:N23">
    <cfRule type="expression" dxfId="372" priority="184">
      <formula>IF(+(IF(M23&lt;#REF!,0,IF(M23&gt;#REF!,0,1)))=0,1)</formula>
    </cfRule>
  </conditionalFormatting>
  <conditionalFormatting sqref="N10:N22">
    <cfRule type="expression" dxfId="371" priority="4">
      <formula>IF(+(IF(N10&lt;W10,0,IF(N10&gt;X10,0,1)))=0,1)</formula>
    </cfRule>
  </conditionalFormatting>
  <conditionalFormatting sqref="P6">
    <cfRule type="cellIs" dxfId="370" priority="150" operator="greaterThanOrEqual">
      <formula>19</formula>
    </cfRule>
  </conditionalFormatting>
  <dataValidations count="1">
    <dataValidation type="list" allowBlank="1" showInputMessage="1" showErrorMessage="1" sqref="R8" xr:uid="{E693CDDA-EAA3-48AC-BB51-9DB820878D5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F17B-3275-45B5-9703-CB0D05CA0607}">
  <sheetPr>
    <pageSetUpPr fitToPage="1"/>
  </sheetPr>
  <dimension ref="A1:BE78"/>
  <sheetViews>
    <sheetView topLeftCell="B6" zoomScale="90" zoomScaleNormal="90" workbookViewId="0">
      <selection activeCell="G21" sqref="G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46022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29" t="s">
        <v>6</v>
      </c>
      <c r="C10" s="366" t="str">
        <f>[23]Brewhouse!$A1036</f>
        <v>CA920</v>
      </c>
      <c r="D10" s="279">
        <f>[23]Brewhouse!$AF1036</f>
        <v>51.8</v>
      </c>
      <c r="E10" s="279">
        <f>[23]Brewhouse!$AI1036</f>
        <v>50</v>
      </c>
      <c r="F10" s="278">
        <f>[23]Brewhouse!$V1036</f>
        <v>60</v>
      </c>
      <c r="G10" s="279">
        <f>[23]Brewhouse!AG1036</f>
        <v>12</v>
      </c>
      <c r="H10" s="396">
        <v>11.9</v>
      </c>
      <c r="I10" s="368">
        <f>[23]Brewhouse!$AU1036</f>
        <v>99.441250381629558</v>
      </c>
      <c r="J10" s="368">
        <f>[23]Brewhouse!$AV1036</f>
        <v>99.956772834086991</v>
      </c>
      <c r="K10" s="281">
        <f>[23]Brewhouse!$Q1036</f>
        <v>4.5574387947269335</v>
      </c>
      <c r="L10" s="276">
        <f>[23]Brewhouse!$P1036</f>
        <v>61</v>
      </c>
      <c r="M10" s="397">
        <f>[23]Brewhouse!$U1036-[23]Brewhouse!$T1036</f>
        <v>0.11041666666666661</v>
      </c>
      <c r="N10" s="370">
        <f>[23]Brewhouse!$Z1036</f>
        <v>0.23819444444444438</v>
      </c>
      <c r="O10" s="420" t="str">
        <f>[23]Brewhouse!$AX1036</f>
        <v>R. Regis</v>
      </c>
      <c r="P10" s="418"/>
      <c r="R10" s="277" t="str">
        <f t="shared" ref="R10:R40" si="0">B10</f>
        <v>CARIB</v>
      </c>
      <c r="S10" s="475">
        <f t="shared" ref="S10:S40" si="1">VLOOKUP($B10,$R$3:$X$9,2,FALSE)</f>
        <v>11.6</v>
      </c>
      <c r="T10" s="475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5">
        <f t="shared" ref="Z10:Z40" si="8">VLOOKUP($B10,$R$3:$Z$9,9,FALSE)</f>
        <v>60</v>
      </c>
    </row>
    <row r="11" spans="2:29" ht="16.5" customHeight="1">
      <c r="B11" s="29" t="s">
        <v>6</v>
      </c>
      <c r="C11" s="366" t="str">
        <f>[23]Brewhouse!$A1037</f>
        <v>CA921</v>
      </c>
      <c r="D11" s="279">
        <f>[23]Brewhouse!$AF1037</f>
        <v>53</v>
      </c>
      <c r="E11" s="279">
        <f>[23]Brewhouse!$AI1037</f>
        <v>51.1</v>
      </c>
      <c r="F11" s="278">
        <f>[23]Brewhouse!$V1037</f>
        <v>65</v>
      </c>
      <c r="G11" s="279">
        <f>[23]Brewhouse!AG1037</f>
        <v>11.7</v>
      </c>
      <c r="H11" s="396">
        <v>11.7</v>
      </c>
      <c r="I11" s="368">
        <f>[23]Brewhouse!$AU1037</f>
        <v>98.472725377783348</v>
      </c>
      <c r="J11" s="368">
        <f>[23]Brewhouse!$AV1037</f>
        <v>98.983390421321232</v>
      </c>
      <c r="K11" s="281">
        <f>[23]Brewhouse!$Q1037</f>
        <v>4.7457627118644128</v>
      </c>
      <c r="L11" s="276">
        <f>[23]Brewhouse!$P1037</f>
        <v>60</v>
      </c>
      <c r="M11" s="397">
        <f>[23]Brewhouse!$U1037-[23]Brewhouse!$T1037</f>
        <v>0.11527777777777776</v>
      </c>
      <c r="N11" s="370">
        <f>[23]Brewhouse!$Z1037</f>
        <v>0.2472222222222222</v>
      </c>
      <c r="O11" s="420" t="str">
        <f>[23]Brewhouse!$AX1037</f>
        <v>R. Regis</v>
      </c>
      <c r="P11" s="418"/>
      <c r="R11" s="277" t="str">
        <f t="shared" ref="R11:R26" si="9">B11</f>
        <v>CARIB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29" t="s">
        <v>6</v>
      </c>
      <c r="C12" s="366" t="str">
        <f>[23]Brewhouse!$A1038</f>
        <v>CA922</v>
      </c>
      <c r="D12" s="279">
        <f>[23]Brewhouse!$AF1038</f>
        <v>51.3</v>
      </c>
      <c r="E12" s="279">
        <f>[23]Brewhouse!$AI1038</f>
        <v>50.8</v>
      </c>
      <c r="F12" s="278">
        <f>[23]Brewhouse!$V1038</f>
        <v>62</v>
      </c>
      <c r="G12" s="279">
        <f>[23]Brewhouse!AG1038</f>
        <v>11.8</v>
      </c>
      <c r="H12" s="396">
        <v>11.8</v>
      </c>
      <c r="I12" s="368">
        <f>[23]Brewhouse!$AU1038</f>
        <v>99.018267346996709</v>
      </c>
      <c r="J12" s="368">
        <f>[23]Brewhouse!$AV1038</f>
        <v>99.531679435108074</v>
      </c>
      <c r="K12" s="281">
        <f>[23]Brewhouse!$Q1038</f>
        <v>4.7457627118644128</v>
      </c>
      <c r="L12" s="276">
        <f>[23]Brewhouse!$P1038</f>
        <v>18</v>
      </c>
      <c r="M12" s="397">
        <f>[23]Brewhouse!$U1038-[23]Brewhouse!$T1038</f>
        <v>0.1111111111111111</v>
      </c>
      <c r="N12" s="370">
        <f>[23]Brewhouse!$Z1038</f>
        <v>0.24652777777777779</v>
      </c>
      <c r="O12" s="420" t="str">
        <f>[23]Brewhouse!$AX1038</f>
        <v>R.Sookram</v>
      </c>
      <c r="P12" s="418"/>
      <c r="R12" s="277" t="str">
        <f t="shared" si="9"/>
        <v>CARIB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29" t="s">
        <v>6</v>
      </c>
      <c r="C13" s="366" t="str">
        <f>[23]Brewhouse!$A1039</f>
        <v>CA923</v>
      </c>
      <c r="D13" s="279">
        <f>[23]Brewhouse!$AF1039</f>
        <v>53.1</v>
      </c>
      <c r="E13" s="279">
        <f>[23]Brewhouse!$AI1039</f>
        <v>52.6</v>
      </c>
      <c r="F13" s="278">
        <f>[23]Brewhouse!$V1039</f>
        <v>64</v>
      </c>
      <c r="G13" s="279">
        <f>[23]Brewhouse!AG1039</f>
        <v>11.7</v>
      </c>
      <c r="H13" s="396">
        <v>11.8</v>
      </c>
      <c r="I13" s="368">
        <f>[23]Brewhouse!$AU1039</f>
        <v>101.48793096661251</v>
      </c>
      <c r="J13" s="368">
        <f>[23]Brewhouse!$AV1039</f>
        <v>102.01419042257291</v>
      </c>
      <c r="K13" s="281">
        <f>[23]Brewhouse!$Q1039</f>
        <v>3.0508474576271141</v>
      </c>
      <c r="L13" s="276">
        <f>[23]Brewhouse!$P1039</f>
        <v>57</v>
      </c>
      <c r="M13" s="397">
        <f>[23]Brewhouse!$U1039-[23]Brewhouse!$T1039</f>
        <v>0.11458333333333331</v>
      </c>
      <c r="N13" s="370">
        <f>[23]Brewhouse!$Z1039</f>
        <v>0.25416666666666665</v>
      </c>
      <c r="O13" s="420" t="str">
        <f>[23]Brewhouse!$AX1039</f>
        <v>R.Sookram</v>
      </c>
      <c r="P13" s="418"/>
      <c r="R13" s="277" t="str">
        <f t="shared" si="9"/>
        <v>CARIB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29" t="s">
        <v>6</v>
      </c>
      <c r="C14" s="366" t="str">
        <f>[23]Brewhouse!$A1040</f>
        <v>CA924</v>
      </c>
      <c r="D14" s="279">
        <f>[23]Brewhouse!$AF1040</f>
        <v>52.2</v>
      </c>
      <c r="E14" s="279">
        <f>[23]Brewhouse!$AI1040</f>
        <v>51.7</v>
      </c>
      <c r="F14" s="278">
        <f>[23]Brewhouse!$V1040</f>
        <v>69</v>
      </c>
      <c r="G14" s="279">
        <f>[23]Brewhouse!AG1040</f>
        <v>11.8</v>
      </c>
      <c r="H14" s="396">
        <v>11.8</v>
      </c>
      <c r="I14" s="368">
        <f>[23]Brewhouse!$AU1040</f>
        <v>100.77252798897109</v>
      </c>
      <c r="J14" s="368">
        <f>[23]Brewhouse!$AV1040</f>
        <v>101.29503596053324</v>
      </c>
      <c r="K14" s="281">
        <f>[23]Brewhouse!$Q1040</f>
        <v>3.0508474576271141</v>
      </c>
      <c r="L14" s="276">
        <f>[23]Brewhouse!$P1040</f>
        <v>59</v>
      </c>
      <c r="M14" s="397">
        <f>[23]Brewhouse!$U1040-[23]Brewhouse!$T1040</f>
        <v>0.11666666666666659</v>
      </c>
      <c r="N14" s="370">
        <f>[23]Brewhouse!$Z1040</f>
        <v>0.2631944444444444</v>
      </c>
      <c r="O14" s="420" t="str">
        <f>[23]Brewhouse!$AX1040</f>
        <v>R.Sookram</v>
      </c>
      <c r="P14" s="418"/>
      <c r="R14" s="277" t="str">
        <f t="shared" si="9"/>
        <v>CARIB</v>
      </c>
      <c r="S14" s="475">
        <f t="shared" si="1"/>
        <v>11.6</v>
      </c>
      <c r="T14" s="475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5">
        <f t="shared" si="8"/>
        <v>60</v>
      </c>
    </row>
    <row r="15" spans="2:29" ht="16.5" customHeight="1">
      <c r="B15" s="29" t="s">
        <v>6</v>
      </c>
      <c r="C15" s="366" t="str">
        <f>[23]Brewhouse!$A1041</f>
        <v>CA925</v>
      </c>
      <c r="D15" s="279">
        <f>[23]Brewhouse!$AF1041</f>
        <v>52.4</v>
      </c>
      <c r="E15" s="279">
        <f>[23]Brewhouse!$AI1041</f>
        <v>50.8</v>
      </c>
      <c r="F15" s="278">
        <f>[23]Brewhouse!$V1041</f>
        <v>63</v>
      </c>
      <c r="G15" s="279">
        <f>[23]Brewhouse!AG1041</f>
        <v>11.6</v>
      </c>
      <c r="H15" s="396"/>
      <c r="I15" s="368">
        <f>[23]Brewhouse!$AU1041</f>
        <v>96.539951781203001</v>
      </c>
      <c r="J15" s="368">
        <f>[23]Brewhouse!$AV1041</f>
        <v>97.040752576871895</v>
      </c>
      <c r="K15" s="281">
        <f>[23]Brewhouse!$Q1041</f>
        <v>2.4905660377358494</v>
      </c>
      <c r="L15" s="276">
        <f>[23]Brewhouse!$P1041</f>
        <v>62</v>
      </c>
      <c r="M15" s="397">
        <f>[23]Brewhouse!$U1041-[23]Brewhouse!$T1041</f>
        <v>0.11944444444444435</v>
      </c>
      <c r="N15" s="370">
        <f>[23]Brewhouse!$Z1041</f>
        <v>0.2715277777777777</v>
      </c>
      <c r="O15" s="420"/>
      <c r="P15" s="418"/>
      <c r="R15" s="277"/>
      <c r="S15" s="475"/>
      <c r="T15" s="475"/>
      <c r="U15" s="297"/>
      <c r="V15" s="297"/>
      <c r="W15" s="297"/>
      <c r="X15" s="297"/>
      <c r="Y15" s="297"/>
      <c r="Z15" s="475"/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6" ht="16.5" customHeight="1">
      <c r="B17" s="33" t="s">
        <v>9</v>
      </c>
      <c r="C17" s="366" t="str">
        <f>[24]Brewhouse!$A524</f>
        <v>ST499</v>
      </c>
      <c r="D17" s="279">
        <f>[24]Brewhouse!$AD524</f>
        <v>50.2</v>
      </c>
      <c r="E17" s="279">
        <f>[24]Brewhouse!$AG524</f>
        <v>49</v>
      </c>
      <c r="F17" s="278">
        <f>[24]Brewhouse!$V524</f>
        <v>55</v>
      </c>
      <c r="G17" s="279">
        <f>[24]Brewhouse!$AE524</f>
        <v>11.7</v>
      </c>
      <c r="H17" s="396">
        <v>11.7</v>
      </c>
      <c r="I17" s="488">
        <f>[24]Brewhouse!$AS524</f>
        <v>96.346712472097764</v>
      </c>
      <c r="J17" s="488">
        <f>[24]Brewhouse!$AT524</f>
        <v>96.768209530245201</v>
      </c>
      <c r="K17" s="281">
        <f>[24]Brewhouse!$Q524</f>
        <v>4.9519230769230687</v>
      </c>
      <c r="L17" s="276">
        <f>[24]Brewhouse!$P524</f>
        <v>60</v>
      </c>
      <c r="M17" s="374">
        <f>[24]Brewhouse!$U524-[24]Brewhouse!$T524</f>
        <v>0.11249999999999993</v>
      </c>
      <c r="N17" s="370">
        <f>[24]Brewhouse!$AW524</f>
        <v>0.24375000000000002</v>
      </c>
      <c r="O17" s="420" t="str">
        <f>[24]Brewhouse!$AV524</f>
        <v>K. Benjamin</v>
      </c>
      <c r="P17" s="418"/>
      <c r="R17" s="277" t="str">
        <f t="shared" si="9"/>
        <v>STAG</v>
      </c>
      <c r="S17" s="475">
        <f t="shared" si="1"/>
        <v>11.6</v>
      </c>
      <c r="T17" s="475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5">
        <f t="shared" si="8"/>
        <v>60</v>
      </c>
    </row>
    <row r="18" spans="1:26" ht="16.5" customHeight="1">
      <c r="B18" s="33" t="s">
        <v>9</v>
      </c>
      <c r="C18" s="366" t="str">
        <f>[24]Brewhouse!$A525</f>
        <v>ST500</v>
      </c>
      <c r="D18" s="279">
        <f>[24]Brewhouse!$AD525</f>
        <v>50.4</v>
      </c>
      <c r="E18" s="279">
        <f>[24]Brewhouse!$AG525</f>
        <v>48.6</v>
      </c>
      <c r="F18" s="278">
        <f>[24]Brewhouse!$V525</f>
        <v>53</v>
      </c>
      <c r="G18" s="279">
        <f>[24]Brewhouse!$AE525</f>
        <v>11.9</v>
      </c>
      <c r="H18" s="396">
        <v>11.9</v>
      </c>
      <c r="I18" s="488">
        <f>[24]Brewhouse!$AS525</f>
        <v>97.523568316559476</v>
      </c>
      <c r="J18" s="488">
        <f>[24]Brewhouse!$AT525</f>
        <v>97.949933009996698</v>
      </c>
      <c r="K18" s="281">
        <f>[24]Brewhouse!$Q525</f>
        <v>4.5673076923076916</v>
      </c>
      <c r="L18" s="276">
        <f>[24]Brewhouse!$P525</f>
        <v>62</v>
      </c>
      <c r="M18" s="374">
        <f>[24]Brewhouse!$U525-[24]Brewhouse!$T525</f>
        <v>0.11527777777777792</v>
      </c>
      <c r="N18" s="370">
        <f>[24]Brewhouse!$AW525</f>
        <v>0.2465277777777779</v>
      </c>
      <c r="O18" s="420" t="str">
        <f>[24]Brewhouse!$AV525</f>
        <v>K. Benjamin</v>
      </c>
      <c r="P18" s="418"/>
      <c r="R18" s="277" t="str">
        <f t="shared" si="9"/>
        <v>STAG</v>
      </c>
      <c r="S18" s="475">
        <f t="shared" si="1"/>
        <v>11.6</v>
      </c>
      <c r="T18" s="475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5">
        <f t="shared" si="8"/>
        <v>60</v>
      </c>
    </row>
    <row r="19" spans="1:26" ht="16.5" customHeight="1">
      <c r="B19" s="33" t="s">
        <v>9</v>
      </c>
      <c r="C19" s="366" t="str">
        <f>[24]Brewhouse!$A526</f>
        <v>ST501</v>
      </c>
      <c r="D19" s="279">
        <f>[24]Brewhouse!$AD526</f>
        <v>50.7</v>
      </c>
      <c r="E19" s="279">
        <f>[24]Brewhouse!$AG526</f>
        <v>48.23</v>
      </c>
      <c r="F19" s="278">
        <f>[24]Brewhouse!$V526</f>
        <v>56</v>
      </c>
      <c r="G19" s="279">
        <f>[24]Brewhouse!$AE526</f>
        <v>11.8</v>
      </c>
      <c r="H19" s="396">
        <v>11.8</v>
      </c>
      <c r="I19" s="488">
        <f>[24]Brewhouse!$AS526</f>
        <v>95.926010836532257</v>
      </c>
      <c r="J19" s="488">
        <f>[24]Brewhouse!$AT526</f>
        <v>96.345391145405017</v>
      </c>
      <c r="K19" s="281">
        <f>[24]Brewhouse!$Q526</f>
        <v>3.9903846153846074</v>
      </c>
      <c r="L19" s="276">
        <f>[24]Brewhouse!$P526</f>
        <v>61</v>
      </c>
      <c r="M19" s="374">
        <f>[24]Brewhouse!$U526-[24]Brewhouse!$T526</f>
        <v>0.11736111111111125</v>
      </c>
      <c r="N19" s="370">
        <f>[24]Brewhouse!$AW526</f>
        <v>0.25416666666666676</v>
      </c>
      <c r="O19" s="420" t="str">
        <f>[24]Brewhouse!$AV526</f>
        <v>K. Benjamin</v>
      </c>
      <c r="P19" s="418"/>
      <c r="R19" s="277" t="str">
        <f t="shared" si="9"/>
        <v>STAG</v>
      </c>
      <c r="S19" s="475">
        <f t="shared" si="1"/>
        <v>11.6</v>
      </c>
      <c r="T19" s="475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5">
        <f t="shared" si="8"/>
        <v>60</v>
      </c>
    </row>
    <row r="20" spans="1:26" ht="16.5" customHeight="1">
      <c r="B20" s="33" t="s">
        <v>9</v>
      </c>
      <c r="C20" s="366" t="str">
        <f>[24]Brewhouse!$A527</f>
        <v>ST502</v>
      </c>
      <c r="D20" s="279">
        <f>[24]Brewhouse!$AD527</f>
        <v>51.3</v>
      </c>
      <c r="E20" s="279">
        <f>[24]Brewhouse!$AG527</f>
        <v>48</v>
      </c>
      <c r="F20" s="278">
        <f>[24]Brewhouse!$V527</f>
        <v>58</v>
      </c>
      <c r="G20" s="279">
        <f>[24]Brewhouse!$AE527</f>
        <v>11.6</v>
      </c>
      <c r="H20" s="396">
        <v>11.6</v>
      </c>
      <c r="I20" s="488">
        <f>[24]Brewhouse!$AS527</f>
        <v>93.454371995230545</v>
      </c>
      <c r="J20" s="488">
        <f>[24]Brewhouse!$AT527</f>
        <v>94.058459557319907</v>
      </c>
      <c r="K20" s="281">
        <f>[24]Brewhouse!$Q527</f>
        <v>3.0230326295585468</v>
      </c>
      <c r="L20" s="276">
        <f>[24]Brewhouse!$P527</f>
        <v>60</v>
      </c>
      <c r="M20" s="374">
        <f>[24]Brewhouse!$U527-[24]Brewhouse!$T527</f>
        <v>0.11736111111111125</v>
      </c>
      <c r="N20" s="370">
        <f>[24]Brewhouse!$AW527</f>
        <v>0.26111111111111118</v>
      </c>
      <c r="O20" s="420" t="str">
        <f>[24]Brewhouse!$AV527</f>
        <v>R. Regis</v>
      </c>
      <c r="P20" s="418"/>
      <c r="R20" s="277" t="str">
        <f t="shared" si="9"/>
        <v>STAG</v>
      </c>
      <c r="S20" s="475">
        <f t="shared" si="1"/>
        <v>11.6</v>
      </c>
      <c r="T20" s="475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5">
        <f t="shared" si="8"/>
        <v>60</v>
      </c>
    </row>
    <row r="21" spans="1:26" ht="16.5" customHeight="1">
      <c r="B21" s="489">
        <v>46022</v>
      </c>
      <c r="C21" s="366"/>
      <c r="D21" s="279"/>
      <c r="E21" s="279"/>
      <c r="F21" s="278"/>
      <c r="G21" s="279"/>
      <c r="H21" s="396"/>
      <c r="I21" s="488"/>
      <c r="J21" s="488"/>
      <c r="K21" s="281"/>
      <c r="L21" s="276"/>
      <c r="M21" s="374"/>
      <c r="N21" s="370"/>
      <c r="O21" s="420"/>
      <c r="P21" s="418"/>
      <c r="R21" s="277"/>
      <c r="S21" s="475"/>
      <c r="T21" s="475"/>
      <c r="U21" s="297"/>
      <c r="V21" s="297"/>
      <c r="W21" s="297"/>
      <c r="X21" s="297"/>
      <c r="Y21" s="297"/>
      <c r="Z21" s="475"/>
    </row>
    <row r="22" spans="1:26" ht="16.5" customHeight="1">
      <c r="B22" s="33" t="s">
        <v>9</v>
      </c>
      <c r="C22" s="366" t="str">
        <f>[24]Brewhouse!$A528</f>
        <v>ST503</v>
      </c>
      <c r="D22" s="279">
        <f>[24]Brewhouse!$AD528</f>
        <v>51.7</v>
      </c>
      <c r="E22" s="279">
        <f>[24]Brewhouse!$AG528</f>
        <v>49.8</v>
      </c>
      <c r="F22" s="278">
        <f>[24]Brewhouse!$V528</f>
        <v>60</v>
      </c>
      <c r="G22" s="279">
        <f>[24]Brewhouse!$AE528</f>
        <v>11.8</v>
      </c>
      <c r="H22" s="396">
        <v>11.8</v>
      </c>
      <c r="I22" s="488">
        <f>[24]Brewhouse!$AS528</f>
        <v>98.103230583960681</v>
      </c>
      <c r="J22" s="488">
        <f>[24]Brewhouse!$AT528</f>
        <v>98.738405790534827</v>
      </c>
      <c r="K22" s="281">
        <f>[24]Brewhouse!$Q528</f>
        <v>2.2552783109404935</v>
      </c>
      <c r="L22" s="276">
        <f>[24]Brewhouse!$P528</f>
        <v>60</v>
      </c>
      <c r="M22" s="374">
        <f>[24]Brewhouse!$U528-[24]Brewhouse!$T528</f>
        <v>0.11527777777777776</v>
      </c>
      <c r="N22" s="370">
        <f>[24]Brewhouse!$AW528</f>
        <v>0.2583333333333333</v>
      </c>
      <c r="O22" s="420" t="str">
        <f>[24]Brewhouse!$AV528</f>
        <v>R. Regis</v>
      </c>
      <c r="P22" s="418"/>
      <c r="R22" s="277" t="str">
        <f t="shared" si="9"/>
        <v>STAG</v>
      </c>
      <c r="S22" s="475">
        <f t="shared" si="1"/>
        <v>11.6</v>
      </c>
      <c r="T22" s="475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5">
        <f t="shared" si="8"/>
        <v>60</v>
      </c>
    </row>
    <row r="23" spans="1:26" ht="16.5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6" ht="16.5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6" ht="16.5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6" ht="16.5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28"/>
      <c r="J27" s="528"/>
      <c r="K27" s="528"/>
      <c r="L27" s="528"/>
      <c r="M27" s="528"/>
      <c r="N27" s="528"/>
      <c r="O27" s="1"/>
      <c r="P27" s="12"/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</row>
    <row r="28" spans="1:26" ht="15.75" customHeight="1" thickBot="1">
      <c r="B28" s="388" t="s">
        <v>162</v>
      </c>
      <c r="C28" s="388"/>
      <c r="D28" s="506" t="s">
        <v>35</v>
      </c>
      <c r="E28" s="507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</row>
    <row r="29" spans="1:26" ht="15" customHeight="1">
      <c r="A29" s="28"/>
      <c r="B29" s="529" t="str">
        <f>I30</f>
        <v>STAG</v>
      </c>
      <c r="C29" s="362" cm="1">
        <f t="array" ref="C29:C38">[24]Process!$D$496:$D$505</f>
        <v>11.9</v>
      </c>
      <c r="D29" s="532">
        <v>12.07</v>
      </c>
      <c r="E29" s="533"/>
      <c r="F29" s="294"/>
      <c r="G29" s="294"/>
      <c r="H29" s="348"/>
      <c r="I29" s="29" t="s">
        <v>6</v>
      </c>
      <c r="J29" s="280">
        <f>AVERAGE(I10:I14)</f>
        <v>99.838540412398643</v>
      </c>
      <c r="K29" s="284">
        <f>COUNTA([23]Brewhouse!$A$1005:$A$1040)</f>
        <v>36</v>
      </c>
      <c r="L29" s="305">
        <f>AVERAGE([23]Brewhouse!$AU$1005:$AU$1040)</f>
        <v>98.870694299619515</v>
      </c>
      <c r="M29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$1040)</f>
        <v>97.799555342627315</v>
      </c>
      <c r="N29" s="30">
        <v>98</v>
      </c>
      <c r="O29" s="11"/>
      <c r="P29" s="31"/>
      <c r="R29" s="277" t="str">
        <f t="shared" si="0"/>
        <v>STAG</v>
      </c>
      <c r="S29" s="475">
        <f t="shared" si="1"/>
        <v>11.6</v>
      </c>
      <c r="T29" s="475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5">
        <f t="shared" si="8"/>
        <v>60</v>
      </c>
    </row>
    <row r="30" spans="1:26" ht="15" customHeight="1">
      <c r="A30" s="28"/>
      <c r="B30" s="530"/>
      <c r="C30" s="362">
        <v>12</v>
      </c>
      <c r="D30" s="534"/>
      <c r="E30" s="535"/>
      <c r="F30" s="294"/>
      <c r="G30" s="294"/>
      <c r="H30" s="348"/>
      <c r="I30" s="33" t="s">
        <v>9</v>
      </c>
      <c r="J30" s="280">
        <f>AVERAGE(I17:I20)</f>
        <v>95.812665905105007</v>
      </c>
      <c r="K30" s="284">
        <f>COUNTA([24]Brewhouse!$A$486:$A$527)</f>
        <v>42</v>
      </c>
      <c r="L30" s="302">
        <f>AVERAGE([24]Brewhouse!$AS$486:$AS$527)</f>
        <v>96.969506368242335</v>
      </c>
      <c r="M30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$527)</f>
        <v>97.773875009201177</v>
      </c>
      <c r="N30" s="30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</row>
    <row r="31" spans="1:26" ht="14.65" customHeight="1">
      <c r="A31" s="28"/>
      <c r="B31" s="530"/>
      <c r="C31" s="362">
        <v>11.8</v>
      </c>
      <c r="D31" s="580">
        <v>12.1</v>
      </c>
      <c r="E31" s="581"/>
      <c r="F31" s="294"/>
      <c r="G31" s="294"/>
      <c r="H31" s="348"/>
      <c r="I31" s="34" t="s">
        <v>12</v>
      </c>
      <c r="J31" s="280"/>
      <c r="K31" s="284">
        <f>COUNTA([25]Brewhouse!$A$125:$A$132)</f>
        <v>8</v>
      </c>
      <c r="L31" s="302">
        <f>AVERAGE([25]Brewhouse!$AU$125:$AU$132)</f>
        <v>96.474285660381511</v>
      </c>
      <c r="M31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31" s="3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</row>
    <row r="32" spans="1:26" ht="14.65" customHeight="1">
      <c r="A32" s="28"/>
      <c r="B32" s="530"/>
      <c r="C32" s="362">
        <v>12</v>
      </c>
      <c r="D32" s="547"/>
      <c r="E32" s="535"/>
      <c r="F32" s="294"/>
      <c r="G32" s="294"/>
      <c r="H32" s="348"/>
      <c r="I32" s="22" t="s">
        <v>33</v>
      </c>
      <c r="J32" s="280"/>
      <c r="K32" s="284">
        <f>COUNTA([22]Brewhouse!$A$107:$A$122)</f>
        <v>16</v>
      </c>
      <c r="L32" s="302">
        <f>AVERAGE([22]Brewhouse!$AV$107:$AV$122)</f>
        <v>96.593037676437092</v>
      </c>
      <c r="M32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32" s="30">
        <v>98</v>
      </c>
      <c r="O32" s="11"/>
      <c r="P32" s="31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</row>
    <row r="33" spans="1:56" ht="14.65" customHeight="1">
      <c r="A33" s="28"/>
      <c r="B33" s="530"/>
      <c r="C33" s="362">
        <v>12</v>
      </c>
      <c r="D33" s="580">
        <v>11.9</v>
      </c>
      <c r="E33" s="581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5" t="e">
        <f t="shared" si="1"/>
        <v>#N/A</v>
      </c>
      <c r="T33" s="475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5" t="e">
        <f t="shared" si="8"/>
        <v>#N/A</v>
      </c>
    </row>
    <row r="34" spans="1:56" ht="14.65" customHeight="1">
      <c r="A34" s="28"/>
      <c r="B34" s="530"/>
      <c r="C34" s="362">
        <v>11.9</v>
      </c>
      <c r="D34" s="547"/>
      <c r="E34" s="535"/>
      <c r="F34" s="417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AVERAGE([26]Brewhouse!$AT$4:$AT$11,[26]Brewhouse!$AT$13:$AT$16,[26]Brewhouse!$AT$18:$AT$21,[26]Brewhouse!$AT$26,[26]Brewhouse!$AT$28:$AT$35)</f>
        <v>94.794664331624134</v>
      </c>
      <c r="N34" s="30">
        <v>98</v>
      </c>
      <c r="O34" s="11"/>
      <c r="P34" s="31"/>
      <c r="R34" s="277">
        <f t="shared" si="0"/>
        <v>0</v>
      </c>
      <c r="S34" s="475" t="e">
        <f t="shared" si="1"/>
        <v>#N/A</v>
      </c>
      <c r="T34" s="475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5" t="e">
        <f t="shared" si="8"/>
        <v>#N/A</v>
      </c>
      <c r="AA34" s="475"/>
    </row>
    <row r="35" spans="1:56" ht="14.65" customHeight="1">
      <c r="A35" s="28"/>
      <c r="B35" s="530"/>
      <c r="C35" s="362">
        <v>12</v>
      </c>
      <c r="D35" s="580">
        <v>11.95</v>
      </c>
      <c r="E35" s="581"/>
      <c r="F35" s="417"/>
      <c r="G35" s="294"/>
      <c r="H35" s="348"/>
      <c r="I35" s="37" t="s">
        <v>16</v>
      </c>
      <c r="J35" s="323"/>
      <c r="K35" s="284">
        <f>COUNTA([27]Brewhouse!$A$99:$A$116)</f>
        <v>18</v>
      </c>
      <c r="L35" s="302">
        <f>AVERAGE([27]Brewhouse!$AY$99:$AY$116)</f>
        <v>97.377797632485397</v>
      </c>
      <c r="M35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35" s="30">
        <v>98</v>
      </c>
      <c r="O35" s="11"/>
      <c r="P35" s="31" t="s">
        <v>41</v>
      </c>
      <c r="R35" s="277">
        <f t="shared" si="0"/>
        <v>0</v>
      </c>
      <c r="S35" s="475" t="e">
        <f t="shared" si="1"/>
        <v>#N/A</v>
      </c>
      <c r="T35" s="475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5" t="e">
        <f t="shared" si="8"/>
        <v>#N/A</v>
      </c>
      <c r="AA35" s="475"/>
    </row>
    <row r="36" spans="1:56" ht="14.65" customHeight="1">
      <c r="A36" s="28"/>
      <c r="B36" s="530"/>
      <c r="C36" s="362">
        <v>11.8</v>
      </c>
      <c r="D36" s="547"/>
      <c r="E36" s="535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AVERAGE([28]Brewhouse!$AU$5:$AU$8,[28]Brewhouse!$AU$10:$AU$13,[27]Brewhouse!$AY$75:$AY$77)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475" t="e">
        <f t="shared" si="1"/>
        <v>#N/A</v>
      </c>
      <c r="T36" s="475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5" t="e">
        <f t="shared" si="8"/>
        <v>#N/A</v>
      </c>
      <c r="AA36" s="475"/>
    </row>
    <row r="37" spans="1:56" ht="14.65" customHeight="1">
      <c r="A37" s="28"/>
      <c r="B37" s="530"/>
      <c r="C37" s="349">
        <v>11.8</v>
      </c>
      <c r="D37" s="580">
        <v>12.16</v>
      </c>
      <c r="E37" s="581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475" t="e">
        <f t="shared" si="1"/>
        <v>#N/A</v>
      </c>
      <c r="T37" s="475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5" t="e">
        <f t="shared" si="8"/>
        <v>#N/A</v>
      </c>
      <c r="AA37" s="475"/>
    </row>
    <row r="38" spans="1:56" ht="15" customHeight="1" thickBot="1">
      <c r="A38" s="28"/>
      <c r="B38" s="530"/>
      <c r="C38" s="349">
        <v>12</v>
      </c>
      <c r="D38" s="547"/>
      <c r="E38" s="535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475" t="e">
        <f t="shared" si="1"/>
        <v>#N/A</v>
      </c>
      <c r="T38" s="475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5" t="e">
        <f t="shared" si="8"/>
        <v>#N/A</v>
      </c>
      <c r="AA38" s="475"/>
    </row>
    <row r="39" spans="1:56" ht="15" customHeight="1" thickBot="1">
      <c r="A39" s="28"/>
      <c r="B39" s="530"/>
      <c r="C39" s="349" cm="1">
        <f t="array" ref="C39:C40">[24]Process!$D$506:$D$507</f>
        <v>11.9</v>
      </c>
      <c r="D39" s="532">
        <v>12.18</v>
      </c>
      <c r="E39" s="533"/>
      <c r="F39" s="294"/>
      <c r="G39" s="294"/>
      <c r="H39" s="348"/>
      <c r="I39" s="1"/>
      <c r="J39" s="39"/>
      <c r="K39" s="404">
        <f>SUM(K29:K38)</f>
        <v>120</v>
      </c>
      <c r="L39" s="405">
        <f>((L29*K29)+(L30*K30)+(L31*K31)+(L32*K32)+(L33*K33)+(K36*L36)+(L34*K34)+(L35*K35)+(L38*K38))/(K39)</f>
        <v>97.517895897860555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97.569739829467849</v>
      </c>
      <c r="N39" s="40">
        <v>98</v>
      </c>
      <c r="O39" s="11"/>
      <c r="P39" s="31"/>
      <c r="R39" s="277">
        <f t="shared" si="0"/>
        <v>0</v>
      </c>
      <c r="S39" s="475" t="e">
        <f t="shared" si="1"/>
        <v>#N/A</v>
      </c>
      <c r="T39" s="475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5" t="e">
        <f t="shared" si="8"/>
        <v>#N/A</v>
      </c>
      <c r="AA39" s="475"/>
    </row>
    <row r="40" spans="1:56" ht="15.75" thickBot="1">
      <c r="B40" s="605"/>
      <c r="C40" s="350">
        <v>11.9</v>
      </c>
      <c r="D40" s="534"/>
      <c r="E40" s="53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5" t="e">
        <f t="shared" si="1"/>
        <v>#N/A</v>
      </c>
      <c r="T40" s="475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5" t="e">
        <f t="shared" si="8"/>
        <v>#N/A</v>
      </c>
      <c r="AA40" s="475"/>
    </row>
    <row r="41" spans="1:56" ht="15.75" thickBot="1">
      <c r="B41" s="596"/>
      <c r="C41" s="362"/>
      <c r="D41" s="545"/>
      <c r="E41" s="546"/>
      <c r="F41" s="294"/>
      <c r="G41" s="42"/>
      <c r="H41" s="41"/>
      <c r="I41" s="42"/>
      <c r="J41" s="579" t="s">
        <v>129</v>
      </c>
      <c r="K41" s="579"/>
      <c r="L41" s="294"/>
      <c r="M41" s="294"/>
      <c r="N41" s="294"/>
      <c r="O41" s="294"/>
      <c r="P41" s="12"/>
    </row>
    <row r="42" spans="1:56" ht="15.75" thickBot="1">
      <c r="B42" s="597"/>
      <c r="C42" s="362"/>
      <c r="D42" s="547"/>
      <c r="E42" s="535"/>
      <c r="F42" s="294"/>
      <c r="G42" s="42"/>
      <c r="H42" s="42"/>
      <c r="I42" s="42"/>
      <c r="J42" s="292" t="s">
        <v>17</v>
      </c>
      <c r="K42" s="293" t="s">
        <v>147</v>
      </c>
      <c r="L42" s="549" t="s">
        <v>136</v>
      </c>
      <c r="M42" s="549"/>
      <c r="N42" s="550"/>
      <c r="O42" s="294"/>
      <c r="P42" s="12"/>
    </row>
    <row r="43" spans="1:56" ht="15" customHeight="1" thickBot="1">
      <c r="B43" s="597"/>
      <c r="C43" s="349"/>
      <c r="D43" s="580"/>
      <c r="E43" s="581"/>
      <c r="F43" s="294"/>
      <c r="G43" s="42"/>
      <c r="H43" s="42"/>
      <c r="I43" s="42"/>
      <c r="J43" s="287" t="s">
        <v>6</v>
      </c>
      <c r="K43" s="324">
        <v>6</v>
      </c>
      <c r="L43" s="476" t="s">
        <v>37</v>
      </c>
      <c r="M43" s="477" t="s">
        <v>38</v>
      </c>
      <c r="N43" s="477" t="s">
        <v>84</v>
      </c>
      <c r="O43" s="294"/>
      <c r="P43" s="12"/>
    </row>
    <row r="44" spans="1:56" ht="15.75" customHeight="1" thickBot="1">
      <c r="B44" s="597"/>
      <c r="C44" s="349"/>
      <c r="D44" s="547"/>
      <c r="E44" s="535"/>
      <c r="F44" s="294"/>
      <c r="G44" s="42"/>
      <c r="H44" s="42"/>
      <c r="I44" s="42"/>
      <c r="J44" s="345" t="s">
        <v>9</v>
      </c>
      <c r="K44" s="324">
        <v>4</v>
      </c>
      <c r="L44" s="344">
        <f>AVERAGE('Dec 1st'!K43,'Dec 2nd'!K49,'Dec 3rd '!K58,'Dec 4th'!K51,'Dec 5th-7th'!I70,'Dec 5th-7th'!J70,'Dec 5th-7th'!K70,'Dec 8th '!K49,'Dec 9th'!K49,'Dec 10th'!K61,'Dec 11th'!K53,'Dec 12th-14th'!K44,'Dec 15th'!K49,'Dec 16th'!K54,'Dec 17th '!K48,'Dec 18th '!K51,'Dec 24th'!K47,'Dec 29th'!K50,'Dec 30th '!K53)</f>
        <v>6.3684210526315788</v>
      </c>
      <c r="M44" s="325">
        <f>AVERAGE('[31]Jan 29th '!$M$70,'[32]Feb 28th'!$L$40,'[33]Mar. 31st'!$L$40,'[34]Apr. 30th'!$L$50,'[35]May 30th'!$L$42,'[36]June 30th'!$L$62,'[37]July 29th '!$L$49,'[38]Aug 29th'!$L$34,'[39]Sept 30th'!$L$40,[40]Oct.31st!$L$43,'[41]Nov 28th-30th'!$L$45,L44)</f>
        <v>6.9202328389256307</v>
      </c>
      <c r="N44" s="416">
        <v>9.1999999999999993</v>
      </c>
      <c r="O44" s="294"/>
      <c r="P44" s="12"/>
    </row>
    <row r="45" spans="1:56" ht="15" customHeight="1">
      <c r="B45" s="597"/>
      <c r="C45" s="349"/>
      <c r="D45" s="580"/>
      <c r="E45" s="581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97"/>
      <c r="C46" s="349"/>
      <c r="D46" s="547"/>
      <c r="E46" s="53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97"/>
      <c r="C47" s="349"/>
      <c r="D47" s="580"/>
      <c r="E47" s="581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97"/>
      <c r="C48" s="349"/>
      <c r="D48" s="547"/>
      <c r="E48" s="53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97"/>
      <c r="C49" s="349"/>
      <c r="D49" s="580"/>
      <c r="E49" s="581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607"/>
      <c r="C50" s="350"/>
      <c r="D50" s="582"/>
      <c r="E50" s="583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7"/>
      <c r="E51" s="578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10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J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57" t="s">
        <v>17</v>
      </c>
      <c r="C56" s="557" t="s">
        <v>44</v>
      </c>
      <c r="D56" s="559" t="s">
        <v>45</v>
      </c>
      <c r="E56" s="514" t="s">
        <v>46</v>
      </c>
      <c r="F56" s="574" t="s">
        <v>47</v>
      </c>
      <c r="G56" s="568" t="s">
        <v>48</v>
      </c>
      <c r="H56" s="557" t="s">
        <v>49</v>
      </c>
      <c r="I56" s="557" t="s">
        <v>50</v>
      </c>
      <c r="J56" s="562" t="s">
        <v>28</v>
      </c>
      <c r="K56" s="512" t="s">
        <v>51</v>
      </c>
      <c r="L56" s="524" t="s">
        <v>52</v>
      </c>
      <c r="M56" s="562" t="s">
        <v>53</v>
      </c>
      <c r="N56" s="13"/>
      <c r="O56" s="13"/>
      <c r="P56" s="50"/>
    </row>
    <row r="57" spans="2:57" ht="28.5" customHeight="1" thickTop="1" thickBot="1">
      <c r="B57" s="558"/>
      <c r="C57" s="558"/>
      <c r="D57" s="560"/>
      <c r="E57" s="561"/>
      <c r="F57" s="575"/>
      <c r="G57" s="569"/>
      <c r="H57" s="576"/>
      <c r="I57" s="576"/>
      <c r="J57" s="563"/>
      <c r="K57" s="572"/>
      <c r="L57" s="573"/>
      <c r="M57" s="563"/>
      <c r="N57" s="13"/>
      <c r="O57" s="13"/>
      <c r="P57" s="50"/>
      <c r="Q57" s="355"/>
      <c r="AB57" s="478">
        <v>43474</v>
      </c>
      <c r="AC57" s="478">
        <v>43475</v>
      </c>
      <c r="AD57" s="478">
        <v>43476</v>
      </c>
      <c r="AE57" s="478">
        <v>43477</v>
      </c>
      <c r="AF57" s="478">
        <v>43478</v>
      </c>
      <c r="AG57" s="478">
        <v>43479</v>
      </c>
      <c r="AH57" s="478">
        <v>43480</v>
      </c>
      <c r="AI57" s="478">
        <v>43481</v>
      </c>
      <c r="AJ57" s="478">
        <v>43482</v>
      </c>
      <c r="AK57" s="478">
        <v>43483</v>
      </c>
      <c r="AL57" s="478">
        <v>43484</v>
      </c>
      <c r="AM57" s="478">
        <v>43485</v>
      </c>
      <c r="AN57" s="478">
        <v>43486</v>
      </c>
      <c r="AO57" s="478">
        <v>43487</v>
      </c>
      <c r="AP57" s="478">
        <v>43488</v>
      </c>
      <c r="AQ57" s="478">
        <v>43489</v>
      </c>
      <c r="AR57" s="478">
        <v>43490</v>
      </c>
      <c r="AS57" s="478">
        <v>43491</v>
      </c>
      <c r="AT57" s="478">
        <v>43492</v>
      </c>
      <c r="AU57" s="478">
        <v>43493</v>
      </c>
      <c r="AV57" s="478">
        <v>43494</v>
      </c>
      <c r="AW57" s="478">
        <v>43495</v>
      </c>
      <c r="AX57" s="478">
        <v>43496</v>
      </c>
    </row>
    <row r="58" spans="2:57" s="54" customFormat="1" ht="43.15" customHeight="1" thickBot="1">
      <c r="B58" s="468" t="str">
        <f>J44</f>
        <v>STAG</v>
      </c>
      <c r="C58" s="441">
        <v>46021</v>
      </c>
      <c r="D58" s="442">
        <f>[42]December_2025!$AG$13</f>
        <v>575.19999999999993</v>
      </c>
      <c r="E58" s="443"/>
      <c r="F58" s="444"/>
      <c r="G58" s="444">
        <f>[42]December_2025!$AG$17</f>
        <v>557.9</v>
      </c>
      <c r="H58" s="458"/>
      <c r="I58" s="458"/>
      <c r="J58" s="448" t="s">
        <v>173</v>
      </c>
      <c r="K58" s="449">
        <f>[43]December_2025!$AG$25</f>
        <v>0.9787719298245614</v>
      </c>
      <c r="L58" s="486">
        <f>(((D58+E58)-G58)/(D58+E58))*100</f>
        <v>3.0076495132127881</v>
      </c>
      <c r="M58" s="455" t="s">
        <v>180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9.5" hidden="1" customHeight="1" thickBot="1">
      <c r="B59" s="468"/>
      <c r="C59" s="430"/>
      <c r="D59" s="431"/>
      <c r="E59" s="432"/>
      <c r="F59" s="433"/>
      <c r="G59" s="434"/>
      <c r="H59" s="428"/>
      <c r="I59" s="42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6"/>
      <c r="C60" s="441"/>
      <c r="D60" s="442"/>
      <c r="E60" s="443"/>
      <c r="F60" s="444"/>
      <c r="G60" s="445"/>
      <c r="H60" s="458"/>
      <c r="I60" s="458"/>
      <c r="J60" s="448"/>
      <c r="K60" s="460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59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7"/>
      <c r="C65" s="430"/>
      <c r="D65" s="461"/>
      <c r="E65" s="462"/>
      <c r="F65" s="463"/>
      <c r="G65" s="461"/>
      <c r="H65" s="464"/>
      <c r="I65" s="464"/>
      <c r="J65" s="464"/>
      <c r="K65" s="465"/>
      <c r="L65" s="466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64" t="s">
        <v>55</v>
      </c>
      <c r="C67" s="565"/>
      <c r="D67" s="565"/>
      <c r="E67" s="565"/>
      <c r="F67" s="566"/>
      <c r="G67" s="564" t="s">
        <v>56</v>
      </c>
      <c r="H67" s="565"/>
      <c r="I67" s="565"/>
      <c r="J67" s="566"/>
      <c r="K67" s="564" t="s">
        <v>51</v>
      </c>
      <c r="L67" s="565"/>
      <c r="M67" s="565"/>
      <c r="N67" s="567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5.7794585108921366</v>
      </c>
      <c r="E69" s="76">
        <v>6.0480031115672324</v>
      </c>
      <c r="F69" s="66">
        <v>4.8</v>
      </c>
      <c r="G69" s="65"/>
      <c r="H69" s="491">
        <v>5.0128674501264854</v>
      </c>
      <c r="I69" s="76">
        <v>5.9218546071888651</v>
      </c>
      <c r="J69" s="66">
        <v>4.8</v>
      </c>
      <c r="K69" s="67"/>
      <c r="L69" s="194">
        <v>0.4800372142477406</v>
      </c>
      <c r="M69" s="194">
        <v>0.70876433007985529</v>
      </c>
      <c r="N69" s="68">
        <v>1</v>
      </c>
      <c r="O69" s="56"/>
      <c r="P69" s="69"/>
    </row>
    <row r="70" spans="2:57" ht="15">
      <c r="B70" s="33" t="s">
        <v>9</v>
      </c>
      <c r="C70" s="65">
        <f>L58</f>
        <v>3.0076495132127881</v>
      </c>
      <c r="D70" s="76">
        <v>3.8280116110305031</v>
      </c>
      <c r="E70" s="76">
        <v>5.5324046252101207</v>
      </c>
      <c r="F70" s="66">
        <v>4.8</v>
      </c>
      <c r="G70" s="65">
        <f>[42]December_2025!$AG$21</f>
        <v>1.7631606537191296</v>
      </c>
      <c r="H70" s="76">
        <v>3.4245120228519865</v>
      </c>
      <c r="I70" s="76">
        <v>5.9673031619167896</v>
      </c>
      <c r="J70" s="66">
        <v>4.8</v>
      </c>
      <c r="K70" s="67">
        <f>K58</f>
        <v>0.9787719298245614</v>
      </c>
      <c r="L70" s="194">
        <v>0.47336396546922865</v>
      </c>
      <c r="M70" s="194">
        <v>0.66595201304893148</v>
      </c>
      <c r="N70" s="68">
        <v>1</v>
      </c>
      <c r="P70" s="69"/>
    </row>
    <row r="71" spans="2:57" ht="15">
      <c r="B71" s="34" t="s">
        <v>40</v>
      </c>
      <c r="C71" s="65"/>
      <c r="D71" s="76">
        <v>12.016908212560388</v>
      </c>
      <c r="E71" s="76">
        <v>11.141238852735578</v>
      </c>
      <c r="F71" s="66">
        <v>5.5</v>
      </c>
      <c r="G71" s="65"/>
      <c r="H71" s="76">
        <v>12.270238379611699</v>
      </c>
      <c r="I71" s="76">
        <v>12.503538804098113</v>
      </c>
      <c r="J71" s="66">
        <v>5.5</v>
      </c>
      <c r="K71" s="67"/>
      <c r="L71" s="194">
        <v>0.37337719298245614</v>
      </c>
      <c r="M71" s="194">
        <v>0.50452657004830925</v>
      </c>
      <c r="N71" s="68">
        <v>1</v>
      </c>
      <c r="P71" s="69"/>
    </row>
    <row r="72" spans="2:57" ht="15">
      <c r="B72" s="22" t="s">
        <v>33</v>
      </c>
      <c r="C72" s="65"/>
      <c r="D72" s="76">
        <v>3.7426398119835098</v>
      </c>
      <c r="E72" s="76">
        <v>4.4918713689673408</v>
      </c>
      <c r="F72" s="66">
        <v>3.3</v>
      </c>
      <c r="G72" s="65"/>
      <c r="H72" s="76">
        <v>2.884540034691927</v>
      </c>
      <c r="I72" s="76">
        <v>4.189075062989712</v>
      </c>
      <c r="J72" s="66">
        <v>3.3</v>
      </c>
      <c r="K72" s="67"/>
      <c r="L72" s="194">
        <v>0.77900584795321637</v>
      </c>
      <c r="M72" s="194">
        <v>0.82191692466460264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2.192371331533558</v>
      </c>
      <c r="E75" s="76">
        <v>2.8003947928578476</v>
      </c>
      <c r="F75" s="66">
        <v>3.3</v>
      </c>
      <c r="G75" s="282"/>
      <c r="H75" s="76">
        <v>5.3037545361325495</v>
      </c>
      <c r="I75" s="76">
        <v>4.4533241310026561</v>
      </c>
      <c r="J75" s="66">
        <v>3.3</v>
      </c>
      <c r="K75" s="67"/>
      <c r="L75" s="194">
        <v>0.64058479532163748</v>
      </c>
      <c r="M75" s="194">
        <v>0.80904406538734908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5.3113025323384919</v>
      </c>
      <c r="E78" s="76">
        <v>6.031040889166297</v>
      </c>
      <c r="F78" s="341">
        <v>5.5</v>
      </c>
      <c r="H78" s="76">
        <v>5.3780224151184264</v>
      </c>
      <c r="I78" s="76">
        <v>6.4238761972066474</v>
      </c>
      <c r="J78" s="341">
        <v>5.5</v>
      </c>
      <c r="L78" s="194">
        <v>0.52504477861319965</v>
      </c>
      <c r="M78" s="194">
        <v>0.68812173918632735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369" priority="44" operator="notBetween">
      <formula>#REF!</formula>
      <formula>#REF!</formula>
    </cfRule>
  </conditionalFormatting>
  <conditionalFormatting sqref="C55">
    <cfRule type="cellIs" dxfId="368" priority="190" stopIfTrue="1" operator="greaterThan">
      <formula>100</formula>
    </cfRule>
    <cfRule type="cellIs" dxfId="367" priority="189" stopIfTrue="1" operator="lessThan">
      <formula>96</formula>
    </cfRule>
  </conditionalFormatting>
  <conditionalFormatting sqref="C69:C73">
    <cfRule type="cellIs" dxfId="366" priority="143" stopIfTrue="1" operator="lessThanOrEqual">
      <formula>0</formula>
    </cfRule>
  </conditionalFormatting>
  <conditionalFormatting sqref="C69:C77">
    <cfRule type="cellIs" dxfId="365" priority="142" stopIfTrue="1" operator="greaterThan">
      <formula>$F69</formula>
    </cfRule>
  </conditionalFormatting>
  <conditionalFormatting sqref="C70">
    <cfRule type="cellIs" dxfId="364" priority="193" stopIfTrue="1" operator="greaterThan">
      <formula>$F69</formula>
    </cfRule>
  </conditionalFormatting>
  <conditionalFormatting sqref="C74">
    <cfRule type="cellIs" dxfId="363" priority="83" stopIfTrue="1" operator="greaterThan">
      <formula>$F73</formula>
    </cfRule>
    <cfRule type="cellIs" dxfId="362" priority="82" stopIfTrue="1" operator="lessThanOrEqual">
      <formula>0</formula>
    </cfRule>
  </conditionalFormatting>
  <conditionalFormatting sqref="C80:C84">
    <cfRule type="cellIs" dxfId="361" priority="181" stopIfTrue="1" operator="lessThanOrEqual">
      <formula>0</formula>
    </cfRule>
  </conditionalFormatting>
  <conditionalFormatting sqref="C81:C84">
    <cfRule type="cellIs" dxfId="360" priority="180" stopIfTrue="1" operator="greaterThan">
      <formula>$F$80</formula>
    </cfRule>
  </conditionalFormatting>
  <conditionalFormatting sqref="C86">
    <cfRule type="cellIs" dxfId="359" priority="183" stopIfTrue="1" operator="lessThanOrEqual">
      <formula>0</formula>
    </cfRule>
    <cfRule type="cellIs" dxfId="358" priority="182" stopIfTrue="1" operator="greaterThan">
      <formula>$F$80</formula>
    </cfRule>
  </conditionalFormatting>
  <conditionalFormatting sqref="C80:D80 D82:D88">
    <cfRule type="cellIs" dxfId="357" priority="175" stopIfTrue="1" operator="greaterThan">
      <formula>4.5</formula>
    </cfRule>
  </conditionalFormatting>
  <conditionalFormatting sqref="D51:D52">
    <cfRule type="cellIs" dxfId="356" priority="45" operator="notBetween">
      <formula>#REF!</formula>
      <formula>#REF!</formula>
    </cfRule>
  </conditionalFormatting>
  <conditionalFormatting sqref="D69:D76">
    <cfRule type="cellIs" dxfId="355" priority="155" stopIfTrue="1" operator="lessThanOrEqual">
      <formula>0</formula>
    </cfRule>
  </conditionalFormatting>
  <conditionalFormatting sqref="D77">
    <cfRule type="cellIs" dxfId="354" priority="154" stopIfTrue="1" operator="lessThanOrEqual">
      <formula>0</formula>
    </cfRule>
  </conditionalFormatting>
  <conditionalFormatting sqref="D80 D82:D88">
    <cfRule type="cellIs" dxfId="353" priority="176" stopIfTrue="1" operator="lessThanOrEqual">
      <formula>0</formula>
    </cfRule>
  </conditionalFormatting>
  <conditionalFormatting sqref="D81">
    <cfRule type="cellIs" dxfId="352" priority="167" stopIfTrue="1" operator="greaterThan">
      <formula>$F$80</formula>
    </cfRule>
    <cfRule type="cellIs" dxfId="351" priority="168" stopIfTrue="1" operator="lessThanOrEqual">
      <formula>0</formula>
    </cfRule>
  </conditionalFormatting>
  <conditionalFormatting sqref="D69:E78">
    <cfRule type="cellIs" dxfId="350" priority="140" stopIfTrue="1" operator="greaterThan">
      <formula>$F69</formula>
    </cfRule>
  </conditionalFormatting>
  <conditionalFormatting sqref="D78:E78">
    <cfRule type="cellIs" dxfId="349" priority="141" stopIfTrue="1" operator="lessThanOrEqual">
      <formula>0</formula>
    </cfRule>
  </conditionalFormatting>
  <conditionalFormatting sqref="E10:E26">
    <cfRule type="cellIs" dxfId="348" priority="21" operator="lessThan">
      <formula>48</formula>
    </cfRule>
  </conditionalFormatting>
  <conditionalFormatting sqref="E54 E55:F55">
    <cfRule type="cellIs" dxfId="347" priority="172" stopIfTrue="1" operator="greaterThan">
      <formula>100</formula>
    </cfRule>
  </conditionalFormatting>
  <conditionalFormatting sqref="E55">
    <cfRule type="cellIs" dxfId="346" priority="170" stopIfTrue="1" operator="greaterThan">
      <formula>100</formula>
    </cfRule>
    <cfRule type="cellIs" dxfId="345" priority="169" stopIfTrue="1" operator="lessThan">
      <formula>96.8</formula>
    </cfRule>
  </conditionalFormatting>
  <conditionalFormatting sqref="E69:E77">
    <cfRule type="cellIs" dxfId="344" priority="151" stopIfTrue="1" operator="lessThanOrEqual">
      <formula>0</formula>
    </cfRule>
  </conditionalFormatting>
  <conditionalFormatting sqref="E80:E88">
    <cfRule type="cellIs" dxfId="343" priority="161" stopIfTrue="1" operator="greaterThan">
      <formula>4.5</formula>
    </cfRule>
    <cfRule type="cellIs" dxfId="342" priority="162" stopIfTrue="1" operator="lessThanOrEqual">
      <formula>0</formula>
    </cfRule>
  </conditionalFormatting>
  <conditionalFormatting sqref="E55:F55 E54">
    <cfRule type="cellIs" dxfId="341" priority="171" stopIfTrue="1" operator="lessThan">
      <formula>96.5</formula>
    </cfRule>
  </conditionalFormatting>
  <conditionalFormatting sqref="F10:F22 F26">
    <cfRule type="cellIs" dxfId="340" priority="22" operator="greaterThan">
      <formula>60</formula>
    </cfRule>
  </conditionalFormatting>
  <conditionalFormatting sqref="F55">
    <cfRule type="cellIs" dxfId="339" priority="188" stopIfTrue="1" operator="greaterThan">
      <formula>100</formula>
    </cfRule>
    <cfRule type="cellIs" dxfId="338" priority="187" stopIfTrue="1" operator="lessThan">
      <formula>96.8</formula>
    </cfRule>
  </conditionalFormatting>
  <conditionalFormatting sqref="F78">
    <cfRule type="cellIs" dxfId="337" priority="153" stopIfTrue="1" operator="lessThanOrEqual">
      <formula>0</formula>
    </cfRule>
    <cfRule type="cellIs" dxfId="336" priority="152" stopIfTrue="1" operator="greaterThan">
      <formula>$F78</formula>
    </cfRule>
  </conditionalFormatting>
  <conditionalFormatting sqref="G10:G14 G16 G23:G25">
    <cfRule type="expression" dxfId="335" priority="13">
      <formula>IF(+(IF(G10&lt;S10,0,IF(G10&gt;T10,0,1)))=0,1)</formula>
    </cfRule>
  </conditionalFormatting>
  <conditionalFormatting sqref="G69:G70 C75:C77">
    <cfRule type="cellIs" dxfId="334" priority="157" stopIfTrue="1" operator="lessThanOrEqual">
      <formula>0</formula>
    </cfRule>
  </conditionalFormatting>
  <conditionalFormatting sqref="G69:G70">
    <cfRule type="cellIs" dxfId="333" priority="144" stopIfTrue="1" operator="greaterThan">
      <formula>$F69</formula>
    </cfRule>
    <cfRule type="cellIs" dxfId="332" priority="156" stopIfTrue="1" operator="greaterThan">
      <formula>$F69</formula>
    </cfRule>
    <cfRule type="cellIs" dxfId="331" priority="145" stopIfTrue="1" operator="lessThanOrEqual">
      <formula>0</formula>
    </cfRule>
  </conditionalFormatting>
  <conditionalFormatting sqref="G71">
    <cfRule type="cellIs" dxfId="330" priority="191" stopIfTrue="1" operator="greaterThan">
      <formula>$F70</formula>
    </cfRule>
    <cfRule type="cellIs" dxfId="329" priority="192" stopIfTrue="1" operator="lessThanOrEqual">
      <formula>0</formula>
    </cfRule>
  </conditionalFormatting>
  <conditionalFormatting sqref="G72">
    <cfRule type="cellIs" dxfId="328" priority="40" stopIfTrue="1" operator="greaterThan">
      <formula>$F72</formula>
    </cfRule>
    <cfRule type="cellIs" dxfId="327" priority="41" stopIfTrue="1" operator="lessThanOrEqual">
      <formula>0</formula>
    </cfRule>
    <cfRule type="cellIs" dxfId="326" priority="42" stopIfTrue="1" operator="greaterThan">
      <formula>$F72</formula>
    </cfRule>
    <cfRule type="cellIs" dxfId="325" priority="43" stopIfTrue="1" operator="lessThanOrEqual">
      <formula>0</formula>
    </cfRule>
  </conditionalFormatting>
  <conditionalFormatting sqref="G73:G77">
    <cfRule type="cellIs" dxfId="324" priority="159" stopIfTrue="1" operator="lessThanOrEqual">
      <formula>0</formula>
    </cfRule>
    <cfRule type="cellIs" dxfId="323" priority="158" stopIfTrue="1" operator="greaterThan">
      <formula>$J73</formula>
    </cfRule>
  </conditionalFormatting>
  <conditionalFormatting sqref="G82:G87 C85 C87">
    <cfRule type="cellIs" dxfId="322" priority="185" stopIfTrue="1" operator="lessThanOrEqual">
      <formula>0</formula>
    </cfRule>
    <cfRule type="cellIs" dxfId="321" priority="184" stopIfTrue="1" operator="greaterThan">
      <formula>4.5</formula>
    </cfRule>
  </conditionalFormatting>
  <conditionalFormatting sqref="G81:H81">
    <cfRule type="cellIs" dxfId="320" priority="165" stopIfTrue="1" operator="greaterThan">
      <formula>$F$80</formula>
    </cfRule>
    <cfRule type="cellIs" dxfId="319" priority="166" stopIfTrue="1" operator="lessThanOrEqual">
      <formula>0</formula>
    </cfRule>
  </conditionalFormatting>
  <conditionalFormatting sqref="H23:H25">
    <cfRule type="expression" dxfId="318" priority="11">
      <formula>IF(+(IF(H23&lt;#REF!,0,IF(H23&gt;#REF!,0,1)))=0,1)</formula>
    </cfRule>
  </conditionalFormatting>
  <conditionalFormatting sqref="H40:H41 H54">
    <cfRule type="cellIs" dxfId="317" priority="163" stopIfTrue="1" operator="greaterThan">
      <formula>0</formula>
    </cfRule>
  </conditionalFormatting>
  <conditionalFormatting sqref="H58">
    <cfRule type="cellIs" dxfId="316" priority="37" stopIfTrue="1" operator="greaterThan">
      <formula>$F$74</formula>
    </cfRule>
    <cfRule type="cellIs" dxfId="315" priority="38" stopIfTrue="1" operator="lessThanOrEqual">
      <formula>0</formula>
    </cfRule>
    <cfRule type="cellIs" dxfId="314" priority="36" stopIfTrue="1" operator="lessThanOrEqual">
      <formula>0</formula>
    </cfRule>
    <cfRule type="cellIs" dxfId="313" priority="35" stopIfTrue="1" operator="greaterThan">
      <formula>$F$76</formula>
    </cfRule>
    <cfRule type="cellIs" dxfId="312" priority="27" stopIfTrue="1" operator="greaterThan">
      <formula>$F$73</formula>
    </cfRule>
    <cfRule type="cellIs" dxfId="311" priority="26" stopIfTrue="1" operator="lessThanOrEqual">
      <formula>0</formula>
    </cfRule>
  </conditionalFormatting>
  <conditionalFormatting sqref="H59">
    <cfRule type="cellIs" dxfId="310" priority="100" stopIfTrue="1" operator="greaterThan">
      <formula>#REF!</formula>
    </cfRule>
    <cfRule type="cellIs" dxfId="309" priority="108" stopIfTrue="1" operator="greaterThan">
      <formula>$F$27</formula>
    </cfRule>
    <cfRule type="cellIs" dxfId="308" priority="99" stopIfTrue="1" operator="lessThanOrEqual">
      <formula>0</formula>
    </cfRule>
    <cfRule type="cellIs" dxfId="307" priority="111" stopIfTrue="1" operator="lessThanOrEqual">
      <formula>0</formula>
    </cfRule>
    <cfRule type="cellIs" dxfId="306" priority="110" stopIfTrue="1" operator="greaterThan">
      <formula>#REF!</formula>
    </cfRule>
    <cfRule type="cellIs" dxfId="305" priority="109" stopIfTrue="1" operator="lessThanOrEqual">
      <formula>0</formula>
    </cfRule>
  </conditionalFormatting>
  <conditionalFormatting sqref="H60">
    <cfRule type="cellIs" dxfId="304" priority="78" stopIfTrue="1" operator="greaterThan">
      <formula>$F$73</formula>
    </cfRule>
    <cfRule type="cellIs" dxfId="303" priority="81" stopIfTrue="1" operator="lessThanOrEqual">
      <formula>0</formula>
    </cfRule>
    <cfRule type="cellIs" dxfId="302" priority="69" stopIfTrue="1" operator="lessThanOrEqual">
      <formula>0</formula>
    </cfRule>
    <cfRule type="cellIs" dxfId="301" priority="70" stopIfTrue="1" operator="greaterThan">
      <formula>$F$70</formula>
    </cfRule>
    <cfRule type="cellIs" dxfId="300" priority="80" stopIfTrue="1" operator="greaterThan">
      <formula>$F$71</formula>
    </cfRule>
    <cfRule type="cellIs" dxfId="299" priority="79" stopIfTrue="1" operator="lessThanOrEqual">
      <formula>0</formula>
    </cfRule>
  </conditionalFormatting>
  <conditionalFormatting sqref="H61:H62">
    <cfRule type="cellIs" dxfId="298" priority="85" stopIfTrue="1" operator="lessThanOrEqual">
      <formula>0</formula>
    </cfRule>
    <cfRule type="cellIs" dxfId="297" priority="86" stopIfTrue="1" operator="greaterThan">
      <formula>#REF!</formula>
    </cfRule>
    <cfRule type="cellIs" dxfId="296" priority="94" stopIfTrue="1" operator="greaterThan">
      <formula>$F$26</formula>
    </cfRule>
    <cfRule type="cellIs" dxfId="295" priority="95" stopIfTrue="1" operator="lessThanOrEqual">
      <formula>0</formula>
    </cfRule>
    <cfRule type="cellIs" dxfId="294" priority="96" stopIfTrue="1" operator="greaterThan">
      <formula>#REF!</formula>
    </cfRule>
    <cfRule type="cellIs" dxfId="293" priority="97" stopIfTrue="1" operator="lessThanOrEqual">
      <formula>0</formula>
    </cfRule>
  </conditionalFormatting>
  <conditionalFormatting sqref="H63">
    <cfRule type="cellIs" dxfId="292" priority="123" stopIfTrue="1" operator="greaterThan">
      <formula>$F$42</formula>
    </cfRule>
    <cfRule type="cellIs" dxfId="291" priority="125" stopIfTrue="1" operator="greaterThan">
      <formula>$F$40</formula>
    </cfRule>
    <cfRule type="cellIs" dxfId="290" priority="115" stopIfTrue="1" operator="greaterThan">
      <formula>$F$39</formula>
    </cfRule>
    <cfRule type="cellIs" dxfId="289" priority="114" stopIfTrue="1" operator="lessThanOrEqual">
      <formula>0</formula>
    </cfRule>
    <cfRule type="cellIs" dxfId="288" priority="126" stopIfTrue="1" operator="lessThanOrEqual">
      <formula>0</formula>
    </cfRule>
    <cfRule type="cellIs" dxfId="287" priority="124" stopIfTrue="1" operator="lessThanOrEqual">
      <formula>0</formula>
    </cfRule>
  </conditionalFormatting>
  <conditionalFormatting sqref="H64:H65">
    <cfRule type="cellIs" dxfId="286" priority="64" stopIfTrue="1" operator="greaterThan">
      <formula>$F$26</formula>
    </cfRule>
    <cfRule type="cellIs" dxfId="285" priority="56" stopIfTrue="1" operator="greaterThan">
      <formula>#REF!</formula>
    </cfRule>
    <cfRule type="cellIs" dxfId="284" priority="67" stopIfTrue="1" operator="lessThanOrEqual">
      <formula>0</formula>
    </cfRule>
    <cfRule type="cellIs" dxfId="283" priority="66" stopIfTrue="1" operator="greaterThan">
      <formula>#REF!</formula>
    </cfRule>
    <cfRule type="cellIs" dxfId="282" priority="55" stopIfTrue="1" operator="lessThanOrEqual">
      <formula>0</formula>
    </cfRule>
    <cfRule type="cellIs" dxfId="281" priority="65" stopIfTrue="1" operator="lessThanOrEqual">
      <formula>0</formula>
    </cfRule>
  </conditionalFormatting>
  <conditionalFormatting sqref="H69:H76">
    <cfRule type="cellIs" dxfId="280" priority="146" stopIfTrue="1" operator="greaterThan">
      <formula>$J69</formula>
    </cfRule>
    <cfRule type="cellIs" dxfId="279" priority="147" stopIfTrue="1" operator="lessThanOrEqual">
      <formula>0</formula>
    </cfRule>
  </conditionalFormatting>
  <conditionalFormatting sqref="H77">
    <cfRule type="cellIs" dxfId="278" priority="148" operator="greaterThan">
      <formula>5.3</formula>
    </cfRule>
  </conditionalFormatting>
  <conditionalFormatting sqref="H80 H82:H88">
    <cfRule type="cellIs" dxfId="277" priority="178" stopIfTrue="1" operator="lessThanOrEqual">
      <formula>0</formula>
    </cfRule>
    <cfRule type="cellIs" dxfId="276" priority="177" stopIfTrue="1" operator="greaterThan">
      <formula>4.5</formula>
    </cfRule>
  </conditionalFormatting>
  <conditionalFormatting sqref="H58:I58">
    <cfRule type="cellIs" dxfId="275" priority="28" stopIfTrue="1" operator="lessThanOrEqual">
      <formula>0</formula>
    </cfRule>
    <cfRule type="cellIs" dxfId="274" priority="25" stopIfTrue="1" operator="greaterThan">
      <formula>$F$75</formula>
    </cfRule>
  </conditionalFormatting>
  <conditionalFormatting sqref="H59:I59">
    <cfRule type="cellIs" dxfId="273" priority="101" stopIfTrue="1" operator="lessThanOrEqual">
      <formula>0</formula>
    </cfRule>
    <cfRule type="cellIs" dxfId="272" priority="98" stopIfTrue="1" operator="greaterThan">
      <formula>$F$26</formula>
    </cfRule>
  </conditionalFormatting>
  <conditionalFormatting sqref="H60:I60">
    <cfRule type="cellIs" dxfId="271" priority="71" stopIfTrue="1" operator="lessThanOrEqual">
      <formula>0</formula>
    </cfRule>
    <cfRule type="cellIs" dxfId="270" priority="68" stopIfTrue="1" operator="greaterThan">
      <formula>$F$72</formula>
    </cfRule>
  </conditionalFormatting>
  <conditionalFormatting sqref="H61:I62">
    <cfRule type="cellIs" dxfId="269" priority="84" stopIfTrue="1" operator="greaterThan">
      <formula>#REF!</formula>
    </cfRule>
    <cfRule type="cellIs" dxfId="268" priority="87" stopIfTrue="1" operator="lessThanOrEqual">
      <formula>0</formula>
    </cfRule>
  </conditionalFormatting>
  <conditionalFormatting sqref="H63:I63">
    <cfRule type="cellIs" dxfId="267" priority="113" stopIfTrue="1" operator="greaterThan">
      <formula>$F$41</formula>
    </cfRule>
    <cfRule type="cellIs" dxfId="266" priority="116" stopIfTrue="1" operator="lessThanOrEqual">
      <formula>0</formula>
    </cfRule>
  </conditionalFormatting>
  <conditionalFormatting sqref="H64:I65">
    <cfRule type="cellIs" dxfId="265" priority="57" stopIfTrue="1" operator="lessThanOrEqual">
      <formula>0</formula>
    </cfRule>
    <cfRule type="cellIs" dxfId="264" priority="54" stopIfTrue="1" operator="greaterThan">
      <formula>#REF!</formula>
    </cfRule>
  </conditionalFormatting>
  <conditionalFormatting sqref="H78:I78">
    <cfRule type="cellIs" dxfId="263" priority="138" stopIfTrue="1" operator="greaterThan">
      <formula>$J78</formula>
    </cfRule>
    <cfRule type="cellIs" dxfId="262" priority="139" stopIfTrue="1" operator="lessThanOrEqual">
      <formula>0</formula>
    </cfRule>
  </conditionalFormatting>
  <conditionalFormatting sqref="I58">
    <cfRule type="cellIs" dxfId="261" priority="29" stopIfTrue="1" operator="greaterThan">
      <formula>$F$73</formula>
    </cfRule>
    <cfRule type="cellIs" dxfId="260" priority="34" stopIfTrue="1" operator="lessThanOrEqual">
      <formula>0</formula>
    </cfRule>
    <cfRule type="cellIs" dxfId="259" priority="32" stopIfTrue="1" operator="lessThanOrEqual">
      <formula>0</formula>
    </cfRule>
    <cfRule type="cellIs" dxfId="258" priority="33" stopIfTrue="1" operator="greaterThan">
      <formula>$F$73</formula>
    </cfRule>
    <cfRule type="cellIs" dxfId="257" priority="31" stopIfTrue="1" operator="greaterThan">
      <formula>$F$75</formula>
    </cfRule>
    <cfRule type="cellIs" dxfId="256" priority="30" stopIfTrue="1" operator="lessThanOrEqual">
      <formula>0</formula>
    </cfRule>
  </conditionalFormatting>
  <conditionalFormatting sqref="I59">
    <cfRule type="cellIs" dxfId="255" priority="106" stopIfTrue="1" operator="greaterThan">
      <formula>#REF!</formula>
    </cfRule>
    <cfRule type="cellIs" dxfId="254" priority="103" stopIfTrue="1" operator="lessThanOrEqual">
      <formula>0</formula>
    </cfRule>
    <cfRule type="cellIs" dxfId="253" priority="104" stopIfTrue="1" operator="greaterThan">
      <formula>$F$26</formula>
    </cfRule>
    <cfRule type="cellIs" dxfId="252" priority="105" stopIfTrue="1" operator="lessThanOrEqual">
      <formula>0</formula>
    </cfRule>
    <cfRule type="cellIs" dxfId="251" priority="107" stopIfTrue="1" operator="lessThanOrEqual">
      <formula>0</formula>
    </cfRule>
    <cfRule type="cellIs" dxfId="250" priority="102" stopIfTrue="1" operator="greaterThan">
      <formula>#REF!</formula>
    </cfRule>
  </conditionalFormatting>
  <conditionalFormatting sqref="I60">
    <cfRule type="cellIs" dxfId="249" priority="74" stopIfTrue="1" operator="greaterThan">
      <formula>$F$72</formula>
    </cfRule>
    <cfRule type="cellIs" dxfId="248" priority="77" stopIfTrue="1" operator="lessThanOrEqual">
      <formula>0</formula>
    </cfRule>
    <cfRule type="cellIs" dxfId="247" priority="73" stopIfTrue="1" operator="lessThanOrEqual">
      <formula>0</formula>
    </cfRule>
    <cfRule type="cellIs" dxfId="246" priority="72" stopIfTrue="1" operator="greaterThan">
      <formula>$F$70</formula>
    </cfRule>
    <cfRule type="cellIs" dxfId="245" priority="75" stopIfTrue="1" operator="lessThanOrEqual">
      <formula>0</formula>
    </cfRule>
    <cfRule type="cellIs" dxfId="244" priority="76" stopIfTrue="1" operator="greaterThan">
      <formula>$F$70</formula>
    </cfRule>
  </conditionalFormatting>
  <conditionalFormatting sqref="I61:I62">
    <cfRule type="cellIs" dxfId="243" priority="89" stopIfTrue="1" operator="lessThanOrEqual">
      <formula>0</formula>
    </cfRule>
    <cfRule type="cellIs" dxfId="242" priority="93" stopIfTrue="1" operator="lessThanOrEqual">
      <formula>0</formula>
    </cfRule>
    <cfRule type="cellIs" dxfId="241" priority="92" stopIfTrue="1" operator="greaterThan">
      <formula>#REF!</formula>
    </cfRule>
    <cfRule type="cellIs" dxfId="240" priority="91" stopIfTrue="1" operator="lessThanOrEqual">
      <formula>0</formula>
    </cfRule>
    <cfRule type="cellIs" dxfId="239" priority="90" stopIfTrue="1" operator="greaterThan">
      <formula>#REF!</formula>
    </cfRule>
    <cfRule type="cellIs" dxfId="238" priority="88" stopIfTrue="1" operator="greaterThan">
      <formula>#REF!</formula>
    </cfRule>
  </conditionalFormatting>
  <conditionalFormatting sqref="I63">
    <cfRule type="cellIs" dxfId="237" priority="117" stopIfTrue="1" operator="greaterThan">
      <formula>$F$39</formula>
    </cfRule>
    <cfRule type="cellIs" dxfId="236" priority="118" stopIfTrue="1" operator="lessThanOrEqual">
      <formula>0</formula>
    </cfRule>
    <cfRule type="cellIs" dxfId="235" priority="119" stopIfTrue="1" operator="greaterThan">
      <formula>$F$41</formula>
    </cfRule>
    <cfRule type="cellIs" dxfId="234" priority="120" stopIfTrue="1" operator="lessThanOrEqual">
      <formula>0</formula>
    </cfRule>
    <cfRule type="cellIs" dxfId="233" priority="121" stopIfTrue="1" operator="greaterThan">
      <formula>$F$39</formula>
    </cfRule>
    <cfRule type="cellIs" dxfId="232" priority="122" stopIfTrue="1" operator="lessThanOrEqual">
      <formula>0</formula>
    </cfRule>
  </conditionalFormatting>
  <conditionalFormatting sqref="I64:I65">
    <cfRule type="cellIs" dxfId="231" priority="59" stopIfTrue="1" operator="lessThanOrEqual">
      <formula>0</formula>
    </cfRule>
    <cfRule type="cellIs" dxfId="230" priority="63" stopIfTrue="1" operator="lessThanOrEqual">
      <formula>0</formula>
    </cfRule>
    <cfRule type="cellIs" dxfId="229" priority="60" stopIfTrue="1" operator="greaterThan">
      <formula>#REF!</formula>
    </cfRule>
    <cfRule type="cellIs" dxfId="228" priority="62" stopIfTrue="1" operator="greaterThan">
      <formula>#REF!</formula>
    </cfRule>
    <cfRule type="cellIs" dxfId="227" priority="61" stopIfTrue="1" operator="lessThanOrEqual">
      <formula>0</formula>
    </cfRule>
    <cfRule type="cellIs" dxfId="226" priority="58" stopIfTrue="1" operator="greaterThan">
      <formula>#REF!</formula>
    </cfRule>
  </conditionalFormatting>
  <conditionalFormatting sqref="I69:I77">
    <cfRule type="cellIs" dxfId="225" priority="150" stopIfTrue="1" operator="lessThanOrEqual">
      <formula>0</formula>
    </cfRule>
    <cfRule type="cellIs" dxfId="224" priority="149" stopIfTrue="1" operator="greaterThan">
      <formula>$J69</formula>
    </cfRule>
  </conditionalFormatting>
  <conditionalFormatting sqref="I80:I88">
    <cfRule type="cellIs" dxfId="223" priority="174" stopIfTrue="1" operator="lessThanOrEqual">
      <formula>0</formula>
    </cfRule>
    <cfRule type="cellIs" dxfId="222" priority="173" stopIfTrue="1" operator="greaterThan">
      <formula>4.5</formula>
    </cfRule>
  </conditionalFormatting>
  <conditionalFormatting sqref="I10:J26">
    <cfRule type="cellIs" dxfId="221" priority="15" operator="lessThan">
      <formula>97.9</formula>
    </cfRule>
  </conditionalFormatting>
  <conditionalFormatting sqref="J30:J31">
    <cfRule type="cellIs" dxfId="220" priority="129" stopIfTrue="1" operator="greaterThan">
      <formula>100</formula>
    </cfRule>
    <cfRule type="cellIs" dxfId="219" priority="130" operator="lessThan">
      <formula>98</formula>
    </cfRule>
    <cfRule type="cellIs" dxfId="218" priority="128" stopIfTrue="1" operator="lessThan">
      <formula>96.8</formula>
    </cfRule>
  </conditionalFormatting>
  <conditionalFormatting sqref="J30:J33">
    <cfRule type="cellIs" dxfId="217" priority="127" operator="lessThan">
      <formula>97.4</formula>
    </cfRule>
  </conditionalFormatting>
  <conditionalFormatting sqref="J34:J35">
    <cfRule type="cellIs" dxfId="216" priority="131" operator="lessThan">
      <formula>98</formula>
    </cfRule>
  </conditionalFormatting>
  <conditionalFormatting sqref="J36:J37">
    <cfRule type="cellIs" dxfId="215" priority="132" stopIfTrue="1" operator="lessThan">
      <formula>96.8</formula>
    </cfRule>
    <cfRule type="cellIs" dxfId="214" priority="133" stopIfTrue="1" operator="greaterThan">
      <formula>100</formula>
    </cfRule>
  </conditionalFormatting>
  <conditionalFormatting sqref="J36:J38">
    <cfRule type="cellIs" dxfId="213" priority="134" operator="lessThan">
      <formula>98</formula>
    </cfRule>
  </conditionalFormatting>
  <conditionalFormatting sqref="J65">
    <cfRule type="cellIs" dxfId="212" priority="46" stopIfTrue="1" operator="greaterThan">
      <formula>#REF!</formula>
    </cfRule>
    <cfRule type="cellIs" dxfId="211" priority="47" stopIfTrue="1" operator="lessThanOrEqual">
      <formula>0</formula>
    </cfRule>
    <cfRule type="cellIs" dxfId="210" priority="53" stopIfTrue="1" operator="lessThanOrEqual">
      <formula>0</formula>
    </cfRule>
    <cfRule type="cellIs" dxfId="209" priority="52" stopIfTrue="1" operator="greaterThan">
      <formula>#REF!</formula>
    </cfRule>
    <cfRule type="cellIs" dxfId="208" priority="51" stopIfTrue="1" operator="lessThanOrEqual">
      <formula>0</formula>
    </cfRule>
    <cfRule type="cellIs" dxfId="207" priority="50" stopIfTrue="1" operator="greaterThan">
      <formula>#REF!</formula>
    </cfRule>
    <cfRule type="cellIs" dxfId="206" priority="49" stopIfTrue="1" operator="lessThanOrEqual">
      <formula>0</formula>
    </cfRule>
    <cfRule type="cellIs" dxfId="205" priority="48" stopIfTrue="1" operator="greaterThan">
      <formula>#REF!</formula>
    </cfRule>
  </conditionalFormatting>
  <conditionalFormatting sqref="J78">
    <cfRule type="cellIs" dxfId="204" priority="136" stopIfTrue="1" operator="lessThanOrEqual">
      <formula>0</formula>
    </cfRule>
    <cfRule type="cellIs" dxfId="203" priority="135" stopIfTrue="1" operator="greaterThan">
      <formula>$F78</formula>
    </cfRule>
  </conditionalFormatting>
  <conditionalFormatting sqref="K10:K26">
    <cfRule type="cellIs" dxfId="202" priority="18" operator="greaterThan">
      <formula>6.4</formula>
    </cfRule>
    <cfRule type="cellIs" dxfId="201" priority="17" operator="lessThan">
      <formula>4</formula>
    </cfRule>
    <cfRule type="cellIs" dxfId="200" priority="16" operator="greaterThan">
      <formula>6</formula>
    </cfRule>
  </conditionalFormatting>
  <conditionalFormatting sqref="K58:K65 K69:N75 K76 M76:N76 K77:N77">
    <cfRule type="cellIs" dxfId="199" priority="112" stopIfTrue="1" operator="lessThan">
      <formula>100%</formula>
    </cfRule>
  </conditionalFormatting>
  <conditionalFormatting sqref="K80:K85">
    <cfRule type="cellIs" dxfId="198" priority="179" stopIfTrue="1" operator="lessThan">
      <formula>100%</formula>
    </cfRule>
  </conditionalFormatting>
  <conditionalFormatting sqref="K87:K88">
    <cfRule type="cellIs" dxfId="197" priority="186" stopIfTrue="1" operator="lessThan">
      <formula>100%</formula>
    </cfRule>
  </conditionalFormatting>
  <conditionalFormatting sqref="L10:L16 L23:L26">
    <cfRule type="cellIs" dxfId="196" priority="20" operator="greaterThan">
      <formula>65</formula>
    </cfRule>
    <cfRule type="cellIs" dxfId="195" priority="19" operator="between">
      <formula>61</formula>
      <formula>65</formula>
    </cfRule>
  </conditionalFormatting>
  <conditionalFormatting sqref="L17:M22">
    <cfRule type="cellIs" dxfId="194" priority="8" operator="between">
      <formula>61</formula>
      <formula>65</formula>
    </cfRule>
    <cfRule type="cellIs" dxfId="193" priority="7" operator="greaterThan">
      <formula>65</formula>
    </cfRule>
  </conditionalFormatting>
  <conditionalFormatting sqref="L29:M40">
    <cfRule type="cellIs" dxfId="192" priority="23" operator="lessThan">
      <formula>97.95</formula>
    </cfRule>
  </conditionalFormatting>
  <conditionalFormatting sqref="L44:N44">
    <cfRule type="cellIs" dxfId="191" priority="24" operator="notEqual">
      <formula>#REF!</formula>
    </cfRule>
  </conditionalFormatting>
  <conditionalFormatting sqref="L78:N78">
    <cfRule type="cellIs" dxfId="190" priority="137" stopIfTrue="1" operator="lessThan">
      <formula>100%</formula>
    </cfRule>
  </conditionalFormatting>
  <conditionalFormatting sqref="L80:N88">
    <cfRule type="cellIs" dxfId="189" priority="164" stopIfTrue="1" operator="lessThan">
      <formula>100%</formula>
    </cfRule>
  </conditionalFormatting>
  <conditionalFormatting sqref="M10:M16 M23:M25">
    <cfRule type="expression" dxfId="188" priority="12">
      <formula>IF(+(IF(M10&lt;U10,0,IF(M10&gt;V10,0,1)))=0,1)</formula>
    </cfRule>
  </conditionalFormatting>
  <conditionalFormatting sqref="M17:M22 G17:G22 G26:H26">
    <cfRule type="expression" dxfId="187" priority="39">
      <formula>IF(+(IF(G17&lt;#REF!,0,IF(G17&gt;#REF!,0,1)))=0,1)</formula>
    </cfRule>
  </conditionalFormatting>
  <conditionalFormatting sqref="M26:N26">
    <cfRule type="expression" dxfId="186" priority="194">
      <formula>IF(+(IF(M26&lt;#REF!,0,IF(M26&gt;#REF!,0,1)))=0,1)</formula>
    </cfRule>
  </conditionalFormatting>
  <conditionalFormatting sqref="N10:N25">
    <cfRule type="expression" dxfId="185" priority="14">
      <formula>IF(+(IF(N10&lt;W10,0,IF(N10&gt;X10,0,1)))=0,1)</formula>
    </cfRule>
  </conditionalFormatting>
  <conditionalFormatting sqref="P6">
    <cfRule type="cellIs" dxfId="184" priority="160" operator="greaterThanOrEqual">
      <formula>19</formula>
    </cfRule>
  </conditionalFormatting>
  <dataValidations count="1">
    <dataValidation type="list" allowBlank="1" showInputMessage="1" showErrorMessage="1" sqref="R8" xr:uid="{6B4C65AD-21E8-479A-A895-ACDA56F69FB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24FF-5403-4C2A-A8A0-D01B85C1A9F7}">
  <sheetPr>
    <pageSetUpPr fitToPage="1"/>
  </sheetPr>
  <dimension ref="A1:BE70"/>
  <sheetViews>
    <sheetView topLeftCell="A36" zoomScale="90" zoomScaleNormal="90" workbookViewId="0">
      <selection activeCell="M21" sqref="M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70"/>
      <c r="S1" s="590" t="s">
        <v>0</v>
      </c>
      <c r="T1" s="590"/>
      <c r="U1" s="590" t="s">
        <v>1</v>
      </c>
      <c r="V1" s="590"/>
      <c r="W1" s="590" t="s">
        <v>2</v>
      </c>
      <c r="X1" s="590"/>
      <c r="Y1" s="590" t="s">
        <v>124</v>
      </c>
      <c r="Z1" s="590"/>
    </row>
    <row r="2" spans="2:29" ht="15">
      <c r="B2" s="505" t="s">
        <v>3</v>
      </c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4"/>
      <c r="R2" s="470"/>
      <c r="S2" s="470" t="s">
        <v>4</v>
      </c>
      <c r="T2" s="470" t="s">
        <v>5</v>
      </c>
      <c r="U2" s="470" t="s">
        <v>4</v>
      </c>
      <c r="V2" s="470" t="s">
        <v>5</v>
      </c>
      <c r="W2" s="470" t="s">
        <v>4</v>
      </c>
      <c r="X2" s="470" t="s">
        <v>5</v>
      </c>
      <c r="Y2" s="470" t="s">
        <v>4</v>
      </c>
      <c r="Z2" s="470" t="s">
        <v>5</v>
      </c>
    </row>
    <row r="3" spans="2:29" ht="14.25" customHeight="1">
      <c r="B3" s="5"/>
      <c r="R3" s="470" t="s">
        <v>6</v>
      </c>
      <c r="S3" s="471">
        <v>11.6</v>
      </c>
      <c r="T3" s="472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3">
        <v>0</v>
      </c>
      <c r="Z3" s="471">
        <v>60</v>
      </c>
      <c r="AB3" s="275" t="s">
        <v>135</v>
      </c>
    </row>
    <row r="4" spans="2:29" ht="30.75" customHeight="1">
      <c r="B4" s="301" t="s">
        <v>133</v>
      </c>
      <c r="C4" s="419">
        <v>46024</v>
      </c>
      <c r="J4" s="398" t="s">
        <v>168</v>
      </c>
      <c r="K4" s="398"/>
      <c r="L4" s="11"/>
      <c r="M4" s="502" t="s">
        <v>8</v>
      </c>
      <c r="N4" s="503"/>
      <c r="P4" s="12"/>
      <c r="R4" s="470" t="s">
        <v>9</v>
      </c>
      <c r="S4" s="471">
        <v>11.6</v>
      </c>
      <c r="T4" s="472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3">
        <v>0</v>
      </c>
      <c r="Z4" s="471">
        <v>60</v>
      </c>
      <c r="AA4" s="13"/>
      <c r="AB4" s="13"/>
      <c r="AC4" s="13"/>
    </row>
    <row r="5" spans="2:29" ht="12.75" customHeight="1" thickBot="1">
      <c r="B5" s="1"/>
      <c r="C5" s="499"/>
      <c r="D5" s="499"/>
      <c r="J5" s="403"/>
      <c r="K5" s="403"/>
      <c r="L5" s="11"/>
      <c r="M5" s="14" t="s">
        <v>10</v>
      </c>
      <c r="N5" s="14" t="s">
        <v>11</v>
      </c>
      <c r="P5" s="12"/>
      <c r="R5" s="470" t="s">
        <v>12</v>
      </c>
      <c r="S5" s="471">
        <v>17</v>
      </c>
      <c r="T5" s="472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3">
        <v>0</v>
      </c>
      <c r="Z5" s="4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70" t="s">
        <v>15</v>
      </c>
      <c r="S6" s="471">
        <v>13.3</v>
      </c>
      <c r="T6" s="472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3">
        <v>0</v>
      </c>
      <c r="Z6" s="474"/>
      <c r="AA6" s="13"/>
      <c r="AB6" s="13"/>
      <c r="AC6" s="13"/>
    </row>
    <row r="7" spans="2:29" ht="13.35" customHeight="1" thickBot="1">
      <c r="J7" s="401"/>
      <c r="K7" s="402"/>
      <c r="R7" s="470" t="s">
        <v>16</v>
      </c>
      <c r="S7" s="471">
        <v>17</v>
      </c>
      <c r="T7" s="472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3">
        <v>0</v>
      </c>
      <c r="Z7" s="474">
        <v>85</v>
      </c>
      <c r="AA7" s="13"/>
      <c r="AB7" s="13"/>
      <c r="AC7" s="13"/>
    </row>
    <row r="8" spans="2:29" ht="25.5" customHeight="1">
      <c r="B8" s="512" t="s">
        <v>17</v>
      </c>
      <c r="C8" s="514" t="s">
        <v>18</v>
      </c>
      <c r="D8" s="514" t="s">
        <v>19</v>
      </c>
      <c r="E8" s="356" t="s">
        <v>20</v>
      </c>
      <c r="F8" s="356" t="s">
        <v>21</v>
      </c>
      <c r="G8" s="514" t="s">
        <v>22</v>
      </c>
      <c r="H8" s="516" t="s">
        <v>144</v>
      </c>
      <c r="I8" s="514" t="s">
        <v>165</v>
      </c>
      <c r="J8" s="518" t="s">
        <v>23</v>
      </c>
      <c r="K8" s="520" t="s">
        <v>142</v>
      </c>
      <c r="L8" s="522" t="s">
        <v>24</v>
      </c>
      <c r="M8" s="359" t="s">
        <v>25</v>
      </c>
      <c r="N8" s="17" t="s">
        <v>26</v>
      </c>
      <c r="O8" s="574" t="s">
        <v>155</v>
      </c>
      <c r="P8" s="591"/>
      <c r="R8" s="470" t="s">
        <v>125</v>
      </c>
      <c r="S8" s="471">
        <v>16.600000000000001</v>
      </c>
      <c r="T8" s="472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3">
        <v>0</v>
      </c>
      <c r="Z8" s="474"/>
    </row>
    <row r="9" spans="2:29" ht="36.6" customHeight="1">
      <c r="B9" s="513"/>
      <c r="C9" s="515"/>
      <c r="D9" s="515"/>
      <c r="E9" s="357" t="s">
        <v>30</v>
      </c>
      <c r="F9" s="357" t="s">
        <v>31</v>
      </c>
      <c r="G9" s="515"/>
      <c r="H9" s="517"/>
      <c r="I9" s="515"/>
      <c r="J9" s="519"/>
      <c r="K9" s="521"/>
      <c r="L9" s="523"/>
      <c r="M9" s="20" t="s">
        <v>32</v>
      </c>
      <c r="N9" s="21" t="s">
        <v>41</v>
      </c>
      <c r="O9" s="592"/>
      <c r="P9" s="515"/>
      <c r="R9" s="470" t="s">
        <v>33</v>
      </c>
      <c r="S9" s="471">
        <v>14.2</v>
      </c>
      <c r="T9" s="472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3">
        <v>0</v>
      </c>
      <c r="Z9" s="474">
        <v>75</v>
      </c>
    </row>
    <row r="10" spans="2:29" ht="16.5" customHeight="1">
      <c r="B10" s="33" t="s">
        <v>9</v>
      </c>
      <c r="C10" s="366" t="str">
        <f>[24]Brewhouse!$A528</f>
        <v>ST503</v>
      </c>
      <c r="D10" s="279">
        <f>[24]Brewhouse!$AD528</f>
        <v>51.7</v>
      </c>
      <c r="E10" s="279">
        <f>[24]Brewhouse!$AG528</f>
        <v>49.8</v>
      </c>
      <c r="F10" s="278">
        <f>[24]Brewhouse!$V528</f>
        <v>60</v>
      </c>
      <c r="G10" s="279">
        <f>[24]Brewhouse!$AE528</f>
        <v>11.8</v>
      </c>
      <c r="H10" s="396">
        <v>11.8</v>
      </c>
      <c r="I10" s="488">
        <f>[24]Brewhouse!$AS528</f>
        <v>98.103230583960681</v>
      </c>
      <c r="J10" s="488">
        <f>[24]Brewhouse!$AT528</f>
        <v>98.738405790534827</v>
      </c>
      <c r="K10" s="281">
        <f>[24]Brewhouse!$Q528</f>
        <v>2.2552783109404935</v>
      </c>
      <c r="L10" s="276">
        <f>[24]Brewhouse!$P528</f>
        <v>60</v>
      </c>
      <c r="M10" s="374">
        <f>[24]Brewhouse!$U528-[24]Brewhouse!$T528</f>
        <v>0.11527777777777776</v>
      </c>
      <c r="N10" s="370">
        <f>[24]Brewhouse!$AW528</f>
        <v>0.2583333333333333</v>
      </c>
      <c r="O10" s="420" t="str">
        <f>[24]Brewhouse!$AV528</f>
        <v>R. Regis</v>
      </c>
      <c r="P10" s="418"/>
      <c r="R10" s="277" t="str">
        <f t="shared" ref="R10:R32" si="0">B10</f>
        <v>STAG</v>
      </c>
      <c r="S10" s="475">
        <f t="shared" ref="S10:S32" si="1">VLOOKUP($B10,$R$3:$X$9,2,FALSE)</f>
        <v>11.6</v>
      </c>
      <c r="T10" s="475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5">
        <f t="shared" ref="Z10:Z32" si="8">VLOOKUP($B10,$R$3:$Z$9,9,FALSE)</f>
        <v>60</v>
      </c>
    </row>
    <row r="11" spans="2:29" ht="16.5" customHeight="1">
      <c r="B11" s="33" t="s">
        <v>9</v>
      </c>
      <c r="C11" s="366" t="str">
        <f>[24]Brewhouse!$A529</f>
        <v>ST504</v>
      </c>
      <c r="D11" s="279">
        <f>[24]Brewhouse!$AD529</f>
        <v>52.2</v>
      </c>
      <c r="E11" s="279">
        <f>[24]Brewhouse!$AG529</f>
        <v>50.8</v>
      </c>
      <c r="F11" s="278">
        <f>[24]Brewhouse!$V529</f>
        <v>62</v>
      </c>
      <c r="G11" s="279">
        <f>[24]Brewhouse!$AE529</f>
        <v>11.8</v>
      </c>
      <c r="H11" s="396">
        <v>11.8</v>
      </c>
      <c r="I11" s="488">
        <f>[24]Brewhouse!$AS529</f>
        <v>100.44904539532449</v>
      </c>
      <c r="J11" s="488">
        <f>[24]Brewhouse!$AT529</f>
        <v>101.09877292959364</v>
      </c>
      <c r="K11" s="281">
        <f>[24]Brewhouse!$Q529</f>
        <v>5.326295585412665</v>
      </c>
      <c r="L11" s="276">
        <f>[24]Brewhouse!$P529</f>
        <v>58</v>
      </c>
      <c r="M11" s="374">
        <f>[24]Brewhouse!$U529-[24]Brewhouse!$T529</f>
        <v>0.12361111111111112</v>
      </c>
      <c r="N11" s="370">
        <f>[24]Brewhouse!$AW529</f>
        <v>0.2680555555555556</v>
      </c>
      <c r="O11" s="420" t="str">
        <f>[24]Brewhouse!$AV529</f>
        <v>R.Sookram</v>
      </c>
      <c r="P11" s="418"/>
      <c r="R11" s="277" t="str">
        <f t="shared" si="0"/>
        <v>STAG</v>
      </c>
      <c r="S11" s="475">
        <f t="shared" si="1"/>
        <v>11.6</v>
      </c>
      <c r="T11" s="475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5">
        <f t="shared" si="8"/>
        <v>60</v>
      </c>
    </row>
    <row r="12" spans="2:29" ht="16.5" customHeight="1">
      <c r="B12" s="33" t="s">
        <v>9</v>
      </c>
      <c r="C12" s="366" t="str">
        <f>[24]Brewhouse!$A530</f>
        <v>ST505</v>
      </c>
      <c r="D12" s="279">
        <f>[24]Brewhouse!$AD530</f>
        <v>51.5</v>
      </c>
      <c r="E12" s="279">
        <f>[24]Brewhouse!$AG530</f>
        <v>49.16</v>
      </c>
      <c r="F12" s="278">
        <f>[24]Brewhouse!$V530</f>
        <v>62</v>
      </c>
      <c r="G12" s="279">
        <f>[24]Brewhouse!$AE530</f>
        <v>11.6</v>
      </c>
      <c r="H12" s="396">
        <v>11.6</v>
      </c>
      <c r="I12" s="488">
        <f>[24]Brewhouse!$AS530</f>
        <v>95.833135510284677</v>
      </c>
      <c r="J12" s="488">
        <f>[24]Brewhouse!$AT530</f>
        <v>96.452395137868052</v>
      </c>
      <c r="K12" s="281">
        <f>[24]Brewhouse!$Q530</f>
        <v>2.6391554702495204</v>
      </c>
      <c r="L12" s="276">
        <f>[24]Brewhouse!$P530</f>
        <v>58</v>
      </c>
      <c r="M12" s="374">
        <f>[24]Brewhouse!$U530-[24]Brewhouse!$T530</f>
        <v>0.11319444444444449</v>
      </c>
      <c r="N12" s="370">
        <f>[24]Brewhouse!$AW530</f>
        <v>0.25486111111111115</v>
      </c>
      <c r="O12" s="420" t="str">
        <f>[24]Brewhouse!$AV530</f>
        <v>R.Sookram</v>
      </c>
      <c r="P12" s="418"/>
      <c r="R12" s="277" t="str">
        <f t="shared" si="0"/>
        <v>STAG</v>
      </c>
      <c r="S12" s="475">
        <f t="shared" si="1"/>
        <v>11.6</v>
      </c>
      <c r="T12" s="475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5">
        <f t="shared" si="8"/>
        <v>60</v>
      </c>
    </row>
    <row r="13" spans="2:29" ht="16.5" customHeight="1">
      <c r="B13" s="33" t="s">
        <v>9</v>
      </c>
      <c r="C13" s="366" t="str">
        <f>[24]Brewhouse!$A531</f>
        <v>ST506</v>
      </c>
      <c r="D13" s="279">
        <f>[24]Brewhouse!$AD531</f>
        <v>52.5</v>
      </c>
      <c r="E13" s="279">
        <f>[24]Brewhouse!$AG531</f>
        <v>50.6</v>
      </c>
      <c r="F13" s="278">
        <f>[24]Brewhouse!$V531</f>
        <v>64</v>
      </c>
      <c r="G13" s="279">
        <f>[24]Brewhouse!$AE531</f>
        <v>11.7</v>
      </c>
      <c r="H13" s="396">
        <v>11.7</v>
      </c>
      <c r="I13" s="488">
        <f>[24]Brewhouse!$AS531</f>
        <v>99.410610314879818</v>
      </c>
      <c r="J13" s="488">
        <f>[24]Brewhouse!$AT531</f>
        <v>100.05319890596252</v>
      </c>
      <c r="K13" s="281">
        <f>[24]Brewhouse!$Q531</f>
        <v>3.0230326295585468</v>
      </c>
      <c r="L13" s="276">
        <f>[24]Brewhouse!$P531</f>
        <v>59</v>
      </c>
      <c r="M13" s="374">
        <f>[24]Brewhouse!$U531-[24]Brewhouse!$T531</f>
        <v>0.12013888888888891</v>
      </c>
      <c r="N13" s="370">
        <f>[24]Brewhouse!$AW531</f>
        <v>0.27083333333333337</v>
      </c>
      <c r="O13" s="420" t="str">
        <f>[24]Brewhouse!$AV531</f>
        <v>R.Sookram</v>
      </c>
      <c r="P13" s="418"/>
      <c r="R13" s="277" t="str">
        <f t="shared" si="0"/>
        <v>STAG</v>
      </c>
      <c r="S13" s="475">
        <f t="shared" si="1"/>
        <v>11.6</v>
      </c>
      <c r="T13" s="475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5">
        <f t="shared" si="8"/>
        <v>60</v>
      </c>
    </row>
    <row r="14" spans="2:29" ht="16.5" customHeight="1">
      <c r="B14" s="33"/>
      <c r="C14" s="366"/>
      <c r="D14" s="279"/>
      <c r="E14" s="279"/>
      <c r="F14" s="278"/>
      <c r="G14" s="279"/>
      <c r="H14" s="396"/>
      <c r="I14" s="488"/>
      <c r="J14" s="488"/>
      <c r="K14" s="281"/>
      <c r="L14" s="276"/>
      <c r="M14" s="374"/>
      <c r="N14" s="370"/>
      <c r="O14" s="420"/>
      <c r="P14" s="418"/>
      <c r="R14" s="277">
        <f t="shared" ref="R14:R21" si="9">B14</f>
        <v>0</v>
      </c>
      <c r="S14" s="475" t="e">
        <f t="shared" si="1"/>
        <v>#N/A</v>
      </c>
      <c r="T14" s="475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5" t="e">
        <f t="shared" si="8"/>
        <v>#N/A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488"/>
      <c r="J15" s="488"/>
      <c r="K15" s="281"/>
      <c r="L15" s="276"/>
      <c r="M15" s="374"/>
      <c r="N15" s="370"/>
      <c r="O15" s="420"/>
      <c r="P15" s="418"/>
      <c r="R15" s="277">
        <f t="shared" si="9"/>
        <v>0</v>
      </c>
      <c r="S15" s="475" t="e">
        <f t="shared" si="1"/>
        <v>#N/A</v>
      </c>
      <c r="T15" s="475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5" t="e">
        <f t="shared" si="8"/>
        <v>#N/A</v>
      </c>
    </row>
    <row r="16" spans="2:29" ht="16.5" hidden="1" customHeight="1">
      <c r="B16" s="33"/>
      <c r="C16" s="366"/>
      <c r="D16" s="279"/>
      <c r="E16" s="279"/>
      <c r="F16" s="278"/>
      <c r="G16" s="279"/>
      <c r="H16" s="396"/>
      <c r="I16" s="488"/>
      <c r="J16" s="488"/>
      <c r="K16" s="281"/>
      <c r="L16" s="276"/>
      <c r="M16" s="374"/>
      <c r="N16" s="370"/>
      <c r="O16" s="420"/>
      <c r="P16" s="418"/>
      <c r="R16" s="277">
        <f t="shared" si="9"/>
        <v>0</v>
      </c>
      <c r="S16" s="475" t="e">
        <f t="shared" si="1"/>
        <v>#N/A</v>
      </c>
      <c r="T16" s="475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5" t="e">
        <f t="shared" si="8"/>
        <v>#N/A</v>
      </c>
    </row>
    <row r="17" spans="1:27" ht="16.5" hidden="1" customHeight="1">
      <c r="B17" s="33"/>
      <c r="C17" s="366"/>
      <c r="D17" s="279"/>
      <c r="E17" s="279"/>
      <c r="F17" s="278"/>
      <c r="G17" s="279"/>
      <c r="H17" s="396"/>
      <c r="I17" s="488"/>
      <c r="J17" s="488"/>
      <c r="K17" s="281"/>
      <c r="L17" s="276"/>
      <c r="M17" s="374"/>
      <c r="N17" s="370"/>
      <c r="O17" s="420"/>
      <c r="P17" s="418"/>
      <c r="R17" s="277">
        <f t="shared" si="9"/>
        <v>0</v>
      </c>
      <c r="S17" s="475" t="e">
        <f t="shared" si="1"/>
        <v>#N/A</v>
      </c>
      <c r="T17" s="475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5" t="e">
        <f t="shared" si="8"/>
        <v>#N/A</v>
      </c>
    </row>
    <row r="18" spans="1:27" ht="16.5" hidden="1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475" t="e">
        <f t="shared" si="1"/>
        <v>#N/A</v>
      </c>
      <c r="T18" s="475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5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28"/>
      <c r="J19" s="528"/>
      <c r="K19" s="528"/>
      <c r="L19" s="528"/>
      <c r="M19" s="528"/>
      <c r="N19" s="528"/>
      <c r="O19" s="1"/>
      <c r="P19" s="12"/>
      <c r="R19" s="277">
        <f t="shared" si="9"/>
        <v>0</v>
      </c>
      <c r="S19" s="475" t="e">
        <f t="shared" si="1"/>
        <v>#N/A</v>
      </c>
      <c r="T19" s="475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5" t="e">
        <f t="shared" si="8"/>
        <v>#N/A</v>
      </c>
    </row>
    <row r="20" spans="1:27" ht="15.75" customHeight="1" thickBot="1">
      <c r="B20" s="388" t="s">
        <v>162</v>
      </c>
      <c r="C20" s="388"/>
      <c r="D20" s="506" t="s">
        <v>35</v>
      </c>
      <c r="E20" s="50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5" t="e">
        <f t="shared" si="1"/>
        <v>#N/A</v>
      </c>
      <c r="T20" s="475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5" t="e">
        <f t="shared" si="8"/>
        <v>#N/A</v>
      </c>
    </row>
    <row r="21" spans="1:27" ht="15" customHeight="1">
      <c r="A21" s="28"/>
      <c r="B21" s="587" t="str">
        <f>I21</f>
        <v>CARIB</v>
      </c>
      <c r="C21" s="362" cm="1">
        <f t="array" ref="C21:C23">[23]Process!$D$1007:$D$1009</f>
        <v>11.6</v>
      </c>
      <c r="D21" s="532">
        <v>11.81</v>
      </c>
      <c r="E21" s="533"/>
      <c r="F21" s="294"/>
      <c r="G21" s="294"/>
      <c r="H21" s="348"/>
      <c r="I21" s="29" t="s">
        <v>6</v>
      </c>
      <c r="J21" s="280"/>
      <c r="K21" s="284">
        <f>COUNTA([23]Brewhouse!$A$1005:$A$1041)</f>
        <v>37</v>
      </c>
      <c r="L21" s="305">
        <f>AVERAGE([23]Brewhouse!$AU$1005:$AU$1041)</f>
        <v>98.807701258581233</v>
      </c>
      <c r="M21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,[23]Brewhouse!$AU$655:$AU$738,[23]Brewhouse!$A$740:$A$821,[23]Brewhouse!$AU$823:$AU$862,[24]Brewhouse!$AS$420:$AS$423,[23]Brewhouse!$AU$867:$AU$912,[23]Brewhouse!$AU$914:$AU$1003,[23]Brewhouse!$AU$1005:$AU$1041)</f>
        <v>97.798064687525041</v>
      </c>
      <c r="N21" s="30">
        <v>98</v>
      </c>
      <c r="O21" s="11"/>
      <c r="P21" s="31"/>
      <c r="R21" s="277" t="str">
        <f t="shared" si="9"/>
        <v>CARIB</v>
      </c>
      <c r="S21" s="475">
        <f t="shared" si="1"/>
        <v>11.6</v>
      </c>
      <c r="T21" s="475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5">
        <f t="shared" si="8"/>
        <v>60</v>
      </c>
    </row>
    <row r="22" spans="1:27" ht="15" customHeight="1">
      <c r="A22" s="28"/>
      <c r="B22" s="588"/>
      <c r="C22" s="362">
        <v>12</v>
      </c>
      <c r="D22" s="534"/>
      <c r="E22" s="535"/>
      <c r="F22" s="294"/>
      <c r="G22" s="294"/>
      <c r="H22" s="348"/>
      <c r="I22" s="33" t="s">
        <v>9</v>
      </c>
      <c r="J22" s="280">
        <f>AVERAGE(I10:I13)</f>
        <v>98.449005451112413</v>
      </c>
      <c r="K22" s="284">
        <f>COUNTA([24]Brewhouse!$A$486:$A$531)</f>
        <v>46</v>
      </c>
      <c r="L22" s="302">
        <f>AVERAGE([24]Brewhouse!$AS$486:$AS$531)</f>
        <v>97.098158462404967</v>
      </c>
      <c r="M22" s="302">
        <f>AVERAGE([24]Brewhouse!$AS$15:$AS$64,[24]Brewhouse!$AS$66:$AS$103,[24]Brewhouse!$AS$105:$AS$140,[24]Brewhouse!$AS$142:$AS$193,[24]Brewhouse!$AS$195:$AS$240,[24]Brewhouse!$AS$242:$AS$273,[24]Brewhouse!$AS$275:$AS$322,[24]Brewhouse!$AS$324:$AS$359,[24]Brewhouse!$AS$361:$AS$397,[24]Brewhouse!$AS$399:$AS$419,[24]Brewhouse!$AS$424:$AS$447,[24]Brewhouse!$AS$449:$AS$484,[24]Brewhouse!$AS$486:$AS$531)</f>
        <v>97.779254534634745</v>
      </c>
      <c r="N22" s="30">
        <v>98</v>
      </c>
      <c r="O22" s="11"/>
      <c r="P22" s="31"/>
      <c r="R22" s="277">
        <f t="shared" si="0"/>
        <v>0</v>
      </c>
      <c r="S22" s="475" t="e">
        <f t="shared" si="1"/>
        <v>#N/A</v>
      </c>
      <c r="T22" s="475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5" t="e">
        <f t="shared" si="8"/>
        <v>#N/A</v>
      </c>
    </row>
    <row r="23" spans="1:27" ht="14.65" customHeight="1">
      <c r="A23" s="28"/>
      <c r="B23" s="588"/>
      <c r="C23" s="362">
        <v>11.9</v>
      </c>
      <c r="D23" s="580">
        <v>11.88</v>
      </c>
      <c r="E23" s="581"/>
      <c r="F23" s="294"/>
      <c r="G23" s="294"/>
      <c r="H23" s="348"/>
      <c r="I23" s="34" t="s">
        <v>12</v>
      </c>
      <c r="J23" s="280"/>
      <c r="K23" s="284">
        <f>COUNTA([25]Brewhouse!$A$125:$A$132)</f>
        <v>8</v>
      </c>
      <c r="L23" s="302">
        <f>AVERAGE([25]Brewhouse!$AU$125:$AU$132)</f>
        <v>96.474285660381511</v>
      </c>
      <c r="M23" s="302">
        <f>AVERAGE([25]Brewhouse!$AU$4:$AU$7,[25]Brewhouse!$AU$9:$AU$22,[25]Brewhouse!$AU$24:$AU$35,[25]Brewhouse!$AU$37:$AU$45,[25]Brewhouse!$AU$47:$AU$62,[25]Brewhouse!$AU$64:$AU$79,[25]Brewhouse!$AU$81:$AU$92,[25]Brewhouse!$AU$94:$AU$97,[25]Brewhouse!$AU$99:$AU$106,[25]Brewhouse!$AU$116:$AU$123,[25]Brewhouse!$AU$125:$AU$132)</f>
        <v>96.480772740057361</v>
      </c>
      <c r="N23" s="30">
        <v>98</v>
      </c>
      <c r="O23" s="11"/>
      <c r="P23" s="31"/>
      <c r="R23" s="277">
        <f t="shared" si="0"/>
        <v>0</v>
      </c>
      <c r="S23" s="475" t="e">
        <f t="shared" si="1"/>
        <v>#N/A</v>
      </c>
      <c r="T23" s="475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5" t="e">
        <f t="shared" si="8"/>
        <v>#N/A</v>
      </c>
    </row>
    <row r="24" spans="1:27" ht="14.65" customHeight="1">
      <c r="A24" s="28"/>
      <c r="B24" s="588"/>
      <c r="C24" s="362"/>
      <c r="D24" s="547"/>
      <c r="E24" s="535"/>
      <c r="F24" s="294"/>
      <c r="G24" s="294"/>
      <c r="H24" s="348"/>
      <c r="I24" s="22" t="s">
        <v>33</v>
      </c>
      <c r="J24" s="280"/>
      <c r="K24" s="284">
        <f>COUNTA([22]Brewhouse!$A$107:$A$122)</f>
        <v>16</v>
      </c>
      <c r="L24" s="302">
        <f>AVERAGE([22]Brewhouse!$AV$107:$AV$122)</f>
        <v>96.593037676437092</v>
      </c>
      <c r="M24" s="302">
        <f>AVERAGE([22]Brewhouse!$AV$5:$AV$14,[22]Brewhouse!$AV$16:$AV$19,[22]Brewhouse!$AV$21:$AV$24,[22]Brewhouse!$AV$26:$AV$33,[22]Brewhouse!$AV$35:$AV$46,[22]Brewhouse!$AV$48:$AV$53,[22]Brewhouse!$AV$55:$AV$62,[22]Brewhouse!$AV$64:$AV$77,[22]Brewhouse!$AV$79:$AV$86,[22]Brewhouse!$AV$88:$AV$95,[22]Brewhouse!$AV$97:$AV$104,[22]Brewhouse!$AV$107:$AV$122)</f>
        <v>98.01719739165037</v>
      </c>
      <c r="N24" s="30">
        <v>98</v>
      </c>
      <c r="O24" s="11"/>
      <c r="P24" s="31"/>
      <c r="R24" s="277">
        <f t="shared" si="0"/>
        <v>0</v>
      </c>
      <c r="S24" s="475" t="e">
        <f t="shared" si="1"/>
        <v>#N/A</v>
      </c>
      <c r="T24" s="475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5" t="e">
        <f t="shared" si="8"/>
        <v>#N/A</v>
      </c>
    </row>
    <row r="25" spans="1:27" ht="14.65" customHeight="1">
      <c r="A25" s="28"/>
      <c r="B25" s="588"/>
      <c r="C25" s="362"/>
      <c r="D25" s="580"/>
      <c r="E25" s="581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5" t="e">
        <f t="shared" si="1"/>
        <v>#N/A</v>
      </c>
      <c r="T25" s="475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5" t="e">
        <f t="shared" si="8"/>
        <v>#N/A</v>
      </c>
    </row>
    <row r="26" spans="1:27" ht="14.65" customHeight="1">
      <c r="A26" s="28"/>
      <c r="B26" s="588"/>
      <c r="C26" s="362"/>
      <c r="D26" s="547"/>
      <c r="E26" s="535"/>
      <c r="F26" s="417"/>
      <c r="G26" s="294"/>
      <c r="H26" s="348"/>
      <c r="I26" s="36" t="s">
        <v>15</v>
      </c>
      <c r="J26" s="323"/>
      <c r="K26" s="284"/>
      <c r="L26" s="302"/>
      <c r="M26" s="302">
        <f>AVERAGE([26]Brewhouse!$AT$4:$AT$11,[26]Brewhouse!$AT$13:$AT$16,[26]Brewhouse!$AT$18:$AT$21,[26]Brewhouse!$AT$26,[26]Brewhouse!$AT$28:$AT$35)</f>
        <v>94.794664331624134</v>
      </c>
      <c r="N26" s="30">
        <v>98</v>
      </c>
      <c r="O26" s="11"/>
      <c r="P26" s="31"/>
      <c r="R26" s="277">
        <f t="shared" si="0"/>
        <v>0</v>
      </c>
      <c r="S26" s="475" t="e">
        <f t="shared" si="1"/>
        <v>#N/A</v>
      </c>
      <c r="T26" s="475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5" t="e">
        <f t="shared" si="8"/>
        <v>#N/A</v>
      </c>
      <c r="AA26" s="475"/>
    </row>
    <row r="27" spans="1:27" ht="14.65" customHeight="1">
      <c r="A27" s="28"/>
      <c r="B27" s="588"/>
      <c r="C27" s="362"/>
      <c r="D27" s="580"/>
      <c r="E27" s="581"/>
      <c r="F27" s="417"/>
      <c r="G27" s="294"/>
      <c r="H27" s="348"/>
      <c r="I27" s="37" t="s">
        <v>16</v>
      </c>
      <c r="J27" s="323"/>
      <c r="K27" s="284">
        <f>COUNTA([27]Brewhouse!$A$99:$A$116)</f>
        <v>18</v>
      </c>
      <c r="L27" s="302">
        <f>AVERAGE([27]Brewhouse!$AY$99:$AY$116)</f>
        <v>97.377797632485397</v>
      </c>
      <c r="M27" s="302">
        <f>AVERAGE([27]Brewhouse!$AY$6:$AY$13,[27]Brewhouse!$AY$15:$AY$20,[27]Brewhouse!$AY$22:$AY$29,[27]Brewhouse!$AY$31:$AY$34,[27]Brewhouse!$AY$36:$AY$43,[27]Brewhouse!$AY$45:$AY$50, [27]Brewhouse!$AY$56:$AY$73,[27]Brewhouse!$AY$75:$AY$92,[27]Brewhouse!$AY$94:$AY$97,[27]Brewhouse!$AY$99:$AY$116)</f>
        <v>97.371589392835148</v>
      </c>
      <c r="N27" s="30">
        <v>98</v>
      </c>
      <c r="O27" s="11"/>
      <c r="P27" s="31" t="s">
        <v>41</v>
      </c>
      <c r="R27" s="277">
        <f t="shared" si="0"/>
        <v>0</v>
      </c>
      <c r="S27" s="475" t="e">
        <f t="shared" si="1"/>
        <v>#N/A</v>
      </c>
      <c r="T27" s="475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5" t="e">
        <f t="shared" si="8"/>
        <v>#N/A</v>
      </c>
      <c r="AA27" s="475"/>
    </row>
    <row r="28" spans="1:27" ht="14.65" customHeight="1">
      <c r="A28" s="28"/>
      <c r="B28" s="588"/>
      <c r="C28" s="362"/>
      <c r="D28" s="547"/>
      <c r="E28" s="535"/>
      <c r="F28" s="294"/>
      <c r="G28" s="294"/>
      <c r="H28" s="348"/>
      <c r="I28" s="411" t="s">
        <v>158</v>
      </c>
      <c r="J28" s="326"/>
      <c r="K28" s="284"/>
      <c r="L28" s="305"/>
      <c r="M28" s="305">
        <f>AVERAGE([28]Brewhouse!$AU$5:$AU$8,[28]Brewhouse!$AU$10:$AU$13,[27]Brewhouse!$AY$75:$AY$77)</f>
        <v>94.749192473706671</v>
      </c>
      <c r="N28" s="30">
        <v>98</v>
      </c>
      <c r="O28" s="11"/>
      <c r="P28" s="31"/>
      <c r="R28" s="277">
        <f t="shared" si="0"/>
        <v>0</v>
      </c>
      <c r="S28" s="475" t="e">
        <f t="shared" si="1"/>
        <v>#N/A</v>
      </c>
      <c r="T28" s="475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5" t="e">
        <f t="shared" si="8"/>
        <v>#N/A</v>
      </c>
      <c r="AA28" s="475"/>
    </row>
    <row r="29" spans="1:27" ht="14.65" customHeight="1">
      <c r="A29" s="28"/>
      <c r="B29" s="588"/>
      <c r="C29" s="349"/>
      <c r="D29" s="580"/>
      <c r="E29" s="581"/>
      <c r="F29" s="294"/>
      <c r="G29" s="294"/>
      <c r="H29" s="348"/>
      <c r="I29" s="410" t="s">
        <v>157</v>
      </c>
      <c r="J29" s="326"/>
      <c r="K29" s="284"/>
      <c r="L29" s="305"/>
      <c r="M29" s="305">
        <f>AVERAGE([29]Brewhouse!$AW$26:$AW$27)</f>
        <v>95.310680905194914</v>
      </c>
      <c r="N29" s="30">
        <v>98</v>
      </c>
      <c r="O29" s="11"/>
      <c r="P29" s="31"/>
      <c r="R29" s="277">
        <f t="shared" si="0"/>
        <v>0</v>
      </c>
      <c r="S29" s="475" t="e">
        <f t="shared" si="1"/>
        <v>#N/A</v>
      </c>
      <c r="T29" s="475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5" t="e">
        <f t="shared" si="8"/>
        <v>#N/A</v>
      </c>
      <c r="AA29" s="475"/>
    </row>
    <row r="30" spans="1:27" ht="15" customHeight="1" thickBot="1">
      <c r="A30" s="28"/>
      <c r="B30" s="588"/>
      <c r="C30" s="349"/>
      <c r="D30" s="547"/>
      <c r="E30" s="535"/>
      <c r="F30" s="294"/>
      <c r="G30" s="294"/>
      <c r="H30" s="348"/>
      <c r="I30" s="406" t="s">
        <v>156</v>
      </c>
      <c r="J30" s="327"/>
      <c r="K30" s="407"/>
      <c r="L30" s="408"/>
      <c r="M30" s="408">
        <f>AVERAGE([30]Brewhouse!$AU$13:$AU$14)</f>
        <v>97.110575243268045</v>
      </c>
      <c r="N30" s="409">
        <v>98</v>
      </c>
      <c r="O30" s="11"/>
      <c r="P30" s="31"/>
      <c r="R30" s="277">
        <f t="shared" si="0"/>
        <v>0</v>
      </c>
      <c r="S30" s="475" t="e">
        <f t="shared" si="1"/>
        <v>#N/A</v>
      </c>
      <c r="T30" s="475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5" t="e">
        <f t="shared" si="8"/>
        <v>#N/A</v>
      </c>
      <c r="AA30" s="475"/>
    </row>
    <row r="31" spans="1:27" ht="15" customHeight="1" thickBot="1">
      <c r="A31" s="28"/>
      <c r="B31" s="588"/>
      <c r="C31" s="349"/>
      <c r="D31" s="532"/>
      <c r="E31" s="533"/>
      <c r="F31" s="294"/>
      <c r="G31" s="294"/>
      <c r="H31" s="348"/>
      <c r="I31" s="1"/>
      <c r="J31" s="39"/>
      <c r="K31" s="404">
        <f>SUM(K21:K30)</f>
        <v>125</v>
      </c>
      <c r="L31" s="405">
        <f>((L21*K21)+(L22*K22)+(L23*K23)+(L24*K24)+(L25*K25)+(K28*L28)+(L26*K26)+(L27*K27)+(L30*K30))/(K31)</f>
        <v>97.539867850631325</v>
      </c>
      <c r="M31" s="405">
        <f>AVERAGE('[31]Jan 31st'!$L$65,'[32]Feb 28th'!$L$35,'[33]Mar. 31st'!$L$35,'[34]Apr. 30th'!$L$45,'[35]May 30th'!$L$37,'[36]June 30th'!$L$57,'[37]July 29th '!$L$44,'[38]Aug 29th'!$L$29,'[39]Sept 30th'!$L$35,L31)</f>
        <v>97.571937024744926</v>
      </c>
      <c r="N31" s="40">
        <v>98</v>
      </c>
      <c r="O31" s="11"/>
      <c r="P31" s="31"/>
      <c r="R31" s="277">
        <f t="shared" si="0"/>
        <v>0</v>
      </c>
      <c r="S31" s="475" t="e">
        <f t="shared" si="1"/>
        <v>#N/A</v>
      </c>
      <c r="T31" s="475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5" t="e">
        <f t="shared" si="8"/>
        <v>#N/A</v>
      </c>
      <c r="AA31" s="475"/>
    </row>
    <row r="32" spans="1:27" ht="15.75" thickBot="1">
      <c r="B32" s="589"/>
      <c r="C32" s="350"/>
      <c r="D32" s="534"/>
      <c r="E32" s="535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5" t="e">
        <f t="shared" si="1"/>
        <v>#N/A</v>
      </c>
      <c r="T32" s="475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5" t="e">
        <f t="shared" si="8"/>
        <v>#N/A</v>
      </c>
      <c r="AA32" s="475"/>
    </row>
    <row r="33" spans="2:56" ht="15.75" thickBot="1">
      <c r="B33" s="596"/>
      <c r="C33" s="362"/>
      <c r="D33" s="545"/>
      <c r="E33" s="546"/>
      <c r="F33" s="294"/>
      <c r="G33" s="42"/>
      <c r="H33" s="41"/>
      <c r="I33" s="42"/>
      <c r="J33" s="579" t="s">
        <v>129</v>
      </c>
      <c r="K33" s="579"/>
      <c r="L33" s="294"/>
      <c r="M33" s="294"/>
      <c r="N33" s="294"/>
      <c r="O33" s="294"/>
      <c r="P33" s="12"/>
    </row>
    <row r="34" spans="2:56" ht="15.75" thickBot="1">
      <c r="B34" s="597"/>
      <c r="C34" s="362"/>
      <c r="D34" s="547"/>
      <c r="E34" s="535"/>
      <c r="F34" s="294"/>
      <c r="G34" s="42"/>
      <c r="H34" s="42"/>
      <c r="I34" s="42"/>
      <c r="J34" s="292" t="s">
        <v>17</v>
      </c>
      <c r="K34" s="293" t="s">
        <v>147</v>
      </c>
      <c r="L34" s="549" t="s">
        <v>136</v>
      </c>
      <c r="M34" s="549"/>
      <c r="N34" s="550"/>
      <c r="O34" s="294"/>
      <c r="P34" s="12"/>
    </row>
    <row r="35" spans="2:56" ht="15" customHeight="1" thickBot="1">
      <c r="B35" s="597"/>
      <c r="C35" s="349"/>
      <c r="D35" s="580"/>
      <c r="E35" s="581"/>
      <c r="F35" s="294"/>
      <c r="G35" s="42"/>
      <c r="H35" s="42"/>
      <c r="I35" s="42"/>
      <c r="J35" s="287" t="s">
        <v>6</v>
      </c>
      <c r="K35" s="324"/>
      <c r="L35" s="476" t="s">
        <v>37</v>
      </c>
      <c r="M35" s="477" t="s">
        <v>38</v>
      </c>
      <c r="N35" s="477" t="s">
        <v>84</v>
      </c>
      <c r="O35" s="294"/>
      <c r="P35" s="12"/>
    </row>
    <row r="36" spans="2:56" ht="15.75" customHeight="1" thickBot="1">
      <c r="B36" s="597"/>
      <c r="C36" s="349"/>
      <c r="D36" s="547"/>
      <c r="E36" s="535"/>
      <c r="F36" s="294"/>
      <c r="G36" s="42"/>
      <c r="H36" s="42"/>
      <c r="I36" s="42"/>
      <c r="J36" s="345" t="s">
        <v>9</v>
      </c>
      <c r="K36" s="324">
        <v>4</v>
      </c>
      <c r="L36" s="344">
        <f>AVERAGE('Dec 1st'!K43,'Dec 2nd'!K49,'Dec 3rd '!K58,'Dec 4th'!K51,'Dec 5th-7th'!I70,'Dec 5th-7th'!J70,'Dec 5th-7th'!K70,'Dec 8th '!K49,'Dec 9th'!K49,'Dec 10th'!K61,'Dec 11th'!K53,'Dec 12th-14th'!K44,'Dec 15th'!K49,'Dec 16th'!K54,'Dec 17th '!K48,'Dec 18th '!K51,'Dec 24th'!K47,'Dec 29th'!K50,'Dec 30th '!K53,'Dec 31st'!K45)</f>
        <v>6.25</v>
      </c>
      <c r="M36" s="325">
        <f>AVERAGE('[31]Jan 29th '!$M$70,'[32]Feb 28th'!$L$40,'[33]Mar. 31st'!$L$40,'[34]Apr. 30th'!$L$50,'[35]May 30th'!$L$42,'[36]June 30th'!$L$62,'[37]July 29th '!$L$49,'[38]Aug 29th'!$L$34,'[39]Sept 30th'!$L$40,[40]Oct.31st!$L$43,'[41]Nov 28th-30th'!$L$45,L36)</f>
        <v>6.9103644178729988</v>
      </c>
      <c r="N36" s="416">
        <v>9.1999999999999993</v>
      </c>
      <c r="O36" s="294"/>
      <c r="P36" s="12"/>
    </row>
    <row r="37" spans="2:56" ht="15" customHeight="1">
      <c r="B37" s="597"/>
      <c r="C37" s="349"/>
      <c r="D37" s="580"/>
      <c r="E37" s="581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97"/>
      <c r="C38" s="349"/>
      <c r="D38" s="547"/>
      <c r="E38" s="535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97"/>
      <c r="C39" s="349"/>
      <c r="D39" s="580"/>
      <c r="E39" s="581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97"/>
      <c r="C40" s="349"/>
      <c r="D40" s="547"/>
      <c r="E40" s="535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97"/>
      <c r="C41" s="349"/>
      <c r="D41" s="580"/>
      <c r="E41" s="581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607"/>
      <c r="C42" s="350"/>
      <c r="D42" s="582"/>
      <c r="E42" s="583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77"/>
      <c r="E43" s="578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4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J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57" t="s">
        <v>17</v>
      </c>
      <c r="C48" s="557" t="s">
        <v>44</v>
      </c>
      <c r="D48" s="559" t="s">
        <v>45</v>
      </c>
      <c r="E48" s="514" t="s">
        <v>46</v>
      </c>
      <c r="F48" s="574" t="s">
        <v>47</v>
      </c>
      <c r="G48" s="568" t="s">
        <v>48</v>
      </c>
      <c r="H48" s="557" t="s">
        <v>49</v>
      </c>
      <c r="I48" s="557" t="s">
        <v>50</v>
      </c>
      <c r="J48" s="562" t="s">
        <v>28</v>
      </c>
      <c r="K48" s="512" t="s">
        <v>51</v>
      </c>
      <c r="L48" s="524" t="s">
        <v>52</v>
      </c>
      <c r="M48" s="562" t="s">
        <v>53</v>
      </c>
      <c r="N48" s="13"/>
      <c r="O48" s="13"/>
      <c r="P48" s="50"/>
    </row>
    <row r="49" spans="2:57" ht="28.5" customHeight="1" thickTop="1" thickBot="1">
      <c r="B49" s="558"/>
      <c r="C49" s="558"/>
      <c r="D49" s="560"/>
      <c r="E49" s="561"/>
      <c r="F49" s="575"/>
      <c r="G49" s="569"/>
      <c r="H49" s="576"/>
      <c r="I49" s="576"/>
      <c r="J49" s="563"/>
      <c r="K49" s="572"/>
      <c r="L49" s="573"/>
      <c r="M49" s="563"/>
      <c r="N49" s="13"/>
      <c r="O49" s="13"/>
      <c r="P49" s="50"/>
      <c r="Q49" s="355"/>
      <c r="AB49" s="478">
        <v>43474</v>
      </c>
      <c r="AC49" s="478">
        <v>43475</v>
      </c>
      <c r="AD49" s="478">
        <v>43476</v>
      </c>
      <c r="AE49" s="478">
        <v>43477</v>
      </c>
      <c r="AF49" s="478">
        <v>43478</v>
      </c>
      <c r="AG49" s="478">
        <v>43479</v>
      </c>
      <c r="AH49" s="478">
        <v>43480</v>
      </c>
      <c r="AI49" s="478">
        <v>43481</v>
      </c>
      <c r="AJ49" s="478">
        <v>43482</v>
      </c>
      <c r="AK49" s="478">
        <v>43483</v>
      </c>
      <c r="AL49" s="478">
        <v>43484</v>
      </c>
      <c r="AM49" s="478">
        <v>43485</v>
      </c>
      <c r="AN49" s="478">
        <v>43486</v>
      </c>
      <c r="AO49" s="478">
        <v>43487</v>
      </c>
      <c r="AP49" s="478">
        <v>43488</v>
      </c>
      <c r="AQ49" s="478">
        <v>43489</v>
      </c>
      <c r="AR49" s="478">
        <v>43490</v>
      </c>
      <c r="AS49" s="478">
        <v>43491</v>
      </c>
      <c r="AT49" s="478">
        <v>43492</v>
      </c>
      <c r="AU49" s="478">
        <v>43493</v>
      </c>
      <c r="AV49" s="478">
        <v>43494</v>
      </c>
      <c r="AW49" s="478">
        <v>43495</v>
      </c>
      <c r="AX49" s="478">
        <v>43496</v>
      </c>
    </row>
    <row r="50" spans="2:57" s="54" customFormat="1" ht="43.15" customHeight="1" thickBot="1">
      <c r="B50" s="456" t="str">
        <f>J35</f>
        <v>CARIB</v>
      </c>
      <c r="C50" s="441">
        <v>46022</v>
      </c>
      <c r="D50" s="442">
        <f>[42]December_2025!$AH$3</f>
        <v>249.5</v>
      </c>
      <c r="E50" s="443"/>
      <c r="F50" s="444"/>
      <c r="G50" s="444">
        <f>[42]December_2025!$AH$7</f>
        <v>237.2</v>
      </c>
      <c r="H50" s="458"/>
      <c r="I50" s="458"/>
      <c r="J50" s="448" t="s">
        <v>190</v>
      </c>
      <c r="K50" s="449">
        <f>[43]December_2025!$AH$18</f>
        <v>0.2774269005847953</v>
      </c>
      <c r="L50" s="486">
        <f>(((D50+E50)-G50)/(D50+E50))*100</f>
        <v>4.9298597194388822</v>
      </c>
      <c r="M50" s="455" t="s">
        <v>179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[20]January_2019!L7</f>
        <v>285.8</v>
      </c>
      <c r="AC50" s="57">
        <f>[20]January_2019!M7</f>
        <v>508.1</v>
      </c>
      <c r="AD50" s="57">
        <f>[20]January_2019!N7</f>
        <v>0</v>
      </c>
      <c r="AE50" s="57">
        <f>[20]January_2019!O7</f>
        <v>0</v>
      </c>
      <c r="AF50" s="57">
        <f>[20]January_2019!P7</f>
        <v>109.56666666666666</v>
      </c>
      <c r="AG50" s="57">
        <f>[20]January_2019!Q7</f>
        <v>297.64999999999998</v>
      </c>
      <c r="AH50" s="57">
        <f>[20]January_2019!R7</f>
        <v>122.3</v>
      </c>
      <c r="AI50" s="57">
        <f>[20]January_2019!S7</f>
        <v>0</v>
      </c>
      <c r="AJ50" s="57">
        <f>[20]January_2019!T7</f>
        <v>294.7</v>
      </c>
      <c r="AK50" s="57">
        <f>[20]January_2019!U7</f>
        <v>280.5</v>
      </c>
      <c r="AL50" s="57">
        <f>[20]January_2019!V7</f>
        <v>0</v>
      </c>
      <c r="AM50" s="57">
        <f>[20]January_2019!W7</f>
        <v>0</v>
      </c>
      <c r="AN50" s="57">
        <f>[20]January_2019!X7</f>
        <v>188.25</v>
      </c>
      <c r="AO50" s="57">
        <f>[20]January_2019!Y7</f>
        <v>295.7</v>
      </c>
      <c r="AP50" s="57">
        <f>[20]January_2019!Z7</f>
        <v>257.8</v>
      </c>
      <c r="AQ50" s="57">
        <f>[20]January_2019!AA7</f>
        <v>291.2</v>
      </c>
      <c r="AR50" s="57">
        <f>[20]January_2019!AB7</f>
        <v>187</v>
      </c>
      <c r="AS50" s="57">
        <f>[20]January_2019!AC7</f>
        <v>0</v>
      </c>
      <c r="AT50" s="57">
        <f>[20]January_2019!AD7</f>
        <v>0</v>
      </c>
      <c r="AU50" s="57">
        <f>[20]January_2019!AE7</f>
        <v>485.1</v>
      </c>
      <c r="AV50" s="57">
        <f>[20]January_2019!AF7</f>
        <v>171.55</v>
      </c>
      <c r="AW50" s="57">
        <f>[20]January_2019!AG7</f>
        <v>423.8</v>
      </c>
      <c r="AX50" s="277">
        <f>[20]January_2019!AH7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9.5" hidden="1" customHeight="1" thickBot="1">
      <c r="B51" s="468"/>
      <c r="C51" s="430"/>
      <c r="D51" s="431"/>
      <c r="E51" s="432"/>
      <c r="F51" s="433"/>
      <c r="G51" s="434"/>
      <c r="H51" s="428"/>
      <c r="I51" s="428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8.450000000000003" hidden="1" customHeight="1" thickBot="1">
      <c r="B52" s="456"/>
      <c r="C52" s="441"/>
      <c r="D52" s="442"/>
      <c r="E52" s="443"/>
      <c r="F52" s="444"/>
      <c r="G52" s="445"/>
      <c r="H52" s="458"/>
      <c r="I52" s="458"/>
      <c r="J52" s="448"/>
      <c r="K52" s="460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5" hidden="1">
      <c r="B53" s="453"/>
      <c r="C53" s="430"/>
      <c r="D53" s="431"/>
      <c r="E53" s="432"/>
      <c r="F53" s="433"/>
      <c r="G53" s="434"/>
      <c r="H53" s="435"/>
      <c r="I53" s="450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59"/>
      <c r="C54" s="441"/>
      <c r="D54" s="442"/>
      <c r="E54" s="443"/>
      <c r="F54" s="444"/>
      <c r="G54" s="445"/>
      <c r="H54" s="446"/>
      <c r="I54" s="447"/>
      <c r="J54" s="448"/>
      <c r="K54" s="449"/>
      <c r="L54" s="457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6.5" hidden="1" customHeight="1" thickBot="1">
      <c r="B55" s="437"/>
      <c r="C55" s="423"/>
      <c r="D55" s="424"/>
      <c r="E55" s="425"/>
      <c r="F55" s="426"/>
      <c r="G55" s="427"/>
      <c r="H55" s="428"/>
      <c r="I55" s="438"/>
      <c r="J55" s="439"/>
      <c r="K55" s="429"/>
      <c r="L55" s="440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</row>
    <row r="56" spans="2:57" s="54" customFormat="1" ht="37.15" hidden="1" customHeight="1" thickBot="1">
      <c r="B56" s="456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>
      <c r="B57" s="467"/>
      <c r="C57" s="430"/>
      <c r="D57" s="461"/>
      <c r="E57" s="462"/>
      <c r="F57" s="463"/>
      <c r="G57" s="461"/>
      <c r="H57" s="464"/>
      <c r="I57" s="464"/>
      <c r="J57" s="464"/>
      <c r="K57" s="465"/>
      <c r="L57" s="466"/>
      <c r="M57" s="5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2:57" ht="15.75" thickBot="1">
      <c r="B59" s="564" t="s">
        <v>55</v>
      </c>
      <c r="C59" s="565"/>
      <c r="D59" s="565"/>
      <c r="E59" s="565"/>
      <c r="F59" s="566"/>
      <c r="G59" s="564" t="s">
        <v>56</v>
      </c>
      <c r="H59" s="565"/>
      <c r="I59" s="565"/>
      <c r="J59" s="566"/>
      <c r="K59" s="564" t="s">
        <v>51</v>
      </c>
      <c r="L59" s="565"/>
      <c r="M59" s="565"/>
      <c r="N59" s="567"/>
      <c r="O59" s="56"/>
      <c r="P59" s="50"/>
    </row>
    <row r="60" spans="2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7" ht="15">
      <c r="B61" s="29" t="s">
        <v>6</v>
      </c>
      <c r="C61" s="282">
        <f>L50</f>
        <v>4.9298597194388822</v>
      </c>
      <c r="D61" s="76">
        <v>5.7283465990881002</v>
      </c>
      <c r="E61" s="76">
        <v>6.0421369371604801</v>
      </c>
      <c r="F61" s="66">
        <v>4.8</v>
      </c>
      <c r="G61" s="65">
        <f xml:space="preserve"> [42]December_2025!$AH$11</f>
        <v>4.1563028416474825</v>
      </c>
      <c r="H61" s="491">
        <v>4.9612611644546387</v>
      </c>
      <c r="I61" s="76">
        <v>5.9126136559518887</v>
      </c>
      <c r="J61" s="66">
        <v>4.8</v>
      </c>
      <c r="K61" s="67">
        <f>K50</f>
        <v>0.2774269005847953</v>
      </c>
      <c r="L61" s="194">
        <v>0.46315302144249515</v>
      </c>
      <c r="M61" s="194">
        <v>0.70527994238178437</v>
      </c>
      <c r="N61" s="68">
        <v>1</v>
      </c>
      <c r="O61" s="56"/>
      <c r="P61" s="69"/>
    </row>
    <row r="62" spans="2:57" ht="15">
      <c r="B62" s="33" t="s">
        <v>9</v>
      </c>
      <c r="C62" s="65"/>
      <c r="D62" s="76">
        <v>3.6647314949201824</v>
      </c>
      <c r="E62" s="76">
        <v>5.5175865662770454</v>
      </c>
      <c r="F62" s="66">
        <v>4.8</v>
      </c>
      <c r="G62" s="65"/>
      <c r="H62" s="76">
        <v>3.24461187041305</v>
      </c>
      <c r="I62" s="76">
        <v>5.9509190936089542</v>
      </c>
      <c r="J62" s="66">
        <v>4.8</v>
      </c>
      <c r="K62" s="67"/>
      <c r="L62" s="194">
        <v>0.47543024227234754</v>
      </c>
      <c r="M62" s="194">
        <v>0.66613042426698332</v>
      </c>
      <c r="N62" s="68">
        <v>1</v>
      </c>
      <c r="P62" s="69"/>
    </row>
    <row r="63" spans="2:57" ht="15">
      <c r="B63" s="34" t="s">
        <v>40</v>
      </c>
      <c r="C63" s="65"/>
      <c r="D63" s="76">
        <v>12.016908212560388</v>
      </c>
      <c r="E63" s="76">
        <v>11.141238852735578</v>
      </c>
      <c r="F63" s="66">
        <v>5.5</v>
      </c>
      <c r="G63" s="65"/>
      <c r="H63" s="76">
        <v>12.659626751336301</v>
      </c>
      <c r="I63" s="76">
        <v>12.551549020964353</v>
      </c>
      <c r="J63" s="66">
        <v>5.5</v>
      </c>
      <c r="K63" s="67"/>
      <c r="L63" s="194">
        <v>0.37337719298245614</v>
      </c>
      <c r="M63" s="194">
        <v>0.50452657004830925</v>
      </c>
      <c r="N63" s="68">
        <v>1</v>
      </c>
      <c r="P63" s="69"/>
    </row>
    <row r="64" spans="2:57" ht="15">
      <c r="B64" s="22" t="s">
        <v>33</v>
      </c>
      <c r="C64" s="65"/>
      <c r="D64" s="76">
        <v>3.4899294938212191</v>
      </c>
      <c r="E64" s="76">
        <v>4.4543170560422727</v>
      </c>
      <c r="F64" s="66">
        <v>3.3</v>
      </c>
      <c r="G64" s="65"/>
      <c r="H64" s="76">
        <v>2.6511803423748783</v>
      </c>
      <c r="I64" s="76">
        <v>4.1544267346524437</v>
      </c>
      <c r="J64" s="66">
        <v>3.3</v>
      </c>
      <c r="K64" s="67"/>
      <c r="L64" s="194">
        <v>0.78134502923976601</v>
      </c>
      <c r="M64" s="194">
        <v>0.82232972136222915</v>
      </c>
      <c r="N64" s="68">
        <v>1</v>
      </c>
      <c r="P64" s="69"/>
    </row>
    <row r="65" spans="2:16" ht="15">
      <c r="B65" s="35" t="s">
        <v>164</v>
      </c>
      <c r="C65" s="65"/>
      <c r="D65" s="76"/>
      <c r="E65" s="76">
        <v>7.837301587301579</v>
      </c>
      <c r="F65" s="66">
        <v>3.3</v>
      </c>
      <c r="G65" s="282"/>
      <c r="H65" s="76"/>
      <c r="I65" s="76">
        <v>5.3377569154690221</v>
      </c>
      <c r="J65" s="66">
        <v>3</v>
      </c>
      <c r="K65" s="67"/>
      <c r="L65" s="194"/>
      <c r="M65" s="194">
        <v>0.32596491228070179</v>
      </c>
      <c r="N65" s="68">
        <v>1</v>
      </c>
      <c r="P65" s="69"/>
    </row>
    <row r="66" spans="2:16" ht="15">
      <c r="B66" s="36" t="s">
        <v>15</v>
      </c>
      <c r="C66" s="65"/>
      <c r="D66" s="76"/>
      <c r="E66" s="76">
        <v>6.8851328044153277</v>
      </c>
      <c r="F66" s="70">
        <f>[21]May_2022!$M$43</f>
        <v>3.4878406700073312</v>
      </c>
      <c r="G66" s="282"/>
      <c r="H66" s="76"/>
      <c r="I66" s="76">
        <v>8.6614709463340702</v>
      </c>
      <c r="J66" s="66">
        <v>5.5</v>
      </c>
      <c r="K66" s="67"/>
      <c r="L66" s="194"/>
      <c r="M66" s="194">
        <v>0.73160818713450293</v>
      </c>
      <c r="N66" s="68">
        <v>1</v>
      </c>
      <c r="P66" s="69"/>
    </row>
    <row r="67" spans="2:16" ht="15">
      <c r="B67" s="37" t="s">
        <v>16</v>
      </c>
      <c r="C67" s="65"/>
      <c r="D67" s="76">
        <v>2.192371331533558</v>
      </c>
      <c r="E67" s="76">
        <v>2.8003947928578476</v>
      </c>
      <c r="F67" s="66">
        <v>3.3</v>
      </c>
      <c r="G67" s="282"/>
      <c r="H67" s="76">
        <v>5.3788101103157819</v>
      </c>
      <c r="I67" s="76">
        <v>4.4628906641962587</v>
      </c>
      <c r="J67" s="66">
        <v>3.3</v>
      </c>
      <c r="K67" s="67"/>
      <c r="L67" s="194">
        <v>0.64058479532163748</v>
      </c>
      <c r="M67" s="194">
        <v>0.80904406538734908</v>
      </c>
      <c r="N67" s="71">
        <v>1</v>
      </c>
      <c r="P67" s="69"/>
    </row>
    <row r="68" spans="2:16" ht="15.75" thickBot="1">
      <c r="B68" s="38" t="s">
        <v>163</v>
      </c>
      <c r="C68" s="65"/>
      <c r="D68" s="76"/>
      <c r="E68" s="76">
        <v>11.483253588516746</v>
      </c>
      <c r="F68" s="66">
        <v>7.5</v>
      </c>
      <c r="G68" s="282"/>
      <c r="H68" s="76"/>
      <c r="I68" s="76">
        <v>9.7934336121043764</v>
      </c>
      <c r="J68" s="66">
        <v>7.5</v>
      </c>
      <c r="K68" s="67"/>
      <c r="M68" s="194">
        <v>0.32456140350877194</v>
      </c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>
        <v>7.2653644592663174</v>
      </c>
      <c r="F69" s="66">
        <v>4.8</v>
      </c>
      <c r="G69" s="282"/>
      <c r="H69" s="76"/>
      <c r="I69" s="76">
        <v>8.1715311054411259</v>
      </c>
      <c r="J69" s="66">
        <v>4.8</v>
      </c>
      <c r="K69" s="67"/>
      <c r="L69" s="194"/>
      <c r="M69" s="194">
        <v>0.51368421052631585</v>
      </c>
      <c r="N69" s="71">
        <v>1</v>
      </c>
      <c r="O69" s="74"/>
      <c r="P69" s="75"/>
    </row>
    <row r="70" spans="2:16" ht="15">
      <c r="D70" s="76">
        <v>5.2376061992344427</v>
      </c>
      <c r="E70" s="76">
        <v>6.021880789225408</v>
      </c>
      <c r="F70" s="341">
        <v>5.5</v>
      </c>
      <c r="H70" s="76">
        <v>5.3448246923904676</v>
      </c>
      <c r="I70" s="76">
        <v>6.4182243543623052</v>
      </c>
      <c r="J70" s="341">
        <v>5.5</v>
      </c>
      <c r="L70" s="194">
        <v>0.51626775271512104</v>
      </c>
      <c r="M70" s="194">
        <v>0.68662228112974388</v>
      </c>
      <c r="N70" s="386">
        <v>1</v>
      </c>
    </row>
  </sheetData>
  <mergeCells count="51">
    <mergeCell ref="M48:M49"/>
    <mergeCell ref="B59:F59"/>
    <mergeCell ref="G59:J59"/>
    <mergeCell ref="K59:N59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183" priority="36" operator="notBetween">
      <formula>#REF!</formula>
      <formula>#REF!</formula>
    </cfRule>
  </conditionalFormatting>
  <conditionalFormatting sqref="C47">
    <cfRule type="cellIs" dxfId="182" priority="182" stopIfTrue="1" operator="greaterThan">
      <formula>100</formula>
    </cfRule>
    <cfRule type="cellIs" dxfId="181" priority="181" stopIfTrue="1" operator="lessThan">
      <formula>96</formula>
    </cfRule>
  </conditionalFormatting>
  <conditionalFormatting sqref="C61:C65">
    <cfRule type="cellIs" dxfId="180" priority="135" stopIfTrue="1" operator="lessThanOrEqual">
      <formula>0</formula>
    </cfRule>
  </conditionalFormatting>
  <conditionalFormatting sqref="C61:C69">
    <cfRule type="cellIs" dxfId="179" priority="134" stopIfTrue="1" operator="greaterThan">
      <formula>$F61</formula>
    </cfRule>
  </conditionalFormatting>
  <conditionalFormatting sqref="C62">
    <cfRule type="cellIs" dxfId="178" priority="185" stopIfTrue="1" operator="greaterThan">
      <formula>$F61</formula>
    </cfRule>
  </conditionalFormatting>
  <conditionalFormatting sqref="C66">
    <cfRule type="cellIs" dxfId="177" priority="75" stopIfTrue="1" operator="greaterThan">
      <formula>$F65</formula>
    </cfRule>
    <cfRule type="cellIs" dxfId="176" priority="74" stopIfTrue="1" operator="lessThanOrEqual">
      <formula>0</formula>
    </cfRule>
  </conditionalFormatting>
  <conditionalFormatting sqref="C72:C76">
    <cfRule type="cellIs" dxfId="175" priority="173" stopIfTrue="1" operator="lessThanOrEqual">
      <formula>0</formula>
    </cfRule>
  </conditionalFormatting>
  <conditionalFormatting sqref="C73:C76">
    <cfRule type="cellIs" dxfId="174" priority="172" stopIfTrue="1" operator="greaterThan">
      <formula>$F$72</formula>
    </cfRule>
  </conditionalFormatting>
  <conditionalFormatting sqref="C78">
    <cfRule type="cellIs" dxfId="173" priority="175" stopIfTrue="1" operator="lessThanOrEqual">
      <formula>0</formula>
    </cfRule>
    <cfRule type="cellIs" dxfId="172" priority="174" stopIfTrue="1" operator="greaterThan">
      <formula>$F$72</formula>
    </cfRule>
  </conditionalFormatting>
  <conditionalFormatting sqref="C72:D72 D74:D80">
    <cfRule type="cellIs" dxfId="171" priority="167" stopIfTrue="1" operator="greaterThan">
      <formula>4.5</formula>
    </cfRule>
  </conditionalFormatting>
  <conditionalFormatting sqref="D43:D44">
    <cfRule type="cellIs" dxfId="170" priority="37" operator="notBetween">
      <formula>#REF!</formula>
      <formula>#REF!</formula>
    </cfRule>
  </conditionalFormatting>
  <conditionalFormatting sqref="D61:D68">
    <cfRule type="cellIs" dxfId="169" priority="147" stopIfTrue="1" operator="lessThanOrEqual">
      <formula>0</formula>
    </cfRule>
  </conditionalFormatting>
  <conditionalFormatting sqref="D69">
    <cfRule type="cellIs" dxfId="168" priority="146" stopIfTrue="1" operator="lessThanOrEqual">
      <formula>0</formula>
    </cfRule>
  </conditionalFormatting>
  <conditionalFormatting sqref="D72 D74:D80">
    <cfRule type="cellIs" dxfId="167" priority="168" stopIfTrue="1" operator="lessThanOrEqual">
      <formula>0</formula>
    </cfRule>
  </conditionalFormatting>
  <conditionalFormatting sqref="D73">
    <cfRule type="cellIs" dxfId="166" priority="159" stopIfTrue="1" operator="greaterThan">
      <formula>$F$72</formula>
    </cfRule>
    <cfRule type="cellIs" dxfId="165" priority="160" stopIfTrue="1" operator="lessThanOrEqual">
      <formula>0</formula>
    </cfRule>
  </conditionalFormatting>
  <conditionalFormatting sqref="D61:E70">
    <cfRule type="cellIs" dxfId="164" priority="132" stopIfTrue="1" operator="greaterThan">
      <formula>$F61</formula>
    </cfRule>
  </conditionalFormatting>
  <conditionalFormatting sqref="D70:E70">
    <cfRule type="cellIs" dxfId="163" priority="133" stopIfTrue="1" operator="lessThanOrEqual">
      <formula>0</formula>
    </cfRule>
  </conditionalFormatting>
  <conditionalFormatting sqref="E10:E18">
    <cfRule type="cellIs" dxfId="162" priority="13" operator="lessThan">
      <formula>48</formula>
    </cfRule>
  </conditionalFormatting>
  <conditionalFormatting sqref="E46 E47:F47">
    <cfRule type="cellIs" dxfId="161" priority="164" stopIfTrue="1" operator="greaterThan">
      <formula>100</formula>
    </cfRule>
  </conditionalFormatting>
  <conditionalFormatting sqref="E47">
    <cfRule type="cellIs" dxfId="160" priority="162" stopIfTrue="1" operator="greaterThan">
      <formula>100</formula>
    </cfRule>
    <cfRule type="cellIs" dxfId="159" priority="161" stopIfTrue="1" operator="lessThan">
      <formula>96.8</formula>
    </cfRule>
  </conditionalFormatting>
  <conditionalFormatting sqref="E61:E69">
    <cfRule type="cellIs" dxfId="158" priority="143" stopIfTrue="1" operator="lessThanOrEqual">
      <formula>0</formula>
    </cfRule>
  </conditionalFormatting>
  <conditionalFormatting sqref="E72:E80">
    <cfRule type="cellIs" dxfId="157" priority="153" stopIfTrue="1" operator="greaterThan">
      <formula>4.5</formula>
    </cfRule>
    <cfRule type="cellIs" dxfId="156" priority="154" stopIfTrue="1" operator="lessThanOrEqual">
      <formula>0</formula>
    </cfRule>
  </conditionalFormatting>
  <conditionalFormatting sqref="E47:F47 E46">
    <cfRule type="cellIs" dxfId="155" priority="163" stopIfTrue="1" operator="lessThan">
      <formula>96.5</formula>
    </cfRule>
  </conditionalFormatting>
  <conditionalFormatting sqref="F10:F18">
    <cfRule type="cellIs" dxfId="154" priority="14" operator="greaterThan">
      <formula>60</formula>
    </cfRule>
  </conditionalFormatting>
  <conditionalFormatting sqref="F47">
    <cfRule type="cellIs" dxfId="153" priority="179" stopIfTrue="1" operator="lessThan">
      <formula>96.8</formula>
    </cfRule>
    <cfRule type="cellIs" dxfId="152" priority="180" stopIfTrue="1" operator="greaterThan">
      <formula>100</formula>
    </cfRule>
  </conditionalFormatting>
  <conditionalFormatting sqref="F70">
    <cfRule type="cellIs" dxfId="151" priority="145" stopIfTrue="1" operator="lessThanOrEqual">
      <formula>0</formula>
    </cfRule>
    <cfRule type="cellIs" dxfId="150" priority="144" stopIfTrue="1" operator="greaterThan">
      <formula>$F70</formula>
    </cfRule>
  </conditionalFormatting>
  <conditionalFormatting sqref="G61:G62 C67:C69">
    <cfRule type="cellIs" dxfId="149" priority="149" stopIfTrue="1" operator="lessThanOrEqual">
      <formula>0</formula>
    </cfRule>
  </conditionalFormatting>
  <conditionalFormatting sqref="G61:G62">
    <cfRule type="cellIs" dxfId="148" priority="148" stopIfTrue="1" operator="greaterThan">
      <formula>$F61</formula>
    </cfRule>
    <cfRule type="cellIs" dxfId="147" priority="137" stopIfTrue="1" operator="lessThanOrEqual">
      <formula>0</formula>
    </cfRule>
    <cfRule type="cellIs" dxfId="146" priority="136" stopIfTrue="1" operator="greaterThan">
      <formula>$F61</formula>
    </cfRule>
  </conditionalFormatting>
  <conditionalFormatting sqref="G63">
    <cfRule type="cellIs" dxfId="145" priority="183" stopIfTrue="1" operator="greaterThan">
      <formula>$F62</formula>
    </cfRule>
    <cfRule type="cellIs" dxfId="144" priority="184" stopIfTrue="1" operator="lessThanOrEqual">
      <formula>0</formula>
    </cfRule>
  </conditionalFormatting>
  <conditionalFormatting sqref="G64">
    <cfRule type="cellIs" dxfId="143" priority="34" stopIfTrue="1" operator="greaterThan">
      <formula>$F64</formula>
    </cfRule>
    <cfRule type="cellIs" dxfId="142" priority="33" stopIfTrue="1" operator="lessThanOrEqual">
      <formula>0</formula>
    </cfRule>
    <cfRule type="cellIs" dxfId="141" priority="32" stopIfTrue="1" operator="greaterThan">
      <formula>$F64</formula>
    </cfRule>
    <cfRule type="cellIs" dxfId="140" priority="35" stopIfTrue="1" operator="lessThanOrEqual">
      <formula>0</formula>
    </cfRule>
  </conditionalFormatting>
  <conditionalFormatting sqref="G65:G69">
    <cfRule type="cellIs" dxfId="139" priority="151" stopIfTrue="1" operator="lessThanOrEqual">
      <formula>0</formula>
    </cfRule>
    <cfRule type="cellIs" dxfId="138" priority="150" stopIfTrue="1" operator="greaterThan">
      <formula>$J65</formula>
    </cfRule>
  </conditionalFormatting>
  <conditionalFormatting sqref="G74:G79 C77 C79">
    <cfRule type="cellIs" dxfId="137" priority="176" stopIfTrue="1" operator="greaterThan">
      <formula>4.5</formula>
    </cfRule>
    <cfRule type="cellIs" dxfId="136" priority="177" stopIfTrue="1" operator="lessThanOrEqual">
      <formula>0</formula>
    </cfRule>
  </conditionalFormatting>
  <conditionalFormatting sqref="G18:H18">
    <cfRule type="expression" dxfId="135" priority="31">
      <formula>IF(+(IF(G18&lt;#REF!,0,IF(G18&gt;#REF!,0,1)))=0,1)</formula>
    </cfRule>
  </conditionalFormatting>
  <conditionalFormatting sqref="G73:H73">
    <cfRule type="cellIs" dxfId="134" priority="158" stopIfTrue="1" operator="lessThanOrEqual">
      <formula>0</formula>
    </cfRule>
    <cfRule type="cellIs" dxfId="133" priority="157" stopIfTrue="1" operator="greaterThan">
      <formula>$F$72</formula>
    </cfRule>
  </conditionalFormatting>
  <conditionalFormatting sqref="H32:H33 H46">
    <cfRule type="cellIs" dxfId="132" priority="155" stopIfTrue="1" operator="greaterThan">
      <formula>0</formula>
    </cfRule>
  </conditionalFormatting>
  <conditionalFormatting sqref="H50">
    <cfRule type="cellIs" dxfId="131" priority="30" stopIfTrue="1" operator="lessThanOrEqual">
      <formula>0</formula>
    </cfRule>
    <cfRule type="cellIs" dxfId="130" priority="27" stopIfTrue="1" operator="greaterThan">
      <formula>$F$68</formula>
    </cfRule>
    <cfRule type="cellIs" dxfId="129" priority="29" stopIfTrue="1" operator="greaterThan">
      <formula>$F$66</formula>
    </cfRule>
    <cfRule type="cellIs" dxfId="128" priority="28" stopIfTrue="1" operator="lessThanOrEqual">
      <formula>0</formula>
    </cfRule>
    <cfRule type="cellIs" dxfId="127" priority="19" stopIfTrue="1" operator="greaterThan">
      <formula>$F$65</formula>
    </cfRule>
    <cfRule type="cellIs" dxfId="126" priority="18" stopIfTrue="1" operator="lessThanOrEqual">
      <formula>0</formula>
    </cfRule>
  </conditionalFormatting>
  <conditionalFormatting sqref="H51">
    <cfRule type="cellIs" dxfId="125" priority="100" stopIfTrue="1" operator="greaterThan">
      <formula>$F$19</formula>
    </cfRule>
    <cfRule type="cellIs" dxfId="124" priority="101" stopIfTrue="1" operator="lessThanOrEqual">
      <formula>0</formula>
    </cfRule>
    <cfRule type="cellIs" dxfId="123" priority="92" stopIfTrue="1" operator="greaterThan">
      <formula>#REF!</formula>
    </cfRule>
    <cfRule type="cellIs" dxfId="122" priority="103" stopIfTrue="1" operator="lessThanOrEqual">
      <formula>0</formula>
    </cfRule>
    <cfRule type="cellIs" dxfId="121" priority="102" stopIfTrue="1" operator="greaterThan">
      <formula>#REF!</formula>
    </cfRule>
    <cfRule type="cellIs" dxfId="120" priority="91" stopIfTrue="1" operator="lessThanOrEqual">
      <formula>0</formula>
    </cfRule>
  </conditionalFormatting>
  <conditionalFormatting sqref="H52">
    <cfRule type="cellIs" dxfId="119" priority="61" stopIfTrue="1" operator="lessThanOrEqual">
      <formula>0</formula>
    </cfRule>
    <cfRule type="cellIs" dxfId="118" priority="62" stopIfTrue="1" operator="greaterThan">
      <formula>$F$62</formula>
    </cfRule>
    <cfRule type="cellIs" dxfId="117" priority="71" stopIfTrue="1" operator="lessThanOrEqual">
      <formula>0</formula>
    </cfRule>
    <cfRule type="cellIs" dxfId="116" priority="72" stopIfTrue="1" operator="greaterThan">
      <formula>$F$63</formula>
    </cfRule>
    <cfRule type="cellIs" dxfId="115" priority="73" stopIfTrue="1" operator="lessThanOrEqual">
      <formula>0</formula>
    </cfRule>
    <cfRule type="cellIs" dxfId="114" priority="70" stopIfTrue="1" operator="greaterThan">
      <formula>$F$65</formula>
    </cfRule>
  </conditionalFormatting>
  <conditionalFormatting sqref="H53:H54">
    <cfRule type="cellIs" dxfId="113" priority="77" stopIfTrue="1" operator="lessThanOrEqual">
      <formula>0</formula>
    </cfRule>
    <cfRule type="cellIs" dxfId="112" priority="78" stopIfTrue="1" operator="greaterThan">
      <formula>#REF!</formula>
    </cfRule>
    <cfRule type="cellIs" dxfId="111" priority="86" stopIfTrue="1" operator="greaterThan">
      <formula>$F$18</formula>
    </cfRule>
    <cfRule type="cellIs" dxfId="110" priority="87" stopIfTrue="1" operator="lessThanOrEqual">
      <formula>0</formula>
    </cfRule>
    <cfRule type="cellIs" dxfId="109" priority="88" stopIfTrue="1" operator="greaterThan">
      <formula>#REF!</formula>
    </cfRule>
    <cfRule type="cellIs" dxfId="108" priority="89" stopIfTrue="1" operator="lessThanOrEqual">
      <formula>0</formula>
    </cfRule>
  </conditionalFormatting>
  <conditionalFormatting sqref="H55">
    <cfRule type="cellIs" dxfId="107" priority="118" stopIfTrue="1" operator="lessThanOrEqual">
      <formula>0</formula>
    </cfRule>
    <cfRule type="cellIs" dxfId="106" priority="117" stopIfTrue="1" operator="greaterThan">
      <formula>$F$32</formula>
    </cfRule>
    <cfRule type="cellIs" dxfId="105" priority="115" stopIfTrue="1" operator="greaterThan">
      <formula>$F$34</formula>
    </cfRule>
    <cfRule type="cellIs" dxfId="104" priority="107" stopIfTrue="1" operator="greaterThan">
      <formula>$F$31</formula>
    </cfRule>
    <cfRule type="cellIs" dxfId="103" priority="106" stopIfTrue="1" operator="lessThanOrEqual">
      <formula>0</formula>
    </cfRule>
    <cfRule type="cellIs" dxfId="102" priority="116" stopIfTrue="1" operator="lessThanOrEqual">
      <formula>0</formula>
    </cfRule>
  </conditionalFormatting>
  <conditionalFormatting sqref="H56:H57">
    <cfRule type="cellIs" dxfId="101" priority="58" stopIfTrue="1" operator="greaterThan">
      <formula>#REF!</formula>
    </cfRule>
    <cfRule type="cellIs" dxfId="100" priority="59" stopIfTrue="1" operator="lessThanOrEqual">
      <formula>0</formula>
    </cfRule>
    <cfRule type="cellIs" dxfId="99" priority="47" stopIfTrue="1" operator="lessThanOrEqual">
      <formula>0</formula>
    </cfRule>
    <cfRule type="cellIs" dxfId="98" priority="48" stopIfTrue="1" operator="greaterThan">
      <formula>#REF!</formula>
    </cfRule>
    <cfRule type="cellIs" dxfId="97" priority="56" stopIfTrue="1" operator="greaterThan">
      <formula>$F$18</formula>
    </cfRule>
    <cfRule type="cellIs" dxfId="96" priority="57" stopIfTrue="1" operator="lessThanOrEqual">
      <formula>0</formula>
    </cfRule>
  </conditionalFormatting>
  <conditionalFormatting sqref="H61:H68">
    <cfRule type="cellIs" dxfId="95" priority="138" stopIfTrue="1" operator="greaterThan">
      <formula>$J61</formula>
    </cfRule>
    <cfRule type="cellIs" dxfId="94" priority="139" stopIfTrue="1" operator="lessThanOrEqual">
      <formula>0</formula>
    </cfRule>
  </conditionalFormatting>
  <conditionalFormatting sqref="H69">
    <cfRule type="cellIs" dxfId="93" priority="140" operator="greaterThan">
      <formula>5.3</formula>
    </cfRule>
  </conditionalFormatting>
  <conditionalFormatting sqref="H72 H74:H80">
    <cfRule type="cellIs" dxfId="92" priority="169" stopIfTrue="1" operator="greaterThan">
      <formula>4.5</formula>
    </cfRule>
    <cfRule type="cellIs" dxfId="91" priority="170" stopIfTrue="1" operator="lessThanOrEqual">
      <formula>0</formula>
    </cfRule>
  </conditionalFormatting>
  <conditionalFormatting sqref="H50:I50">
    <cfRule type="cellIs" dxfId="90" priority="17" stopIfTrue="1" operator="greaterThan">
      <formula>$F$67</formula>
    </cfRule>
    <cfRule type="cellIs" dxfId="89" priority="20" stopIfTrue="1" operator="lessThanOrEqual">
      <formula>0</formula>
    </cfRule>
  </conditionalFormatting>
  <conditionalFormatting sqref="H51:I51">
    <cfRule type="cellIs" dxfId="88" priority="93" stopIfTrue="1" operator="lessThanOrEqual">
      <formula>0</formula>
    </cfRule>
    <cfRule type="cellIs" dxfId="87" priority="90" stopIfTrue="1" operator="greaterThan">
      <formula>$F$18</formula>
    </cfRule>
  </conditionalFormatting>
  <conditionalFormatting sqref="H52:I52">
    <cfRule type="cellIs" dxfId="86" priority="60" stopIfTrue="1" operator="greaterThan">
      <formula>$F$64</formula>
    </cfRule>
    <cfRule type="cellIs" dxfId="85" priority="63" stopIfTrue="1" operator="lessThanOrEqual">
      <formula>0</formula>
    </cfRule>
  </conditionalFormatting>
  <conditionalFormatting sqref="H53:I54">
    <cfRule type="cellIs" dxfId="84" priority="79" stopIfTrue="1" operator="lessThanOrEqual">
      <formula>0</formula>
    </cfRule>
    <cfRule type="cellIs" dxfId="83" priority="76" stopIfTrue="1" operator="greaterThan">
      <formula>#REF!</formula>
    </cfRule>
  </conditionalFormatting>
  <conditionalFormatting sqref="H55:I55">
    <cfRule type="cellIs" dxfId="82" priority="105" stopIfTrue="1" operator="greaterThan">
      <formula>$F$33</formula>
    </cfRule>
    <cfRule type="cellIs" dxfId="81" priority="108" stopIfTrue="1" operator="lessThanOrEqual">
      <formula>0</formula>
    </cfRule>
  </conditionalFormatting>
  <conditionalFormatting sqref="H56:I57">
    <cfRule type="cellIs" dxfId="80" priority="49" stopIfTrue="1" operator="lessThanOrEqual">
      <formula>0</formula>
    </cfRule>
    <cfRule type="cellIs" dxfId="79" priority="46" stopIfTrue="1" operator="greaterThan">
      <formula>#REF!</formula>
    </cfRule>
  </conditionalFormatting>
  <conditionalFormatting sqref="H70:I70">
    <cfRule type="cellIs" dxfId="78" priority="130" stopIfTrue="1" operator="greaterThan">
      <formula>$J70</formula>
    </cfRule>
    <cfRule type="cellIs" dxfId="77" priority="131" stopIfTrue="1" operator="lessThanOrEqual">
      <formula>0</formula>
    </cfRule>
  </conditionalFormatting>
  <conditionalFormatting sqref="I50">
    <cfRule type="cellIs" dxfId="76" priority="26" stopIfTrue="1" operator="lessThanOrEqual">
      <formula>0</formula>
    </cfRule>
    <cfRule type="cellIs" dxfId="75" priority="25" stopIfTrue="1" operator="greaterThan">
      <formula>$F$65</formula>
    </cfRule>
    <cfRule type="cellIs" dxfId="74" priority="21" stopIfTrue="1" operator="greaterThan">
      <formula>$F$65</formula>
    </cfRule>
    <cfRule type="cellIs" dxfId="73" priority="22" stopIfTrue="1" operator="lessThanOrEqual">
      <formula>0</formula>
    </cfRule>
    <cfRule type="cellIs" dxfId="72" priority="23" stopIfTrue="1" operator="greaterThan">
      <formula>$F$67</formula>
    </cfRule>
    <cfRule type="cellIs" dxfId="71" priority="24" stopIfTrue="1" operator="lessThanOrEqual">
      <formula>0</formula>
    </cfRule>
  </conditionalFormatting>
  <conditionalFormatting sqref="I51">
    <cfRule type="cellIs" dxfId="70" priority="96" stopIfTrue="1" operator="greaterThan">
      <formula>$F$18</formula>
    </cfRule>
    <cfRule type="cellIs" dxfId="69" priority="97" stopIfTrue="1" operator="lessThanOrEqual">
      <formula>0</formula>
    </cfRule>
    <cfRule type="cellIs" dxfId="68" priority="98" stopIfTrue="1" operator="greaterThan">
      <formula>#REF!</formula>
    </cfRule>
    <cfRule type="cellIs" dxfId="67" priority="99" stopIfTrue="1" operator="lessThanOrEqual">
      <formula>0</formula>
    </cfRule>
    <cfRule type="cellIs" dxfId="66" priority="94" stopIfTrue="1" operator="greaterThan">
      <formula>#REF!</formula>
    </cfRule>
    <cfRule type="cellIs" dxfId="65" priority="95" stopIfTrue="1" operator="lessThanOrEqual">
      <formula>0</formula>
    </cfRule>
  </conditionalFormatting>
  <conditionalFormatting sqref="I52">
    <cfRule type="cellIs" dxfId="64" priority="69" stopIfTrue="1" operator="lessThanOrEqual">
      <formula>0</formula>
    </cfRule>
    <cfRule type="cellIs" dxfId="63" priority="64" stopIfTrue="1" operator="greaterThan">
      <formula>$F$62</formula>
    </cfRule>
    <cfRule type="cellIs" dxfId="62" priority="68" stopIfTrue="1" operator="greaterThan">
      <formula>$F$62</formula>
    </cfRule>
    <cfRule type="cellIs" dxfId="61" priority="67" stopIfTrue="1" operator="lessThanOrEqual">
      <formula>0</formula>
    </cfRule>
    <cfRule type="cellIs" dxfId="60" priority="66" stopIfTrue="1" operator="greaterThan">
      <formula>$F$64</formula>
    </cfRule>
    <cfRule type="cellIs" dxfId="59" priority="65" stopIfTrue="1" operator="lessThanOrEqual">
      <formula>0</formula>
    </cfRule>
  </conditionalFormatting>
  <conditionalFormatting sqref="I53:I54">
    <cfRule type="cellIs" dxfId="58" priority="83" stopIfTrue="1" operator="lessThanOrEqual">
      <formula>0</formula>
    </cfRule>
    <cfRule type="cellIs" dxfId="57" priority="85" stopIfTrue="1" operator="lessThanOrEqual">
      <formula>0</formula>
    </cfRule>
    <cfRule type="cellIs" dxfId="56" priority="84" stopIfTrue="1" operator="greaterThan">
      <formula>#REF!</formula>
    </cfRule>
    <cfRule type="cellIs" dxfId="55" priority="80" stopIfTrue="1" operator="greaterThan">
      <formula>#REF!</formula>
    </cfRule>
    <cfRule type="cellIs" dxfId="54" priority="82" stopIfTrue="1" operator="greaterThan">
      <formula>#REF!</formula>
    </cfRule>
    <cfRule type="cellIs" dxfId="53" priority="81" stopIfTrue="1" operator="lessThanOrEqual">
      <formula>0</formula>
    </cfRule>
  </conditionalFormatting>
  <conditionalFormatting sqref="I55">
    <cfRule type="cellIs" dxfId="52" priority="109" stopIfTrue="1" operator="greaterThan">
      <formula>$F$31</formula>
    </cfRule>
    <cfRule type="cellIs" dxfId="51" priority="110" stopIfTrue="1" operator="lessThanOrEqual">
      <formula>0</formula>
    </cfRule>
    <cfRule type="cellIs" dxfId="50" priority="111" stopIfTrue="1" operator="greaterThan">
      <formula>$F$33</formula>
    </cfRule>
    <cfRule type="cellIs" dxfId="49" priority="112" stopIfTrue="1" operator="lessThanOrEqual">
      <formula>0</formula>
    </cfRule>
    <cfRule type="cellIs" dxfId="48" priority="113" stopIfTrue="1" operator="greaterThan">
      <formula>$F$31</formula>
    </cfRule>
    <cfRule type="cellIs" dxfId="47" priority="114" stopIfTrue="1" operator="lessThanOrEqual">
      <formula>0</formula>
    </cfRule>
  </conditionalFormatting>
  <conditionalFormatting sqref="I56:I57">
    <cfRule type="cellIs" dxfId="46" priority="53" stopIfTrue="1" operator="lessThanOrEqual">
      <formula>0</formula>
    </cfRule>
    <cfRule type="cellIs" dxfId="45" priority="52" stopIfTrue="1" operator="greaterThan">
      <formula>#REF!</formula>
    </cfRule>
    <cfRule type="cellIs" dxfId="44" priority="51" stopIfTrue="1" operator="lessThanOrEqual">
      <formula>0</formula>
    </cfRule>
    <cfRule type="cellIs" dxfId="43" priority="50" stopIfTrue="1" operator="greaterThan">
      <formula>#REF!</formula>
    </cfRule>
    <cfRule type="cellIs" dxfId="42" priority="55" stopIfTrue="1" operator="lessThanOrEqual">
      <formula>0</formula>
    </cfRule>
    <cfRule type="cellIs" dxfId="41" priority="54" stopIfTrue="1" operator="greaterThan">
      <formula>#REF!</formula>
    </cfRule>
  </conditionalFormatting>
  <conditionalFormatting sqref="I61:I69">
    <cfRule type="cellIs" dxfId="40" priority="142" stopIfTrue="1" operator="lessThanOrEqual">
      <formula>0</formula>
    </cfRule>
    <cfRule type="cellIs" dxfId="39" priority="141" stopIfTrue="1" operator="greaterThan">
      <formula>$J61</formula>
    </cfRule>
  </conditionalFormatting>
  <conditionalFormatting sqref="I72:I80">
    <cfRule type="cellIs" dxfId="38" priority="166" stopIfTrue="1" operator="lessThanOrEqual">
      <formula>0</formula>
    </cfRule>
    <cfRule type="cellIs" dxfId="37" priority="165" stopIfTrue="1" operator="greaterThan">
      <formula>4.5</formula>
    </cfRule>
  </conditionalFormatting>
  <conditionalFormatting sqref="I10:J18">
    <cfRule type="cellIs" dxfId="36" priority="7" operator="lessThan">
      <formula>97.9</formula>
    </cfRule>
  </conditionalFormatting>
  <conditionalFormatting sqref="J22:J23">
    <cfRule type="cellIs" dxfId="35" priority="120" stopIfTrue="1" operator="lessThan">
      <formula>96.8</formula>
    </cfRule>
    <cfRule type="cellIs" dxfId="34" priority="122" operator="lessThan">
      <formula>98</formula>
    </cfRule>
    <cfRule type="cellIs" dxfId="33" priority="121" stopIfTrue="1" operator="greaterThan">
      <formula>100</formula>
    </cfRule>
  </conditionalFormatting>
  <conditionalFormatting sqref="J22:J25">
    <cfRule type="cellIs" dxfId="32" priority="119" operator="lessThan">
      <formula>97.4</formula>
    </cfRule>
  </conditionalFormatting>
  <conditionalFormatting sqref="J26:J27">
    <cfRule type="cellIs" dxfId="31" priority="123" operator="lessThan">
      <formula>98</formula>
    </cfRule>
  </conditionalFormatting>
  <conditionalFormatting sqref="J28:J29">
    <cfRule type="cellIs" dxfId="30" priority="124" stopIfTrue="1" operator="lessThan">
      <formula>96.8</formula>
    </cfRule>
    <cfRule type="cellIs" dxfId="29" priority="125" stopIfTrue="1" operator="greaterThan">
      <formula>100</formula>
    </cfRule>
  </conditionalFormatting>
  <conditionalFormatting sqref="J28:J30">
    <cfRule type="cellIs" dxfId="28" priority="126" operator="lessThan">
      <formula>98</formula>
    </cfRule>
  </conditionalFormatting>
  <conditionalFormatting sqref="J57">
    <cfRule type="cellIs" dxfId="27" priority="45" stopIfTrue="1" operator="lessThanOrEqual">
      <formula>0</formula>
    </cfRule>
    <cfRule type="cellIs" dxfId="26" priority="44" stopIfTrue="1" operator="greaterThan">
      <formula>#REF!</formula>
    </cfRule>
    <cfRule type="cellIs" dxfId="25" priority="43" stopIfTrue="1" operator="lessThanOrEqual">
      <formula>0</formula>
    </cfRule>
    <cfRule type="cellIs" dxfId="24" priority="42" stopIfTrue="1" operator="greaterThan">
      <formula>#REF!</formula>
    </cfRule>
    <cfRule type="cellIs" dxfId="23" priority="41" stopIfTrue="1" operator="lessThanOrEqual">
      <formula>0</formula>
    </cfRule>
    <cfRule type="cellIs" dxfId="22" priority="40" stopIfTrue="1" operator="greaterThan">
      <formula>#REF!</formula>
    </cfRule>
    <cfRule type="cellIs" dxfId="21" priority="39" stopIfTrue="1" operator="lessThanOrEqual">
      <formula>0</formula>
    </cfRule>
    <cfRule type="cellIs" dxfId="20" priority="38" stopIfTrue="1" operator="greaterThan">
      <formula>#REF!</formula>
    </cfRule>
  </conditionalFormatting>
  <conditionalFormatting sqref="J70">
    <cfRule type="cellIs" dxfId="19" priority="127" stopIfTrue="1" operator="greaterThan">
      <formula>$F70</formula>
    </cfRule>
    <cfRule type="cellIs" dxfId="18" priority="128" stopIfTrue="1" operator="lessThanOrEqual">
      <formula>0</formula>
    </cfRule>
  </conditionalFormatting>
  <conditionalFormatting sqref="K10:K18">
    <cfRule type="cellIs" dxfId="17" priority="10" operator="greaterThan">
      <formula>6.4</formula>
    </cfRule>
    <cfRule type="cellIs" dxfId="16" priority="9" operator="lessThan">
      <formula>4</formula>
    </cfRule>
    <cfRule type="cellIs" dxfId="15" priority="8" operator="greaterThan">
      <formula>6</formula>
    </cfRule>
  </conditionalFormatting>
  <conditionalFormatting sqref="K50:K57 K61:N67 K68 M68:N68 K69:N69">
    <cfRule type="cellIs" dxfId="14" priority="104" stopIfTrue="1" operator="lessThan">
      <formula>100%</formula>
    </cfRule>
  </conditionalFormatting>
  <conditionalFormatting sqref="K72:K77">
    <cfRule type="cellIs" dxfId="13" priority="171" stopIfTrue="1" operator="lessThan">
      <formula>100%</formula>
    </cfRule>
  </conditionalFormatting>
  <conditionalFormatting sqref="K79:K80">
    <cfRule type="cellIs" dxfId="12" priority="178" stopIfTrue="1" operator="lessThan">
      <formula>100%</formula>
    </cfRule>
  </conditionalFormatting>
  <conditionalFormatting sqref="L18">
    <cfRule type="cellIs" dxfId="11" priority="12" operator="greaterThan">
      <formula>65</formula>
    </cfRule>
    <cfRule type="cellIs" dxfId="10" priority="11" operator="between">
      <formula>61</formula>
      <formula>65</formula>
    </cfRule>
  </conditionalFormatting>
  <conditionalFormatting sqref="L10:M17">
    <cfRule type="cellIs" dxfId="9" priority="1" operator="greaterThan">
      <formula>65</formula>
    </cfRule>
    <cfRule type="cellIs" dxfId="8" priority="2" operator="between">
      <formula>61</formula>
      <formula>65</formula>
    </cfRule>
  </conditionalFormatting>
  <conditionalFormatting sqref="L21:M32">
    <cfRule type="cellIs" dxfId="7" priority="15" operator="lessThan">
      <formula>97.95</formula>
    </cfRule>
  </conditionalFormatting>
  <conditionalFormatting sqref="L36:N36">
    <cfRule type="cellIs" dxfId="6" priority="16" operator="notEqual">
      <formula>#REF!</formula>
    </cfRule>
  </conditionalFormatting>
  <conditionalFormatting sqref="L70:N70">
    <cfRule type="cellIs" dxfId="5" priority="129" stopIfTrue="1" operator="lessThan">
      <formula>100%</formula>
    </cfRule>
  </conditionalFormatting>
  <conditionalFormatting sqref="L72:N80">
    <cfRule type="cellIs" dxfId="4" priority="156" stopIfTrue="1" operator="lessThan">
      <formula>100%</formula>
    </cfRule>
  </conditionalFormatting>
  <conditionalFormatting sqref="M10:M17 G10:G17 H11:H17">
    <cfRule type="expression" dxfId="3" priority="3">
      <formula>IF(+(IF(G10&lt;#REF!,0,IF(G10&gt;#REF!,0,1)))=0,1)</formula>
    </cfRule>
  </conditionalFormatting>
  <conditionalFormatting sqref="M18:N18">
    <cfRule type="expression" dxfId="2" priority="186">
      <formula>IF(+(IF(M18&lt;#REF!,0,IF(M18&gt;#REF!,0,1)))=0,1)</formula>
    </cfRule>
  </conditionalFormatting>
  <conditionalFormatting sqref="N10:N17">
    <cfRule type="expression" dxfId="1" priority="6">
      <formula>IF(+(IF(N10&lt;W10,0,IF(N10&gt;X10,0,1)))=0,1)</formula>
    </cfRule>
  </conditionalFormatting>
  <conditionalFormatting sqref="P6">
    <cfRule type="cellIs" dxfId="0" priority="152" operator="greaterThanOrEqual">
      <formula>19</formula>
    </cfRule>
  </conditionalFormatting>
  <dataValidations count="1">
    <dataValidation type="list" allowBlank="1" showInputMessage="1" showErrorMessage="1" sqref="R8" xr:uid="{9776E682-34C4-4D1D-9BE6-3A243353C53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8" t="s">
        <v>58</v>
      </c>
      <c r="C2" s="608"/>
      <c r="D2" s="608"/>
      <c r="E2" s="608"/>
      <c r="F2" s="608"/>
      <c r="G2" s="608"/>
      <c r="H2" s="608"/>
      <c r="I2" s="608"/>
      <c r="J2" s="608"/>
      <c r="K2" s="608"/>
    </row>
    <row r="3" spans="2:14" ht="15.75" hidden="1" thickBot="1">
      <c r="B3" s="79"/>
    </row>
    <row r="4" spans="2:14" ht="13.5" hidden="1" thickBot="1">
      <c r="B4" s="78" t="s">
        <v>7</v>
      </c>
      <c r="C4" s="609">
        <v>41431</v>
      </c>
      <c r="D4" s="60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0" t="s">
        <v>17</v>
      </c>
      <c r="C8" s="612" t="s">
        <v>18</v>
      </c>
      <c r="D8" s="612" t="s">
        <v>59</v>
      </c>
      <c r="E8" s="80" t="s">
        <v>20</v>
      </c>
      <c r="F8" s="81" t="s">
        <v>21</v>
      </c>
      <c r="G8" s="612" t="s">
        <v>60</v>
      </c>
      <c r="H8" s="612" t="s">
        <v>61</v>
      </c>
      <c r="I8" s="614" t="s">
        <v>62</v>
      </c>
      <c r="J8" s="82" t="s">
        <v>25</v>
      </c>
      <c r="K8" s="616" t="s">
        <v>28</v>
      </c>
    </row>
    <row r="9" spans="2:14" ht="26.25" hidden="1" thickBot="1">
      <c r="B9" s="611"/>
      <c r="C9" s="613"/>
      <c r="D9" s="613"/>
      <c r="E9" s="83" t="s">
        <v>30</v>
      </c>
      <c r="F9" s="84" t="s">
        <v>63</v>
      </c>
      <c r="G9" s="613"/>
      <c r="H9" s="613"/>
      <c r="I9" s="615"/>
      <c r="J9" s="85" t="s">
        <v>32</v>
      </c>
      <c r="K9" s="617"/>
      <c r="L9" s="86"/>
      <c r="M9" s="86"/>
      <c r="N9" s="86"/>
    </row>
    <row r="10" spans="2:14" ht="13.5" hidden="1" thickBot="1">
      <c r="B10" s="87" t="s">
        <v>64</v>
      </c>
      <c r="C10" s="88" t="str">
        <f>[45]Brewhouse!A5359</f>
        <v>CA236</v>
      </c>
      <c r="D10" s="88">
        <f>[45]Brewhouse!B5359</f>
        <v>41437</v>
      </c>
      <c r="E10" s="89">
        <f>[45]Brewhouse!AG5359</f>
        <v>49.011000000000003</v>
      </c>
      <c r="F10" s="90">
        <f>[45]Brewhouse!T5359</f>
        <v>60</v>
      </c>
      <c r="G10" s="91">
        <f>[45]Brewhouse!I5359</f>
        <v>19.79</v>
      </c>
      <c r="H10" s="92">
        <f>[45]Brewhouse!AS5359</f>
        <v>94.981545664755075</v>
      </c>
      <c r="I10" s="92">
        <f>[45]Brewhouse!AT5359</f>
        <v>97.074072469002047</v>
      </c>
      <c r="J10" s="93">
        <f>[45]Brewhouse!S5359-[45]Brewhouse!R5359</f>
        <v>0.10694444444444451</v>
      </c>
      <c r="K10" s="94"/>
      <c r="N10" s="95"/>
    </row>
    <row r="11" spans="2:14" ht="13.5" hidden="1" thickBot="1">
      <c r="B11" s="96"/>
      <c r="C11" s="88" t="str">
        <f>[45]Brewhouse!A5360</f>
        <v>CA237</v>
      </c>
      <c r="D11" s="88">
        <f>[45]Brewhouse!B5360</f>
        <v>41437</v>
      </c>
      <c r="E11" s="89">
        <f>[45]Brewhouse!AG5360</f>
        <v>48.531999999999996</v>
      </c>
      <c r="F11" s="90">
        <f>[45]Brewhouse!T5360</f>
        <v>68</v>
      </c>
      <c r="G11" s="91">
        <f>[45]Brewhouse!I5360</f>
        <v>17.7</v>
      </c>
      <c r="H11" s="92">
        <f>[45]Brewhouse!AS5360</f>
        <v>94.053260986347809</v>
      </c>
      <c r="I11" s="92">
        <f>[45]Brewhouse!AT5360</f>
        <v>96.1253368644918</v>
      </c>
      <c r="J11" s="93">
        <f>[45]Brewhouse!S5360-[45]Brewhouse!R5360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[45]Brewhouse!A5361</f>
        <v>CA238</v>
      </c>
      <c r="D12" s="88">
        <f>[45]Brewhouse!B5361</f>
        <v>41437</v>
      </c>
      <c r="E12" s="89">
        <f>[45]Brewhouse!AG5361</f>
        <v>50.466999999999999</v>
      </c>
      <c r="F12" s="90">
        <f>[45]Brewhouse!T5361</f>
        <v>61</v>
      </c>
      <c r="G12" s="91">
        <f>[45]Brewhouse!I5361</f>
        <v>19.7</v>
      </c>
      <c r="H12" s="92">
        <f>[45]Brewhouse!AS5361</f>
        <v>96.931393272913695</v>
      </c>
      <c r="I12" s="92">
        <f>[45]Brewhouse!AT5361</f>
        <v>99.066876931102286</v>
      </c>
      <c r="J12" s="93">
        <f>[45]Brewhouse!S5361-[45]Brewhouse!R5361</f>
        <v>0.10208333333333341</v>
      </c>
      <c r="K12" s="98"/>
    </row>
    <row r="13" spans="2:14" ht="13.5" hidden="1" thickBot="1">
      <c r="B13" s="99"/>
      <c r="C13" s="88" t="str">
        <f>[45]Brewhouse!A5362</f>
        <v>CA239</v>
      </c>
      <c r="D13" s="88">
        <f>[45]Brewhouse!B5362</f>
        <v>41437</v>
      </c>
      <c r="E13" s="89">
        <f>[45]Brewhouse!AG5362</f>
        <v>49.374000000000002</v>
      </c>
      <c r="F13" s="90">
        <f>[45]Brewhouse!T5362</f>
        <v>62</v>
      </c>
      <c r="G13" s="91">
        <f>[45]Brewhouse!I5362</f>
        <v>19</v>
      </c>
      <c r="H13" s="92">
        <f>[45]Brewhouse!AS5362</f>
        <v>95.68502653795305</v>
      </c>
      <c r="I13" s="92">
        <f>[45]Brewhouse!AT5362</f>
        <v>97.793051643192499</v>
      </c>
      <c r="J13" s="93">
        <f>[45]Brewhouse!S5362-[45]Brewhouse!R5362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8" t="s">
        <v>69</v>
      </c>
      <c r="G21" s="619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[45]Brewhouse!N5359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[45]Brewhouse!N5360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[45]Brewhouse!N5361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[45]Brewhouse!N5362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AVERAGE([45]Brewhouse!$AS$5347:$AS$5362)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AVERAGE([46]Brewhouse!$AQ$641:$AQ$644)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AVERAGE([47]Brewhouse!$AU$708:$AU$711)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AVERAGE([48]Brewhouse!$AY$943:$AY$946)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0" t="s">
        <v>17</v>
      </c>
      <c r="C43" s="612" t="s">
        <v>18</v>
      </c>
      <c r="D43" s="612" t="s">
        <v>44</v>
      </c>
      <c r="E43" s="612" t="s">
        <v>79</v>
      </c>
      <c r="F43" s="612" t="s">
        <v>51</v>
      </c>
      <c r="G43" s="612" t="s">
        <v>48</v>
      </c>
      <c r="H43" s="627" t="s">
        <v>28</v>
      </c>
      <c r="I43" s="628"/>
      <c r="J43" s="628"/>
      <c r="K43" s="616" t="s">
        <v>27</v>
      </c>
    </row>
    <row r="44" spans="2:15" ht="15.75" hidden="1" customHeight="1" thickBot="1">
      <c r="B44" s="623"/>
      <c r="C44" s="624"/>
      <c r="D44" s="624"/>
      <c r="E44" s="624"/>
      <c r="F44" s="624"/>
      <c r="G44" s="624"/>
      <c r="H44" s="629"/>
      <c r="I44" s="630"/>
      <c r="J44" s="630"/>
      <c r="K44" s="62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1"/>
      <c r="I45" s="622"/>
      <c r="J45" s="62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31"/>
      <c r="I46" s="632"/>
      <c r="J46" s="632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31"/>
      <c r="I47" s="632"/>
      <c r="J47" s="632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31"/>
      <c r="I48" s="632"/>
      <c r="J48" s="632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25"/>
      <c r="I49" s="626"/>
      <c r="J49" s="626"/>
      <c r="K49" s="172"/>
    </row>
    <row r="50" spans="2:11" ht="13.5" hidden="1" thickBot="1">
      <c r="B50" s="173"/>
      <c r="C50" s="160"/>
      <c r="E50" s="168"/>
      <c r="F50" s="168"/>
      <c r="G50" s="145"/>
      <c r="H50" s="625"/>
      <c r="I50" s="626"/>
      <c r="J50" s="626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25"/>
      <c r="I51" s="626"/>
      <c r="J51" s="626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3"/>
      <c r="I52" s="634"/>
      <c r="J52" s="634"/>
      <c r="K52" s="183"/>
    </row>
    <row r="53" spans="2:11" ht="13.5" thickBot="1">
      <c r="B53" s="184"/>
      <c r="C53" s="117"/>
      <c r="D53" s="635" t="s">
        <v>80</v>
      </c>
      <c r="E53" s="635"/>
      <c r="F53" s="635"/>
      <c r="G53" s="635"/>
      <c r="H53" s="635"/>
      <c r="I53" s="635"/>
      <c r="J53" s="635"/>
      <c r="K53" s="185"/>
    </row>
    <row r="54" spans="2:11" ht="13.5" thickBot="1">
      <c r="B54" s="636" t="s">
        <v>55</v>
      </c>
      <c r="C54" s="637"/>
      <c r="D54" s="637"/>
      <c r="E54" s="638"/>
      <c r="F54" s="636" t="s">
        <v>56</v>
      </c>
      <c r="G54" s="637"/>
      <c r="H54" s="638"/>
      <c r="I54" s="639" t="s">
        <v>81</v>
      </c>
      <c r="J54" s="640"/>
      <c r="K54" s="641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[44]MTD!$E5</f>
        <v>5.7283465990881002</v>
      </c>
      <c r="E56" s="192">
        <v>5</v>
      </c>
      <c r="F56" s="191"/>
      <c r="G56" s="76">
        <f>[42]December_2025!$AN3</f>
        <v>4.9612611644546387</v>
      </c>
      <c r="H56" s="192">
        <v>5</v>
      </c>
      <c r="I56" s="193"/>
      <c r="J56" s="194">
        <f>[43]December_2025!AN13</f>
        <v>0.46315302144249515</v>
      </c>
      <c r="K56" s="195">
        <v>1</v>
      </c>
    </row>
    <row r="57" spans="2:11" ht="15">
      <c r="B57" s="33" t="s">
        <v>72</v>
      </c>
      <c r="C57" s="191"/>
      <c r="D57" s="76">
        <f>[44]MTD!$E6</f>
        <v>3.6647314949201824</v>
      </c>
      <c r="E57" s="192">
        <v>5</v>
      </c>
      <c r="F57" s="191"/>
      <c r="G57" s="76">
        <f>[42]December_2025!$AN4</f>
        <v>3.24461187041305</v>
      </c>
      <c r="H57" s="192">
        <v>5</v>
      </c>
      <c r="I57" s="196"/>
      <c r="J57" s="194">
        <f>[43]December_2025!AN14</f>
        <v>0.47543024227234754</v>
      </c>
      <c r="K57" s="195">
        <v>1</v>
      </c>
    </row>
    <row r="58" spans="2:11" ht="15">
      <c r="B58" s="34" t="s">
        <v>73</v>
      </c>
      <c r="C58" s="191"/>
      <c r="D58" s="76">
        <f>[44]MTD!$E7</f>
        <v>12.016908212560388</v>
      </c>
      <c r="E58" s="192">
        <v>5</v>
      </c>
      <c r="F58" s="191"/>
      <c r="G58" s="76">
        <f>[42]December_2025!$AN5</f>
        <v>12.659626751336301</v>
      </c>
      <c r="H58" s="192">
        <v>5</v>
      </c>
      <c r="I58" s="196"/>
      <c r="J58" s="194">
        <f>[43]December_2025!AN15</f>
        <v>0.37337719298245614</v>
      </c>
      <c r="K58" s="195">
        <v>1</v>
      </c>
    </row>
    <row r="59" spans="2:11" ht="15">
      <c r="B59" s="197" t="s">
        <v>74</v>
      </c>
      <c r="C59" s="191"/>
      <c r="D59" s="76">
        <f>[44]MTD!$E8</f>
        <v>3.4899294938212191</v>
      </c>
      <c r="E59" s="192">
        <v>3.5</v>
      </c>
      <c r="F59" s="191"/>
      <c r="G59" s="76">
        <f>[42]December_2025!$AN6</f>
        <v>2.6511803423748783</v>
      </c>
      <c r="H59" s="192">
        <v>3.5</v>
      </c>
      <c r="I59" s="196"/>
      <c r="J59" s="194">
        <f>[43]December_2025!AN16</f>
        <v>0.78134502923976601</v>
      </c>
      <c r="K59" s="195">
        <v>1</v>
      </c>
    </row>
    <row r="60" spans="2:11" ht="15.75" thickBot="1">
      <c r="B60" s="38" t="s">
        <v>160</v>
      </c>
      <c r="C60" s="191"/>
      <c r="D60" s="76" t="e">
        <f>[44]MTD!$E9</f>
        <v>#DIV/0!</v>
      </c>
      <c r="E60" s="192">
        <v>3.5</v>
      </c>
      <c r="F60" s="198"/>
      <c r="G60" s="76" t="e">
        <f>[42]December_2025!$AN7</f>
        <v>#DIV/0!</v>
      </c>
      <c r="H60" s="192">
        <v>3.5</v>
      </c>
      <c r="I60" s="196"/>
      <c r="J60" s="194" t="e">
        <f>[43]December_2025!AN17</f>
        <v>#DIV/0!</v>
      </c>
      <c r="K60" s="195">
        <v>1</v>
      </c>
    </row>
    <row r="61" spans="2:11" ht="15">
      <c r="B61" s="199" t="s">
        <v>76</v>
      </c>
      <c r="C61" s="191"/>
      <c r="D61" s="76" t="e">
        <f>[44]MTD!$E10</f>
        <v>#DIV/0!</v>
      </c>
      <c r="E61" s="200">
        <v>5</v>
      </c>
      <c r="F61" s="191"/>
      <c r="G61" s="76" t="e">
        <f>[42]December_2025!$AN8</f>
        <v>#DIV/0!</v>
      </c>
      <c r="H61" s="200">
        <v>5</v>
      </c>
      <c r="I61" s="196"/>
      <c r="J61" s="194" t="e">
        <f>[43]December_2025!AN18</f>
        <v>#DIV/0!</v>
      </c>
      <c r="K61" s="195">
        <v>1</v>
      </c>
    </row>
    <row r="62" spans="2:11" ht="15">
      <c r="B62" s="201" t="s">
        <v>82</v>
      </c>
      <c r="C62" s="202"/>
      <c r="D62" s="76">
        <f>[44]MTD!$E11</f>
        <v>2.192371331533558</v>
      </c>
      <c r="E62" s="200">
        <v>3.3</v>
      </c>
      <c r="F62" s="202"/>
      <c r="G62" s="76">
        <f>[42]December_2025!$AN9</f>
        <v>5.3788101103157819</v>
      </c>
      <c r="H62" s="200">
        <v>3.3</v>
      </c>
      <c r="I62" s="203"/>
      <c r="J62" s="194">
        <f>[43]December_2025!AN19</f>
        <v>0.64058479532163748</v>
      </c>
      <c r="K62" s="204">
        <v>1</v>
      </c>
    </row>
    <row r="63" spans="2:11" ht="15.75" thickBot="1">
      <c r="B63" s="38" t="s">
        <v>128</v>
      </c>
      <c r="C63" s="205"/>
      <c r="D63" s="76" t="e">
        <f>[44]MTD!$E12</f>
        <v>#DIV/0!</v>
      </c>
      <c r="E63" s="206">
        <v>3.5</v>
      </c>
      <c r="F63" s="205"/>
      <c r="G63" s="76" t="e">
        <f>[42]December_2025!$AN10</f>
        <v>#DIV/0!</v>
      </c>
      <c r="H63" s="206">
        <v>3.5</v>
      </c>
      <c r="I63" s="207"/>
      <c r="J63" s="194" t="e">
        <f>[43]December_2025!AN20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[44]MTD!$E13</f>
        <v>#DIV/0!</v>
      </c>
      <c r="E64" s="192">
        <v>5</v>
      </c>
      <c r="F64" s="198"/>
      <c r="G64" s="76" t="e">
        <f>[42]December_2025!$AN11</f>
        <v>#DIV/0!</v>
      </c>
      <c r="H64" s="192">
        <v>5</v>
      </c>
      <c r="I64" s="412"/>
      <c r="J64" s="194">
        <f>[43]December_2025!AN21</f>
        <v>0</v>
      </c>
      <c r="K64" s="208">
        <v>1</v>
      </c>
    </row>
    <row r="65" spans="2:11">
      <c r="B65" s="209"/>
      <c r="C65" s="210"/>
      <c r="D65" s="76">
        <f>[44]MTD!$E14</f>
        <v>5.2376061992344427</v>
      </c>
      <c r="E65" s="210"/>
      <c r="F65" s="210"/>
      <c r="G65" s="76">
        <f>[42]December_2025!$AN12</f>
        <v>5.3448246923904676</v>
      </c>
      <c r="H65" s="211"/>
      <c r="I65" s="212"/>
      <c r="J65" s="194">
        <f>[43]December_2025!AN22</f>
        <v>0.51626775271512104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8" t="s">
        <v>58</v>
      </c>
      <c r="C2" s="608"/>
      <c r="D2" s="608"/>
      <c r="E2" s="608"/>
      <c r="F2" s="608"/>
      <c r="G2" s="608"/>
      <c r="H2" s="608"/>
      <c r="I2" s="608"/>
      <c r="J2" s="608"/>
      <c r="K2" s="608"/>
    </row>
    <row r="3" spans="2:14" ht="15.75" hidden="1" thickBot="1">
      <c r="B3" s="79"/>
    </row>
    <row r="4" spans="2:14" ht="13.5" hidden="1" thickBot="1">
      <c r="B4" s="78" t="s">
        <v>7</v>
      </c>
      <c r="C4" s="609">
        <v>41431</v>
      </c>
      <c r="D4" s="60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0" t="s">
        <v>17</v>
      </c>
      <c r="C8" s="612" t="s">
        <v>18</v>
      </c>
      <c r="D8" s="612" t="s">
        <v>59</v>
      </c>
      <c r="E8" s="80" t="s">
        <v>20</v>
      </c>
      <c r="F8" s="81" t="s">
        <v>21</v>
      </c>
      <c r="G8" s="612" t="s">
        <v>60</v>
      </c>
      <c r="H8" s="612" t="s">
        <v>61</v>
      </c>
      <c r="I8" s="614" t="s">
        <v>62</v>
      </c>
      <c r="J8" s="82" t="s">
        <v>25</v>
      </c>
      <c r="K8" s="616" t="s">
        <v>28</v>
      </c>
    </row>
    <row r="9" spans="2:14" ht="26.25" hidden="1" thickBot="1">
      <c r="B9" s="611"/>
      <c r="C9" s="613"/>
      <c r="D9" s="613"/>
      <c r="E9" s="83" t="s">
        <v>30</v>
      </c>
      <c r="F9" s="84" t="s">
        <v>63</v>
      </c>
      <c r="G9" s="613"/>
      <c r="H9" s="613"/>
      <c r="I9" s="615"/>
      <c r="J9" s="85" t="s">
        <v>32</v>
      </c>
      <c r="K9" s="617"/>
      <c r="L9" s="86"/>
      <c r="M9" s="86"/>
      <c r="N9" s="86"/>
    </row>
    <row r="10" spans="2:14" ht="13.5" hidden="1" thickBot="1">
      <c r="B10" s="87" t="s">
        <v>64</v>
      </c>
      <c r="C10" s="88" t="str">
        <f>[45]Brewhouse!A5359</f>
        <v>CA236</v>
      </c>
      <c r="D10" s="88">
        <f>[45]Brewhouse!B5359</f>
        <v>41437</v>
      </c>
      <c r="E10" s="89">
        <f>[45]Brewhouse!AG5359</f>
        <v>49.011000000000003</v>
      </c>
      <c r="F10" s="90">
        <f>[45]Brewhouse!T5359</f>
        <v>60</v>
      </c>
      <c r="G10" s="91">
        <f>[45]Brewhouse!I5359</f>
        <v>19.79</v>
      </c>
      <c r="H10" s="92">
        <f>[45]Brewhouse!AS5359</f>
        <v>94.981545664755075</v>
      </c>
      <c r="I10" s="92">
        <f>[45]Brewhouse!AT5359</f>
        <v>97.074072469002047</v>
      </c>
      <c r="J10" s="93">
        <f>[45]Brewhouse!S5359-[45]Brewhouse!R5359</f>
        <v>0.10694444444444451</v>
      </c>
      <c r="K10" s="94"/>
      <c r="N10" s="95"/>
    </row>
    <row r="11" spans="2:14" ht="13.5" hidden="1" thickBot="1">
      <c r="B11" s="96"/>
      <c r="C11" s="88" t="str">
        <f>[45]Brewhouse!A5360</f>
        <v>CA237</v>
      </c>
      <c r="D11" s="88">
        <f>[45]Brewhouse!B5360</f>
        <v>41437</v>
      </c>
      <c r="E11" s="89">
        <f>[45]Brewhouse!AG5360</f>
        <v>48.531999999999996</v>
      </c>
      <c r="F11" s="90">
        <f>[45]Brewhouse!T5360</f>
        <v>68</v>
      </c>
      <c r="G11" s="91">
        <f>[45]Brewhouse!I5360</f>
        <v>17.7</v>
      </c>
      <c r="H11" s="92">
        <f>[45]Brewhouse!AS5360</f>
        <v>94.053260986347809</v>
      </c>
      <c r="I11" s="92">
        <f>[45]Brewhouse!AT5360</f>
        <v>96.1253368644918</v>
      </c>
      <c r="J11" s="93">
        <f>[45]Brewhouse!S5360-[45]Brewhouse!R5360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[45]Brewhouse!A5361</f>
        <v>CA238</v>
      </c>
      <c r="D12" s="88">
        <f>[45]Brewhouse!B5361</f>
        <v>41437</v>
      </c>
      <c r="E12" s="89">
        <f>[45]Brewhouse!AG5361</f>
        <v>50.466999999999999</v>
      </c>
      <c r="F12" s="90">
        <f>[45]Brewhouse!T5361</f>
        <v>61</v>
      </c>
      <c r="G12" s="91">
        <f>[45]Brewhouse!I5361</f>
        <v>19.7</v>
      </c>
      <c r="H12" s="92">
        <f>[45]Brewhouse!AS5361</f>
        <v>96.931393272913695</v>
      </c>
      <c r="I12" s="92">
        <f>[45]Brewhouse!AT5361</f>
        <v>99.066876931102286</v>
      </c>
      <c r="J12" s="93">
        <f>[45]Brewhouse!S5361-[45]Brewhouse!R5361</f>
        <v>0.10208333333333341</v>
      </c>
      <c r="K12" s="98"/>
    </row>
    <row r="13" spans="2:14" ht="13.5" hidden="1" thickBot="1">
      <c r="B13" s="99"/>
      <c r="C13" s="88" t="str">
        <f>[45]Brewhouse!A5362</f>
        <v>CA239</v>
      </c>
      <c r="D13" s="88">
        <f>[45]Brewhouse!B5362</f>
        <v>41437</v>
      </c>
      <c r="E13" s="89">
        <f>[45]Brewhouse!AG5362</f>
        <v>49.374000000000002</v>
      </c>
      <c r="F13" s="90">
        <f>[45]Brewhouse!T5362</f>
        <v>62</v>
      </c>
      <c r="G13" s="91">
        <f>[45]Brewhouse!I5362</f>
        <v>19</v>
      </c>
      <c r="H13" s="92">
        <f>[45]Brewhouse!AS5362</f>
        <v>95.68502653795305</v>
      </c>
      <c r="I13" s="92">
        <f>[45]Brewhouse!AT5362</f>
        <v>97.793051643192499</v>
      </c>
      <c r="J13" s="93">
        <f>[45]Brewhouse!S5362-[45]Brewhouse!R5362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8" t="s">
        <v>69</v>
      </c>
      <c r="G21" s="619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[45]Brewhouse!N5359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[45]Brewhouse!N5360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[45]Brewhouse!N5361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[45]Brewhouse!N5362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AVERAGE([45]Brewhouse!$AS$5347:$AS$5362)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AVERAGE([46]Brewhouse!$AQ$641:$AQ$644)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AVERAGE([47]Brewhouse!$AU$708:$AU$711)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AVERAGE([48]Brewhouse!$AY$943:$AY$946)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0" t="s">
        <v>17</v>
      </c>
      <c r="C43" s="612" t="s">
        <v>18</v>
      </c>
      <c r="D43" s="612" t="s">
        <v>44</v>
      </c>
      <c r="E43" s="612" t="s">
        <v>79</v>
      </c>
      <c r="F43" s="612" t="s">
        <v>51</v>
      </c>
      <c r="G43" s="612" t="s">
        <v>48</v>
      </c>
      <c r="H43" s="627" t="s">
        <v>28</v>
      </c>
      <c r="I43" s="628"/>
      <c r="J43" s="628"/>
      <c r="K43" s="616" t="s">
        <v>27</v>
      </c>
    </row>
    <row r="44" spans="2:15" ht="15.75" hidden="1" customHeight="1" thickBot="1">
      <c r="B44" s="623"/>
      <c r="C44" s="624"/>
      <c r="D44" s="624"/>
      <c r="E44" s="624"/>
      <c r="F44" s="624"/>
      <c r="G44" s="624"/>
      <c r="H44" s="629"/>
      <c r="I44" s="630"/>
      <c r="J44" s="630"/>
      <c r="K44" s="62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1"/>
      <c r="I45" s="622"/>
      <c r="J45" s="62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31"/>
      <c r="I46" s="632"/>
      <c r="J46" s="632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31"/>
      <c r="I47" s="632"/>
      <c r="J47" s="632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31"/>
      <c r="I48" s="632"/>
      <c r="J48" s="632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25"/>
      <c r="I49" s="626"/>
      <c r="J49" s="626"/>
      <c r="K49" s="172"/>
    </row>
    <row r="50" spans="2:11" ht="13.5" hidden="1" thickBot="1">
      <c r="B50" s="173"/>
      <c r="C50" s="160"/>
      <c r="E50" s="168"/>
      <c r="F50" s="168"/>
      <c r="G50" s="145"/>
      <c r="H50" s="625"/>
      <c r="I50" s="626"/>
      <c r="J50" s="626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25"/>
      <c r="I51" s="626"/>
      <c r="J51" s="626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3"/>
      <c r="I52" s="634"/>
      <c r="J52" s="634"/>
      <c r="K52" s="183"/>
    </row>
    <row r="53" spans="2:11" ht="13.5" thickBot="1">
      <c r="B53" s="184"/>
      <c r="C53" s="117"/>
      <c r="D53" s="635" t="s">
        <v>80</v>
      </c>
      <c r="E53" s="635"/>
      <c r="F53" s="635"/>
      <c r="G53" s="635"/>
      <c r="H53" s="635"/>
      <c r="I53" s="635"/>
      <c r="J53" s="635"/>
      <c r="K53" s="185"/>
    </row>
    <row r="54" spans="2:11" ht="13.5" thickBot="1">
      <c r="B54" s="636" t="s">
        <v>55</v>
      </c>
      <c r="C54" s="637"/>
      <c r="D54" s="637"/>
      <c r="E54" s="638"/>
      <c r="F54" s="636" t="s">
        <v>56</v>
      </c>
      <c r="G54" s="637"/>
      <c r="H54" s="638"/>
      <c r="I54" s="639" t="s">
        <v>81</v>
      </c>
      <c r="J54" s="640"/>
      <c r="K54" s="641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'[44]YTD 2025'!$E5</f>
        <v>6.0421369371604801</v>
      </c>
      <c r="E56" s="192">
        <v>5</v>
      </c>
      <c r="F56" s="191"/>
      <c r="G56" s="76">
        <f>[42]December_2025!AQ3</f>
        <v>5.9126136559518887</v>
      </c>
      <c r="H56" s="192">
        <v>5</v>
      </c>
      <c r="I56" s="193"/>
      <c r="J56" s="194">
        <f>[43]December_2025!AQ13</f>
        <v>0.70527994238178437</v>
      </c>
      <c r="K56" s="195">
        <v>1</v>
      </c>
    </row>
    <row r="57" spans="2:11" ht="15">
      <c r="B57" s="33" t="s">
        <v>72</v>
      </c>
      <c r="C57" s="191"/>
      <c r="D57" s="76">
        <f>'[44]YTD 2025'!$E6</f>
        <v>5.5175865662770454</v>
      </c>
      <c r="E57" s="192">
        <v>5</v>
      </c>
      <c r="F57" s="191"/>
      <c r="G57" s="76">
        <f>[42]December_2025!AQ4</f>
        <v>5.9509190936089542</v>
      </c>
      <c r="H57" s="192">
        <v>5</v>
      </c>
      <c r="I57" s="196"/>
      <c r="J57" s="194">
        <f>[43]December_2025!AQ14</f>
        <v>0.66613042426698332</v>
      </c>
      <c r="K57" s="195">
        <v>1</v>
      </c>
    </row>
    <row r="58" spans="2:11" ht="15">
      <c r="B58" s="34" t="s">
        <v>73</v>
      </c>
      <c r="C58" s="191"/>
      <c r="D58" s="76">
        <f>'[44]YTD 2025'!$E7</f>
        <v>11.141238852735578</v>
      </c>
      <c r="E58" s="192">
        <v>5</v>
      </c>
      <c r="F58" s="191"/>
      <c r="G58" s="76">
        <f>[42]December_2025!AQ5</f>
        <v>12.551549020964353</v>
      </c>
      <c r="H58" s="192">
        <v>5</v>
      </c>
      <c r="I58" s="196"/>
      <c r="J58" s="194">
        <f>[43]December_2025!AQ15</f>
        <v>0.50452657004830925</v>
      </c>
      <c r="K58" s="195">
        <v>1</v>
      </c>
    </row>
    <row r="59" spans="2:11" ht="15">
      <c r="B59" s="197" t="s">
        <v>74</v>
      </c>
      <c r="C59" s="191"/>
      <c r="D59" s="76">
        <f>'[44]YTD 2025'!$E8</f>
        <v>4.4543170560422727</v>
      </c>
      <c r="E59" s="192">
        <v>3.5</v>
      </c>
      <c r="F59" s="191"/>
      <c r="G59" s="76">
        <f>[42]December_2025!AQ6</f>
        <v>4.1544267346524437</v>
      </c>
      <c r="H59" s="192">
        <v>3.5</v>
      </c>
      <c r="I59" s="196"/>
      <c r="J59" s="194">
        <f>[43]December_2025!AQ16</f>
        <v>0.82232972136222915</v>
      </c>
      <c r="K59" s="195">
        <v>1</v>
      </c>
    </row>
    <row r="60" spans="2:11" ht="15.75" thickBot="1">
      <c r="B60" s="38" t="s">
        <v>160</v>
      </c>
      <c r="C60" s="191"/>
      <c r="D60" s="76">
        <f>'[44]YTD 2025'!$E9</f>
        <v>7.837301587301579</v>
      </c>
      <c r="E60" s="192">
        <v>3.5</v>
      </c>
      <c r="F60" s="198"/>
      <c r="G60" s="76">
        <f>[42]December_2025!AQ7</f>
        <v>5.3377569154690221</v>
      </c>
      <c r="H60" s="192">
        <v>3.5</v>
      </c>
      <c r="I60" s="196"/>
      <c r="J60" s="194">
        <f>[43]December_2025!AQ17</f>
        <v>0.32596491228070179</v>
      </c>
      <c r="K60" s="195">
        <v>1</v>
      </c>
    </row>
    <row r="61" spans="2:11" ht="15">
      <c r="B61" s="199" t="s">
        <v>76</v>
      </c>
      <c r="C61" s="191"/>
      <c r="D61" s="76">
        <f>'[44]YTD 2025'!$E10</f>
        <v>6.8851328044153277</v>
      </c>
      <c r="E61" s="200">
        <v>5</v>
      </c>
      <c r="F61" s="191"/>
      <c r="G61" s="76">
        <f>[42]December_2025!AQ8</f>
        <v>8.6614709463340702</v>
      </c>
      <c r="H61" s="200">
        <v>5</v>
      </c>
      <c r="I61" s="196"/>
      <c r="J61" s="194">
        <f>[43]December_2025!AQ18</f>
        <v>0.73160818713450293</v>
      </c>
      <c r="K61" s="195">
        <v>1</v>
      </c>
    </row>
    <row r="62" spans="2:11" ht="15">
      <c r="B62" s="201" t="s">
        <v>82</v>
      </c>
      <c r="C62" s="202"/>
      <c r="D62" s="76">
        <f>'[44]YTD 2025'!$E11</f>
        <v>2.8003947928578476</v>
      </c>
      <c r="E62" s="200">
        <v>3.3</v>
      </c>
      <c r="F62" s="202"/>
      <c r="G62" s="76">
        <f>[42]December_2025!AQ9</f>
        <v>4.4628906641962587</v>
      </c>
      <c r="H62" s="200">
        <v>3.3</v>
      </c>
      <c r="I62" s="203"/>
      <c r="J62" s="194">
        <f>[43]December_2025!AQ19</f>
        <v>0.80904406538734908</v>
      </c>
      <c r="K62" s="204">
        <v>1</v>
      </c>
    </row>
    <row r="63" spans="2:11" ht="15.75" thickBot="1">
      <c r="B63" s="38" t="s">
        <v>128</v>
      </c>
      <c r="C63" s="205"/>
      <c r="D63" s="76">
        <f>'[44]YTD 2025'!$E12</f>
        <v>11.483253588516746</v>
      </c>
      <c r="E63" s="206">
        <v>3.5</v>
      </c>
      <c r="F63" s="205"/>
      <c r="G63" s="76">
        <f>[42]December_2025!AQ10</f>
        <v>9.7934336121043764</v>
      </c>
      <c r="H63" s="206">
        <v>3.5</v>
      </c>
      <c r="I63" s="207"/>
      <c r="J63" s="194">
        <f>[43]December_2025!AQ20</f>
        <v>0.32456140350877194</v>
      </c>
      <c r="K63" s="208">
        <v>1</v>
      </c>
    </row>
    <row r="64" spans="2:11" ht="15.75" thickBot="1">
      <c r="B64" s="413" t="s">
        <v>159</v>
      </c>
      <c r="C64" s="205"/>
      <c r="D64" s="76">
        <f>'[44]YTD 2025'!$E13</f>
        <v>7.2653644592663174</v>
      </c>
      <c r="E64" s="206">
        <v>5</v>
      </c>
      <c r="F64" s="205"/>
      <c r="G64" s="76">
        <f>[42]December_2025!AQ11</f>
        <v>8.1715311054411259</v>
      </c>
      <c r="H64" s="206">
        <v>5</v>
      </c>
      <c r="I64" s="207"/>
      <c r="J64" s="194">
        <f>[43]December_2025!AQ21</f>
        <v>0.51368421052631585</v>
      </c>
      <c r="K64" s="208">
        <v>1</v>
      </c>
    </row>
    <row r="65" spans="2:11">
      <c r="B65" s="209"/>
      <c r="C65" s="210"/>
      <c r="D65" s="76">
        <f>'[44]YTD 2025'!$E14</f>
        <v>6.021880789225408</v>
      </c>
      <c r="E65" s="210"/>
      <c r="F65" s="210"/>
      <c r="G65" s="76">
        <f>[42]December_2025!AQ12</f>
        <v>6.4182243543623052</v>
      </c>
      <c r="H65" s="211"/>
      <c r="I65" s="212"/>
      <c r="J65" s="194">
        <f>[43]December_2025!AQ22</f>
        <v>0.68662228112974388</v>
      </c>
      <c r="K65" s="213"/>
    </row>
    <row r="66" spans="2:11">
      <c r="C66" s="214"/>
      <c r="F66" s="95"/>
      <c r="J66" s="194">
        <f>[43]December_2025!AQ23</f>
        <v>0</v>
      </c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42" t="s">
        <v>34</v>
      </c>
      <c r="C2" s="642"/>
      <c r="D2" s="642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42" t="s">
        <v>100</v>
      </c>
      <c r="C14" s="642"/>
      <c r="D14" s="642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42" t="s">
        <v>101</v>
      </c>
      <c r="C27" s="642"/>
      <c r="D27" s="642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44" t="s">
        <v>102</v>
      </c>
      <c r="D3" s="645"/>
      <c r="E3" s="646">
        <f ca="1">TODAY()</f>
        <v>46034</v>
      </c>
      <c r="F3" s="646"/>
      <c r="G3" s="646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47" t="s">
        <v>143</v>
      </c>
      <c r="D14" s="647"/>
      <c r="E14" s="647"/>
      <c r="F14" s="647"/>
      <c r="G14" s="647"/>
      <c r="H14" s="647"/>
    </row>
    <row r="15" spans="3:23" ht="15" customHeight="1">
      <c r="C15" s="647"/>
      <c r="D15" s="647"/>
      <c r="E15" s="647"/>
      <c r="F15" s="647"/>
      <c r="G15" s="647"/>
      <c r="H15" s="647"/>
    </row>
    <row r="16" spans="3:23" ht="15" customHeight="1">
      <c r="C16" s="647"/>
      <c r="D16" s="647"/>
      <c r="E16" s="647"/>
      <c r="F16" s="647"/>
      <c r="G16" s="647"/>
      <c r="H16" s="647"/>
    </row>
    <row r="17" spans="3:8" ht="15" customHeight="1">
      <c r="C17" s="647"/>
      <c r="D17" s="647"/>
      <c r="E17" s="647"/>
      <c r="F17" s="647"/>
      <c r="G17" s="647"/>
      <c r="H17" s="647"/>
    </row>
    <row r="18" spans="3:8" ht="15" customHeight="1">
      <c r="C18" s="647"/>
      <c r="D18" s="647"/>
      <c r="E18" s="647"/>
      <c r="F18" s="647"/>
      <c r="G18" s="647"/>
      <c r="H18" s="647"/>
    </row>
    <row r="19" spans="3:8" ht="15" customHeight="1">
      <c r="C19" s="647"/>
      <c r="D19" s="647"/>
      <c r="E19" s="647"/>
      <c r="F19" s="647"/>
      <c r="G19" s="647"/>
      <c r="H19" s="647"/>
    </row>
    <row r="20" spans="3:8" ht="15" customHeight="1">
      <c r="C20" s="647"/>
      <c r="D20" s="647"/>
      <c r="E20" s="647"/>
      <c r="F20" s="647"/>
      <c r="G20" s="647"/>
      <c r="H20" s="647"/>
    </row>
    <row r="21" spans="3:8" ht="15" customHeight="1">
      <c r="C21" s="647"/>
      <c r="D21" s="647"/>
      <c r="E21" s="647"/>
      <c r="F21" s="647"/>
      <c r="G21" s="647"/>
      <c r="H21" s="647"/>
    </row>
    <row r="22" spans="3:8" ht="15" customHeight="1">
      <c r="C22" s="647"/>
      <c r="D22" s="647"/>
      <c r="E22" s="647"/>
      <c r="F22" s="647"/>
      <c r="G22" s="647"/>
      <c r="H22" s="647"/>
    </row>
    <row r="23" spans="3:8" ht="15" customHeight="1">
      <c r="C23" s="647"/>
      <c r="D23" s="647"/>
      <c r="E23" s="647"/>
      <c r="F23" s="647"/>
      <c r="G23" s="647"/>
      <c r="H23" s="647"/>
    </row>
    <row r="24" spans="3:8" ht="15" customHeight="1">
      <c r="C24" s="647"/>
      <c r="D24" s="647"/>
      <c r="E24" s="647"/>
      <c r="F24" s="647"/>
      <c r="G24" s="647"/>
      <c r="H24" s="647"/>
    </row>
    <row r="25" spans="3:8" ht="15" customHeight="1">
      <c r="C25" s="647"/>
      <c r="D25" s="647"/>
      <c r="E25" s="647"/>
      <c r="F25" s="647"/>
      <c r="G25" s="647"/>
      <c r="H25" s="647"/>
    </row>
    <row r="26" spans="3:8" ht="15" customHeight="1">
      <c r="C26" s="647"/>
      <c r="D26" s="647"/>
      <c r="E26" s="647"/>
      <c r="F26" s="647"/>
      <c r="G26" s="647"/>
      <c r="H26" s="647"/>
    </row>
    <row r="27" spans="3:8" ht="15" customHeight="1">
      <c r="C27" s="647"/>
      <c r="D27" s="647"/>
      <c r="E27" s="647"/>
      <c r="F27" s="647"/>
      <c r="G27" s="647"/>
      <c r="H27" s="647"/>
    </row>
    <row r="28" spans="3:8" ht="15" customHeight="1">
      <c r="C28" s="647"/>
      <c r="D28" s="647"/>
      <c r="E28" s="647"/>
      <c r="F28" s="647"/>
      <c r="G28" s="647"/>
      <c r="H28" s="647"/>
    </row>
    <row r="29" spans="3:8" ht="15" customHeight="1">
      <c r="C29" s="647"/>
      <c r="D29" s="647"/>
      <c r="E29" s="647"/>
      <c r="F29" s="647"/>
      <c r="G29" s="647"/>
      <c r="H29" s="647"/>
    </row>
    <row r="30" spans="3:8" ht="15" customHeight="1">
      <c r="C30" s="647"/>
      <c r="D30" s="647"/>
      <c r="E30" s="647"/>
      <c r="F30" s="647"/>
      <c r="G30" s="647"/>
      <c r="H30" s="647"/>
    </row>
    <row r="31" spans="3:8" ht="15" customHeight="1">
      <c r="C31" s="647"/>
      <c r="D31" s="647"/>
      <c r="E31" s="647"/>
      <c r="F31" s="647"/>
      <c r="G31" s="647"/>
      <c r="H31" s="647"/>
    </row>
    <row r="36" spans="2:17" ht="15" customHeight="1"/>
    <row r="37" spans="2:17" ht="15" customHeight="1"/>
    <row r="38" spans="2:17" ht="30.75" customHeight="1" thickBot="1">
      <c r="C38" s="648" t="s">
        <v>109</v>
      </c>
      <c r="D38" s="648"/>
      <c r="E38" s="648"/>
      <c r="F38" s="649">
        <f ca="1">TODAY()</f>
        <v>46034</v>
      </c>
      <c r="G38" s="649"/>
      <c r="H38" s="649"/>
      <c r="I38" s="649"/>
      <c r="J38" s="650" t="s">
        <v>110</v>
      </c>
      <c r="K38" s="650"/>
      <c r="L38" s="650"/>
      <c r="M38" s="650"/>
      <c r="N38" s="650"/>
      <c r="O38" s="650"/>
      <c r="P38" s="650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'[49]Brewer Performance'!D40</f>
        <v>96.507822129582451</v>
      </c>
      <c r="E40" s="259">
        <f>AVERAGE('[50]Feb. 1'!I12:I13,'[50]Feb. 2'!I11:I14,[50]Feb.4!I13,[50]Feb.8!I14:I16,[50]Feb.9!I14,[50]Feb.9!I17:I18,[50]Feb10!I13:I16,[50]Feb14!I17,[50]Feb14!I15:I17,[50]Feb17!I10,[50]Feb17!I19:I21,'[50]Feb 21'!I10:I12,'[50]Feb 22'!I11:I13,'[50]Feb 23'!I14:I16,'[50]Feb 24'!I10:I12,'[50]Feb 25'!I13:I15,'[50]Feb 28'!I15:I18)</f>
        <v>98.284801217583563</v>
      </c>
      <c r="F40" s="259">
        <v>98.226686244092193</v>
      </c>
      <c r="G40" s="259">
        <v>98.210530202427222</v>
      </c>
      <c r="H40" s="259">
        <f>'[51]Brewer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'[49]Brewer Performance'!D41</f>
        <v>97.99738587335284</v>
      </c>
      <c r="E41" s="259">
        <f>AVERAGE('[50]Feb. 1'!I10:I11,'[50]Feb. 2'!I10,[50]Feb.3!I11:I13,[50]Feb.4!I10:I12,[50]Feb.8!I10,[50]Feb.8!I13,[50]Feb.9!I10:I13,[50]Feb10!I10:I12,[50]Feb11!I11:I13,[50]Feb14!I13:I14,[50]Feb17!I16:I18,[50]Feb18!I13:I15,'[50]Feb 21'!I17:I19,'[50]Feb 22'!I10,'[50]Feb 22'!I20:I22,'[50]Feb 23'!I10:I11,'[50]Feb 23'!I21,'[50]Feb 25'!I10:I12,'[50]Feb 28'!I11:I14)</f>
        <v>97.918121549662388</v>
      </c>
      <c r="F41" s="259">
        <v>98.070081368185257</v>
      </c>
      <c r="G41" s="259">
        <v>97.79453968977019</v>
      </c>
      <c r="H41" s="259">
        <f>'[51]Brewer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'[49]Brewer Performance'!D43</f>
        <v>98.304611060419475</v>
      </c>
      <c r="E44" s="259">
        <f>AVERAGE('[50]Feb. 2'!I15,[50]Feb.3!I10,[50]Feb.4!I16:I17,[50]Feb.8!I19:I21,[50]Feb.9!I19:I20,[50]Feb10!I17:I18,[50]Feb11!I10,[50]Feb14!I10:I12,[50]Feb17!I11:I13,[50]Feb18!I10:I12,'[50]Feb 21'!I13,'[50]Feb 21'!I16,'[50]Feb 22'!I16:I19,'[50]Feb 23'!I17:I20,'[50]Feb 24'!I15:I18,'[50]Feb 25'!I16:I17,'[50]Feb 28'!I10,'[50]Feb 28'!I19:I20)</f>
        <v>97.289162940824014</v>
      </c>
      <c r="F44" s="259">
        <v>98.163642226187022</v>
      </c>
      <c r="G44" s="259">
        <v>97.964054285784258</v>
      </c>
      <c r="H44" s="259">
        <f>'[51]Brewer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'[49]Brewer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'[49]Brewer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43" t="s">
        <v>123</v>
      </c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3"/>
      <c r="P48" s="643"/>
      <c r="Q48" s="643"/>
    </row>
    <row r="49" spans="2:17" ht="15" customHeight="1"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</row>
    <row r="50" spans="2:17" ht="15" customHeight="1"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</row>
    <row r="51" spans="2:17" ht="15" customHeight="1">
      <c r="B51" s="643"/>
      <c r="C51" s="643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</row>
    <row r="52" spans="2:17" ht="15" customHeight="1"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</row>
    <row r="53" spans="2:17" ht="15" customHeight="1"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3"/>
      <c r="P53" s="643"/>
      <c r="Q53" s="643"/>
    </row>
    <row r="54" spans="2:17" ht="15" customHeight="1"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</row>
    <row r="55" spans="2:17" ht="15" customHeight="1"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</row>
    <row r="56" spans="2:17" ht="15" customHeight="1"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3"/>
      <c r="P56" s="643"/>
      <c r="Q56" s="643"/>
    </row>
    <row r="57" spans="2:17" ht="15" customHeight="1"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</row>
    <row r="58" spans="2:17" ht="15" customHeight="1"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</row>
    <row r="59" spans="2:17" ht="15" customHeight="1"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3"/>
      <c r="P59" s="643"/>
      <c r="Q59" s="643"/>
    </row>
    <row r="60" spans="2:17" ht="15" customHeight="1">
      <c r="B60" s="643"/>
      <c r="C60" s="643"/>
      <c r="D60" s="643"/>
      <c r="E60" s="643"/>
      <c r="F60" s="643"/>
      <c r="G60" s="643"/>
      <c r="H60" s="643"/>
      <c r="I60" s="643"/>
      <c r="J60" s="643"/>
      <c r="K60" s="643"/>
      <c r="L60" s="643"/>
      <c r="M60" s="643"/>
      <c r="N60" s="643"/>
      <c r="O60" s="643"/>
      <c r="P60" s="643"/>
      <c r="Q60" s="643"/>
    </row>
    <row r="61" spans="2:17" ht="15" customHeight="1">
      <c r="B61" s="643"/>
      <c r="C61" s="643"/>
      <c r="D61" s="643"/>
      <c r="E61" s="643"/>
      <c r="F61" s="643"/>
      <c r="G61" s="643"/>
      <c r="H61" s="643"/>
      <c r="I61" s="643"/>
      <c r="J61" s="643"/>
      <c r="K61" s="643"/>
      <c r="L61" s="643"/>
      <c r="M61" s="643"/>
      <c r="N61" s="643"/>
      <c r="O61" s="643"/>
      <c r="P61" s="643"/>
      <c r="Q61" s="643"/>
    </row>
    <row r="62" spans="2:17" ht="15" customHeight="1"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3"/>
      <c r="P62" s="643"/>
      <c r="Q62" s="643"/>
    </row>
    <row r="63" spans="2:17" ht="1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3"/>
      <c r="P63" s="643"/>
      <c r="Q63" s="643"/>
    </row>
    <row r="64" spans="2:17" ht="15" customHeight="1"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</row>
    <row r="65" spans="2:17" ht="15" customHeight="1"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3"/>
      <c r="P65" s="643"/>
      <c r="Q65" s="643"/>
    </row>
    <row r="66" spans="2:17" ht="15" customHeight="1">
      <c r="B66" s="643"/>
      <c r="C66" s="643"/>
      <c r="D66" s="643"/>
      <c r="E66" s="643"/>
      <c r="F66" s="643"/>
      <c r="G66" s="643"/>
      <c r="H66" s="643"/>
      <c r="I66" s="643"/>
      <c r="J66" s="643"/>
      <c r="K66" s="643"/>
      <c r="L66" s="643"/>
      <c r="M66" s="643"/>
      <c r="N66" s="643"/>
      <c r="O66" s="643"/>
      <c r="P66" s="643"/>
      <c r="Q66" s="643"/>
    </row>
    <row r="67" spans="2:17" ht="15" customHeight="1"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3"/>
      <c r="P67" s="643"/>
      <c r="Q67" s="643"/>
    </row>
    <row r="68" spans="2:17" ht="15" customHeight="1"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3"/>
      <c r="P68" s="643"/>
      <c r="Q68" s="643"/>
    </row>
    <row r="69" spans="2:17" ht="15" customHeight="1"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</row>
    <row r="70" spans="2:17" ht="15" customHeight="1"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3"/>
      <c r="P70" s="643"/>
      <c r="Q70" s="643"/>
    </row>
    <row r="71" spans="2:17" ht="15" customHeight="1"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</row>
    <row r="72" spans="2:17" ht="15" customHeight="1">
      <c r="B72" s="643"/>
      <c r="C72" s="643"/>
      <c r="D72" s="643"/>
      <c r="E72" s="643"/>
      <c r="F72" s="643"/>
      <c r="G72" s="643"/>
      <c r="H72" s="643"/>
      <c r="I72" s="643"/>
      <c r="J72" s="643"/>
      <c r="K72" s="643"/>
      <c r="L72" s="643"/>
      <c r="M72" s="643"/>
      <c r="N72" s="643"/>
      <c r="O72" s="643"/>
      <c r="P72" s="643"/>
      <c r="Q72" s="643"/>
    </row>
    <row r="73" spans="2:17" ht="15" customHeight="1">
      <c r="B73" s="643"/>
      <c r="C73" s="643"/>
      <c r="D73" s="643"/>
      <c r="E73" s="643"/>
      <c r="F73" s="643"/>
      <c r="G73" s="643"/>
      <c r="H73" s="643"/>
      <c r="I73" s="643"/>
      <c r="J73" s="643"/>
      <c r="K73" s="643"/>
      <c r="L73" s="643"/>
      <c r="M73" s="643"/>
      <c r="N73" s="643"/>
      <c r="O73" s="643"/>
      <c r="P73" s="643"/>
      <c r="Q73" s="643"/>
    </row>
    <row r="74" spans="2:17" ht="15" customHeight="1"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3"/>
      <c r="P74" s="643"/>
      <c r="Q74" s="643"/>
    </row>
    <row r="75" spans="2:17" ht="15" customHeight="1"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3"/>
      <c r="P75" s="643"/>
      <c r="Q75" s="643"/>
    </row>
    <row r="76" spans="2:17"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Dec 1st</vt:lpstr>
      <vt:lpstr>Dec 2nd</vt:lpstr>
      <vt:lpstr>Dec 3rd </vt:lpstr>
      <vt:lpstr>Dec 4th</vt:lpstr>
      <vt:lpstr>Dec 5th-7th</vt:lpstr>
      <vt:lpstr>Dec 8th </vt:lpstr>
      <vt:lpstr>Dec 9th</vt:lpstr>
      <vt:lpstr>Dec 10th</vt:lpstr>
      <vt:lpstr>Dec 11th</vt:lpstr>
      <vt:lpstr>Dec 12th-14th</vt:lpstr>
      <vt:lpstr>Dec 15th</vt:lpstr>
      <vt:lpstr>Dec 16th</vt:lpstr>
      <vt:lpstr>Dec 17th </vt:lpstr>
      <vt:lpstr>Dec 18th </vt:lpstr>
      <vt:lpstr>Dec 19th</vt:lpstr>
      <vt:lpstr>Dec 22nd </vt:lpstr>
      <vt:lpstr>Dec 23rd</vt:lpstr>
      <vt:lpstr>Dec 24th</vt:lpstr>
      <vt:lpstr>Dec 29th</vt:lpstr>
      <vt:lpstr>Dec 30th </vt:lpstr>
      <vt:lpstr>Dec 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2026-01-12T17:43:20Z</dcterms:modified>
</cp:coreProperties>
</file>